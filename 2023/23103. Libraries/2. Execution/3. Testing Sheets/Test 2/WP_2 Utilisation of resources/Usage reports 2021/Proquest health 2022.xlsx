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ku252\Desktop\stats\"/>
    </mc:Choice>
  </mc:AlternateContent>
  <bookViews>
    <workbookView xWindow="0" yWindow="0" windowWidth="19200" windowHeight="7050"/>
  </bookViews>
  <sheets>
    <sheet name="PQ" sheetId="1" r:id="rId1"/>
    <sheet name="Ebooks Summary" sheetId="4" r:id="rId2"/>
    <sheet name="Ebooks Details" sheetId="2"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1" l="1"/>
  <c r="G3216" i="2" l="1"/>
  <c r="F3216" i="2"/>
  <c r="G3215" i="2"/>
  <c r="F3215" i="2"/>
  <c r="G3214" i="2"/>
  <c r="F3214" i="2"/>
  <c r="G3213" i="2"/>
  <c r="F3213" i="2"/>
  <c r="G3212" i="2"/>
  <c r="F3212" i="2"/>
  <c r="G3211" i="2"/>
  <c r="F3211" i="2"/>
  <c r="G3210" i="2"/>
  <c r="F3210" i="2"/>
  <c r="G3209" i="2"/>
  <c r="F3209" i="2"/>
  <c r="G3208" i="2"/>
  <c r="F3208" i="2"/>
  <c r="G3207" i="2"/>
  <c r="F3207" i="2"/>
  <c r="G3206" i="2"/>
  <c r="F3206" i="2"/>
  <c r="G3205" i="2"/>
  <c r="F3205" i="2"/>
  <c r="G3204" i="2"/>
  <c r="F3204" i="2"/>
  <c r="G3203" i="2"/>
  <c r="F3203" i="2"/>
  <c r="G3202" i="2"/>
  <c r="F3202" i="2"/>
  <c r="G3201" i="2"/>
  <c r="F3201" i="2"/>
  <c r="G3200" i="2"/>
  <c r="F3200" i="2"/>
  <c r="G3199" i="2"/>
  <c r="F3199" i="2"/>
  <c r="G3198" i="2"/>
  <c r="F3198" i="2"/>
  <c r="G3197" i="2"/>
  <c r="F3197" i="2"/>
  <c r="G3196" i="2"/>
  <c r="F3196" i="2"/>
  <c r="G3195" i="2"/>
  <c r="F3195" i="2"/>
  <c r="G3194" i="2"/>
  <c r="F3194" i="2"/>
  <c r="G3193" i="2"/>
  <c r="F3193" i="2"/>
  <c r="G3192" i="2"/>
  <c r="F3192" i="2"/>
  <c r="G3191" i="2"/>
  <c r="F3191" i="2"/>
  <c r="G3190" i="2"/>
  <c r="F3190" i="2"/>
  <c r="G3189" i="2"/>
  <c r="F3189" i="2"/>
  <c r="G3188" i="2"/>
  <c r="F3188" i="2"/>
  <c r="G3187" i="2"/>
  <c r="F3187" i="2"/>
  <c r="G3186" i="2"/>
  <c r="F3186" i="2"/>
  <c r="G3185" i="2"/>
  <c r="F3185" i="2"/>
  <c r="G3184" i="2"/>
  <c r="F3184" i="2"/>
  <c r="G3183" i="2"/>
  <c r="F3183" i="2"/>
  <c r="G3182" i="2"/>
  <c r="F3182" i="2"/>
  <c r="G3181" i="2"/>
  <c r="F3181" i="2"/>
  <c r="G3180" i="2"/>
  <c r="F3180" i="2"/>
  <c r="G3179" i="2"/>
  <c r="F3179" i="2"/>
  <c r="G3178" i="2"/>
  <c r="F3178" i="2"/>
  <c r="G3177" i="2"/>
  <c r="F3177" i="2"/>
  <c r="G3176" i="2"/>
  <c r="F3176" i="2"/>
  <c r="G3175" i="2"/>
  <c r="F3175" i="2"/>
  <c r="G3174" i="2"/>
  <c r="F3174" i="2"/>
  <c r="G3173" i="2"/>
  <c r="F3173" i="2"/>
  <c r="G3172" i="2"/>
  <c r="F3172" i="2"/>
  <c r="G3171" i="2"/>
  <c r="F3171" i="2"/>
  <c r="G3170" i="2"/>
  <c r="F3170" i="2"/>
  <c r="G3169" i="2"/>
  <c r="F3169" i="2"/>
  <c r="G3168" i="2"/>
  <c r="F3168" i="2"/>
  <c r="G3167" i="2"/>
  <c r="F3167" i="2"/>
  <c r="G3166" i="2"/>
  <c r="F3166" i="2"/>
  <c r="G3165" i="2"/>
  <c r="F3165" i="2"/>
  <c r="G3164" i="2"/>
  <c r="F3164" i="2"/>
  <c r="G3163" i="2"/>
  <c r="F3163" i="2"/>
  <c r="G3162" i="2"/>
  <c r="F3162" i="2"/>
  <c r="G3161" i="2"/>
  <c r="F3161" i="2"/>
  <c r="G3160" i="2"/>
  <c r="F3160" i="2"/>
  <c r="G3159" i="2"/>
  <c r="F3159" i="2"/>
  <c r="G3158" i="2"/>
  <c r="F3158" i="2"/>
  <c r="G3157" i="2"/>
  <c r="F3157" i="2"/>
  <c r="G3156" i="2"/>
  <c r="F3156" i="2"/>
  <c r="G3155" i="2"/>
  <c r="F3155" i="2"/>
  <c r="G3154" i="2"/>
  <c r="F3154" i="2"/>
  <c r="G3153" i="2"/>
  <c r="F3153" i="2"/>
  <c r="G3152" i="2"/>
  <c r="F3152" i="2"/>
  <c r="G3151" i="2"/>
  <c r="F3151" i="2"/>
  <c r="G3150" i="2"/>
  <c r="F3150" i="2"/>
  <c r="G3149" i="2"/>
  <c r="F3149" i="2"/>
  <c r="G3148" i="2"/>
  <c r="F3148" i="2"/>
  <c r="G3147" i="2"/>
  <c r="F3147" i="2"/>
  <c r="G3146" i="2"/>
  <c r="F3146" i="2"/>
  <c r="G3145" i="2"/>
  <c r="F3145" i="2"/>
  <c r="G3144" i="2"/>
  <c r="F3144" i="2"/>
  <c r="G3143" i="2"/>
  <c r="F3143" i="2"/>
  <c r="G3142" i="2"/>
  <c r="F3142" i="2"/>
  <c r="G3141" i="2"/>
  <c r="F3141" i="2"/>
  <c r="G3140" i="2"/>
  <c r="F3140" i="2"/>
  <c r="G3139" i="2"/>
  <c r="F3139" i="2"/>
  <c r="G3138" i="2"/>
  <c r="F3138" i="2"/>
  <c r="G3137" i="2"/>
  <c r="F3137" i="2"/>
  <c r="G3136" i="2"/>
  <c r="F3136" i="2"/>
  <c r="G3135" i="2"/>
  <c r="F3135" i="2"/>
  <c r="G3134" i="2"/>
  <c r="F3134" i="2"/>
  <c r="G3133" i="2"/>
  <c r="F3133" i="2"/>
  <c r="G3132" i="2"/>
  <c r="F3132" i="2"/>
  <c r="G3131" i="2"/>
  <c r="F3131" i="2"/>
  <c r="G3130" i="2"/>
  <c r="F3130" i="2"/>
  <c r="G3129" i="2"/>
  <c r="F3129" i="2"/>
  <c r="G3128" i="2"/>
  <c r="F3128" i="2"/>
  <c r="G3127" i="2"/>
  <c r="F3127" i="2"/>
  <c r="G3126" i="2"/>
  <c r="F3126" i="2"/>
  <c r="G3125" i="2"/>
  <c r="F3125" i="2"/>
  <c r="G3124" i="2"/>
  <c r="F3124" i="2"/>
  <c r="G3123" i="2"/>
  <c r="F3123" i="2"/>
  <c r="G3122" i="2"/>
  <c r="F3122" i="2"/>
  <c r="G3121" i="2"/>
  <c r="F3121" i="2"/>
  <c r="G3120" i="2"/>
  <c r="F3120" i="2"/>
  <c r="G3119" i="2"/>
  <c r="F3119" i="2"/>
  <c r="G3118" i="2"/>
  <c r="F3118" i="2"/>
  <c r="G3117" i="2"/>
  <c r="F3117" i="2"/>
  <c r="G3116" i="2"/>
  <c r="F3116" i="2"/>
  <c r="G3115" i="2"/>
  <c r="F3115" i="2"/>
  <c r="G3114" i="2"/>
  <c r="F3114" i="2"/>
  <c r="G3113" i="2"/>
  <c r="F3113" i="2"/>
  <c r="G3112" i="2"/>
  <c r="F3112" i="2"/>
  <c r="G3111" i="2"/>
  <c r="F3111" i="2"/>
  <c r="G3110" i="2"/>
  <c r="F3110" i="2"/>
  <c r="G3109" i="2"/>
  <c r="F3109" i="2"/>
  <c r="G3108" i="2"/>
  <c r="F3108" i="2"/>
  <c r="G3107" i="2"/>
  <c r="F3107" i="2"/>
  <c r="G3106" i="2"/>
  <c r="F3106" i="2"/>
  <c r="G3105" i="2"/>
  <c r="F3105" i="2"/>
  <c r="G3104" i="2"/>
  <c r="F3104" i="2"/>
  <c r="G3103" i="2"/>
  <c r="F3103" i="2"/>
  <c r="G3102" i="2"/>
  <c r="F3102" i="2"/>
  <c r="G3101" i="2"/>
  <c r="F3101" i="2"/>
  <c r="G3100" i="2"/>
  <c r="F3100" i="2"/>
  <c r="G3099" i="2"/>
  <c r="F3099" i="2"/>
  <c r="G3098" i="2"/>
  <c r="F3098" i="2"/>
  <c r="G3097" i="2"/>
  <c r="F3097" i="2"/>
  <c r="G3096" i="2"/>
  <c r="F3096" i="2"/>
  <c r="G3095" i="2"/>
  <c r="F3095" i="2"/>
  <c r="G3094" i="2"/>
  <c r="F3094" i="2"/>
  <c r="G3093" i="2"/>
  <c r="F3093" i="2"/>
  <c r="G3092" i="2"/>
  <c r="F3092" i="2"/>
  <c r="G3091" i="2"/>
  <c r="F3091" i="2"/>
  <c r="G3090" i="2"/>
  <c r="F3090" i="2"/>
  <c r="G3089" i="2"/>
  <c r="F3089" i="2"/>
  <c r="G3088" i="2"/>
  <c r="F3088" i="2"/>
  <c r="G3087" i="2"/>
  <c r="F3087" i="2"/>
  <c r="G3086" i="2"/>
  <c r="F3086" i="2"/>
  <c r="G3085" i="2"/>
  <c r="F3085" i="2"/>
  <c r="G3084" i="2"/>
  <c r="F3084" i="2"/>
  <c r="G3083" i="2"/>
  <c r="F3083" i="2"/>
  <c r="G3082" i="2"/>
  <c r="F3082" i="2"/>
  <c r="G3081" i="2"/>
  <c r="F3081" i="2"/>
  <c r="G3080" i="2"/>
  <c r="F3080" i="2"/>
  <c r="G3079" i="2"/>
  <c r="F3079" i="2"/>
  <c r="G3078" i="2"/>
  <c r="F3078" i="2"/>
  <c r="G3077" i="2"/>
  <c r="F3077" i="2"/>
  <c r="G3076" i="2"/>
  <c r="F3076" i="2"/>
  <c r="G3075" i="2"/>
  <c r="F3075" i="2"/>
  <c r="G3074" i="2"/>
  <c r="F3074" i="2"/>
  <c r="G3073" i="2"/>
  <c r="F3073" i="2"/>
  <c r="G3072" i="2"/>
  <c r="F3072" i="2"/>
  <c r="G3071" i="2"/>
  <c r="F3071" i="2"/>
  <c r="G3070" i="2"/>
  <c r="F3070" i="2"/>
  <c r="G3069" i="2"/>
  <c r="F3069" i="2"/>
  <c r="G3068" i="2"/>
  <c r="F3068" i="2"/>
  <c r="G3067" i="2"/>
  <c r="F3067" i="2"/>
  <c r="G3066" i="2"/>
  <c r="F3066" i="2"/>
  <c r="G3065" i="2"/>
  <c r="F3065" i="2"/>
  <c r="G3064" i="2"/>
  <c r="F3064" i="2"/>
  <c r="G3063" i="2"/>
  <c r="F3063" i="2"/>
  <c r="G3062" i="2"/>
  <c r="F3062" i="2"/>
  <c r="G3061" i="2"/>
  <c r="F3061" i="2"/>
  <c r="G3060" i="2"/>
  <c r="F3060" i="2"/>
  <c r="G3059" i="2"/>
  <c r="F3059" i="2"/>
  <c r="G3058" i="2"/>
  <c r="F3058" i="2"/>
  <c r="G3057" i="2"/>
  <c r="F3057" i="2"/>
  <c r="G3056" i="2"/>
  <c r="F3056" i="2"/>
  <c r="G3055" i="2"/>
  <c r="F3055" i="2"/>
  <c r="G3054" i="2"/>
  <c r="F3054" i="2"/>
  <c r="G3053" i="2"/>
  <c r="F3053" i="2"/>
  <c r="G3052" i="2"/>
  <c r="F3052" i="2"/>
  <c r="G3051" i="2"/>
  <c r="F3051" i="2"/>
  <c r="G3050" i="2"/>
  <c r="F3050" i="2"/>
  <c r="G3049" i="2"/>
  <c r="F3049" i="2"/>
  <c r="G3048" i="2"/>
  <c r="F3048" i="2"/>
  <c r="G3047" i="2"/>
  <c r="F3047" i="2"/>
  <c r="G3046" i="2"/>
  <c r="F3046" i="2"/>
  <c r="G3045" i="2"/>
  <c r="F3045" i="2"/>
  <c r="G3044" i="2"/>
  <c r="F3044" i="2"/>
  <c r="G3043" i="2"/>
  <c r="F3043" i="2"/>
  <c r="G3042" i="2"/>
  <c r="F3042" i="2"/>
  <c r="G3041" i="2"/>
  <c r="F3041" i="2"/>
  <c r="G3040" i="2"/>
  <c r="F3040" i="2"/>
  <c r="G3039" i="2"/>
  <c r="F3039" i="2"/>
  <c r="G3038" i="2"/>
  <c r="F3038" i="2"/>
  <c r="G3037" i="2"/>
  <c r="F3037" i="2"/>
  <c r="G3036" i="2"/>
  <c r="F3036" i="2"/>
  <c r="G3035" i="2"/>
  <c r="F3035" i="2"/>
  <c r="G3034" i="2"/>
  <c r="F3034" i="2"/>
  <c r="G3033" i="2"/>
  <c r="F3033" i="2"/>
  <c r="G3032" i="2"/>
  <c r="F3032" i="2"/>
  <c r="G3031" i="2"/>
  <c r="F3031" i="2"/>
  <c r="G3030" i="2"/>
  <c r="F3030" i="2"/>
  <c r="G3029" i="2"/>
  <c r="F3029" i="2"/>
  <c r="G3028" i="2"/>
  <c r="F3028" i="2"/>
  <c r="G3027" i="2"/>
  <c r="F3027" i="2"/>
  <c r="G3026" i="2"/>
  <c r="F3026" i="2"/>
  <c r="G3025" i="2"/>
  <c r="F3025" i="2"/>
  <c r="G3024" i="2"/>
  <c r="F3024" i="2"/>
  <c r="G3023" i="2"/>
  <c r="F3023" i="2"/>
  <c r="G3022" i="2"/>
  <c r="F3022" i="2"/>
  <c r="G3021" i="2"/>
  <c r="F3021" i="2"/>
  <c r="G3020" i="2"/>
  <c r="F3020" i="2"/>
  <c r="G3019" i="2"/>
  <c r="F3019" i="2"/>
  <c r="G3018" i="2"/>
  <c r="F3018" i="2"/>
  <c r="G3017" i="2"/>
  <c r="F3017" i="2"/>
  <c r="G3016" i="2"/>
  <c r="F3016" i="2"/>
  <c r="G3015" i="2"/>
  <c r="F3015" i="2"/>
  <c r="G3014" i="2"/>
  <c r="F3014" i="2"/>
  <c r="G3013" i="2"/>
  <c r="F3013" i="2"/>
  <c r="G3012" i="2"/>
  <c r="F3012" i="2"/>
  <c r="G3011" i="2"/>
  <c r="F3011" i="2"/>
  <c r="G3010" i="2"/>
  <c r="F3010" i="2"/>
  <c r="G3009" i="2"/>
  <c r="F3009" i="2"/>
  <c r="G3008" i="2"/>
  <c r="F3008" i="2"/>
  <c r="G3007" i="2"/>
  <c r="F3007" i="2"/>
  <c r="G3006" i="2"/>
  <c r="F3006" i="2"/>
  <c r="G3005" i="2"/>
  <c r="F3005" i="2"/>
  <c r="G3004" i="2"/>
  <c r="F3004" i="2"/>
  <c r="G3003" i="2"/>
  <c r="F3003" i="2"/>
  <c r="G3002" i="2"/>
  <c r="F3002" i="2"/>
  <c r="G3001" i="2"/>
  <c r="F3001" i="2"/>
  <c r="G3000" i="2"/>
  <c r="F3000" i="2"/>
  <c r="G2999" i="2"/>
  <c r="F2999" i="2"/>
  <c r="G2998" i="2"/>
  <c r="F2998" i="2"/>
  <c r="G2997" i="2"/>
  <c r="F2997" i="2"/>
  <c r="G2996" i="2"/>
  <c r="F2996" i="2"/>
  <c r="G2995" i="2"/>
  <c r="F2995" i="2"/>
  <c r="G2994" i="2"/>
  <c r="F2994" i="2"/>
  <c r="G2993" i="2"/>
  <c r="F2993" i="2"/>
  <c r="G2992" i="2"/>
  <c r="F2992" i="2"/>
  <c r="G2991" i="2"/>
  <c r="F2991" i="2"/>
  <c r="G2990" i="2"/>
  <c r="F2990" i="2"/>
  <c r="G2989" i="2"/>
  <c r="F2989" i="2"/>
  <c r="G2988" i="2"/>
  <c r="F2988" i="2"/>
  <c r="G2987" i="2"/>
  <c r="F2987" i="2"/>
  <c r="G2986" i="2"/>
  <c r="F2986" i="2"/>
  <c r="G2985" i="2"/>
  <c r="F2985" i="2"/>
  <c r="G2984" i="2"/>
  <c r="F2984" i="2"/>
  <c r="G2983" i="2"/>
  <c r="F2983" i="2"/>
  <c r="G2982" i="2"/>
  <c r="F2982" i="2"/>
  <c r="G2981" i="2"/>
  <c r="F2981" i="2"/>
  <c r="G2980" i="2"/>
  <c r="F2980" i="2"/>
  <c r="G2979" i="2"/>
  <c r="F2979" i="2"/>
  <c r="G2978" i="2"/>
  <c r="F2978" i="2"/>
  <c r="G2977" i="2"/>
  <c r="F2977" i="2"/>
  <c r="G2976" i="2"/>
  <c r="F2976" i="2"/>
  <c r="G2975" i="2"/>
  <c r="F2975" i="2"/>
  <c r="G2974" i="2"/>
  <c r="F2974" i="2"/>
  <c r="G2973" i="2"/>
  <c r="F2973" i="2"/>
  <c r="G2972" i="2"/>
  <c r="F2972" i="2"/>
  <c r="G2971" i="2"/>
  <c r="F2971" i="2"/>
  <c r="G2970" i="2"/>
  <c r="F2970" i="2"/>
  <c r="G2969" i="2"/>
  <c r="F2969" i="2"/>
  <c r="G2968" i="2"/>
  <c r="F2968" i="2"/>
  <c r="G2967" i="2"/>
  <c r="F2967" i="2"/>
  <c r="G2966" i="2"/>
  <c r="F2966" i="2"/>
  <c r="G2965" i="2"/>
  <c r="F2965" i="2"/>
  <c r="G2964" i="2"/>
  <c r="F2964" i="2"/>
  <c r="G2963" i="2"/>
  <c r="F2963" i="2"/>
  <c r="G2962" i="2"/>
  <c r="F2962" i="2"/>
  <c r="G2961" i="2"/>
  <c r="F2961" i="2"/>
  <c r="G2960" i="2"/>
  <c r="F2960" i="2"/>
  <c r="G2959" i="2"/>
  <c r="F2959" i="2"/>
  <c r="G2958" i="2"/>
  <c r="F2958" i="2"/>
  <c r="G2957" i="2"/>
  <c r="F2957" i="2"/>
  <c r="G2956" i="2"/>
  <c r="F2956" i="2"/>
  <c r="G2955" i="2"/>
  <c r="F2955" i="2"/>
  <c r="G2954" i="2"/>
  <c r="F2954" i="2"/>
  <c r="G2953" i="2"/>
  <c r="F2953" i="2"/>
  <c r="G2952" i="2"/>
  <c r="F2952" i="2"/>
  <c r="G2951" i="2"/>
  <c r="F2951" i="2"/>
  <c r="G2950" i="2"/>
  <c r="F2950" i="2"/>
  <c r="G2949" i="2"/>
  <c r="F2949" i="2"/>
  <c r="G2948" i="2"/>
  <c r="F2948" i="2"/>
  <c r="G2947" i="2"/>
  <c r="F2947" i="2"/>
  <c r="G2946" i="2"/>
  <c r="F2946" i="2"/>
  <c r="G2945" i="2"/>
  <c r="F2945" i="2"/>
  <c r="G2944" i="2"/>
  <c r="F2944" i="2"/>
  <c r="G2943" i="2"/>
  <c r="F2943" i="2"/>
  <c r="G2942" i="2"/>
  <c r="F2942" i="2"/>
  <c r="G2941" i="2"/>
  <c r="F2941" i="2"/>
  <c r="G2940" i="2"/>
  <c r="F2940" i="2"/>
  <c r="G2939" i="2"/>
  <c r="F2939" i="2"/>
  <c r="G2938" i="2"/>
  <c r="F2938" i="2"/>
  <c r="G2937" i="2"/>
  <c r="F2937" i="2"/>
  <c r="G2936" i="2"/>
  <c r="F2936" i="2"/>
  <c r="G2935" i="2"/>
  <c r="F2935" i="2"/>
  <c r="G2934" i="2"/>
  <c r="F2934" i="2"/>
  <c r="G2933" i="2"/>
  <c r="F2933" i="2"/>
  <c r="G2932" i="2"/>
  <c r="F2932" i="2"/>
  <c r="G2931" i="2"/>
  <c r="F2931" i="2"/>
  <c r="G2930" i="2"/>
  <c r="F2930" i="2"/>
  <c r="G2929" i="2"/>
  <c r="F2929" i="2"/>
  <c r="G2928" i="2"/>
  <c r="F2928" i="2"/>
  <c r="G2927" i="2"/>
  <c r="F2927" i="2"/>
  <c r="G2926" i="2"/>
  <c r="F2926" i="2"/>
  <c r="G2925" i="2"/>
  <c r="F2925" i="2"/>
  <c r="G2924" i="2"/>
  <c r="F2924" i="2"/>
  <c r="G2923" i="2"/>
  <c r="F2923" i="2"/>
  <c r="G2922" i="2"/>
  <c r="F2922" i="2"/>
  <c r="G2921" i="2"/>
  <c r="F2921" i="2"/>
  <c r="G2920" i="2"/>
  <c r="F2920" i="2"/>
  <c r="G2919" i="2"/>
  <c r="F2919" i="2"/>
  <c r="G2918" i="2"/>
  <c r="F2918" i="2"/>
  <c r="G2917" i="2"/>
  <c r="F2917" i="2"/>
  <c r="G2916" i="2"/>
  <c r="F2916" i="2"/>
  <c r="G2915" i="2"/>
  <c r="F2915" i="2"/>
  <c r="G2914" i="2"/>
  <c r="F2914" i="2"/>
  <c r="G2913" i="2"/>
  <c r="F2913" i="2"/>
  <c r="G2912" i="2"/>
  <c r="F2912" i="2"/>
  <c r="G2911" i="2"/>
  <c r="F2911" i="2"/>
  <c r="G2910" i="2"/>
  <c r="F2910" i="2"/>
  <c r="G2909" i="2"/>
  <c r="F2909" i="2"/>
  <c r="G2908" i="2"/>
  <c r="F2908" i="2"/>
  <c r="G2907" i="2"/>
  <c r="F2907" i="2"/>
  <c r="G2906" i="2"/>
  <c r="F2906" i="2"/>
  <c r="G2905" i="2"/>
  <c r="F2905" i="2"/>
  <c r="G2904" i="2"/>
  <c r="F2904" i="2"/>
  <c r="G2903" i="2"/>
  <c r="F2903" i="2"/>
  <c r="G2902" i="2"/>
  <c r="F2902" i="2"/>
  <c r="G2901" i="2"/>
  <c r="F2901" i="2"/>
  <c r="G2900" i="2"/>
  <c r="F2900" i="2"/>
  <c r="G2899" i="2"/>
  <c r="F2899" i="2"/>
  <c r="G2898" i="2"/>
  <c r="F2898" i="2"/>
  <c r="G2897" i="2"/>
  <c r="F2897" i="2"/>
  <c r="G2896" i="2"/>
  <c r="F2896" i="2"/>
  <c r="G2895" i="2"/>
  <c r="F2895" i="2"/>
  <c r="G2894" i="2"/>
  <c r="F2894" i="2"/>
  <c r="G2893" i="2"/>
  <c r="F2893" i="2"/>
  <c r="G2892" i="2"/>
  <c r="F2892" i="2"/>
  <c r="G2891" i="2"/>
  <c r="F2891" i="2"/>
  <c r="G2890" i="2"/>
  <c r="F2890" i="2"/>
  <c r="G2889" i="2"/>
  <c r="F2889" i="2"/>
  <c r="G2888" i="2"/>
  <c r="F2888" i="2"/>
  <c r="G2887" i="2"/>
  <c r="F2887" i="2"/>
  <c r="G2886" i="2"/>
  <c r="F2886" i="2"/>
  <c r="G2885" i="2"/>
  <c r="F2885" i="2"/>
  <c r="G2884" i="2"/>
  <c r="F2884" i="2"/>
  <c r="G2883" i="2"/>
  <c r="F2883" i="2"/>
  <c r="G2882" i="2"/>
  <c r="F2882" i="2"/>
  <c r="G2881" i="2"/>
  <c r="F2881" i="2"/>
  <c r="G2880" i="2"/>
  <c r="F2880" i="2"/>
  <c r="G2879" i="2"/>
  <c r="F2879" i="2"/>
  <c r="G2878" i="2"/>
  <c r="F2878" i="2"/>
  <c r="G2877" i="2"/>
  <c r="F2877" i="2"/>
  <c r="G2876" i="2"/>
  <c r="F2876" i="2"/>
  <c r="G2875" i="2"/>
  <c r="F2875" i="2"/>
  <c r="G2874" i="2"/>
  <c r="F2874" i="2"/>
  <c r="G2873" i="2"/>
  <c r="F2873" i="2"/>
  <c r="G2872" i="2"/>
  <c r="F2872" i="2"/>
  <c r="G2871" i="2"/>
  <c r="F2871" i="2"/>
  <c r="G2870" i="2"/>
  <c r="F2870" i="2"/>
  <c r="G2869" i="2"/>
  <c r="F2869" i="2"/>
  <c r="G2868" i="2"/>
  <c r="F2868" i="2"/>
  <c r="G2867" i="2"/>
  <c r="F2867" i="2"/>
  <c r="G2866" i="2"/>
  <c r="F2866" i="2"/>
  <c r="G2865" i="2"/>
  <c r="F2865" i="2"/>
  <c r="G2864" i="2"/>
  <c r="F2864" i="2"/>
  <c r="G2863" i="2"/>
  <c r="F2863" i="2"/>
  <c r="G2862" i="2"/>
  <c r="F2862" i="2"/>
  <c r="G2861" i="2"/>
  <c r="F2861" i="2"/>
  <c r="G2860" i="2"/>
  <c r="F2860" i="2"/>
  <c r="G2859" i="2"/>
  <c r="F2859" i="2"/>
  <c r="G2858" i="2"/>
  <c r="F2858" i="2"/>
  <c r="G2857" i="2"/>
  <c r="F2857" i="2"/>
  <c r="G2856" i="2"/>
  <c r="F2856" i="2"/>
  <c r="G2855" i="2"/>
  <c r="F2855" i="2"/>
  <c r="G2854" i="2"/>
  <c r="F2854" i="2"/>
  <c r="G2853" i="2"/>
  <c r="F2853" i="2"/>
  <c r="G2852" i="2"/>
  <c r="F2852" i="2"/>
  <c r="G2851" i="2"/>
  <c r="F2851" i="2"/>
  <c r="G2850" i="2"/>
  <c r="F2850" i="2"/>
  <c r="G2849" i="2"/>
  <c r="F2849" i="2"/>
  <c r="G2848" i="2"/>
  <c r="F2848" i="2"/>
  <c r="G2847" i="2"/>
  <c r="F2847" i="2"/>
  <c r="G2846" i="2"/>
  <c r="F2846" i="2"/>
  <c r="G2845" i="2"/>
  <c r="F2845" i="2"/>
  <c r="G2844" i="2"/>
  <c r="F2844" i="2"/>
  <c r="G2843" i="2"/>
  <c r="F2843" i="2"/>
  <c r="G2842" i="2"/>
  <c r="F2842" i="2"/>
  <c r="G2841" i="2"/>
  <c r="F2841" i="2"/>
  <c r="G2840" i="2"/>
  <c r="F2840" i="2"/>
  <c r="G2839" i="2"/>
  <c r="F2839" i="2"/>
  <c r="G2838" i="2"/>
  <c r="F2838" i="2"/>
  <c r="G2837" i="2"/>
  <c r="F2837" i="2"/>
  <c r="G2836" i="2"/>
  <c r="F2836" i="2"/>
  <c r="G2835" i="2"/>
  <c r="F2835" i="2"/>
  <c r="G2834" i="2"/>
  <c r="F2834" i="2"/>
  <c r="G2833" i="2"/>
  <c r="F2833" i="2"/>
  <c r="G2832" i="2"/>
  <c r="F2832" i="2"/>
  <c r="G2831" i="2"/>
  <c r="F2831" i="2"/>
  <c r="G2830" i="2"/>
  <c r="F2830" i="2"/>
  <c r="G2829" i="2"/>
  <c r="F2829" i="2"/>
  <c r="G2828" i="2"/>
  <c r="F2828" i="2"/>
  <c r="G2827" i="2"/>
  <c r="F2827" i="2"/>
  <c r="G2826" i="2"/>
  <c r="F2826" i="2"/>
  <c r="G2825" i="2"/>
  <c r="F2825" i="2"/>
  <c r="G2824" i="2"/>
  <c r="F2824" i="2"/>
  <c r="G2823" i="2"/>
  <c r="F2823" i="2"/>
  <c r="G2822" i="2"/>
  <c r="F2822" i="2"/>
  <c r="G2821" i="2"/>
  <c r="F2821" i="2"/>
  <c r="G2820" i="2"/>
  <c r="F2820" i="2"/>
  <c r="G2819" i="2"/>
  <c r="F2819" i="2"/>
  <c r="G2818" i="2"/>
  <c r="F2818" i="2"/>
  <c r="G2817" i="2"/>
  <c r="F2817" i="2"/>
  <c r="G2816" i="2"/>
  <c r="F2816" i="2"/>
  <c r="G2815" i="2"/>
  <c r="F2815" i="2"/>
  <c r="G2814" i="2"/>
  <c r="F2814" i="2"/>
  <c r="G2813" i="2"/>
  <c r="F2813" i="2"/>
  <c r="G2812" i="2"/>
  <c r="F2812" i="2"/>
  <c r="G2811" i="2"/>
  <c r="F2811" i="2"/>
  <c r="G2810" i="2"/>
  <c r="F2810" i="2"/>
  <c r="G2809" i="2"/>
  <c r="F2809" i="2"/>
  <c r="G2808" i="2"/>
  <c r="F2808" i="2"/>
  <c r="G2807" i="2"/>
  <c r="F2807" i="2"/>
  <c r="G2806" i="2"/>
  <c r="F2806" i="2"/>
  <c r="G2805" i="2"/>
  <c r="F2805" i="2"/>
  <c r="G2804" i="2"/>
  <c r="F2804" i="2"/>
  <c r="G2803" i="2"/>
  <c r="F2803" i="2"/>
  <c r="G2802" i="2"/>
  <c r="F2802" i="2"/>
  <c r="G2801" i="2"/>
  <c r="F2801" i="2"/>
  <c r="G2800" i="2"/>
  <c r="F2800" i="2"/>
  <c r="G2799" i="2"/>
  <c r="F2799" i="2"/>
  <c r="G2798" i="2"/>
  <c r="F2798" i="2"/>
  <c r="G2797" i="2"/>
  <c r="F2797" i="2"/>
  <c r="G2796" i="2"/>
  <c r="F2796" i="2"/>
  <c r="G2795" i="2"/>
  <c r="F2795" i="2"/>
  <c r="G2794" i="2"/>
  <c r="F2794" i="2"/>
  <c r="G2793" i="2"/>
  <c r="F2793" i="2"/>
  <c r="G2792" i="2"/>
  <c r="F2792" i="2"/>
  <c r="G2791" i="2"/>
  <c r="F2791" i="2"/>
  <c r="G2790" i="2"/>
  <c r="F2790" i="2"/>
  <c r="G2789" i="2"/>
  <c r="F2789" i="2"/>
  <c r="G2788" i="2"/>
  <c r="F2788" i="2"/>
  <c r="G2787" i="2"/>
  <c r="F2787" i="2"/>
  <c r="G2786" i="2"/>
  <c r="F2786" i="2"/>
  <c r="G2785" i="2"/>
  <c r="F2785" i="2"/>
  <c r="G2784" i="2"/>
  <c r="F2784" i="2"/>
  <c r="G2783" i="2"/>
  <c r="F2783" i="2"/>
  <c r="G2782" i="2"/>
  <c r="F2782" i="2"/>
  <c r="G2781" i="2"/>
  <c r="F2781" i="2"/>
  <c r="G2780" i="2"/>
  <c r="F2780" i="2"/>
  <c r="G2779" i="2"/>
  <c r="F2779" i="2"/>
  <c r="G2778" i="2"/>
  <c r="F2778" i="2"/>
  <c r="G2777" i="2"/>
  <c r="F2777" i="2"/>
  <c r="G2776" i="2"/>
  <c r="F2776" i="2"/>
  <c r="G2775" i="2"/>
  <c r="F2775" i="2"/>
  <c r="G2774" i="2"/>
  <c r="F2774" i="2"/>
  <c r="G2773" i="2"/>
  <c r="F2773" i="2"/>
  <c r="G2772" i="2"/>
  <c r="F2772" i="2"/>
  <c r="G2771" i="2"/>
  <c r="F2771" i="2"/>
  <c r="G2770" i="2"/>
  <c r="F2770" i="2"/>
  <c r="G2769" i="2"/>
  <c r="F2769" i="2"/>
  <c r="G2768" i="2"/>
  <c r="F2768" i="2"/>
  <c r="G2767" i="2"/>
  <c r="F2767" i="2"/>
  <c r="G2766" i="2"/>
  <c r="F2766" i="2"/>
  <c r="G2765" i="2"/>
  <c r="F2765" i="2"/>
  <c r="G2764" i="2"/>
  <c r="F2764" i="2"/>
  <c r="G2763" i="2"/>
  <c r="F2763" i="2"/>
  <c r="G2762" i="2"/>
  <c r="F2762" i="2"/>
  <c r="G2761" i="2"/>
  <c r="F2761" i="2"/>
  <c r="G2760" i="2"/>
  <c r="F2760" i="2"/>
  <c r="G2759" i="2"/>
  <c r="F2759" i="2"/>
  <c r="G2758" i="2"/>
  <c r="F2758" i="2"/>
  <c r="G2757" i="2"/>
  <c r="F2757" i="2"/>
  <c r="G2756" i="2"/>
  <c r="F2756" i="2"/>
  <c r="G2755" i="2"/>
  <c r="F2755" i="2"/>
  <c r="G2754" i="2"/>
  <c r="F2754" i="2"/>
  <c r="G2753" i="2"/>
  <c r="F2753" i="2"/>
  <c r="G2752" i="2"/>
  <c r="F2752" i="2"/>
  <c r="G2751" i="2"/>
  <c r="F2751" i="2"/>
  <c r="G2750" i="2"/>
  <c r="F2750" i="2"/>
  <c r="G2749" i="2"/>
  <c r="F2749" i="2"/>
  <c r="G2748" i="2"/>
  <c r="F2748" i="2"/>
  <c r="G2747" i="2"/>
  <c r="F2747" i="2"/>
  <c r="G2746" i="2"/>
  <c r="F2746" i="2"/>
  <c r="G2745" i="2"/>
  <c r="F2745" i="2"/>
  <c r="G2744" i="2"/>
  <c r="F2744" i="2"/>
  <c r="G2743" i="2"/>
  <c r="F2743" i="2"/>
  <c r="G2742" i="2"/>
  <c r="F2742" i="2"/>
  <c r="G2741" i="2"/>
  <c r="F2741" i="2"/>
  <c r="G2740" i="2"/>
  <c r="F2740" i="2"/>
  <c r="G2739" i="2"/>
  <c r="F2739" i="2"/>
  <c r="G2738" i="2"/>
  <c r="F2738" i="2"/>
  <c r="G2737" i="2"/>
  <c r="F2737" i="2"/>
  <c r="G2736" i="2"/>
  <c r="F2736" i="2"/>
  <c r="G2735" i="2"/>
  <c r="F2735" i="2"/>
  <c r="G2734" i="2"/>
  <c r="F2734" i="2"/>
  <c r="G2733" i="2"/>
  <c r="F2733" i="2"/>
  <c r="G2732" i="2"/>
  <c r="F2732" i="2"/>
  <c r="G2731" i="2"/>
  <c r="F2731" i="2"/>
  <c r="G2730" i="2"/>
  <c r="F2730" i="2"/>
  <c r="G2729" i="2"/>
  <c r="F2729" i="2"/>
  <c r="G2728" i="2"/>
  <c r="F2728" i="2"/>
  <c r="G2727" i="2"/>
  <c r="F2727" i="2"/>
  <c r="G2726" i="2"/>
  <c r="F2726" i="2"/>
  <c r="G2725" i="2"/>
  <c r="F2725" i="2"/>
  <c r="G2724" i="2"/>
  <c r="F2724" i="2"/>
  <c r="G2723" i="2"/>
  <c r="F2723" i="2"/>
  <c r="G2722" i="2"/>
  <c r="F2722" i="2"/>
  <c r="G2721" i="2"/>
  <c r="F2721" i="2"/>
  <c r="G2720" i="2"/>
  <c r="F2720" i="2"/>
  <c r="G2719" i="2"/>
  <c r="F2719" i="2"/>
  <c r="G2718" i="2"/>
  <c r="F2718" i="2"/>
  <c r="G2717" i="2"/>
  <c r="F2717" i="2"/>
  <c r="G2716" i="2"/>
  <c r="F2716" i="2"/>
  <c r="G2715" i="2"/>
  <c r="F2715" i="2"/>
  <c r="G2714" i="2"/>
  <c r="F2714" i="2"/>
  <c r="G2713" i="2"/>
  <c r="F2713" i="2"/>
  <c r="G2712" i="2"/>
  <c r="F2712" i="2"/>
  <c r="G2711" i="2"/>
  <c r="F2711" i="2"/>
  <c r="G2710" i="2"/>
  <c r="F2710" i="2"/>
  <c r="G2709" i="2"/>
  <c r="F2709" i="2"/>
  <c r="G2708" i="2"/>
  <c r="F2708" i="2"/>
  <c r="G2707" i="2"/>
  <c r="F2707" i="2"/>
  <c r="G2706" i="2"/>
  <c r="F2706" i="2"/>
  <c r="G2705" i="2"/>
  <c r="F2705" i="2"/>
  <c r="G2704" i="2"/>
  <c r="F2704" i="2"/>
  <c r="G2703" i="2"/>
  <c r="F2703" i="2"/>
  <c r="G2702" i="2"/>
  <c r="F2702" i="2"/>
  <c r="G2701" i="2"/>
  <c r="F2701" i="2"/>
  <c r="G2700" i="2"/>
  <c r="F2700" i="2"/>
  <c r="G2699" i="2"/>
  <c r="F2699" i="2"/>
  <c r="G2698" i="2"/>
  <c r="F2698" i="2"/>
  <c r="G2697" i="2"/>
  <c r="F2697" i="2"/>
  <c r="G2696" i="2"/>
  <c r="F2696" i="2"/>
  <c r="G2695" i="2"/>
  <c r="F2695" i="2"/>
  <c r="G2694" i="2"/>
  <c r="F2694" i="2"/>
  <c r="G2693" i="2"/>
  <c r="F2693" i="2"/>
  <c r="G2692" i="2"/>
  <c r="F2692" i="2"/>
  <c r="G2691" i="2"/>
  <c r="F2691" i="2"/>
  <c r="G2690" i="2"/>
  <c r="F2690" i="2"/>
  <c r="G2689" i="2"/>
  <c r="F2689" i="2"/>
  <c r="G2688" i="2"/>
  <c r="F2688" i="2"/>
  <c r="G2687" i="2"/>
  <c r="F2687" i="2"/>
  <c r="G2686" i="2"/>
  <c r="F2686" i="2"/>
  <c r="G2685" i="2"/>
  <c r="F2685" i="2"/>
  <c r="G2684" i="2"/>
  <c r="F2684" i="2"/>
  <c r="G2683" i="2"/>
  <c r="F2683" i="2"/>
  <c r="G2682" i="2"/>
  <c r="F2682" i="2"/>
  <c r="G2681" i="2"/>
  <c r="F2681" i="2"/>
  <c r="G2680" i="2"/>
  <c r="F2680" i="2"/>
  <c r="G2679" i="2"/>
  <c r="F2679" i="2"/>
  <c r="G2678" i="2"/>
  <c r="F2678" i="2"/>
  <c r="G2677" i="2"/>
  <c r="F2677" i="2"/>
  <c r="G2676" i="2"/>
  <c r="F2676" i="2"/>
  <c r="G2675" i="2"/>
  <c r="F2675" i="2"/>
  <c r="G2674" i="2"/>
  <c r="F2674" i="2"/>
  <c r="G2673" i="2"/>
  <c r="F2673" i="2"/>
  <c r="G2672" i="2"/>
  <c r="F2672" i="2"/>
  <c r="G2671" i="2"/>
  <c r="F2671" i="2"/>
  <c r="G2670" i="2"/>
  <c r="F2670" i="2"/>
  <c r="G2669" i="2"/>
  <c r="F2669" i="2"/>
  <c r="G2668" i="2"/>
  <c r="F2668" i="2"/>
  <c r="G2667" i="2"/>
  <c r="F2667" i="2"/>
  <c r="G2666" i="2"/>
  <c r="F2666" i="2"/>
  <c r="G2665" i="2"/>
  <c r="F2665" i="2"/>
  <c r="G2664" i="2"/>
  <c r="F2664" i="2"/>
  <c r="G2663" i="2"/>
  <c r="F2663" i="2"/>
  <c r="G2662" i="2"/>
  <c r="F2662" i="2"/>
  <c r="G2661" i="2"/>
  <c r="F2661" i="2"/>
  <c r="G2660" i="2"/>
  <c r="F2660" i="2"/>
  <c r="G2659" i="2"/>
  <c r="F2659" i="2"/>
  <c r="G2658" i="2"/>
  <c r="F2658" i="2"/>
  <c r="G2657" i="2"/>
  <c r="F2657" i="2"/>
  <c r="G2656" i="2"/>
  <c r="F2656" i="2"/>
  <c r="G2655" i="2"/>
  <c r="F2655" i="2"/>
  <c r="G2654" i="2"/>
  <c r="F2654" i="2"/>
  <c r="G2653" i="2"/>
  <c r="F2653" i="2"/>
  <c r="G2652" i="2"/>
  <c r="F2652" i="2"/>
  <c r="G2651" i="2"/>
  <c r="F2651" i="2"/>
  <c r="G2650" i="2"/>
  <c r="F2650" i="2"/>
  <c r="G2649" i="2"/>
  <c r="F2649" i="2"/>
  <c r="G2648" i="2"/>
  <c r="F2648" i="2"/>
  <c r="G2647" i="2"/>
  <c r="F2647" i="2"/>
  <c r="G2646" i="2"/>
  <c r="F2646" i="2"/>
  <c r="G2645" i="2"/>
  <c r="F2645" i="2"/>
  <c r="G2644" i="2"/>
  <c r="F2644" i="2"/>
  <c r="G2643" i="2"/>
  <c r="F2643" i="2"/>
  <c r="G2642" i="2"/>
  <c r="F2642" i="2"/>
  <c r="G2641" i="2"/>
  <c r="F2641" i="2"/>
  <c r="G2640" i="2"/>
  <c r="F2640" i="2"/>
  <c r="G2639" i="2"/>
  <c r="F2639" i="2"/>
  <c r="G2638" i="2"/>
  <c r="F2638" i="2"/>
  <c r="G2637" i="2"/>
  <c r="F2637" i="2"/>
  <c r="G2636" i="2"/>
  <c r="F2636" i="2"/>
  <c r="G2635" i="2"/>
  <c r="F2635" i="2"/>
  <c r="G2634" i="2"/>
  <c r="F2634" i="2"/>
  <c r="G2633" i="2"/>
  <c r="F2633" i="2"/>
  <c r="G2632" i="2"/>
  <c r="F2632" i="2"/>
  <c r="G2631" i="2"/>
  <c r="F2631" i="2"/>
  <c r="G2630" i="2"/>
  <c r="F2630" i="2"/>
  <c r="G2629" i="2"/>
  <c r="F2629" i="2"/>
  <c r="G2628" i="2"/>
  <c r="F2628" i="2"/>
  <c r="G2627" i="2"/>
  <c r="F2627" i="2"/>
  <c r="G2626" i="2"/>
  <c r="F2626" i="2"/>
  <c r="G2625" i="2"/>
  <c r="F2625" i="2"/>
  <c r="G2624" i="2"/>
  <c r="F2624" i="2"/>
  <c r="G2623" i="2"/>
  <c r="F2623" i="2"/>
  <c r="G2622" i="2"/>
  <c r="F2622" i="2"/>
  <c r="G2621" i="2"/>
  <c r="F2621" i="2"/>
  <c r="G2620" i="2"/>
  <c r="F2620" i="2"/>
  <c r="G2619" i="2"/>
  <c r="F2619" i="2"/>
  <c r="G2618" i="2"/>
  <c r="F2618" i="2"/>
  <c r="G2617" i="2"/>
  <c r="F2617" i="2"/>
  <c r="G2616" i="2"/>
  <c r="F2616" i="2"/>
  <c r="G2615" i="2"/>
  <c r="F2615" i="2"/>
  <c r="G2614" i="2"/>
  <c r="F2614" i="2"/>
  <c r="G2613" i="2"/>
  <c r="F2613" i="2"/>
  <c r="G2612" i="2"/>
  <c r="F2612" i="2"/>
  <c r="G2611" i="2"/>
  <c r="F2611" i="2"/>
  <c r="G2610" i="2"/>
  <c r="F2610" i="2"/>
  <c r="G2609" i="2"/>
  <c r="F2609" i="2"/>
  <c r="G2608" i="2"/>
  <c r="F2608" i="2"/>
  <c r="G2607" i="2"/>
  <c r="F2607" i="2"/>
  <c r="G2606" i="2"/>
  <c r="F2606" i="2"/>
  <c r="G2605" i="2"/>
  <c r="F2605" i="2"/>
  <c r="G2604" i="2"/>
  <c r="F2604" i="2"/>
  <c r="G2603" i="2"/>
  <c r="F2603" i="2"/>
  <c r="G2602" i="2"/>
  <c r="F2602" i="2"/>
  <c r="G2601" i="2"/>
  <c r="F2601" i="2"/>
  <c r="G2600" i="2"/>
  <c r="F2600" i="2"/>
  <c r="G2599" i="2"/>
  <c r="F2599" i="2"/>
  <c r="G2598" i="2"/>
  <c r="F2598" i="2"/>
  <c r="G2597" i="2"/>
  <c r="F2597" i="2"/>
  <c r="G2596" i="2"/>
  <c r="F2596" i="2"/>
  <c r="G2595" i="2"/>
  <c r="F2595" i="2"/>
  <c r="G2594" i="2"/>
  <c r="F2594" i="2"/>
  <c r="G2593" i="2"/>
  <c r="F2593" i="2"/>
  <c r="G2592" i="2"/>
  <c r="F2592" i="2"/>
  <c r="G2591" i="2"/>
  <c r="F2591" i="2"/>
  <c r="G2590" i="2"/>
  <c r="F2590" i="2"/>
  <c r="G2589" i="2"/>
  <c r="F2589" i="2"/>
  <c r="G2588" i="2"/>
  <c r="F2588" i="2"/>
  <c r="G2587" i="2"/>
  <c r="F2587" i="2"/>
  <c r="G2586" i="2"/>
  <c r="F2586" i="2"/>
  <c r="G2585" i="2"/>
  <c r="F2585" i="2"/>
  <c r="G2584" i="2"/>
  <c r="F2584" i="2"/>
  <c r="G2583" i="2"/>
  <c r="F2583" i="2"/>
  <c r="G2582" i="2"/>
  <c r="F2582" i="2"/>
  <c r="G2581" i="2"/>
  <c r="F2581" i="2"/>
  <c r="G2580" i="2"/>
  <c r="F2580" i="2"/>
  <c r="G2579" i="2"/>
  <c r="F2579" i="2"/>
  <c r="G2578" i="2"/>
  <c r="F2578" i="2"/>
  <c r="G2577" i="2"/>
  <c r="F2577" i="2"/>
  <c r="G2576" i="2"/>
  <c r="F2576" i="2"/>
  <c r="G2575" i="2"/>
  <c r="F2575" i="2"/>
  <c r="G2574" i="2"/>
  <c r="F2574" i="2"/>
  <c r="G2573" i="2"/>
  <c r="F2573" i="2"/>
  <c r="G2572" i="2"/>
  <c r="F2572" i="2"/>
  <c r="G2571" i="2"/>
  <c r="F2571" i="2"/>
  <c r="G2570" i="2"/>
  <c r="F2570" i="2"/>
  <c r="G2569" i="2"/>
  <c r="F2569" i="2"/>
  <c r="G2568" i="2"/>
  <c r="F2568" i="2"/>
  <c r="G2567" i="2"/>
  <c r="F2567" i="2"/>
  <c r="G2566" i="2"/>
  <c r="F2566" i="2"/>
  <c r="G2565" i="2"/>
  <c r="F2565" i="2"/>
  <c r="G2564" i="2"/>
  <c r="F2564" i="2"/>
  <c r="G2563" i="2"/>
  <c r="F2563" i="2"/>
  <c r="G2562" i="2"/>
  <c r="F2562" i="2"/>
  <c r="G2561" i="2"/>
  <c r="F2561" i="2"/>
  <c r="G2560" i="2"/>
  <c r="F2560" i="2"/>
  <c r="G2559" i="2"/>
  <c r="F2559" i="2"/>
  <c r="G2558" i="2"/>
  <c r="F2558" i="2"/>
  <c r="G2557" i="2"/>
  <c r="F2557" i="2"/>
  <c r="G2556" i="2"/>
  <c r="F2556" i="2"/>
  <c r="G2555" i="2"/>
  <c r="F2555" i="2"/>
  <c r="G2554" i="2"/>
  <c r="F2554" i="2"/>
  <c r="G2553" i="2"/>
  <c r="F2553" i="2"/>
  <c r="G2552" i="2"/>
  <c r="F2552" i="2"/>
  <c r="G2551" i="2"/>
  <c r="F2551" i="2"/>
  <c r="G2550" i="2"/>
  <c r="F2550" i="2"/>
  <c r="G2549" i="2"/>
  <c r="F2549" i="2"/>
  <c r="G2548" i="2"/>
  <c r="F2548" i="2"/>
  <c r="G2547" i="2"/>
  <c r="F2547" i="2"/>
  <c r="G2546" i="2"/>
  <c r="F2546" i="2"/>
  <c r="G2545" i="2"/>
  <c r="F2545" i="2"/>
  <c r="G2544" i="2"/>
  <c r="F2544" i="2"/>
  <c r="G2543" i="2"/>
  <c r="F2543" i="2"/>
  <c r="G2542" i="2"/>
  <c r="F2542" i="2"/>
  <c r="G2541" i="2"/>
  <c r="F2541" i="2"/>
  <c r="G2540" i="2"/>
  <c r="F2540" i="2"/>
  <c r="G2539" i="2"/>
  <c r="F2539" i="2"/>
  <c r="G2538" i="2"/>
  <c r="F2538" i="2"/>
  <c r="G2537" i="2"/>
  <c r="F2537" i="2"/>
  <c r="G2536" i="2"/>
  <c r="F2536" i="2"/>
  <c r="G2535" i="2"/>
  <c r="F2535" i="2"/>
  <c r="G2534" i="2"/>
  <c r="F2534" i="2"/>
  <c r="G2533" i="2"/>
  <c r="F2533" i="2"/>
  <c r="G2532" i="2"/>
  <c r="F2532" i="2"/>
  <c r="G2531" i="2"/>
  <c r="F2531" i="2"/>
  <c r="G2530" i="2"/>
  <c r="F2530" i="2"/>
  <c r="G2529" i="2"/>
  <c r="F2529" i="2"/>
  <c r="G2528" i="2"/>
  <c r="F2528" i="2"/>
  <c r="G2527" i="2"/>
  <c r="F2527" i="2"/>
  <c r="G2526" i="2"/>
  <c r="F2526" i="2"/>
  <c r="G2525" i="2"/>
  <c r="F2525" i="2"/>
  <c r="G2524" i="2"/>
  <c r="F2524" i="2"/>
  <c r="G2523" i="2"/>
  <c r="F2523" i="2"/>
  <c r="G2522" i="2"/>
  <c r="F2522" i="2"/>
  <c r="G2521" i="2"/>
  <c r="F2521" i="2"/>
  <c r="G2520" i="2"/>
  <c r="F2520" i="2"/>
  <c r="G2519" i="2"/>
  <c r="F2519" i="2"/>
  <c r="G2518" i="2"/>
  <c r="F2518" i="2"/>
  <c r="G2517" i="2"/>
  <c r="F2517" i="2"/>
  <c r="G2516" i="2"/>
  <c r="F2516" i="2"/>
  <c r="G2515" i="2"/>
  <c r="F2515" i="2"/>
  <c r="G2514" i="2"/>
  <c r="F2514" i="2"/>
  <c r="G2513" i="2"/>
  <c r="F2513" i="2"/>
  <c r="G2512" i="2"/>
  <c r="F2512" i="2"/>
  <c r="G2511" i="2"/>
  <c r="F2511" i="2"/>
  <c r="G2510" i="2"/>
  <c r="F2510" i="2"/>
  <c r="G2509" i="2"/>
  <c r="F2509" i="2"/>
  <c r="G2508" i="2"/>
  <c r="F2508" i="2"/>
  <c r="G2507" i="2"/>
  <c r="F2507" i="2"/>
  <c r="G2506" i="2"/>
  <c r="F2506" i="2"/>
  <c r="G2505" i="2"/>
  <c r="F2505" i="2"/>
  <c r="G2504" i="2"/>
  <c r="F2504" i="2"/>
  <c r="G2503" i="2"/>
  <c r="F2503" i="2"/>
  <c r="G2502" i="2"/>
  <c r="F2502" i="2"/>
  <c r="G2501" i="2"/>
  <c r="F2501" i="2"/>
  <c r="G2500" i="2"/>
  <c r="F2500" i="2"/>
  <c r="G2499" i="2"/>
  <c r="F2499" i="2"/>
  <c r="G2498" i="2"/>
  <c r="F2498" i="2"/>
  <c r="G2497" i="2"/>
  <c r="F2497" i="2"/>
  <c r="G2496" i="2"/>
  <c r="F2496" i="2"/>
  <c r="G2495" i="2"/>
  <c r="F2495" i="2"/>
  <c r="G2494" i="2"/>
  <c r="F2494" i="2"/>
  <c r="G2493" i="2"/>
  <c r="F2493" i="2"/>
  <c r="G2492" i="2"/>
  <c r="F2492" i="2"/>
  <c r="G2491" i="2"/>
  <c r="F2491" i="2"/>
  <c r="G2490" i="2"/>
  <c r="F2490" i="2"/>
  <c r="G2489" i="2"/>
  <c r="F2489" i="2"/>
  <c r="G2488" i="2"/>
  <c r="F2488" i="2"/>
  <c r="G2487" i="2"/>
  <c r="F2487" i="2"/>
  <c r="G2486" i="2"/>
  <c r="F2486" i="2"/>
  <c r="G2485" i="2"/>
  <c r="F2485" i="2"/>
  <c r="G2484" i="2"/>
  <c r="F2484" i="2"/>
  <c r="G2483" i="2"/>
  <c r="F2483" i="2"/>
  <c r="G2482" i="2"/>
  <c r="F2482" i="2"/>
  <c r="G2481" i="2"/>
  <c r="F2481" i="2"/>
  <c r="G2480" i="2"/>
  <c r="F2480" i="2"/>
  <c r="G2479" i="2"/>
  <c r="F2479" i="2"/>
  <c r="G2478" i="2"/>
  <c r="F2478" i="2"/>
  <c r="G2477" i="2"/>
  <c r="F2477" i="2"/>
  <c r="G2476" i="2"/>
  <c r="F2476" i="2"/>
  <c r="G2475" i="2"/>
  <c r="F2475" i="2"/>
  <c r="G2474" i="2"/>
  <c r="F2474" i="2"/>
  <c r="G2473" i="2"/>
  <c r="F2473" i="2"/>
  <c r="G2472" i="2"/>
  <c r="F2472" i="2"/>
  <c r="G2471" i="2"/>
  <c r="F2471" i="2"/>
  <c r="G2470" i="2"/>
  <c r="F2470" i="2"/>
  <c r="G2469" i="2"/>
  <c r="F2469" i="2"/>
  <c r="G2468" i="2"/>
  <c r="F2468" i="2"/>
  <c r="G2467" i="2"/>
  <c r="F2467" i="2"/>
  <c r="G2466" i="2"/>
  <c r="F2466" i="2"/>
  <c r="G2465" i="2"/>
  <c r="F2465" i="2"/>
  <c r="G2464" i="2"/>
  <c r="F2464" i="2"/>
  <c r="G2463" i="2"/>
  <c r="F2463" i="2"/>
  <c r="G2462" i="2"/>
  <c r="F2462" i="2"/>
  <c r="G2461" i="2"/>
  <c r="F2461" i="2"/>
  <c r="G2460" i="2"/>
  <c r="F2460" i="2"/>
  <c r="G2459" i="2"/>
  <c r="F2459" i="2"/>
  <c r="G2458" i="2"/>
  <c r="F2458" i="2"/>
  <c r="G2457" i="2"/>
  <c r="F2457" i="2"/>
  <c r="G2456" i="2"/>
  <c r="F2456" i="2"/>
  <c r="G2455" i="2"/>
  <c r="F2455" i="2"/>
  <c r="G2454" i="2"/>
  <c r="F2454" i="2"/>
  <c r="G2453" i="2"/>
  <c r="F2453" i="2"/>
  <c r="G2452" i="2"/>
  <c r="F2452" i="2"/>
  <c r="G2451" i="2"/>
  <c r="F2451" i="2"/>
  <c r="G2450" i="2"/>
  <c r="F2450" i="2"/>
  <c r="G2449" i="2"/>
  <c r="F2449" i="2"/>
  <c r="G2448" i="2"/>
  <c r="F2448" i="2"/>
  <c r="G2447" i="2"/>
  <c r="F2447" i="2"/>
  <c r="G2446" i="2"/>
  <c r="F2446" i="2"/>
  <c r="G2445" i="2"/>
  <c r="F2445" i="2"/>
  <c r="G2444" i="2"/>
  <c r="F2444" i="2"/>
  <c r="G2443" i="2"/>
  <c r="F2443" i="2"/>
  <c r="G2442" i="2"/>
  <c r="F2442" i="2"/>
  <c r="G2441" i="2"/>
  <c r="F2441" i="2"/>
  <c r="G2440" i="2"/>
  <c r="F2440" i="2"/>
  <c r="G2439" i="2"/>
  <c r="F2439" i="2"/>
  <c r="G2438" i="2"/>
  <c r="F2438" i="2"/>
  <c r="G2437" i="2"/>
  <c r="F2437" i="2"/>
  <c r="G2436" i="2"/>
  <c r="F2436" i="2"/>
  <c r="G2435" i="2"/>
  <c r="F2435" i="2"/>
  <c r="G2434" i="2"/>
  <c r="F2434" i="2"/>
  <c r="G2433" i="2"/>
  <c r="F2433" i="2"/>
  <c r="G2432" i="2"/>
  <c r="F2432" i="2"/>
  <c r="G2431" i="2"/>
  <c r="F2431" i="2"/>
  <c r="G2430" i="2"/>
  <c r="F2430" i="2"/>
  <c r="G2429" i="2"/>
  <c r="F2429" i="2"/>
  <c r="G2428" i="2"/>
  <c r="F2428" i="2"/>
  <c r="G2427" i="2"/>
  <c r="F2427" i="2"/>
  <c r="G2426" i="2"/>
  <c r="F2426" i="2"/>
  <c r="G2425" i="2"/>
  <c r="F2425" i="2"/>
  <c r="G2424" i="2"/>
  <c r="F2424" i="2"/>
  <c r="G2423" i="2"/>
  <c r="F2423" i="2"/>
  <c r="G2422" i="2"/>
  <c r="F2422" i="2"/>
  <c r="G2421" i="2"/>
  <c r="F2421" i="2"/>
  <c r="G2420" i="2"/>
  <c r="F2420" i="2"/>
  <c r="G2419" i="2"/>
  <c r="F2419" i="2"/>
  <c r="G2418" i="2"/>
  <c r="F2418" i="2"/>
  <c r="G2417" i="2"/>
  <c r="F2417" i="2"/>
  <c r="G2416" i="2"/>
  <c r="F2416" i="2"/>
  <c r="G2415" i="2"/>
  <c r="F2415" i="2"/>
  <c r="G2414" i="2"/>
  <c r="F2414" i="2"/>
  <c r="G2413" i="2"/>
  <c r="F2413" i="2"/>
  <c r="G2412" i="2"/>
  <c r="F2412" i="2"/>
  <c r="G2411" i="2"/>
  <c r="F2411" i="2"/>
  <c r="G2410" i="2"/>
  <c r="F2410" i="2"/>
  <c r="G2409" i="2"/>
  <c r="F2409" i="2"/>
  <c r="G2408" i="2"/>
  <c r="F2408" i="2"/>
  <c r="G2407" i="2"/>
  <c r="F2407" i="2"/>
  <c r="G2406" i="2"/>
  <c r="F2406" i="2"/>
  <c r="G2405" i="2"/>
  <c r="F2405" i="2"/>
  <c r="G2404" i="2"/>
  <c r="F2404" i="2"/>
  <c r="G2403" i="2"/>
  <c r="F2403" i="2"/>
  <c r="G2402" i="2"/>
  <c r="F2402" i="2"/>
  <c r="G2401" i="2"/>
  <c r="F2401" i="2"/>
  <c r="G2400" i="2"/>
  <c r="F2400" i="2"/>
  <c r="G2399" i="2"/>
  <c r="F2399" i="2"/>
  <c r="G2398" i="2"/>
  <c r="F2398" i="2"/>
  <c r="G2397" i="2"/>
  <c r="F2397" i="2"/>
  <c r="G2396" i="2"/>
  <c r="F2396" i="2"/>
  <c r="G2395" i="2"/>
  <c r="F2395" i="2"/>
  <c r="G2394" i="2"/>
  <c r="F2394" i="2"/>
  <c r="G2393" i="2"/>
  <c r="F2393" i="2"/>
  <c r="G2392" i="2"/>
  <c r="F2392" i="2"/>
  <c r="G2391" i="2"/>
  <c r="F2391" i="2"/>
  <c r="G2390" i="2"/>
  <c r="F2390" i="2"/>
  <c r="G2389" i="2"/>
  <c r="F2389" i="2"/>
  <c r="G2388" i="2"/>
  <c r="F2388" i="2"/>
  <c r="G2387" i="2"/>
  <c r="F2387" i="2"/>
  <c r="G2386" i="2"/>
  <c r="F2386" i="2"/>
  <c r="G2385" i="2"/>
  <c r="F2385" i="2"/>
  <c r="G2384" i="2"/>
  <c r="F2384" i="2"/>
  <c r="G2383" i="2"/>
  <c r="F2383" i="2"/>
  <c r="G2382" i="2"/>
  <c r="F2382" i="2"/>
  <c r="G2381" i="2"/>
  <c r="F2381" i="2"/>
  <c r="G2380" i="2"/>
  <c r="F2380" i="2"/>
  <c r="G2379" i="2"/>
  <c r="F2379" i="2"/>
  <c r="G2378" i="2"/>
  <c r="F2378" i="2"/>
  <c r="G2377" i="2"/>
  <c r="F2377" i="2"/>
  <c r="G2376" i="2"/>
  <c r="F2376" i="2"/>
  <c r="G2375" i="2"/>
  <c r="F2375" i="2"/>
  <c r="G2374" i="2"/>
  <c r="F2374" i="2"/>
  <c r="G2373" i="2"/>
  <c r="F2373" i="2"/>
  <c r="G2372" i="2"/>
  <c r="F2372" i="2"/>
  <c r="G2371" i="2"/>
  <c r="F2371" i="2"/>
  <c r="G2370" i="2"/>
  <c r="F2370" i="2"/>
  <c r="G2369" i="2"/>
  <c r="F2369" i="2"/>
  <c r="G2368" i="2"/>
  <c r="F2368" i="2"/>
  <c r="G2367" i="2"/>
  <c r="F2367" i="2"/>
  <c r="G2366" i="2"/>
  <c r="F2366" i="2"/>
  <c r="G2365" i="2"/>
  <c r="F2365" i="2"/>
  <c r="G2364" i="2"/>
  <c r="F2364" i="2"/>
  <c r="G2363" i="2"/>
  <c r="F2363" i="2"/>
  <c r="G2362" i="2"/>
  <c r="F2362" i="2"/>
  <c r="G2361" i="2"/>
  <c r="F2361" i="2"/>
  <c r="G2360" i="2"/>
  <c r="F2360" i="2"/>
  <c r="G2359" i="2"/>
  <c r="F2359" i="2"/>
  <c r="G2358" i="2"/>
  <c r="F2358" i="2"/>
  <c r="G2357" i="2"/>
  <c r="F2357" i="2"/>
  <c r="G2356" i="2"/>
  <c r="F2356" i="2"/>
  <c r="G2355" i="2"/>
  <c r="F2355" i="2"/>
  <c r="G2354" i="2"/>
  <c r="F2354" i="2"/>
  <c r="G2353" i="2"/>
  <c r="F2353" i="2"/>
  <c r="G2352" i="2"/>
  <c r="F2352" i="2"/>
  <c r="G2351" i="2"/>
  <c r="F2351" i="2"/>
  <c r="G2350" i="2"/>
  <c r="F2350" i="2"/>
  <c r="G2349" i="2"/>
  <c r="F2349" i="2"/>
  <c r="G2348" i="2"/>
  <c r="F2348" i="2"/>
  <c r="G2347" i="2"/>
  <c r="F2347" i="2"/>
  <c r="G2346" i="2"/>
  <c r="F2346" i="2"/>
  <c r="G2345" i="2"/>
  <c r="F2345" i="2"/>
  <c r="G2344" i="2"/>
  <c r="F2344" i="2"/>
  <c r="G2343" i="2"/>
  <c r="F2343" i="2"/>
  <c r="G2342" i="2"/>
  <c r="F2342" i="2"/>
  <c r="G2341" i="2"/>
  <c r="F2341" i="2"/>
  <c r="G2340" i="2"/>
  <c r="F2340" i="2"/>
  <c r="G2339" i="2"/>
  <c r="F2339" i="2"/>
  <c r="G2338" i="2"/>
  <c r="F2338" i="2"/>
  <c r="G2337" i="2"/>
  <c r="F2337" i="2"/>
  <c r="G2336" i="2"/>
  <c r="F2336" i="2"/>
  <c r="G2335" i="2"/>
  <c r="F2335" i="2"/>
  <c r="G2334" i="2"/>
  <c r="F2334" i="2"/>
  <c r="G2333" i="2"/>
  <c r="F2333" i="2"/>
  <c r="G2332" i="2"/>
  <c r="F2332" i="2"/>
  <c r="G2331" i="2"/>
  <c r="F2331" i="2"/>
  <c r="G2330" i="2"/>
  <c r="F2330" i="2"/>
  <c r="G2329" i="2"/>
  <c r="F2329" i="2"/>
  <c r="G2328" i="2"/>
  <c r="F2328" i="2"/>
  <c r="G2327" i="2"/>
  <c r="F2327" i="2"/>
  <c r="G2326" i="2"/>
  <c r="F2326" i="2"/>
  <c r="G2325" i="2"/>
  <c r="F2325" i="2"/>
  <c r="G2324" i="2"/>
  <c r="F2324" i="2"/>
  <c r="G2323" i="2"/>
  <c r="F2323" i="2"/>
  <c r="G2322" i="2"/>
  <c r="F2322" i="2"/>
  <c r="G2321" i="2"/>
  <c r="F2321" i="2"/>
  <c r="G2320" i="2"/>
  <c r="F2320" i="2"/>
  <c r="G2319" i="2"/>
  <c r="F2319" i="2"/>
  <c r="G2318" i="2"/>
  <c r="F2318" i="2"/>
  <c r="G2317" i="2"/>
  <c r="F2317" i="2"/>
  <c r="G2316" i="2"/>
  <c r="F2316" i="2"/>
  <c r="G2315" i="2"/>
  <c r="F2315" i="2"/>
  <c r="G2314" i="2"/>
  <c r="F2314" i="2"/>
  <c r="G2313" i="2"/>
  <c r="F2313" i="2"/>
  <c r="G2312" i="2"/>
  <c r="F2312" i="2"/>
  <c r="G2311" i="2"/>
  <c r="F2311" i="2"/>
  <c r="G2310" i="2"/>
  <c r="F2310" i="2"/>
  <c r="G2309" i="2"/>
  <c r="F2309" i="2"/>
  <c r="G2308" i="2"/>
  <c r="F2308" i="2"/>
  <c r="G2307" i="2"/>
  <c r="F2307" i="2"/>
  <c r="G2306" i="2"/>
  <c r="F2306" i="2"/>
  <c r="G2305" i="2"/>
  <c r="F2305" i="2"/>
  <c r="G2304" i="2"/>
  <c r="F2304" i="2"/>
  <c r="G2303" i="2"/>
  <c r="F2303" i="2"/>
  <c r="G2302" i="2"/>
  <c r="F2302" i="2"/>
  <c r="G2301" i="2"/>
  <c r="F2301" i="2"/>
  <c r="G2300" i="2"/>
  <c r="F2300" i="2"/>
  <c r="G2299" i="2"/>
  <c r="F2299" i="2"/>
  <c r="G2298" i="2"/>
  <c r="F2298" i="2"/>
  <c r="G2297" i="2"/>
  <c r="F2297" i="2"/>
  <c r="G2296" i="2"/>
  <c r="F2296" i="2"/>
  <c r="G2295" i="2"/>
  <c r="F2295" i="2"/>
  <c r="G2294" i="2"/>
  <c r="F2294" i="2"/>
  <c r="G2293" i="2"/>
  <c r="F2293" i="2"/>
  <c r="G2292" i="2"/>
  <c r="F2292" i="2"/>
  <c r="G2291" i="2"/>
  <c r="F2291" i="2"/>
  <c r="G2290" i="2"/>
  <c r="F2290" i="2"/>
  <c r="G2289" i="2"/>
  <c r="F2289" i="2"/>
  <c r="G2288" i="2"/>
  <c r="F2288" i="2"/>
  <c r="G2287" i="2"/>
  <c r="F2287" i="2"/>
  <c r="G2286" i="2"/>
  <c r="F2286" i="2"/>
  <c r="G2285" i="2"/>
  <c r="F2285" i="2"/>
  <c r="G2284" i="2"/>
  <c r="F2284" i="2"/>
  <c r="G2283" i="2"/>
  <c r="F2283" i="2"/>
  <c r="G2282" i="2"/>
  <c r="F2282" i="2"/>
  <c r="G2281" i="2"/>
  <c r="F2281" i="2"/>
  <c r="G2280" i="2"/>
  <c r="F2280" i="2"/>
  <c r="G2279" i="2"/>
  <c r="F2279" i="2"/>
  <c r="G2278" i="2"/>
  <c r="F2278" i="2"/>
  <c r="G2277" i="2"/>
  <c r="F2277" i="2"/>
  <c r="G2276" i="2"/>
  <c r="F2276" i="2"/>
  <c r="G2275" i="2"/>
  <c r="F2275" i="2"/>
  <c r="G2274" i="2"/>
  <c r="F2274" i="2"/>
  <c r="G2273" i="2"/>
  <c r="F2273" i="2"/>
  <c r="G2272" i="2"/>
  <c r="F2272" i="2"/>
  <c r="G2271" i="2"/>
  <c r="F2271" i="2"/>
  <c r="G2270" i="2"/>
  <c r="F2270" i="2"/>
  <c r="G2269" i="2"/>
  <c r="F2269" i="2"/>
  <c r="G2268" i="2"/>
  <c r="F2268" i="2"/>
  <c r="G2267" i="2"/>
  <c r="F2267" i="2"/>
  <c r="G2266" i="2"/>
  <c r="F2266" i="2"/>
  <c r="G2265" i="2"/>
  <c r="F2265" i="2"/>
  <c r="G2264" i="2"/>
  <c r="F2264" i="2"/>
  <c r="G2263" i="2"/>
  <c r="F2263" i="2"/>
  <c r="G2262" i="2"/>
  <c r="F2262" i="2"/>
  <c r="G2261" i="2"/>
  <c r="F2261" i="2"/>
  <c r="G2260" i="2"/>
  <c r="F2260" i="2"/>
  <c r="G2259" i="2"/>
  <c r="F2259" i="2"/>
  <c r="G2258" i="2"/>
  <c r="F2258" i="2"/>
  <c r="G2257" i="2"/>
  <c r="F2257" i="2"/>
  <c r="G2256" i="2"/>
  <c r="F2256" i="2"/>
  <c r="G2255" i="2"/>
  <c r="F2255" i="2"/>
  <c r="G2254" i="2"/>
  <c r="F2254" i="2"/>
  <c r="G2253" i="2"/>
  <c r="F2253" i="2"/>
  <c r="G2252" i="2"/>
  <c r="F2252" i="2"/>
  <c r="G2251" i="2"/>
  <c r="F2251" i="2"/>
  <c r="G2250" i="2"/>
  <c r="F2250" i="2"/>
  <c r="G2249" i="2"/>
  <c r="F2249" i="2"/>
  <c r="G2248" i="2"/>
  <c r="F2248" i="2"/>
  <c r="G2247" i="2"/>
  <c r="F2247" i="2"/>
  <c r="G2246" i="2"/>
  <c r="F2246" i="2"/>
  <c r="G2245" i="2"/>
  <c r="F2245" i="2"/>
  <c r="G2244" i="2"/>
  <c r="F2244" i="2"/>
  <c r="G2243" i="2"/>
  <c r="F2243" i="2"/>
  <c r="G2242" i="2"/>
  <c r="F2242" i="2"/>
  <c r="G2241" i="2"/>
  <c r="F2241" i="2"/>
  <c r="G2240" i="2"/>
  <c r="F2240" i="2"/>
  <c r="G2239" i="2"/>
  <c r="F2239" i="2"/>
  <c r="G2238" i="2"/>
  <c r="F2238" i="2"/>
  <c r="G2237" i="2"/>
  <c r="F2237" i="2"/>
  <c r="G2236" i="2"/>
  <c r="F2236" i="2"/>
  <c r="G2235" i="2"/>
  <c r="F2235" i="2"/>
  <c r="G2234" i="2"/>
  <c r="F2234" i="2"/>
  <c r="G2233" i="2"/>
  <c r="F2233" i="2"/>
  <c r="G2232" i="2"/>
  <c r="F2232" i="2"/>
  <c r="G2231" i="2"/>
  <c r="F2231" i="2"/>
  <c r="G2230" i="2"/>
  <c r="F2230" i="2"/>
  <c r="G2229" i="2"/>
  <c r="F2229" i="2"/>
  <c r="G2228" i="2"/>
  <c r="F2228" i="2"/>
  <c r="G2227" i="2"/>
  <c r="F2227" i="2"/>
  <c r="G2226" i="2"/>
  <c r="F2226" i="2"/>
  <c r="G2225" i="2"/>
  <c r="F2225" i="2"/>
  <c r="G2224" i="2"/>
  <c r="F2224" i="2"/>
  <c r="G2223" i="2"/>
  <c r="F2223" i="2"/>
  <c r="G2222" i="2"/>
  <c r="F2222" i="2"/>
  <c r="G2221" i="2"/>
  <c r="F2221" i="2"/>
  <c r="G2220" i="2"/>
  <c r="F2220" i="2"/>
  <c r="G2219" i="2"/>
  <c r="F2219" i="2"/>
  <c r="G2218" i="2"/>
  <c r="F2218" i="2"/>
  <c r="G2217" i="2"/>
  <c r="F2217" i="2"/>
  <c r="G2216" i="2"/>
  <c r="F2216" i="2"/>
  <c r="G2215" i="2"/>
  <c r="F2215" i="2"/>
  <c r="G2214" i="2"/>
  <c r="F2214" i="2"/>
  <c r="G2213" i="2"/>
  <c r="F2213" i="2"/>
  <c r="G2212" i="2"/>
  <c r="F2212" i="2"/>
  <c r="G2211" i="2"/>
  <c r="F2211" i="2"/>
  <c r="G2210" i="2"/>
  <c r="F2210" i="2"/>
  <c r="G2209" i="2"/>
  <c r="F2209" i="2"/>
  <c r="G2208" i="2"/>
  <c r="F2208" i="2"/>
  <c r="G2207" i="2"/>
  <c r="F2207" i="2"/>
  <c r="G2206" i="2"/>
  <c r="F2206" i="2"/>
  <c r="G2205" i="2"/>
  <c r="F2205" i="2"/>
  <c r="G2204" i="2"/>
  <c r="F2204" i="2"/>
  <c r="G2203" i="2"/>
  <c r="F2203" i="2"/>
  <c r="G2202" i="2"/>
  <c r="F2202" i="2"/>
  <c r="G2201" i="2"/>
  <c r="F2201" i="2"/>
  <c r="G2200" i="2"/>
  <c r="F2200" i="2"/>
  <c r="G2199" i="2"/>
  <c r="F2199" i="2"/>
  <c r="G2198" i="2"/>
  <c r="F2198" i="2"/>
  <c r="G2197" i="2"/>
  <c r="F2197" i="2"/>
  <c r="G2196" i="2"/>
  <c r="F2196" i="2"/>
  <c r="G2195" i="2"/>
  <c r="F2195" i="2"/>
  <c r="G2194" i="2"/>
  <c r="F2194" i="2"/>
  <c r="G2193" i="2"/>
  <c r="F2193" i="2"/>
  <c r="G2192" i="2"/>
  <c r="F2192" i="2"/>
  <c r="G2191" i="2"/>
  <c r="F2191" i="2"/>
  <c r="G2190" i="2"/>
  <c r="F2190" i="2"/>
  <c r="G2189" i="2"/>
  <c r="F2189" i="2"/>
  <c r="G2188" i="2"/>
  <c r="F2188" i="2"/>
  <c r="G2187" i="2"/>
  <c r="F2187" i="2"/>
  <c r="G2186" i="2"/>
  <c r="F2186" i="2"/>
  <c r="G2185" i="2"/>
  <c r="F2185" i="2"/>
  <c r="G2184" i="2"/>
  <c r="F2184" i="2"/>
  <c r="G2183" i="2"/>
  <c r="F2183" i="2"/>
  <c r="G2182" i="2"/>
  <c r="F2182" i="2"/>
  <c r="G2181" i="2"/>
  <c r="F2181" i="2"/>
  <c r="G2180" i="2"/>
  <c r="F2180" i="2"/>
  <c r="G2179" i="2"/>
  <c r="F2179" i="2"/>
  <c r="G2178" i="2"/>
  <c r="F2178" i="2"/>
  <c r="G2177" i="2"/>
  <c r="F2177" i="2"/>
  <c r="G2176" i="2"/>
  <c r="F2176" i="2"/>
  <c r="G2175" i="2"/>
  <c r="F2175" i="2"/>
  <c r="G2174" i="2"/>
  <c r="F2174" i="2"/>
  <c r="G2173" i="2"/>
  <c r="F2173" i="2"/>
  <c r="G2172" i="2"/>
  <c r="F2172" i="2"/>
  <c r="G2171" i="2"/>
  <c r="F2171" i="2"/>
  <c r="G2170" i="2"/>
  <c r="F2170" i="2"/>
  <c r="G2169" i="2"/>
  <c r="F2169" i="2"/>
  <c r="G2168" i="2"/>
  <c r="F2168" i="2"/>
  <c r="G2167" i="2"/>
  <c r="F2167" i="2"/>
  <c r="G2166" i="2"/>
  <c r="F2166" i="2"/>
  <c r="G2165" i="2"/>
  <c r="F2165" i="2"/>
  <c r="G2164" i="2"/>
  <c r="F2164" i="2"/>
  <c r="G2163" i="2"/>
  <c r="F2163" i="2"/>
  <c r="G2162" i="2"/>
  <c r="F2162" i="2"/>
  <c r="G2161" i="2"/>
  <c r="F2161" i="2"/>
  <c r="G2160" i="2"/>
  <c r="F2160" i="2"/>
  <c r="G2159" i="2"/>
  <c r="F2159" i="2"/>
  <c r="G2158" i="2"/>
  <c r="F2158" i="2"/>
  <c r="G2157" i="2"/>
  <c r="F2157" i="2"/>
  <c r="G2156" i="2"/>
  <c r="F2156" i="2"/>
  <c r="G2155" i="2"/>
  <c r="F2155" i="2"/>
  <c r="G2154" i="2"/>
  <c r="F2154" i="2"/>
  <c r="G2153" i="2"/>
  <c r="F2153" i="2"/>
  <c r="G2152" i="2"/>
  <c r="F2152" i="2"/>
  <c r="G2151" i="2"/>
  <c r="F2151" i="2"/>
  <c r="G2150" i="2"/>
  <c r="F2150" i="2"/>
  <c r="G2149" i="2"/>
  <c r="F2149" i="2"/>
  <c r="G2148" i="2"/>
  <c r="F2148" i="2"/>
  <c r="G2147" i="2"/>
  <c r="F2147" i="2"/>
  <c r="G2146" i="2"/>
  <c r="F2146" i="2"/>
  <c r="G2145" i="2"/>
  <c r="F2145" i="2"/>
  <c r="G2144" i="2"/>
  <c r="F2144" i="2"/>
  <c r="G2143" i="2"/>
  <c r="F2143" i="2"/>
  <c r="G2142" i="2"/>
  <c r="F2142" i="2"/>
  <c r="G2141" i="2"/>
  <c r="F2141" i="2"/>
  <c r="G2140" i="2"/>
  <c r="F2140" i="2"/>
  <c r="G2139" i="2"/>
  <c r="F2139" i="2"/>
  <c r="G2138" i="2"/>
  <c r="F2138" i="2"/>
  <c r="G2137" i="2"/>
  <c r="F2137" i="2"/>
  <c r="G2136" i="2"/>
  <c r="F2136" i="2"/>
  <c r="G2135" i="2"/>
  <c r="F2135" i="2"/>
  <c r="G2134" i="2"/>
  <c r="F2134" i="2"/>
  <c r="G2133" i="2"/>
  <c r="F2133" i="2"/>
  <c r="G2132" i="2"/>
  <c r="F2132" i="2"/>
  <c r="G2131" i="2"/>
  <c r="F2131" i="2"/>
  <c r="G2130" i="2"/>
  <c r="F2130" i="2"/>
  <c r="G2129" i="2"/>
  <c r="F2129" i="2"/>
  <c r="G2128" i="2"/>
  <c r="F2128" i="2"/>
  <c r="G2127" i="2"/>
  <c r="F2127" i="2"/>
  <c r="G2126" i="2"/>
  <c r="F2126" i="2"/>
  <c r="G2125" i="2"/>
  <c r="F2125" i="2"/>
  <c r="G2124" i="2"/>
  <c r="F2124" i="2"/>
  <c r="G2123" i="2"/>
  <c r="F2123" i="2"/>
  <c r="G2122" i="2"/>
  <c r="F2122" i="2"/>
  <c r="G2121" i="2"/>
  <c r="F2121" i="2"/>
  <c r="G2120" i="2"/>
  <c r="F2120" i="2"/>
  <c r="G2119" i="2"/>
  <c r="F2119" i="2"/>
  <c r="G2118" i="2"/>
  <c r="F2118" i="2"/>
  <c r="G2117" i="2"/>
  <c r="F2117" i="2"/>
  <c r="G2116" i="2"/>
  <c r="F2116" i="2"/>
  <c r="G2115" i="2"/>
  <c r="F2115" i="2"/>
  <c r="G2114" i="2"/>
  <c r="F2114" i="2"/>
  <c r="G2113" i="2"/>
  <c r="F2113" i="2"/>
  <c r="G2112" i="2"/>
  <c r="F2112" i="2"/>
  <c r="G2111" i="2"/>
  <c r="F2111" i="2"/>
  <c r="G2110" i="2"/>
  <c r="F2110" i="2"/>
  <c r="G2109" i="2"/>
  <c r="F2109" i="2"/>
  <c r="G2108" i="2"/>
  <c r="F2108" i="2"/>
  <c r="G2107" i="2"/>
  <c r="F2107" i="2"/>
  <c r="G2106" i="2"/>
  <c r="F2106" i="2"/>
  <c r="G2105" i="2"/>
  <c r="F2105" i="2"/>
  <c r="G2104" i="2"/>
  <c r="F2104" i="2"/>
  <c r="G2103" i="2"/>
  <c r="F2103" i="2"/>
  <c r="G2102" i="2"/>
  <c r="F2102" i="2"/>
  <c r="G2101" i="2"/>
  <c r="F2101" i="2"/>
  <c r="G2100" i="2"/>
  <c r="F2100" i="2"/>
  <c r="G2099" i="2"/>
  <c r="F2099" i="2"/>
  <c r="G2098" i="2"/>
  <c r="F2098" i="2"/>
  <c r="G2097" i="2"/>
  <c r="F2097" i="2"/>
  <c r="G2096" i="2"/>
  <c r="F2096" i="2"/>
  <c r="G2095" i="2"/>
  <c r="F2095" i="2"/>
  <c r="G2094" i="2"/>
  <c r="F2094" i="2"/>
  <c r="G2093" i="2"/>
  <c r="F2093" i="2"/>
  <c r="G2092" i="2"/>
  <c r="F2092" i="2"/>
  <c r="G2091" i="2"/>
  <c r="F2091" i="2"/>
  <c r="G2090" i="2"/>
  <c r="F2090" i="2"/>
  <c r="G2089" i="2"/>
  <c r="F2089" i="2"/>
  <c r="G2088" i="2"/>
  <c r="F2088" i="2"/>
  <c r="G2087" i="2"/>
  <c r="F2087" i="2"/>
  <c r="G2086" i="2"/>
  <c r="F2086" i="2"/>
  <c r="G2085" i="2"/>
  <c r="F2085" i="2"/>
  <c r="G2084" i="2"/>
  <c r="F2084" i="2"/>
  <c r="G2083" i="2"/>
  <c r="F2083" i="2"/>
  <c r="G2082" i="2"/>
  <c r="F2082" i="2"/>
  <c r="G2081" i="2"/>
  <c r="F2081" i="2"/>
  <c r="G2080" i="2"/>
  <c r="F2080" i="2"/>
  <c r="G2079" i="2"/>
  <c r="F2079" i="2"/>
  <c r="G2078" i="2"/>
  <c r="F2078" i="2"/>
  <c r="G2077" i="2"/>
  <c r="F2077" i="2"/>
  <c r="G2076" i="2"/>
  <c r="F2076" i="2"/>
  <c r="G2075" i="2"/>
  <c r="F2075" i="2"/>
  <c r="G2074" i="2"/>
  <c r="F2074" i="2"/>
  <c r="G2073" i="2"/>
  <c r="F2073" i="2"/>
  <c r="G2072" i="2"/>
  <c r="F2072" i="2"/>
  <c r="G2071" i="2"/>
  <c r="F2071" i="2"/>
  <c r="G2070" i="2"/>
  <c r="F2070" i="2"/>
  <c r="G2069" i="2"/>
  <c r="F2069" i="2"/>
  <c r="G2068" i="2"/>
  <c r="F2068" i="2"/>
  <c r="G2067" i="2"/>
  <c r="F2067" i="2"/>
  <c r="G2066" i="2"/>
  <c r="F2066" i="2"/>
  <c r="G2065" i="2"/>
  <c r="F2065" i="2"/>
  <c r="G2064" i="2"/>
  <c r="F2064" i="2"/>
  <c r="G2063" i="2"/>
  <c r="F2063" i="2"/>
  <c r="G2062" i="2"/>
  <c r="F2062" i="2"/>
  <c r="G2061" i="2"/>
  <c r="F2061" i="2"/>
  <c r="G2060" i="2"/>
  <c r="F2060" i="2"/>
  <c r="G2059" i="2"/>
  <c r="F2059" i="2"/>
  <c r="G2058" i="2"/>
  <c r="F2058" i="2"/>
  <c r="G2057" i="2"/>
  <c r="F2057" i="2"/>
  <c r="G2056" i="2"/>
  <c r="F2056" i="2"/>
  <c r="G2055" i="2"/>
  <c r="F2055" i="2"/>
  <c r="G2054" i="2"/>
  <c r="F2054" i="2"/>
  <c r="G2053" i="2"/>
  <c r="F2053" i="2"/>
  <c r="G2052" i="2"/>
  <c r="F2052" i="2"/>
  <c r="G2051" i="2"/>
  <c r="F2051" i="2"/>
  <c r="G2050" i="2"/>
  <c r="F2050" i="2"/>
  <c r="G2049" i="2"/>
  <c r="F2049" i="2"/>
  <c r="G2048" i="2"/>
  <c r="F2048" i="2"/>
  <c r="G2047" i="2"/>
  <c r="F2047" i="2"/>
  <c r="G2046" i="2"/>
  <c r="F2046" i="2"/>
  <c r="G2045" i="2"/>
  <c r="F2045" i="2"/>
  <c r="G2044" i="2"/>
  <c r="F2044" i="2"/>
  <c r="G2043" i="2"/>
  <c r="F2043" i="2"/>
  <c r="G2042" i="2"/>
  <c r="F2042" i="2"/>
  <c r="G2041" i="2"/>
  <c r="F2041" i="2"/>
  <c r="G2040" i="2"/>
  <c r="F2040" i="2"/>
  <c r="G2039" i="2"/>
  <c r="F2039" i="2"/>
  <c r="G2038" i="2"/>
  <c r="F2038" i="2"/>
  <c r="G2037" i="2"/>
  <c r="F2037" i="2"/>
  <c r="G2036" i="2"/>
  <c r="F2036" i="2"/>
  <c r="G2035" i="2"/>
  <c r="F2035" i="2"/>
  <c r="G2034" i="2"/>
  <c r="F2034" i="2"/>
  <c r="G2033" i="2"/>
  <c r="F2033" i="2"/>
  <c r="G2032" i="2"/>
  <c r="F2032" i="2"/>
  <c r="G2031" i="2"/>
  <c r="F2031" i="2"/>
  <c r="G2030" i="2"/>
  <c r="F2030" i="2"/>
  <c r="G2029" i="2"/>
  <c r="F2029" i="2"/>
  <c r="G2028" i="2"/>
  <c r="F2028" i="2"/>
  <c r="G2027" i="2"/>
  <c r="F2027" i="2"/>
  <c r="G2026" i="2"/>
  <c r="F2026" i="2"/>
  <c r="G2025" i="2"/>
  <c r="F2025" i="2"/>
  <c r="G2024" i="2"/>
  <c r="F2024" i="2"/>
  <c r="G2023" i="2"/>
  <c r="F2023" i="2"/>
  <c r="G2022" i="2"/>
  <c r="F2022" i="2"/>
  <c r="G2021" i="2"/>
  <c r="F2021" i="2"/>
  <c r="G2020" i="2"/>
  <c r="F2020" i="2"/>
  <c r="G2019" i="2"/>
  <c r="F2019" i="2"/>
  <c r="G2018" i="2"/>
  <c r="F2018" i="2"/>
  <c r="G2017" i="2"/>
  <c r="F2017" i="2"/>
  <c r="G2016" i="2"/>
  <c r="F2016" i="2"/>
  <c r="G2015" i="2"/>
  <c r="F2015" i="2"/>
  <c r="G2014" i="2"/>
  <c r="F2014" i="2"/>
  <c r="G2013" i="2"/>
  <c r="F2013" i="2"/>
  <c r="G2012" i="2"/>
  <c r="F2012" i="2"/>
  <c r="G2011" i="2"/>
  <c r="F2011" i="2"/>
  <c r="G2010" i="2"/>
  <c r="F2010" i="2"/>
  <c r="G2009" i="2"/>
  <c r="F2009" i="2"/>
  <c r="G2008" i="2"/>
  <c r="F2008" i="2"/>
  <c r="G2007" i="2"/>
  <c r="F2007" i="2"/>
  <c r="G2006" i="2"/>
  <c r="F2006" i="2"/>
  <c r="G2005" i="2"/>
  <c r="F2005" i="2"/>
  <c r="G2004" i="2"/>
  <c r="F2004" i="2"/>
  <c r="G2003" i="2"/>
  <c r="F2003" i="2"/>
  <c r="G2002" i="2"/>
  <c r="F2002" i="2"/>
  <c r="G2001" i="2"/>
  <c r="F2001" i="2"/>
  <c r="G2000" i="2"/>
  <c r="F2000" i="2"/>
  <c r="G1999" i="2"/>
  <c r="F1999" i="2"/>
  <c r="G1998" i="2"/>
  <c r="F1998" i="2"/>
  <c r="G1997" i="2"/>
  <c r="F1997" i="2"/>
  <c r="G1996" i="2"/>
  <c r="F1996" i="2"/>
  <c r="G1995" i="2"/>
  <c r="F1995" i="2"/>
  <c r="G1994" i="2"/>
  <c r="F1994" i="2"/>
  <c r="G1993" i="2"/>
  <c r="F1993" i="2"/>
  <c r="G1992" i="2"/>
  <c r="F1992" i="2"/>
  <c r="G1991" i="2"/>
  <c r="F1991" i="2"/>
  <c r="G1990" i="2"/>
  <c r="F1990" i="2"/>
  <c r="G1989" i="2"/>
  <c r="F1989" i="2"/>
  <c r="G1988" i="2"/>
  <c r="F1988" i="2"/>
  <c r="G1987" i="2"/>
  <c r="F1987" i="2"/>
  <c r="G1986" i="2"/>
  <c r="F1986" i="2"/>
  <c r="G1985" i="2"/>
  <c r="F1985" i="2"/>
  <c r="G1984" i="2"/>
  <c r="F1984" i="2"/>
  <c r="G1983" i="2"/>
  <c r="F1983" i="2"/>
  <c r="G1982" i="2"/>
  <c r="F1982" i="2"/>
  <c r="G1981" i="2"/>
  <c r="F1981" i="2"/>
  <c r="G1980" i="2"/>
  <c r="F1980" i="2"/>
  <c r="G1979" i="2"/>
  <c r="F1979" i="2"/>
  <c r="G1978" i="2"/>
  <c r="F1978" i="2"/>
  <c r="G1977" i="2"/>
  <c r="F1977" i="2"/>
  <c r="G1976" i="2"/>
  <c r="F1976" i="2"/>
  <c r="G1975" i="2"/>
  <c r="F1975" i="2"/>
  <c r="G1974" i="2"/>
  <c r="F1974" i="2"/>
  <c r="G1973" i="2"/>
  <c r="F1973" i="2"/>
  <c r="G1972" i="2"/>
  <c r="F1972" i="2"/>
  <c r="G1971" i="2"/>
  <c r="F1971" i="2"/>
  <c r="G1970" i="2"/>
  <c r="F1970" i="2"/>
  <c r="G1969" i="2"/>
  <c r="F1969" i="2"/>
  <c r="G1968" i="2"/>
  <c r="F1968" i="2"/>
  <c r="G1967" i="2"/>
  <c r="F1967" i="2"/>
  <c r="G1966" i="2"/>
  <c r="F1966" i="2"/>
  <c r="G1965" i="2"/>
  <c r="F1965" i="2"/>
  <c r="G1964" i="2"/>
  <c r="F1964" i="2"/>
  <c r="G1963" i="2"/>
  <c r="F1963" i="2"/>
  <c r="G1962" i="2"/>
  <c r="F1962" i="2"/>
  <c r="G1961" i="2"/>
  <c r="F1961" i="2"/>
  <c r="G1960" i="2"/>
  <c r="F1960" i="2"/>
  <c r="G1959" i="2"/>
  <c r="F1959" i="2"/>
  <c r="G1958" i="2"/>
  <c r="F1958" i="2"/>
  <c r="G1957" i="2"/>
  <c r="F1957" i="2"/>
  <c r="G1956" i="2"/>
  <c r="F1956" i="2"/>
  <c r="G1955" i="2"/>
  <c r="F1955" i="2"/>
  <c r="G1954" i="2"/>
  <c r="F1954" i="2"/>
  <c r="G1953" i="2"/>
  <c r="F1953" i="2"/>
  <c r="G1952" i="2"/>
  <c r="F1952" i="2"/>
  <c r="G1951" i="2"/>
  <c r="F1951" i="2"/>
  <c r="G1950" i="2"/>
  <c r="F1950" i="2"/>
  <c r="G1949" i="2"/>
  <c r="F1949" i="2"/>
  <c r="G1948" i="2"/>
  <c r="F1948" i="2"/>
  <c r="G1947" i="2"/>
  <c r="F1947" i="2"/>
  <c r="G1946" i="2"/>
  <c r="F1946" i="2"/>
  <c r="G1945" i="2"/>
  <c r="F1945" i="2"/>
  <c r="G1944" i="2"/>
  <c r="F1944" i="2"/>
  <c r="G1943" i="2"/>
  <c r="F1943" i="2"/>
  <c r="G1942" i="2"/>
  <c r="F1942" i="2"/>
  <c r="G1941" i="2"/>
  <c r="F1941" i="2"/>
  <c r="G1940" i="2"/>
  <c r="F1940" i="2"/>
  <c r="G1939" i="2"/>
  <c r="F1939" i="2"/>
  <c r="G1938" i="2"/>
  <c r="F1938" i="2"/>
  <c r="G1937" i="2"/>
  <c r="F1937" i="2"/>
  <c r="G1936" i="2"/>
  <c r="F1936" i="2"/>
  <c r="G1935" i="2"/>
  <c r="F1935" i="2"/>
  <c r="G1934" i="2"/>
  <c r="F1934" i="2"/>
  <c r="G1933" i="2"/>
  <c r="F1933" i="2"/>
  <c r="G1932" i="2"/>
  <c r="F1932" i="2"/>
  <c r="G1931" i="2"/>
  <c r="F1931" i="2"/>
  <c r="G1930" i="2"/>
  <c r="F1930" i="2"/>
  <c r="G1929" i="2"/>
  <c r="F1929" i="2"/>
  <c r="G1928" i="2"/>
  <c r="F1928" i="2"/>
  <c r="G1927" i="2"/>
  <c r="F1927" i="2"/>
  <c r="G1926" i="2"/>
  <c r="F1926" i="2"/>
  <c r="G1925" i="2"/>
  <c r="F1925" i="2"/>
  <c r="G1924" i="2"/>
  <c r="F1924" i="2"/>
  <c r="G1923" i="2"/>
  <c r="F1923" i="2"/>
  <c r="G1922" i="2"/>
  <c r="F1922" i="2"/>
  <c r="G1921" i="2"/>
  <c r="F1921" i="2"/>
  <c r="G1920" i="2"/>
  <c r="F1920" i="2"/>
  <c r="G1919" i="2"/>
  <c r="F1919" i="2"/>
  <c r="G1918" i="2"/>
  <c r="F1918" i="2"/>
  <c r="G1917" i="2"/>
  <c r="F1917" i="2"/>
  <c r="G1916" i="2"/>
  <c r="F1916" i="2"/>
  <c r="G1915" i="2"/>
  <c r="F1915" i="2"/>
  <c r="G1914" i="2"/>
  <c r="F1914" i="2"/>
  <c r="G1913" i="2"/>
  <c r="F1913" i="2"/>
  <c r="G1912" i="2"/>
  <c r="F1912" i="2"/>
  <c r="G1911" i="2"/>
  <c r="F1911" i="2"/>
  <c r="G1910" i="2"/>
  <c r="F1910" i="2"/>
  <c r="G1909" i="2"/>
  <c r="F1909" i="2"/>
  <c r="G1908" i="2"/>
  <c r="F1908" i="2"/>
  <c r="G1907" i="2"/>
  <c r="F1907" i="2"/>
  <c r="G1906" i="2"/>
  <c r="F1906" i="2"/>
  <c r="G1905" i="2"/>
  <c r="F1905" i="2"/>
  <c r="G1904" i="2"/>
  <c r="F1904" i="2"/>
  <c r="G1903" i="2"/>
  <c r="F1903" i="2"/>
  <c r="G1902" i="2"/>
  <c r="F1902" i="2"/>
  <c r="G1901" i="2"/>
  <c r="F1901" i="2"/>
  <c r="G1900" i="2"/>
  <c r="F1900" i="2"/>
  <c r="G1899" i="2"/>
  <c r="F1899" i="2"/>
  <c r="G1898" i="2"/>
  <c r="F1898" i="2"/>
  <c r="G1897" i="2"/>
  <c r="F1897" i="2"/>
  <c r="G1896" i="2"/>
  <c r="F1896" i="2"/>
  <c r="G1895" i="2"/>
  <c r="F1895" i="2"/>
  <c r="G1894" i="2"/>
  <c r="F1894" i="2"/>
  <c r="G1893" i="2"/>
  <c r="F1893" i="2"/>
  <c r="G1892" i="2"/>
  <c r="F1892" i="2"/>
  <c r="G1891" i="2"/>
  <c r="F1891" i="2"/>
  <c r="G1890" i="2"/>
  <c r="F1890" i="2"/>
  <c r="G1889" i="2"/>
  <c r="F1889" i="2"/>
  <c r="G1888" i="2"/>
  <c r="F1888" i="2"/>
  <c r="G1887" i="2"/>
  <c r="F1887" i="2"/>
  <c r="G1886" i="2"/>
  <c r="F1886" i="2"/>
  <c r="G1885" i="2"/>
  <c r="F1885" i="2"/>
  <c r="G1884" i="2"/>
  <c r="F1884" i="2"/>
  <c r="G1883" i="2"/>
  <c r="F1883" i="2"/>
  <c r="G1882" i="2"/>
  <c r="F1882" i="2"/>
  <c r="G1881" i="2"/>
  <c r="F1881" i="2"/>
  <c r="G1880" i="2"/>
  <c r="F1880" i="2"/>
  <c r="G1879" i="2"/>
  <c r="F1879" i="2"/>
  <c r="G1878" i="2"/>
  <c r="F1878" i="2"/>
  <c r="G1877" i="2"/>
  <c r="F1877" i="2"/>
  <c r="G1876" i="2"/>
  <c r="F1876" i="2"/>
  <c r="G1875" i="2"/>
  <c r="F1875" i="2"/>
  <c r="G1874" i="2"/>
  <c r="F1874" i="2"/>
  <c r="G1873" i="2"/>
  <c r="F1873" i="2"/>
  <c r="G1872" i="2"/>
  <c r="F1872" i="2"/>
  <c r="G1871" i="2"/>
  <c r="F1871" i="2"/>
  <c r="G1870" i="2"/>
  <c r="F1870" i="2"/>
  <c r="G1869" i="2"/>
  <c r="F1869" i="2"/>
  <c r="G1868" i="2"/>
  <c r="F1868" i="2"/>
  <c r="G1867" i="2"/>
  <c r="F1867" i="2"/>
  <c r="G1866" i="2"/>
  <c r="F1866" i="2"/>
  <c r="G1865" i="2"/>
  <c r="F1865" i="2"/>
  <c r="G1864" i="2"/>
  <c r="F1864" i="2"/>
  <c r="G1863" i="2"/>
  <c r="F1863" i="2"/>
  <c r="G1862" i="2"/>
  <c r="F1862" i="2"/>
  <c r="G1861" i="2"/>
  <c r="F1861" i="2"/>
  <c r="G1860" i="2"/>
  <c r="F1860" i="2"/>
  <c r="G1859" i="2"/>
  <c r="F1859" i="2"/>
  <c r="G1858" i="2"/>
  <c r="F1858" i="2"/>
  <c r="G1857" i="2"/>
  <c r="F1857" i="2"/>
  <c r="G1856" i="2"/>
  <c r="F1856" i="2"/>
  <c r="G1855" i="2"/>
  <c r="F1855" i="2"/>
  <c r="G1854" i="2"/>
  <c r="F1854" i="2"/>
  <c r="G1853" i="2"/>
  <c r="F1853" i="2"/>
  <c r="G1852" i="2"/>
  <c r="F1852" i="2"/>
  <c r="G1851" i="2"/>
  <c r="F1851" i="2"/>
  <c r="G1850" i="2"/>
  <c r="F1850" i="2"/>
  <c r="G1849" i="2"/>
  <c r="F1849" i="2"/>
  <c r="G1848" i="2"/>
  <c r="F1848" i="2"/>
  <c r="G1847" i="2"/>
  <c r="F1847" i="2"/>
  <c r="G1846" i="2"/>
  <c r="F1846" i="2"/>
  <c r="G1845" i="2"/>
  <c r="F1845" i="2"/>
  <c r="G1844" i="2"/>
  <c r="F1844" i="2"/>
  <c r="G1843" i="2"/>
  <c r="F1843" i="2"/>
  <c r="G1842" i="2"/>
  <c r="F1842" i="2"/>
  <c r="G1841" i="2"/>
  <c r="F1841" i="2"/>
  <c r="G1840" i="2"/>
  <c r="F1840" i="2"/>
  <c r="G1839" i="2"/>
  <c r="F1839" i="2"/>
  <c r="G1838" i="2"/>
  <c r="F1838" i="2"/>
  <c r="G1837" i="2"/>
  <c r="F1837" i="2"/>
  <c r="G1836" i="2"/>
  <c r="F1836" i="2"/>
  <c r="G1835" i="2"/>
  <c r="F1835" i="2"/>
  <c r="G1834" i="2"/>
  <c r="F1834" i="2"/>
  <c r="G1833" i="2"/>
  <c r="F1833" i="2"/>
  <c r="G1832" i="2"/>
  <c r="F1832" i="2"/>
  <c r="G1831" i="2"/>
  <c r="F1831" i="2"/>
  <c r="G1830" i="2"/>
  <c r="F1830" i="2"/>
  <c r="G1829" i="2"/>
  <c r="F1829" i="2"/>
  <c r="G1828" i="2"/>
  <c r="F1828" i="2"/>
  <c r="G1827" i="2"/>
  <c r="F1827" i="2"/>
  <c r="G1826" i="2"/>
  <c r="F1826" i="2"/>
  <c r="G1825" i="2"/>
  <c r="F1825" i="2"/>
  <c r="G1824" i="2"/>
  <c r="F1824" i="2"/>
  <c r="G1823" i="2"/>
  <c r="F1823" i="2"/>
  <c r="G1822" i="2"/>
  <c r="F1822" i="2"/>
  <c r="G1821" i="2"/>
  <c r="F1821" i="2"/>
  <c r="G1820" i="2"/>
  <c r="F1820" i="2"/>
  <c r="G1819" i="2"/>
  <c r="F1819" i="2"/>
  <c r="G1818" i="2"/>
  <c r="F1818" i="2"/>
  <c r="G1817" i="2"/>
  <c r="F1817" i="2"/>
  <c r="G1816" i="2"/>
  <c r="F1816" i="2"/>
  <c r="G1815" i="2"/>
  <c r="F1815" i="2"/>
  <c r="G1814" i="2"/>
  <c r="F1814" i="2"/>
  <c r="G1813" i="2"/>
  <c r="F1813" i="2"/>
  <c r="G1812" i="2"/>
  <c r="F1812" i="2"/>
  <c r="G1811" i="2"/>
  <c r="F1811" i="2"/>
  <c r="G1810" i="2"/>
  <c r="F1810" i="2"/>
  <c r="G1809" i="2"/>
  <c r="F1809" i="2"/>
  <c r="G1808" i="2"/>
  <c r="F1808" i="2"/>
  <c r="G1807" i="2"/>
  <c r="F1807" i="2"/>
  <c r="G1806" i="2"/>
  <c r="F1806" i="2"/>
  <c r="G1805" i="2"/>
  <c r="F1805" i="2"/>
  <c r="G1804" i="2"/>
  <c r="F1804" i="2"/>
  <c r="G1803" i="2"/>
  <c r="F1803" i="2"/>
  <c r="G1802" i="2"/>
  <c r="F1802" i="2"/>
  <c r="G1801" i="2"/>
  <c r="F1801" i="2"/>
  <c r="G1800" i="2"/>
  <c r="F1800" i="2"/>
  <c r="G1799" i="2"/>
  <c r="F1799" i="2"/>
  <c r="G1798" i="2"/>
  <c r="F1798" i="2"/>
  <c r="G1797" i="2"/>
  <c r="F1797" i="2"/>
  <c r="G1796" i="2"/>
  <c r="F1796" i="2"/>
  <c r="G1795" i="2"/>
  <c r="F1795" i="2"/>
  <c r="G1794" i="2"/>
  <c r="F1794" i="2"/>
  <c r="G1793" i="2"/>
  <c r="F1793" i="2"/>
  <c r="G1792" i="2"/>
  <c r="F1792" i="2"/>
  <c r="G1791" i="2"/>
  <c r="F1791" i="2"/>
  <c r="G1790" i="2"/>
  <c r="F1790" i="2"/>
  <c r="G1789" i="2"/>
  <c r="F1789" i="2"/>
  <c r="G1788" i="2"/>
  <c r="F1788" i="2"/>
  <c r="G1787" i="2"/>
  <c r="F1787" i="2"/>
  <c r="G1786" i="2"/>
  <c r="F1786" i="2"/>
  <c r="G1785" i="2"/>
  <c r="F1785" i="2"/>
  <c r="G1784" i="2"/>
  <c r="F1784" i="2"/>
  <c r="G1783" i="2"/>
  <c r="F1783" i="2"/>
  <c r="G1782" i="2"/>
  <c r="F1782" i="2"/>
  <c r="G1781" i="2"/>
  <c r="F1781" i="2"/>
  <c r="G1780" i="2"/>
  <c r="F1780" i="2"/>
  <c r="G1779" i="2"/>
  <c r="F1779" i="2"/>
  <c r="G1778" i="2"/>
  <c r="F1778" i="2"/>
  <c r="G1777" i="2"/>
  <c r="F1777" i="2"/>
  <c r="G1776" i="2"/>
  <c r="F1776" i="2"/>
  <c r="G1775" i="2"/>
  <c r="F1775" i="2"/>
  <c r="G1774" i="2"/>
  <c r="F1774" i="2"/>
  <c r="G1773" i="2"/>
  <c r="F1773" i="2"/>
  <c r="G1772" i="2"/>
  <c r="F1772" i="2"/>
  <c r="G1771" i="2"/>
  <c r="F1771" i="2"/>
  <c r="G1770" i="2"/>
  <c r="F1770" i="2"/>
  <c r="G1769" i="2"/>
  <c r="F1769" i="2"/>
  <c r="G1768" i="2"/>
  <c r="F1768" i="2"/>
  <c r="G1767" i="2"/>
  <c r="F1767" i="2"/>
  <c r="G1766" i="2"/>
  <c r="F1766" i="2"/>
  <c r="G1765" i="2"/>
  <c r="F1765" i="2"/>
  <c r="G1764" i="2"/>
  <c r="F1764" i="2"/>
  <c r="G1763" i="2"/>
  <c r="F1763" i="2"/>
  <c r="G1762" i="2"/>
  <c r="F1762" i="2"/>
  <c r="G1761" i="2"/>
  <c r="F1761" i="2"/>
  <c r="G1760" i="2"/>
  <c r="F1760" i="2"/>
  <c r="G1759" i="2"/>
  <c r="F1759" i="2"/>
  <c r="G1758" i="2"/>
  <c r="F1758" i="2"/>
  <c r="G1757" i="2"/>
  <c r="F1757" i="2"/>
  <c r="G1756" i="2"/>
  <c r="F1756" i="2"/>
  <c r="G1755" i="2"/>
  <c r="F1755" i="2"/>
  <c r="G1754" i="2"/>
  <c r="F1754" i="2"/>
  <c r="G1753" i="2"/>
  <c r="F1753" i="2"/>
  <c r="G1752" i="2"/>
  <c r="F1752" i="2"/>
  <c r="G1751" i="2"/>
  <c r="F1751" i="2"/>
  <c r="G1750" i="2"/>
  <c r="F1750" i="2"/>
  <c r="G1749" i="2"/>
  <c r="F1749" i="2"/>
  <c r="G1748" i="2"/>
  <c r="F1748" i="2"/>
  <c r="G1747" i="2"/>
  <c r="F1747" i="2"/>
  <c r="G1746" i="2"/>
  <c r="F1746" i="2"/>
  <c r="G1745" i="2"/>
  <c r="F1745" i="2"/>
  <c r="G1744" i="2"/>
  <c r="F1744" i="2"/>
  <c r="G1743" i="2"/>
  <c r="F1743" i="2"/>
  <c r="G1742" i="2"/>
  <c r="F1742" i="2"/>
  <c r="G1741" i="2"/>
  <c r="F1741" i="2"/>
  <c r="G1740" i="2"/>
  <c r="F1740" i="2"/>
  <c r="G1739" i="2"/>
  <c r="F1739" i="2"/>
  <c r="G1738" i="2"/>
  <c r="F1738" i="2"/>
  <c r="G1737" i="2"/>
  <c r="F1737" i="2"/>
  <c r="G1736" i="2"/>
  <c r="F1736" i="2"/>
  <c r="G1735" i="2"/>
  <c r="F1735" i="2"/>
  <c r="G1734" i="2"/>
  <c r="F1734" i="2"/>
  <c r="G1733" i="2"/>
  <c r="F1733" i="2"/>
  <c r="G1732" i="2"/>
  <c r="F1732" i="2"/>
  <c r="G1731" i="2"/>
  <c r="F1731" i="2"/>
  <c r="G1730" i="2"/>
  <c r="F1730" i="2"/>
  <c r="G1729" i="2"/>
  <c r="F1729" i="2"/>
  <c r="G1728" i="2"/>
  <c r="F1728" i="2"/>
  <c r="G1727" i="2"/>
  <c r="F1727" i="2"/>
  <c r="G1726" i="2"/>
  <c r="F1726" i="2"/>
  <c r="G1725" i="2"/>
  <c r="F1725" i="2"/>
  <c r="G1724" i="2"/>
  <c r="F1724" i="2"/>
  <c r="G1723" i="2"/>
  <c r="F1723" i="2"/>
  <c r="G1722" i="2"/>
  <c r="F1722" i="2"/>
  <c r="G1721" i="2"/>
  <c r="F1721" i="2"/>
  <c r="G1720" i="2"/>
  <c r="F1720" i="2"/>
  <c r="G1719" i="2"/>
  <c r="F1719" i="2"/>
  <c r="G1718" i="2"/>
  <c r="F1718" i="2"/>
  <c r="G1717" i="2"/>
  <c r="F1717" i="2"/>
  <c r="G1716" i="2"/>
  <c r="F1716" i="2"/>
  <c r="G1715" i="2"/>
  <c r="F1715" i="2"/>
  <c r="G1714" i="2"/>
  <c r="F1714" i="2"/>
  <c r="G1713" i="2"/>
  <c r="F1713" i="2"/>
  <c r="G1712" i="2"/>
  <c r="F1712" i="2"/>
  <c r="G1711" i="2"/>
  <c r="F1711" i="2"/>
  <c r="G1710" i="2"/>
  <c r="F1710" i="2"/>
  <c r="G1709" i="2"/>
  <c r="F1709" i="2"/>
  <c r="G1708" i="2"/>
  <c r="F1708" i="2"/>
  <c r="G1707" i="2"/>
  <c r="F1707" i="2"/>
  <c r="G1706" i="2"/>
  <c r="F1706" i="2"/>
  <c r="G1705" i="2"/>
  <c r="F1705" i="2"/>
  <c r="G1704" i="2"/>
  <c r="F1704" i="2"/>
  <c r="G1703" i="2"/>
  <c r="F1703" i="2"/>
  <c r="G1702" i="2"/>
  <c r="F1702" i="2"/>
  <c r="G1701" i="2"/>
  <c r="F1701" i="2"/>
  <c r="G1700" i="2"/>
  <c r="F1700" i="2"/>
  <c r="G1699" i="2"/>
  <c r="F1699" i="2"/>
  <c r="G1698" i="2"/>
  <c r="F1698" i="2"/>
  <c r="G1697" i="2"/>
  <c r="F1697" i="2"/>
  <c r="G1696" i="2"/>
  <c r="F1696" i="2"/>
  <c r="G1695" i="2"/>
  <c r="F1695" i="2"/>
  <c r="G1694" i="2"/>
  <c r="F1694" i="2"/>
  <c r="G1693" i="2"/>
  <c r="F1693" i="2"/>
  <c r="G1692" i="2"/>
  <c r="F1692" i="2"/>
  <c r="G1691" i="2"/>
  <c r="F1691" i="2"/>
  <c r="G1690" i="2"/>
  <c r="F1690" i="2"/>
  <c r="G1689" i="2"/>
  <c r="F1689" i="2"/>
  <c r="G1688" i="2"/>
  <c r="F1688" i="2"/>
  <c r="G1687" i="2"/>
  <c r="F1687" i="2"/>
  <c r="G1686" i="2"/>
  <c r="F1686" i="2"/>
  <c r="G1685" i="2"/>
  <c r="F1685" i="2"/>
  <c r="G1684" i="2"/>
  <c r="F1684" i="2"/>
  <c r="G1683" i="2"/>
  <c r="F1683" i="2"/>
  <c r="G1682" i="2"/>
  <c r="F1682" i="2"/>
  <c r="G1681" i="2"/>
  <c r="F1681" i="2"/>
  <c r="G1680" i="2"/>
  <c r="F1680" i="2"/>
  <c r="G1679" i="2"/>
  <c r="F1679" i="2"/>
  <c r="G1678" i="2"/>
  <c r="F1678" i="2"/>
  <c r="G1677" i="2"/>
  <c r="F1677" i="2"/>
  <c r="G1676" i="2"/>
  <c r="F1676" i="2"/>
  <c r="G1675" i="2"/>
  <c r="F1675" i="2"/>
  <c r="G1674" i="2"/>
  <c r="F1674" i="2"/>
  <c r="G1673" i="2"/>
  <c r="F1673" i="2"/>
  <c r="G1672" i="2"/>
  <c r="F1672" i="2"/>
  <c r="G1671" i="2"/>
  <c r="F1671" i="2"/>
  <c r="G1670" i="2"/>
  <c r="F1670" i="2"/>
  <c r="G1669" i="2"/>
  <c r="F1669" i="2"/>
  <c r="G1668" i="2"/>
  <c r="F1668" i="2"/>
  <c r="G1667" i="2"/>
  <c r="F1667" i="2"/>
  <c r="G1666" i="2"/>
  <c r="F1666" i="2"/>
  <c r="G1665" i="2"/>
  <c r="F1665" i="2"/>
  <c r="G1664" i="2"/>
  <c r="F1664" i="2"/>
  <c r="G1663" i="2"/>
  <c r="F1663" i="2"/>
  <c r="G1662" i="2"/>
  <c r="F1662" i="2"/>
  <c r="G1661" i="2"/>
  <c r="F1661" i="2"/>
  <c r="G1660" i="2"/>
  <c r="F1660" i="2"/>
  <c r="G1659" i="2"/>
  <c r="F1659" i="2"/>
  <c r="G1658" i="2"/>
  <c r="F1658" i="2"/>
  <c r="G1657" i="2"/>
  <c r="F1657" i="2"/>
  <c r="G1656" i="2"/>
  <c r="F1656" i="2"/>
  <c r="G1655" i="2"/>
  <c r="F1655" i="2"/>
  <c r="G1654" i="2"/>
  <c r="F1654" i="2"/>
  <c r="G1653" i="2"/>
  <c r="F1653" i="2"/>
  <c r="G1652" i="2"/>
  <c r="F1652" i="2"/>
  <c r="G1651" i="2"/>
  <c r="F1651" i="2"/>
  <c r="G1650" i="2"/>
  <c r="F1650" i="2"/>
  <c r="G1649" i="2"/>
  <c r="F1649" i="2"/>
  <c r="G1648" i="2"/>
  <c r="F1648" i="2"/>
  <c r="G1647" i="2"/>
  <c r="F1647" i="2"/>
  <c r="G1646" i="2"/>
  <c r="F1646" i="2"/>
  <c r="G1645" i="2"/>
  <c r="F1645" i="2"/>
  <c r="G1644" i="2"/>
  <c r="F1644" i="2"/>
  <c r="G1643" i="2"/>
  <c r="F1643" i="2"/>
  <c r="G1642" i="2"/>
  <c r="F1642" i="2"/>
  <c r="G1641" i="2"/>
  <c r="F1641" i="2"/>
  <c r="G1640" i="2"/>
  <c r="F1640" i="2"/>
  <c r="G1639" i="2"/>
  <c r="F1639" i="2"/>
  <c r="G1638" i="2"/>
  <c r="F1638" i="2"/>
  <c r="G1637" i="2"/>
  <c r="F1637" i="2"/>
  <c r="G1636" i="2"/>
  <c r="F1636" i="2"/>
  <c r="G1635" i="2"/>
  <c r="F1635" i="2"/>
  <c r="G1634" i="2"/>
  <c r="F1634" i="2"/>
  <c r="G1633" i="2"/>
  <c r="F1633" i="2"/>
  <c r="G1632" i="2"/>
  <c r="F1632" i="2"/>
  <c r="G1631" i="2"/>
  <c r="F1631" i="2"/>
  <c r="G1630" i="2"/>
  <c r="F1630" i="2"/>
  <c r="G1629" i="2"/>
  <c r="F1629" i="2"/>
  <c r="G1628" i="2"/>
  <c r="F1628" i="2"/>
  <c r="G1627" i="2"/>
  <c r="F1627" i="2"/>
  <c r="G1626" i="2"/>
  <c r="F1626" i="2"/>
  <c r="G1625" i="2"/>
  <c r="F1625" i="2"/>
  <c r="G1624" i="2"/>
  <c r="F1624" i="2"/>
  <c r="G1623" i="2"/>
  <c r="F1623" i="2"/>
  <c r="G1622" i="2"/>
  <c r="F1622" i="2"/>
  <c r="G1621" i="2"/>
  <c r="F1621" i="2"/>
  <c r="G1620" i="2"/>
  <c r="F1620" i="2"/>
  <c r="G1619" i="2"/>
  <c r="F1619" i="2"/>
  <c r="G1618" i="2"/>
  <c r="F1618" i="2"/>
  <c r="G1617" i="2"/>
  <c r="F1617" i="2"/>
  <c r="G1616" i="2"/>
  <c r="F1616" i="2"/>
  <c r="G1615" i="2"/>
  <c r="F1615" i="2"/>
  <c r="G1614" i="2"/>
  <c r="F1614" i="2"/>
  <c r="G1613" i="2"/>
  <c r="F1613" i="2"/>
  <c r="G1612" i="2"/>
  <c r="F1612" i="2"/>
  <c r="G1611" i="2"/>
  <c r="F1611" i="2"/>
  <c r="G1610" i="2"/>
  <c r="F1610" i="2"/>
  <c r="G1609" i="2"/>
  <c r="F1609" i="2"/>
  <c r="G1608" i="2"/>
  <c r="F1608" i="2"/>
  <c r="G1607" i="2"/>
  <c r="F1607" i="2"/>
  <c r="G1606" i="2"/>
  <c r="F1606" i="2"/>
  <c r="G1605" i="2"/>
  <c r="F1605" i="2"/>
  <c r="G1604" i="2"/>
  <c r="F1604" i="2"/>
  <c r="G1603" i="2"/>
  <c r="F1603" i="2"/>
  <c r="G1602" i="2"/>
  <c r="F1602" i="2"/>
  <c r="G1601" i="2"/>
  <c r="F1601" i="2"/>
  <c r="G1600" i="2"/>
  <c r="F1600" i="2"/>
  <c r="G1599" i="2"/>
  <c r="F1599" i="2"/>
  <c r="G1598" i="2"/>
  <c r="F1598" i="2"/>
  <c r="G1597" i="2"/>
  <c r="F1597" i="2"/>
  <c r="G1596" i="2"/>
  <c r="F1596" i="2"/>
  <c r="G1595" i="2"/>
  <c r="F1595" i="2"/>
  <c r="G1594" i="2"/>
  <c r="F1594" i="2"/>
  <c r="G1593" i="2"/>
  <c r="F1593" i="2"/>
  <c r="G1592" i="2"/>
  <c r="F1592" i="2"/>
  <c r="G1591" i="2"/>
  <c r="F1591" i="2"/>
  <c r="G1590" i="2"/>
  <c r="F1590" i="2"/>
  <c r="G1589" i="2"/>
  <c r="F1589" i="2"/>
  <c r="G1588" i="2"/>
  <c r="F1588" i="2"/>
  <c r="G1587" i="2"/>
  <c r="F1587" i="2"/>
  <c r="G1586" i="2"/>
  <c r="F1586" i="2"/>
  <c r="G1585" i="2"/>
  <c r="F1585" i="2"/>
  <c r="G1584" i="2"/>
  <c r="F1584" i="2"/>
  <c r="G1583" i="2"/>
  <c r="F1583" i="2"/>
  <c r="G1582" i="2"/>
  <c r="F1582" i="2"/>
  <c r="G1581" i="2"/>
  <c r="F1581" i="2"/>
  <c r="G1580" i="2"/>
  <c r="F1580" i="2"/>
  <c r="G1579" i="2"/>
  <c r="F1579" i="2"/>
  <c r="G1578" i="2"/>
  <c r="F1578" i="2"/>
  <c r="G1577" i="2"/>
  <c r="F1577" i="2"/>
  <c r="G1576" i="2"/>
  <c r="F1576" i="2"/>
  <c r="G1575" i="2"/>
  <c r="F1575" i="2"/>
  <c r="G1574" i="2"/>
  <c r="F1574" i="2"/>
  <c r="G1573" i="2"/>
  <c r="F1573" i="2"/>
  <c r="G1572" i="2"/>
  <c r="F1572" i="2"/>
  <c r="G1571" i="2"/>
  <c r="F1571" i="2"/>
  <c r="G1570" i="2"/>
  <c r="F1570" i="2"/>
  <c r="G1569" i="2"/>
  <c r="F1569" i="2"/>
  <c r="G1568" i="2"/>
  <c r="F1568" i="2"/>
  <c r="G1567" i="2"/>
  <c r="F1567" i="2"/>
  <c r="G1566" i="2"/>
  <c r="F1566" i="2"/>
  <c r="G1565" i="2"/>
  <c r="F1565" i="2"/>
  <c r="G1564" i="2"/>
  <c r="F1564" i="2"/>
  <c r="G1563" i="2"/>
  <c r="F1563" i="2"/>
  <c r="G1562" i="2"/>
  <c r="F1562" i="2"/>
  <c r="G1561" i="2"/>
  <c r="F1561" i="2"/>
  <c r="G1560" i="2"/>
  <c r="F1560" i="2"/>
  <c r="G1559" i="2"/>
  <c r="F1559" i="2"/>
  <c r="G1558" i="2"/>
  <c r="F1558" i="2"/>
  <c r="G1557" i="2"/>
  <c r="F1557" i="2"/>
  <c r="G1556" i="2"/>
  <c r="F1556" i="2"/>
  <c r="G1555" i="2"/>
  <c r="F1555" i="2"/>
  <c r="G1554" i="2"/>
  <c r="F1554" i="2"/>
  <c r="G1553" i="2"/>
  <c r="F1553" i="2"/>
  <c r="G1552" i="2"/>
  <c r="F1552" i="2"/>
  <c r="G1551" i="2"/>
  <c r="F1551" i="2"/>
  <c r="G1550" i="2"/>
  <c r="F1550" i="2"/>
  <c r="G1549" i="2"/>
  <c r="F1549" i="2"/>
  <c r="G1548" i="2"/>
  <c r="F1548" i="2"/>
  <c r="G1547" i="2"/>
  <c r="F1547" i="2"/>
  <c r="G1546" i="2"/>
  <c r="F1546" i="2"/>
  <c r="G1545" i="2"/>
  <c r="F1545" i="2"/>
  <c r="G1544" i="2"/>
  <c r="F1544" i="2"/>
  <c r="G1543" i="2"/>
  <c r="F1543" i="2"/>
  <c r="G1542" i="2"/>
  <c r="F1542" i="2"/>
  <c r="G1541" i="2"/>
  <c r="F1541" i="2"/>
  <c r="G1540" i="2"/>
  <c r="F1540" i="2"/>
  <c r="G1539" i="2"/>
  <c r="F1539" i="2"/>
  <c r="G1538" i="2"/>
  <c r="F1538" i="2"/>
  <c r="G1537" i="2"/>
  <c r="F1537" i="2"/>
  <c r="G1536" i="2"/>
  <c r="F1536" i="2"/>
  <c r="G1535" i="2"/>
  <c r="F1535" i="2"/>
  <c r="G1534" i="2"/>
  <c r="F1534" i="2"/>
  <c r="G1533" i="2"/>
  <c r="F1533" i="2"/>
  <c r="G1532" i="2"/>
  <c r="F1532" i="2"/>
  <c r="G1531" i="2"/>
  <c r="F1531" i="2"/>
  <c r="G1530" i="2"/>
  <c r="F1530" i="2"/>
  <c r="G1529" i="2"/>
  <c r="F1529" i="2"/>
  <c r="G1528" i="2"/>
  <c r="F1528" i="2"/>
  <c r="G1527" i="2"/>
  <c r="F1527" i="2"/>
  <c r="G1526" i="2"/>
  <c r="F1526" i="2"/>
  <c r="G1525" i="2"/>
  <c r="F1525" i="2"/>
  <c r="G1524" i="2"/>
  <c r="F1524" i="2"/>
  <c r="G1523" i="2"/>
  <c r="F1523" i="2"/>
  <c r="G1522" i="2"/>
  <c r="F1522" i="2"/>
  <c r="G1521" i="2"/>
  <c r="F1521" i="2"/>
  <c r="G1520" i="2"/>
  <c r="F1520" i="2"/>
  <c r="G1519" i="2"/>
  <c r="F1519" i="2"/>
  <c r="G1518" i="2"/>
  <c r="F1518" i="2"/>
  <c r="G1517" i="2"/>
  <c r="F1517" i="2"/>
  <c r="G1516" i="2"/>
  <c r="F1516" i="2"/>
  <c r="G1515" i="2"/>
  <c r="F1515" i="2"/>
  <c r="G1514" i="2"/>
  <c r="F1514" i="2"/>
  <c r="G1513" i="2"/>
  <c r="F1513" i="2"/>
  <c r="G1512" i="2"/>
  <c r="F1512" i="2"/>
  <c r="G1511" i="2"/>
  <c r="F1511" i="2"/>
  <c r="G1510" i="2"/>
  <c r="F1510" i="2"/>
  <c r="G1509" i="2"/>
  <c r="F1509" i="2"/>
  <c r="G1508" i="2"/>
  <c r="F1508" i="2"/>
  <c r="G1507" i="2"/>
  <c r="F1507" i="2"/>
  <c r="G1506" i="2"/>
  <c r="F1506" i="2"/>
  <c r="G1505" i="2"/>
  <c r="F1505" i="2"/>
  <c r="G1504" i="2"/>
  <c r="F1504" i="2"/>
  <c r="G1503" i="2"/>
  <c r="F1503" i="2"/>
  <c r="G1502" i="2"/>
  <c r="F1502" i="2"/>
  <c r="G1501" i="2"/>
  <c r="F1501" i="2"/>
  <c r="G1500" i="2"/>
  <c r="F1500" i="2"/>
  <c r="G1499" i="2"/>
  <c r="F1499" i="2"/>
  <c r="G1498" i="2"/>
  <c r="F1498" i="2"/>
  <c r="G1497" i="2"/>
  <c r="F1497" i="2"/>
  <c r="G1496" i="2"/>
  <c r="F1496" i="2"/>
  <c r="G1495" i="2"/>
  <c r="F1495" i="2"/>
  <c r="G1494" i="2"/>
  <c r="F1494" i="2"/>
  <c r="G1493" i="2"/>
  <c r="F1493" i="2"/>
  <c r="G1492" i="2"/>
  <c r="F1492" i="2"/>
  <c r="G1491" i="2"/>
  <c r="F1491" i="2"/>
  <c r="G1490" i="2"/>
  <c r="F1490" i="2"/>
  <c r="G1489" i="2"/>
  <c r="F1489" i="2"/>
  <c r="G1488" i="2"/>
  <c r="F1488" i="2"/>
  <c r="G1487" i="2"/>
  <c r="F1487" i="2"/>
  <c r="G1486" i="2"/>
  <c r="F1486" i="2"/>
  <c r="G1485" i="2"/>
  <c r="F1485" i="2"/>
  <c r="G1484" i="2"/>
  <c r="F1484" i="2"/>
  <c r="G1483" i="2"/>
  <c r="F1483" i="2"/>
  <c r="G1482" i="2"/>
  <c r="F1482" i="2"/>
  <c r="G1481" i="2"/>
  <c r="F1481" i="2"/>
  <c r="G1480" i="2"/>
  <c r="F1480" i="2"/>
  <c r="G1479" i="2"/>
  <c r="F1479" i="2"/>
  <c r="G1478" i="2"/>
  <c r="F1478" i="2"/>
  <c r="G1477" i="2"/>
  <c r="F1477" i="2"/>
  <c r="G1476" i="2"/>
  <c r="F1476" i="2"/>
  <c r="G1475" i="2"/>
  <c r="F1475" i="2"/>
  <c r="G1474" i="2"/>
  <c r="F1474" i="2"/>
  <c r="G1473" i="2"/>
  <c r="F1473" i="2"/>
  <c r="G1472" i="2"/>
  <c r="F1472" i="2"/>
  <c r="G1471" i="2"/>
  <c r="F1471" i="2"/>
  <c r="G1470" i="2"/>
  <c r="F1470" i="2"/>
  <c r="G1469" i="2"/>
  <c r="F1469" i="2"/>
  <c r="G1468" i="2"/>
  <c r="F1468" i="2"/>
  <c r="G1467" i="2"/>
  <c r="F1467" i="2"/>
  <c r="G1466" i="2"/>
  <c r="F1466" i="2"/>
  <c r="G1465" i="2"/>
  <c r="F1465" i="2"/>
  <c r="G1464" i="2"/>
  <c r="F1464" i="2"/>
  <c r="G1463" i="2"/>
  <c r="F1463" i="2"/>
  <c r="G1462" i="2"/>
  <c r="F1462" i="2"/>
  <c r="G1461" i="2"/>
  <c r="F1461" i="2"/>
  <c r="G1460" i="2"/>
  <c r="F1460" i="2"/>
  <c r="G1459" i="2"/>
  <c r="F1459" i="2"/>
  <c r="G1458" i="2"/>
  <c r="F1458" i="2"/>
  <c r="G1457" i="2"/>
  <c r="F1457" i="2"/>
  <c r="G1456" i="2"/>
  <c r="F1456" i="2"/>
  <c r="G1455" i="2"/>
  <c r="F1455" i="2"/>
  <c r="G1454" i="2"/>
  <c r="F1454" i="2"/>
  <c r="G1453" i="2"/>
  <c r="F1453" i="2"/>
  <c r="G1452" i="2"/>
  <c r="F1452" i="2"/>
  <c r="G1451" i="2"/>
  <c r="F1451" i="2"/>
  <c r="G1450" i="2"/>
  <c r="F1450" i="2"/>
  <c r="G1449" i="2"/>
  <c r="F1449" i="2"/>
  <c r="G1448" i="2"/>
  <c r="F1448" i="2"/>
  <c r="G1447" i="2"/>
  <c r="F1447" i="2"/>
  <c r="G1446" i="2"/>
  <c r="F1446" i="2"/>
  <c r="G1445" i="2"/>
  <c r="F1445" i="2"/>
  <c r="G1444" i="2"/>
  <c r="F1444" i="2"/>
  <c r="G1443" i="2"/>
  <c r="F1443" i="2"/>
  <c r="G1442" i="2"/>
  <c r="F1442" i="2"/>
  <c r="G1441" i="2"/>
  <c r="F1441" i="2"/>
  <c r="G1440" i="2"/>
  <c r="F1440" i="2"/>
  <c r="G1439" i="2"/>
  <c r="F1439" i="2"/>
  <c r="G1438" i="2"/>
  <c r="F1438" i="2"/>
  <c r="G1437" i="2"/>
  <c r="F1437" i="2"/>
  <c r="G1436" i="2"/>
  <c r="F1436" i="2"/>
  <c r="G1435" i="2"/>
  <c r="F1435" i="2"/>
  <c r="G1434" i="2"/>
  <c r="F1434" i="2"/>
  <c r="G1433" i="2"/>
  <c r="F1433" i="2"/>
  <c r="G1432" i="2"/>
  <c r="F1432" i="2"/>
  <c r="G1431" i="2"/>
  <c r="F1431" i="2"/>
  <c r="G1430" i="2"/>
  <c r="F1430" i="2"/>
  <c r="G1429" i="2"/>
  <c r="F1429" i="2"/>
  <c r="G1428" i="2"/>
  <c r="F1428" i="2"/>
  <c r="G1427" i="2"/>
  <c r="F1427" i="2"/>
  <c r="G1426" i="2"/>
  <c r="F1426" i="2"/>
  <c r="G1425" i="2"/>
  <c r="F1425" i="2"/>
  <c r="G1424" i="2"/>
  <c r="F1424" i="2"/>
  <c r="G1423" i="2"/>
  <c r="F1423" i="2"/>
  <c r="G1422" i="2"/>
  <c r="F1422" i="2"/>
  <c r="G1421" i="2"/>
  <c r="F1421" i="2"/>
  <c r="G1420" i="2"/>
  <c r="F1420" i="2"/>
  <c r="G1419" i="2"/>
  <c r="F1419" i="2"/>
  <c r="G1418" i="2"/>
  <c r="F1418" i="2"/>
  <c r="G1417" i="2"/>
  <c r="F1417" i="2"/>
  <c r="G1416" i="2"/>
  <c r="F1416" i="2"/>
  <c r="G1415" i="2"/>
  <c r="F1415" i="2"/>
  <c r="G1414" i="2"/>
  <c r="F1414" i="2"/>
  <c r="G1413" i="2"/>
  <c r="F1413" i="2"/>
  <c r="G1412" i="2"/>
  <c r="F1412" i="2"/>
  <c r="G1411" i="2"/>
  <c r="F1411" i="2"/>
  <c r="G1410" i="2"/>
  <c r="F1410" i="2"/>
  <c r="G1409" i="2"/>
  <c r="F1409" i="2"/>
  <c r="G1408" i="2"/>
  <c r="F1408" i="2"/>
  <c r="G1407" i="2"/>
  <c r="F1407" i="2"/>
  <c r="G1406" i="2"/>
  <c r="F1406" i="2"/>
  <c r="G1405" i="2"/>
  <c r="F1405" i="2"/>
  <c r="G1404" i="2"/>
  <c r="F1404" i="2"/>
  <c r="G1403" i="2"/>
  <c r="F1403" i="2"/>
  <c r="G1402" i="2"/>
  <c r="F1402" i="2"/>
  <c r="G1401" i="2"/>
  <c r="F1401" i="2"/>
  <c r="G1400" i="2"/>
  <c r="F1400" i="2"/>
  <c r="G1399" i="2"/>
  <c r="F1399" i="2"/>
  <c r="G1398" i="2"/>
  <c r="F1398" i="2"/>
  <c r="G1397" i="2"/>
  <c r="F1397" i="2"/>
  <c r="G1396" i="2"/>
  <c r="F1396" i="2"/>
  <c r="G1395" i="2"/>
  <c r="F1395" i="2"/>
  <c r="G1394" i="2"/>
  <c r="F1394" i="2"/>
  <c r="G1393" i="2"/>
  <c r="F1393" i="2"/>
  <c r="G1392" i="2"/>
  <c r="F1392" i="2"/>
  <c r="G1391" i="2"/>
  <c r="F1391" i="2"/>
  <c r="G1390" i="2"/>
  <c r="F1390" i="2"/>
  <c r="G1389" i="2"/>
  <c r="F1389" i="2"/>
  <c r="G1388" i="2"/>
  <c r="F1388" i="2"/>
  <c r="G1387" i="2"/>
  <c r="F1387" i="2"/>
  <c r="G1386" i="2"/>
  <c r="F1386" i="2"/>
  <c r="G1385" i="2"/>
  <c r="F1385" i="2"/>
  <c r="G1384" i="2"/>
  <c r="F1384" i="2"/>
  <c r="G1383" i="2"/>
  <c r="F1383" i="2"/>
  <c r="G1382" i="2"/>
  <c r="F1382" i="2"/>
  <c r="G1381" i="2"/>
  <c r="F1381" i="2"/>
  <c r="G1380" i="2"/>
  <c r="F1380" i="2"/>
  <c r="G1379" i="2"/>
  <c r="F1379" i="2"/>
  <c r="G1378" i="2"/>
  <c r="F1378" i="2"/>
  <c r="G1377" i="2"/>
  <c r="F1377" i="2"/>
  <c r="G1376" i="2"/>
  <c r="F1376" i="2"/>
  <c r="G1375" i="2"/>
  <c r="F1375" i="2"/>
  <c r="G1374" i="2"/>
  <c r="F1374" i="2"/>
  <c r="G1373" i="2"/>
  <c r="F1373" i="2"/>
  <c r="G1372" i="2"/>
  <c r="F1372" i="2"/>
  <c r="G1371" i="2"/>
  <c r="F1371" i="2"/>
  <c r="G1370" i="2"/>
  <c r="F1370" i="2"/>
  <c r="G1369" i="2"/>
  <c r="F1369" i="2"/>
  <c r="G1368" i="2"/>
  <c r="F1368" i="2"/>
  <c r="G1367" i="2"/>
  <c r="F1367" i="2"/>
  <c r="G1366" i="2"/>
  <c r="F1366" i="2"/>
  <c r="G1365" i="2"/>
  <c r="F1365" i="2"/>
  <c r="G1364" i="2"/>
  <c r="F1364" i="2"/>
  <c r="G1363" i="2"/>
  <c r="F1363" i="2"/>
  <c r="G1362" i="2"/>
  <c r="F1362" i="2"/>
  <c r="G1361" i="2"/>
  <c r="F1361" i="2"/>
  <c r="G1360" i="2"/>
  <c r="F1360" i="2"/>
  <c r="G1359" i="2"/>
  <c r="F1359" i="2"/>
  <c r="G1358" i="2"/>
  <c r="F1358" i="2"/>
  <c r="G1357" i="2"/>
  <c r="F1357" i="2"/>
  <c r="G1356" i="2"/>
  <c r="F1356" i="2"/>
  <c r="G1355" i="2"/>
  <c r="F1355" i="2"/>
  <c r="G1354" i="2"/>
  <c r="F1354" i="2"/>
  <c r="G1353" i="2"/>
  <c r="F1353" i="2"/>
  <c r="G1352" i="2"/>
  <c r="F1352" i="2"/>
  <c r="G1351" i="2"/>
  <c r="F1351" i="2"/>
  <c r="G1350" i="2"/>
  <c r="F1350" i="2"/>
  <c r="G1349" i="2"/>
  <c r="F1349" i="2"/>
  <c r="G1348" i="2"/>
  <c r="F1348" i="2"/>
  <c r="G1347" i="2"/>
  <c r="F1347" i="2"/>
  <c r="G1346" i="2"/>
  <c r="F1346" i="2"/>
  <c r="G1345" i="2"/>
  <c r="F1345" i="2"/>
  <c r="G1344" i="2"/>
  <c r="F1344" i="2"/>
  <c r="G1343" i="2"/>
  <c r="F1343" i="2"/>
  <c r="G1342" i="2"/>
  <c r="F1342" i="2"/>
  <c r="G1341" i="2"/>
  <c r="F1341" i="2"/>
  <c r="G1340" i="2"/>
  <c r="F1340" i="2"/>
  <c r="G1339" i="2"/>
  <c r="F1339" i="2"/>
  <c r="G1338" i="2"/>
  <c r="F1338" i="2"/>
  <c r="G1337" i="2"/>
  <c r="F1337" i="2"/>
  <c r="G1336" i="2"/>
  <c r="F1336" i="2"/>
  <c r="G1335" i="2"/>
  <c r="F1335" i="2"/>
  <c r="G1334" i="2"/>
  <c r="F1334" i="2"/>
  <c r="G1333" i="2"/>
  <c r="F1333" i="2"/>
  <c r="G1332" i="2"/>
  <c r="F1332" i="2"/>
  <c r="G1331" i="2"/>
  <c r="F1331" i="2"/>
  <c r="G1330" i="2"/>
  <c r="F1330" i="2"/>
  <c r="G1329" i="2"/>
  <c r="F1329" i="2"/>
  <c r="G1328" i="2"/>
  <c r="F1328" i="2"/>
  <c r="G1327" i="2"/>
  <c r="F1327" i="2"/>
  <c r="G1326" i="2"/>
  <c r="F1326" i="2"/>
  <c r="G1325" i="2"/>
  <c r="F1325" i="2"/>
  <c r="G1324" i="2"/>
  <c r="F1324" i="2"/>
  <c r="G1323" i="2"/>
  <c r="F1323" i="2"/>
  <c r="G1322" i="2"/>
  <c r="F1322" i="2"/>
  <c r="G1321" i="2"/>
  <c r="F1321" i="2"/>
  <c r="G1320" i="2"/>
  <c r="F1320" i="2"/>
  <c r="G1319" i="2"/>
  <c r="F1319" i="2"/>
  <c r="G1318" i="2"/>
  <c r="F1318" i="2"/>
  <c r="G1317" i="2"/>
  <c r="F1317" i="2"/>
  <c r="G1316" i="2"/>
  <c r="F1316" i="2"/>
  <c r="G1315" i="2"/>
  <c r="F1315" i="2"/>
  <c r="G1314" i="2"/>
  <c r="F1314" i="2"/>
  <c r="G1313" i="2"/>
  <c r="F1313" i="2"/>
  <c r="G1312" i="2"/>
  <c r="F1312" i="2"/>
  <c r="G1311" i="2"/>
  <c r="F1311" i="2"/>
  <c r="G1310" i="2"/>
  <c r="F1310" i="2"/>
  <c r="G1309" i="2"/>
  <c r="F1309" i="2"/>
  <c r="G1308" i="2"/>
  <c r="F1308" i="2"/>
  <c r="G1307" i="2"/>
  <c r="F1307" i="2"/>
  <c r="G1306" i="2"/>
  <c r="F1306" i="2"/>
  <c r="G1305" i="2"/>
  <c r="F1305" i="2"/>
  <c r="G1304" i="2"/>
  <c r="F1304" i="2"/>
  <c r="G1303" i="2"/>
  <c r="F1303" i="2"/>
  <c r="G1302" i="2"/>
  <c r="F1302" i="2"/>
  <c r="G1301" i="2"/>
  <c r="F1301" i="2"/>
  <c r="G1300" i="2"/>
  <c r="F1300" i="2"/>
  <c r="G1299" i="2"/>
  <c r="F1299" i="2"/>
  <c r="G1298" i="2"/>
  <c r="F1298" i="2"/>
  <c r="G1297" i="2"/>
  <c r="F1297" i="2"/>
  <c r="G1296" i="2"/>
  <c r="F1296" i="2"/>
  <c r="G1295" i="2"/>
  <c r="F1295" i="2"/>
  <c r="G1294" i="2"/>
  <c r="F1294" i="2"/>
  <c r="G1293" i="2"/>
  <c r="F1293" i="2"/>
  <c r="G1292" i="2"/>
  <c r="F1292" i="2"/>
  <c r="G1291" i="2"/>
  <c r="F1291" i="2"/>
  <c r="G1290" i="2"/>
  <c r="F1290" i="2"/>
  <c r="G1289" i="2"/>
  <c r="F1289" i="2"/>
  <c r="G1288" i="2"/>
  <c r="F1288" i="2"/>
  <c r="G1287" i="2"/>
  <c r="F1287" i="2"/>
  <c r="G1286" i="2"/>
  <c r="F1286" i="2"/>
  <c r="G1285" i="2"/>
  <c r="F1285" i="2"/>
  <c r="G1284" i="2"/>
  <c r="F1284" i="2"/>
  <c r="G1283" i="2"/>
  <c r="F1283" i="2"/>
  <c r="G1282" i="2"/>
  <c r="F1282" i="2"/>
  <c r="G1281" i="2"/>
  <c r="F1281" i="2"/>
  <c r="G1280" i="2"/>
  <c r="F1280" i="2"/>
  <c r="G1279" i="2"/>
  <c r="F1279" i="2"/>
  <c r="G1278" i="2"/>
  <c r="F1278" i="2"/>
  <c r="G1277" i="2"/>
  <c r="F1277" i="2"/>
  <c r="G1276" i="2"/>
  <c r="F1276" i="2"/>
  <c r="G1275" i="2"/>
  <c r="F1275" i="2"/>
  <c r="G1274" i="2"/>
  <c r="F1274" i="2"/>
  <c r="G1273" i="2"/>
  <c r="F1273" i="2"/>
  <c r="G1272" i="2"/>
  <c r="F1272" i="2"/>
  <c r="G1271" i="2"/>
  <c r="F1271" i="2"/>
  <c r="G1270" i="2"/>
  <c r="F1270" i="2"/>
  <c r="G1269" i="2"/>
  <c r="F1269" i="2"/>
  <c r="G1268" i="2"/>
  <c r="F1268" i="2"/>
  <c r="G1267" i="2"/>
  <c r="F1267" i="2"/>
  <c r="G1266" i="2"/>
  <c r="F1266" i="2"/>
  <c r="G1265" i="2"/>
  <c r="F1265" i="2"/>
  <c r="G1264" i="2"/>
  <c r="F1264" i="2"/>
  <c r="G1263" i="2"/>
  <c r="F1263" i="2"/>
  <c r="G1262" i="2"/>
  <c r="F1262" i="2"/>
  <c r="G1261" i="2"/>
  <c r="F1261" i="2"/>
  <c r="G1260" i="2"/>
  <c r="F1260" i="2"/>
  <c r="G1259" i="2"/>
  <c r="F1259" i="2"/>
  <c r="G1258" i="2"/>
  <c r="F1258" i="2"/>
  <c r="G1257" i="2"/>
  <c r="F1257" i="2"/>
  <c r="G1256" i="2"/>
  <c r="F1256" i="2"/>
  <c r="G1255" i="2"/>
  <c r="F1255" i="2"/>
  <c r="G1254" i="2"/>
  <c r="F1254" i="2"/>
  <c r="G1253" i="2"/>
  <c r="F1253" i="2"/>
  <c r="G1252" i="2"/>
  <c r="F1252" i="2"/>
  <c r="G1251" i="2"/>
  <c r="F1251" i="2"/>
  <c r="G1250" i="2"/>
  <c r="F1250" i="2"/>
  <c r="G1249" i="2"/>
  <c r="F1249" i="2"/>
  <c r="G1248" i="2"/>
  <c r="F1248" i="2"/>
  <c r="G1247" i="2"/>
  <c r="F1247" i="2"/>
  <c r="G1246" i="2"/>
  <c r="F1246" i="2"/>
  <c r="G1245" i="2"/>
  <c r="F1245" i="2"/>
  <c r="G1244" i="2"/>
  <c r="F1244" i="2"/>
  <c r="G1243" i="2"/>
  <c r="F1243" i="2"/>
  <c r="G1242" i="2"/>
  <c r="F1242" i="2"/>
  <c r="G1241" i="2"/>
  <c r="F1241" i="2"/>
  <c r="G1240" i="2"/>
  <c r="F1240" i="2"/>
  <c r="G1239" i="2"/>
  <c r="F1239" i="2"/>
  <c r="G1238" i="2"/>
  <c r="F1238" i="2"/>
  <c r="G1237" i="2"/>
  <c r="F1237" i="2"/>
  <c r="G1236" i="2"/>
  <c r="F1236" i="2"/>
  <c r="G1235" i="2"/>
  <c r="F1235" i="2"/>
  <c r="G1234" i="2"/>
  <c r="F1234" i="2"/>
  <c r="G1233" i="2"/>
  <c r="F1233" i="2"/>
  <c r="G1232" i="2"/>
  <c r="F1232" i="2"/>
  <c r="G1231" i="2"/>
  <c r="F1231" i="2"/>
  <c r="G1230" i="2"/>
  <c r="F1230" i="2"/>
  <c r="G1229" i="2"/>
  <c r="F1229" i="2"/>
  <c r="G1228" i="2"/>
  <c r="F1228" i="2"/>
  <c r="G1227" i="2"/>
  <c r="F1227" i="2"/>
  <c r="G1226" i="2"/>
  <c r="F1226" i="2"/>
  <c r="G1225" i="2"/>
  <c r="F1225" i="2"/>
  <c r="G1224" i="2"/>
  <c r="F1224" i="2"/>
  <c r="G1223" i="2"/>
  <c r="F1223" i="2"/>
  <c r="G1222" i="2"/>
  <c r="F1222" i="2"/>
  <c r="G1221" i="2"/>
  <c r="F1221" i="2"/>
  <c r="G1220" i="2"/>
  <c r="F1220" i="2"/>
  <c r="G1219" i="2"/>
  <c r="F1219" i="2"/>
  <c r="G1218" i="2"/>
  <c r="F1218" i="2"/>
  <c r="G1217" i="2"/>
  <c r="F1217" i="2"/>
  <c r="G1216" i="2"/>
  <c r="F1216" i="2"/>
  <c r="G1215" i="2"/>
  <c r="F1215" i="2"/>
  <c r="G1214" i="2"/>
  <c r="F1214" i="2"/>
  <c r="G1213" i="2"/>
  <c r="F1213" i="2"/>
  <c r="G1212" i="2"/>
  <c r="F1212" i="2"/>
  <c r="G1211" i="2"/>
  <c r="F1211" i="2"/>
  <c r="G1210" i="2"/>
  <c r="F1210" i="2"/>
  <c r="G1209" i="2"/>
  <c r="F1209" i="2"/>
  <c r="G1208" i="2"/>
  <c r="F1208" i="2"/>
  <c r="G1207" i="2"/>
  <c r="F1207" i="2"/>
  <c r="G1206" i="2"/>
  <c r="F1206" i="2"/>
  <c r="G1205" i="2"/>
  <c r="F1205" i="2"/>
  <c r="G1204" i="2"/>
  <c r="F1204" i="2"/>
  <c r="G1203" i="2"/>
  <c r="F1203" i="2"/>
  <c r="G1202" i="2"/>
  <c r="F1202" i="2"/>
  <c r="G1201" i="2"/>
  <c r="F1201" i="2"/>
  <c r="G1200" i="2"/>
  <c r="F1200" i="2"/>
  <c r="G1199" i="2"/>
  <c r="F1199" i="2"/>
  <c r="G1198" i="2"/>
  <c r="F1198" i="2"/>
  <c r="G1197" i="2"/>
  <c r="F1197" i="2"/>
  <c r="G1196" i="2"/>
  <c r="F1196" i="2"/>
  <c r="G1195" i="2"/>
  <c r="F1195" i="2"/>
  <c r="G1194" i="2"/>
  <c r="F1194" i="2"/>
  <c r="G1193" i="2"/>
  <c r="F1193" i="2"/>
  <c r="G1192" i="2"/>
  <c r="F1192" i="2"/>
  <c r="G1191" i="2"/>
  <c r="F1191" i="2"/>
  <c r="G1190" i="2"/>
  <c r="F1190" i="2"/>
  <c r="G1189" i="2"/>
  <c r="F1189" i="2"/>
  <c r="G1188" i="2"/>
  <c r="F1188" i="2"/>
  <c r="G1187" i="2"/>
  <c r="F1187" i="2"/>
  <c r="G1186" i="2"/>
  <c r="F1186" i="2"/>
  <c r="G1185" i="2"/>
  <c r="F1185" i="2"/>
  <c r="G1184" i="2"/>
  <c r="F1184" i="2"/>
  <c r="G1183" i="2"/>
  <c r="F1183" i="2"/>
  <c r="G1182" i="2"/>
  <c r="F1182" i="2"/>
  <c r="G1181" i="2"/>
  <c r="F1181" i="2"/>
  <c r="G1180" i="2"/>
  <c r="F1180" i="2"/>
  <c r="G1179" i="2"/>
  <c r="F1179" i="2"/>
  <c r="G1178" i="2"/>
  <c r="F1178" i="2"/>
  <c r="G1177" i="2"/>
  <c r="F1177" i="2"/>
  <c r="G1176" i="2"/>
  <c r="F1176" i="2"/>
  <c r="G1175" i="2"/>
  <c r="F1175" i="2"/>
  <c r="G1174" i="2"/>
  <c r="F1174" i="2"/>
  <c r="G1173" i="2"/>
  <c r="F1173" i="2"/>
  <c r="G1172" i="2"/>
  <c r="F1172" i="2"/>
  <c r="G1171" i="2"/>
  <c r="F1171" i="2"/>
  <c r="G1170" i="2"/>
  <c r="F1170" i="2"/>
  <c r="G1169" i="2"/>
  <c r="F1169" i="2"/>
  <c r="G1168" i="2"/>
  <c r="F1168" i="2"/>
  <c r="G1167" i="2"/>
  <c r="F1167" i="2"/>
  <c r="G1166" i="2"/>
  <c r="F1166" i="2"/>
  <c r="G1165" i="2"/>
  <c r="F1165" i="2"/>
  <c r="G1164" i="2"/>
  <c r="F1164" i="2"/>
  <c r="G1163" i="2"/>
  <c r="F1163" i="2"/>
  <c r="G1162" i="2"/>
  <c r="F1162" i="2"/>
  <c r="G1161" i="2"/>
  <c r="F1161" i="2"/>
  <c r="G1160" i="2"/>
  <c r="F1160" i="2"/>
  <c r="G1159" i="2"/>
  <c r="F1159" i="2"/>
  <c r="G1158" i="2"/>
  <c r="F1158" i="2"/>
  <c r="G1157" i="2"/>
  <c r="F1157" i="2"/>
  <c r="G1156" i="2"/>
  <c r="F1156" i="2"/>
  <c r="G1155" i="2"/>
  <c r="F1155" i="2"/>
  <c r="G1154" i="2"/>
  <c r="F1154" i="2"/>
  <c r="G1153" i="2"/>
  <c r="F1153" i="2"/>
  <c r="G1152" i="2"/>
  <c r="F1152" i="2"/>
  <c r="G1151" i="2"/>
  <c r="F1151" i="2"/>
  <c r="G1150" i="2"/>
  <c r="F1150" i="2"/>
  <c r="G1149" i="2"/>
  <c r="F1149" i="2"/>
  <c r="G1148" i="2"/>
  <c r="F1148" i="2"/>
  <c r="G1147" i="2"/>
  <c r="F1147" i="2"/>
  <c r="G1146" i="2"/>
  <c r="F1146" i="2"/>
  <c r="G1145" i="2"/>
  <c r="F1145" i="2"/>
  <c r="G1144" i="2"/>
  <c r="F1144" i="2"/>
  <c r="G1143" i="2"/>
  <c r="F1143" i="2"/>
  <c r="G1142" i="2"/>
  <c r="F1142" i="2"/>
  <c r="G1141" i="2"/>
  <c r="F1141" i="2"/>
  <c r="G1140" i="2"/>
  <c r="F1140" i="2"/>
  <c r="G1139" i="2"/>
  <c r="F1139" i="2"/>
  <c r="G1138" i="2"/>
  <c r="F1138" i="2"/>
  <c r="G1137" i="2"/>
  <c r="F1137" i="2"/>
  <c r="G1136" i="2"/>
  <c r="F1136" i="2"/>
  <c r="G1135" i="2"/>
  <c r="F1135" i="2"/>
  <c r="G1134" i="2"/>
  <c r="F1134" i="2"/>
  <c r="G1133" i="2"/>
  <c r="F1133" i="2"/>
  <c r="G1132" i="2"/>
  <c r="F1132" i="2"/>
  <c r="G1131" i="2"/>
  <c r="F1131" i="2"/>
  <c r="G1130" i="2"/>
  <c r="F1130" i="2"/>
  <c r="G1129" i="2"/>
  <c r="F1129" i="2"/>
  <c r="G1128" i="2"/>
  <c r="F1128" i="2"/>
  <c r="G1127" i="2"/>
  <c r="F1127" i="2"/>
  <c r="G1126" i="2"/>
  <c r="F1126" i="2"/>
  <c r="G1125" i="2"/>
  <c r="F1125" i="2"/>
  <c r="G1124" i="2"/>
  <c r="F1124" i="2"/>
  <c r="G1123" i="2"/>
  <c r="F1123" i="2"/>
  <c r="G1122" i="2"/>
  <c r="F1122" i="2"/>
  <c r="G1121" i="2"/>
  <c r="F1121" i="2"/>
  <c r="G1120" i="2"/>
  <c r="F1120" i="2"/>
  <c r="G1119" i="2"/>
  <c r="F1119" i="2"/>
  <c r="G1118" i="2"/>
  <c r="F1118" i="2"/>
  <c r="G1117" i="2"/>
  <c r="F1117" i="2"/>
  <c r="G1116" i="2"/>
  <c r="F1116" i="2"/>
  <c r="G1115" i="2"/>
  <c r="F1115" i="2"/>
  <c r="G1114" i="2"/>
  <c r="F1114" i="2"/>
  <c r="G1113" i="2"/>
  <c r="F1113" i="2"/>
  <c r="G1112" i="2"/>
  <c r="F1112" i="2"/>
  <c r="G1111" i="2"/>
  <c r="F1111" i="2"/>
  <c r="G1110" i="2"/>
  <c r="F1110" i="2"/>
  <c r="G1109" i="2"/>
  <c r="F1109" i="2"/>
  <c r="G1108" i="2"/>
  <c r="F1108" i="2"/>
  <c r="G1107" i="2"/>
  <c r="F1107" i="2"/>
  <c r="G1106" i="2"/>
  <c r="F1106" i="2"/>
  <c r="G1105" i="2"/>
  <c r="F1105" i="2"/>
  <c r="G1104" i="2"/>
  <c r="F1104" i="2"/>
  <c r="G1103" i="2"/>
  <c r="F1103" i="2"/>
  <c r="G1102" i="2"/>
  <c r="F1102" i="2"/>
  <c r="G1101" i="2"/>
  <c r="F1101" i="2"/>
  <c r="G1100" i="2"/>
  <c r="F1100" i="2"/>
  <c r="G1099" i="2"/>
  <c r="F1099" i="2"/>
  <c r="G1098" i="2"/>
  <c r="F1098" i="2"/>
  <c r="G1097" i="2"/>
  <c r="F1097" i="2"/>
  <c r="G1096" i="2"/>
  <c r="F1096" i="2"/>
  <c r="G1095" i="2"/>
  <c r="F1095" i="2"/>
  <c r="G1094" i="2"/>
  <c r="F1094" i="2"/>
  <c r="G1093" i="2"/>
  <c r="F1093" i="2"/>
  <c r="G1092" i="2"/>
  <c r="F1092" i="2"/>
  <c r="G1091" i="2"/>
  <c r="F1091" i="2"/>
  <c r="G1090" i="2"/>
  <c r="F1090" i="2"/>
  <c r="G1089" i="2"/>
  <c r="F1089" i="2"/>
  <c r="G1088" i="2"/>
  <c r="F1088" i="2"/>
  <c r="G1087" i="2"/>
  <c r="F1087" i="2"/>
  <c r="G1086" i="2"/>
  <c r="F1086" i="2"/>
  <c r="G1085" i="2"/>
  <c r="F1085" i="2"/>
  <c r="G1084" i="2"/>
  <c r="F1084" i="2"/>
  <c r="G1083" i="2"/>
  <c r="F1083" i="2"/>
  <c r="G1082" i="2"/>
  <c r="F1082" i="2"/>
  <c r="G1081" i="2"/>
  <c r="F1081" i="2"/>
  <c r="G1080" i="2"/>
  <c r="F1080" i="2"/>
  <c r="G1079" i="2"/>
  <c r="F1079" i="2"/>
  <c r="G1078" i="2"/>
  <c r="F1078" i="2"/>
  <c r="G1077" i="2"/>
  <c r="F1077" i="2"/>
  <c r="G1076" i="2"/>
  <c r="F1076" i="2"/>
  <c r="G1075" i="2"/>
  <c r="F1075" i="2"/>
  <c r="G1074" i="2"/>
  <c r="F1074" i="2"/>
  <c r="G1073" i="2"/>
  <c r="F1073" i="2"/>
  <c r="G1072" i="2"/>
  <c r="F1072" i="2"/>
  <c r="G1071" i="2"/>
  <c r="F1071" i="2"/>
  <c r="G1070" i="2"/>
  <c r="F1070" i="2"/>
  <c r="G1069" i="2"/>
  <c r="F1069" i="2"/>
  <c r="G1068" i="2"/>
  <c r="F1068" i="2"/>
  <c r="G1067" i="2"/>
  <c r="F1067" i="2"/>
  <c r="G1066" i="2"/>
  <c r="F1066" i="2"/>
  <c r="G1065" i="2"/>
  <c r="F1065" i="2"/>
  <c r="G1064" i="2"/>
  <c r="F1064" i="2"/>
  <c r="G1063" i="2"/>
  <c r="F1063" i="2"/>
  <c r="G1062" i="2"/>
  <c r="F1062" i="2"/>
  <c r="G1061" i="2"/>
  <c r="F1061" i="2"/>
  <c r="G1060" i="2"/>
  <c r="F1060" i="2"/>
  <c r="G1059" i="2"/>
  <c r="F1059" i="2"/>
  <c r="G1058" i="2"/>
  <c r="F1058" i="2"/>
  <c r="G1057" i="2"/>
  <c r="F1057" i="2"/>
  <c r="G1056" i="2"/>
  <c r="F1056" i="2"/>
  <c r="G1055" i="2"/>
  <c r="F1055" i="2"/>
  <c r="G1054" i="2"/>
  <c r="F1054" i="2"/>
  <c r="G1053" i="2"/>
  <c r="F1053" i="2"/>
  <c r="G1052" i="2"/>
  <c r="F1052" i="2"/>
  <c r="G1051" i="2"/>
  <c r="F1051" i="2"/>
  <c r="G1050" i="2"/>
  <c r="F1050" i="2"/>
  <c r="G1049" i="2"/>
  <c r="F1049" i="2"/>
  <c r="G1048" i="2"/>
  <c r="F1048" i="2"/>
  <c r="G1047" i="2"/>
  <c r="F1047" i="2"/>
  <c r="G1046" i="2"/>
  <c r="F1046" i="2"/>
  <c r="G1045" i="2"/>
  <c r="F1045" i="2"/>
  <c r="G1044" i="2"/>
  <c r="F1044" i="2"/>
  <c r="G1043" i="2"/>
  <c r="F1043" i="2"/>
  <c r="G1042" i="2"/>
  <c r="F1042" i="2"/>
  <c r="G1041" i="2"/>
  <c r="F1041" i="2"/>
  <c r="G1040" i="2"/>
  <c r="F1040" i="2"/>
  <c r="G1039" i="2"/>
  <c r="F1039" i="2"/>
  <c r="G1038" i="2"/>
  <c r="F1038" i="2"/>
  <c r="G1037" i="2"/>
  <c r="F1037" i="2"/>
  <c r="G1036" i="2"/>
  <c r="F1036" i="2"/>
  <c r="G1035" i="2"/>
  <c r="F1035" i="2"/>
  <c r="G1034" i="2"/>
  <c r="F1034" i="2"/>
  <c r="G1033" i="2"/>
  <c r="F1033" i="2"/>
  <c r="G1032" i="2"/>
  <c r="F1032" i="2"/>
  <c r="G1031" i="2"/>
  <c r="F1031" i="2"/>
  <c r="G1030" i="2"/>
  <c r="F1030" i="2"/>
  <c r="G1029" i="2"/>
  <c r="F1029" i="2"/>
  <c r="G1028" i="2"/>
  <c r="F1028" i="2"/>
  <c r="G1027" i="2"/>
  <c r="F1027" i="2"/>
  <c r="G1026" i="2"/>
  <c r="F1026" i="2"/>
  <c r="G1025" i="2"/>
  <c r="F1025" i="2"/>
  <c r="G1024" i="2"/>
  <c r="F1024" i="2"/>
  <c r="G1023" i="2"/>
  <c r="F1023" i="2"/>
  <c r="G1022" i="2"/>
  <c r="F1022" i="2"/>
  <c r="G1021" i="2"/>
  <c r="F1021" i="2"/>
  <c r="G1020" i="2"/>
  <c r="F1020" i="2"/>
  <c r="G1019" i="2"/>
  <c r="F1019" i="2"/>
  <c r="G1018" i="2"/>
  <c r="F1018" i="2"/>
  <c r="G1017" i="2"/>
  <c r="F1017" i="2"/>
  <c r="G1016" i="2"/>
  <c r="F1016" i="2"/>
  <c r="G1015" i="2"/>
  <c r="F1015" i="2"/>
  <c r="G1014" i="2"/>
  <c r="F1014" i="2"/>
  <c r="G1013" i="2"/>
  <c r="F1013" i="2"/>
  <c r="G1012" i="2"/>
  <c r="F1012" i="2"/>
  <c r="G1011" i="2"/>
  <c r="F1011" i="2"/>
  <c r="G1010" i="2"/>
  <c r="F1010" i="2"/>
  <c r="G1009" i="2"/>
  <c r="F1009" i="2"/>
  <c r="G1008" i="2"/>
  <c r="F1008" i="2"/>
  <c r="G1007" i="2"/>
  <c r="F1007" i="2"/>
  <c r="G1006" i="2"/>
  <c r="F1006" i="2"/>
  <c r="G1005" i="2"/>
  <c r="F1005" i="2"/>
  <c r="G1004" i="2"/>
  <c r="F1004" i="2"/>
  <c r="G1003" i="2"/>
  <c r="F1003" i="2"/>
  <c r="G1002" i="2"/>
  <c r="F1002" i="2"/>
  <c r="G1001" i="2"/>
  <c r="F1001" i="2"/>
  <c r="G1000" i="2"/>
  <c r="F1000" i="2"/>
  <c r="G999" i="2"/>
  <c r="F999" i="2"/>
  <c r="G998" i="2"/>
  <c r="F998" i="2"/>
  <c r="G997" i="2"/>
  <c r="F997" i="2"/>
  <c r="G996" i="2"/>
  <c r="F996" i="2"/>
  <c r="G995" i="2"/>
  <c r="F995" i="2"/>
  <c r="G994" i="2"/>
  <c r="F994" i="2"/>
  <c r="G993" i="2"/>
  <c r="F993" i="2"/>
  <c r="G992" i="2"/>
  <c r="F992" i="2"/>
  <c r="G991" i="2"/>
  <c r="F991" i="2"/>
  <c r="G990" i="2"/>
  <c r="F990" i="2"/>
  <c r="G989" i="2"/>
  <c r="F989" i="2"/>
  <c r="G988" i="2"/>
  <c r="F988" i="2"/>
  <c r="G987" i="2"/>
  <c r="F987" i="2"/>
  <c r="G986" i="2"/>
  <c r="F986" i="2"/>
  <c r="G985" i="2"/>
  <c r="F985" i="2"/>
  <c r="G984" i="2"/>
  <c r="F984" i="2"/>
  <c r="G983" i="2"/>
  <c r="F983" i="2"/>
  <c r="G982" i="2"/>
  <c r="F982" i="2"/>
  <c r="G981" i="2"/>
  <c r="F981" i="2"/>
  <c r="G980" i="2"/>
  <c r="F980" i="2"/>
  <c r="G979" i="2"/>
  <c r="F979" i="2"/>
  <c r="G978" i="2"/>
  <c r="F978" i="2"/>
  <c r="G977" i="2"/>
  <c r="F977" i="2"/>
  <c r="G976" i="2"/>
  <c r="F976" i="2"/>
  <c r="G975" i="2"/>
  <c r="F975" i="2"/>
  <c r="G974" i="2"/>
  <c r="F974" i="2"/>
  <c r="G973" i="2"/>
  <c r="F973" i="2"/>
  <c r="G972" i="2"/>
  <c r="F972" i="2"/>
  <c r="G971" i="2"/>
  <c r="F971" i="2"/>
  <c r="G970" i="2"/>
  <c r="F970" i="2"/>
  <c r="G969" i="2"/>
  <c r="F969" i="2"/>
  <c r="G968" i="2"/>
  <c r="F968" i="2"/>
  <c r="G967" i="2"/>
  <c r="F967" i="2"/>
  <c r="G966" i="2"/>
  <c r="F966" i="2"/>
  <c r="G965" i="2"/>
  <c r="F965" i="2"/>
  <c r="G964" i="2"/>
  <c r="F964" i="2"/>
  <c r="G963" i="2"/>
  <c r="F963" i="2"/>
  <c r="G962" i="2"/>
  <c r="F962" i="2"/>
  <c r="G961" i="2"/>
  <c r="F961" i="2"/>
  <c r="G960" i="2"/>
  <c r="F960" i="2"/>
  <c r="G959" i="2"/>
  <c r="F959" i="2"/>
  <c r="G958" i="2"/>
  <c r="F958" i="2"/>
  <c r="G957" i="2"/>
  <c r="F957" i="2"/>
  <c r="G956" i="2"/>
  <c r="F956" i="2"/>
  <c r="G955" i="2"/>
  <c r="F955" i="2"/>
  <c r="G954" i="2"/>
  <c r="F954" i="2"/>
  <c r="G953" i="2"/>
  <c r="F953" i="2"/>
  <c r="G952" i="2"/>
  <c r="F952" i="2"/>
  <c r="G951" i="2"/>
  <c r="F951" i="2"/>
  <c r="G950" i="2"/>
  <c r="F950" i="2"/>
  <c r="G949" i="2"/>
  <c r="F949" i="2"/>
  <c r="G948" i="2"/>
  <c r="F948" i="2"/>
  <c r="G947" i="2"/>
  <c r="F947" i="2"/>
  <c r="G946" i="2"/>
  <c r="F946" i="2"/>
  <c r="G945" i="2"/>
  <c r="F945" i="2"/>
  <c r="G944" i="2"/>
  <c r="F944" i="2"/>
  <c r="G943" i="2"/>
  <c r="F943" i="2"/>
  <c r="G942" i="2"/>
  <c r="F942" i="2"/>
  <c r="G941" i="2"/>
  <c r="F941" i="2"/>
  <c r="G940" i="2"/>
  <c r="F940" i="2"/>
  <c r="G939" i="2"/>
  <c r="F939" i="2"/>
  <c r="G938" i="2"/>
  <c r="F938" i="2"/>
  <c r="G937" i="2"/>
  <c r="F937" i="2"/>
  <c r="G936" i="2"/>
  <c r="F936" i="2"/>
  <c r="G935" i="2"/>
  <c r="F935" i="2"/>
  <c r="G934" i="2"/>
  <c r="F934" i="2"/>
  <c r="G933" i="2"/>
  <c r="F933" i="2"/>
  <c r="G932" i="2"/>
  <c r="F932" i="2"/>
  <c r="G931" i="2"/>
  <c r="F931" i="2"/>
  <c r="G930" i="2"/>
  <c r="F930" i="2"/>
  <c r="G929" i="2"/>
  <c r="F929" i="2"/>
  <c r="G928" i="2"/>
  <c r="F928" i="2"/>
  <c r="G927" i="2"/>
  <c r="F927" i="2"/>
  <c r="G926" i="2"/>
  <c r="F926" i="2"/>
  <c r="G925" i="2"/>
  <c r="F925" i="2"/>
  <c r="G924" i="2"/>
  <c r="F924" i="2"/>
  <c r="G923" i="2"/>
  <c r="F923" i="2"/>
  <c r="G922" i="2"/>
  <c r="F922" i="2"/>
  <c r="G921" i="2"/>
  <c r="F921" i="2"/>
  <c r="G920" i="2"/>
  <c r="F920" i="2"/>
  <c r="G919" i="2"/>
  <c r="F919" i="2"/>
  <c r="G918" i="2"/>
  <c r="F918" i="2"/>
  <c r="G917" i="2"/>
  <c r="F917" i="2"/>
  <c r="G916" i="2"/>
  <c r="F916" i="2"/>
  <c r="G915" i="2"/>
  <c r="F915" i="2"/>
  <c r="G914" i="2"/>
  <c r="F914" i="2"/>
  <c r="G913" i="2"/>
  <c r="F913" i="2"/>
  <c r="G912" i="2"/>
  <c r="F912" i="2"/>
  <c r="G911" i="2"/>
  <c r="F911" i="2"/>
  <c r="G910" i="2"/>
  <c r="F910" i="2"/>
  <c r="G909" i="2"/>
  <c r="F909" i="2"/>
  <c r="G908" i="2"/>
  <c r="F908" i="2"/>
  <c r="G907" i="2"/>
  <c r="F907" i="2"/>
  <c r="G906" i="2"/>
  <c r="F906" i="2"/>
  <c r="G905" i="2"/>
  <c r="F905" i="2"/>
  <c r="G904" i="2"/>
  <c r="F904" i="2"/>
  <c r="G903" i="2"/>
  <c r="F903" i="2"/>
  <c r="G902" i="2"/>
  <c r="F902" i="2"/>
  <c r="G901" i="2"/>
  <c r="F901" i="2"/>
  <c r="G900" i="2"/>
  <c r="F900" i="2"/>
  <c r="G899" i="2"/>
  <c r="F899" i="2"/>
  <c r="G898" i="2"/>
  <c r="F898" i="2"/>
  <c r="G897" i="2"/>
  <c r="F897" i="2"/>
  <c r="G896" i="2"/>
  <c r="F896" i="2"/>
  <c r="G895" i="2"/>
  <c r="F895" i="2"/>
  <c r="G894" i="2"/>
  <c r="F894" i="2"/>
  <c r="G893" i="2"/>
  <c r="F893" i="2"/>
  <c r="G892" i="2"/>
  <c r="F892" i="2"/>
  <c r="G891" i="2"/>
  <c r="F891" i="2"/>
  <c r="G890" i="2"/>
  <c r="F890" i="2"/>
  <c r="G889" i="2"/>
  <c r="F889" i="2"/>
  <c r="G888" i="2"/>
  <c r="F888" i="2"/>
  <c r="G887" i="2"/>
  <c r="F887" i="2"/>
  <c r="G886" i="2"/>
  <c r="F886" i="2"/>
  <c r="G885" i="2"/>
  <c r="F885" i="2"/>
  <c r="G884" i="2"/>
  <c r="F884" i="2"/>
  <c r="G883" i="2"/>
  <c r="F883" i="2"/>
  <c r="G882" i="2"/>
  <c r="F882" i="2"/>
  <c r="G881" i="2"/>
  <c r="F881" i="2"/>
  <c r="G880" i="2"/>
  <c r="F880" i="2"/>
  <c r="G879" i="2"/>
  <c r="F879" i="2"/>
  <c r="G878" i="2"/>
  <c r="F878" i="2"/>
  <c r="G877" i="2"/>
  <c r="F877" i="2"/>
  <c r="G876" i="2"/>
  <c r="F876" i="2"/>
  <c r="G875" i="2"/>
  <c r="F875" i="2"/>
  <c r="G874" i="2"/>
  <c r="F874" i="2"/>
  <c r="G873" i="2"/>
  <c r="F873" i="2"/>
  <c r="G872" i="2"/>
  <c r="F872" i="2"/>
  <c r="G871" i="2"/>
  <c r="F871" i="2"/>
  <c r="G870" i="2"/>
  <c r="F870" i="2"/>
  <c r="G869" i="2"/>
  <c r="F869" i="2"/>
  <c r="G868" i="2"/>
  <c r="F868" i="2"/>
  <c r="G867" i="2"/>
  <c r="F867" i="2"/>
  <c r="G866" i="2"/>
  <c r="F866" i="2"/>
  <c r="G865" i="2"/>
  <c r="F865" i="2"/>
  <c r="G864" i="2"/>
  <c r="F864" i="2"/>
  <c r="G863" i="2"/>
  <c r="F863" i="2"/>
  <c r="G862" i="2"/>
  <c r="F862" i="2"/>
  <c r="G861" i="2"/>
  <c r="F861" i="2"/>
  <c r="G860" i="2"/>
  <c r="F860" i="2"/>
  <c r="G859" i="2"/>
  <c r="F859" i="2"/>
  <c r="G858" i="2"/>
  <c r="F858" i="2"/>
  <c r="G857" i="2"/>
  <c r="F857" i="2"/>
  <c r="G856" i="2"/>
  <c r="F856" i="2"/>
  <c r="G855" i="2"/>
  <c r="F855" i="2"/>
  <c r="G854" i="2"/>
  <c r="F854" i="2"/>
  <c r="G853" i="2"/>
  <c r="F853" i="2"/>
  <c r="G852" i="2"/>
  <c r="F852" i="2"/>
  <c r="G851" i="2"/>
  <c r="F851" i="2"/>
  <c r="G850" i="2"/>
  <c r="F850" i="2"/>
  <c r="G849" i="2"/>
  <c r="F849" i="2"/>
  <c r="G848" i="2"/>
  <c r="F848" i="2"/>
  <c r="G847" i="2"/>
  <c r="F847" i="2"/>
  <c r="G846" i="2"/>
  <c r="F846" i="2"/>
  <c r="G845" i="2"/>
  <c r="F845" i="2"/>
  <c r="G844" i="2"/>
  <c r="F844" i="2"/>
  <c r="G843" i="2"/>
  <c r="F843" i="2"/>
  <c r="G842" i="2"/>
  <c r="F842" i="2"/>
  <c r="G841" i="2"/>
  <c r="F841" i="2"/>
  <c r="G840" i="2"/>
  <c r="F840" i="2"/>
  <c r="G839" i="2"/>
  <c r="F839" i="2"/>
  <c r="G838" i="2"/>
  <c r="F838" i="2"/>
  <c r="G837" i="2"/>
  <c r="F837" i="2"/>
  <c r="G836" i="2"/>
  <c r="F836" i="2"/>
  <c r="G835" i="2"/>
  <c r="F835" i="2"/>
  <c r="G834" i="2"/>
  <c r="F834" i="2"/>
  <c r="G833" i="2"/>
  <c r="F833" i="2"/>
  <c r="G832" i="2"/>
  <c r="F832" i="2"/>
  <c r="G831" i="2"/>
  <c r="F831" i="2"/>
  <c r="G830" i="2"/>
  <c r="F830" i="2"/>
  <c r="G829" i="2"/>
  <c r="F829" i="2"/>
  <c r="G828" i="2"/>
  <c r="F828" i="2"/>
  <c r="G827" i="2"/>
  <c r="F827" i="2"/>
  <c r="G826" i="2"/>
  <c r="F826" i="2"/>
  <c r="G825" i="2"/>
  <c r="F825" i="2"/>
  <c r="G824" i="2"/>
  <c r="F824" i="2"/>
  <c r="G823" i="2"/>
  <c r="F823" i="2"/>
  <c r="G822" i="2"/>
  <c r="F822" i="2"/>
  <c r="G821" i="2"/>
  <c r="F821" i="2"/>
  <c r="G820" i="2"/>
  <c r="F820" i="2"/>
  <c r="G819" i="2"/>
  <c r="F819" i="2"/>
  <c r="G818" i="2"/>
  <c r="F818" i="2"/>
  <c r="G817" i="2"/>
  <c r="F817" i="2"/>
  <c r="G816" i="2"/>
  <c r="F816" i="2"/>
  <c r="G815" i="2"/>
  <c r="F815" i="2"/>
  <c r="G814" i="2"/>
  <c r="F814" i="2"/>
  <c r="G813" i="2"/>
  <c r="F813" i="2"/>
  <c r="G812" i="2"/>
  <c r="F812" i="2"/>
  <c r="G811" i="2"/>
  <c r="F811" i="2"/>
  <c r="G810" i="2"/>
  <c r="F810" i="2"/>
  <c r="G809" i="2"/>
  <c r="F809" i="2"/>
  <c r="G808" i="2"/>
  <c r="F808" i="2"/>
  <c r="G807" i="2"/>
  <c r="F807" i="2"/>
  <c r="G806" i="2"/>
  <c r="F806" i="2"/>
  <c r="G805" i="2"/>
  <c r="F805" i="2"/>
  <c r="G804" i="2"/>
  <c r="F804" i="2"/>
  <c r="G803" i="2"/>
  <c r="F803" i="2"/>
  <c r="G802" i="2"/>
  <c r="F802" i="2"/>
  <c r="G801" i="2"/>
  <c r="F801" i="2"/>
  <c r="G800" i="2"/>
  <c r="F800" i="2"/>
  <c r="G799" i="2"/>
  <c r="F799" i="2"/>
  <c r="G798" i="2"/>
  <c r="F798" i="2"/>
  <c r="G797" i="2"/>
  <c r="F797" i="2"/>
  <c r="G796" i="2"/>
  <c r="F796" i="2"/>
  <c r="G795" i="2"/>
  <c r="F795" i="2"/>
  <c r="G794" i="2"/>
  <c r="F794" i="2"/>
  <c r="G793" i="2"/>
  <c r="F793" i="2"/>
  <c r="G792" i="2"/>
  <c r="F792" i="2"/>
  <c r="G791" i="2"/>
  <c r="F791" i="2"/>
  <c r="G790" i="2"/>
  <c r="F790" i="2"/>
  <c r="G789" i="2"/>
  <c r="F789" i="2"/>
  <c r="G788" i="2"/>
  <c r="F788" i="2"/>
  <c r="G787" i="2"/>
  <c r="F787" i="2"/>
  <c r="G786" i="2"/>
  <c r="F786" i="2"/>
  <c r="G785" i="2"/>
  <c r="F785" i="2"/>
  <c r="G784" i="2"/>
  <c r="F784" i="2"/>
  <c r="G783" i="2"/>
  <c r="F783" i="2"/>
  <c r="G782" i="2"/>
  <c r="F782" i="2"/>
  <c r="G781" i="2"/>
  <c r="F781" i="2"/>
  <c r="G780" i="2"/>
  <c r="F780" i="2"/>
  <c r="G779" i="2"/>
  <c r="F779" i="2"/>
  <c r="G778" i="2"/>
  <c r="F778" i="2"/>
  <c r="G777" i="2"/>
  <c r="F777" i="2"/>
  <c r="G776" i="2"/>
  <c r="F776" i="2"/>
  <c r="G775" i="2"/>
  <c r="F775" i="2"/>
  <c r="G774" i="2"/>
  <c r="F774" i="2"/>
  <c r="G773" i="2"/>
  <c r="F773" i="2"/>
  <c r="G772" i="2"/>
  <c r="F772" i="2"/>
  <c r="G771" i="2"/>
  <c r="F771" i="2"/>
  <c r="G770" i="2"/>
  <c r="F770" i="2"/>
  <c r="G769" i="2"/>
  <c r="F769" i="2"/>
  <c r="G768" i="2"/>
  <c r="F768" i="2"/>
  <c r="G767" i="2"/>
  <c r="F767" i="2"/>
  <c r="G766" i="2"/>
  <c r="F766" i="2"/>
  <c r="G765" i="2"/>
  <c r="F765" i="2"/>
  <c r="G764" i="2"/>
  <c r="F764" i="2"/>
  <c r="G763" i="2"/>
  <c r="F763" i="2"/>
  <c r="G762" i="2"/>
  <c r="F762" i="2"/>
  <c r="G761" i="2"/>
  <c r="F761" i="2"/>
  <c r="G760" i="2"/>
  <c r="F760" i="2"/>
  <c r="G759" i="2"/>
  <c r="F759" i="2"/>
  <c r="G758" i="2"/>
  <c r="F758" i="2"/>
  <c r="G757" i="2"/>
  <c r="F757" i="2"/>
  <c r="G756" i="2"/>
  <c r="F756" i="2"/>
  <c r="G755" i="2"/>
  <c r="F755" i="2"/>
  <c r="G754" i="2"/>
  <c r="F754" i="2"/>
  <c r="G753" i="2"/>
  <c r="F753" i="2"/>
  <c r="G752" i="2"/>
  <c r="F752" i="2"/>
  <c r="G751" i="2"/>
  <c r="F751" i="2"/>
  <c r="G750" i="2"/>
  <c r="F750" i="2"/>
  <c r="G749" i="2"/>
  <c r="F749" i="2"/>
  <c r="G748" i="2"/>
  <c r="F748" i="2"/>
  <c r="G747" i="2"/>
  <c r="F747" i="2"/>
  <c r="G746" i="2"/>
  <c r="F746" i="2"/>
  <c r="G745" i="2"/>
  <c r="F745" i="2"/>
  <c r="G744" i="2"/>
  <c r="F744" i="2"/>
  <c r="G743" i="2"/>
  <c r="F743" i="2"/>
  <c r="G742" i="2"/>
  <c r="F742" i="2"/>
  <c r="G741" i="2"/>
  <c r="F741" i="2"/>
  <c r="G740" i="2"/>
  <c r="F740" i="2"/>
  <c r="G739" i="2"/>
  <c r="F739" i="2"/>
  <c r="G738" i="2"/>
  <c r="F738" i="2"/>
  <c r="G737" i="2"/>
  <c r="F737" i="2"/>
  <c r="G736" i="2"/>
  <c r="F736" i="2"/>
  <c r="G735" i="2"/>
  <c r="F735" i="2"/>
  <c r="G734" i="2"/>
  <c r="F734" i="2"/>
  <c r="G733" i="2"/>
  <c r="F733" i="2"/>
  <c r="G732" i="2"/>
  <c r="F732" i="2"/>
  <c r="G731" i="2"/>
  <c r="F731" i="2"/>
  <c r="G730" i="2"/>
  <c r="F730" i="2"/>
  <c r="G729" i="2"/>
  <c r="F729" i="2"/>
  <c r="G728" i="2"/>
  <c r="F728" i="2"/>
  <c r="G727" i="2"/>
  <c r="F727" i="2"/>
  <c r="G726" i="2"/>
  <c r="F726" i="2"/>
  <c r="G725" i="2"/>
  <c r="F725" i="2"/>
  <c r="G724" i="2"/>
  <c r="F724" i="2"/>
  <c r="G723" i="2"/>
  <c r="F723" i="2"/>
  <c r="G722" i="2"/>
  <c r="F722" i="2"/>
  <c r="G721" i="2"/>
  <c r="F721" i="2"/>
  <c r="G720" i="2"/>
  <c r="F720" i="2"/>
  <c r="G719" i="2"/>
  <c r="F719" i="2"/>
  <c r="G718" i="2"/>
  <c r="F718" i="2"/>
  <c r="G717" i="2"/>
  <c r="F717" i="2"/>
  <c r="G716" i="2"/>
  <c r="F716" i="2"/>
  <c r="G715" i="2"/>
  <c r="F715" i="2"/>
  <c r="G714" i="2"/>
  <c r="F714" i="2"/>
  <c r="G713" i="2"/>
  <c r="F713" i="2"/>
  <c r="G712" i="2"/>
  <c r="F712" i="2"/>
  <c r="G711" i="2"/>
  <c r="F711" i="2"/>
  <c r="G710" i="2"/>
  <c r="F710" i="2"/>
  <c r="G709" i="2"/>
  <c r="F709" i="2"/>
  <c r="G708" i="2"/>
  <c r="F708" i="2"/>
  <c r="G707" i="2"/>
  <c r="F707" i="2"/>
  <c r="G706" i="2"/>
  <c r="F706" i="2"/>
  <c r="G705" i="2"/>
  <c r="F705" i="2"/>
  <c r="G704" i="2"/>
  <c r="F704" i="2"/>
  <c r="G703" i="2"/>
  <c r="F703" i="2"/>
  <c r="G702" i="2"/>
  <c r="F702" i="2"/>
  <c r="G701" i="2"/>
  <c r="F701" i="2"/>
  <c r="G700" i="2"/>
  <c r="F700" i="2"/>
  <c r="G699" i="2"/>
  <c r="F699" i="2"/>
  <c r="G698" i="2"/>
  <c r="F698" i="2"/>
  <c r="G697" i="2"/>
  <c r="F697" i="2"/>
  <c r="G696" i="2"/>
  <c r="F696" i="2"/>
  <c r="G695" i="2"/>
  <c r="F695" i="2"/>
  <c r="G694" i="2"/>
  <c r="F694" i="2"/>
  <c r="G693" i="2"/>
  <c r="F693" i="2"/>
  <c r="G692" i="2"/>
  <c r="F692" i="2"/>
  <c r="G691" i="2"/>
  <c r="F691" i="2"/>
  <c r="G690" i="2"/>
  <c r="F690" i="2"/>
  <c r="G689" i="2"/>
  <c r="F689" i="2"/>
  <c r="G688" i="2"/>
  <c r="F688" i="2"/>
  <c r="G687" i="2"/>
  <c r="F687" i="2"/>
  <c r="G686" i="2"/>
  <c r="F686" i="2"/>
  <c r="G685" i="2"/>
  <c r="F685" i="2"/>
  <c r="G684" i="2"/>
  <c r="F684" i="2"/>
  <c r="G683" i="2"/>
  <c r="F683" i="2"/>
  <c r="G682" i="2"/>
  <c r="F682" i="2"/>
  <c r="G681" i="2"/>
  <c r="F681" i="2"/>
  <c r="G680" i="2"/>
  <c r="F680" i="2"/>
  <c r="G679" i="2"/>
  <c r="F679" i="2"/>
  <c r="G678" i="2"/>
  <c r="F678" i="2"/>
  <c r="G677" i="2"/>
  <c r="F677" i="2"/>
  <c r="G676" i="2"/>
  <c r="F676" i="2"/>
  <c r="G675" i="2"/>
  <c r="F675" i="2"/>
  <c r="G674" i="2"/>
  <c r="F674" i="2"/>
  <c r="G673" i="2"/>
  <c r="F673" i="2"/>
  <c r="G672" i="2"/>
  <c r="F672" i="2"/>
  <c r="G671" i="2"/>
  <c r="F671" i="2"/>
  <c r="G670" i="2"/>
  <c r="F670" i="2"/>
  <c r="G669" i="2"/>
  <c r="F669" i="2"/>
  <c r="G668" i="2"/>
  <c r="F668" i="2"/>
  <c r="G667" i="2"/>
  <c r="F667" i="2"/>
  <c r="G666" i="2"/>
  <c r="F666" i="2"/>
  <c r="G665" i="2"/>
  <c r="F665" i="2"/>
  <c r="G664" i="2"/>
  <c r="F664" i="2"/>
  <c r="G663" i="2"/>
  <c r="F663" i="2"/>
  <c r="G662" i="2"/>
  <c r="F662" i="2"/>
  <c r="G661" i="2"/>
  <c r="F661" i="2"/>
  <c r="G660" i="2"/>
  <c r="F660" i="2"/>
  <c r="G659" i="2"/>
  <c r="F659" i="2"/>
  <c r="G658" i="2"/>
  <c r="F658" i="2"/>
  <c r="G657" i="2"/>
  <c r="F657" i="2"/>
  <c r="G656" i="2"/>
  <c r="F656" i="2"/>
  <c r="G655" i="2"/>
  <c r="F655" i="2"/>
  <c r="G654" i="2"/>
  <c r="F654" i="2"/>
  <c r="G653" i="2"/>
  <c r="F653" i="2"/>
  <c r="G652" i="2"/>
  <c r="F652" i="2"/>
  <c r="G651" i="2"/>
  <c r="F651" i="2"/>
  <c r="G650" i="2"/>
  <c r="F650" i="2"/>
  <c r="G649" i="2"/>
  <c r="F649" i="2"/>
  <c r="G648" i="2"/>
  <c r="F648" i="2"/>
  <c r="G647" i="2"/>
  <c r="F647" i="2"/>
  <c r="G646" i="2"/>
  <c r="F646" i="2"/>
  <c r="G645" i="2"/>
  <c r="F645" i="2"/>
  <c r="G644" i="2"/>
  <c r="F644" i="2"/>
  <c r="G643" i="2"/>
  <c r="F643" i="2"/>
  <c r="G642" i="2"/>
  <c r="F642" i="2"/>
  <c r="G641" i="2"/>
  <c r="F641" i="2"/>
  <c r="G640" i="2"/>
  <c r="F640" i="2"/>
  <c r="G639" i="2"/>
  <c r="F639" i="2"/>
  <c r="G638" i="2"/>
  <c r="F638" i="2"/>
  <c r="G637" i="2"/>
  <c r="F637" i="2"/>
  <c r="G636" i="2"/>
  <c r="F636" i="2"/>
  <c r="G635" i="2"/>
  <c r="F635" i="2"/>
  <c r="G634" i="2"/>
  <c r="F634" i="2"/>
  <c r="G633" i="2"/>
  <c r="F633" i="2"/>
  <c r="G632" i="2"/>
  <c r="F632" i="2"/>
  <c r="G631" i="2"/>
  <c r="F631" i="2"/>
  <c r="G630" i="2"/>
  <c r="F630" i="2"/>
  <c r="G629" i="2"/>
  <c r="F629" i="2"/>
  <c r="G628" i="2"/>
  <c r="F628" i="2"/>
  <c r="G627" i="2"/>
  <c r="F627" i="2"/>
  <c r="G626" i="2"/>
  <c r="F626" i="2"/>
  <c r="G625" i="2"/>
  <c r="F625" i="2"/>
  <c r="G624" i="2"/>
  <c r="F624" i="2"/>
  <c r="G623" i="2"/>
  <c r="F623" i="2"/>
  <c r="G622" i="2"/>
  <c r="F622" i="2"/>
  <c r="G621" i="2"/>
  <c r="F621" i="2"/>
  <c r="G620" i="2"/>
  <c r="F620" i="2"/>
  <c r="G619" i="2"/>
  <c r="F619" i="2"/>
  <c r="G618" i="2"/>
  <c r="F618" i="2"/>
  <c r="G617" i="2"/>
  <c r="F617" i="2"/>
  <c r="G616" i="2"/>
  <c r="F616" i="2"/>
  <c r="G615" i="2"/>
  <c r="F615" i="2"/>
  <c r="G614" i="2"/>
  <c r="F614" i="2"/>
  <c r="G613" i="2"/>
  <c r="F613" i="2"/>
  <c r="G612" i="2"/>
  <c r="F612" i="2"/>
  <c r="G611" i="2"/>
  <c r="F611" i="2"/>
  <c r="G610" i="2"/>
  <c r="F610" i="2"/>
  <c r="G609" i="2"/>
  <c r="F609" i="2"/>
  <c r="G608" i="2"/>
  <c r="F608" i="2"/>
  <c r="G607" i="2"/>
  <c r="F607" i="2"/>
  <c r="G606" i="2"/>
  <c r="F606" i="2"/>
  <c r="G605" i="2"/>
  <c r="F605" i="2"/>
  <c r="G604" i="2"/>
  <c r="F604" i="2"/>
  <c r="G603" i="2"/>
  <c r="F603" i="2"/>
  <c r="G602" i="2"/>
  <c r="F602" i="2"/>
  <c r="G601" i="2"/>
  <c r="F601" i="2"/>
  <c r="G600" i="2"/>
  <c r="F600" i="2"/>
  <c r="G599" i="2"/>
  <c r="F599" i="2"/>
  <c r="G598" i="2"/>
  <c r="F598" i="2"/>
  <c r="G597" i="2"/>
  <c r="F597" i="2"/>
  <c r="G596" i="2"/>
  <c r="F596" i="2"/>
  <c r="G595" i="2"/>
  <c r="F595" i="2"/>
  <c r="G594" i="2"/>
  <c r="F594" i="2"/>
  <c r="G593" i="2"/>
  <c r="F593" i="2"/>
  <c r="G592" i="2"/>
  <c r="F592" i="2"/>
  <c r="G591" i="2"/>
  <c r="F591" i="2"/>
  <c r="G590" i="2"/>
  <c r="F590" i="2"/>
  <c r="G589" i="2"/>
  <c r="F589" i="2"/>
  <c r="G588" i="2"/>
  <c r="F588" i="2"/>
  <c r="G587" i="2"/>
  <c r="F587" i="2"/>
  <c r="G586" i="2"/>
  <c r="F586" i="2"/>
  <c r="G585" i="2"/>
  <c r="F585" i="2"/>
  <c r="G584" i="2"/>
  <c r="F584" i="2"/>
  <c r="G583" i="2"/>
  <c r="F583" i="2"/>
  <c r="G582" i="2"/>
  <c r="F582" i="2"/>
  <c r="G581" i="2"/>
  <c r="F581" i="2"/>
  <c r="G580" i="2"/>
  <c r="F580" i="2"/>
  <c r="G579" i="2"/>
  <c r="F579" i="2"/>
  <c r="G578" i="2"/>
  <c r="F578" i="2"/>
  <c r="G577" i="2"/>
  <c r="F577" i="2"/>
  <c r="G576" i="2"/>
  <c r="F576" i="2"/>
  <c r="G575" i="2"/>
  <c r="F575" i="2"/>
  <c r="G574" i="2"/>
  <c r="F574" i="2"/>
  <c r="G573" i="2"/>
  <c r="F573" i="2"/>
  <c r="G572" i="2"/>
  <c r="F572" i="2"/>
  <c r="G571" i="2"/>
  <c r="F571" i="2"/>
  <c r="G570" i="2"/>
  <c r="F570" i="2"/>
  <c r="G569" i="2"/>
  <c r="F569" i="2"/>
  <c r="G568" i="2"/>
  <c r="F568" i="2"/>
  <c r="G567" i="2"/>
  <c r="F567" i="2"/>
  <c r="G566" i="2"/>
  <c r="F566" i="2"/>
  <c r="G565" i="2"/>
  <c r="F565" i="2"/>
  <c r="G564" i="2"/>
  <c r="F564" i="2"/>
  <c r="G563" i="2"/>
  <c r="F563" i="2"/>
  <c r="G562" i="2"/>
  <c r="F562" i="2"/>
  <c r="G561" i="2"/>
  <c r="F561" i="2"/>
  <c r="G560" i="2"/>
  <c r="F560" i="2"/>
  <c r="G559" i="2"/>
  <c r="F559" i="2"/>
  <c r="G558" i="2"/>
  <c r="F558" i="2"/>
  <c r="G557" i="2"/>
  <c r="F557" i="2"/>
  <c r="G556" i="2"/>
  <c r="F556" i="2"/>
  <c r="G555" i="2"/>
  <c r="F555" i="2"/>
  <c r="G554" i="2"/>
  <c r="F554" i="2"/>
  <c r="G553" i="2"/>
  <c r="F553" i="2"/>
  <c r="G552" i="2"/>
  <c r="F552" i="2"/>
  <c r="G551" i="2"/>
  <c r="F551" i="2"/>
  <c r="G550" i="2"/>
  <c r="F550" i="2"/>
  <c r="G549" i="2"/>
  <c r="F549" i="2"/>
  <c r="G548" i="2"/>
  <c r="F548" i="2"/>
  <c r="G547" i="2"/>
  <c r="F547" i="2"/>
  <c r="G546" i="2"/>
  <c r="F546" i="2"/>
  <c r="G545" i="2"/>
  <c r="F545" i="2"/>
  <c r="G544" i="2"/>
  <c r="F544" i="2"/>
  <c r="G543" i="2"/>
  <c r="F543" i="2"/>
  <c r="G542" i="2"/>
  <c r="F542" i="2"/>
  <c r="G541" i="2"/>
  <c r="F541" i="2"/>
  <c r="G540" i="2"/>
  <c r="F540" i="2"/>
  <c r="G539" i="2"/>
  <c r="F539" i="2"/>
  <c r="G538" i="2"/>
  <c r="F538" i="2"/>
  <c r="G537" i="2"/>
  <c r="F537" i="2"/>
  <c r="G536" i="2"/>
  <c r="F536" i="2"/>
  <c r="G535" i="2"/>
  <c r="F535" i="2"/>
  <c r="G534" i="2"/>
  <c r="F534" i="2"/>
  <c r="G533" i="2"/>
  <c r="F533" i="2"/>
  <c r="G532" i="2"/>
  <c r="F532" i="2"/>
  <c r="G531" i="2"/>
  <c r="F531" i="2"/>
  <c r="G530" i="2"/>
  <c r="F530" i="2"/>
  <c r="G529" i="2"/>
  <c r="F529" i="2"/>
  <c r="G528" i="2"/>
  <c r="F528" i="2"/>
  <c r="G527" i="2"/>
  <c r="F527" i="2"/>
  <c r="G526" i="2"/>
  <c r="F526" i="2"/>
  <c r="G525" i="2"/>
  <c r="F525" i="2"/>
  <c r="G524" i="2"/>
  <c r="F524" i="2"/>
  <c r="G523" i="2"/>
  <c r="F523" i="2"/>
  <c r="G522" i="2"/>
  <c r="F522" i="2"/>
  <c r="G521" i="2"/>
  <c r="F521" i="2"/>
  <c r="G520" i="2"/>
  <c r="F520" i="2"/>
  <c r="G519" i="2"/>
  <c r="F519" i="2"/>
  <c r="G518" i="2"/>
  <c r="F518" i="2"/>
  <c r="G517" i="2"/>
  <c r="F517" i="2"/>
  <c r="G516" i="2"/>
  <c r="F516" i="2"/>
  <c r="G515" i="2"/>
  <c r="F515" i="2"/>
  <c r="G514" i="2"/>
  <c r="F514" i="2"/>
  <c r="G513" i="2"/>
  <c r="F513" i="2"/>
  <c r="G512" i="2"/>
  <c r="F512" i="2"/>
  <c r="G511" i="2"/>
  <c r="F511" i="2"/>
  <c r="G510" i="2"/>
  <c r="F510" i="2"/>
  <c r="G509" i="2"/>
  <c r="F509" i="2"/>
  <c r="G508" i="2"/>
  <c r="F508" i="2"/>
  <c r="G507" i="2"/>
  <c r="F507" i="2"/>
  <c r="G506" i="2"/>
  <c r="F506" i="2"/>
  <c r="G505" i="2"/>
  <c r="F505" i="2"/>
  <c r="G504" i="2"/>
  <c r="F504" i="2"/>
  <c r="G503" i="2"/>
  <c r="F503" i="2"/>
  <c r="G502" i="2"/>
  <c r="F502" i="2"/>
  <c r="G501" i="2"/>
  <c r="F501" i="2"/>
  <c r="G500" i="2"/>
  <c r="F500" i="2"/>
  <c r="G499" i="2"/>
  <c r="F499" i="2"/>
  <c r="G498" i="2"/>
  <c r="F498" i="2"/>
  <c r="G497" i="2"/>
  <c r="F497" i="2"/>
  <c r="G496" i="2"/>
  <c r="F496" i="2"/>
  <c r="G495" i="2"/>
  <c r="F495" i="2"/>
  <c r="G494" i="2"/>
  <c r="F494" i="2"/>
  <c r="G493" i="2"/>
  <c r="F493" i="2"/>
  <c r="G492" i="2"/>
  <c r="F492" i="2"/>
  <c r="G491" i="2"/>
  <c r="F491" i="2"/>
  <c r="G490" i="2"/>
  <c r="F490" i="2"/>
  <c r="G489" i="2"/>
  <c r="F489" i="2"/>
  <c r="G488" i="2"/>
  <c r="F488" i="2"/>
  <c r="G487" i="2"/>
  <c r="F487" i="2"/>
  <c r="G486" i="2"/>
  <c r="F486" i="2"/>
  <c r="G485" i="2"/>
  <c r="F485" i="2"/>
  <c r="G484" i="2"/>
  <c r="F484" i="2"/>
  <c r="G483" i="2"/>
  <c r="F483" i="2"/>
  <c r="G482" i="2"/>
  <c r="F482" i="2"/>
  <c r="G481" i="2"/>
  <c r="F481" i="2"/>
  <c r="G480" i="2"/>
  <c r="F480" i="2"/>
  <c r="G479" i="2"/>
  <c r="F479" i="2"/>
  <c r="G478" i="2"/>
  <c r="F478" i="2"/>
  <c r="G477" i="2"/>
  <c r="F477" i="2"/>
  <c r="G476" i="2"/>
  <c r="F476" i="2"/>
  <c r="G475" i="2"/>
  <c r="F475" i="2"/>
  <c r="G474" i="2"/>
  <c r="F474" i="2"/>
  <c r="G473" i="2"/>
  <c r="F473" i="2"/>
  <c r="G472" i="2"/>
  <c r="F472" i="2"/>
  <c r="G471" i="2"/>
  <c r="F471" i="2"/>
  <c r="G470" i="2"/>
  <c r="F470" i="2"/>
  <c r="G469" i="2"/>
  <c r="F469" i="2"/>
  <c r="G468" i="2"/>
  <c r="F468" i="2"/>
  <c r="G467" i="2"/>
  <c r="F467" i="2"/>
  <c r="G466" i="2"/>
  <c r="F466" i="2"/>
  <c r="G465" i="2"/>
  <c r="F465" i="2"/>
  <c r="G464" i="2"/>
  <c r="F464" i="2"/>
  <c r="G463" i="2"/>
  <c r="F463" i="2"/>
  <c r="G462" i="2"/>
  <c r="F462" i="2"/>
  <c r="G461" i="2"/>
  <c r="F461" i="2"/>
  <c r="G460" i="2"/>
  <c r="F460" i="2"/>
  <c r="G459" i="2"/>
  <c r="F459" i="2"/>
  <c r="G458" i="2"/>
  <c r="F458" i="2"/>
  <c r="G457" i="2"/>
  <c r="F457" i="2"/>
  <c r="G456" i="2"/>
  <c r="F456" i="2"/>
  <c r="G455" i="2"/>
  <c r="F455" i="2"/>
  <c r="G454" i="2"/>
  <c r="F454" i="2"/>
  <c r="G453" i="2"/>
  <c r="F453" i="2"/>
  <c r="G452" i="2"/>
  <c r="F452" i="2"/>
  <c r="G451" i="2"/>
  <c r="F451" i="2"/>
  <c r="G450" i="2"/>
  <c r="F450" i="2"/>
  <c r="G449" i="2"/>
  <c r="F449" i="2"/>
  <c r="G448" i="2"/>
  <c r="F448" i="2"/>
  <c r="G447" i="2"/>
  <c r="F447" i="2"/>
  <c r="G446" i="2"/>
  <c r="F446" i="2"/>
  <c r="G445" i="2"/>
  <c r="F445" i="2"/>
  <c r="G444" i="2"/>
  <c r="F444" i="2"/>
  <c r="G443" i="2"/>
  <c r="F443" i="2"/>
  <c r="G442" i="2"/>
  <c r="F442" i="2"/>
  <c r="G441" i="2"/>
  <c r="F441" i="2"/>
  <c r="G440" i="2"/>
  <c r="F440" i="2"/>
  <c r="G439" i="2"/>
  <c r="F439" i="2"/>
  <c r="G438" i="2"/>
  <c r="F438" i="2"/>
  <c r="G437" i="2"/>
  <c r="F437" i="2"/>
  <c r="G436" i="2"/>
  <c r="F436" i="2"/>
  <c r="G435" i="2"/>
  <c r="F435" i="2"/>
  <c r="G434" i="2"/>
  <c r="F434" i="2"/>
  <c r="G433" i="2"/>
  <c r="F433" i="2"/>
  <c r="G432" i="2"/>
  <c r="F432" i="2"/>
  <c r="G431" i="2"/>
  <c r="F431" i="2"/>
  <c r="G430" i="2"/>
  <c r="F430" i="2"/>
  <c r="G429" i="2"/>
  <c r="F429" i="2"/>
  <c r="G428" i="2"/>
  <c r="F428" i="2"/>
  <c r="G427" i="2"/>
  <c r="F427" i="2"/>
  <c r="G426" i="2"/>
  <c r="F426" i="2"/>
  <c r="G425" i="2"/>
  <c r="F425" i="2"/>
  <c r="G424" i="2"/>
  <c r="F424" i="2"/>
  <c r="G423" i="2"/>
  <c r="F423" i="2"/>
  <c r="G422" i="2"/>
  <c r="F422" i="2"/>
  <c r="G421" i="2"/>
  <c r="F421" i="2"/>
  <c r="G420" i="2"/>
  <c r="F420" i="2"/>
  <c r="G419" i="2"/>
  <c r="F419" i="2"/>
  <c r="G418" i="2"/>
  <c r="F418" i="2"/>
  <c r="G417" i="2"/>
  <c r="F417" i="2"/>
  <c r="G416" i="2"/>
  <c r="F416" i="2"/>
  <c r="G415" i="2"/>
  <c r="F415" i="2"/>
  <c r="G414" i="2"/>
  <c r="F414" i="2"/>
  <c r="G413" i="2"/>
  <c r="F413" i="2"/>
  <c r="G412" i="2"/>
  <c r="F412" i="2"/>
  <c r="G411" i="2"/>
  <c r="F411" i="2"/>
  <c r="G410" i="2"/>
  <c r="F410" i="2"/>
  <c r="G409" i="2"/>
  <c r="F409" i="2"/>
  <c r="G408" i="2"/>
  <c r="F408" i="2"/>
  <c r="G407" i="2"/>
  <c r="F407" i="2"/>
  <c r="G406" i="2"/>
  <c r="F406" i="2"/>
  <c r="G405" i="2"/>
  <c r="F405" i="2"/>
  <c r="G404" i="2"/>
  <c r="F404" i="2"/>
  <c r="G403" i="2"/>
  <c r="F403" i="2"/>
  <c r="G402" i="2"/>
  <c r="F402" i="2"/>
  <c r="G401" i="2"/>
  <c r="F401" i="2"/>
  <c r="G400" i="2"/>
  <c r="F400" i="2"/>
  <c r="G399" i="2"/>
  <c r="F399" i="2"/>
  <c r="G398" i="2"/>
  <c r="F398" i="2"/>
  <c r="G397" i="2"/>
  <c r="F397" i="2"/>
  <c r="G396" i="2"/>
  <c r="F396" i="2"/>
  <c r="G395" i="2"/>
  <c r="F395" i="2"/>
  <c r="G394" i="2"/>
  <c r="F394" i="2"/>
  <c r="G393" i="2"/>
  <c r="F393" i="2"/>
  <c r="G392" i="2"/>
  <c r="F392" i="2"/>
  <c r="G391" i="2"/>
  <c r="F391" i="2"/>
  <c r="G390" i="2"/>
  <c r="F390" i="2"/>
  <c r="G389" i="2"/>
  <c r="F389" i="2"/>
  <c r="G388" i="2"/>
  <c r="F388" i="2"/>
  <c r="G387" i="2"/>
  <c r="F387" i="2"/>
  <c r="G386" i="2"/>
  <c r="F386" i="2"/>
  <c r="G385" i="2"/>
  <c r="F385" i="2"/>
  <c r="G384" i="2"/>
  <c r="F384" i="2"/>
  <c r="G383" i="2"/>
  <c r="F383" i="2"/>
  <c r="G382" i="2"/>
  <c r="F382" i="2"/>
  <c r="G381" i="2"/>
  <c r="F381" i="2"/>
  <c r="G380" i="2"/>
  <c r="F380" i="2"/>
  <c r="G379" i="2"/>
  <c r="F379" i="2"/>
  <c r="G378" i="2"/>
  <c r="F378" i="2"/>
  <c r="G377" i="2"/>
  <c r="F377" i="2"/>
  <c r="G376" i="2"/>
  <c r="F376" i="2"/>
  <c r="G375" i="2"/>
  <c r="F375" i="2"/>
  <c r="G374" i="2"/>
  <c r="F374" i="2"/>
  <c r="G373" i="2"/>
  <c r="F373" i="2"/>
  <c r="G372" i="2"/>
  <c r="F372" i="2"/>
  <c r="G371" i="2"/>
  <c r="F371" i="2"/>
  <c r="G370" i="2"/>
  <c r="F370" i="2"/>
  <c r="G369" i="2"/>
  <c r="F369" i="2"/>
  <c r="G368" i="2"/>
  <c r="F368" i="2"/>
  <c r="G367" i="2"/>
  <c r="F367" i="2"/>
  <c r="G366" i="2"/>
  <c r="F366" i="2"/>
  <c r="G365" i="2"/>
  <c r="F365" i="2"/>
  <c r="G364" i="2"/>
  <c r="F364" i="2"/>
  <c r="G363" i="2"/>
  <c r="F363" i="2"/>
  <c r="G362" i="2"/>
  <c r="F362" i="2"/>
  <c r="G361" i="2"/>
  <c r="F361" i="2"/>
  <c r="G360" i="2"/>
  <c r="F360" i="2"/>
  <c r="G359" i="2"/>
  <c r="F359" i="2"/>
  <c r="G358" i="2"/>
  <c r="F358" i="2"/>
  <c r="G357" i="2"/>
  <c r="F357" i="2"/>
  <c r="G356" i="2"/>
  <c r="F356" i="2"/>
  <c r="G355" i="2"/>
  <c r="F355" i="2"/>
  <c r="G354" i="2"/>
  <c r="F354" i="2"/>
  <c r="G353" i="2"/>
  <c r="F353" i="2"/>
  <c r="G352" i="2"/>
  <c r="F352" i="2"/>
  <c r="G351" i="2"/>
  <c r="F351" i="2"/>
  <c r="G350" i="2"/>
  <c r="F350" i="2"/>
  <c r="G349" i="2"/>
  <c r="F349" i="2"/>
  <c r="G348" i="2"/>
  <c r="F348" i="2"/>
  <c r="G347" i="2"/>
  <c r="F347" i="2"/>
  <c r="G346" i="2"/>
  <c r="F346" i="2"/>
  <c r="G345" i="2"/>
  <c r="F345" i="2"/>
  <c r="G344" i="2"/>
  <c r="F344" i="2"/>
  <c r="G343" i="2"/>
  <c r="F343" i="2"/>
  <c r="G342" i="2"/>
  <c r="F342" i="2"/>
  <c r="G341" i="2"/>
  <c r="F341" i="2"/>
  <c r="G340" i="2"/>
  <c r="F340" i="2"/>
  <c r="G339" i="2"/>
  <c r="F339" i="2"/>
  <c r="G338" i="2"/>
  <c r="F338" i="2"/>
  <c r="G337" i="2"/>
  <c r="F337" i="2"/>
  <c r="G336" i="2"/>
  <c r="F336" i="2"/>
  <c r="G335" i="2"/>
  <c r="F335" i="2"/>
  <c r="G334" i="2"/>
  <c r="F334" i="2"/>
  <c r="G333" i="2"/>
  <c r="F333" i="2"/>
  <c r="G332" i="2"/>
  <c r="F332" i="2"/>
  <c r="G331" i="2"/>
  <c r="F331" i="2"/>
  <c r="G330" i="2"/>
  <c r="F330" i="2"/>
  <c r="G329" i="2"/>
  <c r="F329" i="2"/>
  <c r="G328" i="2"/>
  <c r="F328" i="2"/>
  <c r="G327" i="2"/>
  <c r="F327" i="2"/>
  <c r="G326" i="2"/>
  <c r="F326" i="2"/>
  <c r="G325" i="2"/>
  <c r="F325" i="2"/>
  <c r="G324" i="2"/>
  <c r="F324" i="2"/>
  <c r="G323" i="2"/>
  <c r="F323" i="2"/>
  <c r="G322" i="2"/>
  <c r="F322" i="2"/>
  <c r="G321" i="2"/>
  <c r="F321" i="2"/>
  <c r="G320" i="2"/>
  <c r="F320" i="2"/>
  <c r="G319" i="2"/>
  <c r="F319" i="2"/>
  <c r="G318" i="2"/>
  <c r="F318" i="2"/>
  <c r="G317" i="2"/>
  <c r="F317" i="2"/>
  <c r="G316" i="2"/>
  <c r="F316" i="2"/>
  <c r="G315" i="2"/>
  <c r="F315" i="2"/>
  <c r="G314" i="2"/>
  <c r="F314" i="2"/>
  <c r="G313" i="2"/>
  <c r="F313" i="2"/>
  <c r="G312" i="2"/>
  <c r="F312" i="2"/>
  <c r="G311" i="2"/>
  <c r="F311" i="2"/>
  <c r="G310" i="2"/>
  <c r="F310" i="2"/>
  <c r="G309" i="2"/>
  <c r="F309" i="2"/>
  <c r="G308" i="2"/>
  <c r="F308" i="2"/>
  <c r="G307" i="2"/>
  <c r="F307" i="2"/>
  <c r="G306" i="2"/>
  <c r="F306" i="2"/>
  <c r="G305" i="2"/>
  <c r="F305" i="2"/>
  <c r="G304" i="2"/>
  <c r="F304" i="2"/>
  <c r="G303" i="2"/>
  <c r="F303" i="2"/>
  <c r="G302" i="2"/>
  <c r="F302" i="2"/>
  <c r="G301" i="2"/>
  <c r="F301" i="2"/>
  <c r="G300" i="2"/>
  <c r="F300" i="2"/>
  <c r="G299" i="2"/>
  <c r="F299" i="2"/>
  <c r="G298" i="2"/>
  <c r="F298" i="2"/>
  <c r="G297" i="2"/>
  <c r="F297" i="2"/>
  <c r="G296" i="2"/>
  <c r="F296" i="2"/>
  <c r="G295" i="2"/>
  <c r="F295" i="2"/>
  <c r="G294" i="2"/>
  <c r="F294" i="2"/>
  <c r="G293" i="2"/>
  <c r="F293" i="2"/>
  <c r="G292" i="2"/>
  <c r="F292" i="2"/>
  <c r="G291" i="2"/>
  <c r="F291" i="2"/>
  <c r="G290" i="2"/>
  <c r="F290" i="2"/>
  <c r="G289" i="2"/>
  <c r="F289" i="2"/>
  <c r="G288" i="2"/>
  <c r="F288" i="2"/>
  <c r="G287" i="2"/>
  <c r="F287" i="2"/>
  <c r="G286" i="2"/>
  <c r="F286" i="2"/>
  <c r="G285" i="2"/>
  <c r="F285" i="2"/>
  <c r="G284" i="2"/>
  <c r="F284" i="2"/>
  <c r="G283" i="2"/>
  <c r="F283" i="2"/>
  <c r="G282" i="2"/>
  <c r="F282" i="2"/>
  <c r="G281" i="2"/>
  <c r="F281" i="2"/>
  <c r="G280" i="2"/>
  <c r="F280" i="2"/>
  <c r="G279" i="2"/>
  <c r="F279" i="2"/>
  <c r="G278" i="2"/>
  <c r="F278" i="2"/>
  <c r="G277" i="2"/>
  <c r="F277" i="2"/>
  <c r="G276" i="2"/>
  <c r="F276" i="2"/>
  <c r="G275" i="2"/>
  <c r="F275" i="2"/>
  <c r="G274" i="2"/>
  <c r="F274" i="2"/>
  <c r="G273" i="2"/>
  <c r="F273" i="2"/>
  <c r="G272" i="2"/>
  <c r="F272" i="2"/>
  <c r="G271" i="2"/>
  <c r="F271" i="2"/>
  <c r="G270" i="2"/>
  <c r="F270" i="2"/>
  <c r="G269" i="2"/>
  <c r="F269" i="2"/>
  <c r="G268" i="2"/>
  <c r="F268" i="2"/>
  <c r="G267" i="2"/>
  <c r="F267" i="2"/>
  <c r="G266" i="2"/>
  <c r="F266" i="2"/>
  <c r="G265" i="2"/>
  <c r="F265" i="2"/>
  <c r="G264" i="2"/>
  <c r="F264" i="2"/>
  <c r="G263" i="2"/>
  <c r="F263" i="2"/>
  <c r="G262" i="2"/>
  <c r="F262" i="2"/>
  <c r="G261" i="2"/>
  <c r="F261" i="2"/>
  <c r="G260" i="2"/>
  <c r="F260" i="2"/>
  <c r="G259" i="2"/>
  <c r="F259" i="2"/>
  <c r="G258" i="2"/>
  <c r="F258" i="2"/>
  <c r="G257" i="2"/>
  <c r="F257" i="2"/>
  <c r="G256" i="2"/>
  <c r="F256" i="2"/>
  <c r="G255" i="2"/>
  <c r="F255" i="2"/>
  <c r="G254" i="2"/>
  <c r="F254" i="2"/>
  <c r="G253" i="2"/>
  <c r="F253" i="2"/>
  <c r="G252" i="2"/>
  <c r="F252" i="2"/>
  <c r="G251" i="2"/>
  <c r="F251" i="2"/>
  <c r="G250" i="2"/>
  <c r="F250" i="2"/>
  <c r="G249" i="2"/>
  <c r="F249" i="2"/>
  <c r="G248" i="2"/>
  <c r="F248" i="2"/>
  <c r="G247" i="2"/>
  <c r="F247" i="2"/>
  <c r="G246" i="2"/>
  <c r="F246" i="2"/>
  <c r="G245" i="2"/>
  <c r="F245" i="2"/>
  <c r="G244" i="2"/>
  <c r="F244" i="2"/>
  <c r="G243" i="2"/>
  <c r="F243" i="2"/>
  <c r="G242" i="2"/>
  <c r="F242" i="2"/>
  <c r="G241" i="2"/>
  <c r="F241" i="2"/>
  <c r="G240" i="2"/>
  <c r="F240" i="2"/>
  <c r="G239" i="2"/>
  <c r="F239" i="2"/>
  <c r="G238" i="2"/>
  <c r="F238" i="2"/>
  <c r="G237" i="2"/>
  <c r="F237" i="2"/>
  <c r="G236" i="2"/>
  <c r="F236" i="2"/>
  <c r="G235" i="2"/>
  <c r="F235" i="2"/>
  <c r="G234" i="2"/>
  <c r="F234" i="2"/>
  <c r="G233" i="2"/>
  <c r="F233" i="2"/>
  <c r="G232" i="2"/>
  <c r="F232" i="2"/>
  <c r="G231" i="2"/>
  <c r="F231" i="2"/>
  <c r="G230" i="2"/>
  <c r="F230" i="2"/>
  <c r="G229" i="2"/>
  <c r="F229" i="2"/>
  <c r="G228" i="2"/>
  <c r="F228" i="2"/>
  <c r="G227" i="2"/>
  <c r="F227" i="2"/>
  <c r="G226" i="2"/>
  <c r="F226" i="2"/>
  <c r="G225" i="2"/>
  <c r="F225" i="2"/>
  <c r="G224" i="2"/>
  <c r="F224" i="2"/>
  <c r="G223" i="2"/>
  <c r="F223" i="2"/>
  <c r="G222" i="2"/>
  <c r="F222" i="2"/>
  <c r="G221" i="2"/>
  <c r="F221" i="2"/>
  <c r="G220" i="2"/>
  <c r="F220" i="2"/>
  <c r="G219" i="2"/>
  <c r="F219" i="2"/>
  <c r="G218" i="2"/>
  <c r="F218" i="2"/>
  <c r="G217" i="2"/>
  <c r="F217" i="2"/>
  <c r="G216" i="2"/>
  <c r="F216" i="2"/>
  <c r="G215" i="2"/>
  <c r="F215" i="2"/>
  <c r="G214" i="2"/>
  <c r="F214" i="2"/>
  <c r="G213" i="2"/>
  <c r="F213" i="2"/>
  <c r="G212" i="2"/>
  <c r="F212" i="2"/>
  <c r="G211" i="2"/>
  <c r="F211" i="2"/>
  <c r="G210" i="2"/>
  <c r="F210" i="2"/>
  <c r="G209" i="2"/>
  <c r="F209" i="2"/>
  <c r="G208" i="2"/>
  <c r="F208" i="2"/>
  <c r="G207" i="2"/>
  <c r="F207" i="2"/>
  <c r="G206" i="2"/>
  <c r="F206" i="2"/>
  <c r="G205" i="2"/>
  <c r="F205" i="2"/>
  <c r="G204" i="2"/>
  <c r="F204" i="2"/>
  <c r="G203" i="2"/>
  <c r="F203" i="2"/>
  <c r="G202" i="2"/>
  <c r="F202" i="2"/>
  <c r="G201" i="2"/>
  <c r="F201" i="2"/>
  <c r="G200" i="2"/>
  <c r="F200" i="2"/>
  <c r="G199" i="2"/>
  <c r="F199" i="2"/>
  <c r="G198" i="2"/>
  <c r="F198" i="2"/>
  <c r="G197" i="2"/>
  <c r="F197" i="2"/>
  <c r="G196" i="2"/>
  <c r="F196" i="2"/>
  <c r="G195" i="2"/>
  <c r="F195" i="2"/>
  <c r="G194" i="2"/>
  <c r="F194" i="2"/>
  <c r="G193" i="2"/>
  <c r="F193" i="2"/>
  <c r="G192" i="2"/>
  <c r="F192" i="2"/>
  <c r="G191" i="2"/>
  <c r="F191" i="2"/>
  <c r="G190" i="2"/>
  <c r="F190" i="2"/>
  <c r="G189" i="2"/>
  <c r="F189" i="2"/>
  <c r="G188" i="2"/>
  <c r="F188" i="2"/>
  <c r="G187" i="2"/>
  <c r="F187" i="2"/>
  <c r="G186" i="2"/>
  <c r="F186" i="2"/>
  <c r="G185" i="2"/>
  <c r="F185" i="2"/>
  <c r="G184" i="2"/>
  <c r="F184" i="2"/>
  <c r="G183" i="2"/>
  <c r="F183" i="2"/>
  <c r="G182" i="2"/>
  <c r="F182" i="2"/>
  <c r="G181" i="2"/>
  <c r="F181" i="2"/>
  <c r="G180" i="2"/>
  <c r="F180" i="2"/>
  <c r="G179" i="2"/>
  <c r="F179" i="2"/>
  <c r="G178" i="2"/>
  <c r="F178" i="2"/>
  <c r="G177" i="2"/>
  <c r="F177" i="2"/>
  <c r="G176" i="2"/>
  <c r="F176" i="2"/>
  <c r="G175" i="2"/>
  <c r="F175" i="2"/>
  <c r="G174" i="2"/>
  <c r="F174" i="2"/>
  <c r="G173" i="2"/>
  <c r="F173" i="2"/>
  <c r="G172" i="2"/>
  <c r="F172" i="2"/>
  <c r="G171" i="2"/>
  <c r="F171" i="2"/>
  <c r="G170" i="2"/>
  <c r="F170" i="2"/>
  <c r="G169" i="2"/>
  <c r="F169" i="2"/>
  <c r="G168" i="2"/>
  <c r="F168" i="2"/>
  <c r="G167" i="2"/>
  <c r="F167" i="2"/>
  <c r="G166" i="2"/>
  <c r="F166" i="2"/>
  <c r="G165" i="2"/>
  <c r="F165" i="2"/>
  <c r="G164" i="2"/>
  <c r="F164" i="2"/>
  <c r="G163" i="2"/>
  <c r="F163" i="2"/>
  <c r="G162" i="2"/>
  <c r="F162" i="2"/>
  <c r="G161" i="2"/>
  <c r="F161" i="2"/>
  <c r="G160" i="2"/>
  <c r="F160" i="2"/>
  <c r="G159" i="2"/>
  <c r="F159" i="2"/>
  <c r="G158" i="2"/>
  <c r="F158" i="2"/>
  <c r="G157" i="2"/>
  <c r="F157" i="2"/>
  <c r="G156" i="2"/>
  <c r="F156" i="2"/>
  <c r="G155" i="2"/>
  <c r="F155" i="2"/>
  <c r="G154" i="2"/>
  <c r="F154" i="2"/>
  <c r="G153" i="2"/>
  <c r="F153" i="2"/>
  <c r="G152" i="2"/>
  <c r="F152" i="2"/>
  <c r="G151" i="2"/>
  <c r="F151" i="2"/>
  <c r="G150" i="2"/>
  <c r="F150" i="2"/>
  <c r="G149" i="2"/>
  <c r="F149" i="2"/>
  <c r="G148" i="2"/>
  <c r="F148" i="2"/>
  <c r="G147" i="2"/>
  <c r="F147" i="2"/>
  <c r="G146" i="2"/>
  <c r="F146" i="2"/>
  <c r="G145" i="2"/>
  <c r="F145" i="2"/>
  <c r="G144" i="2"/>
  <c r="F144" i="2"/>
  <c r="G143" i="2"/>
  <c r="F143" i="2"/>
  <c r="G142" i="2"/>
  <c r="F142" i="2"/>
  <c r="G141" i="2"/>
  <c r="F141" i="2"/>
  <c r="G140" i="2"/>
  <c r="F140" i="2"/>
  <c r="G139" i="2"/>
  <c r="F139" i="2"/>
  <c r="G138" i="2"/>
  <c r="F138" i="2"/>
  <c r="G137" i="2"/>
  <c r="F137" i="2"/>
  <c r="G136" i="2"/>
  <c r="F136" i="2"/>
  <c r="G135" i="2"/>
  <c r="F135" i="2"/>
  <c r="G134" i="2"/>
  <c r="F134" i="2"/>
  <c r="G133" i="2"/>
  <c r="F133" i="2"/>
  <c r="G132" i="2"/>
  <c r="F132" i="2"/>
  <c r="G131" i="2"/>
  <c r="F131" i="2"/>
  <c r="G130" i="2"/>
  <c r="F130" i="2"/>
  <c r="G129" i="2"/>
  <c r="F129" i="2"/>
  <c r="G128" i="2"/>
  <c r="F128" i="2"/>
  <c r="G127" i="2"/>
  <c r="F127" i="2"/>
  <c r="G126" i="2"/>
  <c r="F126" i="2"/>
  <c r="G125" i="2"/>
  <c r="F125" i="2"/>
  <c r="G124" i="2"/>
  <c r="F124" i="2"/>
  <c r="G123" i="2"/>
  <c r="F123" i="2"/>
  <c r="G122" i="2"/>
  <c r="F122" i="2"/>
  <c r="G121" i="2"/>
  <c r="F121" i="2"/>
  <c r="G120" i="2"/>
  <c r="F120" i="2"/>
  <c r="G119" i="2"/>
  <c r="F119" i="2"/>
  <c r="G118" i="2"/>
  <c r="F118" i="2"/>
  <c r="G117" i="2"/>
  <c r="F117" i="2"/>
  <c r="G116" i="2"/>
  <c r="F116" i="2"/>
  <c r="G115" i="2"/>
  <c r="F115" i="2"/>
  <c r="G114" i="2"/>
  <c r="F114" i="2"/>
  <c r="G113" i="2"/>
  <c r="F113" i="2"/>
  <c r="G112" i="2"/>
  <c r="F112" i="2"/>
  <c r="G111" i="2"/>
  <c r="F111" i="2"/>
  <c r="G110" i="2"/>
  <c r="F110" i="2"/>
  <c r="G109" i="2"/>
  <c r="F109" i="2"/>
  <c r="G108" i="2"/>
  <c r="F108" i="2"/>
  <c r="G107" i="2"/>
  <c r="F107" i="2"/>
  <c r="G106" i="2"/>
  <c r="F106" i="2"/>
  <c r="G105" i="2"/>
  <c r="F105" i="2"/>
  <c r="G104" i="2"/>
  <c r="F104" i="2"/>
  <c r="G103" i="2"/>
  <c r="F103" i="2"/>
  <c r="G102" i="2"/>
  <c r="F102" i="2"/>
  <c r="G101" i="2"/>
  <c r="F101" i="2"/>
  <c r="G100" i="2"/>
  <c r="F100" i="2"/>
  <c r="G99" i="2"/>
  <c r="F99" i="2"/>
  <c r="G98" i="2"/>
  <c r="F98" i="2"/>
  <c r="G97" i="2"/>
  <c r="F97" i="2"/>
  <c r="G96" i="2"/>
  <c r="F96" i="2"/>
  <c r="G95" i="2"/>
  <c r="F95" i="2"/>
  <c r="G94" i="2"/>
  <c r="F94" i="2"/>
  <c r="G93" i="2"/>
  <c r="F93" i="2"/>
  <c r="G92" i="2"/>
  <c r="F92" i="2"/>
  <c r="G91" i="2"/>
  <c r="F91" i="2"/>
  <c r="G90" i="2"/>
  <c r="F90" i="2"/>
  <c r="G89" i="2"/>
  <c r="F89" i="2"/>
  <c r="G88" i="2"/>
  <c r="F88" i="2"/>
  <c r="G87" i="2"/>
  <c r="F87" i="2"/>
  <c r="G86" i="2"/>
  <c r="F86" i="2"/>
  <c r="G85" i="2"/>
  <c r="F85" i="2"/>
  <c r="G84" i="2"/>
  <c r="F84" i="2"/>
  <c r="G83" i="2"/>
  <c r="F83" i="2"/>
  <c r="G82" i="2"/>
  <c r="F82" i="2"/>
  <c r="G81" i="2"/>
  <c r="F81" i="2"/>
  <c r="G80" i="2"/>
  <c r="F80" i="2"/>
  <c r="G79" i="2"/>
  <c r="F79" i="2"/>
  <c r="G78" i="2"/>
  <c r="F78" i="2"/>
  <c r="G77" i="2"/>
  <c r="F77" i="2"/>
  <c r="G76" i="2"/>
  <c r="F76" i="2"/>
  <c r="G75" i="2"/>
  <c r="F75" i="2"/>
  <c r="G74" i="2"/>
  <c r="F74" i="2"/>
  <c r="G73" i="2"/>
  <c r="F73" i="2"/>
  <c r="G72" i="2"/>
  <c r="F72" i="2"/>
  <c r="G71" i="2"/>
  <c r="F71" i="2"/>
  <c r="G70" i="2"/>
  <c r="F70" i="2"/>
  <c r="G69" i="2"/>
  <c r="F69" i="2"/>
  <c r="G68" i="2"/>
  <c r="F68" i="2"/>
  <c r="G67" i="2"/>
  <c r="F67" i="2"/>
  <c r="G66" i="2"/>
  <c r="F66" i="2"/>
  <c r="G65" i="2"/>
  <c r="F65" i="2"/>
  <c r="G64" i="2"/>
  <c r="F64" i="2"/>
  <c r="G63" i="2"/>
  <c r="F63" i="2"/>
  <c r="G62" i="2"/>
  <c r="F62" i="2"/>
  <c r="G61" i="2"/>
  <c r="F61" i="2"/>
  <c r="G60" i="2"/>
  <c r="F60" i="2"/>
  <c r="G59" i="2"/>
  <c r="F59" i="2"/>
  <c r="G58" i="2"/>
  <c r="F58" i="2"/>
  <c r="G57" i="2"/>
  <c r="F57" i="2"/>
  <c r="G56" i="2"/>
  <c r="F56" i="2"/>
  <c r="G55" i="2"/>
  <c r="F55" i="2"/>
  <c r="G54" i="2"/>
  <c r="F54" i="2"/>
  <c r="G53" i="2"/>
  <c r="F53" i="2"/>
  <c r="G52" i="2"/>
  <c r="F52" i="2"/>
  <c r="G51" i="2"/>
  <c r="F51" i="2"/>
  <c r="G50" i="2"/>
  <c r="F50" i="2"/>
  <c r="G49" i="2"/>
  <c r="F49" i="2"/>
  <c r="G48" i="2"/>
  <c r="F48" i="2"/>
  <c r="G47" i="2"/>
  <c r="F47" i="2"/>
  <c r="G46" i="2"/>
  <c r="F46" i="2"/>
  <c r="G45" i="2"/>
  <c r="F45" i="2"/>
  <c r="G44" i="2"/>
  <c r="F44" i="2"/>
  <c r="G43" i="2"/>
  <c r="F43" i="2"/>
  <c r="G42" i="2"/>
  <c r="F42" i="2"/>
  <c r="G41" i="2"/>
  <c r="F41" i="2"/>
  <c r="G40" i="2"/>
  <c r="F40" i="2"/>
  <c r="G39" i="2"/>
  <c r="F39" i="2"/>
  <c r="G38" i="2"/>
  <c r="F38" i="2"/>
  <c r="G37" i="2"/>
  <c r="F37" i="2"/>
  <c r="G36" i="2"/>
  <c r="F36" i="2"/>
  <c r="G35" i="2"/>
  <c r="F35" i="2"/>
  <c r="G34" i="2"/>
  <c r="F34" i="2"/>
  <c r="G33" i="2"/>
  <c r="F33" i="2"/>
  <c r="G32" i="2"/>
  <c r="F32" i="2"/>
  <c r="G31" i="2"/>
  <c r="F31" i="2"/>
  <c r="G30" i="2"/>
  <c r="F30" i="2"/>
  <c r="G29" i="2"/>
  <c r="F29" i="2"/>
  <c r="G28" i="2"/>
  <c r="F28" i="2"/>
  <c r="G27" i="2"/>
  <c r="F27" i="2"/>
  <c r="G26" i="2"/>
  <c r="F26" i="2"/>
  <c r="G25" i="2"/>
  <c r="F25" i="2"/>
  <c r="G24" i="2"/>
  <c r="F24" i="2"/>
  <c r="G23" i="2"/>
  <c r="F23" i="2"/>
  <c r="G22" i="2"/>
  <c r="F22" i="2"/>
  <c r="G21" i="2"/>
  <c r="F21" i="2"/>
  <c r="G20" i="2"/>
  <c r="F20" i="2"/>
  <c r="G19" i="2"/>
  <c r="F19" i="2"/>
  <c r="G18" i="2"/>
  <c r="F18" i="2"/>
  <c r="G17" i="2"/>
  <c r="F17" i="2"/>
  <c r="G16" i="2"/>
  <c r="F16" i="2"/>
  <c r="G15" i="2"/>
  <c r="F15" i="2"/>
  <c r="G14" i="2"/>
  <c r="F14" i="2"/>
  <c r="G13" i="2"/>
  <c r="F13" i="2"/>
  <c r="G12" i="2"/>
  <c r="F12" i="2"/>
  <c r="G11" i="2"/>
  <c r="F11" i="2"/>
  <c r="G10" i="2"/>
  <c r="F10" i="2"/>
  <c r="G9" i="2"/>
  <c r="F9" i="2"/>
  <c r="G8" i="2"/>
  <c r="F8" i="2"/>
  <c r="G7" i="2"/>
  <c r="F7" i="2"/>
  <c r="G6" i="2"/>
  <c r="F6" i="2"/>
  <c r="G5" i="2"/>
  <c r="F5" i="2"/>
  <c r="G4" i="2"/>
  <c r="F4" i="2"/>
  <c r="G3" i="2"/>
  <c r="F3" i="2"/>
  <c r="G2" i="2"/>
  <c r="F2" i="2"/>
</calcChain>
</file>

<file path=xl/sharedStrings.xml><?xml version="1.0" encoding="utf-8"?>
<sst xmlns="http://schemas.openxmlformats.org/spreadsheetml/2006/main" count="48406" uniqueCount="6814">
  <si>
    <t>Database Activity - Summary</t>
  </si>
  <si>
    <t>Time Frame: JAN-2021 to DEC-2021</t>
  </si>
  <si>
    <t>Account 174135 - Khalifa University Tier (0)</t>
  </si>
  <si>
    <t>Searches</t>
  </si>
  <si>
    <t>Database</t>
  </si>
  <si>
    <t>Cit/Abstract</t>
  </si>
  <si>
    <t>Any FT Format</t>
  </si>
  <si>
    <t>Total</t>
  </si>
  <si>
    <t>Health Research Premium Collection</t>
  </si>
  <si>
    <t>            698</t>
  </si>
  <si>
    <t>            Consumer Health Database</t>
  </si>
  <si>
    <t>            Healthcare Administration Database</t>
  </si>
  <si>
    <t>            695</t>
  </si>
  <si>
    <t>            MEDLINE®</t>
  </si>
  <si>
    <t>            Nursing &amp; Allied Health Database</t>
  </si>
  <si>
    <t>            Psychology Database</t>
  </si>
  <si>
    <t>            699</t>
  </si>
  <si>
    <t>            Public Health Database</t>
  </si>
  <si>
    <t>   699</t>
  </si>
  <si>
    <t>   Health &amp; Medical Collection</t>
  </si>
  <si>
    <t>ProQuest Dissertations &amp; Theses Global</t>
  </si>
  <si>
    <t>Coronavirus Research Database</t>
  </si>
  <si>
    <t>Ebook Central</t>
  </si>
  <si>
    <t>ProQuest Preview Content</t>
  </si>
  <si>
    <t>Publicly Available Content Database</t>
  </si>
  <si>
    <t>Subtotal</t>
  </si>
  <si>
    <t>Total Unique Searches</t>
  </si>
  <si>
    <t>How Searches are Counted: Search by Word -- The search count is incremented every time the search button is clicked. Subsequently clicking Next to retrieve the next set of results does not increment the search count. Search by Publication -- The search count is incremented every time the search button on the Search by Publication page is clicked. Subsequent browsing of issues of a journal and / or documents within the journal does not increment the search count. Search by Topic -- The search count is incremented every time a search is performed that returns articles. How Documents are Counted -- The document count is incremented at the start of document delivery from the ProQuest electronic vault.</t>
  </si>
  <si>
    <t>Usage Date</t>
  </si>
  <si>
    <t>Document ID</t>
  </si>
  <si>
    <t>Title</t>
  </si>
  <si>
    <t>Publisher</t>
  </si>
  <si>
    <t>PubDate</t>
  </si>
  <si>
    <t>eISBN13</t>
  </si>
  <si>
    <t>ISBN13</t>
  </si>
  <si>
    <t>Subject</t>
  </si>
  <si>
    <t>Dewey</t>
  </si>
  <si>
    <t>LCC</t>
  </si>
  <si>
    <t>Visible</t>
  </si>
  <si>
    <t>Trigger Event</t>
  </si>
  <si>
    <t>Usage Cost</t>
  </si>
  <si>
    <t>Purchase Type</t>
  </si>
  <si>
    <t>Collection</t>
  </si>
  <si>
    <t>Access Model</t>
  </si>
  <si>
    <t>Use Type</t>
  </si>
  <si>
    <t>DRM Free Use</t>
  </si>
  <si>
    <t>Book Downloads</t>
  </si>
  <si>
    <t>Days</t>
  </si>
  <si>
    <t>Start</t>
  </si>
  <si>
    <t>End</t>
  </si>
  <si>
    <t>Reader Duration</t>
  </si>
  <si>
    <t>Which Pages Read</t>
  </si>
  <si>
    <t>Total Pages Read</t>
  </si>
  <si>
    <t>Chapter Downloads</t>
  </si>
  <si>
    <t>Pages Printed</t>
  </si>
  <si>
    <t>Total Pages Printed</t>
  </si>
  <si>
    <t>Pages Copied</t>
  </si>
  <si>
    <t>Total Pages Copied</t>
  </si>
  <si>
    <t>ebrary ID</t>
  </si>
  <si>
    <t>Username</t>
  </si>
  <si>
    <t>User Agent</t>
  </si>
  <si>
    <t>First Name</t>
  </si>
  <si>
    <t>Last Name</t>
  </si>
  <si>
    <t>Email</t>
  </si>
  <si>
    <t>Custom 1</t>
  </si>
  <si>
    <t>Custom 2</t>
  </si>
  <si>
    <t>Custom 3</t>
  </si>
  <si>
    <t>Custom 4</t>
  </si>
  <si>
    <t>Custom 5</t>
  </si>
  <si>
    <t>MIMO-OFDM Wireless Communications with MATLAB</t>
  </si>
  <si>
    <t>John Wiley &amp; Sons, Incorporated</t>
  </si>
  <si>
    <t>Engineering; Engineering: Electrical</t>
  </si>
  <si>
    <t>TK5103.484 -- .M56 2010eb</t>
  </si>
  <si>
    <t>No</t>
  </si>
  <si>
    <t>Subscription</t>
  </si>
  <si>
    <t>Subscription: Academic Complete</t>
  </si>
  <si>
    <t>Free View</t>
  </si>
  <si>
    <t>'1,2,2,10,135,136,137,144,145,146,147,149,150,151,152,153,154,155,156,157,158,159'</t>
  </si>
  <si>
    <t>''</t>
  </si>
  <si>
    <t>Guest</t>
  </si>
  <si>
    <t>Mozilla/5.0 (Windows NT 10.0; Win64; x64) AppleWebKit/537.36 (KHTML, like Gecko) Chrome/96.0.4664.110 Safari/537.36</t>
  </si>
  <si>
    <t>'1,1,135,155,156,155,155,155,154,153,152,151,150,149,148,147,146,157'</t>
  </si>
  <si>
    <t>Spacecraft Systems Engineering</t>
  </si>
  <si>
    <t>Engineering: Mechanical; Engineering: General; Engineering</t>
  </si>
  <si>
    <t>TL875.S68 2011</t>
  </si>
  <si>
    <t>Yes</t>
  </si>
  <si>
    <t>Ebook (firm order)</t>
  </si>
  <si>
    <t>Unlimited</t>
  </si>
  <si>
    <t>Patron</t>
  </si>
  <si>
    <t>'1,1,135,155,156,155,155,155,156,151,157,157'</t>
  </si>
  <si>
    <t>'155,156'</t>
  </si>
  <si>
    <t>'1,1,135,155,156,157,159,160,154,158'</t>
  </si>
  <si>
    <t>'156,156,156,157,157,157,155,155,155'</t>
  </si>
  <si>
    <t>'1,1,135,141,144,145,146,147,148,149,150,151,152,153,154,155,156,157'</t>
  </si>
  <si>
    <t>'157,157'</t>
  </si>
  <si>
    <t>'1,4,129,130,131,131,131,131,131,131,131,179,180,178'</t>
  </si>
  <si>
    <t>Evolutionary Topology Optimization of Continuum Structures : Methods and Applications</t>
  </si>
  <si>
    <t>Engineering: Civil; Engineering</t>
  </si>
  <si>
    <t>624.1/7713</t>
  </si>
  <si>
    <t>TA658.8.H83 2010</t>
  </si>
  <si>
    <t>'1,2,3,4,5,6,7,8,9,10,11,12,13,14,15,16,17'</t>
  </si>
  <si>
    <t>Handbook of Physical Measurements</t>
  </si>
  <si>
    <t>Oxford University Press, Incorporated</t>
  </si>
  <si>
    <t>Science: Anatomy/Physiology; Science: Biology/Natural History; Science</t>
  </si>
  <si>
    <t>QM28</t>
  </si>
  <si>
    <t>'83,111,110,114,117,142,147,148,149,150,153,154,155,156,157,158,160,161,162,164,165,166,169,172,174,175,176,177,178,179,180,182,183,186,220,226,233,234,235,236,238,241,242,243,244,245,248,249,250,251,252,254,256,258,259,267,272,273,276,277,280,281'</t>
  </si>
  <si>
    <t>'25,26,27,28,29,30,31,32,33,34,35,36,37,38,39,40,41,42,43,44,45,46,47,48,49,50,51,52,53,54,55,56,57,58'</t>
  </si>
  <si>
    <t>Mozilla/5.0 (Windows NT 10.0; Win64; x64) AppleWebKit/537.36 (KHTML, like Gecko) Chrome/96.0.4664.110 Safari/537.36 Edg/96.0.1054.62</t>
  </si>
  <si>
    <t>'1,2,3,4,5,6,12,23,25,47,,47'</t>
  </si>
  <si>
    <t>(ISC)2 SSCP Systems Security Certified Practitioner Official Study Guide</t>
  </si>
  <si>
    <t>Computer Science/IT</t>
  </si>
  <si>
    <t>TK5105.59 .W555 2019</t>
  </si>
  <si>
    <t>'61,62,63,64,65,66'</t>
  </si>
  <si>
    <t>Mozilla/5.0 (Windows NT 6.1; WOW64) AppleWebKit/537.36 (KHTML, like Gecko) Chrome/96.0.4664.45 Safari/537.36</t>
  </si>
  <si>
    <t>Statistics for Spatial Data</t>
  </si>
  <si>
    <t>Mathematics</t>
  </si>
  <si>
    <t>519.5;519.535</t>
  </si>
  <si>
    <t>QA278.2 .C75 2015</t>
  </si>
  <si>
    <t>'312,335,313,314,315,316,336,337,338,339'</t>
  </si>
  <si>
    <t>'22,23,24,25,26,27,28,29,30,31,32,33,34,35,36,37,38,39,40,41,42,43,44,45,,277,278,279,,,335,336,337,338,339,340,341,342,343,344,345,346'</t>
  </si>
  <si>
    <t>Mozilla/5.0 (Windows NT 10.0; Win64; x64) AppleWebKit/537.36 (KHTML, like Gecko) Chrome/96.0.4664.110 Safari/537.36 Edg/96.0.1054.57</t>
  </si>
  <si>
    <t>DSM-5 Learning Companion for Counselors</t>
  </si>
  <si>
    <t>American Counseling Association</t>
  </si>
  <si>
    <t>Medicine; Psychology; Health; Social Science</t>
  </si>
  <si>
    <t>RC466 -- .D35 2014eb</t>
  </si>
  <si>
    <t>'1,2'</t>
  </si>
  <si>
    <t>Companion to Urban Design</t>
  </si>
  <si>
    <t>Taylor &amp; Francis Group</t>
  </si>
  <si>
    <t>Social Science</t>
  </si>
  <si>
    <t>HT165.5 -- .C647 2011eb</t>
  </si>
  <si>
    <t>'1,2,2,31,53,,53,53,709,711,713,714,715,716,717,718,719,720,722,725,724,712,707,705,704,703,33,56,57,58,60,61,62,52,51,252,88,64,90,91,92,94,95,96,97,98,99'</t>
  </si>
  <si>
    <t>'53,,61,51,62,90'</t>
  </si>
  <si>
    <t>'1'</t>
  </si>
  <si>
    <t>Geopolitics : The Geography of International Relations</t>
  </si>
  <si>
    <t>Rowman &amp; Littlefield Publishers, Incorporated</t>
  </si>
  <si>
    <t>Political Science</t>
  </si>
  <si>
    <t>JC319 -- .C62 2015eb</t>
  </si>
  <si>
    <t>'6'</t>
  </si>
  <si>
    <t>'24,25,26,27,28,29,30,31,32,33,34,35,36,37,38,39,40,41,42,43,44,,,45,46,47,48,49,50,51,52,53,54,55,56,57,58,59,60,61,62,63,64,65,66,67,68,69,70,71,72,73,74,,75,76,77,78,79,80,81,82,83,84,85,86,87,88,89,90,91,92,93,94,95,96,97,98,99,100,101,102,103,104,105,106,107,,182,183,184,185,186,187,188,189,190,191,192,193,194,195,196,197,198,199,200,201,202,,203,204,205,206,207,208,209,210,211,212,213,214,215,216,217,218,219,220,221,222,223,224,225,226,227,228,229,230,231,232,233,234,235,236,237,238,239,240,241,242,243,244,245'</t>
  </si>
  <si>
    <t>Mozilla/5.0 (Macintosh; Intel Mac OS X 10_15_7) AppleWebKit/537.36 (KHTML, like Gecko) Chrome/96.0.4664.110 Safari/537.36</t>
  </si>
  <si>
    <t>'1,1,90,97,98'</t>
  </si>
  <si>
    <t>'1,1,102,102,90'</t>
  </si>
  <si>
    <t>The Fast Forward MBA in Project Management</t>
  </si>
  <si>
    <t>Business/Management</t>
  </si>
  <si>
    <t>658.4/04</t>
  </si>
  <si>
    <t>HD69.P75V475 2015</t>
  </si>
  <si>
    <t>'1,2,3,4,5,6,7,8,9,10,11,12,14,15,16,17,19,20,21,22,23,24,25,26,27,29,30,32,33,34,35,38,39,42,45,47,50,,1'</t>
  </si>
  <si>
    <t>Mozilla/5.0 (Windows NT 10.0; Win64; x64) AppleWebKit/537.36 (KHTML, like Gecko) Chrome/96.0.4664.93 Safari/537.36</t>
  </si>
  <si>
    <t>High-Density Lipoproteins : Structure, Metabolism, Function and Therapeutics</t>
  </si>
  <si>
    <t>Science; Science: Biology/Natural History</t>
  </si>
  <si>
    <t>QP552.L5 -- K66 2012eb</t>
  </si>
  <si>
    <t>'1,3,5,9,8,11,12,14,15,17,19,20,22,4,6,10,39,,1,39'</t>
  </si>
  <si>
    <t>Biochemistry</t>
  </si>
  <si>
    <t>Global Media</t>
  </si>
  <si>
    <t>Science: Chemistry; Science</t>
  </si>
  <si>
    <t>QD415.P69 2008</t>
  </si>
  <si>
    <t>'318'</t>
  </si>
  <si>
    <t>Chemical Engineering Design : Principles, Practice and Economics of Plant and Process Design</t>
  </si>
  <si>
    <t>Elsevier Science &amp; Technology</t>
  </si>
  <si>
    <t>Engineering; Engineering: Chemical</t>
  </si>
  <si>
    <t>660.068/5</t>
  </si>
  <si>
    <t>TP155.T69 2012</t>
  </si>
  <si>
    <t>'1,3,5'</t>
  </si>
  <si>
    <t>Mozilla/5.0 (Macintosh; Intel Mac OS X 10_15_7) AppleWebKit/537.36 (KHTML, like Gecko) Chrome/96.0.4664.93 Safari/537.36</t>
  </si>
  <si>
    <t>Terrorism and the Olympics : Major Event Security and Lessons for the Future</t>
  </si>
  <si>
    <t>Sport &amp;amp; Recreation; Social Science</t>
  </si>
  <si>
    <t>GV721.5 -- .T475 2011eb</t>
  </si>
  <si>
    <t>'16,17,18,19,20,21,22,23,24,25,26,27'</t>
  </si>
  <si>
    <t>Security Games : Surveillance and Control at Mega-Events</t>
  </si>
  <si>
    <t>363.32/3</t>
  </si>
  <si>
    <t>HV8055 -- .S43 2011eb</t>
  </si>
  <si>
    <t>'16,17,18,19,20,21'</t>
  </si>
  <si>
    <t>'16,17,18,19,20,21,22,23,24,25,26,27,28,29,30,31,32,33,34,,184,185,186,187,188,189,190,191,192,193,194,195,196,197,198,199'</t>
  </si>
  <si>
    <t>Surface Chemistry of Surfactants and Polymers</t>
  </si>
  <si>
    <t>Science; Engineering; Engineering: Chemical; Science: Chemistry</t>
  </si>
  <si>
    <t>QD549 -- .K943 2014eb</t>
  </si>
  <si>
    <t>'1,113,114,115,171,172,173,174,175,176,177,178,179,180,181,182,183,184,185,186,187,188,189,190,191,192,193,93,94,95,96,97,98,99,100,101,102,103,104,105,106,107,108,109,110,111,112,116,117,118,119,120,121,,1,1,178,179,177,176'</t>
  </si>
  <si>
    <t>'172,173,174,175,176,119,120,121'</t>
  </si>
  <si>
    <t>Machine Learning Guide for Oil and Gas Using Python : A Step-By-Step Breakdown with Data, Algorithms, Codes, and Applications</t>
  </si>
  <si>
    <t>Engineering: Mining; Engineering</t>
  </si>
  <si>
    <t>TN871 .B459 2021</t>
  </si>
  <si>
    <t>'1,1,1'</t>
  </si>
  <si>
    <t>Genetic Crossroads : The Middle East and the Science of Human Heredity</t>
  </si>
  <si>
    <t>Stanford University Press</t>
  </si>
  <si>
    <t>Science; Medicine; Science: Biology/Natural History</t>
  </si>
  <si>
    <t>QH428.2.M628 .B878 2021</t>
  </si>
  <si>
    <t>AutoPurchase</t>
  </si>
  <si>
    <t>Mozilla/5.0 (Macintosh; Intel Mac OS X 10_15_7) AppleWebKit/537.36 (KHTML, like Gecko) Chrome/96.0.4664.55 Safari/537.36</t>
  </si>
  <si>
    <t>Inertial Navigation Systems with Geodetic Applications</t>
  </si>
  <si>
    <t>De Gruyter, Inc.</t>
  </si>
  <si>
    <t>Science: Astronomy; Science</t>
  </si>
  <si>
    <t>QB283.J45 2001eb</t>
  </si>
  <si>
    <t>Mozilla/5.0 (Windows NT 10.0; Win64; x64) AppleWebKit/537.36 (KHTML, like Gecko) Chrome/96.0.4664.93 Safari/537.36 Edg/96.0.1054.53</t>
  </si>
  <si>
    <t>Managing Critical Incidents and Large-Scale Event Security</t>
  </si>
  <si>
    <t>Social Science; Business/Management</t>
  </si>
  <si>
    <t>HV551.2.N864 2017</t>
  </si>
  <si>
    <t>'1,1,306,305,307,307'</t>
  </si>
  <si>
    <t>'8,9,10,11,,306,307'</t>
  </si>
  <si>
    <t>'1,2,137,138,139,140,141,142,143,15,16,18,19,20,22,24,25,26,27,28,29,17,36,37,38,39,40'</t>
  </si>
  <si>
    <t>Information Fusion in Distributed Sensor Networks with Byzantines</t>
  </si>
  <si>
    <t>Springer Singapore Pte. Limited</t>
  </si>
  <si>
    <t>Engineering; Engineering: Civil; Computer Science/IT</t>
  </si>
  <si>
    <t>TA1-2040</t>
  </si>
  <si>
    <t>Mozilla/5.0 (Windows NT 10.0; Win64; x64) AppleWebKit/537.36 (KHTML, like Gecko) Chrome/96.0.4664.55 Safari/537.36 Edg/96.0.1054.43</t>
  </si>
  <si>
    <t>Statistical Multisource-Multitarget Information Fusion</t>
  </si>
  <si>
    <t>Artech House</t>
  </si>
  <si>
    <t>006.3/3</t>
  </si>
  <si>
    <t>QA76.76.E95 -- M34 2007eb</t>
  </si>
  <si>
    <t>How Television Shapes Our Worldview : Media Representations of Social Trends and Change</t>
  </si>
  <si>
    <t>Lexington Books</t>
  </si>
  <si>
    <t>Social Science; Fine Arts</t>
  </si>
  <si>
    <t>PN1992.6 -- .H68 2014eb</t>
  </si>
  <si>
    <t>'1,1,19,19,19,112,112,112,97,98,100,99,99,95,96,97,97,97,97,97,97,97'</t>
  </si>
  <si>
    <t>Mozilla/5.0 (Macintosh; Intel Mac OS X 10.13; rv:95.0) Gecko/20100101 Firefox/95.0</t>
  </si>
  <si>
    <t>'1,3,5,6,7,8,9,10,11,12,13,14,15,19,17,18,20,22,23,24,25,26,27,29,31,33,35,37,39,40,41,42,43,44,45,46,47,48,49,50,52,54,55,57,59,61,62,63,64,65,67,69,71,73,75,77,,39,,39,,,39,1,,39,,41,44,47,37,36,39,,3,,,39,29,31,34,37,38,40,40,41,43,47,34,39,45,50,49,52,54,56,58,60,62,63,64,65,66,67,68,69,70,71,72,73,74,75,76,77'</t>
  </si>
  <si>
    <t>'41,42,43,44,45,46,47,48,49,50,51,52,53,54,55,56,57,58,59,60,61,62,63,64,65,66,67,68,69,70,71,72,73,74,75,76'</t>
  </si>
  <si>
    <t>Aircraft Control and Simulation : Dynamics, Controls Design, and Autonomous Systems</t>
  </si>
  <si>
    <t>Engineering: General; Engineering: Mechanical; Engineering</t>
  </si>
  <si>
    <t>TL678 -- .S748 2016eb</t>
  </si>
  <si>
    <t>'156,157,158,159,159'</t>
  </si>
  <si>
    <t>'156,157,158,159,160,161,162,163,164,165,166,167,168,169,170,171,172,173,174,175,176,177,178,179,180,181,182,183,184,185,186,187,188,189,190,191,192,193,194,195,196,197'</t>
  </si>
  <si>
    <t>The Cholesterol Wars : The Skeptics vs the Preponderance of Evidence</t>
  </si>
  <si>
    <t>Medicine</t>
  </si>
  <si>
    <t>RC692.C57 2007</t>
  </si>
  <si>
    <t>'1,22,21,23'</t>
  </si>
  <si>
    <t>HDL and LDL Cholesterol : Physiology and Clinical Significance</t>
  </si>
  <si>
    <t>Nova Science Publishers, Incorporated</t>
  </si>
  <si>
    <t>Science: Biology/Natural History; Science</t>
  </si>
  <si>
    <t>572/.68</t>
  </si>
  <si>
    <t>QP99.3.L52 -- H45 2009eb</t>
  </si>
  <si>
    <t>Subscription (DRM Free)</t>
  </si>
  <si>
    <t>'1,3,2,4,5,6,7,8,9,10,11,12,15,13'</t>
  </si>
  <si>
    <t>'9,10,11,12,13,14'</t>
  </si>
  <si>
    <t>Operations Management</t>
  </si>
  <si>
    <t>New Age International Ltd</t>
  </si>
  <si>
    <t>TS155 -- .A55 2009eb</t>
  </si>
  <si>
    <t>'8,9,10,11,12,13'</t>
  </si>
  <si>
    <t>'1,87,88,89,90,91,92,169,170,167,166,163,163,794,793,795,796,797,798,799,800,801,802,803,804,805,806,430,431,284,285,286,287,288,289,290,169,170,171,172,173,174,175,176,177,178,179,87,90,90,90,90,92,93,95,96,97,99,100,100,100,101,102,103,104,105,106,107,108,109,110,111,112,113,114,115,117,118,119,120,121,122,124,123,127,128,129,130,131,133,133,133,135,135,136,134,133,135,136,137,138,139,140,141,142,143,144,145,146,147,148,149,137,138,139,141,142,143,143,144,145,146,147,148,149,150,151,152,153,155,156,157,154,142,842,812,813,813,813,24,46,47,48,55,56,57,293,301,300,354,355,64,65,62'</t>
  </si>
  <si>
    <t>Under The Microscope: A Brief History Of Microscopy : A Brief History of Microscopy</t>
  </si>
  <si>
    <t>World Scientific Publishing Co</t>
  </si>
  <si>
    <t>Science: Biology/Natural History; Science: General; Science</t>
  </si>
  <si>
    <t>QH204.C76 2006</t>
  </si>
  <si>
    <t>Mozilla/5.0 (Macintosh; Intel Mac OS X 10_15_7) AppleWebKit/605.1.15 (KHTML, like Gecko) Version/15.1 Safari/605.1.15</t>
  </si>
  <si>
    <t>'202,,,202,202,15,16,17,18,19,20,21,22,23,24,25,26,27,28,29,30,31,32,33,34,35,36,100,101,102,102,102'</t>
  </si>
  <si>
    <t>'18'</t>
  </si>
  <si>
    <t>'200,201,202'</t>
  </si>
  <si>
    <t>'368,1,18'</t>
  </si>
  <si>
    <t>Mozilla/5.0 (Linux; Android 11; SAMSUNG SM-N981N) AppleWebKit/537.36 (KHTML, like Gecko) SamsungBrowser/16.0 Chrome/92.0.4515.166 Mobile Safari/537.36</t>
  </si>
  <si>
    <t>'1,,3,4,94,96,368'</t>
  </si>
  <si>
    <t>'1,,1'</t>
  </si>
  <si>
    <t>New Norms and Knowledge in World Politics : Protecting People, Intellectual Property and the Environment</t>
  </si>
  <si>
    <t>Law</t>
  </si>
  <si>
    <t>KZ3410 -- .S76 2010eb</t>
  </si>
  <si>
    <t>Mozilla/5.0 (Macintosh; Intel Mac OS X 10.15; rv:78.0) Gecko/20100101 Firefox/78.0</t>
  </si>
  <si>
    <t>The Supramolecular Chemistry of Organic-Inorganic Hybrid Materials</t>
  </si>
  <si>
    <t>Science: Chemistry; Engineering; Science; Engineering: General</t>
  </si>
  <si>
    <t>620.1/1</t>
  </si>
  <si>
    <t>QD882 -- .S87 2010eb</t>
  </si>
  <si>
    <t>'1,2,3,4,5,6,7,8,9,10,37,38,38,43,42,41,40,39,37,38,38,38,38,38,37,38,38,38,48,37,39,40,41,75,76'</t>
  </si>
  <si>
    <t>'75'</t>
  </si>
  <si>
    <t>Mozilla/5.0 (Windows NT 10.0; Win64; x64) AppleWebKit/537.36 (KHTML, like Gecko) Chrome/96.0.4664.45 Safari/537.36</t>
  </si>
  <si>
    <t>'322,321,320,319,,1'</t>
  </si>
  <si>
    <t>'318,319,320,321,322,323,324,325,326,327,328,329,330,331,332,333,334,335,336'</t>
  </si>
  <si>
    <t>'1,318,319,320,321,322,323,,,323'</t>
  </si>
  <si>
    <t>College Biochemistry, 1</t>
  </si>
  <si>
    <t>Himalaya Publishing House</t>
  </si>
  <si>
    <t>QD415 -- .I53 2010eb</t>
  </si>
  <si>
    <t>'1,205'</t>
  </si>
  <si>
    <t>Life As Politics : How Ordinary People Change the Middle East, Second Edition</t>
  </si>
  <si>
    <t>303.48/40956</t>
  </si>
  <si>
    <t>HN656</t>
  </si>
  <si>
    <t>'168,169,170,171,172,173,174,175,176,177,178,179,180,181,182,183,184,185,186,187,188,189,190,191,192,193,194,195,196,197,198,199,200,201,202,203,204,205,206,207,208,209,210,211,212,213,214,215,216,217,218,219,220,221,222,223,224,225,226,227,228,229,230,231,232,233,234,235,236,237,238,239,240,241,242,243,244,245,246,247,248,249,250,251,252,253,254,255'</t>
  </si>
  <si>
    <t>Mozilla/5.0 (Windows NT 10.0; Win64; x64) AppleWebKit/537.36 (KHTML, like Gecko) Chrome/95.0.4638.69 Safari/537.36 Edg/95.0.1020.44</t>
  </si>
  <si>
    <t>'1,71,72,73,74,70'</t>
  </si>
  <si>
    <t>Reliability Engineering</t>
  </si>
  <si>
    <t>Engineering: General; Engineering: Civil; Engineering</t>
  </si>
  <si>
    <t>620/.00452</t>
  </si>
  <si>
    <t>TA169 -- .E52 2012eb</t>
  </si>
  <si>
    <t>'1,7,8,9,107,108,109,110,111,112,113,114,115,116,117,118,119,120,121,122,123,124,125,126,127,128,129,130'</t>
  </si>
  <si>
    <t>Textile Dyes</t>
  </si>
  <si>
    <t>Woodhead Publishing India PVT. LTD</t>
  </si>
  <si>
    <t>TP897 -- .M34 2016eb</t>
  </si>
  <si>
    <t>'1,18,27,24'</t>
  </si>
  <si>
    <t>Olives</t>
  </si>
  <si>
    <t>CABI</t>
  </si>
  <si>
    <t>Agriculture</t>
  </si>
  <si>
    <t>634/.63</t>
  </si>
  <si>
    <t>SB367 -- .T44 2009eb</t>
  </si>
  <si>
    <t>Well Logging and Formation Evaluation</t>
  </si>
  <si>
    <t>Engineering; Engineering: Mining</t>
  </si>
  <si>
    <t>TN871.35.D35 2005</t>
  </si>
  <si>
    <t>'216,217,230'</t>
  </si>
  <si>
    <t>'58,59,60,61,62,63,64,65,66,67,,38,39,40,41,42,43,44,45,46,47,48,49,50,51,52,53,54,55,56,57,,227,228,229,230,231,232,233,234,235,236,237,238,239,240,241,242,243,244,245,246,247,248,249,250,251,252,253,254,255,256,257,258,259'</t>
  </si>
  <si>
    <t>Mozilla/5.0 (Macintosh; Intel Mac OS X 10_15_7) AppleWebKit/605.1.15 (KHTML, like Gecko) Version/14.1.2 Safari/605.1.15</t>
  </si>
  <si>
    <t>The Evolution of Medical Technology</t>
  </si>
  <si>
    <t>Rosen Publishing Group</t>
  </si>
  <si>
    <t>R133.5 .D63 2019</t>
  </si>
  <si>
    <t>1-user</t>
  </si>
  <si>
    <t>'1,9,5,10,14,20,19,46,47,49,51,52,53,55,56'</t>
  </si>
  <si>
    <t>Robot Ethics : The Ethical and Social Implications of Robotics</t>
  </si>
  <si>
    <t>MIT Press</t>
  </si>
  <si>
    <t>Philosophy; Engineering; Engineering: Mechanical</t>
  </si>
  <si>
    <t>174/.9629892</t>
  </si>
  <si>
    <t>TJ211.49 -- .R62 2012eb</t>
  </si>
  <si>
    <t>'1,14,15,16,30,31,32,33,34,35,17'</t>
  </si>
  <si>
    <t>'1,,32,18,35,38,41,40,39,37,36,34,31,33,42,43,45,44,46,47,48,50,91,162,163,164,165,166,167,168,169,170,171,172,173,174,175,176,177,178,169,170'</t>
  </si>
  <si>
    <t>The Female Voice in Sufi Ritual : Devotional Practices of Pakistan and India</t>
  </si>
  <si>
    <t>University of Texas Press</t>
  </si>
  <si>
    <t>Religion</t>
  </si>
  <si>
    <t>297.4/38/0820954</t>
  </si>
  <si>
    <t>BP189.65.M87 -- A23 2002eb</t>
  </si>
  <si>
    <t>'1,1,2,2,24,24'</t>
  </si>
  <si>
    <t>Mozilla/5.0 (Macintosh; Intel Mac OS X 10_15_2) AppleWebKit/537.36 (KHTML, like Gecko) Chrome/96.0.4664.55 Safari/537.36</t>
  </si>
  <si>
    <t>Sufism : The Formative Period</t>
  </si>
  <si>
    <t>Edinburgh University Press</t>
  </si>
  <si>
    <t>BP188.5 -- .K37 2007eb</t>
  </si>
  <si>
    <t>'1,2,3,4,5,9,8,8,5,5,8,11,12,13,8,14,9,9,21,22'</t>
  </si>
  <si>
    <t>'1,2,66,,1,2'</t>
  </si>
  <si>
    <t>Robotics: State of the Art and Future Trends : State of the Art and Future Trends</t>
  </si>
  <si>
    <t>Engineering; Business/Management; Engineering: General</t>
  </si>
  <si>
    <t>629.8/92</t>
  </si>
  <si>
    <t>TS191.8 -- .R625 2012eb</t>
  </si>
  <si>
    <t>'1,11,2,12,,1'</t>
  </si>
  <si>
    <t>The Art of Medicine : Healing and the Limits of Technology</t>
  </si>
  <si>
    <t>ECW Press</t>
  </si>
  <si>
    <t>R729.5.H43 .K664 2014</t>
  </si>
  <si>
    <t>'1,2,12,11,,10,9,17,18,48,47,30,29'</t>
  </si>
  <si>
    <t>'1,3,4,5,9,10,2,6,7,8,11,12,13,14,15,16,17,18,19,20,21,22,23,24,25,26,27,28,29,30,31,32,34,35,36,37,38,39,40,41,43,44,45,46,47,48,49,50,51,52,53,54,55,56,57,58,59'</t>
  </si>
  <si>
    <t>'5,6,9,10,10,11,12,12,13,19,19,29,36'</t>
  </si>
  <si>
    <t>Responses to Cyber Terrorism</t>
  </si>
  <si>
    <t>IOS Press, Incorporated</t>
  </si>
  <si>
    <t>Social Science; Political Science</t>
  </si>
  <si>
    <t>'1,2,3,17,18,19,50,50,51,52,53,54,55,56,57,58,59'</t>
  </si>
  <si>
    <t>Mozilla/5.0 (Macintosh; Intel Mac OS X 10_15_6) AppleWebKit/605.1.15 (KHTML, like Gecko) Version/14.0.3 Safari/605.1.15</t>
  </si>
  <si>
    <t>'1,15,14'</t>
  </si>
  <si>
    <t>'1,1,18,19,20,21,18,18,,1'</t>
  </si>
  <si>
    <t>'18,19,20,21,22,23,24,25,26,27,28,29,30,31'</t>
  </si>
  <si>
    <t>Nature-Inspired Optimization Algorithms</t>
  </si>
  <si>
    <t>Elsevier</t>
  </si>
  <si>
    <t>Mathematics; Science</t>
  </si>
  <si>
    <t>Q335 -- .Y36 2014eb</t>
  </si>
  <si>
    <t>'154,155,156,157,158,159,160,161,162,163,164,165,166,167'</t>
  </si>
  <si>
    <t>'1,15,14,16,17,18,19,20,22'</t>
  </si>
  <si>
    <t>'1,3,4,5,7,,7,8,142'</t>
  </si>
  <si>
    <t>'1,2,3,4,6,5,7,8,9,10,11,12'</t>
  </si>
  <si>
    <t>Significant Changes to the Seismic Load Provisions of Asce 7-10 : An Illustrated Guide</t>
  </si>
  <si>
    <t>American Society of Civil Engineers</t>
  </si>
  <si>
    <t>624.1/762021873</t>
  </si>
  <si>
    <t>TA658.44 -- .G49 2011eb</t>
  </si>
  <si>
    <t>'1,2,39,40,41,42,43'</t>
  </si>
  <si>
    <t>Agricultural Water Management : Proceedings of a Workshop in Tunisia</t>
  </si>
  <si>
    <t>National Academies Press</t>
  </si>
  <si>
    <t>Agriculture; Engineering; Engineering: Environmental</t>
  </si>
  <si>
    <t>TD223 -- .A46655 2007eb</t>
  </si>
  <si>
    <t>'1,2,3,4,5,7,8,10,11,13,65,66,67,68,69,70,71,54,55,56'</t>
  </si>
  <si>
    <t>'65'</t>
  </si>
  <si>
    <t>Women and Media : A Critical Introduction</t>
  </si>
  <si>
    <t>P94.5.W65B94 2006</t>
  </si>
  <si>
    <t>'1,1,2,3,4,5,7,8,243,244,245,246'</t>
  </si>
  <si>
    <t>Riyadh : Transforming a Desert City</t>
  </si>
  <si>
    <t>'1,1'</t>
  </si>
  <si>
    <t>Insect Pathogens : Molecular Approaches and Techniques</t>
  </si>
  <si>
    <t>632/.7</t>
  </si>
  <si>
    <t>SB942 -- .I57 2009eb</t>
  </si>
  <si>
    <t>'1,1,2,3,4,5,6,7,8,9,10,7,10,9,10,11,12,13,14'</t>
  </si>
  <si>
    <t>Mozilla/5.0 (Windows NT 10.0; Win64; x64) AppleWebKit/537.36 (KHTML, like Gecko) Chrome/95.0.4638.69 Safari/537.36 OPR/81.0.4196.61</t>
  </si>
  <si>
    <t>Controlling Dangerous Pathogens : A Blueprint for U.S.-Russian Cooperation, A Report to the Cooperative Threat Reduction Program of the U.S. Department of Defense</t>
  </si>
  <si>
    <t>JZ5830 -- .U19 1997eb</t>
  </si>
  <si>
    <t>Comprehensive Healthcare Simulation: Operations, Technology, and Innovative Practice</t>
  </si>
  <si>
    <t>Springer International Publishing</t>
  </si>
  <si>
    <t>R1</t>
  </si>
  <si>
    <t>'40,41,42,44,46,47,48,49,50,51,52,53,54,55,56,57,,40,,,40,,40'</t>
  </si>
  <si>
    <t>Mozilla/5.0 (Windows NT 10.0; Win64; x64) AppleWebKit/537.36 (KHTML, like Gecko) Chrome/96.0.4664.55 Safari/537.36 Edg/96.0.1054.41</t>
  </si>
  <si>
    <t>Greenhouse Gas Sinks</t>
  </si>
  <si>
    <t>Engineering; Engineering: Environmental</t>
  </si>
  <si>
    <t>TD885.5.G73 -- G767 2006eb</t>
  </si>
  <si>
    <t>'1,3,6,11,131,132,133,135,136,137,138,140,142'</t>
  </si>
  <si>
    <t>How to Do Systems Analysis : Primer and Casebook</t>
  </si>
  <si>
    <t>Mathematics; Business/Management; Engineering; Engineering: General</t>
  </si>
  <si>
    <t>T57.6 -- .G5434 2017eb</t>
  </si>
  <si>
    <t>'1,2,3,4,5,7,8,9,11,67,68,70,71,72,73,75,76,77,78,79,80,81'</t>
  </si>
  <si>
    <t>Mozilla/5.0 (Macintosh; Intel Mac OS X 10_14_6) AppleWebKit/605.1.15 (KHTML, like Gecko) Version/14.1.2 Safari/605.1.15</t>
  </si>
  <si>
    <t>Mozilla/5.0 (Windows NT 10.0; Win64; x64; rv:94.0) Gecko/20100101 Firefox/94.0</t>
  </si>
  <si>
    <t>'1,17,4,5'</t>
  </si>
  <si>
    <t>Mozilla/5.0 (Windows NT 10.0; Win64; x64) AppleWebKit/537.36 (KHTML, like Gecko) Chrome/96.0.4664.55 Safari/537.36 Edg/96.0.1054.34</t>
  </si>
  <si>
    <t>Verifying Greenhouse Gas Emissions : Methods to Support International Climate Agreements</t>
  </si>
  <si>
    <t>Engineering; Engineering: Environmental; Environmental Studies</t>
  </si>
  <si>
    <t>TD885.5.G73M48 2010</t>
  </si>
  <si>
    <t>'1,25,35,107'</t>
  </si>
  <si>
    <t>Pyrolysis of Biomass</t>
  </si>
  <si>
    <t>Walter de Gruyter GmbH</t>
  </si>
  <si>
    <t>Engineering: Chemical; Engineering</t>
  </si>
  <si>
    <t>TP360.W36 2017</t>
  </si>
  <si>
    <t>'1,205,230,231'</t>
  </si>
  <si>
    <t>Phishing Dark Waters : The Offensive and Defensive Sides of Malicious Emails</t>
  </si>
  <si>
    <t>HV6773 -- .H33 2015eb</t>
  </si>
  <si>
    <t>'35,36,37,38,39,40,41,42,43,44,45,46,47,48,34,32,27,26,25,28,29,30,31,33'</t>
  </si>
  <si>
    <t>Proceedings of a Workshop on Deterring Cyberattacks : Informing Strategies and Developing Options for U. S. Policy</t>
  </si>
  <si>
    <t>Social Science; Computer Science/IT</t>
  </si>
  <si>
    <t>HV6773.2 -- .N38 2010eb</t>
  </si>
  <si>
    <t>'13,14,15,16'</t>
  </si>
  <si>
    <t>GPU Computing Gems Emerald Edition</t>
  </si>
  <si>
    <t>Computer Science/IT; Engineering: General; Engineering</t>
  </si>
  <si>
    <t>T385 -- .G68 2011eb</t>
  </si>
  <si>
    <t>'1,2,3,4,5,6,7,8,9'</t>
  </si>
  <si>
    <t>Plant Factory : An Indoor Vertical Farming System for Efficient Quality Food Production</t>
  </si>
  <si>
    <t>SB126 .P536 2016</t>
  </si>
  <si>
    <t>'1,3,240,240,240,240,241,242,243,242,242'</t>
  </si>
  <si>
    <t>'240,240,240,241'</t>
  </si>
  <si>
    <t>Biomass : To Win the Future</t>
  </si>
  <si>
    <t>TP339 -- .S4413 2013eb</t>
  </si>
  <si>
    <t>Heat Conduction, Fifth Edition</t>
  </si>
  <si>
    <t>Science: Physics; Engineering; Science; Engineering: General</t>
  </si>
  <si>
    <t>QC320 .K353 2018</t>
  </si>
  <si>
    <t>'1,166,167,168,169,170,171,172,173,174,175,176,512,513,514,515,516,517,518,519,520,521'</t>
  </si>
  <si>
    <t>Mozilla/5.0 (Windows NT 10.0; Win64; x64) AppleWebKit/537.36 (KHTML, like Gecko) Chrome/95.0.4638.69 Safari/537.36</t>
  </si>
  <si>
    <t>Racism : A Very Short Introduction</t>
  </si>
  <si>
    <t>HT1521 -- .R4244 2007eb</t>
  </si>
  <si>
    <t>'1,17,18'</t>
  </si>
  <si>
    <t>Statistical and Adaptive Signal Processing : Spectral Estimation, Signal Modeling, Adaptive Filtering and Array Processing</t>
  </si>
  <si>
    <t>621.382/2</t>
  </si>
  <si>
    <t>TK5102.9 -- .M36 2005eb</t>
  </si>
  <si>
    <t>'1,2,5,7,10,11,12,13,14,15,15,14,12,345,346,347,348,349,352,351,354,356,402,401,403,404,405,406,407,11,350,353,355,358,359,360,361,362,363,364,365,366,367,368,369,370,371,372,373,374'</t>
  </si>
  <si>
    <t>Introduction to Islamic Banking and Finance</t>
  </si>
  <si>
    <t>Economics; Law</t>
  </si>
  <si>
    <t>KBP940.2 -- .K48 2011eb</t>
  </si>
  <si>
    <t>'63,64,65,66,67,68,69,70,71,72,73,74,75,76,77,78,79,80,81,82,,97,98,99,100,101,102,103,104,105,106,107,108'</t>
  </si>
  <si>
    <t>Biostatistics : The Bare Essentials</t>
  </si>
  <si>
    <t>People's Medical Publishing House</t>
  </si>
  <si>
    <t>570.1/5195</t>
  </si>
  <si>
    <t>QH323.5 -- .N67 2014eb</t>
  </si>
  <si>
    <t>Mozilla/5.0 (Windows NT 10.0; Win64; x64) AppleWebKit/537.36 (KHTML, like Gecko) Chrome/51.0.2704.79 Safari/537.36 Edge/14.14393</t>
  </si>
  <si>
    <t>Writing Dissertations and Theses in Psychology : A Student's Guide for Success</t>
  </si>
  <si>
    <t>Literature; Psychology</t>
  </si>
  <si>
    <t>BF76.5 .H396 2021</t>
  </si>
  <si>
    <t>'7,8,9,10,11,12,13,1'</t>
  </si>
  <si>
    <t>Writing Strategies for the Education Dissertation</t>
  </si>
  <si>
    <t>Education; Literature</t>
  </si>
  <si>
    <t>LB2369 .D875 2021</t>
  </si>
  <si>
    <t>'1,1,2,2,1,16,18,19,20,21,22,23,24,25,27,,1,1'</t>
  </si>
  <si>
    <t>'1,1,2,3,5,4,6,8,9,10,11,12,13,14,15'</t>
  </si>
  <si>
    <t>UV-Visible Spectrophotometry of Water and Wastewater</t>
  </si>
  <si>
    <t>Science; Engineering; Science: Chemistry; Engineering: Environmental</t>
  </si>
  <si>
    <t>628.1/61</t>
  </si>
  <si>
    <t>QD117.S64U184 2007</t>
  </si>
  <si>
    <t>'176,177,178,179,180'</t>
  </si>
  <si>
    <t>'176,177,178,179,180,181,182,183,184,185,186,187,188,189,190,191,192,193,194,195,196,197,198,199,200,201,,8'</t>
  </si>
  <si>
    <t>Non-Destructive Testing and Evaluation of Civil Engineering Structures</t>
  </si>
  <si>
    <t>Engineering: Civil; Engineering: General; Engineering</t>
  </si>
  <si>
    <t>TA417.2$b.N66 2018</t>
  </si>
  <si>
    <t>'42,43,44,45,46,47,48,49,50,51,52,53,54,55,56,57,58,59,60,61,62,63,64,65,66,67,68,69,70,71,72,73,74,75,76,77,78,79,80,81,82,83,84,85,86,87,88,89,90,91,92,93,94,95,96,97,98,99,100,101,102,103,104,105,106,107'</t>
  </si>
  <si>
    <t>'1,2,3,,4,,5,,6,7,8,9,10,11,,12,13,,14,15,16,17,18,19,20,21,,22,23,24,25,26,27,28,29,30,31,32,33,34,35,36,37,38,39,40,41'</t>
  </si>
  <si>
    <t>'1,1,274,210,273,236,237,238,235,234,233,232,231,230,69,70,117,118,187,186'</t>
  </si>
  <si>
    <t>'1,263,262,264,265,266,267,268,261,260,259,258,257,256,255,254,253,252,251,250,248,249,247,246,245,244,243,242,241,240,239,238,237,236,235,233,232,231,230,229,228,227,226,225,224,223,222,221,220,219,218,217,216,215,214,213,212,211,210,209,208,16,15,765,766,767,768,769,770,14,13,12,11,10,9,52,51,53,54,55,164,163,65,66,64,42,41,40,43,45,17,90,91,79,78,76,75,74,73,72,71,69,68,63,61,62,60,59,58,57,56,270,271,272,273'</t>
  </si>
  <si>
    <t>'1,2,3,4,5,6,7,8,10,11,12,14,15'</t>
  </si>
  <si>
    <t>'1,6,8,10,11,268,269,270,271,272,273'</t>
  </si>
  <si>
    <t>Flavor, Fragrance, and Odor Analysis</t>
  </si>
  <si>
    <t>Health; Engineering; Engineering: Chemical</t>
  </si>
  <si>
    <t>TX541</t>
  </si>
  <si>
    <t>Clausewitz : On War</t>
  </si>
  <si>
    <t>Library of Congress</t>
  </si>
  <si>
    <t>Military Science</t>
  </si>
  <si>
    <t>U102 -- .H75 1998eb</t>
  </si>
  <si>
    <t>'1,2,3,5,6,7,8,9,10,11,12,13,15,17,17,18,19,20'</t>
  </si>
  <si>
    <t>Mozilla/5.0 (Macintosh; Intel Mac OS X 10.15; rv:94.0) Gecko/20100101 Firefox/94.0</t>
  </si>
  <si>
    <t>Wireless Power Transfer for Electric Vehicles and Mobile Devices</t>
  </si>
  <si>
    <t>Engineering: Electrical; Engineering</t>
  </si>
  <si>
    <t>TK3091.R56 2017</t>
  </si>
  <si>
    <t>Risk and Safety Analysis of Nuclear Systems</t>
  </si>
  <si>
    <t>Engineering: Electrical; Engineering; Engineering: General</t>
  </si>
  <si>
    <t>621.48/35</t>
  </si>
  <si>
    <t>TK9152 -- .L44 2011eb</t>
  </si>
  <si>
    <t>'1,,1,6,,1,392,1,103,104,512,513,514,515,516,517,518,520'</t>
  </si>
  <si>
    <t>'1,2,3,4,5,6,8,166,167,168,169,170,171,172,173,174,175,512,513,514,515,516,517,176,177,178,179,180,181,182,183,184,185,186,187,188,189,190,191,192,193,194,195,196,197,198,199,200,201,202,203,205'</t>
  </si>
  <si>
    <t>Polymer Science and Technology : for Engineers and Scientists</t>
  </si>
  <si>
    <t>Whittles Publishing</t>
  </si>
  <si>
    <t>Engineering; Science: Chemistry; Engineering: Civil; Science</t>
  </si>
  <si>
    <t>TA455.P58 -- P464 2010eb</t>
  </si>
  <si>
    <t>'241,241,242,203,243,244,245,246,247,359,360,361,362,363,364,365,366,367,368,369,370,371,372,373'</t>
  </si>
  <si>
    <t>Divine Love in Islamic Mysticism : The Teachings of Al-Ghazali and Al-Dabbagh</t>
  </si>
  <si>
    <t>297.4/1112</t>
  </si>
  <si>
    <t>BP189.65.L68 A26</t>
  </si>
  <si>
    <t>'98'</t>
  </si>
  <si>
    <t>'1,2,3,22,14,15,16,16,34,35,36,37,17,33,20,10,14,1,2'</t>
  </si>
  <si>
    <t>'2,2,2'</t>
  </si>
  <si>
    <t>Handbook of Recycling : State-Of-the-art for Practitioners, Analysts, and Scientists</t>
  </si>
  <si>
    <t>TD794.5.H363 2014eb</t>
  </si>
  <si>
    <t>'1,2,14,,1,76,77,78,79,80,81,82'</t>
  </si>
  <si>
    <t>'4,2,6,8,12,10,1,16,14,18,20,22,24,26'</t>
  </si>
  <si>
    <t>'2,4,1,33,34,35,36'</t>
  </si>
  <si>
    <t>Test Anxiety : Applied Research, Assessment, and Treatment Interventions</t>
  </si>
  <si>
    <t>UPA</t>
  </si>
  <si>
    <t>Social Science; Education</t>
  </si>
  <si>
    <t>HA29 -- .S277 2014eb</t>
  </si>
  <si>
    <t>'1,2,4,5,6,7,8,9,10,11,12,13,14,15,16,17,18,19,21,24,26'</t>
  </si>
  <si>
    <t>'1,76,77,78,90,84,80,81,82,83,85,86,87,88,89,91,92,93,94,95,96,97,98,106,104,103,105,107,108,109,,1,2,3,4,5'</t>
  </si>
  <si>
    <t>Food, Fermentation and Micro-Organisms</t>
  </si>
  <si>
    <t>Science: Biology/Natural History; Engineering; Engineering: Chemical; Science</t>
  </si>
  <si>
    <t>664/.024</t>
  </si>
  <si>
    <t>QR151.B355 2005</t>
  </si>
  <si>
    <t>'1,2,4,5,6,7,8,9,11,13,13,13,13,13,14,15,16,16'</t>
  </si>
  <si>
    <t>Organic Waste Recycling : Technology, Management and Sustainability</t>
  </si>
  <si>
    <t>IWA Publishing</t>
  </si>
  <si>
    <t>TD804.P657 2017</t>
  </si>
  <si>
    <t>'1,2,3,4,5,46,47,48,49,50,51,52'</t>
  </si>
  <si>
    <t>Submarine Cables : The Handbook of Law and Policy</t>
  </si>
  <si>
    <t>BRILL</t>
  </si>
  <si>
    <t>Business/Management; Law</t>
  </si>
  <si>
    <t>K4317.S83 2014eb</t>
  </si>
  <si>
    <t>'1,2,5,67,69,70,71,72,73,74,75,76,77,78,79,80,81,82,83,84,85,86,87,88,89,91,92,93,94,95,96,97,111,351,352,205,206,207,113,99,100,101,102,104,105,98,117,116,115,119,120'</t>
  </si>
  <si>
    <t>Mozilla/5.0 (Windows NT 10.0; Win64; x64) AppleWebKit/537.36 (KHTML, like Gecko) Chrome/96.0.4664.45 Safari/537.36 Edg/96.0.1054.29</t>
  </si>
  <si>
    <t>Women Embracing Islam : Gender and Conversion in the West</t>
  </si>
  <si>
    <t>297.082/091821</t>
  </si>
  <si>
    <t>BP170</t>
  </si>
  <si>
    <t>'1,1,37,41'</t>
  </si>
  <si>
    <t>Mozilla/5.0 (Macintosh; Intel Mac OS X 10_13_6) AppleWebKit/605.1.15 (KHTML, like Gecko) Version/13.1.2 Safari/605.1.15</t>
  </si>
  <si>
    <t>The Position of Women in Islam : A Progressive View</t>
  </si>
  <si>
    <t>State University of New York Press</t>
  </si>
  <si>
    <t>297/.082</t>
  </si>
  <si>
    <t>BP173.4 -- .A45 2004eb</t>
  </si>
  <si>
    <t>'1,3,2,4,5,6,8,9,10,12,13'</t>
  </si>
  <si>
    <t>'1,,1,166'</t>
  </si>
  <si>
    <t>'1,3,4,5,6,8,7,9,10,11,235,236,234,237,238,239,240,241,242,243,244,245,246,233,232,231,230,229,228,227,226,225,224,223,222,221,220,219,218,217,216,215,214,213,212,211,210'</t>
  </si>
  <si>
    <t>Islamic Law, Epistemology and Modernity : Legal Philosophy in Contemporary Iran</t>
  </si>
  <si>
    <t>340.5/9/0955</t>
  </si>
  <si>
    <t>KMH440 -- .D34 2014eb</t>
  </si>
  <si>
    <t>'1,68,69,70,71,72,73'</t>
  </si>
  <si>
    <t>Mulla Sadra and Metaphysics : Modulation of Being</t>
  </si>
  <si>
    <t>Philosophy</t>
  </si>
  <si>
    <t>181/.5</t>
  </si>
  <si>
    <t>B753.M84 -- R585 2009eb</t>
  </si>
  <si>
    <t>The Story of Islamic Philosophy : Ibn Tufayl, Ibn Al-'Arabi, and Others on the Limit Between Naturalism and Traditionalism</t>
  </si>
  <si>
    <t>181/.07</t>
  </si>
  <si>
    <t>B741 -- .B375 2011eb</t>
  </si>
  <si>
    <t>'1,3,4,8,9,10,15,17,19'</t>
  </si>
  <si>
    <t>'1,20,28,30'</t>
  </si>
  <si>
    <t>'30'</t>
  </si>
  <si>
    <t>An Introduction to Classical Islamic Philosophy</t>
  </si>
  <si>
    <t>Cambridge University Press</t>
  </si>
  <si>
    <t>B741 .L43 2002</t>
  </si>
  <si>
    <t>'1,5,,1'</t>
  </si>
  <si>
    <t>International Auditing Standards in the United States : Comparing and Understanding Standards for ISA and PCAOB</t>
  </si>
  <si>
    <t>Business Expert Press</t>
  </si>
  <si>
    <t>HF5616.U5 -- A523 2015</t>
  </si>
  <si>
    <t>'16,17,18,19,20,21,22,23,24,25,26,27,28,29,30,31,32,33,34,35,36,37,38,39'</t>
  </si>
  <si>
    <t>Manufacturing Yogurt and Fermented Milks</t>
  </si>
  <si>
    <t>SF275.Y6 -- M36 2013eb</t>
  </si>
  <si>
    <t>'1,2,3,4,5,7,8'</t>
  </si>
  <si>
    <t>Mozilla/5.0 (Macintosh; Intel Mac OS X 10_15_6) AppleWebKit/605.1.15 (KHTML, like Gecko) Version/14.0.2 Safari/605.1.15</t>
  </si>
  <si>
    <t>Islamic Economics : Basic Concepts, New Thinking and Future Directions</t>
  </si>
  <si>
    <t>Cambridge Scholars Publisher</t>
  </si>
  <si>
    <t>General Works/Reference</t>
  </si>
  <si>
    <t>016.330917;016.330917671</t>
  </si>
  <si>
    <t>Z7164 .E15</t>
  </si>
  <si>
    <t>'1,1,75,75,7,17,18,20,24,25,31,61,67,67,22,131,182,182,54,178,178,7,17,18,19,20,22'</t>
  </si>
  <si>
    <t>War and Peace in Islam : A Critique of Islamic/ist Political Discourses</t>
  </si>
  <si>
    <t>Palgrave Macmillan Limited</t>
  </si>
  <si>
    <t>Political Science; Religion</t>
  </si>
  <si>
    <t>297.2/7</t>
  </si>
  <si>
    <t>JA1-92</t>
  </si>
  <si>
    <t>'1,,1,1,,94,93,95,96,97'</t>
  </si>
  <si>
    <t>'1,2,3,4,6,8,9,10,11,12,13,14,15,16,17,18,19,20,21,22,23,28,29,30,31,32,33,36,37,38,39,40,41,27,34,42,136,138,137,139,140,141,142'</t>
  </si>
  <si>
    <t>'30,31'</t>
  </si>
  <si>
    <t>'1,3,5,6,7,8,9,10,11,12,13,14,15,16,17,18,32,34,35,36,37,38,39,40,41,42,43,45,44,46,47,63,64,65'</t>
  </si>
  <si>
    <t>'34,35,42,41,41,42,41,41'</t>
  </si>
  <si>
    <t>Women and Islam : Myths, Apologies, and the Limits of Feminist Critique</t>
  </si>
  <si>
    <t>Religion; Social Science</t>
  </si>
  <si>
    <t>BP173.4 -- .B68 2014eb</t>
  </si>
  <si>
    <t>'1,14,15,16,17,18,39,40,41,42,43,44,45,46,47,48'</t>
  </si>
  <si>
    <t>'1,,1,6,6,6,88,21,141,140,139'</t>
  </si>
  <si>
    <t>Muslim Women Activists in North America : Speaking for Ourselves</t>
  </si>
  <si>
    <t>305.48/697/09227</t>
  </si>
  <si>
    <t>HQ1170</t>
  </si>
  <si>
    <t>'1,216,215,217,218,219'</t>
  </si>
  <si>
    <t>'1,2,4,5,7,9,10,11,12,13,14'</t>
  </si>
  <si>
    <t>'1,1,75,76,74'</t>
  </si>
  <si>
    <t>'1,1,75,76,77,88,93,93,88,94,133,134,254'</t>
  </si>
  <si>
    <t>Islam : A Brief History</t>
  </si>
  <si>
    <t>BP50 .S65 2010</t>
  </si>
  <si>
    <t>'1,2,3,3,7'</t>
  </si>
  <si>
    <t>Islam : History, Religion, and Politics</t>
  </si>
  <si>
    <t>BP50.S65 2016</t>
  </si>
  <si>
    <t>'1,1,57'</t>
  </si>
  <si>
    <t>DSM-IV-TR in Action : DSM-5 e-Chapter Update</t>
  </si>
  <si>
    <t>Medicine; Psychology</t>
  </si>
  <si>
    <t>RC469.D95 2014eb</t>
  </si>
  <si>
    <t>'1,2,57'</t>
  </si>
  <si>
    <t>Metaphysics: the Key Concepts : The Key Concepts</t>
  </si>
  <si>
    <t>BD111 -- .B33 2011eb</t>
  </si>
  <si>
    <t>'1,2,4,3,5,7,18,19,20,21,16,17,15,24,25,6,10,11,12,13,14,,1,,1,2'</t>
  </si>
  <si>
    <t>'1,1,14,15,18,21,17'</t>
  </si>
  <si>
    <t>'1,2,4,6,8,9,10,11,12,13,268,269'</t>
  </si>
  <si>
    <t>'1,2,5,4,7,8'</t>
  </si>
  <si>
    <t>Hutchinson Encyclopedia of Science</t>
  </si>
  <si>
    <t>Helicon Publishing</t>
  </si>
  <si>
    <t>Science: General; Science</t>
  </si>
  <si>
    <t>Q123 -- .H88 2008eb</t>
  </si>
  <si>
    <t>'1,1,1,2,3,3,4,6,7,28,49,50,51,2244,2242,2241'</t>
  </si>
  <si>
    <t>Crabs: Anatomy, Habitat and Ecological Significance : Anatomy, Habitat and Ecological Significance</t>
  </si>
  <si>
    <t>Science; Science: Zoology</t>
  </si>
  <si>
    <t>595.3/86</t>
  </si>
  <si>
    <t>QL444.M33 -- C694 2012eb</t>
  </si>
  <si>
    <t>'1,1,2,3,4,5,6,7,8,9,10,11,12,13,14,15,16,17,18'</t>
  </si>
  <si>
    <t>'1,2,,1'</t>
  </si>
  <si>
    <t>Common Fragrance and Flavor Materials : Preparation, Properties and Uses</t>
  </si>
  <si>
    <t>TP958</t>
  </si>
  <si>
    <t>'1,9,23,276'</t>
  </si>
  <si>
    <t>'1,94,93,95,96'</t>
  </si>
  <si>
    <t>Frontiers in Education : Computer Science and Computer Engineering</t>
  </si>
  <si>
    <t>C. S. R. E. A.</t>
  </si>
  <si>
    <t>QA75.5.I58 2016eb</t>
  </si>
  <si>
    <t>'76,80'</t>
  </si>
  <si>
    <t>'1,1,56'</t>
  </si>
  <si>
    <t>'6,6,8,7,9,10,11,11'</t>
  </si>
  <si>
    <t>'1,1,1,1,5,,5,6'</t>
  </si>
  <si>
    <t>'1,2,3,4'</t>
  </si>
  <si>
    <t>'1,10,11,18,14,15,16'</t>
  </si>
  <si>
    <t>'1,6,14,15,16,19,20,21,22,23,24,25,26,27,28,39,213,214,207'</t>
  </si>
  <si>
    <t>'1,2,2,2,3,4,5,6,7,8,10,12,13,15,16,17,30,31,32,33'</t>
  </si>
  <si>
    <t>'1,2,3,4,5,8,7,9,10'</t>
  </si>
  <si>
    <t>Routledge Handbook of Global Public Health</t>
  </si>
  <si>
    <t>Health; Social Science</t>
  </si>
  <si>
    <t>RA441 -- .R68 2011eb</t>
  </si>
  <si>
    <t>'90,91,92,93,94,95,96,97,98,99,100,101,102,103,104,105,106,107,108,109,110,111,112,113,114,115,116,117,118,119,120,121,122,123,124,125,126,127,128,129,130,131,132,133,134,135,136,137,138,139,140,141,142,143,144,145,146,147,148,149,150,151,152,153,154,155,156,157,,410,411,412,413,414,415,416,417,418,419,420,421,422,423,424,425,426,427,428,429,430,431,432,433,434,435,436,437,438,439,440,441,442,443,444,445'</t>
  </si>
  <si>
    <t>'1,2,4,100,227,225,222,198,199,200,6,16'</t>
  </si>
  <si>
    <t>'98,97'</t>
  </si>
  <si>
    <t>'97,98,99,100,101,102,103,104,105,106,107,108'</t>
  </si>
  <si>
    <t>'1,3,4,5,6,7'</t>
  </si>
  <si>
    <t>Solar Collectors : Energy Conservation,  Design and Applications</t>
  </si>
  <si>
    <t>621.47/2</t>
  </si>
  <si>
    <t>TJ812 -- .S62 2009eb</t>
  </si>
  <si>
    <t>'3,4,5,6'</t>
  </si>
  <si>
    <t>'93,94,1,3,4,5,6,7,8,95,96,97,98,99,100,101,102,103,104,105,96,107,107,107'</t>
  </si>
  <si>
    <t>'1,2,3,4,5,6,7,8,9,10,11,12,13,14,15,16,17,18,19,20,21'</t>
  </si>
  <si>
    <t>Pride and Prejudice</t>
  </si>
  <si>
    <t>Open Road Media</t>
  </si>
  <si>
    <t>Literature</t>
  </si>
  <si>
    <t>[E]</t>
  </si>
  <si>
    <t>PS3602.E267 -- .A978 2016eb</t>
  </si>
  <si>
    <t>'1,2,3'</t>
  </si>
  <si>
    <t>Diabetes: Improving Patient Care</t>
  </si>
  <si>
    <t>616.4/62</t>
  </si>
  <si>
    <t>RC660 -- .D447 2009eb</t>
  </si>
  <si>
    <t>'1,2,12'</t>
  </si>
  <si>
    <t>Humanity's End : Why We Should Reject Radical Enhancement</t>
  </si>
  <si>
    <t>Social Science; Science; Science: Biology/Natural History</t>
  </si>
  <si>
    <t>303.48/3</t>
  </si>
  <si>
    <t>GN281 -- .A33 2010eb</t>
  </si>
  <si>
    <t>'1,1,10,11,12,3,14,26,27,28,15'</t>
  </si>
  <si>
    <t>Matlab : A Practical Introduction to Programming and Problem Solving</t>
  </si>
  <si>
    <t>QA297.A87 2012</t>
  </si>
  <si>
    <t>'1,22,8,16,3,4,7,9,298,299,300,300'</t>
  </si>
  <si>
    <t>QA297 .A883 2013</t>
  </si>
  <si>
    <t>'1,8,9,10,318,319,320,321,322,323,324,116,117,118,119,119'</t>
  </si>
  <si>
    <t>'321'</t>
  </si>
  <si>
    <t>'1,1,1,15'</t>
  </si>
  <si>
    <t>'1,1,188,189,10,11,12,13,14,15,16,17,18,19,20,21,22,23,24,25,26'</t>
  </si>
  <si>
    <t>Mozilla/5.0 (Macintosh; Intel Mac OS X 10_15_7) AppleWebKit/537.36 (KHTML, like Gecko) Chrome/95.0.4638.69 Safari/537.36</t>
  </si>
  <si>
    <t>Human Rights in China</t>
  </si>
  <si>
    <t>JC599.C6 -- H855 2009eb</t>
  </si>
  <si>
    <t>'1,2,27,28,29'</t>
  </si>
  <si>
    <t>Freedom : Reassessments and Rephrasings</t>
  </si>
  <si>
    <t>Philosophy; Social Science</t>
  </si>
  <si>
    <t>123/.5</t>
  </si>
  <si>
    <t>HM1266.F77 2008</t>
  </si>
  <si>
    <t>'1,2,20,19,21,22,23,24,25,26,27,,1,296,297,298,299,300,301,302'</t>
  </si>
  <si>
    <t>Knowledge Management in Theory and Practice</t>
  </si>
  <si>
    <t>HD30.2 -- .D354 2011eb</t>
  </si>
  <si>
    <t>'18,1,19,20,21,22,23'</t>
  </si>
  <si>
    <t>'18,19,20,21,22,23,24,25,26,27,28,29,30,31,32,33,34,35,36,37,38,39,40,41,42,43,44,45,46,47'</t>
  </si>
  <si>
    <t>'19,19,19,20'</t>
  </si>
  <si>
    <t>Mozilla/5.0 (Windows NT 10.0; Win64; x64) AppleWebKit/537.36 (KHTML, like Gecko) Chrome/95.0.4638.54 Safari/537.36 Edg/95.0.1020.30</t>
  </si>
  <si>
    <t>Global Climate Change and Human Health : From Science to Practice</t>
  </si>
  <si>
    <t>Social Science; Health; Medicine</t>
  </si>
  <si>
    <t>615.9/02</t>
  </si>
  <si>
    <t>RA793 -- .L83 2015eb</t>
  </si>
  <si>
    <t>Islamic Political Thought : An Introduction</t>
  </si>
  <si>
    <t>Princeton University Press</t>
  </si>
  <si>
    <t>320.55/7</t>
  </si>
  <si>
    <t>JA84.I78 -- .I85 2015eb</t>
  </si>
  <si>
    <t>'1,3,4,5,5,5'</t>
  </si>
  <si>
    <t>'1,1,,1,2,2,57,57,43,42,44,46,46,47,45,57,58,57,58,58,39,43,42,105,105,57,58,57,43,52,53,53,43,42,52,55,54,56'</t>
  </si>
  <si>
    <t>Tribalism and Political Power in the Gulf : State-Building and National Identity in Kuwait, Qatar and the UAE</t>
  </si>
  <si>
    <t>I. B. Tauris &amp; Company, Limited</t>
  </si>
  <si>
    <t>'1,2,,,1'</t>
  </si>
  <si>
    <t>'1,2,3,4,5,6,7,8,9,10,11,12,13,14,15,16,17,18,19,20,21,22,23,24,25'</t>
  </si>
  <si>
    <t>'1,1,2,44,45,46,47,48,49,50,51,52,53,54,55,56,57,58,59,60,61,62,63,64,65,66,10,11,12,13,14,15,16,17,18,19,20,21,22,23,24,26,27,28'</t>
  </si>
  <si>
    <t>Islam and Peacebuilding : Gulen Movement Initiatives</t>
  </si>
  <si>
    <t>Blue Dome, Inc.</t>
  </si>
  <si>
    <t>BP190.5.P34 I842 20</t>
  </si>
  <si>
    <t>Islam and Peacemaking in the Middle East</t>
  </si>
  <si>
    <t>Lynne Rienner Publishers</t>
  </si>
  <si>
    <t>BP190.5.P34 -- .F865 2009eb</t>
  </si>
  <si>
    <t>'98,98,98'</t>
  </si>
  <si>
    <t>'1,1,44,45,46,206,187,3,4,6,145,149,210,217,213,203,202,199,197,195,194,193,191,189,188,185,183,184,182,182,137,241,226,224,220,222,223,221,218,219,217,216'</t>
  </si>
  <si>
    <t>'1,1,2,3,4,5,7,6,2,1,3,4,6,5,5'</t>
  </si>
  <si>
    <t>'1,1,42,2,41,76,151,151,152,153,154,155,156,157,44,43,45,46,47,48,49,50,233,205,204,202,203,203,143,212,207'</t>
  </si>
  <si>
    <t>'1,97,98,99,100,101,102,103,104'</t>
  </si>
  <si>
    <t>'1,2,29,30,31,32,33,81,82,83,84'</t>
  </si>
  <si>
    <t>'83,83,83'</t>
  </si>
  <si>
    <t>'1,133,134,135,136,137,138,139,140'</t>
  </si>
  <si>
    <t>'134'</t>
  </si>
  <si>
    <t>Mozilla/5.0 (Macintosh; Intel Mac OS X 10_15_7) AppleWebKit/537.36 (KHTML, like Gecko) Chrome/92.0.4515.159 Safari/537.36</t>
  </si>
  <si>
    <t>Digital Power Electronics and Applications</t>
  </si>
  <si>
    <t>TK7881.15.L86 2005</t>
  </si>
  <si>
    <t>Mechanical Vibrations : Theory and Application to Structural Dynamics</t>
  </si>
  <si>
    <t>624.1/76</t>
  </si>
  <si>
    <t>TA654 -- .G45 2015eb</t>
  </si>
  <si>
    <t>'1,1,2,3,5'</t>
  </si>
  <si>
    <t>No Peace Without Prayer : Encouraging Muslims and Christians to Pray Together; a Benedictine Approach</t>
  </si>
  <si>
    <t>Liturgical Press</t>
  </si>
  <si>
    <t>BP172.W75 2013</t>
  </si>
  <si>
    <t>'1,18'</t>
  </si>
  <si>
    <t>'1,2,3,4,5,7,8,11,26,28,30,29,31'</t>
  </si>
  <si>
    <t>'1,3,5,6,7,8,10,11,12,13,14,15,16,17,18,19,20,21,22,29,30,31,32,33,35,34'</t>
  </si>
  <si>
    <t>'1,95,94,96,96'</t>
  </si>
  <si>
    <t>'1,2,3,4,5,6,7,8,31,30,32,33,34,35,36,10,9,11'</t>
  </si>
  <si>
    <t>'1,2,4'</t>
  </si>
  <si>
    <t>'1,95,94,96,97,98,2,3,4,5,6,7,8'</t>
  </si>
  <si>
    <t>'95'</t>
  </si>
  <si>
    <t>'1,4,6,7,8,9,22,160,161,162'</t>
  </si>
  <si>
    <t>Mozilla/5.0 (Windows NT 10.0; Win64; x64) AppleWebKit/537.36 (KHTML, like Gecko) Chrome/95.0.4638.69 Safari/537.36 Edg/95.0.1020.53</t>
  </si>
  <si>
    <t>Racism and Mental Health : Prejudice and Suffering</t>
  </si>
  <si>
    <t>Jessica Kingsley Publishers</t>
  </si>
  <si>
    <t>Social Science; Health</t>
  </si>
  <si>
    <t>362.2/089/00941</t>
  </si>
  <si>
    <t>RA790.7.G7 -- R33 2002eb</t>
  </si>
  <si>
    <t>'1,2,3,9,10,85,86,87,87'</t>
  </si>
  <si>
    <t>'85'</t>
  </si>
  <si>
    <t>'1,2,4,107,6,8,9,10,11,125,126'</t>
  </si>
  <si>
    <t>Think and Grow Rich</t>
  </si>
  <si>
    <t>Chartwell Books</t>
  </si>
  <si>
    <t>HF5386.H555 2015</t>
  </si>
  <si>
    <t>'1,1,3,2,4,6,8,7,9,10,11,23,24,25,25,1,1,,1,1,56,55,54,57,23,24'</t>
  </si>
  <si>
    <t>'23,24,25,26,27,28,29,30,31,32,33,34,35'</t>
  </si>
  <si>
    <t>'1,1,2,5'</t>
  </si>
  <si>
    <t>12 Rules for Life : an Antidate to Chaos : A Guide to Meaning in the Modern World</t>
  </si>
  <si>
    <t>Lemaitre Publishing</t>
  </si>
  <si>
    <t>Psychology</t>
  </si>
  <si>
    <t>BF637.C5 .P484 2019</t>
  </si>
  <si>
    <t>Business 101 - The Art Of War</t>
  </si>
  <si>
    <t>BarCharts, Inc.</t>
  </si>
  <si>
    <t>U108.A2 .B875 2016</t>
  </si>
  <si>
    <t>'1,22,346,66,126,108,109,110,111,112,127,128,129,130,131,132,134,136,136,29,156,151,152,287,332,331,532'</t>
  </si>
  <si>
    <t>'128,130,130'</t>
  </si>
  <si>
    <t>MATLAB : An Introduction with Applications</t>
  </si>
  <si>
    <t>QA297.D85 2010</t>
  </si>
  <si>
    <t>'1,16,17,18,19,20,21,22,112,136,29,29'</t>
  </si>
  <si>
    <t>Review Questions for MRI</t>
  </si>
  <si>
    <t>RC78.7.N83 -- R68 2013eb</t>
  </si>
  <si>
    <t>'1,1,2,3,4,7,8,9,10,11,12,13,14,15,16,17,18,19'</t>
  </si>
  <si>
    <t>MRI : Basic Principles and Applications</t>
  </si>
  <si>
    <t>RC78.7.N83 D354 2015</t>
  </si>
  <si>
    <t>'1,1,2,5,6,7,8,10,15,16,17,18'</t>
  </si>
  <si>
    <t>'93,93,79,93,93,93,93,93,93,80,93,93,94,94,95,96,96,96,107,107,107,106,105,104,103,103,103,99,97,96,95,95,95,95,106,106,106,106,106'</t>
  </si>
  <si>
    <t>The Arabs of the Ottoman Empire, 1516–1918 : A Social and Cultural History</t>
  </si>
  <si>
    <t>History</t>
  </si>
  <si>
    <t>DR435.A66 .M37 2013</t>
  </si>
  <si>
    <t>'1,3,4,2,2'</t>
  </si>
  <si>
    <t>Tocqueville in the Ottoman Empire : Rival paths to the modern state</t>
  </si>
  <si>
    <t>Political Science; History</t>
  </si>
  <si>
    <t>320.956/09/034</t>
  </si>
  <si>
    <t>DR486 -- .S26 2004eb</t>
  </si>
  <si>
    <t>'1,2,5,6,7,9,8'</t>
  </si>
  <si>
    <t>'93,94,95'</t>
  </si>
  <si>
    <t>'94'</t>
  </si>
  <si>
    <t>Advances in Membrane Technologies for Water Treatment : Materials, Processes and Applications</t>
  </si>
  <si>
    <t>Engineering: Environmental; Engineering</t>
  </si>
  <si>
    <t>TD442.5 -- .A383 2015eb</t>
  </si>
  <si>
    <t>'1,1,2,3,4,4,5,6,7,8,9,9,10,10,3,6,352'</t>
  </si>
  <si>
    <t>Mozilla/5.0 (Macintosh; Intel Mac OS X 10_15_6) AppleWebKit/605.1.15 (KHTML, like Gecko) Version/14.0.1 Safari/605.1.15</t>
  </si>
  <si>
    <t>'1,,1,,3,4,5,6,7,8,9,10,11,12,13,15,16,17'</t>
  </si>
  <si>
    <t>'1,,1,,,3,4,5,6,7,8,9,10,11'</t>
  </si>
  <si>
    <t>'1,2,4,6,7,1,,1,1,1,,4,5,6,7,8,10,11'</t>
  </si>
  <si>
    <t>Bisphenol A and Phthalates: Uses, Health Effects and Environmental Risks : Uses, Health Effects and Environmental Risks</t>
  </si>
  <si>
    <t>Social Science; Medicine; Health</t>
  </si>
  <si>
    <t>615.9/51</t>
  </si>
  <si>
    <t>RA1242.P58 -- B57 2010eb</t>
  </si>
  <si>
    <t>'147,148,149,150,151,152,153,154,155,156,157,158,159,160,161,162,163,164,165,166'</t>
  </si>
  <si>
    <t>Understanding Jihad</t>
  </si>
  <si>
    <t>University of California Press</t>
  </si>
  <si>
    <t>297.7/2</t>
  </si>
  <si>
    <t>BP182</t>
  </si>
  <si>
    <t>'1,,1,3,2,4,5,6,,1,,47,,1'</t>
  </si>
  <si>
    <t>'280,281'</t>
  </si>
  <si>
    <t>Guns and Butter : The Economic Causes and Consequences of Conflict</t>
  </si>
  <si>
    <t>HB195.G86 2009</t>
  </si>
  <si>
    <t>'1,8,9,10,11,12,13,14,15,16,17,18,19,20'</t>
  </si>
  <si>
    <t>'1,4,3,6,2,8,10,10,11,12,13,15,16,17,18,19,24,25,23,22,21'</t>
  </si>
  <si>
    <t>Client-Honeypots : Exploring Malicious Websites</t>
  </si>
  <si>
    <t>QA76.9.A25</t>
  </si>
  <si>
    <t>'1,2,,1,2'</t>
  </si>
  <si>
    <t>'1,3,4'</t>
  </si>
  <si>
    <t>'1,1,177,1,162,163,164,165,166,167,168,169,170,171,172'</t>
  </si>
  <si>
    <t>Guide to CFO Success : Leadership Strategies for Corporate Financial Professionals</t>
  </si>
  <si>
    <t>HG4027.35 -- .D474 2014eb</t>
  </si>
  <si>
    <t>'1,1,9,12,23,22,24,,1,23,24,25,25'</t>
  </si>
  <si>
    <t>Creating Healthy Organizations : Taking Action to Improve Employee Well-Being, Revised and Expanded Edition</t>
  </si>
  <si>
    <t>University of Toronto Press</t>
  </si>
  <si>
    <t>HF5549.5.M63$b.L694 2020</t>
  </si>
  <si>
    <t>Religion and the New Atheism : A Critical Appraisal</t>
  </si>
  <si>
    <t>211/.8</t>
  </si>
  <si>
    <t>BL2747.3.R47 2010</t>
  </si>
  <si>
    <t>'1,6,2,3,4,7,8,27,28,29,31,32,33,34,53,58,51'</t>
  </si>
  <si>
    <t>'1,,,1,1,108,108,47,48,49,50,50,50'</t>
  </si>
  <si>
    <t>'108,109,110,111,112,113,114,115,116,117,118,119,120,121,122,123,124,125,126,127,128,129,130,131,132,133,134,135,136,137,138,139,140,141,142,47,48,49,50,51,52,53,54,55,56,57,58,59,60,61,62,63'</t>
  </si>
  <si>
    <t>Mozilla/5.0 (Macintosh; Intel Mac OS X 10_12_6) AppleWebKit/537.36 (KHTML, like Gecko) Chrome/95.0.4638.69 Safari/537.36</t>
  </si>
  <si>
    <t>'77'</t>
  </si>
  <si>
    <t>Mozilla/5.0 (iPhone; CPU iPhone OS 14_6 like Mac OS X) AppleWebKit/605.1.15 (KHTML, like Gecko) Version/14.1.1 Mobile/15E148 Safari/604.1</t>
  </si>
  <si>
    <t>Chemical Reaction Technology</t>
  </si>
  <si>
    <t>TP145 -- .M87 2015eb</t>
  </si>
  <si>
    <t>'1,13,61,61,72,75,76,77,78,78,306,82'</t>
  </si>
  <si>
    <t>Supermodularity and Complementarity</t>
  </si>
  <si>
    <t>658.4/033</t>
  </si>
  <si>
    <t>HD30.23 -- .T68 1998eb</t>
  </si>
  <si>
    <t>'1,1,2,3,8,7,9'</t>
  </si>
  <si>
    <t>'1,1,1,33,32,134,157,133,156,237,264,407,406'</t>
  </si>
  <si>
    <t>Islamic Philosophy Aâ âZ</t>
  </si>
  <si>
    <t>B741 -- .G76 2007eb</t>
  </si>
  <si>
    <t>'1,20,22,23,24,25,26,27,28,29,30,31,32,33,35,37,38,39'</t>
  </si>
  <si>
    <t>Lights, Camera, History : Portraying the Past in Film</t>
  </si>
  <si>
    <t>Texas A&amp;M University Press</t>
  </si>
  <si>
    <t>Fine Arts</t>
  </si>
  <si>
    <t>791.43/658</t>
  </si>
  <si>
    <t>PN1995.2.L54 2007</t>
  </si>
  <si>
    <t>'1,6,,1,6,7,42,43'</t>
  </si>
  <si>
    <t>Islam, Science, and the Challenge of History</t>
  </si>
  <si>
    <t>Yale University Press</t>
  </si>
  <si>
    <t>297.2/65</t>
  </si>
  <si>
    <t>BP190.5.S3 -- D35 2010eb</t>
  </si>
  <si>
    <t>'1,2,3,4,16,17,18,19,20,21,22,23,24,1'</t>
  </si>
  <si>
    <t>Living Islamic History : Studies in Honour of Professor Carole Hillenbrand</t>
  </si>
  <si>
    <t>BP50 -- .L58 2010eb</t>
  </si>
  <si>
    <t>'1,2,3,4,5,6,7,8,8,284,283'</t>
  </si>
  <si>
    <t>The FIDIC Contracts : Obligations of the Parties</t>
  </si>
  <si>
    <t>K891.B8.H495 2014eb</t>
  </si>
  <si>
    <t>'1,3,4,5,6'</t>
  </si>
  <si>
    <t>A History of Medieval Islam</t>
  </si>
  <si>
    <t>History; Geography/Travel</t>
  </si>
  <si>
    <t>DS38.3.S28</t>
  </si>
  <si>
    <t>'1,2,3,5,6,7,7,32,33,31,1,4,6,94,93,95,96,97,98,99,112,111,113,114,114,11,10,121,205,206,207,208,210,209,211'</t>
  </si>
  <si>
    <t>'1,2,3,2,12,47,48,49,50,51,52,53,54,55,56,57,171,174,175,1'</t>
  </si>
  <si>
    <t>'1,3,2,19,45,46,47,52,53,53,53,53,53,55,54,56,57,58,60,59,78,77,85,86,99,98,139,138'</t>
  </si>
  <si>
    <t>Neural Networks : An Introductory Guide for Social Scientists</t>
  </si>
  <si>
    <t>Sage Publications Ltd.</t>
  </si>
  <si>
    <t>QA76.81$b.G37 1998</t>
  </si>
  <si>
    <t>'1,2,3,4,6,7,8,8,8,5'</t>
  </si>
  <si>
    <t>Practical Guide to ICP-MS : A Tutorial for Beginners, Third Edition</t>
  </si>
  <si>
    <t>Science; Science: Chemistry</t>
  </si>
  <si>
    <t>QD96.I47</t>
  </si>
  <si>
    <t>'1,1,,1,1,1,1,,1,1,,1,1,,1,1,,1,1,,1,1,,10,3,4,5,6,7,8,9,12,13,14,15,16,19,21,23,24,25,26,27,28,29,30,31,32,33,35,36,37,38,39,40,41,42,43,44,45,46,47,48,49,50,51,52,53,54,55,56,57,58,59,60,,1'</t>
  </si>
  <si>
    <t>'1,2,3,4,5,6,7,8'</t>
  </si>
  <si>
    <t>'1,2,3,4,5,6,7,8,9,10,11,12,13,14,1,,,,,1'</t>
  </si>
  <si>
    <t>'1,1,148,385,384,103,17'</t>
  </si>
  <si>
    <t>'17'</t>
  </si>
  <si>
    <t>Process Heat Transfer : Principles, Applications and Rules of Thumb</t>
  </si>
  <si>
    <t>Engineering: General; Science: Physics; Engineering; Science</t>
  </si>
  <si>
    <t>QC320 -- .S48 2014eb</t>
  </si>
  <si>
    <t>'1,6,5,7,8,9,123,110,105,94,91,85,86,87,88'</t>
  </si>
  <si>
    <t>Blind Equalization in Neural Networks : Theory, Algorithms and Applications</t>
  </si>
  <si>
    <t>QA76.87 .B556 2018</t>
  </si>
  <si>
    <t>'1,2,5,6,7,8,9,11,13,14,15,16,17,18,19,20,21,22,23,24,26,27,29,30,31,32,33,34,263,264,265,266,267,268,1,3,13,14,12,7'</t>
  </si>
  <si>
    <t>Mozilla/5.0 (Macintosh; Intel Mac OS X 10_15_6) AppleWebKit/605.1.15 (KHTML, like Gecko) Version/14.0 Safari/605.1.15</t>
  </si>
  <si>
    <t>Focus on Artificial Neural Networks</t>
  </si>
  <si>
    <t>006.3/2</t>
  </si>
  <si>
    <t>QA76.87.F623 2011</t>
  </si>
  <si>
    <t>'3,4,5,6,7'</t>
  </si>
  <si>
    <t>MATLAB for Neuroscientists : An Introduction to Scientific Computing in MATLAB</t>
  </si>
  <si>
    <t>Science; Science: Biology/Natural History; Science: Anatomy/Physiology</t>
  </si>
  <si>
    <t>QP357.5.M38 2014eb</t>
  </si>
  <si>
    <t>'1,2,3,4,5,6,7,8,8,12,28,29,30'</t>
  </si>
  <si>
    <t>'1,12,13,14,15,13,42,112,553,582'</t>
  </si>
  <si>
    <t>'1,8,9,12'</t>
  </si>
  <si>
    <t>'1,2,8,6,3,5,9,10,12,294,293,295,296,297,298,299,300,302,303,304,305,306,307,308,309,310,312,311,301'</t>
  </si>
  <si>
    <t>Global Warming : Looking Beyond Kyoto</t>
  </si>
  <si>
    <t>Brookings Institution Press</t>
  </si>
  <si>
    <t>Science: Physics; Environmental Studies; Science</t>
  </si>
  <si>
    <t>QC981.8.G56 -- G57442 2008eb</t>
  </si>
  <si>
    <t>'1,3,2,4,5,6,7,9,22,23,24,25,26'</t>
  </si>
  <si>
    <t>Mozilla/5.0 (Macintosh; Intel Mac OS X 10_14_6) AppleWebKit/605.1.15 (KHTML, like Gecko) Version/14.0.3 Safari/605.1.15</t>
  </si>
  <si>
    <t>Global Warming, A Very Peculiar History</t>
  </si>
  <si>
    <t>Andrews UK Ltd.</t>
  </si>
  <si>
    <t>Science: Geology; Science: Physics; Environmental Studies; Science</t>
  </si>
  <si>
    <t>363.73874;551.6</t>
  </si>
  <si>
    <t>QC981.8.G56 -- G73 2010eb</t>
  </si>
  <si>
    <t>'1,2,3,4,6,7,8,9'</t>
  </si>
  <si>
    <t>'1,2,4,5,6,7,15,16,17,18,57,43,27,26,28,29,31,32,33,34,44'</t>
  </si>
  <si>
    <t>Mysticism and Philosophy in Al-Andalus : Ibn Masarra, Ibn Al-ʿArabī and the Ismāʿīlī Tradition</t>
  </si>
  <si>
    <t>BP188.8.S72.A534 20</t>
  </si>
  <si>
    <t>'1,3,7,8,9,10,,47,48'</t>
  </si>
  <si>
    <t>Islamic Theology, Philosophy and Law : Debating Ibn Taymiyya and Ibn Qayyim Al-Jawziyya</t>
  </si>
  <si>
    <t>Philosophy; Religion</t>
  </si>
  <si>
    <t>BP166.1.I726 2013eb</t>
  </si>
  <si>
    <t>'1,259,261,262,263,264,,266,267,268,269,270'</t>
  </si>
  <si>
    <t>'1,129,130,131,132,134,247,246,248,249,250,251'</t>
  </si>
  <si>
    <t>Piezoelectric Ceramic Materials: Processing, Properties, Characterization, and Applications : Processing, Properties, Characterization, and Applications</t>
  </si>
  <si>
    <t>Science; Engineering; Engineering: Electrical; Science: Physics</t>
  </si>
  <si>
    <t>537/.2446</t>
  </si>
  <si>
    <t>TK7871.15.C4 -- Z48 2010eb</t>
  </si>
  <si>
    <t>Computers : Classical, Quantum and Others</t>
  </si>
  <si>
    <t>Bentham Science Publishers</t>
  </si>
  <si>
    <t>Mathematics; Science: General</t>
  </si>
  <si>
    <t>QA267 -- .S86 2012</t>
  </si>
  <si>
    <t>'1,10,10,,12,13,5,29,,1,29,30,31,32,33,34,35,36,37,39,40,41,42,43,44,45,46,47,48'</t>
  </si>
  <si>
    <t>'1,2,3,16,15,17,17,17,18,16,6,5,3,2,51,50,52,57'</t>
  </si>
  <si>
    <t>Islamic Law (RLE Politics of Islam) : Social and Historical Contexts</t>
  </si>
  <si>
    <t>KBP144</t>
  </si>
  <si>
    <t>'1,3,4,5,6,7,8,9,10,11,12,14,15,16,17,18,160,161,162,163,164,165,166,167'</t>
  </si>
  <si>
    <t>'1,2,5'</t>
  </si>
  <si>
    <t>Solar Engineering of Thermal Processes, Photovoltaics and Wind, 5th Edition</t>
  </si>
  <si>
    <t>TJ810$b.D844 2020</t>
  </si>
  <si>
    <t>'1,2,3,4,5,7,8,9,11,12,10,605,540,446,442,406,404,402,400,277,276,275,274,217,156,186,194,193,195,196,197,198,199,201,202,203,204,200,209,212,208,210,211,213,214,215,216,215,215,209,211,212,214,216,217,218,219,220,221,223,1,931,930,929,928,927,926,925,32,63,71,69,70,86,85,87,88,89,90,91,92,93,94,95,96,97,27,37,38,39,37,37,36,38,40,41,42,42,43,41,40,40,41,42,931,924,834,930,930,929,928,925,923,924,925,90,91,88,86,1,37,38,1,2,3,4,5,6'</t>
  </si>
  <si>
    <t>'216,37'</t>
  </si>
  <si>
    <t>'15,15,15,8,16'</t>
  </si>
  <si>
    <t>'3,4,5,6,7,8,9,10'</t>
  </si>
  <si>
    <t>'1,3,47,16'</t>
  </si>
  <si>
    <t>'2,3,,16,17,18,19'</t>
  </si>
  <si>
    <t>'1,8,9,10,11,12,13,14,118,119,120,121,30'</t>
  </si>
  <si>
    <t>'10,12'</t>
  </si>
  <si>
    <t>Fermentation: Vital or Chemical Process? : Vital or Chemical Process?</t>
  </si>
  <si>
    <t>572/.49</t>
  </si>
  <si>
    <t>QP601.F78 2006</t>
  </si>
  <si>
    <t>'1,2,3,4,5,6,7,8,9,11,12'</t>
  </si>
  <si>
    <t>Mozilla/5.0 (Macintosh; Intel Mac OS X 10_15_7) AppleWebKit/605.1.15 (KHTML, like Gecko) Version/14.1 Safari/605.1.15</t>
  </si>
  <si>
    <t>'1,10,69,70,125,126,127,128,129,130,131,132'</t>
  </si>
  <si>
    <t>'127,129,131,132'</t>
  </si>
  <si>
    <t>'1,29'</t>
  </si>
  <si>
    <t>'1,2,8'</t>
  </si>
  <si>
    <t>'8'</t>
  </si>
  <si>
    <t>Advanced Computer Architecture and Parallel Processing</t>
  </si>
  <si>
    <t>004/.35</t>
  </si>
  <si>
    <t>QA76.9.A73E45 2005</t>
  </si>
  <si>
    <t>'1,2,3,4,5,6,7,8,9,10,11,12'</t>
  </si>
  <si>
    <t>Fundamentals of Computer Organization and Architecture</t>
  </si>
  <si>
    <t>004.2/2</t>
  </si>
  <si>
    <t>QA76.9.A73A24 2005</t>
  </si>
  <si>
    <t>'1,2,3,4,5,6,7,8,9,10,11,12,1'</t>
  </si>
  <si>
    <t>'1,5,4,3,2'</t>
  </si>
  <si>
    <t>'1,8'</t>
  </si>
  <si>
    <t>'1,13,14,15,16,17,18,20,21,29,29,29'</t>
  </si>
  <si>
    <t>'1,8,9,9,9,10,11,12,13'</t>
  </si>
  <si>
    <t>Industry Genius : Inventions and People Protecting the Climate and Fragile Ozone Layer</t>
  </si>
  <si>
    <t>Business/Management; Engineering; Engineering: General</t>
  </si>
  <si>
    <t>T173.8 -- .A53 2003eb</t>
  </si>
  <si>
    <t>'1,1,131,132,133,133,134,135,136,137,138,139,133,134,135,136,138,193,190,188,188,187,186,177,178,176,175,174,172,170,168,122,123,124,132,131,133,136,134,134'</t>
  </si>
  <si>
    <t>Mozilla/5.0 (Macintosh; Intel Mac OS X 10_15_6) AppleWebKit/605.1.15 (KHTML, like Gecko) Version/14.1.2 Safari/605.1.15</t>
  </si>
  <si>
    <t>'1,1,1,2,5,7,8,9,10,12,11,131,131,132,133,133,133,134'</t>
  </si>
  <si>
    <t>Mozilla/5.0 (iPad; CPU OS 14_7_1 like Mac OS X) AppleWebKit/605.1.15 (KHTML, like Gecko) Mobile/15E148 Instagram 212.1.0.25.118 (iPad13,4; iOS 14_7_1; en_AE; en-AE; scale=2.00; 1334x750; 329643252)</t>
  </si>
  <si>
    <t>Reason and Rationality</t>
  </si>
  <si>
    <t>BC177 -- .E4713 2009eb</t>
  </si>
  <si>
    <t>'1,2,5,5,5,5,5,5,5,5,6,9,11,10,12,12,12,13,15,16,17,18,19,20,21,22,23,24,25,26,14,11,10,9,8'</t>
  </si>
  <si>
    <t>'1,2,3,4,5'</t>
  </si>
  <si>
    <t>Mozilla/5.0 (Windows NT 10.0; Win64; x64) AppleWebKit/537.36 (KHTML, like Gecko) Chrome/95.0.4638.54 Safari/537.36</t>
  </si>
  <si>
    <t>Mozilla/5.0 (Macintosh; Intel Mac OS X 10_15_6) AppleWebKit/537.36 (KHTML, like Gecko) Chrome/95.0.4638.54 Safari/537.36</t>
  </si>
  <si>
    <t>'1,2,3,4,5,6,7,8,9,10,11,12,12,12'</t>
  </si>
  <si>
    <t>Piezoelectric Materials: Structure, Properties and Applications : Structure, Properties and Applications</t>
  </si>
  <si>
    <t>620.1/1297</t>
  </si>
  <si>
    <t>TK7872.P54 -- P535 2010eb</t>
  </si>
  <si>
    <t>Mozilla/5.0 (Macintosh; Intel Mac OS X 10_15_7) AppleWebKit/537.36 (KHTML, like Gecko) Chrome/95.0.4638.54 Safari/537.36</t>
  </si>
  <si>
    <t>'1,3,4,5,6,7,10,125'</t>
  </si>
  <si>
    <t>'125'</t>
  </si>
  <si>
    <t>'1,2,3,4,5,6,7,8,9,10,11,125,126'</t>
  </si>
  <si>
    <t>'8,125,126'</t>
  </si>
  <si>
    <t>Fundamentals of Building Construction : Materials and Methods</t>
  </si>
  <si>
    <t>Engineering; Engineering: Construction</t>
  </si>
  <si>
    <t>TH145.A417 2013eb</t>
  </si>
  <si>
    <t>'21,22,23,24,25,26,27,28,29,30,31,32,33,34,35,36,37,38,39,40,41,42,43,44,45,46,47,48,,21,22,23,24,25,26,27,28,29,30,31,32,33,34,35,36,37,38,39,40,41,42,43,44,45,46,47,48'</t>
  </si>
  <si>
    <t>The Art of RF (Riba-Free) Islamic Banking and Finance : Tools and Techniques for Community-Based Banking</t>
  </si>
  <si>
    <t>Economics; Business/Management</t>
  </si>
  <si>
    <t>332.10917/67</t>
  </si>
  <si>
    <t>HG3368.A6 -- .A244 2014eb</t>
  </si>
  <si>
    <t>'41,42,43,44,45,46,47,48,49,50,51,52,53,54,,41,42,43,44,45,46,47,48,49,50,51,52,53,54'</t>
  </si>
  <si>
    <t>Electroactive Polymers: Advances in Materials and Devices</t>
  </si>
  <si>
    <t>Trans Tech Publications, Limited</t>
  </si>
  <si>
    <t>Engineering: General; Engineering; Engineering: Civil</t>
  </si>
  <si>
    <t>TA418.9.S62.I68 201</t>
  </si>
  <si>
    <t>'1,2,4,5,6,7,8,9,10,11,13,14,16,77'</t>
  </si>
  <si>
    <t>Shape Memory Alloys : Modeling and Engineering Applications</t>
  </si>
  <si>
    <t>Springer</t>
  </si>
  <si>
    <t>Engineering: Civil; Engineering; Engineering: General</t>
  </si>
  <si>
    <t>TA401-492</t>
  </si>
  <si>
    <t>'1,2,18,19,20,21,22,23,24,25,26,27,28,29,30,31,32,33,34,35,13'</t>
  </si>
  <si>
    <t>Mozilla/5.0 (Macintosh; Intel Mac OS X 10_13_1) AppleWebKit/537.36 (KHTML, like Gecko) Chrome/95.0.4638.54 Safari/537.36</t>
  </si>
  <si>
    <t>Shape Memory Alloys: Properties, Technologies, Opportunities</t>
  </si>
  <si>
    <t>TA487 -- .S537 2015eb</t>
  </si>
  <si>
    <t>'1,2,3,4,5,6,7,8,9,10,11,12,13,14,15,16,17,19,20,21,22,23,24,25,,1'</t>
  </si>
  <si>
    <t>'1,1,2,3,3,4,2,5'</t>
  </si>
  <si>
    <t>'2,1'</t>
  </si>
  <si>
    <t>'1,3,4,5,6,7,8,9,10,11,12,13,14,15,16,17,17'</t>
  </si>
  <si>
    <t>Islamophobia : The Challenge of Pluralism in the 21st Century</t>
  </si>
  <si>
    <t>Oxford University Press USA - OSO</t>
  </si>
  <si>
    <t>297.09/049</t>
  </si>
  <si>
    <t>BP52 -- .I854 2011eb</t>
  </si>
  <si>
    <t>Lawyers As Leaders</t>
  </si>
  <si>
    <t>340.068/4</t>
  </si>
  <si>
    <t>KF298.R48 2013eb</t>
  </si>
  <si>
    <t>'1,2,3,4,5,6,7,8,9,10,11,12,13,14,15'</t>
  </si>
  <si>
    <t>Reducing Gun Violence in America : Informing Policy with Evidence and Analysis</t>
  </si>
  <si>
    <t>Johns Hopkins University Press</t>
  </si>
  <si>
    <t>HV7436.R4152 2013</t>
  </si>
  <si>
    <t>'1,1,2,3,4,5,6'</t>
  </si>
  <si>
    <t>Functional Materials : Preparation, Processing and Applications</t>
  </si>
  <si>
    <t>Engineering; Engineering: Electrical; Engineering: General</t>
  </si>
  <si>
    <t>TK7874.8 -- .F86 2012eb</t>
  </si>
  <si>
    <t>'1,412,413,415,414,416,417,418,419,420,421,429,456,457,458,456,456,412,413,414,415,416,417,418,419,420,421,422,423,424,425,426,429,430,431,432,433,440,441,442,443,444,445,446,485,486,487,455,454,477,478,479,480,481,482,483,484,,1,412,456,457,458,459,460,461,462,464,465,466,467,468,469,473,474,475,476,477,478,479,480,481,412,412'</t>
  </si>
  <si>
    <t>'412,413,414,415,416,417,418,419,420,421,422,423,424,425,426,427,428,429,430,431,432,433,434,435,436,437,438,439,440,441,442,443,444,445,446,447,448,449,450,451,452,453,454,455,456,457,458,459,460,461,462,463,464,465,466,467,468,469,470,471,472,473,474,475,476,477,478,479,480,481,482,483,484,485,486,487,488,489,490,491'</t>
  </si>
  <si>
    <t>'415,416,419,420'</t>
  </si>
  <si>
    <t>Mozilla/5.0 (Windows NT 6.1; WOW64) AppleWebKit/537.36 (KHTML, like Gecko) Chrome/95.0.4638.69 Safari/537.36</t>
  </si>
  <si>
    <t>'1,5,6,7,4,5,6,4,4,6,6,6,6,6,6,6'</t>
  </si>
  <si>
    <t>Mozilla/5.0 (Macintosh; Intel Mac OS X 10_15_7) AppleWebKit/537.36 (KHTML, like Gecko) Chrome/93.0.4577.63 Safari/537.36</t>
  </si>
  <si>
    <t>Empire, Islam, and Politics of Difference : Ottoman Rule in Yemen, 1849-1919</t>
  </si>
  <si>
    <t>DS247.Y47 -- K84 2011eb</t>
  </si>
  <si>
    <t>Mozilla/5.0 (iPhone; CPU iPhone OS 14_4_2 like Mac OS X) AppleWebKit/605.1.15 (KHTML, like Gecko) Version/14.0.3 Mobile/15E148 Safari/604.1</t>
  </si>
  <si>
    <t>'1,1,1,2,3,4,4,5,6,6,8,8,9,10,10,11,12,14,15,16,17'</t>
  </si>
  <si>
    <t>Issues for Science and Engineering Researchers in the Digital Age</t>
  </si>
  <si>
    <t>502/.85</t>
  </si>
  <si>
    <t>Q180.55.E4I77 2001</t>
  </si>
  <si>
    <t>'1,2,3,13,14'</t>
  </si>
  <si>
    <t>'23,24,25,26,27,28,29,30,31,32,33,34,35,36,37,38,39,40,41,42,43,44,45,46,47,48,49,50,51,52,,53,54,55,56,57,58,59,60,61,62,63,64,65,66,67,68,69,70,71,72,73,74,,75,76,77,78,79,80,81,82,83,84,85,86,87,88,89,90,91,92,93,94,95,96,97,98,99,100,101,102,103,104,105,106,107,108,109,110,111,112'</t>
  </si>
  <si>
    <t>Solar Engineering of Thermal Processes</t>
  </si>
  <si>
    <t>TJ810.D82 2013</t>
  </si>
  <si>
    <t>'1,1,2,3,4'</t>
  </si>
  <si>
    <t>'1,1,209'</t>
  </si>
  <si>
    <t>'1,1,6,3,,1,1,2,1'</t>
  </si>
  <si>
    <t>High Voltage Engineering Fundamentals</t>
  </si>
  <si>
    <t>TK153.K8 2000</t>
  </si>
  <si>
    <t>Politics of Knowledge in Premodern Islam : Negotiating Ideology and Religious Inquiry</t>
  </si>
  <si>
    <t>University of North Carolina Press</t>
  </si>
  <si>
    <t>956.1/014</t>
  </si>
  <si>
    <t>DS27 -- .S25 2006eb</t>
  </si>
  <si>
    <t>'1,,1,3,4,5,6,2,13,1,4'</t>
  </si>
  <si>
    <t>Modern Chlor-Alkali Technology, Volume 8</t>
  </si>
  <si>
    <t>661/.0732</t>
  </si>
  <si>
    <t>TP245.C5M63eb vol. 8</t>
  </si>
  <si>
    <t>'1,309,1,2,4,5,7,8,9,10,11,12,310,311'</t>
  </si>
  <si>
    <t>'1,1,2,3,131,134,135,133'</t>
  </si>
  <si>
    <t>'131,132'</t>
  </si>
  <si>
    <t>Competitive Sorption and Transport of Heavy Metals in Soils and Geological Media</t>
  </si>
  <si>
    <t>628.5/5</t>
  </si>
  <si>
    <t>TD879.H4 -- C66 2012eb</t>
  </si>
  <si>
    <t>'1,2,3,4,5,6,7,8,8'</t>
  </si>
  <si>
    <t>'1,1,131'</t>
  </si>
  <si>
    <t>'131'</t>
  </si>
  <si>
    <t>'1,1,131,132,131,,1,1,1,131,132,132,133,131'</t>
  </si>
  <si>
    <t>'1,1,3,4,5,6,7,8,9,10,11,12,17,13,15,33,34,35,36,131,128,71,71,72,72,73,73,74,75,75,75,75,76,76,77,131,132,132,131,131,131,131,132,132,131'</t>
  </si>
  <si>
    <t>War Came Home with Him : A Daughter’s Memoir</t>
  </si>
  <si>
    <t>University of Minnesota Press</t>
  </si>
  <si>
    <t>DS921</t>
  </si>
  <si>
    <t>Pulmonary Drug Delivery : Advances and Challenges</t>
  </si>
  <si>
    <t>Pharmacy; Medicine</t>
  </si>
  <si>
    <t>RS199.5 -- .P856 2015eb</t>
  </si>
  <si>
    <t>'1,3,4,5,6,7,9,12,13,14,15,16,17,18,19,20,57'</t>
  </si>
  <si>
    <t>Advanced Drug Delivery</t>
  </si>
  <si>
    <t>Medicine; Pharmacy</t>
  </si>
  <si>
    <t>RS199.5.A38 2013eb</t>
  </si>
  <si>
    <t>'1,3,4,2,2,47,40,39,38,36,34,30,29,25'</t>
  </si>
  <si>
    <t>Wastewater Treatment : Advanced Processes and Technologies</t>
  </si>
  <si>
    <t>TD745</t>
  </si>
  <si>
    <t>'1,2,3,4,5,6,7,7,255,257,258,259,260,261'</t>
  </si>
  <si>
    <t>Vaccinology : Principles and Practice</t>
  </si>
  <si>
    <t>Science; Pharmacy; Science: Biology/Natural History; Medicine</t>
  </si>
  <si>
    <t>QR189 -- .V33 2012eb</t>
  </si>
  <si>
    <t>'1,105,103,104,102,100'</t>
  </si>
  <si>
    <t>Development of Vaccines : From Discovery to Clinical Testing</t>
  </si>
  <si>
    <t>Pharmacy; Science: Biology/Natural History; Medicine; Science</t>
  </si>
  <si>
    <t>615/.372</t>
  </si>
  <si>
    <t>QR189.D48 2011</t>
  </si>
  <si>
    <t>'1,3,132,131,129,126'</t>
  </si>
  <si>
    <t>'1,1,4,,1,1,1,3,2,3,33,38,38,85,104,131,132,132,2,3,4,7,33,34,35,36,,1,1,1,33,85,105,130,131,131,132,7,85,3,110,130,133,121,1,1,1,1,,1,1,2,3,4'</t>
  </si>
  <si>
    <t>Cyberbullying : Bullying in the Digital Age</t>
  </si>
  <si>
    <t>HV6773 -- .K69 2012eb</t>
  </si>
  <si>
    <t>'5,6,7,8,9,9,9,7,9,9,9,7,6,8,10,11,12,12,12,12,12,10,12,9,8,7,8'</t>
  </si>
  <si>
    <t>Islam, Economics, and Society (RLE Politics of Islam)</t>
  </si>
  <si>
    <t>BP173.75 .N3734 2013</t>
  </si>
  <si>
    <t>'1,2,3,4,5,6,7,8,9,10,11,12,13,14,15,71,72,73,100,99,101,102,103,104'</t>
  </si>
  <si>
    <t>Rebuilding the Unity of Health and the Environment : A New Vision of Environmental Health for the 21st Century</t>
  </si>
  <si>
    <t>Environmental Studies; Health; Social Science</t>
  </si>
  <si>
    <t>RA565.H36 2001</t>
  </si>
  <si>
    <t>'1,2,3,4,5,6,7,8,9,10,11,12,13,14,15,16,17,18,19,20,21,20,20'</t>
  </si>
  <si>
    <t>Erotic Art Photography</t>
  </si>
  <si>
    <t>Parkstone International</t>
  </si>
  <si>
    <t>TR676 -- .D876 2015eb</t>
  </si>
  <si>
    <t>'1,2,3,4,5,5,5,5,6,26,25,27,28,180,182,183,184,185,186,187,188,189,190,191,192,193,194,80,79,81,82,83,117,118,119,328,327,329,330,331,332,333,196,195,198,200'</t>
  </si>
  <si>
    <t>Testing and Contract Tracing for COVID -19</t>
  </si>
  <si>
    <t>Medicine; Social Science; Health</t>
  </si>
  <si>
    <t>RA644.C67 .B385 2020</t>
  </si>
  <si>
    <t>'1,1,2,3,25,401,402,403,404,405,406,407,400,399,398,397,396,395,394,393,392'</t>
  </si>
  <si>
    <t>Electric Vehicle Technology Explained</t>
  </si>
  <si>
    <t>Engineering: General; Engineering; Engineering: Mechanical</t>
  </si>
  <si>
    <t>629.22/93</t>
  </si>
  <si>
    <t>TL220 -- .L37 2012eb</t>
  </si>
  <si>
    <t>'3,3,143,144,145,145,282,282,283,284,284,336,285,283'</t>
  </si>
  <si>
    <t>'1,2,3,5,6,7,8,9,10'</t>
  </si>
  <si>
    <t>Anxiety Disorders : A Practitioner's Guide to Comparative Treatments</t>
  </si>
  <si>
    <t>Springer Publishing Company</t>
  </si>
  <si>
    <t>616.85/223/06</t>
  </si>
  <si>
    <t>RC531 -- .C65 2002eb</t>
  </si>
  <si>
    <t>'1,1,8,7,8,9'</t>
  </si>
  <si>
    <t>Anxiety and Avoidance : A Universal Treatment for Anxiety, Panic, and Fear</t>
  </si>
  <si>
    <t>New Harbinger Publications</t>
  </si>
  <si>
    <t>616.85/22</t>
  </si>
  <si>
    <t>RC531.T66 2013eb</t>
  </si>
  <si>
    <t>'1,10,9,10'</t>
  </si>
  <si>
    <t>Explaining Crime : A Primer in Criminological Theory</t>
  </si>
  <si>
    <t>HV6018$b.B367 2010</t>
  </si>
  <si>
    <t>'1,2,3,4,,1'</t>
  </si>
  <si>
    <t>New Research on Evolution Equations</t>
  </si>
  <si>
    <t>515/.353</t>
  </si>
  <si>
    <t>QA377 -- .N475 2009eb</t>
  </si>
  <si>
    <t>'1,7,8'</t>
  </si>
  <si>
    <t>Pain: Dynamics and Complexities</t>
  </si>
  <si>
    <t>616/.0472</t>
  </si>
  <si>
    <t>RB127.D64 2014</t>
  </si>
  <si>
    <t>'1,16,32,33,43,44,54,55'</t>
  </si>
  <si>
    <t>'1,1,2,1,2,4,3,5,6,7,8,19,42,78,63,59,57,55,54,56,58,52,102,101,99,98,97,96,96,97,99,1,2,8,8,9,10'</t>
  </si>
  <si>
    <t>'1,4,6,7,8,9,10,11,12,162,163,164,165,166,167,168,169'</t>
  </si>
  <si>
    <t>Orbital and Celestial Mechanics</t>
  </si>
  <si>
    <t>American Institute of Aeronautics &amp; Astronautics</t>
  </si>
  <si>
    <t>629.4/113</t>
  </si>
  <si>
    <t>TL1050 -- .V55 1998eb</t>
  </si>
  <si>
    <t>'48,49,50,51,52,53,,316,317,318,319,320,321,322,323,324,325,326,327,328,329,330,331,332,333,334,335,336,337,338,339,340,341,342,343,344,345'</t>
  </si>
  <si>
    <t>Spacecraft Mission Design</t>
  </si>
  <si>
    <t>Engineering: Mechanical; Engineering; Engineering: General</t>
  </si>
  <si>
    <t>629.4/1</t>
  </si>
  <si>
    <t>TL790 -- .B735 1998eb</t>
  </si>
  <si>
    <t>'107,108,109,110,111,112,113,114,115,116,117,118,119,120,121,122,123,124,125,126,127,128,129,130,131,132,133,134,135,136,137,138,139,140,141,142,143,144,145,107'</t>
  </si>
  <si>
    <t>'107,108,109,110,111,112,113,114,115,116,117,118,119,120,121,122,123,124,125,126,127,128,129,130,131,132,133,134,135,136,137,138,139,140,141,142,143,144'</t>
  </si>
  <si>
    <t>Methods in Astrodynamics and Celestial Mechanics</t>
  </si>
  <si>
    <t>Engineering; Engineering: Mechanical</t>
  </si>
  <si>
    <t>629.4ll</t>
  </si>
  <si>
    <t>TL1050 -- .A88 1965eb</t>
  </si>
  <si>
    <t>'1,20,21,22,23,24,25,26,27,28'</t>
  </si>
  <si>
    <t>'1,1,53,256,255,257,141,169'</t>
  </si>
  <si>
    <t>'1,1,13,13,282,283,284'</t>
  </si>
  <si>
    <t>'1,1,29'</t>
  </si>
  <si>
    <t>Coastal and Deep Ocean Pollution</t>
  </si>
  <si>
    <t>Science; Environmental Studies; Science: Geology</t>
  </si>
  <si>
    <t>GC1085$b.C637 2020</t>
  </si>
  <si>
    <t>'1,1,12,17,115,269,276,281,282,283,284,285,286,287,288,289,290,291,292,275,277,278,279,280'</t>
  </si>
  <si>
    <t>'1,2,3,115,116,117,118,119,47,48,49,50,51,52'</t>
  </si>
  <si>
    <t>Optimal Design of Experiments : A Case Study Approach</t>
  </si>
  <si>
    <t>Engineering: General; Mathematics; Engineering; Engineering: Manufacturing</t>
  </si>
  <si>
    <t>T57.5 -- .G66 2011eb</t>
  </si>
  <si>
    <t>'1,2,4,5,6,8,9,10,48,27,28,29,30,31,32,33,34,35,36,37,39,47,50,51,53,55,56,57,59,60,61,63,62'</t>
  </si>
  <si>
    <t>Bioinspiration and Biomimicry in Chemistry : Reverse-Engineering Nature</t>
  </si>
  <si>
    <t>Science: Biology/Natural History; Medicine; Science</t>
  </si>
  <si>
    <t>QP517 -- .B56 2012eb</t>
  </si>
  <si>
    <t>'36'</t>
  </si>
  <si>
    <t>MWH's Water Treatment : Principles and Design</t>
  </si>
  <si>
    <t>628.1/62</t>
  </si>
  <si>
    <t>TD430 -- .W375 2012eb</t>
  </si>
  <si>
    <t>'1,1,2,3,4,713,714,715,716'</t>
  </si>
  <si>
    <t>The Hype about Hydrogen : Fact and Fiction in the Race to Save the Climate</t>
  </si>
  <si>
    <t>Island Press</t>
  </si>
  <si>
    <t>Engineering; Engineering: Chemical; Environmental Studies; Economics</t>
  </si>
  <si>
    <t>333.79/68</t>
  </si>
  <si>
    <t>TP261</t>
  </si>
  <si>
    <t>Navier-Stokes Equations and Turbulence</t>
  </si>
  <si>
    <t>Science: Physics; Science; Mathematics</t>
  </si>
  <si>
    <t>QA913 .N38 2001</t>
  </si>
  <si>
    <t>'1,2,3,4,6,5,7,8,9,10,12,11,13,14,15,16,17,18,19,20,21,22,23,24,25,26,27,28,29,30,324,325,327,328,330'</t>
  </si>
  <si>
    <t>Stability of Time-Delay Systems</t>
  </si>
  <si>
    <t>Springer Basel AG</t>
  </si>
  <si>
    <t>'1,2,3,5,6,7,8,9,10,11,288,289,290,291,292,293,294,295,296,297,298,299,300,48,86,47,87,88,89,90,91,92,93,94,95,96,97,98,99,100,101,102,103,104,105,106,107,108,109,110,111,112,113,114,115,116'</t>
  </si>
  <si>
    <t>Mozilla/5.0 (Windows NT 10.0; Win64; x64) AppleWebKit/537.36 (KHTML, like Gecko) Chrome/94.0.4606.81 Safari/537.36</t>
  </si>
  <si>
    <t>Design of Experiments for Engineers and Scientists</t>
  </si>
  <si>
    <t>Mathematics; Engineering: Manufacturing; Engineering</t>
  </si>
  <si>
    <t>QA279 -- .A58 2003eb</t>
  </si>
  <si>
    <t>'1,118,119,120,121,122,123,124,125,126,127,128,129,131'</t>
  </si>
  <si>
    <t>'1,1,1,2,4,3,47,74,74,,,74,74,43,42,42,34,47,74,73'</t>
  </si>
  <si>
    <t>Mozilla/5.0 (Windows NT 10.0; Win64; x64) AppleWebKit/537.36 (KHTML, like Gecko) Chrome/95.0.4638.54 Safari/537.36 Edg/95.0.1020.40</t>
  </si>
  <si>
    <t>'1,1,2,4,3,172,171,174,175,183'</t>
  </si>
  <si>
    <t>'1,1,31,40,135,136,138,366,367'</t>
  </si>
  <si>
    <t>Mozilla/5.0 (Macintosh; Intel Mac OS X 10_15_6) AppleWebKit/605.1.15 (KHTML, like Gecko) Version/13.1.2 Safari/605.1.15</t>
  </si>
  <si>
    <t>'1,1,181,180,181,41,41,69,69,37,38,173,181,282,282,3,389,428,429,429,3,3,3,3,37,38,39,61,62,63,145,144,443,441,440,439,438,444'</t>
  </si>
  <si>
    <t>'1,164,166,353,354,355,357,358,360,361,362,363,364,365,366,367,369,370,371,372,373,374,376,377,378,345,347,346,348,349,352,353,354,355,356,357,358,352,349,31,30,28,26,25,24,23,22,20,17,15,16,14,13,12,11,10,9,32,33,34,35,36,37,38,39,40,41,42,43,44,45,46'</t>
  </si>
  <si>
    <t>'1,3,5,6,,1,9,10,11,12,13,14,15,16,17,151,152,153,154,156,158,157,159,160,162'</t>
  </si>
  <si>
    <t>Playing Games in School : Video Games and Simulations for Primary and Secondary Grades</t>
  </si>
  <si>
    <t>ISTE</t>
  </si>
  <si>
    <t>Education</t>
  </si>
  <si>
    <t>371.39/7</t>
  </si>
  <si>
    <t>LB1029.S53 -- P53 2010eb</t>
  </si>
  <si>
    <t>'1,15,23,435,436,438,434,433,430,429,431,432'</t>
  </si>
  <si>
    <t>'1,2,5,1'</t>
  </si>
  <si>
    <t>Mozilla/5.0 (Macintosh; Intel Mac OS X 10_14_6) AppleWebKit/605.1.15 (KHTML, like Gecko) Version/14.0 Safari/605.1.15</t>
  </si>
  <si>
    <t>Obsessive-Compulsive Disorder: Subtypes and Spectrum Conditions</t>
  </si>
  <si>
    <t>RC533.O2728 2008</t>
  </si>
  <si>
    <t>'1,2,3,4,5,6,7,8,9,10,12,13,21,22,23,24,25'</t>
  </si>
  <si>
    <t>'1,3,6,14,15,16,17,19,18,20,22,23,24,26,27,28,29,30,32,35,20,10,11,23,24'</t>
  </si>
  <si>
    <t>'23,23,24,24'</t>
  </si>
  <si>
    <t>Mozilla/5.0 (Macintosh; Intel Mac OS X 10_15_2) AppleWebKit/537.36 (KHTML, like Gecko) Chrome/93.0.4577.82 Safari/537.36</t>
  </si>
  <si>
    <t>'1,21,24,24,24,24,24,24,24,35,33,32,31'</t>
  </si>
  <si>
    <t>'1,7,10,13,16,18,19,20,21,22,25,27,31,32,33'</t>
  </si>
  <si>
    <t>Flood Risk : The Holistic Perspective</t>
  </si>
  <si>
    <t>Engineering; Engineering: Civil; Engineering: General</t>
  </si>
  <si>
    <t>TC530 -- .V655 2015eb</t>
  </si>
  <si>
    <t>'1,2,4,6'</t>
  </si>
  <si>
    <t>Mozilla/5.0 (Windows NT 6.1; Win64; x64) AppleWebKit/537.36 (KHTML, like Gecko) Chrome/94.0.4606.81 Safari/537.36</t>
  </si>
  <si>
    <t>'1,3,5,7,8,9,14,13,12'</t>
  </si>
  <si>
    <t>'901,,909,910,911,,,,1,2,931,930,928,927,922,3,4,6,5,7,15,40,57,56,56,55,55'</t>
  </si>
  <si>
    <t>'909,910,911,912,913,914,915,916,917,918,919,920,921,922,923,924,925,926,927,928,929,930,,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t>
  </si>
  <si>
    <t>'901,902,903,,,901'</t>
  </si>
  <si>
    <t>'7,8,9,10,11,12,,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732,733,734,,899,900'</t>
  </si>
  <si>
    <t>The Routledge Handbook of the Psychology of Language Learning and Teaching</t>
  </si>
  <si>
    <t>Language/Linguistics</t>
  </si>
  <si>
    <t>'51,76,151,152,126,125,124,123,122,121,120,119,118,117,116,115,114'</t>
  </si>
  <si>
    <t>'101,102,103,104,105,106,107,108,109,110,111,112,113,114,115,116,117,118,119,120,121,122,123,124,125'</t>
  </si>
  <si>
    <t>Satellite Technology : Principles and Applications</t>
  </si>
  <si>
    <t>Engineering; Engineering: General; Engineering: Mechanical</t>
  </si>
  <si>
    <t>TL796.M28 2014eb</t>
  </si>
  <si>
    <t>'37,38,39,40,41,,43,44,45,46,47,,37,38,39,40,41,42,43,44,45,46,47,48,49,50,51,33,35,36'</t>
  </si>
  <si>
    <t>'45,39,42,42'</t>
  </si>
  <si>
    <t>'1,2,3,4,6,6,9,11,14,32,36,31,34,38'</t>
  </si>
  <si>
    <t>'3,4,5,7,9,11,14,13,15,18,19,1,2,6,8,9,10,11,12,14,13,15,16,17,18,19,20,21,23,22'</t>
  </si>
  <si>
    <t>'3'</t>
  </si>
  <si>
    <t>'40,41,42,43,44,45,46,47,48,49,50,51,52,53,54,55,56,57,58,59,60,61,62,63,64,65,66,67,68,69,70,71,72,73,74,75,76,77'</t>
  </si>
  <si>
    <t>Islam and Open Society Fidelity and Movement in the Philosophy of Muhammad Iqbal</t>
  </si>
  <si>
    <t>CODESRIA (Conseil pour le Developpement de la Recherche Economique et Sociale en Afrique)</t>
  </si>
  <si>
    <t>Political Science; Language/Linguistics</t>
  </si>
  <si>
    <t>PK2199.I65 -- Z535 2010eb</t>
  </si>
  <si>
    <t>'1,2,3,5,6,9,10,12'</t>
  </si>
  <si>
    <t>'1,1,1,1,1,1,1'</t>
  </si>
  <si>
    <t>Healthcare Simulation : A Guide for Operations Specialists</t>
  </si>
  <si>
    <t>R834.H43 2016eb</t>
  </si>
  <si>
    <t>'78,103,104,105'</t>
  </si>
  <si>
    <t>'56,57,58,59,60,61,62,63,64,65,66,67,68,69,70,71,72,73,74,75,76,77,78,79,80,81,82,83,84,85,86,87,88,89,90,91,92,93,94,95,96,97,98,99,100,101,102'</t>
  </si>
  <si>
    <t>'56,58,57,59,60,64,68,62,,62'</t>
  </si>
  <si>
    <t>'163,164,165,166,167,168,169,170,171,172,173,174,,157,158,159,160,161,162,,190,191,192,193,194,195,,26,27,28,29,30,31,32,33,34,,35,36,37,38,39,40'</t>
  </si>
  <si>
    <t>Tensor Analysis</t>
  </si>
  <si>
    <t>Mathematics; Juvenile Literature</t>
  </si>
  <si>
    <t>QA433.L345 2003</t>
  </si>
  <si>
    <t>Mozilla/5.0 (iPad; CPU OS 15_0 like Mac OS X) AppleWebKit/605.1.15 (KHTML, like Gecko) CriOS/95.0.4638.50 Mobile/15E148 Safari/604.1</t>
  </si>
  <si>
    <t>Sustainable Construction Materials 2012</t>
  </si>
  <si>
    <t>Engineering: Construction; Engineering</t>
  </si>
  <si>
    <t>TH880 -- .I595345 2012eb</t>
  </si>
  <si>
    <t>'1,,1,2,3'</t>
  </si>
  <si>
    <t>'1,45,46,47,48,34,35,36,37'</t>
  </si>
  <si>
    <t>Swimming Upstream: Black Males in Adult Education : New Directions for Adult and Continuing Education, Number 144</t>
  </si>
  <si>
    <t>LC2699 -- .S95 2014eb</t>
  </si>
  <si>
    <t>The Essay at the Limits : Poetics, Politics and Form</t>
  </si>
  <si>
    <t>Bloomsbury Publishing Plc</t>
  </si>
  <si>
    <t>PN6141 .A685 2021</t>
  </si>
  <si>
    <t>'18,18'</t>
  </si>
  <si>
    <t>'1,313,339,365,361,353,354,355,356,357,358,359,360,362,363,364,366,367,368,369,370,371,372'</t>
  </si>
  <si>
    <t>'359,368,369,370'</t>
  </si>
  <si>
    <t>Taking the Temperature of the Earth : Steps Towards Integrated Understanding of Variability and Change</t>
  </si>
  <si>
    <t>Science: Physics; Science: Geology; Science</t>
  </si>
  <si>
    <t>QC903 .T355 2019</t>
  </si>
  <si>
    <t>'153'</t>
  </si>
  <si>
    <t>'16,17,18,19,20,21,22,23,24,25,26,27,28,29,30,31,33,34,140,141,142,143,144,145,146,147,148,149,150,151,153'</t>
  </si>
  <si>
    <t>'18,19,20,21'</t>
  </si>
  <si>
    <t>Influence of the Sea Surface Temperature Decadal Variability on Tropical Precipitation: West African and South American Monsoon</t>
  </si>
  <si>
    <t>Science: Geology; Science; Environmental Studies</t>
  </si>
  <si>
    <t>GE1-350</t>
  </si>
  <si>
    <t>'1,1,22,23,24,25,26'</t>
  </si>
  <si>
    <t>'1,153,154'</t>
  </si>
  <si>
    <t>Mozilla/5.0 (Windows NT 6.1; WOW64; Trident/7.0; rv:11.0) like Gecko</t>
  </si>
  <si>
    <t>Wastewater Treatment Concepts and Practices</t>
  </si>
  <si>
    <t>Momentum Press</t>
  </si>
  <si>
    <t>TD741 .H673 2015</t>
  </si>
  <si>
    <t>'1,2,6,5,8,9,10,84,83,82,81,80,79,86,87,88,89,90,92,95,107,108,76,77,78,11,22,23,24,25,26,27,28,29,30,31,32,33,34,35,36,37,38,39,40,41,42,43,44,45,46,47,48,49,50,51,52,53,54,55,56,57,58,59,60,61,62,63,64,65,66,67,68,69,70,71,72,73,85,91,93,94,96,99,100,101,102,103,104,105,106'</t>
  </si>
  <si>
    <t>Organ Donation: Supply, Policies and Practices : Supply, Policies and Practices</t>
  </si>
  <si>
    <t>RD129.5 -- .O744 2009eb</t>
  </si>
  <si>
    <t>'1,3,,1,2,87,64,63,62,61,60,59,58,57,56,55,54,53,52,50,49,48,47,46,3,5,6,7,8,9,10,11,12'</t>
  </si>
  <si>
    <t>Domestic Violence : Legal Sanctions and Recidivism Rates among Male Perpetrators</t>
  </si>
  <si>
    <t>LFB Scholarly Publishing LLC</t>
  </si>
  <si>
    <t>364.15/55</t>
  </si>
  <si>
    <t>HV6626.22.T4 -- C67 2012eb</t>
  </si>
  <si>
    <t>'1,3,6,10'</t>
  </si>
  <si>
    <t>Scanning Electron Microscopy for the Life Sciences</t>
  </si>
  <si>
    <t>QH324.9.X2 S33 2013</t>
  </si>
  <si>
    <t>'1,3,4,4,4,4,4,4,4,5,6,7,8,9,15,16,17,18,19,20,21,23,24,25,26,27,28,29,30,31,32,34,35,36,37,38,39,40,41,42,43,45,61,50,1,2,3,11'</t>
  </si>
  <si>
    <t>'1,63,64,65,66,67,68,69,70,71,74,75'</t>
  </si>
  <si>
    <t>Introduction to Modern Power Electronics</t>
  </si>
  <si>
    <t>621.31/7</t>
  </si>
  <si>
    <t>TK7881.15 -- .T79 2016eb</t>
  </si>
  <si>
    <t>Mozilla/5.0 (Windows NT 6.1; Win64; x64) AppleWebKit/537.36 (KHTML, like Gecko) Chrome/95.0.4638.54 Safari/537.36</t>
  </si>
  <si>
    <t>'1,15,15,16,17,18,19,20,21,22,23,24,29,24,9,19,10,10,10,10,10,10,10,10,10,10,113,114,15'</t>
  </si>
  <si>
    <t>'1,2,3,4,5,6,7,8,9,10,11,12,13,14,15,16,18,19,20,21,22,23,24,25,26,27,28,29'</t>
  </si>
  <si>
    <t>'1,2,3,4,5,6,7,8,9,10'</t>
  </si>
  <si>
    <t>Introduction to Computational Chemistry</t>
  </si>
  <si>
    <t>QD455.3.E4.J46 2017</t>
  </si>
  <si>
    <t>'1,1,1,35,36,38,40,42,44,45,46,47,48,49,50,51,52,53,54,55,56,57,58,59,60,61,62,63,64,65,66,67,68,69,70,71,72,73,74,75,76,77,79,81,82,83,84,85,86,87,88,89,90,91,92,93,94,95,96,97,98,99,100,101,103,102,102,36,35,45,44'</t>
  </si>
  <si>
    <t>'100,101,102,103,104,105,106,107,108,109,110,111,112,113,114,115,116,117,118,119,120,121,122,123,124,125,126,127,128,129,130,131,132,34,35,36,37,38,39,40,41,42,43,44,45,46,47,48,49,50,51,52,53,54,55,56,57,58,59,60,61,62,63,64,65,66'</t>
  </si>
  <si>
    <t>'1,2,3,11,12,13,14,1'</t>
  </si>
  <si>
    <t>'13'</t>
  </si>
  <si>
    <t>Sufism and Society : Arrangements of the Mystical in the Muslim World, 1200-1800</t>
  </si>
  <si>
    <t>297.409/02</t>
  </si>
  <si>
    <t>BP189.2 -- .S85 2012eb</t>
  </si>
  <si>
    <t>'1,1,2,3'</t>
  </si>
  <si>
    <t>'26,27,28,29,30,31,32,33,34,35,36,37,38,39,40,41,42,43,44,45,46,47,48,49,50'</t>
  </si>
  <si>
    <t>Mozilla/5.0 (Macintosh; Intel Mac OS X 10_15_7) AppleWebKit/605.1.15 (KHTML, like Gecko) Version/15.0 Safari/605.1.15</t>
  </si>
  <si>
    <t>Sufism and Theology</t>
  </si>
  <si>
    <t>BP189.2 -- .S854 2007eb</t>
  </si>
  <si>
    <t>'1,1,1,21,37,69,97,105,70,55,55,183,,185'</t>
  </si>
  <si>
    <t>Children's Speech Sound Disorders</t>
  </si>
  <si>
    <t>618.92/855</t>
  </si>
  <si>
    <t>RJ496.S7 -- .B694 2015eb</t>
  </si>
  <si>
    <t>'1,7,365,356,348,344,349,351,378,363,359'</t>
  </si>
  <si>
    <t>The Form of Practical Knowledge : A Study of the Categorical Imperative</t>
  </si>
  <si>
    <t>Harvard University Press</t>
  </si>
  <si>
    <t>B2798</t>
  </si>
  <si>
    <t>'1,3,5,6,7,9,8,8'</t>
  </si>
  <si>
    <t>'339,344,347,350,351,353,355,356,357,358,359,360,362,361'</t>
  </si>
  <si>
    <t>Mozilla/5.0 (Windows NT 10.0; Win64; x64) AppleWebKit/537.36 (KHTML, like Gecko) Chrome/95.0.4638.54 Safari/537.36 Edg/95.0.1020.38</t>
  </si>
  <si>
    <t>'1,62,63,14'</t>
  </si>
  <si>
    <t>'339,349,355,357,358,359,360,361,362,363,364,365,366,367,368,369'</t>
  </si>
  <si>
    <t>'339,340,341,343,344,346,347,349,350,352,353,354,355'</t>
  </si>
  <si>
    <t>'1,2,3,4,5,6,7,8,9,10,11,12,13,14,15,16,17,18,19,20,21,22,23,24,25,26,,27,28,29,30,31,32,33,34,35,36,37,38,39,40,41,42,43,44,45,46,47,48,49,50,51,52,,131,132,133,134,135,136,137,138,139,140,141,142,143,144,145,146,147,148,149,150,151,152,153,154,155,156,,157,158,159,160,161,162,163,164,165,166,167,168,169,170,171,172,173,174,175,176,177,178,179,180,181,182'</t>
  </si>
  <si>
    <t>'354'</t>
  </si>
  <si>
    <t>The Healthy Indoor Environment : How to Assess Occupants' Wellbeing in Buildings</t>
  </si>
  <si>
    <t>CRC Press LLC</t>
  </si>
  <si>
    <t>Engineering; Architecture; Engineering: Construction</t>
  </si>
  <si>
    <t>720.28/6</t>
  </si>
  <si>
    <t>TH6021 .B58 2014</t>
  </si>
  <si>
    <t>Critical Perspectives on Vaccinations</t>
  </si>
  <si>
    <t>Enslow Publishing, LLC</t>
  </si>
  <si>
    <t>RA638$b.C758 2017</t>
  </si>
  <si>
    <t>'1,4,4'</t>
  </si>
  <si>
    <t>Honour Is in Contentment : Life Before Oil in Ras Al-Khaimah (UAE) and Some Neighbouring Regions</t>
  </si>
  <si>
    <t>Environmental Studies; History</t>
  </si>
  <si>
    <t>GF696.U5L36 2011</t>
  </si>
  <si>
    <t>'1,15,16'</t>
  </si>
  <si>
    <t>Growth of World Population Analysis of the Problems and Recommendations for Research and Training</t>
  </si>
  <si>
    <t>HB851.N3 1963</t>
  </si>
  <si>
    <t>'1,4,5,3,6,7,8,9,10,11,12,13'</t>
  </si>
  <si>
    <t>Stratigraphic Reservoir Characterization for Petroleum Geologists, Geophysicists, and Engineers</t>
  </si>
  <si>
    <t>Engineering; Engineering: Mining; Science: Geology; Science</t>
  </si>
  <si>
    <t>TN871.S53 2013eb</t>
  </si>
  <si>
    <t>'1,1,18,19,20,21,22,23,24,25,26,27,28,29,30'</t>
  </si>
  <si>
    <t>Mozilla/5.0 (Macintosh; Intel Mac OS X 10_15_7) AppleWebKit/605.1.15 (KHTML, like Gecko) Version/14.0 Safari/605.1.15</t>
  </si>
  <si>
    <t>Gas Reservoir Engineering</t>
  </si>
  <si>
    <t>Society of Petroleum Engineers</t>
  </si>
  <si>
    <t>TN880.L433 1996</t>
  </si>
  <si>
    <t>'1,1,7,12,13'</t>
  </si>
  <si>
    <t>Plastics and Environmental Sustainability</t>
  </si>
  <si>
    <t>628.4/4</t>
  </si>
  <si>
    <t>TD798 -- .A53 2015eb</t>
  </si>
  <si>
    <t>'1,,1,2,53,63,277,331'</t>
  </si>
  <si>
    <t>'1,332,333,333,332,319,320'</t>
  </si>
  <si>
    <t>'1,2,9,10,11,15,13,17,18,103,102,104,106,107,108,109'</t>
  </si>
  <si>
    <t>Synthesis Gas : Production and Properties</t>
  </si>
  <si>
    <t>TP360$b.S645 2020</t>
  </si>
  <si>
    <t>'393,394,395'</t>
  </si>
  <si>
    <t>Renewable-Energy-Driven Future : Technologies, Modelling, Applications, Sustainability and Policies</t>
  </si>
  <si>
    <t>Economics; Environmental Studies; Engineering; Engineering: Mechanical</t>
  </si>
  <si>
    <t>TJ808 .R464 2021</t>
  </si>
  <si>
    <t>'1,1,308,22,23,24,25'</t>
  </si>
  <si>
    <t>Robert le Rossignol : Engineer of the Haber Process</t>
  </si>
  <si>
    <t>Engineering: General; Science: Chemistry; Engineering; Science</t>
  </si>
  <si>
    <t>QD1-999</t>
  </si>
  <si>
    <t>Sustainable Ammonia Production</t>
  </si>
  <si>
    <t>Engineering; Engineering: Civil; Engineering: Chemical</t>
  </si>
  <si>
    <t>'1,1,2,7,8,9,23,127,111,112,114,128,129,130,131,132,133,134,135,136,138,139,140'</t>
  </si>
  <si>
    <t>'15,20,23,24,25,26'</t>
  </si>
  <si>
    <t>'1,72,71,16,15'</t>
  </si>
  <si>
    <t>'1,3,5,7,8,10,11,12,19,22,24,26,28,30,32,29,31'</t>
  </si>
  <si>
    <t>'1,2,3,4,5,6,7,8,9,10,11,12,13,14,15,16,17,18,19,20,21,22,23,24,25,26,,105,106,107,108,109,110,111,112,113,114,115,116,117,118,119,120,121,122,123,124,125,126,127,128,129,130,,131,132,133,134,135,136,137,138,139,140,141,142,143,144,145,146,147,148,149,150,151,152,153,154,155,156,,313,314,315,316,317,318,319,320,321,322,323,324,325,326,327,328,329,330,331,332,333,334,335,336,337,338'</t>
  </si>
  <si>
    <t>'1,3,5,6,7,9,10,11,14,16,18,19,30,29,31,32,33,34'</t>
  </si>
  <si>
    <t>Meaning and Universal Grammar : Theory and empirical findings. Volume 1</t>
  </si>
  <si>
    <t>John Benjamins Publishing Company</t>
  </si>
  <si>
    <t>401;401.43</t>
  </si>
  <si>
    <t>P325 -- .M43 2002eb</t>
  </si>
  <si>
    <t>'1,2,17,18,19,20,,1'</t>
  </si>
  <si>
    <t>Inborn Knowledge : The Mystery Within</t>
  </si>
  <si>
    <t>121/.3</t>
  </si>
  <si>
    <t>BD181 -- .M38 2015eb</t>
  </si>
  <si>
    <t>'1,1,4,5,7,42,40,39,38,37,36,34,35,33,32,31,29,28,41,25,25,24,13,14,15,16,17,18,19,20,21,22,23,26,27,28'</t>
  </si>
  <si>
    <t>Oxford Guide to Effective Writing and Speaking : How to Communicate Clearly</t>
  </si>
  <si>
    <t>PE1408 .S4554 2013</t>
  </si>
  <si>
    <t>'1,3,4,5,6,7,8,9,10,11,12,13,14,15,16,17,18,19,20,21,22,23,24,25,26,27,28,29,30,31,32,33,34,35,36,37,38,40,41,42,43,45,46,47,48,49,50,52,55,57,59,60,61,62,63,64,65,66,67,69,71,72,73,74,75,76,77,78,79,80,82,83,84,87,88,90,91,92,93,94,96,98,98,7,8,9,11,16,434,381'</t>
  </si>
  <si>
    <t>'1,2,3,6,14,15,16,19,20,22,23,24,25,26,27,28,29,30,31,32'</t>
  </si>
  <si>
    <t>'1,2,31,32'</t>
  </si>
  <si>
    <t>'31'</t>
  </si>
  <si>
    <t>New Media Language</t>
  </si>
  <si>
    <t>302.2/3</t>
  </si>
  <si>
    <t>P96.T46 -- N49 2003eb</t>
  </si>
  <si>
    <t>'18,19,20,21,22,23,24,25,26'</t>
  </si>
  <si>
    <t>'1,42,39,16,17,18'</t>
  </si>
  <si>
    <t>Catalysis for Energy : Fundamental Science and Long-Term Impacts of the U. S. Department of Energy Basic Energy Sciences Catalysis Science Program</t>
  </si>
  <si>
    <t>Engineering; Engineering: Chemical; Science: Chemistry; Science</t>
  </si>
  <si>
    <t>TP156.C35C374 2009</t>
  </si>
  <si>
    <t>'1,1,2,3,61,6,68,69'</t>
  </si>
  <si>
    <t>'16,17,18,19,20'</t>
  </si>
  <si>
    <t>'88,1,2,3,4,5,6,7,8,9,10,14,12,16,18,19,20,21,31,30,32,33'</t>
  </si>
  <si>
    <t>'1,2,3,37,36,35,,36'</t>
  </si>
  <si>
    <t>'1,2,3,4,5,6,7,8,9,10,11,12,13,14,15,16,17,18,19,20,21,22,23,24,25,26,27,28,29,30,31,32,33,34,35,36,37,38,39,40,41,42,43,44,45,46,47,48,49,50,51,52'</t>
  </si>
  <si>
    <t>'16,17'</t>
  </si>
  <si>
    <t>'1,16,17'</t>
  </si>
  <si>
    <t>'1,5,8,15,17,3,13,14,16'</t>
  </si>
  <si>
    <t>'1,2,4,7,8,6,9,10,11,12,14,16'</t>
  </si>
  <si>
    <t>'1,1,,89,88,88,1,2,3,4,5,6,7,8,9,10,11,12,13,14'</t>
  </si>
  <si>
    <t>History of Language Philosophies</t>
  </si>
  <si>
    <t>P107 -- .F668 2004eb</t>
  </si>
  <si>
    <t>'1,15,16,390'</t>
  </si>
  <si>
    <t>Language and Linguistic Introduction to History : A Linguistic Introduction to History</t>
  </si>
  <si>
    <t>P105 .V42</t>
  </si>
  <si>
    <t>'36,5,37,6,7,8'</t>
  </si>
  <si>
    <t>'1,2,3,9,12,14,15,18,19,20,17,16'</t>
  </si>
  <si>
    <t>Autism</t>
  </si>
  <si>
    <t>Psychology; Medicine</t>
  </si>
  <si>
    <t>616.85/882</t>
  </si>
  <si>
    <t>RC553.A88 -- M87 2012eb</t>
  </si>
  <si>
    <t>'1,2,3,4,5,6,7,8,9,10,11,12,13,14,16,16,17,16'</t>
  </si>
  <si>
    <t>Manufacturing Planning and Control for Supply Chain Management</t>
  </si>
  <si>
    <t>McGraw-Hill Professional Publishing</t>
  </si>
  <si>
    <t>TS157.M36 2011</t>
  </si>
  <si>
    <t>Historical Materialism and Globalisation : Essays on Continuity and Change</t>
  </si>
  <si>
    <t>HF1359.H584 2002</t>
  </si>
  <si>
    <t>'1,16,8,7,9,10,11,12,13,14,17,19,21,22,23'</t>
  </si>
  <si>
    <t>Nuclear Materials</t>
  </si>
  <si>
    <t>621.48/33</t>
  </si>
  <si>
    <t>TK9185 -- .N75 2011eb</t>
  </si>
  <si>
    <t>'1,,7,8,147,148,149,150,152,153,155,157'</t>
  </si>
  <si>
    <t>Minority Language Media : Concepts, Critiques and Case Studies</t>
  </si>
  <si>
    <t>Channel View Publications</t>
  </si>
  <si>
    <t>P94.5.M55 -- M56 2007eb</t>
  </si>
  <si>
    <t>On the Separation of User Interface Concerns : A Programmer's Perspective on the Modularisation of User Interface Code</t>
  </si>
  <si>
    <t>ASP</t>
  </si>
  <si>
    <t>QA76.9.U83.G63 2008</t>
  </si>
  <si>
    <t>'1,2,4,5'</t>
  </si>
  <si>
    <t>'1,1,3,4,5,6,7,8,9,10,11,12,13,14,15,16,1'</t>
  </si>
  <si>
    <t>'331,332,333,334,335,336,337,338,339,340,341,342,343,344,345,346,347,348,349,350,351,352,353,354,355,356,357,358,359,360,361,362,363,,1,2,3,4,5,6,7,8,9,10,11,12,13,14,15,16,17,18,19,20,21,22,23,24,25,26,27,28,29,30,31,32,33,,1,2,3,4,5,6,7,8,9,10,11,12,13,14,15,16,17,18,19,20,21,22,23,24,25,26,27,28,29,30,31,32,33'</t>
  </si>
  <si>
    <t>'15,15'</t>
  </si>
  <si>
    <t>'15,16,17,18,19,20,21,22,23,24,25,26,27,28,29,30,31,32,33,34,35,36,37,38,39,40,472,473,474,475,476,477,478,479,480,480'</t>
  </si>
  <si>
    <t>Islam : Its History, Teaching, and Practices</t>
  </si>
  <si>
    <t>Indiana University Press</t>
  </si>
  <si>
    <t>BP161.3 -- .N54 2004eb</t>
  </si>
  <si>
    <t>'1,2,3,4,5,6'</t>
  </si>
  <si>
    <t>The Future of Islam</t>
  </si>
  <si>
    <t>BP161.3.E867 2010</t>
  </si>
  <si>
    <t>'1,2,3,4,6,7,8'</t>
  </si>
  <si>
    <t>Facing Social Class : How Societal Rank Influences Interaction</t>
  </si>
  <si>
    <t>Russell Sage Foundation</t>
  </si>
  <si>
    <t>HN90</t>
  </si>
  <si>
    <t>'116,117,118,119,119,120,120'</t>
  </si>
  <si>
    <t>'1,2,3,4,5,6,7,8,9,10,11,12,13,14,15,,1,2,3,4,5'</t>
  </si>
  <si>
    <t>Islam : A Way of Life</t>
  </si>
  <si>
    <t>910.03/176/7</t>
  </si>
  <si>
    <t>D199.3 -- .H57 1970eb</t>
  </si>
  <si>
    <t>'1,,1,2,3,4,5,6,7,8,9'</t>
  </si>
  <si>
    <t>'1,11,12,13,14,15,16,18,19'</t>
  </si>
  <si>
    <t>'1,2,3,4,5,6,7,8,9,10,11,12,14,15,16,17,18,23'</t>
  </si>
  <si>
    <t>Facilities Management : Managing Maintenance for Buildings and Facilities</t>
  </si>
  <si>
    <t>TS177 -- .L484 2013</t>
  </si>
  <si>
    <t>Anger Management : An Anger Management Training Package for Individuals with Disabilities</t>
  </si>
  <si>
    <t>Social Science; Psychology</t>
  </si>
  <si>
    <t>152.4/7087</t>
  </si>
  <si>
    <t>HV1568.G87 2006</t>
  </si>
  <si>
    <t>'1,7,8,7,8,9,9,8,9,10,11,12,13,8'</t>
  </si>
  <si>
    <t>War Memoirs 1917-1919</t>
  </si>
  <si>
    <t>Karnac Books</t>
  </si>
  <si>
    <t>History; Psychology</t>
  </si>
  <si>
    <t>D640 -- .B57136 1997eb</t>
  </si>
  <si>
    <t>'1,16,76,75'</t>
  </si>
  <si>
    <t>Artificial Intelligence in Education : Shaping the Future of Learning Through Intelligent Technologies</t>
  </si>
  <si>
    <t>LB1028.43 -- .W67 2003eb</t>
  </si>
  <si>
    <t>'1,2,3,4,5,6,8,9,10,11,13,12,14,15,16,17,18'</t>
  </si>
  <si>
    <t>'235,242,249,271,358'</t>
  </si>
  <si>
    <t>Charismatic Leadership and Social Movements : The Revolutionary Power of Ordinary Men and Women</t>
  </si>
  <si>
    <t>Berghahn Books, Incorporated</t>
  </si>
  <si>
    <t>Political Science; Social Science</t>
  </si>
  <si>
    <t>303.3/4</t>
  </si>
  <si>
    <t>JC330.3.R43 2012</t>
  </si>
  <si>
    <t>'1,2,31,32,,1,33,34,35,36,37,11,12,13,13,33,34,35,36,37,38,31,32'</t>
  </si>
  <si>
    <t>Intelligence Unbound : The Future of Uploaded and Machine Minds</t>
  </si>
  <si>
    <t>Science; Computer Science/IT</t>
  </si>
  <si>
    <t>006.301/12</t>
  </si>
  <si>
    <t>Q335.5 -- .I528 2014eb</t>
  </si>
  <si>
    <t>'1,2,3,4,5,6,7,9,10,209,210,211,212,17,15,14,51,52,53,54'</t>
  </si>
  <si>
    <t>Patterns of Bias in Hollywood Movies</t>
  </si>
  <si>
    <t>Algora Publishing</t>
  </si>
  <si>
    <t>791.43/6552;791.436552</t>
  </si>
  <si>
    <t>PN1995.9.D555 -- C66 2012eb</t>
  </si>
  <si>
    <t>'1,23'</t>
  </si>
  <si>
    <t>Anxiety : A Short History</t>
  </si>
  <si>
    <t>RC531.H67 2013eb</t>
  </si>
  <si>
    <t>'1,2,3,5,7,8,9,10,11,13,15,38'</t>
  </si>
  <si>
    <t>'3,4,5,6,7,8,9,12,14,13,15,16,17,17,18,3,21,27,32,37,39,60,94,124,125,147,164,22,26,33,35,87,15,5,7,8,9'</t>
  </si>
  <si>
    <t>'9,39'</t>
  </si>
  <si>
    <t>'3,4,5,6,7,8,9,10,11,12,13,14,15,16,17,18,19,20,21,22,23,24,25,26,27'</t>
  </si>
  <si>
    <t>'15,16,17,18,19,20,21,22,23,24,25,26,27,28,29,30,31,32,33'</t>
  </si>
  <si>
    <t>'28,27'</t>
  </si>
  <si>
    <t>'32,32,31,,31,31'</t>
  </si>
  <si>
    <t>Computational Materials Engineering : Achieving High Accuracy and Efficiency in Metals Processing Simulations</t>
  </si>
  <si>
    <t>Engineering; Engineering: Mining; Engineering: Chemical</t>
  </si>
  <si>
    <t>TN665 .C667 2015</t>
  </si>
  <si>
    <t>'1,2,353,353,354,355,356,357,358,359,360,361,362,364'</t>
  </si>
  <si>
    <t>Clinical Anatomy : Applied Anatomy for Students and Junior Doctors</t>
  </si>
  <si>
    <t>Science: Anatomy/Physiology; Science</t>
  </si>
  <si>
    <t>QM23.2 -- .E45 2013eb</t>
  </si>
  <si>
    <t>'7,8,363,362,364,365,366,367,1,2,3,4,232,233,157,158,159,160,161,162,163,164,165,166,167,168,169,387,388,501'</t>
  </si>
  <si>
    <t>'1,3'</t>
  </si>
  <si>
    <t>The Twilight of the British Empire : British Intelligence and Counter-Subversion in the Middle East, 1948-63</t>
  </si>
  <si>
    <t>JN329.I6 .H374 2017</t>
  </si>
  <si>
    <t>Unlimited (DRM Free)</t>
  </si>
  <si>
    <t>'1,1,2,31,32'</t>
  </si>
  <si>
    <t>'1,353,353,353,353,354,355,356,357,358,359,360,361,362,363,364,365,366,367,368,369,370,371,372,373,374,375,376,377,378,379,380,381,382,383,384,385,386,387,388,389,390,391,392'</t>
  </si>
  <si>
    <t>'1,2,3,4,5,6,7,8,15,15,16,19,20,21,22,22,21,20,22,23,24,25,26,27,28,29,30,31,32'</t>
  </si>
  <si>
    <t>'22'</t>
  </si>
  <si>
    <t>Mozilla/5.0 (Macintosh; Intel Mac OS X 10_15_7) AppleWebKit/605.1.15 (KHTML, like Gecko) Version/14.1.1 Safari/605.1.15</t>
  </si>
  <si>
    <t>Electric Vehicles: Technology, Research and Development</t>
  </si>
  <si>
    <t>Engineering; Engineering: Mechanical; Engineering: General</t>
  </si>
  <si>
    <t>TL220.E4545 2009</t>
  </si>
  <si>
    <t>'1,1,2,3,249'</t>
  </si>
  <si>
    <t>The Persistence of Slavery : An Economic History of Child Trafficking in Nigeria</t>
  </si>
  <si>
    <t>University of Massachusetts Press</t>
  </si>
  <si>
    <t>HQ281</t>
  </si>
  <si>
    <t>'1,1,3,4,23'</t>
  </si>
  <si>
    <t>Human Growth and Development Across the Lifespan : Applications for Counselors</t>
  </si>
  <si>
    <t>BF636.6.H86 2016</t>
  </si>
  <si>
    <t>'1,2,3,6,11,12'</t>
  </si>
  <si>
    <t>Mozilla/5.0 (Macintosh; Intel Mac OS X 10_15_7) AppleWebKit/537.36 (KHTML, like Gecko) Chrome/94.0.4606.71 Safari/537.36</t>
  </si>
  <si>
    <t>Lifespan Development of Human Memory</t>
  </si>
  <si>
    <t>Science; Science: Anatomy/Physiology; Science: Biology/Natural History</t>
  </si>
  <si>
    <t>QP406.L53 2002</t>
  </si>
  <si>
    <t>Electric Vehicles : Technology, Policy and Commercial Development</t>
  </si>
  <si>
    <t>TL220 -- .S465 2012eb</t>
  </si>
  <si>
    <t>'1,2,3,4,5,7'</t>
  </si>
  <si>
    <t>Mozilla/5.0 (iPhone; CPU iPhone OS 14_8 like Mac OS X) AppleWebKit/605.1.15 (KHTML, like Gecko) Version/14.1.2 Mobile/15E148 Safari/604.1</t>
  </si>
  <si>
    <t>'1,4,6,,6,6,,6,6,,6,6,7,8,11,12,10,13,14,15,16,11,,1,2,2,7,13,19,21,30,31,29,28,27,26,25,24,23,22,20,17,16,15,14,12,11,6,8,9,10,62'</t>
  </si>
  <si>
    <t>'62'</t>
  </si>
  <si>
    <t>'1,355,355,356,357,358,359,360,361,362,363,364,365,366,367,368,369,370,371,372,373,374,375,376,377,378,379,380,381,382,383,384,385,386,387,388,389,390,391,392,393,394'</t>
  </si>
  <si>
    <t>'186'</t>
  </si>
  <si>
    <t>'1,31,31,32,33,34,35,36,37,38,39,40,41,42,43,44,45,151,152,153,154,155,156,157,158,159,160,161,162,163,164,353'</t>
  </si>
  <si>
    <t>Gun Ownership and the Second Amendment</t>
  </si>
  <si>
    <t>344.7305/33</t>
  </si>
  <si>
    <t>KF3941 -- .B35 2009eb</t>
  </si>
  <si>
    <t>The Burden of Academic Success : Managing Working-Class Identities in College</t>
  </si>
  <si>
    <t>LC5051 -- .H87 2010eb</t>
  </si>
  <si>
    <t>'1,6,7,8,9,10,11,1,,1,1,,2,3,4'</t>
  </si>
  <si>
    <t>'1,,1,,1,2,3,4,5,6,,1'</t>
  </si>
  <si>
    <t>'1,2,3,6,7,8,9,10'</t>
  </si>
  <si>
    <t>'1,31,32'</t>
  </si>
  <si>
    <t>'1,1,3,6'</t>
  </si>
  <si>
    <t>'1,4,5,7,8,9,10,12,13,14,15,30,31,32,33,34'</t>
  </si>
  <si>
    <t>Gun Violence : The Real Costs</t>
  </si>
  <si>
    <t>364.15/0973</t>
  </si>
  <si>
    <t>HV7436.C663 2000</t>
  </si>
  <si>
    <t>'1,2,4,6,7,8,9'</t>
  </si>
  <si>
    <t>'1,353,354,355,356,357,358,359,360,361,362,363,364,365,366,367,368,369,370,371,372,373,374,375,376,377,378,379,380,381,382,383,384,385,386,387,388,389,390,391,392,,1'</t>
  </si>
  <si>
    <t>'1,161,162,163,164'</t>
  </si>
  <si>
    <t>Photovoltaics : System Design and Practice</t>
  </si>
  <si>
    <t>TK1087 -- .H33 2012eb</t>
  </si>
  <si>
    <t>Photovoltaics : Fundamentals, Technology and Practice</t>
  </si>
  <si>
    <t>TK1087.M4513 2014eb</t>
  </si>
  <si>
    <t>'1,1,273'</t>
  </si>
  <si>
    <t>'1,156,,1,156,157,158,159'</t>
  </si>
  <si>
    <t>Trends in American Gun Ownership</t>
  </si>
  <si>
    <t>HV8059 -- .L43 2008eb</t>
  </si>
  <si>
    <t>'1,2,4,5,9,10,11,12,13,14,15,16,17,18,19,20'</t>
  </si>
  <si>
    <t>'1,3,5,6,7,8,9,4,11,12'</t>
  </si>
  <si>
    <t>'1,1,11,12,10,9,8,48,50,49,79,80,81,244,245,246'</t>
  </si>
  <si>
    <t>'1,3,4,5,6,8,9,10,30,264,263,12,31,32'</t>
  </si>
  <si>
    <t>'1,154,153,152,151'</t>
  </si>
  <si>
    <t>Photovoltaic Solar Energy Conversion : Technologies, Applications and Environmental Impacts</t>
  </si>
  <si>
    <t>TK1087$b.P468 2020</t>
  </si>
  <si>
    <t>'4,5,6,7,8,9,10,11,12,13,71,72,73,74,75,135,136,137'</t>
  </si>
  <si>
    <t>Mozilla/5.0 (Macintosh; Intel Mac OS X 10_15_7) AppleWebKit/537.36 (KHTML, like Gecko) Chrome/94.0.4606.81 Safari/537.36</t>
  </si>
  <si>
    <t>'1,35,36,37,38,39,40,41,42,43,44,151'</t>
  </si>
  <si>
    <t>Basin Analysis : Principles and Application to Petroleum Play Assessment</t>
  </si>
  <si>
    <t>Science: Geology; Science</t>
  </si>
  <si>
    <t>QE571 -- .A45 2013eb</t>
  </si>
  <si>
    <t>'1,,1,2,4,5'</t>
  </si>
  <si>
    <t>'1,31,32,33,34,35,36,37,38'</t>
  </si>
  <si>
    <t>'1,30,29,22,23,33,32,34'</t>
  </si>
  <si>
    <t>'472,473,474,475,476,477,478'</t>
  </si>
  <si>
    <t>Mozilla/5.0 (Windows NT 10.0; Win64; x64) AppleWebKit/537.36 (KHTML, like Gecko) Chrome/94.0.4606.81 Safari/537.36 Edg/94.0.992.50</t>
  </si>
  <si>
    <t>'1,357,357,357'</t>
  </si>
  <si>
    <t>'357,358,359,360,361,362,363,364,365,366,367,368,369,370,371,372,373,374,375,376,377,378,379,380,381,382,383,384'</t>
  </si>
  <si>
    <t>Neurology and Trauma</t>
  </si>
  <si>
    <t>RD593.N4156 2006</t>
  </si>
  <si>
    <t>'1,2,4,6,7,8,9,10,11,,11'</t>
  </si>
  <si>
    <t>Mozilla/5.0 (Macintosh; Intel Mac OS X 10_15_6) AppleWebKit/605.1.15 (KHTML, like Gecko) Version/15.0 Safari/605.1.15</t>
  </si>
  <si>
    <t>'1,3,5,7,8,30,29,31,32,33,34,266,265,267,268,269,270,271'</t>
  </si>
  <si>
    <t>'1,18,17,19,44,43'</t>
  </si>
  <si>
    <t>The Chemistry of Metal-Organic Frameworks : Synthesis, Characterization, and Applications</t>
  </si>
  <si>
    <t>QD411 -- .C446 2016eb</t>
  </si>
  <si>
    <t>'1,30,2,78,79,80,81,82,61'</t>
  </si>
  <si>
    <t>Mozilla/5.0 (Windows NT 10.0; Win64; x64) AppleWebKit/537.36 (KHTML, like Gecko) Chrome/90.0.4430.93 Safari/537.36</t>
  </si>
  <si>
    <t>'1,2,3,167,168,169,170,171,172,173,174,175,176,177,178,179,180,181,182,183,184,185,186,187,188,189,190,191,7,8,9,10,243,244,245,246,35,11,58,48,47,49,50,51,4'</t>
  </si>
  <si>
    <t>The Wages of Oil : Parliaments and Economic Development in Kuwait and the UAE</t>
  </si>
  <si>
    <t>Cornell University Press</t>
  </si>
  <si>
    <t>Political Science; Economics</t>
  </si>
  <si>
    <t>JQ1848</t>
  </si>
  <si>
    <t>'1,2,4,5,6,7,8,11,10,9'</t>
  </si>
  <si>
    <t>'1,2,3,5,6'</t>
  </si>
  <si>
    <t>Predictive Control : Fundamentals and Developments</t>
  </si>
  <si>
    <t>TJ217.6 .X598 2019</t>
  </si>
  <si>
    <t>'1,1,2,5,6,7,8,9,10,11,12,13,14,15,16,17,20,21,22,23,24'</t>
  </si>
  <si>
    <t>'1,2,4,5,7,8,13,16,19,21,25,23,27,29,28,33,31,32'</t>
  </si>
  <si>
    <t>'1,2,3,4,6,5,7,9,10,11,13,14,15,16,17,18,19,20,22,21,,1,4,5,6,2,3,,,1,3,4,5,6,7,8,9,10,11,12,13,14,15'</t>
  </si>
  <si>
    <t>'1,1,7,8,9,10,11,18,17'</t>
  </si>
  <si>
    <t>The Handbook of Communication Ethics</t>
  </si>
  <si>
    <t>P94.H353 2010</t>
  </si>
  <si>
    <t>'1,1,1,22,22,107,128,164,275,445,446,476'</t>
  </si>
  <si>
    <t>Handbook of Model Predictive Control</t>
  </si>
  <si>
    <t>Mathematics; Engineering; Engineering: General</t>
  </si>
  <si>
    <t>QA1-939</t>
  </si>
  <si>
    <t>'1,1,2,3,4,5,6,7,8,9,10,11,12,13,14,15,16,17,18,19,20,21,22,23,24,25,26,27,28,29,30,31,32,33,34,35,36,37,38,39,40,41,42,43,44,45,46,47,48,49,50,51,52,53,54,55,56,499,500,300,301,155,156,157,158,159,160,161,162,163,164,165,166,167,168,169,170,171,172,173,174,175,176,177,178,179,180,181,182,183,184,185,186,187,188,189,190,191,192,193,194,195,196,197,198,199,200,201,202,203,204,205,206,207,208,209,210,211,212,213,214,215,216,217'</t>
  </si>
  <si>
    <t>'1,23,74,100,152,223,235,210,208,211,212,206,206,177,178,175,168,167,9,10,244,245,246,8,75,77,78,79'</t>
  </si>
  <si>
    <t>'245,245'</t>
  </si>
  <si>
    <t>Beyond the Legacy of Genghis Khan</t>
  </si>
  <si>
    <t>DS289 -- .B49 2013eb</t>
  </si>
  <si>
    <t>Modelling Radioactivity in the Environment</t>
  </si>
  <si>
    <t>Social Science; Engineering; Engineering: Environmental</t>
  </si>
  <si>
    <t>TD196.R3M6295 2003</t>
  </si>
  <si>
    <t>'24,25,26,27,28,29,30,31,32,33,34,35,36,37,38,39,40,41,42,43,44,45,46,47,48,49,50,51,52,53,54,55,56,57,58,59,60,61,62,63,64,65'</t>
  </si>
  <si>
    <t>'1,2,3,74,151,169,168,167,311,312,6,1'</t>
  </si>
  <si>
    <t>Machine Learning for Dummies</t>
  </si>
  <si>
    <t>Q325.5 -- .M845 2016eb</t>
  </si>
  <si>
    <t>Mozilla/5.0 (Windows NT 10.0; Win64; x64) AppleWebKit/537.36 (KHTML, like Gecko) Chrome/94.0.4606.71 Safari/537.36</t>
  </si>
  <si>
    <t>'1,53,53,53,53,53,54,55,56,57,58,59,89,70,71,72,73,74,75,76,94,95,96,90,91,92,93'</t>
  </si>
  <si>
    <t>Mozilla/5.0 (Linux; Android 11; SM-T970) AppleWebKit/537.36 (KHTML, like Gecko) Chrome/94.0.4606.85 Safari/537.36</t>
  </si>
  <si>
    <t>Divine Love : Islamic Literature and the Path to God</t>
  </si>
  <si>
    <t>BP189 $b.C458 2013</t>
  </si>
  <si>
    <t>'1,2,178,177,136,136,137,138,139,72,73,74,75,412,413'</t>
  </si>
  <si>
    <t>'1,1,2'</t>
  </si>
  <si>
    <t>The Travels of Ludovico de Varthema in Egypt, Syria, Arabia Deserta and Arabia Felix, in Persia, India, and Ethiopia, A. D. 1503 To 1508</t>
  </si>
  <si>
    <t>Hakluyt Society</t>
  </si>
  <si>
    <t>Geography/Travel; History</t>
  </si>
  <si>
    <t>DT51 -- .V37 2010eb</t>
  </si>
  <si>
    <t>AC Electric Motors Control : Advanced Design Techniques and Applications</t>
  </si>
  <si>
    <t>Engineering: General; Engineering; Engineering: Electrical</t>
  </si>
  <si>
    <t>TK2781.A33 2013</t>
  </si>
  <si>
    <t>'1,8,9,10,11,13,14,15'</t>
  </si>
  <si>
    <t>'1,2,3,5,6,7,8,9,10,11,12,13,14,15,16,17,18,19,1,3'</t>
  </si>
  <si>
    <t>'186,187,188,1,156,157'</t>
  </si>
  <si>
    <t>Graphene : Synthesis, Properties, and Phenomena</t>
  </si>
  <si>
    <t>QD341.H9 -- G73 2013eb</t>
  </si>
  <si>
    <t>Understanding Video Games : The Essential Introduction</t>
  </si>
  <si>
    <t>Sport &amp;amp; Recreation</t>
  </si>
  <si>
    <t>GV1469.3 -- .E44 2013eb</t>
  </si>
  <si>
    <t>'14,15,16,17,18,19'</t>
  </si>
  <si>
    <t>'15,16,11,10,1,390,,15'</t>
  </si>
  <si>
    <t>'15,16,17,18,19,20,21,22,23,24,25,26,27,28,29,30,31,32,33,34,35,36,37,38,39,40,41,42,43,44,45,46,47,48,49,50,51,52,53,54,55,56,57,58'</t>
  </si>
  <si>
    <t>Nanocharacterisation</t>
  </si>
  <si>
    <t>Royal Society of Chemistry</t>
  </si>
  <si>
    <t>Engineering; Engineering: General</t>
  </si>
  <si>
    <t>T174.7</t>
  </si>
  <si>
    <t>'1,1,53,54'</t>
  </si>
  <si>
    <t>Sustainable Aviation Futures</t>
  </si>
  <si>
    <t>Emerald Publishing Limited</t>
  </si>
  <si>
    <t>HE9761-9900</t>
  </si>
  <si>
    <t>'1,,1,1,2,4'</t>
  </si>
  <si>
    <t>Dreams of Flight : General Aviation in the United States</t>
  </si>
  <si>
    <t>Business/Management; Engineering; Engineering: Mechanical</t>
  </si>
  <si>
    <t>387.7/0973</t>
  </si>
  <si>
    <t>TL721.4 -- .B38 2003eb</t>
  </si>
  <si>
    <t>The Finite Element Method in Heat Transfer and Fluid Dynamics</t>
  </si>
  <si>
    <t>620.1/06</t>
  </si>
  <si>
    <t>TA357 .R43 2015</t>
  </si>
  <si>
    <t>'1,1,226,227,228,229,229,229,229,229,229,515,229,229,228,230,231,232,234,235,236,233,237,239,240,241,256,283,304,303,302,305'</t>
  </si>
  <si>
    <t>Pregnancy Metabolism, Diabetes and the Fetus</t>
  </si>
  <si>
    <t>Science; Science: Anatomy/Physiology; Medicine</t>
  </si>
  <si>
    <t>612.6/3</t>
  </si>
  <si>
    <t>RG558 -- .S97 1978eb</t>
  </si>
  <si>
    <t>'1,2,3,4,5,6,7,8,9,10,11,12,13,14,15,16,17,18,19,20,21,22,23'</t>
  </si>
  <si>
    <t>'31,32,33,34,35,36,37,38,39,40,41,42,43,44,45,46,,151,152,153,154,155,156,157,158,159,160,161,162,163,164,165,166,167,168,,353,354,355,356,357,358,359,360,361,362,363,364,365,366,367,368,369,370,371,372,373,374,375,376,377,378,379,380,381,382,383,384,385,386,387,388,389,390,391,392,393,394,395,396'</t>
  </si>
  <si>
    <t>Evaluating Gun Policy : Effects on Crime and Violence</t>
  </si>
  <si>
    <t>HV7436 -- .E9 2003eb</t>
  </si>
  <si>
    <t>'1,49,51,52'</t>
  </si>
  <si>
    <t>Basic Guide to System Safety</t>
  </si>
  <si>
    <t>Business/Management; Engineering: General; Engineering</t>
  </si>
  <si>
    <t>T55 -- .V563 2014eb</t>
  </si>
  <si>
    <t>'1,9,10,11,12,13,14,11'</t>
  </si>
  <si>
    <t>'163,164,165,166,167,168,169,170,171,172,173,174,,137,138,139,140,141,142,143,144,145,146,147,148,149,150,151,152,,1,2,,9,10,11,12,13,14'</t>
  </si>
  <si>
    <t>24th European Symposium on Computer Aided Process Engineering : Part a and B</t>
  </si>
  <si>
    <t>TP155.75 -- .T846 2014eb</t>
  </si>
  <si>
    <t>'1,1,4,5,6,7,8,74'</t>
  </si>
  <si>
    <t>12th International Symposium on Process Systems Engineering and 25th European Symposium on Computer Aided Process Engineering : Parts a, B and C</t>
  </si>
  <si>
    <t>Engineering; Business/Management; Engineering: Chemical</t>
  </si>
  <si>
    <t>TS176 -- .I584 2015eb</t>
  </si>
  <si>
    <t>'1,1,514,515,516,517,518,519,520,1445,1446,1447,1448,1449,1450,1451,1'</t>
  </si>
  <si>
    <t>Gun Culture or Gun Control? : Firearms and Violence: Safety and Society</t>
  </si>
  <si>
    <t>HV7439.G7 -- S68 2000eb</t>
  </si>
  <si>
    <t>'1,16,15,17,18,178,177,179'</t>
  </si>
  <si>
    <t>'1,3,5,15,16,7'</t>
  </si>
  <si>
    <t>'1,2,3,4,44,43'</t>
  </si>
  <si>
    <t>Metal-Organic Frameworks : Design and Application</t>
  </si>
  <si>
    <t>QD882 -- .M48 2010eb</t>
  </si>
  <si>
    <t>'1,2,3,4,5,6,7,8,229,230,231,232,233,234,235,236,238,239,240,241,242,243,244,245,246,247,248'</t>
  </si>
  <si>
    <t>'229,229,233,249'</t>
  </si>
  <si>
    <t>Introduction to Autonomous Mobile Robots, Second Edition</t>
  </si>
  <si>
    <t>629.8/932</t>
  </si>
  <si>
    <t>TJ211.415 -- .S54 2011eb</t>
  </si>
  <si>
    <t>'1,3,4,5,6,8,9,12,13,11,15,17,30,31,32,37,67,68,70,71,72,73,74,442,441,440,444,446,448,450,452,454,457,467,466,465,464,473,472,471,470,455,453,449,,440,440,8,9,21,73,74,68'</t>
  </si>
  <si>
    <t>'1,5,8,7,9'</t>
  </si>
  <si>
    <t>Fame Us : Celebrity Impersonators and the Cult(ure) of Fame</t>
  </si>
  <si>
    <t>Arsenal Pulp Press</t>
  </si>
  <si>
    <t>PN2071.I47 -- H69 2007eb</t>
  </si>
  <si>
    <t>'1,2,3,4,5,6,7'</t>
  </si>
  <si>
    <t>Fame</t>
  </si>
  <si>
    <t>BJ1470.5 -- .R69 2008eb</t>
  </si>
  <si>
    <t>'1,2,3,5,6,7,8,9,10,10,11,11,12,34'</t>
  </si>
  <si>
    <t>Mozilla/5.0 (Windows NT 10.0; Win64; x64) AppleWebKit/537.36 (KHTML, like Gecko) Chrome/94.0.4606.61 Safari/537.36</t>
  </si>
  <si>
    <t>'1,2,3,4,5,,5'</t>
  </si>
  <si>
    <t>'1,3,4,5,6,87,88,89'</t>
  </si>
  <si>
    <t>'1,1,151,151,151,353'</t>
  </si>
  <si>
    <t>'151,152,153,154,155,156,157,158,159,160,161,162,163,164,165,166,167,168,353,354,355,356,357,358,359,360,361,362,363,364,365,366,367,368,369,370,371,372,373,374,375,376,377,378,379,380,381,382,383,384,385,386,387,388,389,390,391,392,393,394,395,396'</t>
  </si>
  <si>
    <t>Marine Coastal and Water Pollutions : Oil Spill Studies</t>
  </si>
  <si>
    <t>Environmental Studies; Engineering; Engineering: Environmental</t>
  </si>
  <si>
    <t>TD420 -- .M375 2014eb</t>
  </si>
  <si>
    <t>Wetland Systems to Control Urban Runoff</t>
  </si>
  <si>
    <t>TD756.5 .S36 2016</t>
  </si>
  <si>
    <t>'1,4,4,4,21,22,23,24,25,27,38,39,61,5,1,56,89,88,87,90,104,105,106,95,110,109,111,112,114,119,113,115'</t>
  </si>
  <si>
    <t>'1,2,31,32,32'</t>
  </si>
  <si>
    <t>'31,32,33,34,35,36,37,38,39,40,41,42,43,44,45,46'</t>
  </si>
  <si>
    <t>'1,2,27,27,21,31,32'</t>
  </si>
  <si>
    <t>'1,2,3,4,5,7,6,9,12,12'</t>
  </si>
  <si>
    <t>Fluid Dynamics in Complex Fractured-Porous Systems</t>
  </si>
  <si>
    <t>American Geophysical Union</t>
  </si>
  <si>
    <t>Engineering; Engineering: Civil; Science: Geology; Science</t>
  </si>
  <si>
    <t>TA418.9.P6 -- .D963 2015eb</t>
  </si>
  <si>
    <t>'1,2,3,4,5,6,7,8,9,10,11,12,13,14,15,16,17,17'</t>
  </si>
  <si>
    <t>'1,340,340'</t>
  </si>
  <si>
    <t>'340,341,342,343,344,345,346,347,348,349,350,351,352,353,354,355,356'</t>
  </si>
  <si>
    <t>Towards 5G : Applications, Requirements and Candidate Technologies</t>
  </si>
  <si>
    <t>621.3845/6</t>
  </si>
  <si>
    <t>TK5103.2T693 2017</t>
  </si>
  <si>
    <t>'7'</t>
  </si>
  <si>
    <t>'1,2,3,4,5,6,7,,7'</t>
  </si>
  <si>
    <t>5g : 2020 and Beyond</t>
  </si>
  <si>
    <t>River Publishers</t>
  </si>
  <si>
    <t>TK5103.2</t>
  </si>
  <si>
    <t>'1,33,3,4,7,8,8,9,10'</t>
  </si>
  <si>
    <t>'186,187'</t>
  </si>
  <si>
    <t>Metaheuristics for Vehicle Routing Problems</t>
  </si>
  <si>
    <t>Mathematics; Business/Management</t>
  </si>
  <si>
    <t>QA402.6 -- .L333 2016eb</t>
  </si>
  <si>
    <t>Mozilla/5.0 (Windows NT 10.0; Win64; x64) AppleWebKit/537.36 (KHTML, like Gecko) Chrome/94.0.4606.81 Safari/537.36 Edg/94.0.992.47</t>
  </si>
  <si>
    <t>Biodegradable Materials: Production, Properties and Applications : Production, Properties and Applications</t>
  </si>
  <si>
    <t>620.1/1223</t>
  </si>
  <si>
    <t>TA418.74 -- .B535 2011eb</t>
  </si>
  <si>
    <t>'1,2,3,4,8,6,13,11,14'</t>
  </si>
  <si>
    <t>'3,4,,91,92,93,94,95,96,97,98,99,100,101,102,,115,116,117,118,119,120,121,122,123,124,125,126,127,128,129,130,131,132,133,134,135,136,137,138,139,140,141,142,143,144,145,146,147,148,149,150,151,152,153,154,155,156,157,158,159,160,161,162,163,164,165,166'</t>
  </si>
  <si>
    <t>Children in the City : Home Neighbourhood and Community</t>
  </si>
  <si>
    <t>HT206 -- .C4443 2003eb</t>
  </si>
  <si>
    <t>Islam and Modernity : Key Issues and Debates</t>
  </si>
  <si>
    <t>BP166.14.M63 -- I85 2009eb</t>
  </si>
  <si>
    <t>'1,1,134,151,187,152,153,153,7,12,11,134,136,135,137,151,152,155,7'</t>
  </si>
  <si>
    <t>'1,1,1,1,22,574,87,86,86,20,43,44,50,45,46,46,20,574,575,572,570,568,566,565,564,553,551,549,548,547,546,545,544,543,542,548,171,172,173,293,601,728,729,730,731,732,733,734,736,735,737,738,737,167,168,169,169,170,1285,1286,1286,1285,1287,1284'</t>
  </si>
  <si>
    <t>Atomic Force Microscopy in Liquid : Biological Applications</t>
  </si>
  <si>
    <t>Science: General; Science; Science: Biology/Natural History</t>
  </si>
  <si>
    <t>QH212.A78 -- A86 2012eb</t>
  </si>
  <si>
    <t>'1,2,3,5,6,7,12,13,11,10,26,25,23,24,27,28,30,29,31,32,31,30,32,33,34,35,36,37,38,39,40'</t>
  </si>
  <si>
    <t>Mozilla/5.0 (Windows NT 10.0; Win64; x64; rv:93.0) Gecko/20100101 Firefox/93.0</t>
  </si>
  <si>
    <t>Managing and Improving Quality : Integrating Quality, Statistical Methods and Process Control</t>
  </si>
  <si>
    <t>HF5415.157.S256 2016</t>
  </si>
  <si>
    <t>Introduction to Scanning Tunneling Microscopy</t>
  </si>
  <si>
    <t>Science; Science: General; Science: Biology/Natural History</t>
  </si>
  <si>
    <t>QH212.S35C44 1993</t>
  </si>
  <si>
    <t>'1,58,59,58,57,60,59,55,52,51,50,43,1,2,3,3,2,4,5,6,6,7,8,9,10,108,109,110,107,58,59,60,61,62,63,64,65,66,67,68,69,70,71,72,73,74,75,60,61,62,63,64,65,66,67,68,69,70,71,72,73,74,75,76'</t>
  </si>
  <si>
    <t>'1,2,1,3,5,5,53,53,56,54,55,73'</t>
  </si>
  <si>
    <t>Mozilla/5.0 (iPad; CPU OS 15_0 like Mac OS X) AppleWebKit/605.1.15 (KHTML, like Gecko) CriOS/94.0.4606.76 Mobile/15E148 Safari/604.1</t>
  </si>
  <si>
    <t>'1,2,3,4,5,6,17,19,21,23,25,28,30,31,35,33,37,41,39,44,38,45,47,204,205,206,207,208,209,210,211,212,213,214,215,216,217,218,219,220,221,222,223,224,225,226,227,228,229,229,230,231,232,233,234,252,253,254,255,256,257,258,259,251,241,242,240,239,238,237,236,235,174,173,175,176,177,178,179,180,181,182,183,184,185,186,187,188,189,133,37,38,40,164,165,166,167,168,169,170,171,172,36,35,1,2,3,4,5,261,263,265,262,270,268,267,269,272,274,276,304,303,302,300,298,296,294,314,313,315,317,318,319,320,321,322,323,324,324,13,53,53,53,28,27,137,136,247,248,467,466,468,314,315,315,46,45,47,64,63,66,65,65,2,1,170,170,46,64,63,65,66,67,68,70,68,278,277,279,279,53,53,247,54'</t>
  </si>
  <si>
    <t>Advancement in Manufacturing Processes</t>
  </si>
  <si>
    <t>Engineering; Engineering: Manufacturing</t>
  </si>
  <si>
    <t>TS5.A383 2015eb</t>
  </si>
  <si>
    <t>'1,2,3,4,5,6,7,8,8,6,6,2,4'</t>
  </si>
  <si>
    <t>Fractional Calculus with Applications in Mechanics : Wave Propagation, Impact and Variational Principles</t>
  </si>
  <si>
    <t>QA303 -- .F733 2014eb</t>
  </si>
  <si>
    <t>'1,3,4,7,8,10,170,169'</t>
  </si>
  <si>
    <t>Fractional Calculus with Applications in Mechanics : Vibrations and Diffusion Processes</t>
  </si>
  <si>
    <t>Science; Mathematics; Science: Physics</t>
  </si>
  <si>
    <t>QA314</t>
  </si>
  <si>
    <t>'1,2,3,4,5,7,30,31'</t>
  </si>
  <si>
    <t>Principles of Information Technology</t>
  </si>
  <si>
    <t>Salem Press, Incorporated</t>
  </si>
  <si>
    <t>Engineering; Computer Science/IT; Engineering: General</t>
  </si>
  <si>
    <t>T58.5 .P756 2020</t>
  </si>
  <si>
    <t>'1,1,4,5,6,3'</t>
  </si>
  <si>
    <t>Mozilla/5.0 (Macintosh; Intel Mac OS X 10_12_6) AppleWebKit/537.36 (KHTML, like Gecko) Chrome/94.0.4606.71 Safari/537.36</t>
  </si>
  <si>
    <t>Analytic Combinatorics</t>
  </si>
  <si>
    <t>QA164 -- .F53 2009eb</t>
  </si>
  <si>
    <t>From West to East and Back Again : An Educational Reading of Hermann Hesse's Later Work</t>
  </si>
  <si>
    <t>L1-991</t>
  </si>
  <si>
    <t>'1,1,2,3,4,5,5,8,18,9,22,23,28,61,62,95,1,2,4,6,7,10,11,12'</t>
  </si>
  <si>
    <t>'1,2,17,18,19,20,21,22,23,24,25,26,27,28,29,33,32,34,35,36,37,38,39,40,41,42,43,44,45,46,47,48,49,50,51,53,52,54,55,56,57,58,60'</t>
  </si>
  <si>
    <t>Fundamentals of Calculus</t>
  </si>
  <si>
    <t>QA303.2 .M384 2015</t>
  </si>
  <si>
    <t>'1,2,135,136,137,138,129,130,139,140,141,142,143'</t>
  </si>
  <si>
    <t>Advanced Calculus : Using Multiple Integrals</t>
  </si>
  <si>
    <t>'1,6,7,10,9,11,12'</t>
  </si>
  <si>
    <t>Advances in Grid-Connected Photovoltaic Power Conversion Systems</t>
  </si>
  <si>
    <t>Engineering; Engineering: Electrical; Political Science</t>
  </si>
  <si>
    <t>TK1087$b.Y364 2019</t>
  </si>
  <si>
    <t>'162,163,164,165,166,167,168,169,170,171,172,173,174'</t>
  </si>
  <si>
    <t>Mozilla/5.0 (iPhone; CPU iPhone OS 15_0 like Mac OS X) AppleWebKit/605.1.15 (KHTML, like Gecko) CriOS/94.0.4606.76 Mobile/15E148 Safari/604.1</t>
  </si>
  <si>
    <t>'1,4,18'</t>
  </si>
  <si>
    <t>Optical Thin Films and Coatings : From Materials to Applications</t>
  </si>
  <si>
    <t>Engineering; Science: Physics; Science; Engineering: Electrical</t>
  </si>
  <si>
    <t>QC378.O68 2013eb</t>
  </si>
  <si>
    <t>'1,2,3,4,5,6,7,8,11,12,13,14,102,101,104,105,106,107,108,110,111'</t>
  </si>
  <si>
    <t>Introductory Calculus I: Functions, Limits, and Continuity</t>
  </si>
  <si>
    <t>Applied Zoology</t>
  </si>
  <si>
    <t>New Central Book Agency</t>
  </si>
  <si>
    <t>Engineering: Environmental; Agriculture; Engineering</t>
  </si>
  <si>
    <t>SB950 .B364 2020</t>
  </si>
  <si>
    <t>'8,8,378,1,379,380'</t>
  </si>
  <si>
    <t>Non-Chordate (Invertebrate) Zoology Practical</t>
  </si>
  <si>
    <t>QL362 -- .P36 2006eb</t>
  </si>
  <si>
    <t>'1,1,1,172,173,174,175,176,177,171,178,179'</t>
  </si>
  <si>
    <t>Reproductive Biology and Phylogeny of Annelida</t>
  </si>
  <si>
    <t>Science: Biology/Natural History; Science; Science: Zoology</t>
  </si>
  <si>
    <t>571.8/126</t>
  </si>
  <si>
    <t>QL391.A6 -- R44 2006eb</t>
  </si>
  <si>
    <t>'244,245,246,247,248,249,250,251,252,253,254,255,256,257,258,259,260,261,262,262'</t>
  </si>
  <si>
    <t>Handbook of Practicals in Zoology</t>
  </si>
  <si>
    <t>QL45.2.R36 2009</t>
  </si>
  <si>
    <t>'1,1,1,25,25'</t>
  </si>
  <si>
    <t>'1,11,56,57,58,55,59,61,62,63,64,65,66'</t>
  </si>
  <si>
    <t>Mozilla/5.0 (Linux; Android 11; SM-T970) AppleWebKit/537.36 (KHTML, like Gecko) Chrome/94.0.4606.71 Safari/537.36</t>
  </si>
  <si>
    <t>'1,97,96,84,2,4,6,8,10,12,14,15,16,17,18,19,375,453,454,455,456,457,475,88,94,95,98,100,105,107,106,154,153,152,155,156,157,159,160,161,162,163,164,165,166,168,169,170'</t>
  </si>
  <si>
    <t>'1,2,4,4,4'</t>
  </si>
  <si>
    <t>'1,2,3,4,5,6,7,8,9,10,11'</t>
  </si>
  <si>
    <t>'1,4,5,7,10,9,17,8,6,30'</t>
  </si>
  <si>
    <t>'1,3,62,61,60,64,65,66,67,70,69,71,72,73,74,75,76,77,78,79,81,92,125,126,127,128,129,130,131,132,133,134,135,136,137,138,139,140,141,142,143,144,145,146,147,155,156,157'</t>
  </si>
  <si>
    <t>Advanced Calculus : Differential Calculus and Stokes' Theorem</t>
  </si>
  <si>
    <t>515/.33</t>
  </si>
  <si>
    <t>QA304.B866 2016</t>
  </si>
  <si>
    <t>'1,3,6,8,9,11,51,52,54,55,56,57'</t>
  </si>
  <si>
    <t>Sports Medicine Conditions: Return To Play: Recognition, Treatment, Planning : Return To Play: Recognition, Treatment, Planning</t>
  </si>
  <si>
    <t>Wolters Kluwer Health</t>
  </si>
  <si>
    <t>617.1/027</t>
  </si>
  <si>
    <t>RD97 -- .S66 2014eb</t>
  </si>
  <si>
    <t>'1,11,12,13,14,15,16,17,18,19,38'</t>
  </si>
  <si>
    <t>Atlas of Adult Physical Diagnosis</t>
  </si>
  <si>
    <t>616.07/54</t>
  </si>
  <si>
    <t>RC76 -- .B48 2006eb</t>
  </si>
  <si>
    <t>'1,143,87,88,89,90,91,92,93,94,95'</t>
  </si>
  <si>
    <t>'87,88,89,90,91,92,93,94,95,96,97,98,99,100,101,102,103,104,105,106,107,108,109,110,111,112,113,114,115,116,,117,118,119,120,121,122,123,124,125,126,127,128,129,130,131,132,133,134,135,136,137,138,139,140,141,142,,267,268,269,270,271,272,273,274,275,276,277,278,279,280,281,282,283,284,285,286,287,288,,213,214,215,216,217,218,219,220,221,222,223,224,225,226,227,228,229,230,231,232,233,234,235,236,,301,302,303,304,305,306,307,308,309,310,311,312,313,314,315,316,317,318,319,320,321,322,323,324,325,326,,267,268,269,270,271,272,273,274,275,276,277,278,279,280,281,282,283,284,285,286,287,288,,267,268,269,270,271,272,273,274,275,276,277,278,279,280,281,282,283,284,285,286,287,288'</t>
  </si>
  <si>
    <t>'11,12,13,14,15,16,17,18,19,20,21,22,23,24,25,26,27,28,29,30,31,32,33,34,35,36,37,38,39,40,41,42,43,44,45,46,47,48,49,50,51,52,53,54,55,56,57,58,59,60,61,62,,1,2,3,4,5,6,7,,11,12,13,14,15,16,17,18,19,20,21,22,23,24,25,26,27,28,29,30,31,32,33,34,35,36,37,38,39,40,41,42,43,44,45,46,47,48,49,50,51,52,53,54,55,56,57,58,59,60,61,62,,181,182,183,184,185,186,187,188,189,190,191,192,193,194,195,196,197,198,199,200,201,202,203,204,205,206,207,208,209,210,211,212,213,214,215,216,217,218,219,220,221,222,223,224,225,226,227,228,229,230,231,232'</t>
  </si>
  <si>
    <t>Physical Examination of the Heart and Circulation (4th Edition)</t>
  </si>
  <si>
    <t>PMPH USA, Ltd</t>
  </si>
  <si>
    <t>RC683 -- .P47 2009eb</t>
  </si>
  <si>
    <t>'13,14,15,16,17,18,19,20,21,22,23,24,25,26,,237,238,239,240,241,242,243,244,245,246,247,248,249,250,251,252,,67,68,69,70,71,72,73,74,75,76,77,78,79,80,81,82,83,84,85,86,87,88,89,90,91,92,93,94,95,96,97,98,99,100,101,102,103,104'</t>
  </si>
  <si>
    <t>'169,170,171,172,173,174,175,176,177,178,179,180,181,182,183,184,185,186,187,188,189,190,191,192,193,194,195,196,197,198,199,200,201,202,203,204,205,206,207,208,209,210,211,212,213,214,215,216,217,218,219,220,221,222,223,224,225,226,227,228,229,230,231,232,233,234,235,236'</t>
  </si>
  <si>
    <t>'1,3,4,6,7,8,10,11,14,16,13,15,18,21,23,24,25,26,28,30,31,33,,1,34,86,84,172,173,174,175,176,177'</t>
  </si>
  <si>
    <t>'81,82,83,84,85,86,87,88,89,90'</t>
  </si>
  <si>
    <t>Review of Modern Engineering Solutions for the Industry</t>
  </si>
  <si>
    <t>TJ163.12.I547 2012eb</t>
  </si>
  <si>
    <t>'1,7,6,9,12,13,14,15'</t>
  </si>
  <si>
    <t>Control System Migrations : A Practical Project Management Handbook</t>
  </si>
  <si>
    <t>TJ213 -- .R643 2013</t>
  </si>
  <si>
    <t>'1,8,7,9,10,11'</t>
  </si>
  <si>
    <t>Engineering Mathematics</t>
  </si>
  <si>
    <t>Routledge</t>
  </si>
  <si>
    <t>Mathematics; Engineering; Engineering: Civil</t>
  </si>
  <si>
    <t>TA330 .B515 2014</t>
  </si>
  <si>
    <t>3-user</t>
  </si>
  <si>
    <t>'1,642,641,643,644,645,646,647,648,649,650,651,652,653'</t>
  </si>
  <si>
    <t>Laplace Transform : Theory and Applications</t>
  </si>
  <si>
    <t>515/.723</t>
  </si>
  <si>
    <t>QA432 -- .S33 1999eb</t>
  </si>
  <si>
    <t>'1,55,54,56,57,58,59,60,61,62,63,64,65,66,67,68,69,70,71,72,73,74,75,76,77,78,79,80,81,82,83,83,83,84,85,86,87,88,89,90,91,92,93'</t>
  </si>
  <si>
    <t>'1,2,3,4,5,6,7,8,9,10,11,12,13,14,15,16,17,18,19,20'</t>
  </si>
  <si>
    <t>Modelling of magnetic and electric circuits</t>
  </si>
  <si>
    <t>TK3001</t>
  </si>
  <si>
    <t>The Crisis of Islamic Civilization</t>
  </si>
  <si>
    <t>909/.09767082</t>
  </si>
  <si>
    <t>DS36.85 -- .A423 2009eb</t>
  </si>
  <si>
    <t>'1,57,58,59,60,61,62,63,101,102,38,39,40,57,58,101,79,81,82,83,84,85,86,87,38,39'</t>
  </si>
  <si>
    <t>'57,58,59,60,61,62,63,64,65,66,67,68,69,70,71,72,73,74,75,76,77,78,101,102,103,104,105,106,107,108,109,110,111,112,113,114,115,116,117,118,119,120,121,122,123,124,79,80,81,82,83,84,85,86,87,88,89,90,91,92,93,94,95,96,97,98,99,100,38,39,40,41,42,43,44,45,46,47,48,49,50,51,52,53,54,55,56,57,58,59,60,61,62,63,64,65,66,67,68,69,70,71,72,73,74,75,76,77,78'</t>
  </si>
  <si>
    <t>Guide To Chalcogen-nitrogen Chemistry, A</t>
  </si>
  <si>
    <t>QD169.C5C49 2005</t>
  </si>
  <si>
    <t>'33,34,35,36,37,38,39,40,41,42,43,44,45'</t>
  </si>
  <si>
    <t>Nanoporous Materials: Science And Engineering : Science and Engineering</t>
  </si>
  <si>
    <t>TA418.9.P6N36 2004</t>
  </si>
  <si>
    <t>'707,708,709,710,711,712,713,714'</t>
  </si>
  <si>
    <t>'707,708'</t>
  </si>
  <si>
    <t>Foundations of Coding : Compression, Encryption, Error Correction</t>
  </si>
  <si>
    <t>Engineering; Engineering: Electrical; Computer Science/IT</t>
  </si>
  <si>
    <t>003/.54</t>
  </si>
  <si>
    <t>TK5102.92 -- .F686 2015eb</t>
  </si>
  <si>
    <t>Trusted Computing : Principles and Applications</t>
  </si>
  <si>
    <t>QA76.9.A25 .T787 2018</t>
  </si>
  <si>
    <t>Derivatives Algorithms - Volume 1: Bones</t>
  </si>
  <si>
    <t>Business/Management; Economics</t>
  </si>
  <si>
    <t>HG6024.H94 2010</t>
  </si>
  <si>
    <t>'1,2,3,4,6'</t>
  </si>
  <si>
    <t>Distributed Algorithms : An Intuitive Approach</t>
  </si>
  <si>
    <t>QA76.58 -- .F647 2013eb</t>
  </si>
  <si>
    <t>Evolutionary Algorithms : An Overview</t>
  </si>
  <si>
    <t>Computer Science/IT; Mathematics</t>
  </si>
  <si>
    <t>QA402.5$b.P87 2017</t>
  </si>
  <si>
    <t>Introduction to Epilepsy</t>
  </si>
  <si>
    <t>RC372 -- .I68 2012eb</t>
  </si>
  <si>
    <t>'1,127,126,126,128,128,239,97,97,79,74,77,78,76,75,73,72,71,70,69,68,67,66,65,64,63,62,61,59,58,57,56,54,53,52,51,50,49,48,47,46,45,44,43,42,41,127,128,129,130,131,132,133,134,135,136,137,138,139,140,141,142,143,143,103,143,142,142,141,140,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80,281,283,284,285,286,287,288,289,290,291,292,294,295,297,,1,297,297,297,298,299,300,301,302,306,307,308,309,314,315,322,323,325,326,390,389,389,642,389,390,391,392,393,394,395,396,397,398,399,400,401,402,403,404,405,406,407,408,409,410,411,413,414,415,416,418,419,420,421,422,423,424,425,426,427,428,429,430,431,432,433,434,435,436,437,438,439,440,441,442,443,444,445,446,447,448,449,450,451,452,453,455,456,457,458,459,460,461,462,463,464,465,466,467,468,469,470,475,477,478,480,481,482,22,21,23,24,25,51,52,53,56,55,57,61,67,68,69,71,72,73,74,75,76,77,78,79'</t>
  </si>
  <si>
    <t>'143,142,144,145,147,148,,392,404,405,406,407,408,407,416,417,418,419,420'</t>
  </si>
  <si>
    <t>Introduction to Algorithms, Third Edition</t>
  </si>
  <si>
    <t>QA76.6.C662 2009</t>
  </si>
  <si>
    <t>'1,2,3,4,5,6,7,24,25,26,27'</t>
  </si>
  <si>
    <t>'1,2,7,6,15,14,16,17,18,19'</t>
  </si>
  <si>
    <t>'1,20,20'</t>
  </si>
  <si>
    <t>'1,2,3,4,5,,20,21,22,23,24,25'</t>
  </si>
  <si>
    <t>Culturally Responsive Teaching and The Brain : Promoting Authentic Engagement and Rigor Among Culturally and Linguistically Diverse Students</t>
  </si>
  <si>
    <t>LC1099.3 .H366 2015</t>
  </si>
  <si>
    <t>'49,50,48,47'</t>
  </si>
  <si>
    <t>Mozilla/5.0 (Macintosh; Intel Mac OS X 10_14_6) AppleWebKit/537.36 (KHTML, like Gecko) Chrome/94.0.4606.81 Safari/537.36</t>
  </si>
  <si>
    <t>'1,237,340,340,340'</t>
  </si>
  <si>
    <t>'1,2,3,6,7,8,4,4,4,12,14,24,28,26,25,,,,49,50,55,58,,,49,49,17,49,31,31,30,28,26'</t>
  </si>
  <si>
    <t>'2,3,4,,25,26,27,28,29,30,31,32,33,,34,35,36,37,38,39,40,41,42,43,44,45,46,47,48,,,155,156,157,158,159,160,161,162,163,164'</t>
  </si>
  <si>
    <t>'4'</t>
  </si>
  <si>
    <t>Geochemistry</t>
  </si>
  <si>
    <t>Science; Science: Geology</t>
  </si>
  <si>
    <t>QE515 -- .W46 2013eb</t>
  </si>
  <si>
    <t>'1,,647,648,649,650,651,652,655,656,657,658,659,660,661,662,663,664,665,666,667,331'</t>
  </si>
  <si>
    <t>'331,332,333,334,335,336,337,338,339,340,341,342,343,344,345,346,347,348,349,350,351,352,353,354,355,356,357,358,359,360,361,362,363,364,365,366,367,368,369,370,371,372,373,374,375,376,377,378,379,380,,503,504,505,506,507,508,509,510,511,512,513,514,515,516,517,518,519,520,521,522,523,524,525,526,527,528,529,530,531,532,533,534,535,536,537,538,539,540,541,542,543,544,545,546,547,548,549,550,551,552,553,554,555,556,557,558,559,560,561,562,563,564,565,566,567,568,569,570,571,572'</t>
  </si>
  <si>
    <t>Mozilla/5.0 (Macintosh; Intel Mac OS X 10_15_7) AppleWebKit/537.36 (KHTML, like Gecko) Chrome/93.0.4577.82 Safari/537.36</t>
  </si>
  <si>
    <t>Environmental and Low Temperature Geochemistry</t>
  </si>
  <si>
    <t>QE516.4.R93 2014eb</t>
  </si>
  <si>
    <t>Water Management, Food Security and Sustainable Agriculture in Developing Economies</t>
  </si>
  <si>
    <t>Business/Management; Economics; Engineering; Engineering: Environmental</t>
  </si>
  <si>
    <t>TD303.A1 W347 2012</t>
  </si>
  <si>
    <t>'1,8,9,10,11,12,13,15,18,20,38,205,185,186,187,188,189,191'</t>
  </si>
  <si>
    <t>Restoration and Management of Lakes and Reservoirs</t>
  </si>
  <si>
    <t>Engineering; Engineering: Environmental; Science: Biology/Natural History; Science</t>
  </si>
  <si>
    <t>628.1/68</t>
  </si>
  <si>
    <t>QH541.15.R45 -- R49 2005eb</t>
  </si>
  <si>
    <t>'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t>
  </si>
  <si>
    <t>Mozilla/5.0 (iPhone; CPU iPhone OS 14_7_1 like Mac OS X) AppleWebKit/605.1.15 (KHTML, like Gecko) Version/14.1.2 Mobile/15E148 Safari/604.1</t>
  </si>
  <si>
    <t>Handbook of Compliant Mechanisms</t>
  </si>
  <si>
    <t>Engineering: Mechanical; Engineering</t>
  </si>
  <si>
    <t>TJ181.H25 2013</t>
  </si>
  <si>
    <t>'5,,,1,3,4,21,22,23,24,25,26,29,28,30,31,33,34,35,36,37,38,40,41,42,43,44,46,47,48,49,50,51,52,54,55,56,58,59,61,63,64,67,68,69,70,71,72,78,77,79,80,81,82,84,86,87,88,89,91,93,95,96,97,98,99,100,100,100,101,102,103,104,105,106,107,108,109,110,111,113,114,115,116,119,120,124,123,127,129,130,131,132,133,134,136,138,140,142,141,143,144,146,147,148,149,150,150,150'</t>
  </si>
  <si>
    <t>'21,22,23,24,26,,1,3,,3,8'</t>
  </si>
  <si>
    <t>Ptolemy of Egypt</t>
  </si>
  <si>
    <t>932/.02/092 B</t>
  </si>
  <si>
    <t>DT92 -- .E4 1994eb</t>
  </si>
  <si>
    <t>'1,2,7,8,9'</t>
  </si>
  <si>
    <t>Encomium of Ptolemy Philadelphus</t>
  </si>
  <si>
    <t>884/.01</t>
  </si>
  <si>
    <t>PA4442$b.C617 2003</t>
  </si>
  <si>
    <t>'1,8,7,9,90,91,92,93,94,95'</t>
  </si>
  <si>
    <t>Aerospace Sensors</t>
  </si>
  <si>
    <t>TK7872.D48 .N439 2013</t>
  </si>
  <si>
    <t>'1,5,6,21,35,36,37,302,301,303'</t>
  </si>
  <si>
    <t>Exploratory Data Analysis with MATLAB</t>
  </si>
  <si>
    <t>519.5/35028553</t>
  </si>
  <si>
    <t>QA278 .M3735 2017</t>
  </si>
  <si>
    <t>'1,1,31,32,33,34,35,36,37,38,39,40,41,360,361,362,363,364,365,366,367'</t>
  </si>
  <si>
    <t>'1,4,3'</t>
  </si>
  <si>
    <t>Scanning Probe Microscopy</t>
  </si>
  <si>
    <t>QH212.S33 -- S33 2011eb</t>
  </si>
  <si>
    <t>'8,8'</t>
  </si>
  <si>
    <t>'1,1,1,4,5,6,7,,8'</t>
  </si>
  <si>
    <t>'1,202,202,167'</t>
  </si>
  <si>
    <t>'202,203,204,205,206,207,208,209,210,211,212,213,214,215,216,217,218,219,220,221,222,223,224,225,226,227,228,229,230,231,232,233,234,235,236,167,168,169,170,171,172,173,174,175,176,177,178,179,180,181,182,183,184,185,186,187,188,189,190,191,192,193,194,195,196,197,198,199,200,201'</t>
  </si>
  <si>
    <t>Photonics, Volume 1 : Fundamentals of Photonics and Physics</t>
  </si>
  <si>
    <t>Engineering: Electrical; Engineering: Civil; Engineering</t>
  </si>
  <si>
    <t>TA1520 -- .F86 2015eb</t>
  </si>
  <si>
    <t>'1,2,3,7,8,9'</t>
  </si>
  <si>
    <t>Mozilla/5.0 (Windows NT 10.0; Win64; x64) AppleWebKit/537.36 (KHTML, like Gecko) Chrome/94.0.4606.71 Safari/537.36 Edg/94.0.992.38</t>
  </si>
  <si>
    <t>Epilepsy and Brain Tumors</t>
  </si>
  <si>
    <t>RC372 -- .E655 2015eb</t>
  </si>
  <si>
    <t>World Englishes</t>
  </si>
  <si>
    <t>PE1074.7 .M453 2019</t>
  </si>
  <si>
    <t>World Englishes : New Theoretical and Methodological Considerations</t>
  </si>
  <si>
    <t>PE1066.W67 2016</t>
  </si>
  <si>
    <t>Viruses, Hardware and Software Trojans : Attacks and Countermeasures</t>
  </si>
  <si>
    <t>Engineering; Computer Science/IT; Engineering: Civil</t>
  </si>
  <si>
    <t>'23,44,45,46,46,5,6,37,77,78,86,124,130,131'</t>
  </si>
  <si>
    <t>Mozilla/5.0 (Windows NT 10.0; Win64; x64) AppleWebKit/537.36 (KHTML, like Gecko) Chrome/93.0.4577.82 Safari/537.36</t>
  </si>
  <si>
    <t>'1,21,21,21,21,12,22,23,24,25,26,27'</t>
  </si>
  <si>
    <t>'22,22,26,27'</t>
  </si>
  <si>
    <t>'1,4,6,5,18,19,19,19'</t>
  </si>
  <si>
    <t>'19,20,21,22,23,24'</t>
  </si>
  <si>
    <t>Jewish Choice, Jewish Voices : War and National Security</t>
  </si>
  <si>
    <t>The Jewish Publication Society</t>
  </si>
  <si>
    <t>BJ1285.2.W37 2010</t>
  </si>
  <si>
    <t>'1,5,12,13,14,15,17,16,18,18,62,64,63,65,66,67,68'</t>
  </si>
  <si>
    <t>Providing for National Security : A Comparative Analysis</t>
  </si>
  <si>
    <t>355/.0335</t>
  </si>
  <si>
    <t>UA10</t>
  </si>
  <si>
    <t>'1,2,4,22,6,6,7,8,1,3,4,5,95,95,95,96,22,26,25,27'</t>
  </si>
  <si>
    <t>Managing Quality : An Essential Guide and Resource Gateway</t>
  </si>
  <si>
    <t>Engineering: Civil; Business/Management; Engineering</t>
  </si>
  <si>
    <t>TA190 -- .M363 2016eb</t>
  </si>
  <si>
    <t>'21,32,20,,21'</t>
  </si>
  <si>
    <t>Fragrant Introduction to Terpenoid Chemistry</t>
  </si>
  <si>
    <t>QD416 -- .S495 2003eb</t>
  </si>
  <si>
    <t>'1,1,56,23,34,35,36,222,224,225,226,227,227,3,4,7,9,12,14,13'</t>
  </si>
  <si>
    <t>Mechanisms in Advanced Organic Chemistry</t>
  </si>
  <si>
    <t>QD251.3 -- .N37 2008eb</t>
  </si>
  <si>
    <t>'1,1,19,152,189,190,191,192,193,194,195,196,197,198,199,200,201,202,203,204,205,206,207,208,209,210,211,212,213,214,215'</t>
  </si>
  <si>
    <t>Organic Chemistry Reactions</t>
  </si>
  <si>
    <t>QD251 .O743 2015</t>
  </si>
  <si>
    <t>'170,171,172,173,174,175,176,177'</t>
  </si>
  <si>
    <t>'1,62,67,59,62'</t>
  </si>
  <si>
    <t>Smart Cities, Smart Future : Showcasing Tomorrow</t>
  </si>
  <si>
    <t>HT153 .B375 2019</t>
  </si>
  <si>
    <t>Mozilla/5.0 (iPad; CPU OS 12_1 like Mac OS X) AppleWebKit/605.1.15 (KHTML, like Gecko) Version/12.0 Mobile/15E148 Safari/604.1</t>
  </si>
  <si>
    <t>'1,2,3,4,5,6,7,8,178,177,180,180,181,182,183,184'</t>
  </si>
  <si>
    <t>'1,2,3,4,5,6,8,12,28,53,54,55,,57'</t>
  </si>
  <si>
    <t>Isotope Geology</t>
  </si>
  <si>
    <t>QE501.4.N9 -- A45 2008eb</t>
  </si>
  <si>
    <t>'532,533,534,234,235,235'</t>
  </si>
  <si>
    <t>'15,16,17,18,19,20,21,22,23,24,25,26,27,28,29,30,31,32,33,34,35,36,37,38,39,40,41,42,,43,44,45,46,47,48,49,50,51,52,53,54,55,56,57,58,59,60,61,62,63,64,65,66,67,68,69,70,71,,72,73,74,75,76,77,78,79,80,81,82,83,84,85,86,87,88,89,90,91,92,93,94,95,96,97,98,99,100,101,102,103,104,105,106,107,108,109,110,111,112,113,114,115,116,117,118,,234,235,236,237,238,239,240,241,242,243,244,245,246,247,248,249,250,251,252,253,254,255,,256,257,258,259,260,261,262,263,264,265,266,267,268,269,,270,271,272,273,274,275,276,277,278,279,280,281,282,283,284,285,286,287,288,289,290,291,292,293,294,295,296,297,298,,72,73,74,75,76,77,78,79,80,81,82,83,84,85,86,87,88,89,90,91,92,93,94,95,96,97,98,99,100,101,102,103,104,105,106,107,108,109,110,111,112,113,114,115,116,117,118,,270,271,272,273,274,275,276,277,278,279,280,281,282,283,284,285,286,287,288,289,290,291,292,293,294,295,296,297,298,,450,451,452,453'</t>
  </si>
  <si>
    <t>Origin of Carbonate Sedimentary Rocks</t>
  </si>
  <si>
    <t>552/.58</t>
  </si>
  <si>
    <t>QE471.15.C3 -- .J37 2016eb</t>
  </si>
  <si>
    <t>Sustainable Agriculture: Technology, Planning and Management : Technology, Planning and Management</t>
  </si>
  <si>
    <t>S494.5.S86 -- S877 2010eb</t>
  </si>
  <si>
    <t>'1,7,8,9,10'</t>
  </si>
  <si>
    <t>The Conversion to Sustainable Agriculture : Principles, Processes, and Practices</t>
  </si>
  <si>
    <t>S494.5.S86C665 2010</t>
  </si>
  <si>
    <t>'1,2,12,13,14,15,16,60,61,62,64'</t>
  </si>
  <si>
    <t>'60'</t>
  </si>
  <si>
    <t>'1,69,238,237,239,66,67,68,69,64,63,62,62,62,1,2,3,4,5,6,7,8,9,10,11,13,12,15,17,18,22,23,25,50,52,54,57,59,60,61,63,65,66,67,,,67,66,65,63,62,61,60,68,69,71,72'</t>
  </si>
  <si>
    <t>'62,63,64,65,,66,67'</t>
  </si>
  <si>
    <t>'819,820,821,822,823,824,825,826,827,828,829,830,831,832,833,834,835,836,837,838,839,,840,841,842,843,844,845,846,847,848,849,850,851,852,853,854,855,856,857,858,859,860,,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68'</t>
  </si>
  <si>
    <t>'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t>
  </si>
  <si>
    <t>'68,69,67,67,67'</t>
  </si>
  <si>
    <t>'1,2,3,4,5,6,7,8,9,10,11,12,13,14,15,16,17,18,19,20,21,22,23,24,25,26,27,28,29,30,31,32,33,34,35,36,37,38,39,40,41,42,43,44,45,46,47,48,49,50,51,52,53,54,55,56,57,58,59,,60,,2,3,4,5,6,7,8,9,10,11,12,13,14,15,16,17,18,19,20,21,22,23,24,25,26,27,28,29,30,31,32,33,34,35,36,37,38,39,40,41,42,43,44,45,46,47,48,49,50,51,52,53,54,55,56,57,58,59,60,61,,62,63,64,65,,,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t>
  </si>
  <si>
    <t>'1,,455,,,,,,,,60,62,64,65,66,67,69,1,3,4,5,7,8,9,10,11'</t>
  </si>
  <si>
    <t>'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585,586,587,588,589,590,591,592,593,594,595,596,597,598,599,600,601,602,603,604,605,606'</t>
  </si>
  <si>
    <t>'1,167,166,578,579,578'</t>
  </si>
  <si>
    <t>'578,579,580,581,582,583,584,585,586,587,588,589,590,591,592,593,594,595,596,597,598,599,600,601,602,603,604,605,606,607,608,609,610,611,612,613,614,615,616'</t>
  </si>
  <si>
    <t>'1,238,436,438,439,440,441,443,444,445,2,3,4'</t>
  </si>
  <si>
    <t>'1,238,,,,,,,,,238,239,,238,239,240,242,243,,585,586,588,590,,69,,,,,,,,,,,,,238,,1,238,239,239,238,103,240,241,242,243,243,394,579,582,632,631,633,634,635,636,637'</t>
  </si>
  <si>
    <t>'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367,368,369,370,371,372,373,374,375,376,377,378,379,380,381,382,383,384,385,386,387,388,389,390,391,392,393,394,,395,396,397,398,399,400,401,402,403,404,405,406,407,408,409,410,411,412,413,414,415,,,243,244,245,246,247,248,249,250,251,252,253,254,255,256,257,258,259,260,261,262,263,264,265,,,,416,417,,418,419,420,,421,,422,423,,424,,424,,424,425,426,,427,428,,429,430,431,432,,433,434,435,,424'</t>
  </si>
  <si>
    <t>'238,238,238'</t>
  </si>
  <si>
    <t>Metal-Organic Framework Nanocomposites : From Design to Application</t>
  </si>
  <si>
    <t>620.1/18</t>
  </si>
  <si>
    <t>TA418.9.N35$b.K436 2021</t>
  </si>
  <si>
    <t>'1,2,3,4,5,6,7,8,9,10,,1'</t>
  </si>
  <si>
    <t>'1,2,66,69,,1'</t>
  </si>
  <si>
    <t>Control in Power Electronics : Selected Problems</t>
  </si>
  <si>
    <t>TK7881.15.C68 2002</t>
  </si>
  <si>
    <t>'1,85,82,,100,104,102,1,101,103,105,2,3'</t>
  </si>
  <si>
    <t>'72,73,74,75,76,77,78,79,80,81,82,83,84,85,86,87,88,89,90,91,92,93,94,95,96,97,98,99,,172,173,174,175,176,177,178,179,180,181,182,183,184,185,186,187,188,189,190,191,192,193,194,195,196,197,198,199,200,201,202,203,204,205,206,207,208,209,210,211,212,213,214,215,216,217,218,219'</t>
  </si>
  <si>
    <t>Mozilla/5.0 (Windows NT 6.1; Win64; x64) AppleWebKit/537.36 (KHTML, like Gecko) Chrome/94.0.4606.71 Safari/537.36 Edg/94.0.992.38</t>
  </si>
  <si>
    <t>'1,469,479,480,481'</t>
  </si>
  <si>
    <t>'480'</t>
  </si>
  <si>
    <t>A New Anthropology of Islam</t>
  </si>
  <si>
    <t>Social Science; Religion</t>
  </si>
  <si>
    <t>BP173.25 .B69 2012</t>
  </si>
  <si>
    <t>Classical Islam : A Sourcebook of Religious Literature</t>
  </si>
  <si>
    <t>BP89 .C56 2013</t>
  </si>
  <si>
    <t>Sharing Sacred Spaces in the Mediterranean : Christians, Muslims, and Jews at Shrines and Sanctuaries</t>
  </si>
  <si>
    <t>201/.5091822</t>
  </si>
  <si>
    <t>BL687.R4671 2012eb</t>
  </si>
  <si>
    <t>'1,2,152,151,153'</t>
  </si>
  <si>
    <t>Isotope Geochemistry</t>
  </si>
  <si>
    <t>QE501.4.N9 -- W55 2015eb</t>
  </si>
  <si>
    <t>Common Ground : Islam, Christianity, and Religious Pluralism</t>
  </si>
  <si>
    <t>Georgetown University Press</t>
  </si>
  <si>
    <t>261.2/7;261.27</t>
  </si>
  <si>
    <t>BP172 -- .H43 2009eb</t>
  </si>
  <si>
    <t>'1,2,3,4,5,6,7,8,9,10,11,12,13,14,15,16,17,18'</t>
  </si>
  <si>
    <t>'607,608,609'</t>
  </si>
  <si>
    <t>The Elements of Geology</t>
  </si>
  <si>
    <t>QE26$b.N678 2020</t>
  </si>
  <si>
    <t>'1,159,161,161,161,,1'</t>
  </si>
  <si>
    <t>'1,122,121,1,123,124,125,126,128,129,127,120,119'</t>
  </si>
  <si>
    <t>'1,2,3,4,5,6,7,8,9,9,13,10,11,12,14,15,16,17,18,19,20,21,22,23,,23,17,24,25,26'</t>
  </si>
  <si>
    <t>'3,4'</t>
  </si>
  <si>
    <t>Mozilla/5.0 (Macintosh; Intel Mac OS X 10_15_7) AppleWebKit/537.36 (KHTML, like Gecko) Chrome/94.0.4606.61 Safari/537.36</t>
  </si>
  <si>
    <t>Tectonics of Sedimentary Basins : Recent Advances</t>
  </si>
  <si>
    <t>QE615 -- .R43 2011eb</t>
  </si>
  <si>
    <t>'649,650,650,202,203,310,581,580'</t>
  </si>
  <si>
    <t>The Encyclopedia of Volcanoes</t>
  </si>
  <si>
    <t>QE522 -- .E539 2015eb</t>
  </si>
  <si>
    <t>'480,481,482,1258,1257,1255,1253,966,288,289,290,292,294,295,296,297'</t>
  </si>
  <si>
    <t>'1082,1083,,1258,,,1258,,966,,966,,,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t>
  </si>
  <si>
    <t>Handbook of Medical Image Processing and Analysis</t>
  </si>
  <si>
    <t>RC78.7.D53H365 2009</t>
  </si>
  <si>
    <t>'26,27,28,29,30,31,32,33,34,35,36,37,38,39,40,41,42,43,44,45,46,47,48,49,50,51,52,53,54,55,56,57,58,59,60,61,62,63,64,65,66,67,68,69,70,71,72,73,74,75,76,77,78,79,80,81,82,83,84,85,86,87,88,89,90,91,92,93,94,95'</t>
  </si>
  <si>
    <t>'1,3,1,3,4,5,6,7,8,10,11,117,116,118,119,120'</t>
  </si>
  <si>
    <t>'1,2,3,4,5,238,239,240,241,242,243,244'</t>
  </si>
  <si>
    <t>'1,167'</t>
  </si>
  <si>
    <t>Avery's Neonatology : Pathophysiology and Management of the Newborn</t>
  </si>
  <si>
    <t>618.92/01</t>
  </si>
  <si>
    <t>RJ254 -- .N46 2005eb</t>
  </si>
  <si>
    <t>'1,104,79,82,222,801,1730,93,94,96,97,97,559,558,560,561,562,563,564,564,566,630,631'</t>
  </si>
  <si>
    <t>'48,49,481,487,486,489,490,491,47,50,52,63,293'</t>
  </si>
  <si>
    <t>Believing in Russia - Religious Policy after Communism</t>
  </si>
  <si>
    <t>323.44/2094709051</t>
  </si>
  <si>
    <t>BL65.S8 F34 2012</t>
  </si>
  <si>
    <t>'1,2,3,5,6,7,8,9,10,11,12,13,14,15,16,17'</t>
  </si>
  <si>
    <t>Doing A Literature Review In Health And Social Care : A Practical Guide</t>
  </si>
  <si>
    <t>McGraw-Hill Education</t>
  </si>
  <si>
    <t>RA440.85 -- .A84 2010eb</t>
  </si>
  <si>
    <t>'1,3,3'</t>
  </si>
  <si>
    <t>Organic Struggle : The Movement for Sustainable Agriculture in the United States</t>
  </si>
  <si>
    <t>631.5/84</t>
  </si>
  <si>
    <t>S605.5 -- .O233 2015eb</t>
  </si>
  <si>
    <t>Sustainable Development and Agriculture in the United States</t>
  </si>
  <si>
    <t>Environmental Law Institute</t>
  </si>
  <si>
    <t>S494.5.S86 -- D38 2002eb</t>
  </si>
  <si>
    <t>Television Culture</t>
  </si>
  <si>
    <t>PN1992.6.F575 2011</t>
  </si>
  <si>
    <t>Mozilla/5.0 (Macintosh; Intel Mac OS X 10.13; rv:92.0) Gecko/20100101 Firefox/92.0</t>
  </si>
  <si>
    <t>'1,98,100,99,101,102,103,104,105,106,107,108,109,110,111,112,113,114,115,116,117,118,119'</t>
  </si>
  <si>
    <t>'1,2,3,4,238,239,240,241,242,243,244,245,246,247,248,249,250'</t>
  </si>
  <si>
    <t>Deep Learning: Algorithms and Applications</t>
  </si>
  <si>
    <t>'1,1,2,7,8,9,10,11,12,13,14,15,16,17,18,203,204,205,206,207,208,209,210,211,212,213,214,215,216,217,218,219,220,221,222'</t>
  </si>
  <si>
    <t>'1,2,74,75,76,77,78,79,80,81,82,83,84,85,86,87,88,89,90,142,143,144,145,146,147,111,112,113,114,115,116,117,118,119,120,121,122,123,122,112,112,113,115,116,117,118,120,121,122,122,114,122,114,114,114,115,116,117,119,120,120,104,120,104,221,142,143,144,145,146,147,111,112,113,114,115,116,118,119,120,121,122,117'</t>
  </si>
  <si>
    <t>Macbeth</t>
  </si>
  <si>
    <t>Ligaran Éditions</t>
  </si>
  <si>
    <t>Literature; Fiction</t>
  </si>
  <si>
    <t>PR2823.A2 .S535 2015</t>
  </si>
  <si>
    <t>'1,1,1,2,3,4,5,8,9'</t>
  </si>
  <si>
    <t>'1,2,3,5,6,7'</t>
  </si>
  <si>
    <t>Mozilla/5.0 (Windows NT 10.0; Win64; x64; rv:92.0) Gecko/20100101 Firefox/92.0</t>
  </si>
  <si>
    <t>Microsoft Office PowerPoint 2014</t>
  </si>
  <si>
    <t>Kalman Filtering : Theory and Practice with MATLAB</t>
  </si>
  <si>
    <t>629.8/312</t>
  </si>
  <si>
    <t>QA402.3 -- .G695 2015eb</t>
  </si>
  <si>
    <t>'1,1,2,3,301,5,302,303,304,305'</t>
  </si>
  <si>
    <t>MATLAB Machine Learning Recipes : A Problem-Solution Approach</t>
  </si>
  <si>
    <t>Apress L. P.</t>
  </si>
  <si>
    <t>QA75.5-76.95</t>
  </si>
  <si>
    <t>'1,1,2,3,4,7,14,23,27,26,90,91,92,93,94,95,97,98,99,100,101,102,103,104,105,106,107,108,109,110,111,112,113,114,115,116,117,119,118,121,123,124,126,127,128,129'</t>
  </si>
  <si>
    <t>'1,114,115,116,117,118,119,120,121,122,123,125,126,127,128,129,130,131,132,133,134'</t>
  </si>
  <si>
    <t>Caffeine and Health Research</t>
  </si>
  <si>
    <t>Science; Science: Biology/Natural History; Health</t>
  </si>
  <si>
    <t>613.8/4</t>
  </si>
  <si>
    <t>QP801.C24 -- C333 2009eb</t>
  </si>
  <si>
    <t>'1,2,,1,3,157,159,9,15'</t>
  </si>
  <si>
    <t>Mozilla/5.0 (Windows NT 10.0; Win64; x64) AppleWebKit/537.36 (KHTML, like Gecko) Chrome/94.0.4606.61 Safari/537.36 Edg/94.0.992.31</t>
  </si>
  <si>
    <t>Camera Image Quality Benchmarking</t>
  </si>
  <si>
    <t>Engineering; Engineering: Civil; Fine Arts</t>
  </si>
  <si>
    <t>TA1637 .P455 2018</t>
  </si>
  <si>
    <t>'1,2,93'</t>
  </si>
  <si>
    <t>'1,1,1,2,3,4,5,6,8,9,12,25,21,18,19,16,20,15,7'</t>
  </si>
  <si>
    <t>'1,1,61,65,33,64,69,68,66'</t>
  </si>
  <si>
    <t>'64,66'</t>
  </si>
  <si>
    <t>Mozilla/5.0 (Macintosh; Intel Mac OS X 10_14_6) AppleWebKit/537.36 (KHTML, like Gecko) Chrome/94.0.4606.61 Safari/537.36</t>
  </si>
  <si>
    <t>'1,1,63,64'</t>
  </si>
  <si>
    <t>'1,93,94,95,96,97,98,99,100,101,102,103,104,105,106,107,108,109,110,111,112,113,114,115,116,117,118,119,120,121,122,123,124,125,126,127,128,129,383,384'</t>
  </si>
  <si>
    <t>'1,93,94'</t>
  </si>
  <si>
    <t>'1,1,63,64,65'</t>
  </si>
  <si>
    <t>The Human Microbiota and Chronic Disease : Dysbiosis As a Cause of Human Pathology</t>
  </si>
  <si>
    <t>Medicine; Science: Biology/Natural History; Science</t>
  </si>
  <si>
    <t>QR46</t>
  </si>
  <si>
    <t>'1,1,2,3,6,5,7,8,9'</t>
  </si>
  <si>
    <t>QH301-705</t>
  </si>
  <si>
    <t>The Indigenous Lens? : Early Photography in the near and Middle East</t>
  </si>
  <si>
    <t>TR113.5 .I535 2018</t>
  </si>
  <si>
    <t>LED Lighting : Technology and Perception</t>
  </si>
  <si>
    <t>Engineering: General; Engineering: Electrical; Engineering</t>
  </si>
  <si>
    <t>TK7871.89.L53 -- L43 2015eb</t>
  </si>
  <si>
    <t>'1,503,504,157'</t>
  </si>
  <si>
    <t>'1,93,94,95,96,97,98,99,100,101,102,103,104'</t>
  </si>
  <si>
    <t>'1,2,,2'</t>
  </si>
  <si>
    <t>Angles and Measurement from Euclid to Kamal Al-Din Al-Farisi : D'Euclide à Kamal al-Din al-Farisi</t>
  </si>
  <si>
    <t>Mathematics; Philosophy</t>
  </si>
  <si>
    <t>180;512.12;513</t>
  </si>
  <si>
    <t>QA141.15</t>
  </si>
  <si>
    <t>'1,2,9,10,31,32,33,34,35,36,37,38,257,258,259,423,361,362,363,364,365'</t>
  </si>
  <si>
    <t>'1,1,63,65,66'</t>
  </si>
  <si>
    <t>'1,1,63,64,65,66'</t>
  </si>
  <si>
    <t>Embodying the Monster : Encounters with the Vulnerable Self</t>
  </si>
  <si>
    <t>Psychology; Social Science</t>
  </si>
  <si>
    <t>BF697.5.B6</t>
  </si>
  <si>
    <t>On Monsters : An Unnatural History of Our Worst Fears</t>
  </si>
  <si>
    <t>GR825 -- .A86 2009eb</t>
  </si>
  <si>
    <t>'1,18,17,200,220,219,221,222,223,224,225,226,227,228,19,20,20'</t>
  </si>
  <si>
    <t>'18,19,20,21,22,23,24,25,26,27,28,29,30,31,32,33'</t>
  </si>
  <si>
    <t>Monsters : Evil Beings, Mythical Beasts, and All Manner of Imaginary Terrors</t>
  </si>
  <si>
    <t>University of Pennsylvania Press</t>
  </si>
  <si>
    <t>Social Science; General Works/Reference</t>
  </si>
  <si>
    <t>GR825 -- .G55 2003eb</t>
  </si>
  <si>
    <t>'1,16,15,16,26,25,27,189,190,191,192,193,194,195,196,196'</t>
  </si>
  <si>
    <t>'16,17,18,19,20,21,22,23,24,25,26,27,28,29,30,31,32,33,34,35,36,37,189,190,191,192,193,194,195,196,197,198,199,200,201,202,203,204,205,206,207,208,209'</t>
  </si>
  <si>
    <t>Circuit Analysis</t>
  </si>
  <si>
    <t>TK7867 -- .C496 2011eb</t>
  </si>
  <si>
    <t>'1,13,14,15,16,17,18,19'</t>
  </si>
  <si>
    <t>Electronics : Basic, Analog, and Digital with PSpice</t>
  </si>
  <si>
    <t>TK7816 .S23 2015</t>
  </si>
  <si>
    <t>'170'</t>
  </si>
  <si>
    <t>The Critical Thinking Toolkit</t>
  </si>
  <si>
    <t>BC177.F674 2017</t>
  </si>
  <si>
    <t>'1,213,214'</t>
  </si>
  <si>
    <t>'1,1,96,91,90,89,88,87,86'</t>
  </si>
  <si>
    <t>'112,113,114,115,116,117,118,119,120,121,122,123,124,125,126,127,128,129,130,131,132,133,134,135,136,137,138,139,,72,73,74,75,76,77,78,79,80,81,82,83,84,85,86,87,88,89,90,91,92,93,94,95,96,97,98,99,100,101,102,103,104,105,106,107,108,109,110,111,,1,,1,,2,3,,2,3,,6,7,8,9,10,11,,112,113,114,115,116,117,118,119,120,121,122,123,124,125,126,127,128,129,130,131,132,133,134,135,136,137,138,139'</t>
  </si>
  <si>
    <t>Membrane Lipidomics for Personalized Health</t>
  </si>
  <si>
    <t>QP752.F35 -- .F477 2015eb</t>
  </si>
  <si>
    <t>Mozilla/5.0 (Windows NT 10.0; Win64; x64) AppleWebKit/537.36 (KHTML, like Gecko) Chrome/93.0.4577.82 Safari/537.36 Edg/93.0.961.52</t>
  </si>
  <si>
    <t>Modelling of Nuclear Reactor Multi-Physics : From Local Balance Equations to Macroscopic Models in Neutronics and Thermal-Hydraulics</t>
  </si>
  <si>
    <t>TK9202 .D463 2020</t>
  </si>
  <si>
    <t>'1,2,16,17,18'</t>
  </si>
  <si>
    <t>Nuclear Power Plant Design and Analysis Codes : Development, Validation, and Application</t>
  </si>
  <si>
    <t>Engineering; Science: Physics; Engineering: General; Science</t>
  </si>
  <si>
    <t>QC783.4 .N835 2020</t>
  </si>
  <si>
    <t>'1,2,3,4,5,6,,1'</t>
  </si>
  <si>
    <t>'16,17,18,19,20,21,22,23,24,25,26,27,28,29,30,31,32,33,34,35,36,37,38,39,40,41,42,43,44,45,46,47,48,49,50,51,52,53,54,55,56,57,58,59,60,61,62,63,64,65,66,67,68,69,70,71,72,73,74,75,76,77,78,79,80,81,82,83,84,85,86,87,88,89,90,91,92,93,94,95,96,97,98,99,100,101,102,103,104,105,106,107,108,109,110,111'</t>
  </si>
  <si>
    <t>'1,16,17,434,433,400,6,7,8,9,333,334,335,336,337'</t>
  </si>
  <si>
    <t>Mozilla/5.0 (Windows NT 6.1; Win64; x64) AppleWebKit/537.36 (KHTML, like Gecko) Chrome/94.0.4606.61 Safari/537.36</t>
  </si>
  <si>
    <t>Greek Religion : Archaic and Classical</t>
  </si>
  <si>
    <t>BL782 -- .B87 1985eb</t>
  </si>
  <si>
    <t>'131,132,133,134,135,136,137,138,139,140,141,142,143,144,145,146,147,148,149,150,151,152,153,154,155,156,157,158,159,160,161,162,163,164,165,166,167,168,169,170,171,172,173,174,175,176,177,178,179,180,181,182,183,184,185,186,187,188,189,190,191,192,193,194,195,196,197,198,199,200,201,,5,6,,202,203,204,205,206,207,208,209,210,211,212,213,214,215,216,217,218,219,220,221,222,223,224,225,226,227,,202,203,204,205,206,207,208,209,210,211,212,213,214,215,216,217,218,219,220,221,222,223,224,225,226,227,,13'</t>
  </si>
  <si>
    <t>Principles of Medical Professionalism</t>
  </si>
  <si>
    <t>R690 .M475 2021</t>
  </si>
  <si>
    <t>'44,45,46,47,48,49,50,51,52,53,54,55,56,57,58,59,60,61,,14,15,16,17,18,19,20,21,22,23,24,25,26,27,28,29,,30,31,32,33,34,35,36,37,38,39,40,41,42,43,,192,193,194,195,196,197,198,199,200,201,202,203,204,205,206,207,208,209,,288,289,290,291,292,293,294,295'</t>
  </si>
  <si>
    <t>Law and the Islamization of Morocco under the Almoravids : The Fatwās of Ibn Rushd Al-Jadd to the Far Maghrib</t>
  </si>
  <si>
    <t>KSW130 .G66 2014</t>
  </si>
  <si>
    <t>'1,1,2,3,5,6,7,8,9,10,11,12,13,14,16,17,18,19,21,22,23'</t>
  </si>
  <si>
    <t>Body of Text : The Emergence of the Sunni Law of Ritual Purity</t>
  </si>
  <si>
    <t>297.3/8</t>
  </si>
  <si>
    <t>BP184.4 -- .K37 2002eb</t>
  </si>
  <si>
    <t>'1,1,2,3,4,5,6,7,8,9,10,11,12,13,14,15,16,17'</t>
  </si>
  <si>
    <t>'96,97,97,98'</t>
  </si>
  <si>
    <t>'1,2,4,5,6,8,7,9,10,65,64,63,62,61,60,66,67,68,69,70,71,72,73,74,75,76,77,79,80,81,82,83,84,85,86,16,15,14,13,11'</t>
  </si>
  <si>
    <t>'14,14,15,16,17,18,19,20,21,22,24,25,27,28,29,30,31'</t>
  </si>
  <si>
    <t>'1,,1,2,3,4,5,7,8,9,10,11,12,13,14,,14'</t>
  </si>
  <si>
    <t>Distillation : Fundamentals and Principles</t>
  </si>
  <si>
    <t>TP156.D5 -- .D57 2014eb</t>
  </si>
  <si>
    <t>'1,2,212,213,145,212,213,214,214,210'</t>
  </si>
  <si>
    <t>'213,214'</t>
  </si>
  <si>
    <t>Distillation : The Theory</t>
  </si>
  <si>
    <t>TP156.D5 -- V64 2015eb</t>
  </si>
  <si>
    <t>'1,4,12,14,15,15,22,16,18,19,20,17,25'</t>
  </si>
  <si>
    <t>'15'</t>
  </si>
  <si>
    <t>'861,862,863,864,865,866,867,868,869,579,780,781,782,783,784,215,785,786,980,786,980,69,74,75,76,77,78,79,80,81,82,83,84,85,86,87,88,89,90,91,92'</t>
  </si>
  <si>
    <t>Knowledge Triumphant : The Concept of Knowledge in Medieval Islam</t>
  </si>
  <si>
    <t>Philosophy; General Works/Reference</t>
  </si>
  <si>
    <t>001.0917/67</t>
  </si>
  <si>
    <t>B745.K53R67 2007</t>
  </si>
  <si>
    <t>'88,89,81,2,3,4,5,6,7,8,9'</t>
  </si>
  <si>
    <t>'84,85,86,87,88,89,90,91,92,93,94,95,96,97,98,99,100,101,102,103,104,105,106,107,108,109,110,111,112,113,114,115,116,117,118,119,120,121,122,123,124,125,126,127,128,129,130,131,132,133,134,135,136,137,138,139,140,141,142,143,144,145,146,147,148,149,150,151,152,153,154,155,156,157,158,159,160,161,162,163,164,165,166,167,168'</t>
  </si>
  <si>
    <t>Schools and Special Needs : Issues of Innovation and Inclusion</t>
  </si>
  <si>
    <t>LC3965$b.D92 2000</t>
  </si>
  <si>
    <t>'14,27'</t>
  </si>
  <si>
    <t>'1,2,3,4,5,6,7,8,84,85,86,87,88,,88'</t>
  </si>
  <si>
    <t>'1,2,3,4,5,6,217,218'</t>
  </si>
  <si>
    <t>Physics for Radiation Protection</t>
  </si>
  <si>
    <t>616.9/89705</t>
  </si>
  <si>
    <t>R895.M27 2013</t>
  </si>
  <si>
    <t>'30,30'</t>
  </si>
  <si>
    <t>'1,2,21,29,30,28,30'</t>
  </si>
  <si>
    <t>'28'</t>
  </si>
  <si>
    <t>'1,9,9,9,9,29,1,3,8,21,29,29'</t>
  </si>
  <si>
    <t>Mozilla/5.0 (iPhone; CPU iPhone OS 15_0 like Mac OS X) AppleWebKit/605.1.15 (KHTML, like Gecko) Version/15.0 Mobile/15E148 Safari/604.1</t>
  </si>
  <si>
    <t>Polymer Engineering</t>
  </si>
  <si>
    <t>TP1087 .P659 2017</t>
  </si>
  <si>
    <t>'1,3,4,5,6,7,8,10,19,69,15,18'</t>
  </si>
  <si>
    <t>Mozilla/5.0 (Macintosh; Intel Mac OS X 10_15_4) AppleWebKit/605.1.15 (KHTML, like Gecko) Version/13.1 Safari/605.1.15</t>
  </si>
  <si>
    <t>'1,2,3,69,70,71,72,73,74,76,77,78,79,80,81,82,83,85,86,87,88,89,90,91,39,95,,69,70,,579,580,581,582,584,585'</t>
  </si>
  <si>
    <t>Analytical Techniques in Forensic Science</t>
  </si>
  <si>
    <t>Medicine; Health; Social Science</t>
  </si>
  <si>
    <t>HV8073 .A535 2021</t>
  </si>
  <si>
    <t>'1,2,3,4,4,5,6,7,25,26,27,28,29,30,31,32,33,193,297,299,300,301,302,303,304,305,306,307,308'</t>
  </si>
  <si>
    <t>'293'</t>
  </si>
  <si>
    <t>'262,263,264,265,266,267,268,269,270,271,272,273,274,275,276,277,278,279,280,281,282,283,284,285,286,287,288,289,290,291,292,,293,294,295,296,297,298,299,300,301,302,303,304,305,306,307,308,309,310,311,312,313,314,315,316,317,318,319,320,321,322,323,324,325,326,327,328,329,330,331'</t>
  </si>
  <si>
    <t>'1,7,9,10'</t>
  </si>
  <si>
    <t>'1,2,14'</t>
  </si>
  <si>
    <t>'1,112'</t>
  </si>
  <si>
    <t>'1,2,4,6,7,9,10,11,14'</t>
  </si>
  <si>
    <t>A Treasury of Hadith : A Commentary on Nawawis Selection of Prophetic Traditions</t>
  </si>
  <si>
    <t>Kube Publishing Ltd</t>
  </si>
  <si>
    <t>BP136.4 -- .I26 2014eb</t>
  </si>
  <si>
    <t>'1,26,25,27,28,29,30,31,2,3,4,5,6,7,8,40,39,41,42,43,43,43,44,42,41,40,,40'</t>
  </si>
  <si>
    <t>'1,100,99,98,101,98,99,100,101,103,104,105,106,107,108,160,159,158,161,157,,,157,158,156,155,154,153,152,151,150,149,148,147,146,145,144,143,142,141,140,139,138,137,135,136,134,133,132,131,130,129,128,127,126,125,124,123,122,121,120,119,118,117,116,115,114,113,112,111,110,109,108,107,64,93,83,91,89,90,166,161,162,163,162,162,162,162'</t>
  </si>
  <si>
    <t>'158,159,160,161,162,90,91,92,93,94,95,96,97,98,99,100,101,102,103,104,105,106,107,108,109,110,111,112,113,114,115,116,117,118,119,120,121,122,123,124,125,126,127,128,129,130,131,132,133,134,135,136,137,138,139,140,141,142,143,144,145,146,147,148,149,150,151,152,153,154,155,156,157'</t>
  </si>
  <si>
    <t>Ulum al Qur'an : An Introduction to the Sciences of the Qur'an (Koran)</t>
  </si>
  <si>
    <t>BP130.2 .D46 2015</t>
  </si>
  <si>
    <t>'1,,1,2,4,5,7,8,9,90,90,90,90,91,89,92,159,158,160,161,93,94,95,96'</t>
  </si>
  <si>
    <t>'1,237,112'</t>
  </si>
  <si>
    <t>The Qur'an : An Introduction</t>
  </si>
  <si>
    <t>BP132 -- .A22 2000eb</t>
  </si>
  <si>
    <t>'1,2,3,4,5,6,7,8,9,10,11,12,13,14,32,93,94,95,96,128,129,130'</t>
  </si>
  <si>
    <t>'1,2,3,4,5,6,7,8,9,9,140,139,141,142,143,26,25,27,37,39,40,41,42,43,44,45,47,48,50,51,52,54,55,56,57,58,59,60,1,2,3'</t>
  </si>
  <si>
    <t>Hadith : Origins and Developments</t>
  </si>
  <si>
    <t>BP135.66.H335 2016</t>
  </si>
  <si>
    <t>'1,2,66,6,5,7,8'</t>
  </si>
  <si>
    <t>Game Theory : Anticipating Reactions for Winning Actions</t>
  </si>
  <si>
    <t>HD30.28</t>
  </si>
  <si>
    <t>'1,32,31,8,7,68,69,70,71,34,44,56,55,57,58,59,60,61,62,63,64,65,66,67,2,3'</t>
  </si>
  <si>
    <t>Game Theory : Strategies, Equilibra and Theorems</t>
  </si>
  <si>
    <t>QA269 -- .G34 2009eb</t>
  </si>
  <si>
    <t>'15,16,17'</t>
  </si>
  <si>
    <t>Game Theory Through Examples</t>
  </si>
  <si>
    <t>American Mathematical Society</t>
  </si>
  <si>
    <t>QA269 -- .P757 2014eb</t>
  </si>
  <si>
    <t>'1,2,115,114,113,114'</t>
  </si>
  <si>
    <t>'1,1,1,1,1'</t>
  </si>
  <si>
    <t>Signal and Information Processing, Networking and Computers : Proceedings of the 6th International Conference on Signal and Information Processing, Networking and Computers (ICSINC)</t>
  </si>
  <si>
    <t>Computer Science/IT; Engineering: Civil; Engineering</t>
  </si>
  <si>
    <t>'1,2,3,4,6,19'</t>
  </si>
  <si>
    <t>'1,2,4,5,6,38,39,40,41,42'</t>
  </si>
  <si>
    <t>Neural Networks and Psychopathology : Connectionist Models in Practice and Research</t>
  </si>
  <si>
    <t>RC455.2.D38 N48 1998</t>
  </si>
  <si>
    <t>'17,27,50,54,47,51,58,59,60,63'</t>
  </si>
  <si>
    <t>Defining Excellence in Simulation Programs</t>
  </si>
  <si>
    <t>Wolters Kluwer</t>
  </si>
  <si>
    <t>Nursing</t>
  </si>
  <si>
    <t>RT51.D34 2015</t>
  </si>
  <si>
    <t>Neural Surface Antigens : From Basic Biology Towards Biomedical Applications</t>
  </si>
  <si>
    <t>QR186.5 -- .P78 2015eb</t>
  </si>
  <si>
    <t>Social and Gender Inequality in Oman : The Power of Religious and Political Tradition</t>
  </si>
  <si>
    <t>HQ1731 .A64 2012</t>
  </si>
  <si>
    <t>'1,3,6,17,34,41,117,332,448,583,584,525,585,708,707,706,705,704,689,687,678,679,677,675,628,600,578,560,554,641,642,643,645,644,471,473,445,103,92,209,219,207,204,210,211,,103'</t>
  </si>
  <si>
    <t>'583,584,585,586,587,588,589,590,591,592,593,594,595,596,597,598,599,600,601,602,603,604,605,606,607,608,609,610,611,612,613,614,615,616,617,618,619,620,621,622,623,624,625,626,627,628,629,630,631,632,633,634,635,636,637,638,639,640,645,646,647,648,649,650,651,652,642,643,644,645,646,647,648,649,650,651,65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t>
  </si>
  <si>
    <t>Desalination : Water from Water</t>
  </si>
  <si>
    <t>TD479 -- .D47 2014eb</t>
  </si>
  <si>
    <t>'1,2,4,5,6'</t>
  </si>
  <si>
    <t>Mozilla/5.0 (Macintosh; Intel Mac OS X 10_15_7) AppleWebKit/537.36 (KHTML, like Gecko) Chrome/91.0.4472.114 Safari/537.36</t>
  </si>
  <si>
    <t>Principles and Applications of Lithium Secondary Batteries</t>
  </si>
  <si>
    <t>TK2945.L58 -- P756 2012eb</t>
  </si>
  <si>
    <t>'343,342,341,340,344,345'</t>
  </si>
  <si>
    <t>'344'</t>
  </si>
  <si>
    <t>Phylum Bryozoa</t>
  </si>
  <si>
    <t>Science; Library Science; Science: Zoology</t>
  </si>
  <si>
    <t>QL47 .S393 2021</t>
  </si>
  <si>
    <t>'1,112,113,112,112'</t>
  </si>
  <si>
    <t>'112,113,114,115,116,117,118,119,120,121,122,123,124,125,126,127,128,129,130,131,132,133,134,135,136,137,138,139,140,141,142,143,144,145,146,147,148,149,150,151,152,153,154,155,156,157,158,159,160,161,162,163,164,165,166'</t>
  </si>
  <si>
    <t>Seeing the Light : Exploring Ethics Through Movies</t>
  </si>
  <si>
    <t>Philosophy; Fine Arts</t>
  </si>
  <si>
    <t>PN1995.5 -- .T395 2012eb</t>
  </si>
  <si>
    <t>'1,1,5,225,226,227,228,229,230,231'</t>
  </si>
  <si>
    <t>'1,88,89,90,91,92,93'</t>
  </si>
  <si>
    <t>Digital Signal Processing : Fundamentals and Applications</t>
  </si>
  <si>
    <t>TK5102.9.T36 2008</t>
  </si>
  <si>
    <t>Learning Approaches in Signal Processing</t>
  </si>
  <si>
    <t>Jenny Stanford Publishing</t>
  </si>
  <si>
    <t>Computer Science/IT; Engineering; Engineering: Electrical</t>
  </si>
  <si>
    <t>TK5102.5 .L437 2018</t>
  </si>
  <si>
    <t>'1,1,1,30,29,170,226'</t>
  </si>
  <si>
    <t>Multi-carrier Techniques For Broadband Wireless Communications: A Signal Processing Perspective</t>
  </si>
  <si>
    <t>TK5103.484.P86 2007</t>
  </si>
  <si>
    <t>'1,1,1,55,100,130,129,128,152'</t>
  </si>
  <si>
    <t>Signal Processing in Digital Communications</t>
  </si>
  <si>
    <t>TK5102.9 -- .M522 2007eb</t>
  </si>
  <si>
    <t>'1,1,1,51,104,134,150,149,153,154,473'</t>
  </si>
  <si>
    <t>Probability and Statistics for Engineers and Scientists, EBook, Global Edition</t>
  </si>
  <si>
    <t>Pearson Education Limited</t>
  </si>
  <si>
    <t>QA273.2 .P763 2016</t>
  </si>
  <si>
    <t>'1,1,1,1,140,145,144,163'</t>
  </si>
  <si>
    <t>Probability, Random Processes, and Statistical Analysis : Applications to Communications, Signal Processing, Queueing Theory and Mathematical Finance</t>
  </si>
  <si>
    <t>QA274.2 .K63 2012</t>
  </si>
  <si>
    <t>'1,1,1,47,46,46,10,47,85,84,85,42,128,127,129,357,360,359,361'</t>
  </si>
  <si>
    <t>Petrology of Sedimentary Rocks</t>
  </si>
  <si>
    <t>QE471 -- .B6818 2009eb</t>
  </si>
  <si>
    <t>Mozilla/5.0 (Windows NT 6.3; Win64; x64) AppleWebKit/537.36 (KHTML, like Gecko) Chrome/93.0.4577.82 Safari/537.36 OPR/79.0.4143.50</t>
  </si>
  <si>
    <t>Introduction to Direction-of-Arrival Estimation</t>
  </si>
  <si>
    <t>Engineering; Mathematics; Engineering: Electrical</t>
  </si>
  <si>
    <t>QA276.8 -- .C44 2010eb</t>
  </si>
  <si>
    <t>'1,1,6,8,16,17,18,19,21,22,37,45,44,46,50,56,57,58,59,63,65,66,,1'</t>
  </si>
  <si>
    <t>'1,98,17'</t>
  </si>
  <si>
    <t>'1,1,104,105,105,103,104'</t>
  </si>
  <si>
    <t>'1,35,35,35,36,37,37,38,38,37,39,40,41,42,43,44,45,46,47,48,49,50,51,52,53,54,55,54,54,55,53,52,56,57,58,59,60,61,62,63,64,65,66,67,68,69,70,71,72,72,69,70,71,74,75,1,2,3,4,5,6,7,8,9,10,11,12,13,14,15,16,17,18,19,20'</t>
  </si>
  <si>
    <t>'1,115,114,113'</t>
  </si>
  <si>
    <t>Linux Command Line and Shell Scripting Bible</t>
  </si>
  <si>
    <t>QA76.76.O63 .B384 2014</t>
  </si>
  <si>
    <t>'1,1,,1'</t>
  </si>
  <si>
    <t>'1,10,,1,115,117,119'</t>
  </si>
  <si>
    <t>'1,1,61,59'</t>
  </si>
  <si>
    <t>'343,344,344,346,347,348,349,350,351'</t>
  </si>
  <si>
    <t>Cost Analysis Of Electronic Systems</t>
  </si>
  <si>
    <t>TK7870 -- .S26 2013eb</t>
  </si>
  <si>
    <t>'1,469,470,506,507,510,511,513,514,515,516'</t>
  </si>
  <si>
    <t>Linux Bible</t>
  </si>
  <si>
    <t>QA76.76.O63</t>
  </si>
  <si>
    <t>'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t>
  </si>
  <si>
    <t>'1,3,2,4,5,6,7'</t>
  </si>
  <si>
    <t>Oil and the Political Economy in the Middle East : Post-2014 Adjustment Policies of the Arab Gulf and Beyond</t>
  </si>
  <si>
    <t>Manchester University Press</t>
  </si>
  <si>
    <t>Economics</t>
  </si>
  <si>
    <t>'167,168,169,170,171,172,173,174,175,176,177,178,179,180,181,182,183,184,185,,186,187,188,189,190,191,192,193,194,195,196,197,198,199,200,201,202,203,204,205,206,207,208,209,210,211,212,213,,259,260,261,262,263,264,265,266,267,268,269,270,271,272,273,274,275,276,277,278,279,280,281,282,283,284,285,286,287,288,289,290,,80,81,82,83,84,85,86,87,88,89,90,91,92,93,94,95,96,97,98,99,100,,214,215,216,217,218,219,220,221,222,223,224,225,226,227,228,229,230,231,232,233,234,,146,147,148,149,150,151,152,153,154,155,156,157,158,159,160,161,162,163,164,165,166,,124,125,126,127,128,129,130,131,132,133,134,135,136,137,138,139,140,141,142,143,144,145'</t>
  </si>
  <si>
    <t>'1,1,1,1'</t>
  </si>
  <si>
    <t>'1,1,3,,1,3,4,5,6,7,8,9,10,11,113'</t>
  </si>
  <si>
    <t>Mozilla/5.0 (Windows NT 10.0; Win64; x64) AppleWebKit/537.36 (KHTML, like Gecko) Chrome/93.0.4577.63 Safari/537.36</t>
  </si>
  <si>
    <t>'343,344,345,346,345,345,345,346,347,348,349,350,351,352,350,351,349'</t>
  </si>
  <si>
    <t>'343,344'</t>
  </si>
  <si>
    <t>'343,341,342,344,345,346,347,348,349,350,350,350'</t>
  </si>
  <si>
    <t>'343,343,343,343,342'</t>
  </si>
  <si>
    <t>'343,343,344,345,346,347,348,349,350,351'</t>
  </si>
  <si>
    <t>'343,342'</t>
  </si>
  <si>
    <t>'343,342,341'</t>
  </si>
  <si>
    <t>'330,331,332,333,334,335,336,337,338,339,340,341,342,343,344,345,346,347,348,349,350,351,352,353,354,355,356,357,358,359,360,361,362,363,364,365,366,367,368,369,370,371,372,373,374,375,376,377,378,379,380,381'</t>
  </si>
  <si>
    <t>'342'</t>
  </si>
  <si>
    <t>'1,2,3,4,165,8,9,10,11,335,336,337,338,339,340,341,342,343,344,345,346,347,348,349,350,351,352,353,,343'</t>
  </si>
  <si>
    <t>Lean Six Sigma - Quick Study</t>
  </si>
  <si>
    <t>TS156.17.S59 .L436 2016</t>
  </si>
  <si>
    <t>Lean Culture in Higher Education : Towards Continuous Improvement</t>
  </si>
  <si>
    <t>Business/Management; Education</t>
  </si>
  <si>
    <t>HF4999.2-6182</t>
  </si>
  <si>
    <t>'1,1,17,19,16,14,130,135,134,134,134,134,135,136,137,138,139,140'</t>
  </si>
  <si>
    <t>'21'</t>
  </si>
  <si>
    <t>'1,1,262,263,264,265,266,267,268,269,270,271,272,273,274,275'</t>
  </si>
  <si>
    <t>Visual Ethics</t>
  </si>
  <si>
    <t>Philosophy; Business/Management</t>
  </si>
  <si>
    <t>HF5387-5387.5</t>
  </si>
  <si>
    <t>'1,1,16,17'</t>
  </si>
  <si>
    <t>'1,1,225,226,227,228'</t>
  </si>
  <si>
    <t>'210,210,210,210,214,213,212,211,211,211,206,207,208,209,210'</t>
  </si>
  <si>
    <t>'210,211,212,213'</t>
  </si>
  <si>
    <t>Mozilla/5.0 (Windows NT 10.0; Win64; x64) AppleWebKit/537.36 (KHTML, like Gecko) Chrome/94.0.4606.54 Safari/537.36</t>
  </si>
  <si>
    <t>'21,24,22,23,25,26,27,28,29,30,31,32,33,34,35,36,37,38,39,40,41,42,43,44,45,46,47,48,49,50,51,52,53,55,56,57,58,59,60,61,62,63,64,65,66,67,68,69,70,71,72,73,74,75,76,77,78,79,80,81,82,83,84,85,86,87,88,89,90,91,92,93,94,95,96,97,98,99,100,101,102,103,104,172,173,175,176,179,180,181,184,185,187,188,189,190,191,192,193,194,195,196,197,198,199,200,201,202,203,204,205,206,207,208,209,210,,210'</t>
  </si>
  <si>
    <t>PVC Pipe : Design and Installation (M22)</t>
  </si>
  <si>
    <t>American Water Works Association</t>
  </si>
  <si>
    <t>628.1 s;628.1/5</t>
  </si>
  <si>
    <t>TD491 -- .A49 no. M23 2002eb</t>
  </si>
  <si>
    <t>'1,16,17,18,19,20,21,22,23,28,24,11'</t>
  </si>
  <si>
    <t>Acoustic and Auditory Phonetics</t>
  </si>
  <si>
    <t>P221.5.J64 2012</t>
  </si>
  <si>
    <t>Aspects of the Theory of Syntax</t>
  </si>
  <si>
    <t>P291.C4 2015eb</t>
  </si>
  <si>
    <t>'1,1,26,27,8,3,2,34,28'</t>
  </si>
  <si>
    <t>'1,2,24,53,54,55,56,57,58,59,60,61,62,63,64,65'</t>
  </si>
  <si>
    <t>Hybrid Dynamical Systems : Modeling, Stability, and Robustness</t>
  </si>
  <si>
    <t>Computer Science/IT; Engineering: Mechanical; Engineering</t>
  </si>
  <si>
    <t>TJ213 -- .G64 2012eb</t>
  </si>
  <si>
    <t>'1,2,3,4,5,6,7,8,9,10,11,12,13,14,15,16,35,36,37,38,39,40,41,42,43,44,45,46,47,48,49,50,51,52,53,54,55,56'</t>
  </si>
  <si>
    <t>Social Media : Pedagogy and Practice</t>
  </si>
  <si>
    <t>HM742 -- .S635 2014eb</t>
  </si>
  <si>
    <t>'1,1,61,63,64,65,66'</t>
  </si>
  <si>
    <t>'1,1,61,63,62,64,65,66'</t>
  </si>
  <si>
    <t>Mozilla/5.0 (Macintosh; Intel Mac OS X 10_14_6) AppleWebKit/537.36 (KHTML, like Gecko) Chrome/93.0.4577.82 Safari/537.36</t>
  </si>
  <si>
    <t>'1,1,63,62,64,65,66'</t>
  </si>
  <si>
    <t>'63,63,63,63,63,63,63,63,63,63,64,65,66,69,68,61'</t>
  </si>
  <si>
    <t>'9,8,7,11,12,14'</t>
  </si>
  <si>
    <t>'1,1,2,9,61,63,64,65,66,66,66,66,66,66'</t>
  </si>
  <si>
    <t>'61,62,63,65,64,66,67'</t>
  </si>
  <si>
    <t>'63,64,65,66,67'</t>
  </si>
  <si>
    <t>'1,1,61,62,63,64,65,66,64,63,65,66,67'</t>
  </si>
  <si>
    <t>'63,64,65,66'</t>
  </si>
  <si>
    <t>Mozilla/5.0 (Macintosh; Intel Mac OS X 10_14_0) AppleWebKit/537.36 (KHTML, like Gecko) Chrome/93.0.4577.82 Safari/537.36</t>
  </si>
  <si>
    <t>'1,2,5,11,99,98,97'</t>
  </si>
  <si>
    <t>Critical Thinking : An Appeal to Reason</t>
  </si>
  <si>
    <t>BC177 -- .T536 2011eb</t>
  </si>
  <si>
    <t>'1,3,6,10,245,244,243,242,241,240,239,238,237'</t>
  </si>
  <si>
    <t>'1,15,112,112'</t>
  </si>
  <si>
    <t>'63,62,64,66,66'</t>
  </si>
  <si>
    <t>'1,1,2,61,63,64,62,65,65,65,64,65,65,65,65,65,65'</t>
  </si>
  <si>
    <t>'1,61,63,62,64,59,59,63,64,64,64,63,65,66'</t>
  </si>
  <si>
    <t>'1,2,3,4,5,6,7,10,14,15,16,17,18,19,20,21,22,23,24,25,26,27,28,29,30,31,32,33,34,35,36,37,38,39,110,111,112,113,114,115,116,117,118,119,120,121,122,123,124,125,126,127,128,129,130,131,132,133,134,135,136,137,138,139,140,141,142,143,144,145,146,147,148,149,150,151,152,,1,528,529,530,531,532,533,534,535,536,537,538,539,540,,539,539,540,541,542,543,544,545,546'</t>
  </si>
  <si>
    <t>Artificial Hearts : The Allure and Ambivalence of a Controversial Medical Technology</t>
  </si>
  <si>
    <t>617.4/120592</t>
  </si>
  <si>
    <t>RD598 .M354 2018</t>
  </si>
  <si>
    <t>'1,3,3,44'</t>
  </si>
  <si>
    <t>'1,1,1,,1,1,1,2,3,4,5,6,7,8,61,63,64,65,66'</t>
  </si>
  <si>
    <t>'170,171,172,173,174,175,176,177,178,179,180,181,182,183,184,185,186,188,189,190,191,192,193,194,195,196,197,198,199,200,201,202,203,204,205,207,208,209,210,211'</t>
  </si>
  <si>
    <t>'170,171,172,173,174,175,176,177,,170,171'</t>
  </si>
  <si>
    <t>'1,1,61,62,33,34,35,62,62,62,62,63,64,65,66'</t>
  </si>
  <si>
    <t>'1,1,61,62,63,64,65,66,66'</t>
  </si>
  <si>
    <t>Sustainability Assessment of Renewables-Based Products : Methods and Case Studies</t>
  </si>
  <si>
    <t>Economics; Business/Management; Engineering: Mechanical; Engineering</t>
  </si>
  <si>
    <t>338.9/27</t>
  </si>
  <si>
    <t>TJ808.R47 2016</t>
  </si>
  <si>
    <t>'1,1,16,351,352,353,354,352,352,353,354,355,356,351,351,351'</t>
  </si>
  <si>
    <t>'352,353,354,355,356,351,352,353,354,355,356,357,358,359,360,361,362'</t>
  </si>
  <si>
    <t>'63,64,65'</t>
  </si>
  <si>
    <t>'1,1,3,9,10,11,12,11,11,61,63,65,66,64'</t>
  </si>
  <si>
    <t>Oliver Twist</t>
  </si>
  <si>
    <t>PR3459.F3$bD535 2015</t>
  </si>
  <si>
    <t>'1,3,4,5,8'</t>
  </si>
  <si>
    <t>'1,1,64,63,61,65,66'</t>
  </si>
  <si>
    <t>'1,1,61,63,64,65,66,67'</t>
  </si>
  <si>
    <t>Introduction to Logistics Systems Management</t>
  </si>
  <si>
    <t>TS161 -- .G47 2013eb</t>
  </si>
  <si>
    <t>Mozilla/5.0 (Windows NT 6.1; Win64; x64) AppleWebKit/537.36 (KHTML, like Gecko) Chrome/93.0.4577.82 Safari/537.36</t>
  </si>
  <si>
    <t>The Role of the Electronic Resources Librarian</t>
  </si>
  <si>
    <t>Library Science</t>
  </si>
  <si>
    <t>ZA4080 .S733 2020</t>
  </si>
  <si>
    <t>'2,132,133,134,135'</t>
  </si>
  <si>
    <t>'1,1,61,63,64'</t>
  </si>
  <si>
    <t>Nanotechnology : The Whole Story</t>
  </si>
  <si>
    <t>Engineering: General; Engineering</t>
  </si>
  <si>
    <t>T174.7 -- .R64 2013eb</t>
  </si>
  <si>
    <t>'1,1,3,47,,47,47,38,33,27,6,7,8,9,2,28,26,20,19,21,22,23,24,25,29,31,32,34,35,36,37,39,40,41,42,43,44,45,46,48,49,50,51,52,53,54,55,56,57,58,59,60,61,62,63,66'</t>
  </si>
  <si>
    <t>'1,1,61,63,64,65'</t>
  </si>
  <si>
    <t>Helicopter Flight Dynamics : The Theory and Application of Flying Qualities and Simulation Modelling</t>
  </si>
  <si>
    <t>TL716.P23 2007</t>
  </si>
  <si>
    <t>'1,2,3,5,6,8,9,11,13,14,17,19,21,23,28,24,25,26,30,32,33,34,36,37,38,39,41,42'</t>
  </si>
  <si>
    <t>Mozilla/5.0 (Linux; Android 10; SAMSUNG SM-N960F) AppleWebKit/537.36 (KHTML, like Gecko) SamsungBrowser/15.0 Chrome/90.0.4430.210 Mobile Safari/537.36</t>
  </si>
  <si>
    <t>The Rock Physics Handbook : Tools for Seismic Analysis of Porous Media</t>
  </si>
  <si>
    <t>QE431.6.P5 -- M38 2009eb</t>
  </si>
  <si>
    <t>The Middle East in International Relations : Power, Politics and Ideology</t>
  </si>
  <si>
    <t>History; Political Science</t>
  </si>
  <si>
    <t>DS63.18 .H347 2005</t>
  </si>
  <si>
    <t>'1,2,,15,16,17,18,19,20,21,22,23,24,25,26,27,28,29,30,31,32,,33,34,35,36,37,38,39,40,41,42,43,44,45,46,47,48,49,50,51,52,53,54,55,56,57,58,59,60,61,62,63,64,65,66,67,68,69,70,71,72,73,74,75,76,77,78,79,80,81,82,83,84,85,86,,,315,316,317,318,319,320,321,322,323,324,325,326,327,328,329,330,331,332,333,334,335,336,337,338'</t>
  </si>
  <si>
    <t>The Modern Middle East, Third Edition : A Political History since the First World War</t>
  </si>
  <si>
    <t>DS62.8.K366 2013eb</t>
  </si>
  <si>
    <t>'1,1,3,2,4,4,,1,1,61,63,64'</t>
  </si>
  <si>
    <t>'1,1,1,61,62,63,64'</t>
  </si>
  <si>
    <t>'1,2,4,11,96,15,16,17,18,19,20,21,23,13,14'</t>
  </si>
  <si>
    <t>'1,1,61,63,64,65,66,67,68,69,70,71,72,73,74,64'</t>
  </si>
  <si>
    <t>'1,1,40,39,37'</t>
  </si>
  <si>
    <t>'1,1,61,63,65,66'</t>
  </si>
  <si>
    <t>'66'</t>
  </si>
  <si>
    <t>'1,1,9,61,64,65,63,62,66'</t>
  </si>
  <si>
    <t>'63,63'</t>
  </si>
  <si>
    <t>Mozilla/5.0 (Macintosh; Intel Mac OS X 10_15_6) AppleWebKit/537.36 (KHTML, like Gecko) Chrome/92.0.4515.131 Safari/537.36</t>
  </si>
  <si>
    <t>Mozilla/5.0 (Macintosh; Intel Mac OS X 10_14_6) AppleWebKit/537.36 (KHTML, like Gecko) Chrome/93.0.4577.63 Safari/537.36</t>
  </si>
  <si>
    <t>'63,64,65,66,66'</t>
  </si>
  <si>
    <t>'63,61,62,64,65,65,107,66,67,68,63,62,64'</t>
  </si>
  <si>
    <t>Climate Change, Second Edition : What It Means for Us, Our Children, and Our Grandchildren</t>
  </si>
  <si>
    <t>Science: Biology/Natural History; Science; Science: Physics</t>
  </si>
  <si>
    <t>QC903.C56354 2014eb</t>
  </si>
  <si>
    <t>'63,64,64,65,65,66'</t>
  </si>
  <si>
    <t>'1,1,2,61,63,62,66,65,64'</t>
  </si>
  <si>
    <t>'1,71,68,69,66,65,64,62,61'</t>
  </si>
  <si>
    <t>'1,1,63,62,64,65,66,61'</t>
  </si>
  <si>
    <t>'1,1,63,62,64,65,66,67'</t>
  </si>
  <si>
    <t>'63,64,66,64,64,63,65,65,66,64,63,64,64,64,65,65,65,64,65'</t>
  </si>
  <si>
    <t>'64,64'</t>
  </si>
  <si>
    <t>'1,1,1,1,2,3,4,5,6,7,8,10,13,15,14,16,24,25,25,24,26,23'</t>
  </si>
  <si>
    <t>'1,1,61,63,62,64'</t>
  </si>
  <si>
    <t>Mozilla/5.0 (Linux; Android 10; STK-LX1) AppleWebKit/537.36 (KHTML, like Gecko) Chrome/93.0.4577.82 Mobile Safari/537.36</t>
  </si>
  <si>
    <t>Fast Food</t>
  </si>
  <si>
    <t>Spinney Press, The</t>
  </si>
  <si>
    <t>General Works/Reference; Health; Medicine</t>
  </si>
  <si>
    <t>'170,171,172,173,174,175,176,177,178,179,180,181,182,183,184,185,186,187,188,189,190,191,193'</t>
  </si>
  <si>
    <t>How Terrorism Is Wrong : Morality and Political Violence</t>
  </si>
  <si>
    <t>Social Science; Philosophy</t>
  </si>
  <si>
    <t>172/.1</t>
  </si>
  <si>
    <t>HV6431.H417 2008</t>
  </si>
  <si>
    <t>'1,1,155,154,15,14'</t>
  </si>
  <si>
    <t>The Barren Sacrifice : An Essay on Political Violence</t>
  </si>
  <si>
    <t>Michigan State University Press</t>
  </si>
  <si>
    <t>JC328</t>
  </si>
  <si>
    <t>'64,65'</t>
  </si>
  <si>
    <t>'1,1,64,63,65,66,67,68,69,71,72,73,74,75,76,77,78,79,80,81,82,83'</t>
  </si>
  <si>
    <t>Enzyme Kinetics : Principles and Methods</t>
  </si>
  <si>
    <t>572/.744</t>
  </si>
  <si>
    <t>QP601.3.B57 2017</t>
  </si>
  <si>
    <t>'1,1,2,5,5,5'</t>
  </si>
  <si>
    <t>'1,3,2,4,5,6,7,8,9,10'</t>
  </si>
  <si>
    <t>'1,1,61,63,62,66,64,65'</t>
  </si>
  <si>
    <t>Seismic Data Analysis Techniques in Hydrocarbon Exploration</t>
  </si>
  <si>
    <t>TN271.P4.O53 2014eb</t>
  </si>
  <si>
    <t>'84,85,86,87,1,84,85,,,85'</t>
  </si>
  <si>
    <t>Mental Health - Facing the Challenges, Building Solutions : report from the WHO European Ministerial Conference</t>
  </si>
  <si>
    <t>WHO Regional Office for Europe</t>
  </si>
  <si>
    <t>RA790.A2.M46 2005</t>
  </si>
  <si>
    <t>'1,1,15,19,19,6,7,8,11,44,43,148,130,127'</t>
  </si>
  <si>
    <t>Introducing Mental Health, Second Edition : A Practical Guide</t>
  </si>
  <si>
    <t>RA790 .K493 2015</t>
  </si>
  <si>
    <t>'1,63,19,13,22,22,6,5,1'</t>
  </si>
  <si>
    <t>'61,61,61,63,64,65,66,67,,61,62,63,64,65,66,67,68,65'</t>
  </si>
  <si>
    <t>'1,1,3,4,9,44,45,42,40,38,39'</t>
  </si>
  <si>
    <t>'1,1,61,9,63,62,64,58,65,66'</t>
  </si>
  <si>
    <t>'1,63,62,64,65,66,67'</t>
  </si>
  <si>
    <t>'1,1,61,63,64,64,65,66,63'</t>
  </si>
  <si>
    <t>'1,1,2,3,1,1,2,3,4,5,6,1,1'</t>
  </si>
  <si>
    <t>'1,1,2,3,7,7,,1'</t>
  </si>
  <si>
    <t>'1,1,2,3,3,2,3,4,3,3,5,6,7'</t>
  </si>
  <si>
    <t>'61'</t>
  </si>
  <si>
    <t>'1,1,2,5,3,4,6,7,,1,1,3'</t>
  </si>
  <si>
    <t>'6,7,8'</t>
  </si>
  <si>
    <t>'1,1,9,61,63,62,64,66,66,69,66,155,194,34,11,5,1,2,6,6,306,327,327,137,276,323,324,325,326,328,6,4,4,6,1,2'</t>
  </si>
  <si>
    <t>'1,1,321,322,323,6,5,7,8,9,10,3,63,64,64,306,305,327,327,15,14,21,63,62,64,65,66'</t>
  </si>
  <si>
    <t>Power Electronics and Motor Drives : Advances and Trends</t>
  </si>
  <si>
    <t>TK7881.15.B674 2006</t>
  </si>
  <si>
    <t>'666,667,668,669,670,671,672,673,674,675,676,677,678,679,680,681,682,683,684,685,686,687,688,689,690,691,692,693,694,695,696,697,698,699,700,701,702,703,704,705,706,707,708,709,710,711,712,713,714,715,716,717,718,719,720,721,722,723,724,725,726,727,728,729,730,731,732,733,734,735,736,737,738,739,740,741,742,743,744,745,746,747'</t>
  </si>
  <si>
    <t>Python API Development Fundamentals : Develop a Full-Stack Web Application with Python and Flask</t>
  </si>
  <si>
    <t>Packt Publishing, Limited</t>
  </si>
  <si>
    <t>'1,1,2,3,4,5,6,7,8,21,22,,23,23,24,25,26,22'</t>
  </si>
  <si>
    <t>Surface and Colloid Chemistry : Principles and Applications</t>
  </si>
  <si>
    <t>541/.33</t>
  </si>
  <si>
    <t>QD506.B534 2010</t>
  </si>
  <si>
    <t>'16,17,18,19,20,21,22,23,,156,157,158,159,160,161,162,163,164,165,166,167,168,169,170,171,172,173,174,175'</t>
  </si>
  <si>
    <t>'1,1,2,33,64,63,65,66,67,69,71,72,73,74,70,70,71,72'</t>
  </si>
  <si>
    <t>Mental Health Services: a Public Health Perspective : A Public Health Perspective</t>
  </si>
  <si>
    <t>RA790.6.M445 2010</t>
  </si>
  <si>
    <t>'1,,34,33,35,36,37,38,39,40,42,43'</t>
  </si>
  <si>
    <t>Mozilla/5.0 (Windows NT 10.0; Win64; x64) AppleWebKit/537.36 (KHTML, like Gecko) Chrome/92.0.4515.159 Safari/537.36</t>
  </si>
  <si>
    <t>ABC of Mental Health</t>
  </si>
  <si>
    <t>RA790.5 -- .A225 2009eb</t>
  </si>
  <si>
    <t>'1,,3,4,8,6,7,13,14,15,19,20,21,23,24,25,26,27,40,41'</t>
  </si>
  <si>
    <t>Mental Health in Schools : A Guide to Pastoral &amp; Curriculum Provision</t>
  </si>
  <si>
    <t>LB3430 -- .P74 2006eb</t>
  </si>
  <si>
    <t>'1,,20,19,21,22,23,24,25,26,27,28,29,30,31,32,33,34,35,36,37,38,39,40,41,42,43,44,46,94,93,95,99,12,11,13'</t>
  </si>
  <si>
    <t>'1,13,14,15,19,20,21,22,23,24,25,26,27,28,29,30,31,32,33,34,36,37,38,39,41,43,42,46,47,48,49,50,51,52,53,56,57,58,60,62,63,64,66,67,69,70,71,72,73,74,75,76,78,85,86,87'</t>
  </si>
  <si>
    <t>'1,2,6,5,7,21,8,11,14,13,15,16,17,18,19,20,22,30,31,32,33,54,53,55,56,57,58,59,60,44,45,46,47,48,49,50,51'</t>
  </si>
  <si>
    <t>'1,1,9,3,6,7,61,63,64,69,66,65'</t>
  </si>
  <si>
    <t>'1,61,62,63,64,65,66,68,47,46,45,44,43,42,,1,61'</t>
  </si>
  <si>
    <t>The Handbook of Sports Medicine and Science : Swimming</t>
  </si>
  <si>
    <t>Health; Medicine</t>
  </si>
  <si>
    <t>613.7/16</t>
  </si>
  <si>
    <t>RC1220.S8S937 2005</t>
  </si>
  <si>
    <t>'1,1,39,38,40,41,43,45,37'</t>
  </si>
  <si>
    <t>'1,1,4,5,7,8,37,36'</t>
  </si>
  <si>
    <t>'1,2,3,5,7,9,8,10,61'</t>
  </si>
  <si>
    <t>Stress : A Brief History</t>
  </si>
  <si>
    <t>155.9/042/09</t>
  </si>
  <si>
    <t>BF575.S75C646 2004</t>
  </si>
  <si>
    <t>'1,4,53,54,51'</t>
  </si>
  <si>
    <t>Additive Manufacturing of Emerging Materials</t>
  </si>
  <si>
    <t>'1,3,6,4,5,7'</t>
  </si>
  <si>
    <t>Supported Catalysts and Their Applications : Proceedings of the International Symposium on Supported Reagents and Catalysts... (4th: 2000: St. Andrews, Scotland)</t>
  </si>
  <si>
    <t>Catalysis in Application</t>
  </si>
  <si>
    <t>'1,2,,1,1,278,283,281,281,228,232,229'</t>
  </si>
  <si>
    <t>Heal the Ocean : Solutions for Saving Our Seas</t>
  </si>
  <si>
    <t>New Society Publishers</t>
  </si>
  <si>
    <t>Environmental Studies; Science: Biology/Natural History; Science; Economics</t>
  </si>
  <si>
    <t>333.916416;363.7394</t>
  </si>
  <si>
    <t>QH541.5.S3 -- F88 2003eb</t>
  </si>
  <si>
    <t>'6,8,9,10,11'</t>
  </si>
  <si>
    <t>'1,1,9,,1,1,61,60,9,62,67,65'</t>
  </si>
  <si>
    <t>Driving Climate Change : Cutting Carbon from Transportation</t>
  </si>
  <si>
    <t>Science; Environmental Studies; Science: Physics</t>
  </si>
  <si>
    <t>363.73/7</t>
  </si>
  <si>
    <t>QC981.8.G56D75 2007</t>
  </si>
  <si>
    <t>'1,2,3,4,5,6,7,15,16'</t>
  </si>
  <si>
    <t>Carbon Reduction : Policies, Strategies and Technologies</t>
  </si>
  <si>
    <t>363.738/746</t>
  </si>
  <si>
    <t>TD885.5.C3 -- R66 2009eb</t>
  </si>
  <si>
    <t>'1,91,90,92,93,94,95,115,114,116,117,118,119,96,97,98,99,100,101,102,104,105,107,108,109,110,111,112'</t>
  </si>
  <si>
    <t>'1,67,68,69,70,71,72,73,74,75,76,88,89,90,91,92,93,94,95,95'</t>
  </si>
  <si>
    <t>'1,2,2,5,7,8,9,10,11,13,24,25,26,27,28,30,29,31,32,33'</t>
  </si>
  <si>
    <t>Soliton Equations And Hamiltonian Systems (Second Edition)</t>
  </si>
  <si>
    <t>Science: Physics; Science</t>
  </si>
  <si>
    <t>QC174.26.W28D3826 20</t>
  </si>
  <si>
    <t>Physics Of Chaos In Hamiltonian Systems, The (2nd Edition)</t>
  </si>
  <si>
    <t>Science: Physics; Mathematics; Science</t>
  </si>
  <si>
    <t>QC20.7.H35Z38 2007</t>
  </si>
  <si>
    <t>'1,1,30,2,5,177,182,181,61,62,63,64,65'</t>
  </si>
  <si>
    <t>Swimming Upstream : Parenting Girls for Resilience in a Toxic Culture</t>
  </si>
  <si>
    <t>Social Science; Home Economics</t>
  </si>
  <si>
    <t>649/.133</t>
  </si>
  <si>
    <t>HQ777.C463 2016</t>
  </si>
  <si>
    <t>'1,2,4,3,8,22,21,21,21,226,226,226,,1,2'</t>
  </si>
  <si>
    <t>'12,13,14,15,16,17,18,19,20,21,226,227,228,229,230,231,232,233,234,235,236,237,238,239,240,241,242,243,244,245,246,247,248,249,250,251,252,253,254,255'</t>
  </si>
  <si>
    <t>Sustainable Catalysis : Challenges and Practices for the Pharmaceutical and Fine Chemical Industries</t>
  </si>
  <si>
    <t>Engineering; Science: Chemistry; Engineering: Chemical; Science</t>
  </si>
  <si>
    <t>541/.395</t>
  </si>
  <si>
    <t>TP155.2.E58 -- S86 2013eb</t>
  </si>
  <si>
    <t>'1,2,3,4,56,93,94,386,360,359,,1,129,107,110,111,110,111,112,113,114'</t>
  </si>
  <si>
    <t>'93,93,93,,110,110,110,114'</t>
  </si>
  <si>
    <t>'1,2,3,4,7,8,6,330,329,331,332,331,331,331,332,333,332,332,262,332,311,332,332,332,332,332,192,191,330,331,329,333,334'</t>
  </si>
  <si>
    <t>'1,1,1,5'</t>
  </si>
  <si>
    <t>'1,1,,1,,1'</t>
  </si>
  <si>
    <t>'1,1,2,9'</t>
  </si>
  <si>
    <t>'1,1,168,167,169'</t>
  </si>
  <si>
    <t>'169,169'</t>
  </si>
  <si>
    <t>'1,1,61,62,60,63,64,65,66,67'</t>
  </si>
  <si>
    <t>Mozilla/5.0 (Windows NT 6.1) AppleWebKit/537.36 (KHTML, like Gecko) Chrome/93.0.4577.82 Safari/537.36</t>
  </si>
  <si>
    <t>Modern Heterogeneous Catalysis : An Introduction</t>
  </si>
  <si>
    <t>QD505.S26 2017</t>
  </si>
  <si>
    <t>'1,2,235,236,237,238,239,240,241,242,243,501'</t>
  </si>
  <si>
    <t>'1,1,61,62,63,64,65,66'</t>
  </si>
  <si>
    <t>'63'</t>
  </si>
  <si>
    <t>1,007 GRE Practice Questions, 4th Edition</t>
  </si>
  <si>
    <t>Random House Children's Books</t>
  </si>
  <si>
    <t>'1,2,3,4,5,6,7,8,9,10,11,12,13,14,15,16,17,18,19,20,21,22,23,24,25,26,27,28,29,30,31,31,32,33,33,33,34,35,36,37'</t>
  </si>
  <si>
    <t>Mozilla/5.0 (Macintosh; Intel Mac OS X 10_10_5) AppleWebKit/537.36 (KHTML, like Gecko) Chrome/87.0.4280.88 Safari/537.36</t>
  </si>
  <si>
    <t>'1,14'</t>
  </si>
  <si>
    <t>Mozilla/5.0 (Windows NT 10.0; Win64; x64) AppleWebKit/537.36 (KHTML, like Gecko) Chrome/93.0.4577.63 Safari/537.36 Edg/93.0.961.47</t>
  </si>
  <si>
    <t>'1,1,61,63,56,56,55,61,62,63,64,66,65,67'</t>
  </si>
  <si>
    <t>'61,64'</t>
  </si>
  <si>
    <t>'61,63,64,65,66,67,64,64,63,65,66,67,67,67,67,67'</t>
  </si>
  <si>
    <t>'6,7,8,,1'</t>
  </si>
  <si>
    <t>GRE Prep Course</t>
  </si>
  <si>
    <t>Nova Press</t>
  </si>
  <si>
    <t>LB2367.4 -- .K653 2009eb</t>
  </si>
  <si>
    <t>'1,2,4,6,7,9,10,12,11,14,13'</t>
  </si>
  <si>
    <t>GRE - Quantitative Reasoning : QuickStudy Reference Guide</t>
  </si>
  <si>
    <t>QA43 .D385 2017</t>
  </si>
  <si>
    <t>'61,62,63,64,65,66,67,68,69,70,71,72,73,74,75,76,77,78,79,80,81,82,,63,64,65,,61,62,63,64,65,66,67,68,69,70,71,72,73,74,75,76,77,78,79,80,81,82'</t>
  </si>
  <si>
    <t>Heterogeneous Catalysis at Nanoscale for Energy Applications</t>
  </si>
  <si>
    <t>Engineering: Electrical; Engineering; Science: Chemistry; Science</t>
  </si>
  <si>
    <t>621.3101/541395</t>
  </si>
  <si>
    <t>QD505 -- .H484 2015eb</t>
  </si>
  <si>
    <t>'1,27,19,20,21,22,24,289,291,290,257,258'</t>
  </si>
  <si>
    <t>Adapting Agriculture to Climate Change : Preparing Australian Agriculture, Forestry and Fisheries for the Future</t>
  </si>
  <si>
    <t>CSIRO Publishing</t>
  </si>
  <si>
    <t>Environmental Studies; Agriculture; Economics</t>
  </si>
  <si>
    <t>S600.7.C54A33 2009</t>
  </si>
  <si>
    <t>Rapid Climate Change : Causes, Consequences, and Solutions</t>
  </si>
  <si>
    <t>Environmental Studies; Social Science</t>
  </si>
  <si>
    <t>363.738/74</t>
  </si>
  <si>
    <t>HM861 -- .M36 2011eb</t>
  </si>
  <si>
    <t>'1,2,3,6,14,14'</t>
  </si>
  <si>
    <t>Climate Change : Observed Impacts on Planet Earth</t>
  </si>
  <si>
    <t>Science; Science: Physics; Science: Geology</t>
  </si>
  <si>
    <t>QC981.8.C5 C556 2016</t>
  </si>
  <si>
    <t>'1,2,4,5,6,7,8,9,10,11,12,13,14,15,16,17,18,19,20,21'</t>
  </si>
  <si>
    <t>Climate Change</t>
  </si>
  <si>
    <t>Environmental Studies; Science: Physics; Science</t>
  </si>
  <si>
    <t>QC903.W653 2016</t>
  </si>
  <si>
    <t>'1,2,2,2,3,4,6,7,8,9,10,11,12,14,16,46,47,45,39,34,31,21,18,17,19,20,23,24,25,26,27,28,29,,1,22,23,26,27,29,30,31,32,33,34,35,36,37,38,39,40,41,43,44,45,46,47,48,49,50,13,12,11,10,9,8,52,53,54,55,56,57,58,59'</t>
  </si>
  <si>
    <t>'1,2,3,4,30,31,32'</t>
  </si>
  <si>
    <t>'1,8,14,19,20,21,22,23,66,74,72,71,76,84,79,81,150,111,154,151'</t>
  </si>
  <si>
    <t>Mozilla/5.0 (Windows NT 6.1; Win64; x64) AppleWebKit/537.36 (KHTML, like Gecko) Chrome/93.0.4577.63 Safari/537.36</t>
  </si>
  <si>
    <t>'4,16,17,19,,,4,5'</t>
  </si>
  <si>
    <t>CRC Handbook of Phase Equilibria and Thermodynamic Data of Aqueous Polymer Solutions</t>
  </si>
  <si>
    <t>QD381.9.T54 -- W64 2012eb</t>
  </si>
  <si>
    <t>Principles of Tissue Engineering</t>
  </si>
  <si>
    <t>Science; Engineering; Science: Anatomy/Physiology; Engineering: Chemical</t>
  </si>
  <si>
    <t>TP248.27.A53.P75 20</t>
  </si>
  <si>
    <t>'1,2,3,4,5,6,7,8,9,10,11,12,13,14,15,16,17,18,19,20,21,22,23,24,29,27,25,28,26,1777,1780,1781,1783,1786,1787,1795,1798,1800,1801,1812,1813,1814,1818,1820,1821,1822,1823,1824,1825,1826,1827'</t>
  </si>
  <si>
    <t>Investing in India : A Value Investor's Guide to the Biggest Untapped Opportunity in the World</t>
  </si>
  <si>
    <t>HG5732.S2367 2014eb</t>
  </si>
  <si>
    <t>'1,2,3,4,5,6,7,9,10,11'</t>
  </si>
  <si>
    <t>'2'</t>
  </si>
  <si>
    <t>'1,1,9,61,62,63,64,65,66,67'</t>
  </si>
  <si>
    <t>'1,1,2,3,3,4,4,6,7,8,711,595,725'</t>
  </si>
  <si>
    <t>Biotechnological Applications of Microalgae : Biodiesel and Value-Added Products</t>
  </si>
  <si>
    <t>Engineering; Science; Engineering: Chemical; Science: Botany</t>
  </si>
  <si>
    <t>QK568.M52</t>
  </si>
  <si>
    <t>Marine Algae Extracts : Processes, Products, and Applications</t>
  </si>
  <si>
    <t>Science: Botany; Science; Science: Geology</t>
  </si>
  <si>
    <t>QK568.E26</t>
  </si>
  <si>
    <t>Smart Cities : Foundations, Principles, and Applications</t>
  </si>
  <si>
    <t>HT166.S637 2017</t>
  </si>
  <si>
    <t>'1,3,4,5,6,7,8,9'</t>
  </si>
  <si>
    <t>'1,2,3,5,7,8,9,10,11,13,14,15,16,17,18,19'</t>
  </si>
  <si>
    <t>Israeli and Palestinian Narratives of Conflict : History's Double Helix</t>
  </si>
  <si>
    <t>DS119.7 -- .I82689 2006eb</t>
  </si>
  <si>
    <t>'1,12,8,11,7,9,13,14'</t>
  </si>
  <si>
    <t>'1,2,116,117,118,119,120,9,10,11,1'</t>
  </si>
  <si>
    <t>'1,3,4,6,7,8,9,10,25,16,18,40'</t>
  </si>
  <si>
    <t>Why Mars : NASA and the Politics of Space Exploration</t>
  </si>
  <si>
    <t>629.43/543</t>
  </si>
  <si>
    <t>TL799.M3.L363 2014eb</t>
  </si>
  <si>
    <t>Mozilla/5.0 (Macintosh; Intel Mac OS X 10_15_4) AppleWebKit/537.36 (KHTML, like Gecko) Chrome/92.0.4515.159 Safari/537.36</t>
  </si>
  <si>
    <t>Power System Engineering : Planning, Design, and Operation of Power Systems and Equipment</t>
  </si>
  <si>
    <t>TK1001.S35 2014eb</t>
  </si>
  <si>
    <t>'1,2,166,165,167,168,169,170,171,172,173,174,175,176,177,178,179,180,181,182'</t>
  </si>
  <si>
    <t>'1,2,20,21,22,23,24,25,26,27,28,190,191,228,228,228,278,279,279,279,279,279'</t>
  </si>
  <si>
    <t>'228,229,230,231,232,278,279,280,281,282,283'</t>
  </si>
  <si>
    <t>Fundamentals of Power Electronics</t>
  </si>
  <si>
    <t>Engineering: Civil; Engineering: Electrical; Engineering</t>
  </si>
  <si>
    <t>'1,2,4,6,7,10,11,5,8,9,16,19'</t>
  </si>
  <si>
    <t>'1,9'</t>
  </si>
  <si>
    <t>Pearson Education UK</t>
  </si>
  <si>
    <t>'8,9,10,11,12,13,14,15,16,17,18,7'</t>
  </si>
  <si>
    <t>Levinas and the Ancients</t>
  </si>
  <si>
    <t>B2430.L484 -- L475 2008eb</t>
  </si>
  <si>
    <t>'1,3,5,6,143,10,9,9'</t>
  </si>
  <si>
    <t>'28,29,30,31,32,33,34,35,36,37,38,39,40,41,42,,184,185,186,187,188,189,190,191,192,193,194,195,196'</t>
  </si>
  <si>
    <t>'1,1,5,168,169'</t>
  </si>
  <si>
    <t>Building American Public Health : Urban Planning, Architecture, and the Quest for Better Health in the United States</t>
  </si>
  <si>
    <t>Palgrave Macmillan</t>
  </si>
  <si>
    <t>Health; Social Science; History</t>
  </si>
  <si>
    <t>D1-DX301</t>
  </si>
  <si>
    <t>'99,100,101,102,103,104,105,106,107,108,109,110,111,112,113,114,115'</t>
  </si>
  <si>
    <t>Mozilla/5.0 (Windows NT 10.0; Win64; x64) AppleWebKit/537.36 (KHTML, like Gecko) Chrome/92.0.4515.159 Safari/537.36 Edg/92.0.902.78</t>
  </si>
  <si>
    <t>Environmental Organic Chemistry</t>
  </si>
  <si>
    <t>TD196.O73.S393 2017</t>
  </si>
  <si>
    <t>'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t>
  </si>
  <si>
    <t>Mozilla/5.0 (Windows NT 10.0; WOW64; Trident/7.0; Touch; rv:11.0) like Gecko</t>
  </si>
  <si>
    <t>'1,1,61,63,64,65,68,69,75,23'</t>
  </si>
  <si>
    <t>Catalysis in Electrochemistry : From Fundamental Aspects to Strategies for Fuel Cell Development</t>
  </si>
  <si>
    <t>QD569 -- .C38 2011eb</t>
  </si>
  <si>
    <t>'1,2,3,4,5,6,83,213,214,215,216,218,217,219,221,222,223,226,355,356,357'</t>
  </si>
  <si>
    <t>'1,2,3,4,5,6,30,31,28'</t>
  </si>
  <si>
    <t>'1,2,24,25,19,11,10,9,8,46,47,48'</t>
  </si>
  <si>
    <t>'1,2,3,4,5,6,7,8,8,5,9,10,,1,9,9,1'</t>
  </si>
  <si>
    <t>'1,1,63,62,61,64,65,66,67'</t>
  </si>
  <si>
    <t>'1,32,33'</t>
  </si>
  <si>
    <t>'1,4,2,3,5,6,8'</t>
  </si>
  <si>
    <t>Mozilla/5.0 (Windows NT 6.3; Win64; x64) AppleWebKit/537.36 (KHTML, like Gecko) Chrome/92.0.4515.159 Safari/537.36</t>
  </si>
  <si>
    <t>New Narratives of Disability : Constructions, Clashes, and Controversies</t>
  </si>
  <si>
    <t>HV1551-3024</t>
  </si>
  <si>
    <t>'24,25,26,58,57,1'</t>
  </si>
  <si>
    <t>The Psychological and Social Impact of Illness and Disability</t>
  </si>
  <si>
    <t>305.9/080973</t>
  </si>
  <si>
    <t>HV1553 .P75 2018</t>
  </si>
  <si>
    <t>'96,97,98,99,100,101,102,103,104,105,106,107,108,109,112,113,114,115,116,117,118,119,120,121'</t>
  </si>
  <si>
    <t>Social Anxiety: Symptoms, Causes, and Techniques : Symptoms, Causes and Techniques</t>
  </si>
  <si>
    <t>RC552.S62 -- S63 2010eb</t>
  </si>
  <si>
    <t>'1,2,3,5,6,7,8,8,1,3,7,44,43,48,49,50,51,52,5'</t>
  </si>
  <si>
    <t>Process Intensification : Engineering for Efficiency, Sustainability and Flexibility</t>
  </si>
  <si>
    <t>TP155.2.E58 -- R43 2013eb</t>
  </si>
  <si>
    <t>'60,61,62,63,64,65,66,67,68,69,70,71,72,73,74,75,76,77,78,79,80,81,82,83,84,85,86,87,88,89,,90,91,92,93,94,95,96,97,98,99,100,101,102,103,104,105,106,107,108,109,110,111,112,113,114,115,116,117,118,119,120,121,122,123,,238,239,240,241,242,243,244,245,246,247,248,249,250,251,252,253,254,255,256,257,258,259,260,261,262,263,264,265,266,267,268,269,270,271,272,273,274,275,276,277,278,279,280,281,282,283'</t>
  </si>
  <si>
    <t>'1,237,65,67,67,67'</t>
  </si>
  <si>
    <t>'67,68,69,70,71,72,73,74,75,76,77,78,79,80,81,82,83,84,85,86,87,88,89,90,91,92,93,94,95,96,97,98,99,100,101,102,103,104,105,106,107,108,109,110,111'</t>
  </si>
  <si>
    <t>Electrochemical Energy Storage</t>
  </si>
  <si>
    <t>TK2896 -- .T373 2015eb</t>
  </si>
  <si>
    <t>'1,3,21,22,23,24,25,26'</t>
  </si>
  <si>
    <t>Classical Mechanics</t>
  </si>
  <si>
    <t>QA805 -- .G653 2006eb</t>
  </si>
  <si>
    <t>'1,2,2,3,4,8,7,12,13,36,31,29,30,32,33,34,35,37'</t>
  </si>
  <si>
    <t>Mozilla/5.0 (Linux; Android 11; SM-A705FN) AppleWebKit/537.36 (KHTML, like Gecko) Chrome/93.0.4577.62 Mobile Safari/537.36</t>
  </si>
  <si>
    <t>Fuel Cells : Problems and Solutions</t>
  </si>
  <si>
    <t>621.31/2429</t>
  </si>
  <si>
    <t>TK2931 -- .B34 2012eb</t>
  </si>
  <si>
    <t>'1,61,21,22,62,63,66,65,68,67,69,70,71,72,75,76,77,78,80,82,85,90,91'</t>
  </si>
  <si>
    <t>'1,2,34'</t>
  </si>
  <si>
    <t>'21,61,23,24,25,63,3,61,62,63,64,66'</t>
  </si>
  <si>
    <t>'7,8,9,10,11,12,13,14,15,16'</t>
  </si>
  <si>
    <t>'1,1,17,2,4,3,6,7,8,10,13,15,16,18,22,24,20,26,25'</t>
  </si>
  <si>
    <t>Strategic Planning Kit for Dummies</t>
  </si>
  <si>
    <t>HD30.28 -- .O58 2011eb</t>
  </si>
  <si>
    <t>Mozilla/5.0 (Windows NT 6.1; Win64; x64) AppleWebKit/537.36 (KHTML, like Gecko) Chrome/93.0.4577.63 Safari/537.36 Edg/93.0.961.38</t>
  </si>
  <si>
    <t>Slip, Trip, and Fall Prevention : A Practical Handbook, Second Edition</t>
  </si>
  <si>
    <t>T55.D565 2010</t>
  </si>
  <si>
    <t>'29,29,12,30'</t>
  </si>
  <si>
    <t>Tire and Vehicle Dynamics</t>
  </si>
  <si>
    <t>TL243</t>
  </si>
  <si>
    <t>'423,423,182,182,423,243,423,423,278,182,105,422,421,183'</t>
  </si>
  <si>
    <t>'181,182,183,184'</t>
  </si>
  <si>
    <t>'1,2,3,4,5,6,7,8,9,10,13,15,17,21,19,22,26,24,20,157,173,172,168,169,170,170,170,171,172,172,172,173,174,174,174,175,176,177,177,177,176,176,176,177,178,178,178,179,180,180,180,181'</t>
  </si>
  <si>
    <t>'169,170,171,172,173,174,175,177,176,176,178,179,180'</t>
  </si>
  <si>
    <t>Theory of Solidification</t>
  </si>
  <si>
    <t>QC303 .D38 2001</t>
  </si>
  <si>
    <t>'1,,1,2,3,4,5,6,7,8,9,10,11,12,13,14,15,17,18,401,78,79,77,16,3'</t>
  </si>
  <si>
    <t>'17,18,19,20,21,22,23,24,25,26,27,28,29,30,31,32,33,34,35,36,37,38,39,40,41,42,43,44,45,46,47,48,49,50,51,52,53,54,55,56,57,58,59,60,61,62,63,64,65,66,67,68,69,70,71,72,73,74,75,76,77,78,79,80,81,82,83,84,85,86,87,88,89,90,91,1,3'</t>
  </si>
  <si>
    <t>Mozilla/5.0 (Windows NT 6.3; Win64; x64) AppleWebKit/537.36 (KHTML, like Gecko) Chrome/93.0.4577.63 Safari/537.36</t>
  </si>
  <si>
    <t>'415,416,417,418,419,420,421,,380,381,382,383,384,385,386,387,388,389,390,391,392,393,394,395,396,397,398,399,400,401,402,403,404,405,406,407,408,409,410,411,412,413,414,415,416,417,418,419,420,421,422,423,424,425,426,427,428,429,430,431,432,433,434,435,436,437,438,439,440,441,442,443,444,445,446,447,448,449,450,451,452,453,454,455,456,457'</t>
  </si>
  <si>
    <t>Frontiers in Geochemistry : Contribution of Geochemistry to the Study of the Earth</t>
  </si>
  <si>
    <t>QE514 -- .F75 2011eb</t>
  </si>
  <si>
    <t>'57,58,59,60,61,62,63,64,65,66,67,68,69,70,71,72,73,74'</t>
  </si>
  <si>
    <t>Handbook of Stable Isotope Analytical Techniques</t>
  </si>
  <si>
    <t>Science; Science: Geology; Science: Chemistry</t>
  </si>
  <si>
    <t>QD75.4.S73H36eb vol.</t>
  </si>
  <si>
    <t>'1070,1071'</t>
  </si>
  <si>
    <t>'63,64,65,66,67,68,69,70,71,72,73,74,75,76,77,78,79,80,81,82,83,84,85,86,,87,88,89,90,91,92,93,94,95,96,97,98,99,100,101,102,103,104,105,106,107,108,109,110,111,112,,26,27,28,29,30,31,32,33,34,35,36,37,38,39,40,41,42,43,44,45,46,47,48,49,50,51,52,53,54,55,56,57,58,59,60,61,62'</t>
  </si>
  <si>
    <t>'49,50,51,52'</t>
  </si>
  <si>
    <t>Chemical Fundamentals of Geology and Environmental Geoscience</t>
  </si>
  <si>
    <t>540.24/553</t>
  </si>
  <si>
    <t>QD39.2 -- .G55 2015eb</t>
  </si>
  <si>
    <t>'17,18,19,20,21,22,23,24,25,26,27,28,29,,242,243,244,245,246,247,248,249,,59,60,61,62,63,64,65,66,67,68,69,70,71,72,73,74,75,,172,,183,,182,,211,212,213,214,215,216,217,218'</t>
  </si>
  <si>
    <t>Using Geochemical Data : Evaluation, Presentation, Interpretation</t>
  </si>
  <si>
    <t>QE515 .R75 2014</t>
  </si>
  <si>
    <t>'293,294,295,296,297,298,299,300,301,302,303,304,305,306,307,308,309,310,311,312,313,314,315,316,317,318,319,320,321,322,323,324,325,326,327,328,329,330,331,332,333,334,335,336,337,338,339,340,341,342'</t>
  </si>
  <si>
    <t>'262,263,264,265,266,267,268,269,270,271,272,273,274,275,276,277,278,279,280,281,282,283,284,285,286,287,288,289,290,291,292,,332,333,334,335,336,337,338,339,340,341,342,343,344,345,346,347,348,349,350,351,352,353,354,355,356,357,358,359,360,361,362,363,364,365,366,367,368,369,370,371,372,373,374,375,376,377,378,379,,262,263,264,265,266,267,268,269,270,271,272,273,274,275,276,277,278,279,280,281,282,283,284,285,286,287,288,289,290,291,292'</t>
  </si>
  <si>
    <t>'1,2,6,8,9,10,61,62,64,66,68,70,28,14,12,11'</t>
  </si>
  <si>
    <t>'1,3,5,8,7,9,10,12,15,17,16,31,32'</t>
  </si>
  <si>
    <t>Early Modernity and Video Games</t>
  </si>
  <si>
    <t>GV1469.37 -- .E275 2014eb</t>
  </si>
  <si>
    <t>'1,2,3,7,5,6'</t>
  </si>
  <si>
    <t>Mozilla/5.0 (Windows NT 10.0; Win64; x64) AppleWebKit/537.36 (KHTML, like Gecko) Chrome/93.0.4577.63 Safari/537.36 Edg/93.0.961.38</t>
  </si>
  <si>
    <t>'1,2,5,7,8,9,10,11,12,13,14,15,16,17'</t>
  </si>
  <si>
    <t>'16'</t>
  </si>
  <si>
    <t>Mozilla/5.0 (Macintosh; Intel Mac OS X 10_15_2) AppleWebKit/537.36 (KHTML, like Gecko) Chrome/90.0.4430.85 Safari/537.36</t>
  </si>
  <si>
    <t>'1,4,5,6,7,8,9,11,12,13,14,15'</t>
  </si>
  <si>
    <t>Modeling in Membranes and Membrane-Based Processes</t>
  </si>
  <si>
    <t>TP159.M4 .M634 2020</t>
  </si>
  <si>
    <t>'17,18,20,21,22,23,25,26,16,19'</t>
  </si>
  <si>
    <t>'1,1,61,63,64,65,67,66'</t>
  </si>
  <si>
    <t>Trading Futures for Dummies</t>
  </si>
  <si>
    <t>HG6024.A3 -- D837 2008eb</t>
  </si>
  <si>
    <t>'3,5,6,7,9,8,10'</t>
  </si>
  <si>
    <t>Investment: A History : A History</t>
  </si>
  <si>
    <t>Columbia University Press</t>
  </si>
  <si>
    <t>HG4516</t>
  </si>
  <si>
    <t>'269,270,271,272,273,274,265'</t>
  </si>
  <si>
    <t>Handbook of Aqueous Solubility Data</t>
  </si>
  <si>
    <t>QD257.7 -- .H33 2010eb</t>
  </si>
  <si>
    <t>'1,39,1454,14,18,18,19,21,21,22,87,1498,1498,1396,1397'</t>
  </si>
  <si>
    <t>Mozilla/5.0 (Windows NT 10.0; Win64; x64) AppleWebKit/537.36 (KHTML, like Gecko) Chrome/92.0.4515.131 Safari/537.36</t>
  </si>
  <si>
    <t>'1,168,169,170,171,172,173,175,176,177,178,179,180,182,184'</t>
  </si>
  <si>
    <t>'173,174,175,168,169,170,171,172,173,174,175,176,177,178,179,180,181,182,183,184'</t>
  </si>
  <si>
    <t>'1,6,7,12,15,17,21,19,23,26,32,34,35,36'</t>
  </si>
  <si>
    <t>'1,2,6,7,32,33,34,35,35,35'</t>
  </si>
  <si>
    <t>'1,1,5,168'</t>
  </si>
  <si>
    <t>Using MPI : Portable Parallel Programming with the Message Passing Interface</t>
  </si>
  <si>
    <t>QA76.642 -- .G76 1999eb</t>
  </si>
  <si>
    <t>'48,50,51,52,53,54,55,56,,48'</t>
  </si>
  <si>
    <t>Mozilla/5.0 (X11; Ubuntu; Linux x86_64; rv:91.0) Gecko/20100101 Firefox/91.0</t>
  </si>
  <si>
    <t>Using MPI : Portable Parallel Programming with the Message-Passing Interface</t>
  </si>
  <si>
    <t>QA76.642 -- .G76 2014eb</t>
  </si>
  <si>
    <t>'40,41,42,43,44,45,46,47,50,51,52,54,55,,50,51,52,54,55,56,57,58,59,60,61,62,63,64,65,66,67,68,69'</t>
  </si>
  <si>
    <t>High Performance Computing : Programming and Applications</t>
  </si>
  <si>
    <t>QA76.88 -- .L48 2011eb</t>
  </si>
  <si>
    <t>'69,70,71,72,73,74,75,76,77,78,79,80,81,82,83,84,85,86,87,88,89,90,91,92,93,94,95,96,97,98,99,100,101,102,104,105,45,179,180,181,183,184,185,186,187,188,189,190,191'</t>
  </si>
  <si>
    <t>'69,70,71,72,73,74,75,76,77,78,79,80,81,82,83,84,85,86,87,88,89,90,91,92,93,94,95,96,97,98,99,100,101,102,103,104,45,46,47,48,49,50,51,52,53,54,55,56,57,58,59,60,61,62,63,64,65,66,67,68'</t>
  </si>
  <si>
    <t>Introduction to Parallel Computing : A Practical Guide with Examples in C</t>
  </si>
  <si>
    <t>QA76.58.P47 2004</t>
  </si>
  <si>
    <t>'20,21,22,23,24,25,26,27,28,29,30,31,32'</t>
  </si>
  <si>
    <t>'1,55,56,57,58,59,60,61,63'</t>
  </si>
  <si>
    <t>Applied Parallel Computing</t>
  </si>
  <si>
    <t>QA76.58 -- .D46 2013eb</t>
  </si>
  <si>
    <t>'1,1,24,25,26,27,28,29,30,31,32,33,34,35,36,37,38,39,40,41,42,43,44,45,46,47,48,49,50,51,52,53,54,55,56,57,58,59,60,61,62,63,64,65,66,67,68,69,70,71,72,73,74,75,76,77,78,79,80,81,82,84'</t>
  </si>
  <si>
    <t>'24,25,26,27,28,29,30,31,32,33,34,35,36,37,38,39,40,41,42,43,44,45,46,47,48,49,50,51,52,53,54,55'</t>
  </si>
  <si>
    <t>'1,1,2,61,33,63'</t>
  </si>
  <si>
    <t>Applied Drilling Engineering</t>
  </si>
  <si>
    <t>TN871.2 -- .A64 1986eb</t>
  </si>
  <si>
    <t>'1,1,2,3,8,9,10,11,12,13,14,15,17,18,16,12,12'</t>
  </si>
  <si>
    <t>'15,16,17,18,12,13,14,15,16,17,18,19,20,21,22,23'</t>
  </si>
  <si>
    <t>'1,3,4,5,98,53,54,55,56,57,58,52,51'</t>
  </si>
  <si>
    <t>'1,2,3,4,6,7,32,33,34,35,36,37,178,179,180,181,308,310,311,312,313,314,315,316,317,318,319,320,321,322'</t>
  </si>
  <si>
    <t>'1,2,3,4,,1,2,3,5,6,7,,1'</t>
  </si>
  <si>
    <t>'1,4,6,9,2,3,5,8,13,37,42,55,59,62,64,67,69,70,71,73,72,74,86,89,92,91,94,95,96,97,98,99,63,32,38,35,53,54,54,77,77,77,61,62,57,63,60,58,56,55,53,52,54,54,41,54,55,56,57,58,59,60,61,62,63,64'</t>
  </si>
  <si>
    <t>'1,2,3,4,5,6,8,9,10,11,13,16,17,18,19,20,21,25,26,58,57,56,54,53,62,62,53,63,61,60,58,57,56,55,54,53,53,54,54,53'</t>
  </si>
  <si>
    <t>'1,2,4,3,5,6,8,7'</t>
  </si>
  <si>
    <t>'1,2,4,5,6,7,8,10'</t>
  </si>
  <si>
    <t>'1,1,5,8,114,113,112,111,110,116,117,118,119,121,123,124,125,126,127'</t>
  </si>
  <si>
    <t>'1,1,186,184'</t>
  </si>
  <si>
    <t>'183,184,185,186,187,188,189,190,191,192,193,194,195,196,197,198,199,200,201,202,203,204,205,206,207,208,209,210,211,212,213,214,215,216,217,218,219,220,221,222,223,224,225,226,227,228,229,230,231,232,233,234,235,236,237,238,239,240,241,242'</t>
  </si>
  <si>
    <t>'1,578,579,580,581,581,581,581'</t>
  </si>
  <si>
    <t>'578,579,580,581,582,583,584,585,586,587,588,589,590,591,592,593,594,595,596,597,598,599,600,601,602,603,604,605,606,607,608,609,610,611,612,613,614,615,616,578,579,580,581,582,583,584,585,586,587,588,589,590,591,592,593,594,595,596,597,598,599,600,601,602,603,604,605,606,607,608,609,610,611,612,613,614,615,616'</t>
  </si>
  <si>
    <t>Islamic Science and the Making of the European Renaissance</t>
  </si>
  <si>
    <t>509.17/67</t>
  </si>
  <si>
    <t>Q127.I742 -- S35 2007eb</t>
  </si>
  <si>
    <t>'1,1,14,15,16,17'</t>
  </si>
  <si>
    <t>'1,1,2,3,5,6,7,8,9,14,119,120,168'</t>
  </si>
  <si>
    <t>'1,5,55,56,57'</t>
  </si>
  <si>
    <t>The Sufi Path of Knowledge : Ibn Al-Arabi's Metaphysics of Imagination</t>
  </si>
  <si>
    <t>297/.4/0924</t>
  </si>
  <si>
    <t>BP80.I2 -- C48 1989eb</t>
  </si>
  <si>
    <t>'1,2,3,7,8,9,10,10,11,12,13,14,15,16,17,18,18'</t>
  </si>
  <si>
    <t>Mozilla/5.0 (Macintosh; Intel Mac OS X 10_15_7) AppleWebKit/537.36 (KHTML, like Gecko) Chrome/92.0.4515.131 Safari/537.36</t>
  </si>
  <si>
    <t>'1,1,168,167,169,170,172,171,173,174,175,176,177,178,179,180,181,182,183,184,185'</t>
  </si>
  <si>
    <t>'168,169,169,170,170,170'</t>
  </si>
  <si>
    <t>'1,1,2,5,5,9,19,168,167,169,166,1,3,6,8'</t>
  </si>
  <si>
    <t>'1,5,6,7'</t>
  </si>
  <si>
    <t>'94,94'</t>
  </si>
  <si>
    <t>'1,1,30,31'</t>
  </si>
  <si>
    <t>'1,2,31,32,33,93,94,95,96,94,94,,94'</t>
  </si>
  <si>
    <t>'94,95,96,97,98,99,100,101,102,103,104'</t>
  </si>
  <si>
    <t>Gendered Frames, Embodied Cameras : Varda, Akerman, Cabrera, Calle, and Maïwenn</t>
  </si>
  <si>
    <t>Fairleigh Dickinson University Press</t>
  </si>
  <si>
    <t>PN1998.3.V368 -- .M34 2014eb</t>
  </si>
  <si>
    <t>'1,10,9'</t>
  </si>
  <si>
    <t>Chronicle of a Camera : The Arriflex 35 in North America, 1945-1972</t>
  </si>
  <si>
    <t>University Press of Mississippi</t>
  </si>
  <si>
    <t>TR883.A77 -- P67 2013eb</t>
  </si>
  <si>
    <t>'1,18,19,20,21,22,23,29,55'</t>
  </si>
  <si>
    <t>Encyclopedia of the History of Arabic Science</t>
  </si>
  <si>
    <t>Science; Science: General</t>
  </si>
  <si>
    <t>509/.17/4927</t>
  </si>
  <si>
    <t>Q127.A5 .E539 2006</t>
  </si>
  <si>
    <t>'1,3,4,5,2'</t>
  </si>
  <si>
    <t>'5'</t>
  </si>
  <si>
    <t>'1,1,302,301,303,281'</t>
  </si>
  <si>
    <t>'281'</t>
  </si>
  <si>
    <t>A History of Mathematics : From Mesopotamia to Modernity</t>
  </si>
  <si>
    <t>QA21.H68 2005</t>
  </si>
  <si>
    <t>'125,125'</t>
  </si>
  <si>
    <t>'339'</t>
  </si>
  <si>
    <t>Chemical Engineering : A New Perspective</t>
  </si>
  <si>
    <t>TP155.O33 2007</t>
  </si>
  <si>
    <t>'1,3,4,5,6,7,8,10,11,12,14,15'</t>
  </si>
  <si>
    <t>'125,126'</t>
  </si>
  <si>
    <t>'1,2,4,3,3,3,3,5,6,7,9,11,10,12,13,24,23,25,26,27,30,32,34,36,38,40,1,2,8,168,169,170,171,163'</t>
  </si>
  <si>
    <t>'6,7'</t>
  </si>
  <si>
    <t>'321,322,323,324,325,326,327,328,329,330,331,332,333,334,335,336,337,338,,339,340,341,342,343,344,345,346,347,348,349,350,351,352,353,354,355,356,357,358,359,360,361,362,363,364,365,,720,721,722,723,724,725,726,727,728,729,730,731,732,733,734,735,736,737,738,739,740,741,742,743,744,745,746,747,748,749,750,751,752,753,754,755,756,757,758,759,760,761,762,763,764'</t>
  </si>
  <si>
    <t>Evidence-Based Rehabilitation : A Guide to Practice, Third Edition</t>
  </si>
  <si>
    <t>SLACK, Incorporated</t>
  </si>
  <si>
    <t>RM930 .E953 2014</t>
  </si>
  <si>
    <t>'122,122,122,146,146,174'</t>
  </si>
  <si>
    <t>'122,123,124,125,126,127,128,129,130,131,132,133,134,135,136,137,138,139,140,141,142,143,144,145,146,147,148,149,150,151,152,153,154,155,156,157,158,159,160,161,162,163,164,165,166,167,168,169,170,171,172,173,174,175,176,177,178,179,180,181,182,183,184,185,186,187,188,189,190,191'</t>
  </si>
  <si>
    <t>'1,1,168,169,170,171,172,173,174,175,176,177,178,179,180,181,182,183,184,185'</t>
  </si>
  <si>
    <t>Telemedicine : A Guide to Assessing Telecommunications for Health Care</t>
  </si>
  <si>
    <t>R119.9 -- .I56 1996eb</t>
  </si>
  <si>
    <t>'1,2,3,4,6,9,10,11,12,40,34,24,87,156,195,234,287,276,274,273,153,134,95,93,91,89,,89,90,91,92,93,94,95,96,97,98,99,100,101,102,103,104,104,1,1,1,3,4,95,95,159'</t>
  </si>
  <si>
    <t>'89,95,96,95'</t>
  </si>
  <si>
    <t>Hands-On ROS for Robotics Programming : Program Highly Autonomous and AI-Capable Mobile Robots Powered by ROS</t>
  </si>
  <si>
    <t>TJ211.45$b.J376 2020</t>
  </si>
  <si>
    <t>'1,1,3,4,127,130,131,129'</t>
  </si>
  <si>
    <t>Waste : A Handbook for Management</t>
  </si>
  <si>
    <t>Engineering: Environmental; Engineering; Environmental Studies</t>
  </si>
  <si>
    <t>363.72/8</t>
  </si>
  <si>
    <t>TD897 -- .W3178 2011eb</t>
  </si>
  <si>
    <t>'1,2,3,284,285,286,287,288,289,290,291,292,293,295,294,299,298,297,296'</t>
  </si>
  <si>
    <t>Hyperspectral Satellites and System Design</t>
  </si>
  <si>
    <t>TL796 .Q295 2020</t>
  </si>
  <si>
    <t>Mozilla/5.0 (Windows NT 10.0; Win64; x64) AppleWebKit/537.36 (KHTML, like Gecko) Chrome/92.0.4515.159 Safari/537.36 Edg/92.0.902.84</t>
  </si>
  <si>
    <t>Circuits, Signals, and Systems for Bioengineers : A MATLAB-Based Introduction</t>
  </si>
  <si>
    <t>610/.28</t>
  </si>
  <si>
    <t>R856 -- .S46 2005eb</t>
  </si>
  <si>
    <t>Mozilla/5.0 (Macintosh; Intel Mac OS X 10_13_4) AppleWebKit/537.36 (KHTML, like Gecko) Chrome/93.0.4577.63 Safari/537.36</t>
  </si>
  <si>
    <t>'1,1,5,5,9,1,168,167,167,167,168,185'</t>
  </si>
  <si>
    <t>'168,169,170,171,172,173,174,175,176,177,178,179,180,181,182,183,184'</t>
  </si>
  <si>
    <t>'1,34,34,17'</t>
  </si>
  <si>
    <t>'34,35,36,37,38,39,40,41,42,43,44,45,46,47,48,49,50,51,52,53,54,55,56,57,58,59,60,61,62,63,64'</t>
  </si>
  <si>
    <t>'1,1,2,168,169,170,171,172,173,174,175,176,177,178,179,180,181,182,183'</t>
  </si>
  <si>
    <t>Storytelling with Data : A Data Visualization Guide for Business Professionals</t>
  </si>
  <si>
    <t>General Works/Reference; Computer Science/IT</t>
  </si>
  <si>
    <t>QA76.9.I52</t>
  </si>
  <si>
    <t>'1,2,3,,3,33,33,33'</t>
  </si>
  <si>
    <t>'33,34,35,36,37,38,39,40,41,42'</t>
  </si>
  <si>
    <t>'1,2,4,3,6,7,8,9,10,12,11,13,14,15,16,17,18,19,20,21,22,23,24,25,26,27,28,29,30,31,32,33,34,35,36,37,38,39'</t>
  </si>
  <si>
    <t>Nanophysics and Nanotechnology : An Introduction to Modern Concepts in Nanoscience</t>
  </si>
  <si>
    <t>Engineering; Science; Engineering: General; Science: Physics</t>
  </si>
  <si>
    <t>620/.5</t>
  </si>
  <si>
    <t>QC176.8.N35 -- .W654 2015eb</t>
  </si>
  <si>
    <t>'44,45,46,47,48,49,50,51,52,53,54,55,56,57,58,59,60,,61,62,63,64,65,66,67,68,69,70,71,72,,327,328,329,330,331,332,333,334,335,336,337,338,339'</t>
  </si>
  <si>
    <t>Mozilla/5.0 (Macintosh; Intel Mac OS X 10_14_6) AppleWebKit/537.36 (KHTML, like Gecko) Chrome/92.0.4515.159 Safari/537.36</t>
  </si>
  <si>
    <t>Times of History : Universal Topics in Islamic Historiography</t>
  </si>
  <si>
    <t>Central European University Press</t>
  </si>
  <si>
    <t>909/.1072</t>
  </si>
  <si>
    <t>DS35.65 -- .A96 2007eb</t>
  </si>
  <si>
    <t>'1,43,44'</t>
  </si>
  <si>
    <t>Mozilla/5.0 (Windows NT 10.0; WOW64) AppleWebKit/537.36 (KHTML, like Gecko) Chrome/92.0.4515.159 Safari/537.36</t>
  </si>
  <si>
    <t>Foundation Vibration Analysis : A Strength of Materials Approach</t>
  </si>
  <si>
    <t>TA775.F6917 2004</t>
  </si>
  <si>
    <t>'8,8,8,9,26,26,25,4,6,10,16,17,18,19,23,24'</t>
  </si>
  <si>
    <t>'1,1,1,20,8,,8'</t>
  </si>
  <si>
    <t>'1,3,4,6,12,13,14,17,18,20,22,23,19,25,26'</t>
  </si>
  <si>
    <t>Creating Global Music in Turkey</t>
  </si>
  <si>
    <t>ML3757 -- .D44 2013eb</t>
  </si>
  <si>
    <t>'4,4,4,4'</t>
  </si>
  <si>
    <t>'2,3,4,5,6'</t>
  </si>
  <si>
    <t>'1,2,4,,,4'</t>
  </si>
  <si>
    <t>Uncommon Causes of Stroke</t>
  </si>
  <si>
    <t>RC388.5 -- .U515 2008eb</t>
  </si>
  <si>
    <t>'1,2,1,67'</t>
  </si>
  <si>
    <t>'1,1,168,169,170,171,172,173,174,175'</t>
  </si>
  <si>
    <t>Sorting Out Ethics</t>
  </si>
  <si>
    <t>BJ1012 -- .H31352 1997eb</t>
  </si>
  <si>
    <t>'1,1,61,62,63,64,65,66,67'</t>
  </si>
  <si>
    <t>Green and Smart Technologies for Smart Cities</t>
  </si>
  <si>
    <t>Engineering: Environmental; Environmental Studies; Mathematics</t>
  </si>
  <si>
    <t>'1,1,166,165,177,178,167'</t>
  </si>
  <si>
    <t>Radiobiology for the Radiologist</t>
  </si>
  <si>
    <t>616.07/57</t>
  </si>
  <si>
    <t>R895 -- .H34 2012eb</t>
  </si>
  <si>
    <t>'1,2,3,3,4,5,7,533,534,533,15,286,286,52,227,226'</t>
  </si>
  <si>
    <t>The Modular Housing Handbook</t>
  </si>
  <si>
    <t>RIBA Publications</t>
  </si>
  <si>
    <t>Architecture</t>
  </si>
  <si>
    <t>NA7328 .B395 2020</t>
  </si>
  <si>
    <t>'1,3,6,8,146,148,151,153,155,156,158,159,160,161,162,164,165,166,168,167,169'</t>
  </si>
  <si>
    <t>'158'</t>
  </si>
  <si>
    <t>'1,16,116,150,210,204,195,205,206,207,208'</t>
  </si>
  <si>
    <t>'205'</t>
  </si>
  <si>
    <t>The Spread of Islam , 622-750 CE Map</t>
  </si>
  <si>
    <t>Maps.com</t>
  </si>
  <si>
    <t>Religion; Geography/Travel</t>
  </si>
  <si>
    <t>BP55 -- .S67 1999eb;G5690 -- .S67 1999eb</t>
  </si>
  <si>
    <t>'1,3,10,159,153,142,150'</t>
  </si>
  <si>
    <t>'150,150'</t>
  </si>
  <si>
    <t>'1,59,60,62,63,64,65,66,67,107,102,103,104,106,108,109,110,4,5,6,8,42,44,70,105,111,112,113,114,115,116,118,120,121,122,123,124,125,126,127,128,130,129,132,131,133,134,135,136,137,138,139,140,141,142,143,144,145,146,147,148,149,150,152,153,154,155,156,158,157,159,161,162,163,164,165,166,167,168,169,170,171,172,173,174,175,176,177,178,179,180,181,182,183,184,185,186,187,188,189,190,192,193,194,195,196,197,198,199,200,201,202,203,204,205,206,207,208,209,210,211,212,213'</t>
  </si>
  <si>
    <t>'59,60,111,182,188,198,211,211,212'</t>
  </si>
  <si>
    <t>'1,3,4,6,8,9,10,33,32,35,40,41,39,38,37,36,34,31,30,42,43,46,45,47,48,49,50,51,52,53,54,55,56,58,59,60,62,63,65,66,67,68,69,70,71,72,73,74,75,76,78,79,80,81,82,83,84,85,86,87,88,89,90,91,92,93,94,96,95,97,98,99,100,101,102,103,104,105,106,107,108,109,110,111,112,114,115,116,117,118,119,120,121,122,123,124,126,127,128,129'</t>
  </si>
  <si>
    <t>'30,36,37,38,45,54,68,67,69,92'</t>
  </si>
  <si>
    <t>'1,2,3,4,5,6,7,8,9,10,11,12,15,14,16,17,18,19,20,21,22,23,24,25,26,27,28,29,30,31'</t>
  </si>
  <si>
    <t>'30,30,30'</t>
  </si>
  <si>
    <t>K-Pop : Popular Music, Cultural Amnesia, and Economic Innovation in South Korea</t>
  </si>
  <si>
    <t>ML3502.K6 -- .L54 2015eb</t>
  </si>
  <si>
    <t>Mozilla/5.0 (Windows NT 10.0; Win64; x64; rv:90.0) Gecko/20100101 Firefox/90.0</t>
  </si>
  <si>
    <t>Carbohydrate Recognition : Biological Problems, Methods, and Applications</t>
  </si>
  <si>
    <t>612/.01578</t>
  </si>
  <si>
    <t>QP701</t>
  </si>
  <si>
    <t>Confronting Space Debris : Strategies and Warnings from Comparable Examples Including Deepwater Horizon</t>
  </si>
  <si>
    <t>RAND Corporation, The</t>
  </si>
  <si>
    <t>TL1499 -- .B35 2010eb</t>
  </si>
  <si>
    <t>'1,2,3,4,5,5,4,6,7,8,10,24,25'</t>
  </si>
  <si>
    <t>The Electrical Engineering Handbook</t>
  </si>
  <si>
    <t>TK145 -- .E355 2005eb</t>
  </si>
  <si>
    <t>'830,831,832,833,834,835,836'</t>
  </si>
  <si>
    <t>Adventures of Sherlock Holmes</t>
  </si>
  <si>
    <t>ElecBook</t>
  </si>
  <si>
    <t>823/.8</t>
  </si>
  <si>
    <t>PR4622 -- .A7 2001eb</t>
  </si>
  <si>
    <t>'1,2,,1,2,3,4,5,6,7,9,10,11,12'</t>
  </si>
  <si>
    <t>Risk and Safety in Engineering Processes</t>
  </si>
  <si>
    <t>TF145 -- .L835 2015eb</t>
  </si>
  <si>
    <t>'85,86,87,88,89,90,163,164,165,166,167,168,169,170'</t>
  </si>
  <si>
    <t>'152,153,154,155,156,157,158,159,160,161,162,,309,310,311,312,313,314,315,316,317'</t>
  </si>
  <si>
    <t>'7,8,9'</t>
  </si>
  <si>
    <t>'19,20,21,22,23,24,25,26,27,28,,29,30,31,32,33,34,35,36,37,38,39,40,41,42,43,44,,45,46,47,48,49,50,51,52,53,54,55,56,57,58,59,60,61,62,63,64,65,66,67,68,69,70,71,72,73,74,75,76,77,78,79,80,81,82,83,84'</t>
  </si>
  <si>
    <t>Seawater : Its Composition, Properties and Behaviour</t>
  </si>
  <si>
    <t>GC101.2.S42 2002</t>
  </si>
  <si>
    <t>'90,91,92'</t>
  </si>
  <si>
    <t>MATLAB® by Example : Programming Basics</t>
  </si>
  <si>
    <t>Mathematics; Computer Science/IT</t>
  </si>
  <si>
    <t>QA297 -- .G34 2013eb</t>
  </si>
  <si>
    <t>'40'</t>
  </si>
  <si>
    <t>'1,1,1,2,4,3,5,6,8,20,21,22,42,23,41,40'</t>
  </si>
  <si>
    <t>'29,31'</t>
  </si>
  <si>
    <t>'1,,2,22,23,24,26,32,31,30'</t>
  </si>
  <si>
    <t>'1,2,3,5,16,,,17,18,19,19,19,18,,1'</t>
  </si>
  <si>
    <t>'1,2,22,21,23,25,24'</t>
  </si>
  <si>
    <t>'1,3,24,25,26,27,28,29,30,31,32,33,34,35,36,540,543,56,55,58,102,103,,28'</t>
  </si>
  <si>
    <t>Fundamental Physics : An Introduction</t>
  </si>
  <si>
    <t>Alpha Science International</t>
  </si>
  <si>
    <t>QC23 .C438 2013</t>
  </si>
  <si>
    <t>'1,2,3,4,5,6,7,8,9,10,11,12,13,14,15,16,17,18,19,20,21,22,23,24,25,26,27,28,29,30,,31'</t>
  </si>
  <si>
    <t>Mozilla/5.0 (Macintosh; Intel Mac OS X 10_12_6) AppleWebKit/605.1.15 (KHTML, like Gecko) Version/12.1.2 Safari/605.1.15</t>
  </si>
  <si>
    <t>'1,2,3,69,71,72,73'</t>
  </si>
  <si>
    <t>Mozilla/5.0 (Windows NT 10.0; Win64; x64) AppleWebKit/537.36 (KHTML, like Gecko) Chrome/91.0.4472.114 Safari/537.36</t>
  </si>
  <si>
    <t>'238,1,239,241,242,230,,,238,239,240,241,242,242,239'</t>
  </si>
  <si>
    <t>'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t>
  </si>
  <si>
    <t>SolidWorks Surfacing and Complex Shape Modeling Bible</t>
  </si>
  <si>
    <t>TP1122.L58 2008</t>
  </si>
  <si>
    <t>'1,1,25,28,29,30,31,10'</t>
  </si>
  <si>
    <t>Physical Metallurgy : 3-Volume Set</t>
  </si>
  <si>
    <t>Engineering: Chemical; Engineering: Mining; Engineering</t>
  </si>
  <si>
    <t>TN690</t>
  </si>
  <si>
    <t>'124,125,22'</t>
  </si>
  <si>
    <t>Physical Metallurgy</t>
  </si>
  <si>
    <t>Engineering: Mining; Engineering: Chemical; Engineering</t>
  </si>
  <si>
    <t>TN690.P44 1996</t>
  </si>
  <si>
    <t>'98,99,100,101,102,103,104,105,106,107,108,109,110,111,112,113,114,115,116,117,118,119,120,121,122,123,124,125,126,127,128,129,130,131,132,133,134,135,136,137,138,139,140,141,142,143,144,145,146,147,148,149,150,151,152,153,154,155,156,157,158,159,160,161,162,163,164,165,166,167,168,169,170,171,172,173,174,175,176,177,178,179,180,181,182,183,184,185'</t>
  </si>
  <si>
    <t>Nutrition Through the Life Cycle</t>
  </si>
  <si>
    <t>RA784 -- .N87 2002eb</t>
  </si>
  <si>
    <t>Mozilla/5.0 (Linux; Android 10; YAL-L21) AppleWebKit/537.36 (KHTML, like Gecko) Chrome/92.0.4515.159 Mobile Safari/537.36</t>
  </si>
  <si>
    <t>'1,1,2,3,4,5,6,9,,1,2'</t>
  </si>
  <si>
    <t>'1,2,2,2,1'</t>
  </si>
  <si>
    <t>Study in Scarlet</t>
  </si>
  <si>
    <t>PR4622.S78 2001</t>
  </si>
  <si>
    <t>'3,,1'</t>
  </si>
  <si>
    <t>'1,2,3,,3'</t>
  </si>
  <si>
    <t>Phosphorus Analysis in Wastewater : Best Practices</t>
  </si>
  <si>
    <t>TD430S658 2015</t>
  </si>
  <si>
    <t>'1,14,13,18,19,20'</t>
  </si>
  <si>
    <t>Ion Exchange Membranes : Preparation, Characterization, Modification and Application</t>
  </si>
  <si>
    <t>'1,2,3,4,5,6,7,8,9,10,11,12,13,14,15,16,17,18,19,20,21,22,23,24,25,26,27,28,29,30,31,32,33,34,35,36,37,38,39,40,41,42,43,44,45,46,47,48,49,50,51,52,53,54,55,56,57,58,59'</t>
  </si>
  <si>
    <t>Numerical Methods in Engineering and Science</t>
  </si>
  <si>
    <t>Mercury Learning &amp; Information</t>
  </si>
  <si>
    <t>TA345 .G749 2019</t>
  </si>
  <si>
    <t>'1,1,2,3,5,6,7,8,9,10,11,13,12,14,15,16'</t>
  </si>
  <si>
    <t>Thermal Radiation Heat Transfer, 5th Edition</t>
  </si>
  <si>
    <t>QC331.H694 2010</t>
  </si>
  <si>
    <t>'24,,24'</t>
  </si>
  <si>
    <t>'24,25'</t>
  </si>
  <si>
    <t>'1,24,,24'</t>
  </si>
  <si>
    <t>'1,,,1,3,3,3,4,6,7'</t>
  </si>
  <si>
    <t>'18,19,20,21,22,23,24,25,26,27,28,29,30,31,32,,4,5,6,7,8,9,10,11,12,13'</t>
  </si>
  <si>
    <t>Mozilla/5.0 (Linux; Android 11; GM1913) AppleWebKit/537.36 (KHTML, like Gecko) Chrome/92.0.4515.159 Mobile Safari/537.36</t>
  </si>
  <si>
    <t>Carbon Capture and Storage : Physical, Chemical, and Biological Methods</t>
  </si>
  <si>
    <t>Engineering: Environmental; Engineering: Chemical; Engineering</t>
  </si>
  <si>
    <t>628.5/32</t>
  </si>
  <si>
    <t>TP156.S5 -- .C37 2015eb</t>
  </si>
  <si>
    <t>'1,1,1,4,10,61,63,64,,64'</t>
  </si>
  <si>
    <t>'60,61,62,63,64,65'</t>
  </si>
  <si>
    <t>Mozilla/5.0 (Linux; Android 10; STK-LX1) AppleWebKit/537.36 (KHTML, like Gecko) Chrome/92.0.4515.159 Mobile Safari/537.36</t>
  </si>
  <si>
    <t>'1,3,4,5,8,11,30,31,60,60,61,61,61,29,62,62,62,62,62,29,32,33,66,65,64,63,64,137,63,62,61,61,61,130,62,60,61,61,61,61,67'</t>
  </si>
  <si>
    <t>Mozilla/5.0 (iPhone; CPU iPhone OS 14_3 like Mac OS X) AppleWebKit/605.1.15 (KHTML, like Gecko) Version/14.0.2 Mobile/15E148 Safari/604.1</t>
  </si>
  <si>
    <t>Teenagers and Community Service : A Guide to the Issues</t>
  </si>
  <si>
    <t>ABC-CLIO, LLC</t>
  </si>
  <si>
    <t>HN90.V64K44 2003eb</t>
  </si>
  <si>
    <t>'18,19,20,21,22,23,24,25,26,27,28,29,30,31,32,33,34,35,36,37,38,39,40,41,42,43,44,45,46,47,48,49,50,51,52,53,54,55,56,57,58,59,60,61,62,63,64,65,66,67,68,69,70,71,72,73,74,75,76,77,78,79,80,81,82,83,84,85,86,87,,188,189,190,191,192,193,194,195,196,197,198,199,200,201,202,203,204,205,206,207,208,209,210,211,212,213,214,215,216,217,218,219,220,221,222,223,224,225,226,227,228,229,230,231,232,233,234,235,236,237,238,239,240,241,242,243'</t>
  </si>
  <si>
    <t>Computational Fluid Mechanics and Heat Transfer</t>
  </si>
  <si>
    <t>QA901 .A53 2015</t>
  </si>
  <si>
    <t>'20'</t>
  </si>
  <si>
    <t>'20,21,22,23,24,25,26,27,28,29,30,31,32,33,34,35,36,37,38,39,40,41,42,43,44,45,46,47,48'</t>
  </si>
  <si>
    <t>'20,21,22,23,24,25,26,27,28,29,30,31,32,33,34,35,36,37,38,39,40,41,42,43,44,45,46,47,48,49,50,51'</t>
  </si>
  <si>
    <t>Artificial Intelligence: Approaches, Tools, and Applications : Approaches, Tools and Applications</t>
  </si>
  <si>
    <t>Q335.5 -- .A783 2011eb</t>
  </si>
  <si>
    <t>'1,2,3,6,5,4,4'</t>
  </si>
  <si>
    <t>Cloud computing : Moving IT out of the office</t>
  </si>
  <si>
    <t>British Informatics Society Limited</t>
  </si>
  <si>
    <t>QA76.585 -- .C56 2012eb</t>
  </si>
  <si>
    <t>'1,22'</t>
  </si>
  <si>
    <t>A Systematic Approach to Learning Robot Programming with ROS</t>
  </si>
  <si>
    <t>TJ211.45.N496 2018</t>
  </si>
  <si>
    <t>'1,2,4,6,7,10,,,,,120,121,122,123,124'</t>
  </si>
  <si>
    <t>'30,31,32,33,,34,35,36,37,38,39,40,41,42,43,44,45,46,47,48,49,50,51,52,53,54,55,56,57,58,59,60,61,62,63,64,65,,66,67,68,69,70,71,72,73,74,75,76,77,78,79,80,81,82,83,84,85,86,87,88,89,90,91,92,93,94,95,96,97,98,99,100,101,102,103,104,105,106,107,108,109,110,111,112,113,114,115,116,117,118,119'</t>
  </si>
  <si>
    <t>Machine Learning for Time Series Forecasting with Python</t>
  </si>
  <si>
    <t>Computer Science/IT; Science</t>
  </si>
  <si>
    <t>Q325.5 .L399 2021</t>
  </si>
  <si>
    <t>'1,1,2,4,,81,82,83,84,85,86,87,88,89,90,91,92,94,95,96,97,98,99,100,101,102,103'</t>
  </si>
  <si>
    <t>Mastering Machine Learning with Python in Six Steps : A Practical Implementation Guide to Predictive Data Analytics Using Python</t>
  </si>
  <si>
    <t>005.13/3</t>
  </si>
  <si>
    <t>'1,1,2,4,5,6,7,8,9,10,11,13,14,15,164,163,165,166,167,169,170,171,172,173,174,175,176,177,178,179,180,181,182,183,184'</t>
  </si>
  <si>
    <t>Time Series Clustering and Classification</t>
  </si>
  <si>
    <t>QA280 .M343 2019</t>
  </si>
  <si>
    <t>'1,1,2,4,3,5,6,7,8,9,12,26,25,27,28,29,30,31,32'</t>
  </si>
  <si>
    <t>The Minimum Description Length Principle</t>
  </si>
  <si>
    <t>QA276.9.G78 2007</t>
  </si>
  <si>
    <t>'1,,1,16,442,368,369,370,371,372,373,443,444'</t>
  </si>
  <si>
    <t>Aquaculture Production Systems</t>
  </si>
  <si>
    <t>SH135 -- .A76 2012eb</t>
  </si>
  <si>
    <t>'1,3,2,5,6,6,6,6,6,6,7,8,9,10,11,5,2'</t>
  </si>
  <si>
    <t>Bioinformatics : High Performance Parallel Computer Architectures</t>
  </si>
  <si>
    <t>QH324.2 -- .B5487 2010eb</t>
  </si>
  <si>
    <t>'1,5'</t>
  </si>
  <si>
    <t>'1,3,5,15,16,17,18,,,,1,15,17,18,17,17,17,17,18,18,65,66,67,67'</t>
  </si>
  <si>
    <t>'17,18,19,20,21,22,23,24,25,26,27,28,29,30,31,32,33,67,68,69,70,71,72,73,74,75,76,77,78,79,80,81,82,83,84,85,86,87,88,89,90,91,92,93,94,95,96,97,98,99,100,101,102,103,104,105,106,107,108,109,110,111'</t>
  </si>
  <si>
    <t>'1,1,,1,,1,,1,,1,12,18,20,9,11,10,1,230,239,283,292,298,286,294,291,300,301,303,304,306,309,311,314,316,315'</t>
  </si>
  <si>
    <t>'144,145,146,147,148,149,150,151,152,153,154,155,156,157,158,159,160,161,162,163,164,165,166,167,168,169,170,171,172,173,174,175,176,177,178,179,180,181,182,183,184,185,186,187,188,189,190,191,192,193,194,195,196,197,198,199,200,201,202,203,204,205,206,207,208,209,210,211,212,213,214,215,216,217,218,219,220,221,222,223,224,225'</t>
  </si>
  <si>
    <t>'1,3,5,7,4,2,6,8,9,10,11,,,12,16,11,9,28,226,238,239,240,232,241,237,236,235,230,231,325,193,158,156,1,8,10,,1'</t>
  </si>
  <si>
    <t>'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t>
  </si>
  <si>
    <t>Active Solar Collectors and Their Applications</t>
  </si>
  <si>
    <t>TJ812 -- .R33 1985eb</t>
  </si>
  <si>
    <t>'1,3,4,5,6,8,9,10,11,14,16,17,18,19,20,21,22,23,24,25,26,27,28,29,30,31,32,33,34,37,38,39,40,41,43,44,45,46,47'</t>
  </si>
  <si>
    <t>Bioethics: Issues and Dilemmas : Issues and Dilemmas</t>
  </si>
  <si>
    <t>Philosophy; Medicine</t>
  </si>
  <si>
    <t>R724 -- .B4523 2010eb</t>
  </si>
  <si>
    <t>'3,1,4,5,6,7,8,9'</t>
  </si>
  <si>
    <t>Mozilla/5.0 (Macintosh; Intel Mac OS X 10_15_7) AppleWebKit/605.1.15 (KHTML, like Gecko) Version/13.1.3 Safari/605.1.15</t>
  </si>
  <si>
    <t>Green City Planning and Practices in Asian Cities : Sustainable Development and Smart Growth in Urban Environments</t>
  </si>
  <si>
    <t>Geography/Travel; Social Science</t>
  </si>
  <si>
    <t>G1-922</t>
  </si>
  <si>
    <t>'1,1,1,304,316'</t>
  </si>
  <si>
    <t>'304,305,306,307,308,309,310,311,312,313,314,315,316'</t>
  </si>
  <si>
    <t>Fundamentals of Big Data Network Analysis for Research and Industry</t>
  </si>
  <si>
    <t>006.3/12</t>
  </si>
  <si>
    <t>QA76.9.D343.L445 2016</t>
  </si>
  <si>
    <t>'1,3,4,21,22,23,24,25,27,26,28,29,30,15,14,19,18,20'</t>
  </si>
  <si>
    <t>Big Data : Using SMART Big Data, Analytics and Metrics to Make Better Decisions and Improve Performance</t>
  </si>
  <si>
    <t>HD30.2 .M374 2015</t>
  </si>
  <si>
    <t>'1,1,2,3,4,5,6,7,8,9,11,12,13,14,15,16,18,19,20,21,22,23,24,26,27,28,30,29'</t>
  </si>
  <si>
    <t>Applied Nanotechnology : The Conversion of Research Results to Products</t>
  </si>
  <si>
    <t>William Andrew</t>
  </si>
  <si>
    <t>T174.7.R36 2014eb</t>
  </si>
  <si>
    <t>Mozilla/5.0 (Linux; Android 9; ANE-LX1) AppleWebKit/537.36 (KHTML, like Gecko) Chrome/90.0.4430.210 Mobile Safari/537.36</t>
  </si>
  <si>
    <t>Mozilla/5.0 (Macintosh; Intel Mac OS X 10_15_7) AppleWebKit/537.36 (KHTML, like Gecko) Chrome/92.0.4515.107 Safari/537.36</t>
  </si>
  <si>
    <t>'1,,,1'</t>
  </si>
  <si>
    <t>'1,2,3,4,5,6,7,9,10,11,12,13,14,15,16,17'</t>
  </si>
  <si>
    <t>Dracula</t>
  </si>
  <si>
    <t>Lerner Publishing Group</t>
  </si>
  <si>
    <t>PR6037.T617 .S765 2015</t>
  </si>
  <si>
    <t>'1,2,102,109,100,94,99'</t>
  </si>
  <si>
    <t>Mozilla/5.0 (Windows NT 10.0; Win64; x64) AppleWebKit/537.36 (KHTML, like Gecko) Chrome/92.0.4515.107 Safari/537.36</t>
  </si>
  <si>
    <t>Keepers of the Golden Shore : A History of the United Arab Emirates</t>
  </si>
  <si>
    <t>Reaktion Books, Limited</t>
  </si>
  <si>
    <t>DS247.T88.M678 2016</t>
  </si>
  <si>
    <t>'1,202,201,203,204,205,206,207,208,208'</t>
  </si>
  <si>
    <t>'1,3,5,7,8,8'</t>
  </si>
  <si>
    <t>'1,2,3,4,2'</t>
  </si>
  <si>
    <t>Mozilla/5.0 (Windows NT 10.0; Win64; x64; rv:91.0) Gecko/20100101 Firefox/91.0</t>
  </si>
  <si>
    <t>Molecular Genetics of Bacteria</t>
  </si>
  <si>
    <t>QH434.D35 2010</t>
  </si>
  <si>
    <t>'1,2,3,4,13,14,16'</t>
  </si>
  <si>
    <t>Mozilla/5.0 (Macintosh; Intel Mac OS X 10_15_6) AppleWebKit/605.1.15 (KHTML, like Gecko) Version/14.1.1 Safari/605.1.15</t>
  </si>
  <si>
    <t>The Scientific Bases of Human Anatomy</t>
  </si>
  <si>
    <t>QP34.5</t>
  </si>
  <si>
    <t>'21,22,23,24,25,26,27,28,29,30,31,32'</t>
  </si>
  <si>
    <t>Chemistry in Quantitive Language : Fundamentals of General Chemistry Calculations</t>
  </si>
  <si>
    <t>QD42.O753 2009</t>
  </si>
  <si>
    <t>'1,2,,2,6,5,165'</t>
  </si>
  <si>
    <t>Topological Solitons</t>
  </si>
  <si>
    <t>Mathematics; Science: Physics; Science</t>
  </si>
  <si>
    <t>QC174.26.W28 M36 2004</t>
  </si>
  <si>
    <t>Composite Materials in Engineering Structures</t>
  </si>
  <si>
    <t>624.1/8</t>
  </si>
  <si>
    <t>TA418.9.C6 -- C583 2011eb</t>
  </si>
  <si>
    <t>'1,1,2,4,7'</t>
  </si>
  <si>
    <t>'1,4,4,6,23,22,25,87,12,13,16,17,18,19,20,27,28,29,30,31,32,33,34,35,36,37,38,40,41,42,43,44,45,46,47,48,49,50,51,52,53,54,55,56,57,58,59,60,61,62,63,64,65,66,67,68,69,70,71,72,73,74,75,76,77,78,79,80,81,82,83,84,85,86,88,89,90,91,92,93,94,95,96,97,98,99,100,101,102,104,105,106,107,108,109,110,111,112,113,114,115,116,117,118,119,120,121,122,123,124,125,126,127,128,129,130,131,133,134,135,136,138,139,140,141,142,143,144,145,146,147,148,149,150,151,152,153,154,155,156,157,158,159,160,161,162,163,164,165,166,167,168,169,170,171,172,173,174,175,176,177,178,179,180,181,182,183,184,185,186,187,188,190,191,192,193,194,195,196,197,198,199,200,201,202,203,204,205,206,207,208,209,210,211,212,213,214,215,216,217,218,219,220,221,222,223,224,225,226,227,228,229,230,231,232,233'</t>
  </si>
  <si>
    <t>Nanobiotechnology for Sustainable Bioenergy and Biofuel Production</t>
  </si>
  <si>
    <t>TP339$b.N366 2020</t>
  </si>
  <si>
    <t>'8,9,11,12,13'</t>
  </si>
  <si>
    <t>Citizens and the State in Authoritarian Regimes : Comparing China and Russia</t>
  </si>
  <si>
    <t>JQ1516$b.K647 2020</t>
  </si>
  <si>
    <t>'8,9,14,15,18,41,84,100,104,,,,316,317,318,315,,,,100,,100,103,104,105,106,107,108,110,112,113,,100,101,110,109,8,129,128,127,126,126'</t>
  </si>
  <si>
    <t>'100,,263,264,265,266,267,268,269,270,271,272,273,274,275,276,277,278,279,280,281,282,283,284,285,286,287,288,289,290,291,,,316,317,318,319,320,321,322,323,324,325,326,327,328,329,,,100,,,8,9,100,101,102,103,104,105,106,107,108,109,110,111,112,113,114,115,116,117,118,119,120,121,122,123,124,125,126'</t>
  </si>
  <si>
    <t>Fundamentals of Residential Construction</t>
  </si>
  <si>
    <t>690/.837</t>
  </si>
  <si>
    <t>TH4811.A463 2017</t>
  </si>
  <si>
    <t>'1,4,5,2'</t>
  </si>
  <si>
    <t>Modernisation, Mechanisation and Industrialisation of Concrete Structures</t>
  </si>
  <si>
    <t>HD9622.A2M63 2017</t>
  </si>
  <si>
    <t>'1,1,3,10,14,158,161'</t>
  </si>
  <si>
    <t>'1,1,3,4,5,8,9,,11,11,13,17,20,22,23,24,25,26,28,29,30,31,32,33,34,35,36,37,38,39,40,41,42,43,44,45,46'</t>
  </si>
  <si>
    <t>Advanced Oxidation Processes for Water Treatment : Fundamentals and Applications</t>
  </si>
  <si>
    <t>TD458.A383 2018</t>
  </si>
  <si>
    <t>'1,148,148,148,,1,148,147,148,188,187'</t>
  </si>
  <si>
    <t>'148,149,150,151,152,153,154,155,156,157,158,159,160,161,162,163,164,165,166,167,168,169,170,171,172,173,174,175,176,177,178,179,180,181,182,183,184,185,186,187,188,189,190,191,192,193,194,195,196,197,198,199,200,201,202,203,204,205,206,207,208,209,210,211,212,213,214,215,216,217,218,219'</t>
  </si>
  <si>
    <t>'148,148,148,,148'</t>
  </si>
  <si>
    <t>Mozilla/5.0 (Windows NT 10.0; Win64; x64) AppleWebKit/537.36 (KHTML, like Gecko) Chrome/92.0.4515.131 Safari/537.36 Edg/92.0.902.67</t>
  </si>
  <si>
    <t>Materials and Man's Needs : Materials Science and Engineering</t>
  </si>
  <si>
    <t>TA403.6 -- .N37 1974eb</t>
  </si>
  <si>
    <t>'1,1,2,3,4,5,6,7,8,9,10,11,12,13,14,16,15,17,,1,1,2,3,4,5,6,7,8,9,10,11,12,13,15,16,18,20,21,23,25,26,27,28,29,31,32,32'</t>
  </si>
  <si>
    <t>'32,33'</t>
  </si>
  <si>
    <t>Recent Studies in Materials Science</t>
  </si>
  <si>
    <t>TA403.2 .R434 2019</t>
  </si>
  <si>
    <t>'1,1,7'</t>
  </si>
  <si>
    <t>Advanced Materials Science II</t>
  </si>
  <si>
    <t>TA401.3 .R593 2020</t>
  </si>
  <si>
    <t>'1,1,2,8,12'</t>
  </si>
  <si>
    <t>Nanoporous Materials : Advanced Techniques for Characterization, Modeling, and Processing</t>
  </si>
  <si>
    <t>Engineering; Engineering: General; Engineering: Civil</t>
  </si>
  <si>
    <t>TA418.9.N35 -- N36 2011eb</t>
  </si>
  <si>
    <t>'1,1,6,7,8,10,11,12,110,111'</t>
  </si>
  <si>
    <t>'110,111,112,113,114,115,116,117,118,119,120,121,122,123,124,125,126,127,128,129,130,131,132,133,134,135,136,137,138,139,140,141,142,143'</t>
  </si>
  <si>
    <t>'1,149,150,148,144,145,146,152,155'</t>
  </si>
  <si>
    <t>'155'</t>
  </si>
  <si>
    <t>'1,132,133,134,135,136,137,137,138,139,140,141,142,143,144,145,146,147,148,149,150,151,152,153,154,134,135,136,137,132,138,139,140,141,142,143,144,145,146,147,148,148,150,150,150,150,150,150,150,150,148,147,151,152,153,154,132,133,135,136,137,138,139,141,143,144,145,146,,1,132,137,138,139,141,143,143,143,141,145,146,147,148,149,137,134,133,132,135,136,138,138,138,,1,132,137,138,139,140,141,142,143,144,145,141,142,143,144,145,146,152,150,151,153,154'</t>
  </si>
  <si>
    <t>'137,148,,137,138,139,,139,140,141,143,143,144,144,144,144,152,153,154'</t>
  </si>
  <si>
    <t>The Age of Disruption : Technology and Madness in Computational Capitalism</t>
  </si>
  <si>
    <t>Polity Press</t>
  </si>
  <si>
    <t>HM846 .S754 2019</t>
  </si>
  <si>
    <t>Mozilla/5.0 (Macintosh; Intel Mac OS X 11_2_3) AppleWebKit/537.36 (KHTML, like Gecko) Chrome/89.0.4389.114 Safari/537.36</t>
  </si>
  <si>
    <t>The Handbook of Language, Gender, and Sexuality : Handbook of Language, Gender and Sexuality</t>
  </si>
  <si>
    <t>Language/Linguistics; Social Science</t>
  </si>
  <si>
    <t>P120.S48.H363 2014</t>
  </si>
  <si>
    <t>'204,205,209,346,227,226,225,224,223,1,2,3,4,5,6,7,185,186,165,166,168,175,179,178,180,178,178,179,212,212,18,18,175,175,390,391,392,582,582,219,218,218,219,219,135,208,208,107,107,107,165,179,180,181,232,234,235,265,288,289,301,302,355,357,357,114,118,206,210,213,222,222,30,43,61,165,179,180,181,182,232,232,390,391,392,582,583,582,338,345,345,346,10,13,12,14,14,14,206,207,,1,1,1,111,111,213,213,205,208,209,211,212,215,223,224,222,221'</t>
  </si>
  <si>
    <t>'204'</t>
  </si>
  <si>
    <t>Mozilla/5.0 (Windows NT 6.1; Win64; x64) AppleWebKit/537.36 (KHTML, like Gecko) Chrome/92.0.4515.131 Safari/537.36</t>
  </si>
  <si>
    <t>Scientific Autobiography : And Other Papers</t>
  </si>
  <si>
    <t>Q171 .P713 1949</t>
  </si>
  <si>
    <t>'1,2,3,4,4,3,4,5,10'</t>
  </si>
  <si>
    <t>Sustainable Green Chemistry</t>
  </si>
  <si>
    <t>TP155.2.E58$b.S878 2017</t>
  </si>
  <si>
    <t>Handbook of Green Analytical Chemistry</t>
  </si>
  <si>
    <t>Engineering; Science; Science: Chemistry; Engineering: Environmental</t>
  </si>
  <si>
    <t>TD193 -- .H35 2012eb</t>
  </si>
  <si>
    <t>Reflections on the Work of Colin Wilson</t>
  </si>
  <si>
    <t>General Works/Reference; Literature</t>
  </si>
  <si>
    <t>PR6073.I44 .R445 2019</t>
  </si>
  <si>
    <t>'1,1,3,4,5,6'</t>
  </si>
  <si>
    <t>DeVita, Hellman, and Rosenberg's Cancer : Principles &amp; Practice of Oncology</t>
  </si>
  <si>
    <t>616.99/4</t>
  </si>
  <si>
    <t>RC261.C274 2015</t>
  </si>
  <si>
    <t>'1,1,3,1,1'</t>
  </si>
  <si>
    <t>Anatomy Microstructures</t>
  </si>
  <si>
    <t>Science; Science: Anatomy/Physiology</t>
  </si>
  <si>
    <t>QM23.2 .A538 2014</t>
  </si>
  <si>
    <t>Human Anatomy : Anatomie des Menschen</t>
  </si>
  <si>
    <t>QM23.2 -- .W35 2003eb</t>
  </si>
  <si>
    <t>'1,3,4,8,34,32,31,39,38,38,29,36,37,41,42,43,44,47'</t>
  </si>
  <si>
    <t>Anatomy Test</t>
  </si>
  <si>
    <t>QM33 .A538 2014</t>
  </si>
  <si>
    <t>'1,4,17,17'</t>
  </si>
  <si>
    <t>Mozilla/5.0 (iPad; CPU OS 14_6 like Mac OS X) AppleWebKit/605.1.15 (KHTML, like Gecko) Version/14.1.1 Mobile/15E148 Safari/604.1</t>
  </si>
  <si>
    <t>Advanced Thermodynamics</t>
  </si>
  <si>
    <t>Engineering: Mechanical; Engineering; Science: Physics; Science</t>
  </si>
  <si>
    <t>TJ265 .T333 2018</t>
  </si>
  <si>
    <t>'1,16,28,42,45'</t>
  </si>
  <si>
    <t>Mozilla/5.0 (Windows NT 10.0; Win64; x64) AppleWebKit/537.36 (KHTML, like Gecko) Chrome/92.0.4515.107 Safari/537.36 Edg/92.0.902.62</t>
  </si>
  <si>
    <t>Moyamoya Disease : Diagnosis and Treatment</t>
  </si>
  <si>
    <t>Thieme Medical Publishers, Incorporated</t>
  </si>
  <si>
    <t>RC388.5 .M693 2014</t>
  </si>
  <si>
    <t>'1,215,215'</t>
  </si>
  <si>
    <t>Mozilla/5.0 (Windows NT 6.3; Win64; x64; rv:89.0) Gecko/20100101 Firefox/89.0</t>
  </si>
  <si>
    <t>Development and Implementation of a Process Based Management System</t>
  </si>
  <si>
    <t>IAEA</t>
  </si>
  <si>
    <t>Engineering; Social Science; Engineering: Electrical</t>
  </si>
  <si>
    <t>TK9152.16.D484 2015</t>
  </si>
  <si>
    <t>The Jewish-Arab City : Spatio-Politics in a Mixed Community</t>
  </si>
  <si>
    <t>History; Social Science</t>
  </si>
  <si>
    <t>305.80095694/8</t>
  </si>
  <si>
    <t>DS110.L9 -- Y33 2009eb</t>
  </si>
  <si>
    <t>'1,1,2,3,4,5,6,7,8'</t>
  </si>
  <si>
    <t>The Small Gulf States : Foreign and Security Policies Before and after the Arab Spring</t>
  </si>
  <si>
    <t>DS247.A138.S63 2017</t>
  </si>
  <si>
    <t>'1,2,3,5,6,7,9,10,11'</t>
  </si>
  <si>
    <t>Mozilla/5.0 (Windows NT 10.0; Win64; x64) AppleWebKit/537.36 (KHTML, like Gecko) Chrome/91.0.4472.124 Safari/537.36</t>
  </si>
  <si>
    <t>Crack Capitalism</t>
  </si>
  <si>
    <t>Pluto Press</t>
  </si>
  <si>
    <t>HB501 .H655 2010</t>
  </si>
  <si>
    <t>Calculus for Cranks</t>
  </si>
  <si>
    <t>515/.15</t>
  </si>
  <si>
    <t>QA300 .K389 2021</t>
  </si>
  <si>
    <t>'1,1,6,2,3,4,5,,1,1,21,8,4,2,3,5,6,11,9,16,10,13,18,23,12'</t>
  </si>
  <si>
    <t>Challenges in Green Analytical Chemistry : The Challenge</t>
  </si>
  <si>
    <t>QD75.22 -- .C43 2011eb</t>
  </si>
  <si>
    <t>Discrete Fourier Transform, The: Theory, Algorithms And Applications</t>
  </si>
  <si>
    <t>Science; Science: Physics</t>
  </si>
  <si>
    <t>QC20.7.F67S96 2001</t>
  </si>
  <si>
    <t>'1,2,3,3,2,5,6,7,8,9,10,11,12,13,14,15,16,17,18'</t>
  </si>
  <si>
    <t>'16,17,18,19'</t>
  </si>
  <si>
    <t>Mozilla/5.0 (Windows NT 6.1; Win64; x64) AppleWebKit/537.36 (KHTML, like Gecko) Chrome/92.0.4515.107 Safari/537.36</t>
  </si>
  <si>
    <t>Aircraft Propulsion and Gas Turbine Engines</t>
  </si>
  <si>
    <t>629.134/353</t>
  </si>
  <si>
    <t>TL709 .E473 2017</t>
  </si>
  <si>
    <t>Heidegger's Technologies : Postphenomenological Perspectives</t>
  </si>
  <si>
    <t>Fordham University Press</t>
  </si>
  <si>
    <t>B3279.H49 -- I36 2010eb</t>
  </si>
  <si>
    <t>The War on Learning : Gaining Ground in the Digital University</t>
  </si>
  <si>
    <t>378.1/7344678</t>
  </si>
  <si>
    <t>LB2395 -- .L67 2014eb</t>
  </si>
  <si>
    <t>'1,1,2,4,5,6,8,10,11,12,14,15,16,17,18,19,20,21,22,23'</t>
  </si>
  <si>
    <t>'1,1,1,93,92,91,94,95,95,16,44,43,1,2,3,4,5,6,7,8,9,155,15,17,18,19,20,21,22,23,24,25,26,27,28,29,30,31,32,33,34,35,36,37,38,39,40,41,42,45,46,47,48,49,50,51,52,53,54,55,56,57,58,59,60,61,62,63,64,65,66,67,68,69,70'</t>
  </si>
  <si>
    <t>Artificial Intelligence for Communications and Networks : First EAI International Conference, AICON 2019, Harbin, China, May 25-26, 2019, Proceedings, Part I</t>
  </si>
  <si>
    <t>'10,257,258'</t>
  </si>
  <si>
    <t>The Routledge Companion to Media and Poverty</t>
  </si>
  <si>
    <t>Journalism</t>
  </si>
  <si>
    <t>070.4/493625</t>
  </si>
  <si>
    <t>Introduction to Machine Learning</t>
  </si>
  <si>
    <t>006.3/1</t>
  </si>
  <si>
    <t>Q325.5 -- .A473 2014eb</t>
  </si>
  <si>
    <t>'1,2,18,31,31,31,31,30,32,33,27,34,36,36,36,35,33,29,33,33,33,33,33,33'</t>
  </si>
  <si>
    <t>Mozilla/5.0 (Windows NT 10.0; Win64; x64) AppleWebKit/537.36 (KHTML, like Gecko) Chrome/88.0.4324.150 Safari/537.36</t>
  </si>
  <si>
    <t>Histories of City and State in the Persian Gulf : Manama since 1800</t>
  </si>
  <si>
    <t>DS247.2.M35 F83 2009</t>
  </si>
  <si>
    <t>'1,1,39,210,209,209,29,33,36,35,47,48'</t>
  </si>
  <si>
    <t>Population and Development of the Arab Gulf States : The Case of Bahrain, Oman and Kuwait</t>
  </si>
  <si>
    <t>'1,1,25,24,26,27'</t>
  </si>
  <si>
    <t>Advanced Organic Chemistry : Part a: Structure and Mechanisms</t>
  </si>
  <si>
    <t>The Stoics: a Guide for the Perplexed : A Guide for the Perplexed</t>
  </si>
  <si>
    <t>B528 -- .H73 2008eb</t>
  </si>
  <si>
    <t>'1,2,3,5,6,7,9,11,13,30,31,32'</t>
  </si>
  <si>
    <t>Electrophysiology of Extraocular Muscle</t>
  </si>
  <si>
    <t>RE731.B745 1962eb</t>
  </si>
  <si>
    <t>'1,156,157,158,159,51,50,49,48,47,45,52,53,54,55,56,57,58,59,60,61,62,63,64,65,66,67,68,69,148,147,146,,1'</t>
  </si>
  <si>
    <t>'52,53,54,55,56,57,58,59,60,61,62,63,64,65,66,67'</t>
  </si>
  <si>
    <t>Mozilla/5.0 (Windows NT 6.3; Win64; x64; rv:84.0) Gecko/20100101 Firefox/84.0</t>
  </si>
  <si>
    <t>Electric Motors and Drives : Fundamentals, Types and Applications</t>
  </si>
  <si>
    <t>TK2511 -- .H84 2013eb</t>
  </si>
  <si>
    <t>'1,294,295'</t>
  </si>
  <si>
    <t>Mozilla/5.0 (Windows NT 10.0; WOW64) AppleWebKit/537.36 (KHTML, like Gecko) Chrome/91.0.4472.114 Safari/537.36</t>
  </si>
  <si>
    <t>'1,154,155,156'</t>
  </si>
  <si>
    <t>'1,2,3,4,5,6,7,8,10,14,15,16,17,18,19,20,21,22,23,24,25,26,27,328,329,324,314,314'</t>
  </si>
  <si>
    <t>The Image of Man : The Creation of Modern Masculinity</t>
  </si>
  <si>
    <t>305.3/2</t>
  </si>
  <si>
    <t>HQ1090 -- .M67 1998eb</t>
  </si>
  <si>
    <t>'1,12,11,13'</t>
  </si>
  <si>
    <t>Triaxial Testing of Soils</t>
  </si>
  <si>
    <t>Engineering; Engineering: Civil</t>
  </si>
  <si>
    <t>624.1/514</t>
  </si>
  <si>
    <t>TA710.5 -- .L334 2016eb</t>
  </si>
  <si>
    <t>Molecular Dynamics Simulation of Nanocomposites Using BIOVIA Materials Studio, Lammps and Gromacs</t>
  </si>
  <si>
    <t>TA418.9.N35 .M654 2019</t>
  </si>
  <si>
    <t>'1,3,2,4,18'</t>
  </si>
  <si>
    <t>'1,,1,123,123,56,55,54,53,54,54,55,56,57,58,59,60,61,62'</t>
  </si>
  <si>
    <t>Improving Testing for English Language Learners</t>
  </si>
  <si>
    <t>PE1128.A2 -- K66 2008eb</t>
  </si>
  <si>
    <t>'1,2,3,4,5,7,6,8,11,13,12,107'</t>
  </si>
  <si>
    <t>'1,2,3,4,5,6,7,8,13'</t>
  </si>
  <si>
    <t>Mozilla/5.0 (Macintosh; Intel Mac OS X 10_14_6) AppleWebKit/605.1.15 (KHTML, like Gecko) Version/13.1.1 Safari/605.1.15</t>
  </si>
  <si>
    <t>Gene Cloning and DNA Analysis : An Introduction</t>
  </si>
  <si>
    <t>572.8/633</t>
  </si>
  <si>
    <t>QH442.2</t>
  </si>
  <si>
    <t>Mozilla/5.0 (Macintosh; Intel Mac OS X 10_15_5) AppleWebKit/537.36 (KHTML, like Gecko) Chrome/91.0.4472.114 Safari/537.36</t>
  </si>
  <si>
    <t>The Novel : A Survival Skill</t>
  </si>
  <si>
    <t>PN151 -- .P37 2015eb</t>
  </si>
  <si>
    <t>Exploring the Self : Philosophical and psychopathological perspectives on self-experience</t>
  </si>
  <si>
    <t>RC455.4.S42 -- E97 2000eb</t>
  </si>
  <si>
    <t>'1,1,1,175,27,28'</t>
  </si>
  <si>
    <t>Spectroscopy : Atomic and Molecular</t>
  </si>
  <si>
    <t>QC451.C43 2009</t>
  </si>
  <si>
    <t>'14,15,16,17,70,71,72,76,77,78,79,80,81,82,83,84,86,87,88,89,90,91,92,93,94,95,96,98,97,152,153,154,155,156,486,409,410,6,7,8,9,10'</t>
  </si>
  <si>
    <t>Mozilla/5.0 (Windows NT 10.0; Win64; x64) AppleWebKit/537.36 (KHTML, like Gecko) Chrome/91.0.4472.164 Safari/537.36</t>
  </si>
  <si>
    <t>Fundamentals of Enhanced Oil Recovery</t>
  </si>
  <si>
    <t>SPE</t>
  </si>
  <si>
    <t>TN871.F863 2014</t>
  </si>
  <si>
    <t>'11,11,11,12,14,15,16,29'</t>
  </si>
  <si>
    <t>'11,12,13,14,15,16,17,18,19,20,21,22,23,24,25,26,27,28'</t>
  </si>
  <si>
    <t>Petroleum Engineering Handbook : Reservoir Engineering and Petrophysiscs</t>
  </si>
  <si>
    <t>TN870 -- .P4935 2007eb</t>
  </si>
  <si>
    <t>'86'</t>
  </si>
  <si>
    <t>'10,11,12,13,14,15,16,17,18,19,20,21,22,23,24,25,26,27,28,29,30,31,32,33'</t>
  </si>
  <si>
    <t>Strategic Resumes : Writing for Results</t>
  </si>
  <si>
    <t>Course Technology</t>
  </si>
  <si>
    <t>Literature; Business/Management</t>
  </si>
  <si>
    <t>808/.06665</t>
  </si>
  <si>
    <t>HF5383 -- .M234 1992eb</t>
  </si>
  <si>
    <t>'1,2,3,5,6,7,95,96,97,98,99,100,101,103'</t>
  </si>
  <si>
    <t>The Elements of Resume Style : Essential Rules for Writing Resumes and Cover Letters That Work</t>
  </si>
  <si>
    <t>AMACOM</t>
  </si>
  <si>
    <t>650.14/2</t>
  </si>
  <si>
    <t>HF5383 -- .B423 2014eb</t>
  </si>
  <si>
    <t>'1,2,3,4,5,6,7,8,9,10,17,18,19,20,21,22,23,26,25,27,28,29,30,31,32,33,34,35,36,37,38,39,40,41,42,43,44,47,97,98,85,86,79,80,82'</t>
  </si>
  <si>
    <t>'8,9,10,7,11'</t>
  </si>
  <si>
    <t>'10,11,12,13,14,15,16,17,18,19,20,21,22,23,24,25,26,27,28,29,30,31,32,33,,,,,,86,87,88,89,90,91,92,93,94,95,96,97,,86,87,88,89,90,91,92,93,94,95,96,97'</t>
  </si>
  <si>
    <t>'11,13,12,14,15,16,17'</t>
  </si>
  <si>
    <t>Global Warming Combat Manual : Solutions for a Sustainable World</t>
  </si>
  <si>
    <t>Greenwood Publishing Group</t>
  </si>
  <si>
    <t>Engineering: Environmental; Economics; Engineering; Environmental Studies</t>
  </si>
  <si>
    <t>TD171.7 -- .J64 2008eb</t>
  </si>
  <si>
    <t>Density Functional Theory : A Practical Introduction</t>
  </si>
  <si>
    <t>530.14/4</t>
  </si>
  <si>
    <t>QC20.7.D43 -- S55 2009eb</t>
  </si>
  <si>
    <t>'1,4,,4'</t>
  </si>
  <si>
    <t>Fundamentals of Enhanced Oil Recovery Methods for Unconventional Oil Reservoirs</t>
  </si>
  <si>
    <t>TN871 .A443 2020</t>
  </si>
  <si>
    <t>'102'</t>
  </si>
  <si>
    <t>Enhanced Oil Recovery : Resonance Macro- and Micro-Mechanics of Petroleum Reservoirs</t>
  </si>
  <si>
    <t>622/.33827</t>
  </si>
  <si>
    <t>TN871.G365 2017</t>
  </si>
  <si>
    <t>'25,26,29,33,35,37,36,38,39'</t>
  </si>
  <si>
    <t>Marcellus Shale and Shale Gas: Facts and Considerations : Facts and Considerations</t>
  </si>
  <si>
    <t>622/.3381</t>
  </si>
  <si>
    <t>TN881.N62 -- M37 2011eb</t>
  </si>
  <si>
    <t>Henri Bergson: Key Writings : Key Writings</t>
  </si>
  <si>
    <t>B2430.B381A57 2002</t>
  </si>
  <si>
    <t>'1,1,29,30,31,32,33,34,35,60'</t>
  </si>
  <si>
    <t>'1,1,92,94,9,10,408,95,6,7,60,14,15,16,17,2,4,5,11,18,19,20,21,22,23,24,25,26,27'</t>
  </si>
  <si>
    <t>'14,16'</t>
  </si>
  <si>
    <t>Neuropsychological Assessment of Neuropsychiatric and Neuromedical Disorders</t>
  </si>
  <si>
    <t>616.89/075</t>
  </si>
  <si>
    <t>RC473.N48N47 2009</t>
  </si>
  <si>
    <t>'1,2,3,4,6,8,9,11,12,13,14,19,32,33,34,35,36,37,39,41,42,44,45,46,47,48,49,50,52'</t>
  </si>
  <si>
    <t>Using NVIVO in Qualitative Research</t>
  </si>
  <si>
    <t>Mozilla/5.0 (Macintosh; Intel Mac OS X 10_13_6) AppleWebKit/537.36 (KHTML, like Gecko) Chrome/91.0.4472.114 Safari/537.36</t>
  </si>
  <si>
    <t>Living Consciousness : The Metaphysical Vision of Henri Bergson</t>
  </si>
  <si>
    <t>B2430.B43 -- B26 2011eb</t>
  </si>
  <si>
    <t>'1,1,1,330,277,278,279,280,281,282,283,284,285,25,297,26,27,28,29,30,31,32,33,34,35,36,37,38,39,40,41,42,43,,,43,43'</t>
  </si>
  <si>
    <t>Python : An Introduction to Programming</t>
  </si>
  <si>
    <t>QA76.73.P98.P375 2017</t>
  </si>
  <si>
    <t>'1,1,6,7,8,9,10,11,12,13,14,15,16,17,18,354,391,392,393,394,395,395,395,395,2,1'</t>
  </si>
  <si>
    <t>Introduction to Python Programming</t>
  </si>
  <si>
    <t>'1,1,,1,1,2'</t>
  </si>
  <si>
    <t>A Society of Young Women : Opportunities of Place, Power, and Reform in Saudi Arabia</t>
  </si>
  <si>
    <t>305.242/209538</t>
  </si>
  <si>
    <t>HQ1730</t>
  </si>
  <si>
    <t>'1,2,3,4,42,43,45'</t>
  </si>
  <si>
    <t>Mozilla/5.0 (Windows NT 10.0; Win64; x64; rv:89.0) Gecko/20100101 Firefox/89.0</t>
  </si>
  <si>
    <t>African Fashion, Global Style : Histories, Innovations, and Ideas You Can Wear</t>
  </si>
  <si>
    <t>TT504.6.A35 -- .R68 2015eb</t>
  </si>
  <si>
    <t>Contemporary African Fashion</t>
  </si>
  <si>
    <t>746.9/2096</t>
  </si>
  <si>
    <t>TT504.6.A35 -- C66 2010eb</t>
  </si>
  <si>
    <t>'1,2,3,4,5,8,9,76,75,,76'</t>
  </si>
  <si>
    <t>'8,9,10,11,12,13,14,,448,449,450,451,452,453,454,455,457,,1,1,170,194,195,196,197'</t>
  </si>
  <si>
    <t>An Introduction to Predictive Maintenance</t>
  </si>
  <si>
    <t>658.2/02</t>
  </si>
  <si>
    <t>'1,112,113,114,121,124,118,125,126,127'</t>
  </si>
  <si>
    <t>Satellite Thermal Control for Systems Engineers</t>
  </si>
  <si>
    <t>629.1 s;629.46/75</t>
  </si>
  <si>
    <t>TL545 -- .K37 1998eb</t>
  </si>
  <si>
    <t>'1,19,118,120,121,182,181,183,185,187,188,189,190,192,,,182,260,280,,182'</t>
  </si>
  <si>
    <t>'109,110,111,112,113,114,115,116,117,118,119,120,121,122,123,124,125,126,127,128,129,130,131,132,133,134,135,136,137,138,139,140,141,142,143,144,145,146,147,148,149,150,151,152,153,154,155,156,157,158,159,160,161,162,163,164'</t>
  </si>
  <si>
    <t>Mozilla/5.0 (Windows NT 10.0; Win64; x64) AppleWebKit/537.36 (KHTML, like Gecko) Chrome/91.0.4472.124 Safari/537.36 Edg/91.0.864.64</t>
  </si>
  <si>
    <t>Eritrea Society &amp; Culture Complete Report : An All-Inclusive Profile Combining All of Our Society and Culture Reports</t>
  </si>
  <si>
    <t>World Trade Press</t>
  </si>
  <si>
    <t>DT393.4 -- .W67 2010eb</t>
  </si>
  <si>
    <t>Security in the Gulf : Local Militaries before British Withdrawal</t>
  </si>
  <si>
    <t>UA832$b.R677 2020</t>
  </si>
  <si>
    <t>Dreams : (from Volumes 4, 8, 12, and 16 of the Collected Works of C. G. Jung)</t>
  </si>
  <si>
    <t>BF1078 -- .J84 2010eb</t>
  </si>
  <si>
    <t>Computational Fluid-Structure Interaction : Methods and Applications</t>
  </si>
  <si>
    <t>TA357.5.F58.B39 2013</t>
  </si>
  <si>
    <t>'1,23,24,25,26,27,28,29,30,31,32,33,34,35,36,37,38,39,40,41,82,83,81,84,86,88,87,89,90,91,92,93,94,95,96,111,112,113,114,115,116,117,118,119'</t>
  </si>
  <si>
    <t>'1,4,6,,6,7,19,20,20,20,17,16,14,21,22,19'</t>
  </si>
  <si>
    <t>Deleuze and Ethology : A Philosophy of Entangled Life</t>
  </si>
  <si>
    <t>PS9554.U494 .C855 2020</t>
  </si>
  <si>
    <t>'1,1,1,7,83,83,6,5,5,35,34'</t>
  </si>
  <si>
    <t>Honest Signals : How They Shape Our World</t>
  </si>
  <si>
    <t>HM1041.P464 2008</t>
  </si>
  <si>
    <t>'1,2,3,4,5,6,7,8,9,10,11,12,13,14,15,16,17,18,20,21,22,23,24,25,26,27,28,29,30,31,32,33,34,35,36,37,38,39,40,106,107,108,109,110,111,112,113,114,115,116,117,118,119,120,121,122,123,124,125,127,126,128,129,130,131,132,133,133,55,66,73'</t>
  </si>
  <si>
    <t>GRE 4000 : The 4000 Words Essential for the GRE</t>
  </si>
  <si>
    <t>LB2367.4 -- .K65 2011eb</t>
  </si>
  <si>
    <t>'1,2,3,4,5,6,7,8,9,10,11,12,,1,2,5,4'</t>
  </si>
  <si>
    <t>Reformation of Islamic Thought : A Critical Historical Analysis</t>
  </si>
  <si>
    <t>Amsterdam University Press</t>
  </si>
  <si>
    <t>Religion; Social Science; Political Science</t>
  </si>
  <si>
    <t>301;320</t>
  </si>
  <si>
    <t>BP173.6 -- .A28 2006eb</t>
  </si>
  <si>
    <t>'51,1,2,3,4,5,6'</t>
  </si>
  <si>
    <t>Mozilla/5.0 (Macintosh; Intel Mac OS X 10_15_7) AppleWebKit/537.36 (KHTML, like Gecko) Chrome/91.0.4472.77 Safari/537.36</t>
  </si>
  <si>
    <t>Identifying and Understanding the Narcissistic Personality</t>
  </si>
  <si>
    <t>RC553.N36R66 2005</t>
  </si>
  <si>
    <t>'1,2,3,20,21'</t>
  </si>
  <si>
    <t>Mozilla/5.0 (Windows NT 10.0; Win64; x64) AppleWebKit/537.36 (KHTML, like Gecko) Chrome/91.0.4472.101 Safari/537.36 OPR/77.0.4054.90</t>
  </si>
  <si>
    <t>Gust Loads on Aircraft : Concepts and Applications</t>
  </si>
  <si>
    <t>629.132/3</t>
  </si>
  <si>
    <t>TL671.2 -- .H63 1988eb</t>
  </si>
  <si>
    <t>'1,14,15,32'</t>
  </si>
  <si>
    <t>'15,16,14,15,16,17,18,19,20,21,22,23,24,25,26,27,28,29,30,31,32,33,34,35,36,37,38,39'</t>
  </si>
  <si>
    <t>Thermal Design : Heat Sinks, Thermoelectrics, Heat Pipes, Compact Heat Exchangers, and Solar Cells</t>
  </si>
  <si>
    <t>TJ255.5.L44 2010</t>
  </si>
  <si>
    <t>'1,2,4,271,109,82,64,63,54,55,56,57,58,59,60,62,61,65,67,76,77,31,33,34,35,600,601,603,604,605,607,608,609,610,402,403,405,407,408,410,411'</t>
  </si>
  <si>
    <t>Mozilla/5.0 (Windows NT 10.0; Win64; x64) AppleWebKit/537.36 (KHTML, like Gecko) Chrome/85.0.4183.121 Safari/537.36 Edg/85.0.564.67</t>
  </si>
  <si>
    <t>'1,2,4,3,3,3,4,5,6,7,8,10,11,13,15,16,17,18,21,22,23,24,25,26,27,28'</t>
  </si>
  <si>
    <t>'1,18,19,14,15,16,17,20,21,22,20'</t>
  </si>
  <si>
    <t>'364,365,366,367,368,369,370,371,372,373,374,375,376,377,378,379,380,381,382,383,384,385,386,387,388,389,390,391,392,393,394,395,396,397,398,399,400,401,402,403,404,405,406,407,408,409,410,411,412,413,414,415,416,417,418,419,420,421,422,423,424,425,426,427,428,429,430,431,432,433,434,435,436,437,438,439,440,441,442,443'</t>
  </si>
  <si>
    <t>Theory Construction in Social Personality Psychology : Personal Experiences and Lessons Learned: a Special Issue of Personality and Social Psychology Review</t>
  </si>
  <si>
    <t>HM251 -- .P477 2015eb</t>
  </si>
  <si>
    <t>The Philosophy of Nicolai Hartmann</t>
  </si>
  <si>
    <t>B3279.H24 -- N55 2010eb</t>
  </si>
  <si>
    <t>'1,1,43,11,12,13,14,15,16,,1,1,16,15,17,14,2,3,4,18,19,20'</t>
  </si>
  <si>
    <t>'16,3'</t>
  </si>
  <si>
    <t>Aerospace Propulsion</t>
  </si>
  <si>
    <t>TL709.L39 2014eb</t>
  </si>
  <si>
    <t>'1,15,16,17,18,19,20,21,22,23,24'</t>
  </si>
  <si>
    <t>Mozilla/5.0 (Macintosh; Intel Mac OS X 10_15_7) AppleWebKit/537.36 (KHTML, like Gecko) Chrome/91.0.4472.106 Safari/537.36</t>
  </si>
  <si>
    <t>Psychosocial Treatment of Schizophrenia</t>
  </si>
  <si>
    <t>Psychology; Health; Medicine; Social Science</t>
  </si>
  <si>
    <t>RC514 -- .P71893 2010eb</t>
  </si>
  <si>
    <t>'1,27,28,29,30'</t>
  </si>
  <si>
    <t>'27,27,27,27,29'</t>
  </si>
  <si>
    <t>'1,2,3,4,5,6,7,8,9,13,10,11,12,15,16,27,1,1,1,27,24,20,19,21,27,27,418,417,416,415,23,3,2,1,7,5,6,9,8,10,401,402,404,403'</t>
  </si>
  <si>
    <t>'27,27'</t>
  </si>
  <si>
    <t>Mozilla/5.0 (Windows NT 10.0; Win64; x64) AppleWebKit/537.36 (KHTML, like Gecko) Chrome/91.0.4472.114 Safari/537.36 Edg/91.0.864.59</t>
  </si>
  <si>
    <t>Multirate Statistical Signal Processing</t>
  </si>
  <si>
    <t>Springer Netherlands</t>
  </si>
  <si>
    <t>Engineering: Civil; Engineering; Engineering: Electrical</t>
  </si>
  <si>
    <t>Non-Linear</t>
  </si>
  <si>
    <t>'1,2,3,4,5,6,7,8,9,10,10,65,65,178'</t>
  </si>
  <si>
    <t>Japanese and Continental Philosophy : Conversations with the Kyoto School</t>
  </si>
  <si>
    <t>181/.12</t>
  </si>
  <si>
    <t>B5241 -- .J36 2011eb</t>
  </si>
  <si>
    <t>'1,1,208,207,209,209,208,212,211,213'</t>
  </si>
  <si>
    <t>Levinas and the Night of Being : A Guide to Totality and Infinity</t>
  </si>
  <si>
    <t>BD396.L433 .M638 2017</t>
  </si>
  <si>
    <t>'1,1,7,10,13,14,14,15,16'</t>
  </si>
  <si>
    <t>'1,1,1,22,74,132'</t>
  </si>
  <si>
    <t>Islamic History : A Very Short Introduction</t>
  </si>
  <si>
    <t>History; Religion</t>
  </si>
  <si>
    <t>DS36.85 -- .S558 2010eb</t>
  </si>
  <si>
    <t>'1,15'</t>
  </si>
  <si>
    <t>Mozilla/5.0 (Macintosh; Intel Mac OS X 10_14_6) AppleWebKit/537.36 (KHTML, like Gecko) Chrome/91.0.4472.114 Safari/537.36</t>
  </si>
  <si>
    <t>'1,2,3,4,5,6,7,7,10,69,125,126,164,2,1'</t>
  </si>
  <si>
    <t>'125,126,127,128,129,130,131,132,133,134,135,136,137,138,139,140,141,142,143,144,145,146,147,148,149,150,151,152,153,154,155,156,157,158,159,160,161,162,163,1,2,3,4,5,6,7,8,9'</t>
  </si>
  <si>
    <t>The Qurʾan, Morality and Critical Reason : The Essential Muhammad Shahrur</t>
  </si>
  <si>
    <t>BP161.3.S48213 2009</t>
  </si>
  <si>
    <t>'1,549,550,548,546,551,552,553,554,555,573,377,376,225,267,268,270,271,272,1'</t>
  </si>
  <si>
    <t>'1,1,40,41,42,150,65,29,30,31,32,33,34,35,36,36,37'</t>
  </si>
  <si>
    <t>A Tale of Two Cities</t>
  </si>
  <si>
    <t>Literature; Fine Arts</t>
  </si>
  <si>
    <t>741.5/942</t>
  </si>
  <si>
    <t>PR4571$b.D535 2014</t>
  </si>
  <si>
    <t>'1,100,101,104,105,106,107,108,121,234,235,315,316,317,314,313,312,311,308,306,305,302,301,298,294,295,296,297,299'</t>
  </si>
  <si>
    <t>'1,2,3,4,5,6,7,9,10,11,12,13,14,16,17,18,19,20,21,22,23,24,25,26,27,28,28,2,69,124,160,30,29'</t>
  </si>
  <si>
    <t>Treatment Adherence in Dermatology</t>
  </si>
  <si>
    <t>'7,8,10,11,12,13,14,15,16'</t>
  </si>
  <si>
    <t>Mozilla/5.0 (Windows NT 6.1; Win64; x64) AppleWebKit/537.36 (KHTML, like Gecko) Chrome/91.0.4472.114 Safari/537.36</t>
  </si>
  <si>
    <t>Mawlana Mawdudi and Political Islam : Authority and the Islamic State</t>
  </si>
  <si>
    <t>297.2/72092</t>
  </si>
  <si>
    <t>BP80.M34 -- J33 2010eb</t>
  </si>
  <si>
    <t>'1,2,2'</t>
  </si>
  <si>
    <t>Totality and Infinity : An Essay on Exteriority</t>
  </si>
  <si>
    <t>B1-5802</t>
  </si>
  <si>
    <t>'4,1,1,1,1,4,4,6,31,31,55,56'</t>
  </si>
  <si>
    <t>'1,1,29,30,31,32,33,34'</t>
  </si>
  <si>
    <t>'32,33,33'</t>
  </si>
  <si>
    <t>Renewable Energy : Its Physics, Engineering, Use, Environmental Impacts, Economy, and Planning Aspects</t>
  </si>
  <si>
    <t>Economics; Engineering: Mechanical; Engineering; Environmental Studies</t>
  </si>
  <si>
    <t>333.79/4</t>
  </si>
  <si>
    <t>TJ163.2.S66 2004</t>
  </si>
  <si>
    <t>'1,47,749'</t>
  </si>
  <si>
    <t>'1,1,208,207,209,210,211,212'</t>
  </si>
  <si>
    <t>'209'</t>
  </si>
  <si>
    <t>'1,1,1,96,119,151,168,228,251,253,267,268'</t>
  </si>
  <si>
    <t>Women, Leadership, and Mosques : Changes in Contemporary Islamic Authority</t>
  </si>
  <si>
    <t>HQ1170.W598 2012</t>
  </si>
  <si>
    <t>'1,2,3,4,6,8'</t>
  </si>
  <si>
    <t>Possessed by the Right Hand : The Problem of Slavery in Islamic Law and Muslim Cultures</t>
  </si>
  <si>
    <t>HT919 .F743 2019</t>
  </si>
  <si>
    <t>'1,26,2,4,5,6,7,8,9,10,104,105,106,107,,107,108,109,110,111'</t>
  </si>
  <si>
    <t>International GAAP 2021</t>
  </si>
  <si>
    <t>HF5626 .A454 2021</t>
  </si>
  <si>
    <t>Muslim Reformist Political Thought : Revivalists, Modernists and Free Will</t>
  </si>
  <si>
    <t>BP173.7 .K487</t>
  </si>
  <si>
    <t>'1,129,130,131'</t>
  </si>
  <si>
    <t>Mozilla/5.0 (Windows NT 10.0; Win64; x64) AppleWebKit/537.36 (KHTML, like Gecko) Chrome/91.0.4472.106 Safari/537.36</t>
  </si>
  <si>
    <t>Semiconductor Packaging : Materials Interaction and Reliability</t>
  </si>
  <si>
    <t>TK7871.85 -- S4675 2011eb</t>
  </si>
  <si>
    <t>'20,21,22,23,24,25,26,27'</t>
  </si>
  <si>
    <t>Microwave and Millimeter-Wave Electronic Packaging</t>
  </si>
  <si>
    <t>TK7870.15.S787 2014</t>
  </si>
  <si>
    <t>'86,87,88,89,90,91,92,93,94,95,96,97,98,99,100,101,102,103,104,105,106,107,108,4,3,,86,87,88,89,90,91,92,93,94,95,96,97,98,99'</t>
  </si>
  <si>
    <t>Systems-Level Packaging for Millimeter-Wave Transceivers</t>
  </si>
  <si>
    <t>Engineering; Engineering: Electrical; Engineering: Civil</t>
  </si>
  <si>
    <t>'171,172,173,174,175,176,177,178,179,180,181,182,183,184,185,186,187,188,189,190,191,192,193,,241,242,243,244,245,246,247,248,249,250,119,120,121,,122,121,123,124,125,126,127,128,129,130,131,132,133,134,135,136,137,138,139,143,144,145,146,147,148,149,150,151,152,153,154,155,156,157,158,159,160,161,162,163,164,165,166,167,168,169,170,171,172,173,174,175,176,177,178,179,180'</t>
  </si>
  <si>
    <t>Advanced Electrical and Electronics Materials : Processes and Applications</t>
  </si>
  <si>
    <t>Engineering: Electrical; Engineering; Science; Science: Physics</t>
  </si>
  <si>
    <t>QC587 -- .G878 2015eb</t>
  </si>
  <si>
    <t>'577,578,579,580,581,582,583,584,585,586,587,588,589,590,591,592,593'</t>
  </si>
  <si>
    <t>'20,21,22,23,24,25,26,27,28,29,30,31,32,33,34,35,36,37,38,39,40,41,42,43,44'</t>
  </si>
  <si>
    <t>Fundamental Planetary Science : Physics, Chemistry and Habitability</t>
  </si>
  <si>
    <t>QB361 .L57 2013</t>
  </si>
  <si>
    <t>'1,2,224,225,227,229,230'</t>
  </si>
  <si>
    <t>Women, Islam and Modernity : Single Women, Sexuality and Reproductive Health in Contemporary Indonesia</t>
  </si>
  <si>
    <t>306.81/53/09598</t>
  </si>
  <si>
    <t>HQ800.4.I5 -- B46 2005eb</t>
  </si>
  <si>
    <t>'1,1,28,29,28,22,23,23,27,13,13,25,27,28,27,25,26,28,29,27,26,13,14,15,16,16,17'</t>
  </si>
  <si>
    <t>'16,17,17'</t>
  </si>
  <si>
    <t>Mozilla/5.0 (Windows NT 10.0; Win64; x64) AppleWebKit/537.36 (KHTML, like Gecko) Chrome/91.0.4472.77 Safari/537.36</t>
  </si>
  <si>
    <t>'1,1,24,26'</t>
  </si>
  <si>
    <t>Three Arabic Treatises on Aristotle's Rhetoric : The Commentaries of Al-Farabi, Avicenna, and Averroes</t>
  </si>
  <si>
    <t>Southern Illinois University Press</t>
  </si>
  <si>
    <t>PA3893</t>
  </si>
  <si>
    <t>'1,2,3,61,62,63,64,65,67,68,62,194'</t>
  </si>
  <si>
    <t>Carbon Footprint Analysis : Concepts, Methods, Implementation, and Case Studies</t>
  </si>
  <si>
    <t>TD885.5.C3 -- F73 2012eb</t>
  </si>
  <si>
    <t>'1,1,13,14,15,16,16,16,17,18,2,1,19,20,21,22,23,24,25,26,27,28,29'</t>
  </si>
  <si>
    <t>'17,17,24'</t>
  </si>
  <si>
    <t>The Philosophical Poetics of Alfarabi, Avicenna and Averroes : The Aristotelian Reception</t>
  </si>
  <si>
    <t>B725 -- .K46 2003eb</t>
  </si>
  <si>
    <t>'1,1,89'</t>
  </si>
  <si>
    <t>'1,1,2,7,10,11,12,13,14,15,15,16,17,18,19,29,30,31,32'</t>
  </si>
  <si>
    <t>'1,1,1,26,36,37'</t>
  </si>
  <si>
    <t>'36,36,37'</t>
  </si>
  <si>
    <t>Materials Selection in Mechanical Design</t>
  </si>
  <si>
    <t>TA403.6.A74 2005</t>
  </si>
  <si>
    <t>'1,1,1,190,42,43,44,46,47,48,49,50,51'</t>
  </si>
  <si>
    <t>Materials and the Environment : Eco-Informed Material Choice</t>
  </si>
  <si>
    <t>TA403.6.A739 2012</t>
  </si>
  <si>
    <t>'1,1,1,238,239,286'</t>
  </si>
  <si>
    <t>'238,239,240,241,242,243,244,245,246,247,248,249,250,251,252,253,254,255,256,257,258,259,260,261,262,263,264,265,266,267,268,269,270,271,272,273,274,275,276,277,278,279,280,281,282,283,284,285,286,287,288,289,290,291,292,293,294,295,296,297,298,299,300,301,302,303,304,305,306,307,308,309,310,311,312,313,314,315,316,317,318,319,320,321,322,323,324,325,326,327,328,329'</t>
  </si>
  <si>
    <t>Public Trust in Medical Research? : Ethics, Law and Accountability</t>
  </si>
  <si>
    <t>Medicine; Philosophy</t>
  </si>
  <si>
    <t>R852.C448 2007</t>
  </si>
  <si>
    <t>Philosophy East / West : Exploring Intersections Between Educational and Contemplative Practices</t>
  </si>
  <si>
    <t>LB14.7.P5413 2016</t>
  </si>
  <si>
    <t>'1,1,88,89,90,91,92,93,94,95,96,97,98,4,5'</t>
  </si>
  <si>
    <t>'95,4'</t>
  </si>
  <si>
    <t>Stem Cells - from Drug to Drug Discovery</t>
  </si>
  <si>
    <t>QH588.S83.S746 2017</t>
  </si>
  <si>
    <t>'19,19'</t>
  </si>
  <si>
    <t>'19,20,21,22,23,24,25,26,27,28,29,30,31,32,33,34,35,36,37,38,39,40,41,42,43,44,45,46,47,48,49,50,51,52'</t>
  </si>
  <si>
    <t>Introduction to Relativity</t>
  </si>
  <si>
    <t>QC173.55.M38 2003</t>
  </si>
  <si>
    <t>'1,1,2,3,5,5,4,6,7,8,9,10,11,12,13,14,16,17,18,19,20,,16,17,18,19,20,21,22,23,24,25,26,27,28,29,30,31,32,33,34,35,36'</t>
  </si>
  <si>
    <t>Mozilla/5.0 (Windows NT 10.0; Win64; x64) AppleWebKit/537.36 (KHTML, like Gecko) Chrome/91.0.4472.101 Safari/537.36</t>
  </si>
  <si>
    <t>'1,1,,1,1'</t>
  </si>
  <si>
    <t>Imagination : Enhancing the Powers of Thinking</t>
  </si>
  <si>
    <t>Rudolf Steiner Press</t>
  </si>
  <si>
    <t>BF441 .S745 2019</t>
  </si>
  <si>
    <t>'1,1,3,4,5,6,7,9'</t>
  </si>
  <si>
    <t>What Is Good and Why : The Ethics of Well-Being</t>
  </si>
  <si>
    <t>171/.3</t>
  </si>
  <si>
    <t>BJ1401</t>
  </si>
  <si>
    <t>'1,2,3,4,5,7,8,16,,1,2,16,16,16,17,18,,18'</t>
  </si>
  <si>
    <t>Ethical Knowledge</t>
  </si>
  <si>
    <t>BJ1012 .K8 2014</t>
  </si>
  <si>
    <t>'1,2,4,14,16,17,19,20,21,,22'</t>
  </si>
  <si>
    <t>'1,3,12,13,14,16,17,18'</t>
  </si>
  <si>
    <t>Ethics: Essential Readings in Moral Theory : Essential Readings in Moral Theory</t>
  </si>
  <si>
    <t>BJ1012 -- .E8939 2012eb</t>
  </si>
  <si>
    <t>'1,2,3,4,5,6,7,8,9,11,12,13,14,15,16,17,18,19,20,21,22,23,24,25,26'</t>
  </si>
  <si>
    <t>Atlas of Nerve Conduction Studies and Electromyography</t>
  </si>
  <si>
    <t>616.7/407547</t>
  </si>
  <si>
    <t>QP363.L445 2013eb</t>
  </si>
  <si>
    <t>'1,177,123,124,122'</t>
  </si>
  <si>
    <t>'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t>
  </si>
  <si>
    <t>Cognitive Informatics, Computer Modelling, and Cognitive Science : Volume 1: Theory, Case Studies, and Applications</t>
  </si>
  <si>
    <t>Science: Anatomy/Physiology; Science; Science: Biology/Natural History</t>
  </si>
  <si>
    <t>QP360.5$b.C646 2020</t>
  </si>
  <si>
    <t>'8,9,10,11,12,13,14,16,17,18'</t>
  </si>
  <si>
    <t>Application of Biomedical Engineering in Neuroscience</t>
  </si>
  <si>
    <t>R-RZ</t>
  </si>
  <si>
    <t>'49,62,39,1,18,19,20,21,22,25,26,27,28,30,33,37,38,43,45,238,262,263,264,265,267,268'</t>
  </si>
  <si>
    <t>Planning Middle Eastern Cities : An Urban Kaleidoscope</t>
  </si>
  <si>
    <t>HT169.M628 -- P58 2004eb</t>
  </si>
  <si>
    <t>'20,6,5,7,8,9,10,11,12,13,130,129,131'</t>
  </si>
  <si>
    <t>Advanced Interconnects for ULSI Technology</t>
  </si>
  <si>
    <t>621.39/5</t>
  </si>
  <si>
    <t>TK7874.53 -- .A39 2012eb</t>
  </si>
  <si>
    <t>'5,6,7,8,9,10,11,12,13,14,15'</t>
  </si>
  <si>
    <t>SiP System-In-Package Design and Simulation : Mentor EE Flow Advanced Design Guide</t>
  </si>
  <si>
    <t>TK7874.L5 2017</t>
  </si>
  <si>
    <t>'221,222,223,224,225,226,227,228,229,230,231,232,233,234,235'</t>
  </si>
  <si>
    <t>'1,1,208,207,209,210,211,212,227,226,2,3,4'</t>
  </si>
  <si>
    <t>'208'</t>
  </si>
  <si>
    <t>'1,1,208,207,209'</t>
  </si>
  <si>
    <t>'1,3,4,5,18,19,20,21,70,71'</t>
  </si>
  <si>
    <t>Future Manufacturing Systems</t>
  </si>
  <si>
    <t>Arcler Press</t>
  </si>
  <si>
    <t>Engineering: Manufacturing; Engineering; Business/Management</t>
  </si>
  <si>
    <t>TS155.6 .F888 2019</t>
  </si>
  <si>
    <t>Parallel Robots with Unconventional Joints : Kinematics and Motion Planning</t>
  </si>
  <si>
    <t>'1,1,2,3,4,5,6,7,,8,8,9,10,11,12,13,14,15,16,17,18,19,20,21,22,23,24,25,26,27,28,29,30'</t>
  </si>
  <si>
    <t>Reconfigurable Manufacturing Systems: from Design to Implementation</t>
  </si>
  <si>
    <t>Engineering; Engineering: Civil; Engineering: Manufacturing</t>
  </si>
  <si>
    <t>'1,1,2,3,4,5,6,7,8,9,10,11,12,13,14,15,16,17,18,19,20,21,22,23,24,25,26,27,28,29,30,31,32,33,34,35,36,37,38,39,40,41,42,43,44,45,46,47,48,49,50,51,52'</t>
  </si>
  <si>
    <t>'1,208,207,207,208,209,210,211,212,213,214,215,216,217,218,219,220,221,222,223,224'</t>
  </si>
  <si>
    <t>Nuclear Energy : An Introduction to the Concepts, Systems, and Applications of Nuclear Processes</t>
  </si>
  <si>
    <t>TK9145 .M877 2015</t>
  </si>
  <si>
    <t>'1,2,4,5,6,7,8,9,10,11,11,12,13,309,308,310,311,312,313,314,315,316,317,318,319,320,321,322,323,324,325,326'</t>
  </si>
  <si>
    <t>Mozilla/5.0 (Macintosh; Intel Mac OS X 10_14_6) AppleWebKit/605.1.15 (KHTML, like Gecko) Version/14.1 Safari/605.1.15</t>
  </si>
  <si>
    <t>GRE - Verbal Reasoning</t>
  </si>
  <si>
    <t>LB2367.4 .D385 2017</t>
  </si>
  <si>
    <t>'1,2,3,4,6,,1'</t>
  </si>
  <si>
    <t>Islam and the Political : Theory, Governance and International Relations</t>
  </si>
  <si>
    <t>297.2/72</t>
  </si>
  <si>
    <t>BP173.6 -- .S22 2008eb</t>
  </si>
  <si>
    <t>Understanding Microelectronics : A Top-Down Approach</t>
  </si>
  <si>
    <t>TK7874 -- .M253 2012eb</t>
  </si>
  <si>
    <t>'373,374,375,376,377,379,378,380,381'</t>
  </si>
  <si>
    <t>Future Trends in Microelectronics : Journey into the Unknown</t>
  </si>
  <si>
    <t>TK7874.F887 2016</t>
  </si>
  <si>
    <t>'269,270,271,272,273,274,275,276,277,278,279,280,281,282'</t>
  </si>
  <si>
    <t>Advanced Design and Manufacturing Technology I</t>
  </si>
  <si>
    <t>620/.0042</t>
  </si>
  <si>
    <t>TA174.A385 2011eb</t>
  </si>
  <si>
    <t>Debating Moderate Islam : The Geopolitics of Islam and the West</t>
  </si>
  <si>
    <t>University of Utah Press</t>
  </si>
  <si>
    <t>Religion; Political Science</t>
  </si>
  <si>
    <t>320.5/57</t>
  </si>
  <si>
    <t>BP173</t>
  </si>
  <si>
    <t>Introduction to Microfluidics</t>
  </si>
  <si>
    <t>629.8/042</t>
  </si>
  <si>
    <t>TJ853.T3313 2005</t>
  </si>
  <si>
    <t>'1,238,239,240,241,242,243,244,245,246,247,248,249,250,251,252,253,254,255,256,257,258,259,260,261,,1,2,4,238,280,251,252,253,,1,2,4,238,251,251,251'</t>
  </si>
  <si>
    <t>'251,252,253'</t>
  </si>
  <si>
    <t>'1,1,1,120,94,95,96,97,98,99,100,101,102,103,104,105,106,107,108,109,110,111,112,113,114,115,116,117,118,119,121,122,123,124,125,126,127,128,129,130,131,132,133,134,135,136,137,138,94'</t>
  </si>
  <si>
    <t>'1,238,239,240,241,242,243,245,246,247,248,249,250,251,252,253,252,252,238,253,,1,286,238,238,238,240,240,240,240,240,240'</t>
  </si>
  <si>
    <t>'1,3,5,6,45,65,66'</t>
  </si>
  <si>
    <t>'1,19,7,6,45,43,42,41,40'</t>
  </si>
  <si>
    <t>'1,3,4,5,6,7,22,21,28,31,32,36,41,43,44,45,46,48,10,11,8,12'</t>
  </si>
  <si>
    <t>Mozilla/5.0 (Windows NT 10.0; Win64; x64) AppleWebKit/537.36 (KHTML, like Gecko) Chrome/90.0.4430.212 Safari/537.36</t>
  </si>
  <si>
    <t>Manufacturing Process</t>
  </si>
  <si>
    <t>Engineering; Business/Management; Engineering: Manufacturing</t>
  </si>
  <si>
    <t>658.5;670.42</t>
  </si>
  <si>
    <t>TS183 -- .S56 2009eb</t>
  </si>
  <si>
    <t>'1,,1,2,3,4,6,7,8,10,12,12,13,14,15,16,17,18,19,20,21,22,23,24,25,26,27,28,29,30,32,33,34,35'</t>
  </si>
  <si>
    <t>Neighborhood</t>
  </si>
  <si>
    <t>HT123 .T354 2019</t>
  </si>
  <si>
    <t>'30,31,32,33,34,35,36,37'</t>
  </si>
  <si>
    <t>The Palgrave Handbook of Bottom-Up Urbanism</t>
  </si>
  <si>
    <t>H1-970.9</t>
  </si>
  <si>
    <t>'8,9,10,11'</t>
  </si>
  <si>
    <t>'111,112,113,114,115,116,117,118,119,120,121,122,123,124'</t>
  </si>
  <si>
    <t>Integrated Interconnect Technologies for 3D Nanoelectronic Systems</t>
  </si>
  <si>
    <t>621.381;621.3981</t>
  </si>
  <si>
    <t>TK7874.53 -- .I56 2009eb</t>
  </si>
  <si>
    <t>'1,1,81,82,83,84,85,86,87,88,89,91,90,92,93,94,95,96,97,98,99,100'</t>
  </si>
  <si>
    <t>Micromanufacturing Engineering and Technology</t>
  </si>
  <si>
    <t>Business/Management; Engineering: Manufacturing; Engineering</t>
  </si>
  <si>
    <t>TS176 -- .M53 2010eb</t>
  </si>
  <si>
    <t>'1,1,256,255,22,21,28,27,25'</t>
  </si>
  <si>
    <t>How to Survive Your Viva : Defending a Thesis in an Oral Examination</t>
  </si>
  <si>
    <t>LB3056.A2 -- M87 2009eb</t>
  </si>
  <si>
    <t>'1,1,1,1,1,3'</t>
  </si>
  <si>
    <t>Analyzing Qualitative Data</t>
  </si>
  <si>
    <t>HA29.A5828</t>
  </si>
  <si>
    <t>'6,8,9,11,1,129,130,131,134,247,246,,6,7,8,9,10'</t>
  </si>
  <si>
    <t>International Relations : A Very Short Introduction</t>
  </si>
  <si>
    <t>JZ1305 -- .W545 2007eb</t>
  </si>
  <si>
    <t>'16,17,18,19,20,21,22,,52,53,54,55,56,57,58,59,60,61,62,63,64'</t>
  </si>
  <si>
    <t>Wiley CPA Exam Review 2012 : Business Environment and Concepts</t>
  </si>
  <si>
    <t>HD30.2 -- .W528 2012eb</t>
  </si>
  <si>
    <t>Mozilla/5.0 (Macintosh; Intel Mac OS X 10_15_7) AppleWebKit/605.1.15 (KHTML, like Gecko) Version/14.0.3 Safari/605.1.15</t>
  </si>
  <si>
    <t>C++ for Dummies</t>
  </si>
  <si>
    <t>QA76.73.C153 -- .D385 2014eb</t>
  </si>
  <si>
    <t>'1,1,17,23,25,26,27,28,29,30,31,32,33,34,35,36,37,38,39,40,41,42,43,44,45,103,104,106,107,108,110'</t>
  </si>
  <si>
    <t>Mozilla/5.0 (X11; Ubuntu; Linux x86_64; rv:89.0) Gecko/20100101 Firefox/89.0</t>
  </si>
  <si>
    <t>C++ Multithreading Cookbook</t>
  </si>
  <si>
    <t>QA76.73.C153 -- .L586 2014eb</t>
  </si>
  <si>
    <t>'1,1,2,10,12,13,14,16,18,19,20,22,21,23,24,25,26,27,29,30,31,32,33,34,35,36,37,39,40,41,42,43,44,45,46'</t>
  </si>
  <si>
    <t>'13,14,17,16,23,25,52,53'</t>
  </si>
  <si>
    <t>'1,2,4,238,239,242,243,246,246,246,247,249,250,252,253,254,254,254,253,251,250,256,255,273,257,258,259,260,249,248,252,245'</t>
  </si>
  <si>
    <t>Practice Tests for the TOEFL iBT</t>
  </si>
  <si>
    <t>PE1128 -- .S75 2012eb</t>
  </si>
  <si>
    <t>'61,62,63,64,65,66,67,68,69,70,71,73,1,,,27,28,29,30'</t>
  </si>
  <si>
    <t>'12,13,14,15,16,17,18,19,20,21,22,23,24,25,26,27,28,29,30,31,32,33,34,35,36,37,38,39,40,41,42,43,44,45,46,47,48,49,50,51,52,53,54,55,56,57,58,59'</t>
  </si>
  <si>
    <t>'1,1,238,239,240,241,242,243,244,245,246,247,248,249,250,251,252,252,252,253,255,248,259,258,254,256,257,260,261,262,263,264,265,266,267,268,269,246,247,250,251,252,252,252,252,253,254,255,255,256,257,258,254'</t>
  </si>
  <si>
    <t>'255,256,257,258,259'</t>
  </si>
  <si>
    <t>Logos and Revelation : Ibn 'Arabi, Meister Eckhart, and Mystical Hermeneutics</t>
  </si>
  <si>
    <t>Catholic University of America Press</t>
  </si>
  <si>
    <t>248.2/2</t>
  </si>
  <si>
    <t>BV5095</t>
  </si>
  <si>
    <t>'1,1,2,3,4,5,6,8,9,10,11,12,13,14,16,16,17,18,19'</t>
  </si>
  <si>
    <t>Chemometrics for Pattern Recognition</t>
  </si>
  <si>
    <t>543.01/5195</t>
  </si>
  <si>
    <t>QD75.4.C45B74 2009</t>
  </si>
  <si>
    <t>'1,37,38,39,40,43,45,46'</t>
  </si>
  <si>
    <t>Chromatography : Principles and Instrumentation</t>
  </si>
  <si>
    <t>543/.8</t>
  </si>
  <si>
    <t>QD79.C4V58 2017</t>
  </si>
  <si>
    <t>'1,13,14,32,33,63,64,65,66,67,143,73,74,75,76,77,242,242,52,53,54,55,56,57'</t>
  </si>
  <si>
    <t>Islamic Education and Indoctrination : The Case in Indonesia</t>
  </si>
  <si>
    <t>LC910.I5 -- T355 2011eb</t>
  </si>
  <si>
    <t>'1,2,130,134'</t>
  </si>
  <si>
    <t>'1,1,,2,9,10,11,40,39,33,34,35,31,32,22'</t>
  </si>
  <si>
    <t>Professional C++</t>
  </si>
  <si>
    <t>QA76.73.C153S665</t>
  </si>
  <si>
    <t>'1,1,33,34,35,36,37,38,39,40,41,42,43,44,45,46,47,48,49,50,51,51,50,27,33,163,,1,1,163,,1,1,163'</t>
  </si>
  <si>
    <t>'51,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t>
  </si>
  <si>
    <t>Building Machine Learning Systems with Python</t>
  </si>
  <si>
    <t>QA76.73.P98 -- .C645 2015eb</t>
  </si>
  <si>
    <t>'1,1,2,8,9,10,11,12,14,15,16,18'</t>
  </si>
  <si>
    <t>Applied Machine Learning with Python</t>
  </si>
  <si>
    <t>EGEA Spa - Bocconi University Press</t>
  </si>
  <si>
    <t>Q325.5$b.G587 2019</t>
  </si>
  <si>
    <t>'1,1,60,61,62,63,64,65'</t>
  </si>
  <si>
    <t>Learning scikit-learn : Machine Learning in Python</t>
  </si>
  <si>
    <t>Q325.5 -- .G37 2013eb</t>
  </si>
  <si>
    <t>'1,1,2,3,19,20,21,22,23,24,25,26,27,28,29,30,31,32,33,34,35,36,37,38,39,40,41,42,43,44'</t>
  </si>
  <si>
    <t>Soft Computing and Machine Learning with Python</t>
  </si>
  <si>
    <t>QA76.73.P98 .S648 2019</t>
  </si>
  <si>
    <t>'1,1,11,179,181'</t>
  </si>
  <si>
    <t>Handbook for Clinical Research : Design, Statistics, and Implementation</t>
  </si>
  <si>
    <t>610.72/4</t>
  </si>
  <si>
    <t>R853.C55 -- .436 2015eb</t>
  </si>
  <si>
    <t>'91,92,93,88,1,2,3,8'</t>
  </si>
  <si>
    <t>'1,2,3,,16,,16,,16,,17,18,19,20,21,22,23,24,25,26,27,28,29,30,31,32,33,34,35,36,37,38,39,40,41,42,43,44,45,46,47,48,49,50,51,52,53,54,55,56,57,58,59,60,61,62,63,64,65,66,67,68,69,70,71,72,73,74,75,76,77,78,79,80,81,82,83,84,85,86,87,88,89,90'</t>
  </si>
  <si>
    <t>Mozilla/5.0 (Windows NT 10.0; Win64; x64) AppleWebKit/537.36 (KHTML, like Gecko) Chrome/91.0.4472.77 Safari/537.36 Edg/91.0.864.41</t>
  </si>
  <si>
    <t>American English : Dialects and Variation</t>
  </si>
  <si>
    <t>427/.973</t>
  </si>
  <si>
    <t>PE2841 -- .W654 2016eb</t>
  </si>
  <si>
    <t>'1,2,3,4,5,6,7,8,9,10,11,12,13,15,16,17,18,19,20,21'</t>
  </si>
  <si>
    <t>'21,21'</t>
  </si>
  <si>
    <t>Mozilla/5.0 (Windows NT 10.0; WOW64) AppleWebKit/537.36 (KHTML, like Gecko) Chrome/91.0.4472.77 Safari/537.36</t>
  </si>
  <si>
    <t>Fundamentals of Machine Learning using Python</t>
  </si>
  <si>
    <t>'99,100,101,102,103,104,105,107,108,110,111,112,113,114,115,116,117,118,119,120,121,122,123,124,125,127,128'</t>
  </si>
  <si>
    <t>Advanced Machine Learning with Python</t>
  </si>
  <si>
    <t>QA76.73.P98.H43 2016</t>
  </si>
  <si>
    <t>'1,1,124,100,101,102,103,104,105,106'</t>
  </si>
  <si>
    <t>Python 3 for Machine Learning</t>
  </si>
  <si>
    <t>QA76.73.P98$b.C367 2020</t>
  </si>
  <si>
    <t>'51,52,53,54,301,302,303,304,305,326,327'</t>
  </si>
  <si>
    <t>Python Machine Learning</t>
  </si>
  <si>
    <t>QA76.73.P98 .L44 2019</t>
  </si>
  <si>
    <t>'295,296,311,323'</t>
  </si>
  <si>
    <t>'295,296,297,298,299,300,301,302,303,304,305,306,307,308,309,310,311,312,313,314,315,316,317,318,319,320,321,322,323'</t>
  </si>
  <si>
    <t>'231,232,247,269,295'</t>
  </si>
  <si>
    <t>'247,248,249,250,251,252,253,254,255,256,257,258,259,260,261,262,263,264,265,266,267,268,269,270,271,272,273,274,275,276,277,278,279,280,281,282,283,284,285,286,287,288,289,290,291,292,293,294'</t>
  </si>
  <si>
    <t>'1,4,94,97'</t>
  </si>
  <si>
    <t>'231,232,233'</t>
  </si>
  <si>
    <t>'231,232,233,234,235,236,237,238,239,240,241,242,243,244,245,246'</t>
  </si>
  <si>
    <t>'203,231'</t>
  </si>
  <si>
    <t>'177,178,179,180,181,182,183,184,185,186,187,188,189,190,191,192,193,194,195,196,197,198,199,200,201,202,203,204,205,206,207,208,209,210,211,212,213,214,215,216,217,218,219,220,221,222,223,224,225,226,227,228,229,230'</t>
  </si>
  <si>
    <t>'177,,177'</t>
  </si>
  <si>
    <t>'1,2,3,1,2,2,1,,2,238,239,240,241,242,243,244,245,246,247,248,249,250,251,253,254,255,256'</t>
  </si>
  <si>
    <t>Spacecraft Dynamics and Control : An Introduction</t>
  </si>
  <si>
    <t>TL3260.D33 2013</t>
  </si>
  <si>
    <t>'1,2,3,4,5,6,7,8,9,10,11,12,12,13,15,16,17,18,19,21,22,23,24,25,26,27,28,29,30,74,75,76'</t>
  </si>
  <si>
    <t>'241,242,243,244,245,246,247'</t>
  </si>
  <si>
    <t>'1,2,4,94,120'</t>
  </si>
  <si>
    <t>'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t>
  </si>
  <si>
    <t>'1,238,239,240,241,241,241,241,241,241'</t>
  </si>
  <si>
    <t>'1,94,94,94,94,94,94,94'</t>
  </si>
  <si>
    <t>'1,1,14,15,15,186,186,187,188,189,190,192,195,197,196,198,199,200,202,201,203,204,205,206,207,208,209,210,211,213,214,215,216'</t>
  </si>
  <si>
    <t>'1,,1,1,238,239,240,241,242,243,244,245,246,247,248,249,250,251,252,253,254,255,256,257,258,259,286'</t>
  </si>
  <si>
    <t>'1,1,1,2,94,101,90,91,92,93,95,96,97,98,99,100,102,103,104,105,106,107,108,109,110,111,112,113,114'</t>
  </si>
  <si>
    <t>'1,1,1,2,3'</t>
  </si>
  <si>
    <t>'1,1,3,4,7,8,18,19,21,22,23,24,25,26,27,28,29,30,31'</t>
  </si>
  <si>
    <t>'1,1,94,95'</t>
  </si>
  <si>
    <t>'1,2,238,239,240,241,242,243,244,245,246,247,248,249'</t>
  </si>
  <si>
    <t>'1,1,3,4,5,6,7,9,11,12,15,13,17,19,25,26,27,45,66,65,119,177,,2,4,1,4,1,66,,65,,132,70,70,71,93,177,,132,133,135,135,177,,132,133,135,139,139,137,177,,132,132,177,,133,,,132,135,135,177,,132,132,177'</t>
  </si>
  <si>
    <t>'1,2,3,4,6,7,8,6,7,8,9,10,11,12,13,14,15,16,17,18,19,20,21,22,23,24,25,26,27,28,29,30,31,32,33,34,35,36,37,38,39,40,41,42,43,44,45,46,47,48,49,50,51,52,53,54,55,56,57,58,59,60,61,62,63,64,,,,71,72,73,74,75,76,77,78,79,80,81,82,83,84,85,86,87,88,89,93,94,95,96,97,98,99,100,101,102,103,104,105,106,107,108,109,110,111,112,113,114,115,116,117,118'</t>
  </si>
  <si>
    <t>'132,132,,132,132,,131,132,131,131,130,1,2,4'</t>
  </si>
  <si>
    <t>'1,12,11,13,14,15,16,17,18,19,20,21,22,23,24,25,26,27,28,29,30'</t>
  </si>
  <si>
    <t>'12,13,13,16,16,16,15,15,17,17,18,18,18,19,21,22,23,24,28'</t>
  </si>
  <si>
    <t>'1,2,3,4,,119,120,121,122,123,124,125,126,127,128,129,130,131,132,133,134,135,136,137,138,139,140,141,142,143,144,,145,146,147,148,149,150,151,152,153,154,155,156,157,158,159,160,161,162,163,164,165,166,167,168,169,170,171,172,173,174,175,176'</t>
  </si>
  <si>
    <t>Mozilla/5.0 (X11; Ubuntu; Linux x86_64; rv:88.0) Gecko/20100101 Firefox/88.0</t>
  </si>
  <si>
    <t>Subjects on Display : Psychoanalysis, Social Expectation, and Victorian Femininity</t>
  </si>
  <si>
    <t>Ohio University Press</t>
  </si>
  <si>
    <t>823/.8093522</t>
  </si>
  <si>
    <t>PR878.W6 -- N48 2004eb</t>
  </si>
  <si>
    <t>'1,11,12,13,13,13,14,15,16,17,18,19,20,21,22,23,24,25,26,27,28,29,30,31,32,33,34'</t>
  </si>
  <si>
    <t>'12,13,13,13,14,15,16,16,17,20,21,21,22,23,23,23,24,24,31'</t>
  </si>
  <si>
    <t>'1,1,19,20,21,22,145,146,119,120,121,122,123,124,125,126,127,128,129,130,131,132,,132,132'</t>
  </si>
  <si>
    <t>'1,1,2,8,24,25,26,27,28,29,30,31,32,33,34,36,37,38,39,40,41,42,43,44,45,46,47,48,49,50,51,52,53,54,56'</t>
  </si>
  <si>
    <t>Imaging, Modeling and Assimilation in Seismology</t>
  </si>
  <si>
    <t>QE539.2.D36 -- I46 2012eb</t>
  </si>
  <si>
    <t>Industrial Catalysis : A Practical Approach</t>
  </si>
  <si>
    <t>660/.2995</t>
  </si>
  <si>
    <t>QD505</t>
  </si>
  <si>
    <t>'1,,,,,9,7,11,10,12,16,18,111,,112,115,117,116'</t>
  </si>
  <si>
    <t>Intermolecular and Surface Forces</t>
  </si>
  <si>
    <t>QD461.I87 2011</t>
  </si>
  <si>
    <t>'1,1,2,4,3,6,5,7,11,12,16,17,19,20,21,23,35,52,53,55,56,1,1,23,25,28'</t>
  </si>
  <si>
    <t>'2,3,4,21,22,55,56,57,58,59,60,61,62,63,64,65,66,67,68,69,70,71,72,73,74,75,76,77,78,79,80,81,82,83,84,25,26,27,28,29,30'</t>
  </si>
  <si>
    <t>Literary Theory : An Anthology</t>
  </si>
  <si>
    <t>PN45.L512 2017</t>
  </si>
  <si>
    <t>'329,352,353'</t>
  </si>
  <si>
    <t>Discrete Mathematics with Applications</t>
  </si>
  <si>
    <t>QA39.3.K67 2004</t>
  </si>
  <si>
    <t>'1,18,19,20,21,22,23,24,25,26,27,28,29,30,31,32,33,34,35,36,37,38,39,40,41'</t>
  </si>
  <si>
    <t>'38,39'</t>
  </si>
  <si>
    <t>Mozilla/5.0 (Windows NT 10.0; Win64; x64) AppleWebKit/537.36 (KHTML, like Gecko) Chrome/91.0.4472.77 Safari/537.36 Edg/91.0.864.37</t>
  </si>
  <si>
    <t>'1,11,12'</t>
  </si>
  <si>
    <t>Linear Feedback Controls : The Essentials</t>
  </si>
  <si>
    <t>629.8/3</t>
  </si>
  <si>
    <t>TJ216.H35 2013eb</t>
  </si>
  <si>
    <t>'1,1,23,25,26,27,28,29,30,31,32,33,34,35,36,37,38,39,41,42,43,44,47'</t>
  </si>
  <si>
    <t>Mozilla/5.0 (Windows NT 10.0; Win64; x64) AppleWebKit/537.36 (KHTML, like Gecko) Chrome/90.0.4430.212 Safari/537.36 Edg/90.0.818.66</t>
  </si>
  <si>
    <t>Technical Analysis for Dummies</t>
  </si>
  <si>
    <t>HG4529 .R635 2020</t>
  </si>
  <si>
    <t>'223,1,224,225,226,,1'</t>
  </si>
  <si>
    <t>Biomaterials Science : An Introduction to Materials in Medicine</t>
  </si>
  <si>
    <t>R857.M3 -- B56 2013eb</t>
  </si>
  <si>
    <t>Innovating : A Doer's Manifesto for Starting from a Hunch, Prototyping Problems, Scaling up, and Learning to Be Productively Wrong</t>
  </si>
  <si>
    <t>HD53.P4694 2016</t>
  </si>
  <si>
    <t>Recent Advances in Polymer Nanocomposites: Synthesis and Characterisation</t>
  </si>
  <si>
    <t>TA418.9.N35.R43 2010</t>
  </si>
  <si>
    <t>Characterization Techniques for Polymer Nanocomposites</t>
  </si>
  <si>
    <t>TA418.9.N35 -- C437 2012eb</t>
  </si>
  <si>
    <t>Dolomites : A Volume in Honour of Dolomieu</t>
  </si>
  <si>
    <t>QE471.15.D;QE471.15.D6 D63 1994</t>
  </si>
  <si>
    <t>'1,3,11,10,12,13,,11'</t>
  </si>
  <si>
    <t>Solid-Liquid Filtration : Practical Guides in Chemical Engineering</t>
  </si>
  <si>
    <t>TP156.F5 -- .P475 2015eb</t>
  </si>
  <si>
    <t>'1,2,2,72,73,74,76,77,78,79,80,81,82,83,84,85,86,86,86,86,86'</t>
  </si>
  <si>
    <t>'2,3,4,5,6,6,5,6,6,6,6,6,6,7,6,7,8,72,71,73,74,75,76,77,77,78,79,80,81,82,83,84,85,86,87,88,89,90,91,92,94,94,62,62,63,64,65,66,67,68,69,70,71,72,70,70,68,65,63,61'</t>
  </si>
  <si>
    <t>'1,1,1,,1'</t>
  </si>
  <si>
    <t>'1,2,4,1'</t>
  </si>
  <si>
    <t>Mozilla/5.0 (iPhone; CPU iPhone OS 13_7 like Mac OS X) AppleWebKit/605.1.15 (KHTML, like Gecko) Version/13.1.2 Mobile/15E148 Safari/604.1</t>
  </si>
  <si>
    <t>'1,36,42'</t>
  </si>
  <si>
    <t>Mozilla/5.0 (Macintosh; Intel Mac OS X 10_14_6) AppleWebKit/537.36 (KHTML, like Gecko) Chrome/90.0.4430.93 Safari/537.36</t>
  </si>
  <si>
    <t>Dictionary of Stem Cells, Regenerative Medicine, and Translational Medicine</t>
  </si>
  <si>
    <t>QH491.D94 2017</t>
  </si>
  <si>
    <t>'1,5,,1,6,3,8,11,10,16,19,14,13,17,21,21,22,23'</t>
  </si>
  <si>
    <t>Engineering : Robots, Desktops and Micromachines</t>
  </si>
  <si>
    <t>Technology Research News</t>
  </si>
  <si>
    <t>T173.8 -- .E54 2003eb</t>
  </si>
  <si>
    <t>Mozilla/5.0 (Windows NT 6.1; Win64; x64) AppleWebKit/537.36 (KHTML, like Gecko) Chrome/90.0.4430.212 Safari/537.36</t>
  </si>
  <si>
    <t>Trefethen's Index Cards: Forty Years Of Notes About People, Words And Mathematics</t>
  </si>
  <si>
    <t>QA99.T74 2011</t>
  </si>
  <si>
    <t>'1,2,3,4,5,6,7,8,9,10,11,12,13'</t>
  </si>
  <si>
    <t>Radiology, Lasers, Nanoparticles and Prosthetics : Radiology, Lasers, Nanoparticles, and Prosthetics</t>
  </si>
  <si>
    <t>R895.Z334 2017</t>
  </si>
  <si>
    <t>'1,3,4,5,6,7,9,10,11,12,14,16,17'</t>
  </si>
  <si>
    <t>Mozilla/5.0 (Windows NT 10.0; Win64; x64; rv:88.0) Gecko/20100101 Firefox/88.0</t>
  </si>
  <si>
    <t>Mindfulness for Students</t>
  </si>
  <si>
    <t>Ivy Group, The</t>
  </si>
  <si>
    <t>BF637.M56 .K384 2019</t>
  </si>
  <si>
    <t>Caring Science, Mindful Practice : Implementing Watson's Human Caring Theory</t>
  </si>
  <si>
    <t>RT84.5 -- .S528 2014eb</t>
  </si>
  <si>
    <t>'58,59,60,61,62,63,64,65,66,67,68,69,,18,19,20,21,22,23,24,25,26,27,28,29,30,31,32,33,34,35,36,37,38,39,40,41,42,43,44,45,46,47,48,49,50,51,52,53,54,55'</t>
  </si>
  <si>
    <t>Mozilla/5.0 (Windows NT 10.0; Win64; x64) AppleWebKit/537.36 (KHTML, like Gecko) Chrome/90.0.4430.93 Safari/537.36 Edg/90.0.818.56</t>
  </si>
  <si>
    <t>Fundamentals of Petroleum Refining</t>
  </si>
  <si>
    <t>TP690.F76 2010</t>
  </si>
  <si>
    <t>'1,1,170,169,169,171,172,173,174,179,181,182,184,188,189,190,191,208,208,179,183,182,186,185,194,193,195,191,210,209'</t>
  </si>
  <si>
    <t>'1,1,112,111,115,116,116,117,122,121,123,124,125,126,127,128,177,177,183,182,272,271,271,318,317'</t>
  </si>
  <si>
    <t>Springer Handbook of Nanotechnology</t>
  </si>
  <si>
    <t>Springer Berlin / Heidelberg</t>
  </si>
  <si>
    <t>'1,395,397,398,399,400,401,402,403,404,405,406,407,408,409,410,411,412,413,414,415,416,417,418,419,420,421,422,423,424,425,270,271,272,273,274,275,276,277,278,279,280,281,282,283,284,285,286,287,288,289,290,291'</t>
  </si>
  <si>
    <t>'1,1,1,170,169,170,171,173,172,183,198,206,206,140,140,154,155,156,156,155,86,87,88,89,89,89,281,284,283,283,280,289,290,291,292,298,296,292,181,183,182,182,306,306,140,139,139,139,183,272,140,91,91,142,154,153,155,155,20,19,29,28,31,142,141,280,279,321,320,322,323,30,29,289,290,291,292,293,294,295,287,286,285,284,283,282,282,140,140,18,17,28,34,33,33,305,311,312,305,305,228,154,153,154,225,225,306,305,310,310,171,184,183,183,281,280,282,282,305,305,305'</t>
  </si>
  <si>
    <t>'1,25,26,27,28,3,4,6,58,59,60,61,62,63,64,66,68,70,88,270,271,272,273,274,275,276,277,278,279,280,281,282,283,284,285,286,287,288,289,290,291,292,293,294,295,297,296,298,299,301,300,302,303,304,305,306,307,309,310,311,312,315,395,396,397,398,399,400,401,402,404,405,406,407,408,409,410,411,412,413,414,415,416,417,418,419,420,422,424,425,426,427,428,429,491,492,495,497,498'</t>
  </si>
  <si>
    <t>In the Philippines and Okinawa : A Memoir, 1945-1948</t>
  </si>
  <si>
    <t>University of Missouri Press</t>
  </si>
  <si>
    <t>355/.0092B</t>
  </si>
  <si>
    <t>U53.T75.A3 2001</t>
  </si>
  <si>
    <t>'17,18,19,20,21,22,261,262,263,264,265,266,267,268,269'</t>
  </si>
  <si>
    <t>Mozilla/5.0 (Windows NT 10.0; WOW64) AppleWebKit/537.36 (KHTML, like Gecko) Chrome/90.0.4430.212 Safari/537.36</t>
  </si>
  <si>
    <t>Historical Dictionary of Bowling</t>
  </si>
  <si>
    <t>GV902.5 -- .G73 2014eb</t>
  </si>
  <si>
    <t>'1,1,54,55,56,57,58'</t>
  </si>
  <si>
    <t>Discipline-Based Education Research : Understanding and Improving Learning in Undergraduate Science and Engineering</t>
  </si>
  <si>
    <t>Q183.3.A1 -- N3585 2012eb</t>
  </si>
  <si>
    <t>'13,14,15,16,,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t>
  </si>
  <si>
    <t>Introduction to Geophysical Fluid Dynamics : Physical and Numerical Aspects</t>
  </si>
  <si>
    <t>Science: Geology; Science: Physics; Science</t>
  </si>
  <si>
    <t>QC809.F5.C87 2011</t>
  </si>
  <si>
    <t>'1,4,5,6,7,8,9,10,11,12,13,13,14,15,16,4,5,224,223,258,259,260,261,262,264,275,275,7,6,27,26'</t>
  </si>
  <si>
    <t>Atmosphere, Ocean and Climate Dynamics : An Introductory Text</t>
  </si>
  <si>
    <t>Science; Science: Geology; Science: Physics</t>
  </si>
  <si>
    <t>QC880.4.A8M348 2008</t>
  </si>
  <si>
    <t>'130,131,132,133,134,135,186,84,30,136,137,138,139,140,141,142,143,144,145,146,147,160,161,162,163,164,165,166,167'</t>
  </si>
  <si>
    <t>'130,131,132,133,134,135,136,137,138,139,140,141,142,143,144,145,146,147,148,149,150,151,152,153,154,155,156,157,158,159'</t>
  </si>
  <si>
    <t>'82,82,,102,103,104,105,106,107,108,139,138,137,136,135,1,2,3,5,6,102,105,99,100,101,107,108,109,110,111,112,113,114,115,116,117,118,119,122,124,126,132,133,130,129,128,131,134,135,136,137'</t>
  </si>
  <si>
    <t>'82,83,84,85,86,87,88,89,90,91,92,93,94,95,96,97,98,99,100,101,,102,103,104,105,106,107,108,109,110,111,112,113,114,115,116,117,118,119,120,121,122,123,124,125,126,127,128,129'</t>
  </si>
  <si>
    <t>The Clinical Handbook of Biofeedback : A Step-By-Step Guide for Training and Practice with Mindfulness</t>
  </si>
  <si>
    <t>RC489.B53 -- .K45 2013eb</t>
  </si>
  <si>
    <t>'303,304,305,306,307,309,1'</t>
  </si>
  <si>
    <t>'303,304,305,306,307,308,309,310,311,312,313,314,315,316,317,303,304,305,306,307,308,309,310,311,312,313,314,315,316,317'</t>
  </si>
  <si>
    <t>Non-Destructive Testing Techniques</t>
  </si>
  <si>
    <t>New Academic Science</t>
  </si>
  <si>
    <t>TA417.2.P73 2012</t>
  </si>
  <si>
    <t>'117,122'</t>
  </si>
  <si>
    <t>Project Financing : Asset-Based Financial Engineering</t>
  </si>
  <si>
    <t>658.15/2</t>
  </si>
  <si>
    <t>HG4028.C4.F488 2013</t>
  </si>
  <si>
    <t>'1,29,161,287,277,262,242,254,250,249,,1,,1,233,238,239,240,236,236'</t>
  </si>
  <si>
    <t>Mozilla/5.0 (Windows NT 10.0; Win64; x64) AppleWebKit/537.36 (KHTML, like Gecko) Chrome/90.0.4430.212 Safari/537.36 Edg/90.0.818.62</t>
  </si>
  <si>
    <t>Analytics and Decision Support in Health Care Operations Management</t>
  </si>
  <si>
    <t>362.1072/7</t>
  </si>
  <si>
    <t>RA971.O933 2017</t>
  </si>
  <si>
    <t>'1,119,141,143'</t>
  </si>
  <si>
    <t>Mozilla/5.0 (Macintosh; Intel Mac OS X 10_15_7) AppleWebKit/537.36 (KHTML, like Gecko) Chrome/90.0.4430.212 Safari/537.36</t>
  </si>
  <si>
    <t>'1035,,1035,947,946,948,950,951,980,981,982,983,984,985,986,987,988,989,990,991,992,993'</t>
  </si>
  <si>
    <t>'1,328,327,326'</t>
  </si>
  <si>
    <t>'1035,,1035'</t>
  </si>
  <si>
    <t>'1,234,233,235,236,236,236,236,236,236,236,236,237,238,235,239,240'</t>
  </si>
  <si>
    <t>'1035,,1035,307'</t>
  </si>
  <si>
    <t>'1,1035,,,1035,1036,1037,1038,1039,1040'</t>
  </si>
  <si>
    <t>Diamond: A Paradox Logic (2nd Edition) : A Paradox Logic</t>
  </si>
  <si>
    <t>QA9.H396 2010</t>
  </si>
  <si>
    <t>'1,14,13,15'</t>
  </si>
  <si>
    <t>'1,,1,834,833,835,839,841,843,844,845,846,847,848,849,850,851,852,853'</t>
  </si>
  <si>
    <t>Ergonomics : Foundational Principles, Applications, and Technologies</t>
  </si>
  <si>
    <t>620.8/2;620.82</t>
  </si>
  <si>
    <t>TA166 .M33 2015</t>
  </si>
  <si>
    <t>'1,9,10,11,27,28,29,30,31,32,33,34,35,36,37,38,39,,1,3,27,31,32,33,34,35,36,37,38,39,40,41,42'</t>
  </si>
  <si>
    <t>'1,119,120,121,123,122,124,125,126,127,128,130,132,133,134,135,136,138,139,140,141,142,143,144,147,231,233,234,235,236,237,238,239,241,242,243,244,245,246,247'</t>
  </si>
  <si>
    <t>'1,834,833,835,836,837,838,839,840,841,842,843,844,845,846,847,848,849,850'</t>
  </si>
  <si>
    <t>'970,607,606,792,793,794,795,796,797,798,799,800,801,802,803,804,805,806,807,808,809,810,811,812,813,814'</t>
  </si>
  <si>
    <t>Agriculture, Hydrology and Water Quality</t>
  </si>
  <si>
    <t>TD428.A37 -- A366 2002eb</t>
  </si>
  <si>
    <t>'16,17,18'</t>
  </si>
  <si>
    <t>Mozilla/5.0 (Windows NT 10.0; WOW64) AppleWebKit/537.36 (KHTML, like Gecko) Chrome/90.0.4430.93 Safari/537.36</t>
  </si>
  <si>
    <t>Applications and Challenges of Maintenance and Safety Engineering in Industry 4. 0</t>
  </si>
  <si>
    <t>IGI Global</t>
  </si>
  <si>
    <t>Engineering: General; Engineering; Business/Management</t>
  </si>
  <si>
    <t>T55 .A67</t>
  </si>
  <si>
    <t>Hydraulic Fracture Modeling</t>
  </si>
  <si>
    <t>TN871.255 .H937 2018</t>
  </si>
  <si>
    <t>'1,1,242,250,251,252,253,254,255,256,257,258,259,260,261,263,264,265,266,267,268,269,270,271,272,2,6,7,8,9,10,11,346,347,348'</t>
  </si>
  <si>
    <t>Handbook of Hydraulic Fracturing</t>
  </si>
  <si>
    <t>Engineering; Engineering: Mining; Engineering: Environmental</t>
  </si>
  <si>
    <t>TD195.G3 -- .S745 2016eb</t>
  </si>
  <si>
    <t>Petrophysics : Theory and Practice of Measuring Reservoir Rock and Fluid Transport Properties</t>
  </si>
  <si>
    <t>Engineering; Science; Science: Geology; Engineering: Mining</t>
  </si>
  <si>
    <t>553.2/8</t>
  </si>
  <si>
    <t>TN870.5 .T533 2015</t>
  </si>
  <si>
    <t>'1,3,61,63,66,71,72,78,79'</t>
  </si>
  <si>
    <t>'970,,970,1127,1126,1128,1129,1131,1132,1133,1134'</t>
  </si>
  <si>
    <t>'1,2,61,62,63,64,67,72,73,74,75'</t>
  </si>
  <si>
    <t>'970,1127,1126,1128,1129,1130,1131'</t>
  </si>
  <si>
    <t>Big Data in Medical Science and Healthcare Management : Diagnosis, Therapy, Side Effects</t>
  </si>
  <si>
    <t>R859.7</t>
  </si>
  <si>
    <t>'970,971,972,973,976,977,978,1018,1014,1009,1002,1001,1000,998,997,992,991,918,960,1004,979,972,958,958,959,960,961,962,963,964,965,966,967,968,969,970,972,973,974,975,976,977,978,979,980,1149,1146,1047,1048,1004,1004,1004,1000,1000,1001,1001,1000,999,997,998,996,995,994,993'</t>
  </si>
  <si>
    <t>Emergency Triage : Manchester Triage Group</t>
  </si>
  <si>
    <t>RC86.7.E447 2014eb</t>
  </si>
  <si>
    <t>'1,947,946,948,949,950,953,956,961,964,965,966,967,968,969,970,,970,971,972,973,974,975,976,977,978,979,980,981,982,983,984,985,986,987,988,989,990'</t>
  </si>
  <si>
    <t>Emergency Triage Assessment and Treatment (ETAT) : Manual of Participants and Facilitator Guide</t>
  </si>
  <si>
    <t>World Health Organization</t>
  </si>
  <si>
    <t>RC867 -- .W6754 2005eb</t>
  </si>
  <si>
    <t>'1,6,2,2,1,4,3,5,6,7,14,15,16,17,18,19,20,21,22,23,24,25,26,27,28'</t>
  </si>
  <si>
    <t>Disciplined Entrepreneurship : 24 Steps to a Successful Startup</t>
  </si>
  <si>
    <t>HB615.A95 2013eb</t>
  </si>
  <si>
    <t>Mozilla/5.0 (Macintosh; Intel Mac OS X 10_15_5) AppleWebKit/537.36 (KHTML, like Gecko) Chrome/90.0.4430.93 Safari/537.36</t>
  </si>
  <si>
    <t>'1,,1,977,976,978,979,975,974,973,972,971,970,970,791,951,952,950,953,954,955,956,957,958,959'</t>
  </si>
  <si>
    <t>'1,,1,947,946,948,949,950,951,952,953,954,955,956,957,958,959,960,961,962,963,964,965,966,967,968,969,970,867,947,948,971,972,972,790,789,789,980,985,984,983,982,981'</t>
  </si>
  <si>
    <t>'1,397,398,399,401,402,404,406,408,409,410,411,412,413,414,415,416,417,418,419,420,421,422,423,424'</t>
  </si>
  <si>
    <t>'1,511,513,512,514,515,516,517,518,519,520,523,524,525,522,521'</t>
  </si>
  <si>
    <t>'1,186,187,188,189,190,191,192,193'</t>
  </si>
  <si>
    <t>'1,27,28'</t>
  </si>
  <si>
    <t>'1,947,948,949,950,951,952,953,954,955,956,957,958,959,960,961,962,963,964,965,966,967,968,970,971,972,973,974,975,976,977,978,979,980,981,982,983,984,985,986,969,955,965,954,956,957,958,959,960,961,962,963,964,967,968,969,970,971,972,974,975,978,1018,1019,1017,1016,1015,1014,991,990,989,992,992,991,990,988,987,986,985,984,983,982,984,983,975,974,976,976,988,988,988,987,941,939,939,940,941,945,946,947,948,949,950'</t>
  </si>
  <si>
    <t>'1,2,3,5,6,7,61,62,63,64,68,103,68,397,398,401,404,405,407,410,411,413,412,414,415,417,418,419,420,559,560,561,562,564,565,566,567,586,587,579,589,399,400,402,406,408,409,421,422,423,424,425,426,,,,,61'</t>
  </si>
  <si>
    <t>'1,2,3,4,5,6,418,511,512,513,514,515,516,517,518,519,520,521,522,523,524,525,526,527,528,529,530,531,532,533,534,535,536,537,538,539,540,,511,512,513,514,515,516,517,518,519,520,521,522,523,524,525,526,527,528,529,530,531,532,533,534,535,536,537,538,539,540,,427,428,429,430,431,432,433,434,435,436,437,438,439,440,441,442,443,444,445,446,447,448,449,450,451,452,453,454,455,456,457,458,459,460,461,462,463,464,,397,398,399,400,401,402,403,404,405,406,407,408,409,410,411,412,413,414,415,416,417,418,419,420,421,422,423,424,425,426,,,418'</t>
  </si>
  <si>
    <t>Chemical Vapor Transport Reactions</t>
  </si>
  <si>
    <t>QD502.5 -- .C4413 2012eb</t>
  </si>
  <si>
    <t>Intercultural Communication</t>
  </si>
  <si>
    <t>HM1211.I584 2017eb</t>
  </si>
  <si>
    <t>'1,2,5,10,3,6,9,12,13,14,11'</t>
  </si>
  <si>
    <t>'1,1,11,27,92,93,94,95,96,96,96,1,607,608,609,610,611,611,611,610,612,611,611,612,611,611,611,611,89,90,106,107,108,109,110,111,112,113,114,114,113,116,113,92,93,94,95,95,95,113,95,113,115,114,117,116,114'</t>
  </si>
  <si>
    <t>'1,128,127,129,129,1,12,15,31,569,581,582,583,583,582,583,403,582,584,582,583,583,404,582,584,584'</t>
  </si>
  <si>
    <t>'1,233,238,240,234,235,236,236'</t>
  </si>
  <si>
    <t>'1,1,2,4,6,7,9,10,11,12,13,15,16,17,19,21,22,23,24,26,27,28,31,33,35,37,39,41,42,569,570,571,571,571,572'</t>
  </si>
  <si>
    <t>'1,1,25,29,43,44,45,47,48'</t>
  </si>
  <si>
    <t>'1,2,3,5,6,7,8,9,10,11,12,13,14,15,16,17,18,19,20,21,22,23,24,25,27,26,29,30,31,32,33,34,35,36,37,38,39,40,41,42,43,44,45,46,47,47,6,22,22,23,24,24,194,194,15,119,120,141,141,26,27'</t>
  </si>
  <si>
    <t>Constructivist Blended Learning Approach : To Teaching English for Specific Purposes</t>
  </si>
  <si>
    <t>PE1068 .G4</t>
  </si>
  <si>
    <t>'1,1,2,3,4,5,6,7,8,9,10,12,29,189,254,253,252,251,250,249,247,235,234,232,231,199,200,198,197,196,,,1,8,15,58,149,150,152,151,157'</t>
  </si>
  <si>
    <t>Mozilla/5.0 (Macintosh; Intel Mac OS X 10_14_0) AppleWebKit/537.36 (KHTML, like Gecko) Chrome/90.0.4430.212 Safari/537.36</t>
  </si>
  <si>
    <t>Corpus-informed Research and Learning in ESP : Issues and Applications</t>
  </si>
  <si>
    <t>PE1128.A2 -- C693456 2012eb</t>
  </si>
  <si>
    <t>'1,1,2,3,4,5,6,7,20,16,21'</t>
  </si>
  <si>
    <t>'1,1,1,15,4,16,16'</t>
  </si>
  <si>
    <t>'1,1,3,4,6,7,8,9,10,12'</t>
  </si>
  <si>
    <t>On Palestine</t>
  </si>
  <si>
    <t>Haymarket Books</t>
  </si>
  <si>
    <t>DS126.5 -- .C46 2015eb</t>
  </si>
  <si>
    <t>'1,5,7,6,8,9,10,11,12'</t>
  </si>
  <si>
    <t>'48,49,50,51,52,53,54,55,56,57,58,59,60,61,62,63,64,65,66,67,68,69,70,71,72,73,74,75,76,77,78,79,80,81,82,83,84,85,86,87'</t>
  </si>
  <si>
    <t>'17,18,19,20,21,22,23,24,25,26,27,28,29,30,31,32,33,34,35,36,37,38,39,40,41,42,43,44,45,46,47'</t>
  </si>
  <si>
    <t>Air Pollution Control Equipment Calculations</t>
  </si>
  <si>
    <t>628.5/3</t>
  </si>
  <si>
    <t>TD889 -- .T49 2008eb</t>
  </si>
  <si>
    <t>'1,517,518,519,520,520,465,467,468,469'</t>
  </si>
  <si>
    <t>Mozilla/5.0 (Macintosh; Intel Mac OS X 10_15_7) AppleWebKit/537.36 (KHTML, like Gecko) Chrome/90.0.4430.93 Safari/537.36</t>
  </si>
  <si>
    <t>'1,375,376,377,378,379,413,414,415,417,418,419,420,421,422,465,466,467,469,470,468'</t>
  </si>
  <si>
    <t>'1,,1,1,1,1,2,8,18,18,19,19,19,435,436,437,438,439,440,1163,1162,1162,1035,1034,1127,1128,1129,1130,1132,792,791,793,794,795,796,797,798,799,800,801,802,803,804,805,806,807,808,809,810,811,812,813,814,815,816,817,818'</t>
  </si>
  <si>
    <t>'1,141,142,143,144,145,146,148,149,151,152,153,154,155,157,199,200,202,203,205,206,207,208,204,201,206,205,207,208,209,329,329,329,329,330,331,332'</t>
  </si>
  <si>
    <t>'1,3,83,84,85,87,88,89'</t>
  </si>
  <si>
    <t>Workplace Bullying : Symptoms and Solutions</t>
  </si>
  <si>
    <t>658.3/82</t>
  </si>
  <si>
    <t>HF5549.5.E43 -- W6717 2012eb</t>
  </si>
  <si>
    <t>'1,341,342,346,347,346'</t>
  </si>
  <si>
    <t>'346,347,341,342,343,344,345,346'</t>
  </si>
  <si>
    <t>'7,8,9,10'</t>
  </si>
  <si>
    <t>'1,2,,,,1'</t>
  </si>
  <si>
    <t>'13,14,15,16,17,18,19,20,21,22,23,24,25,26,27,28,29,30,31,32,33,34,,,1,2,3,4,,6,,,1,2,3,4'</t>
  </si>
  <si>
    <t>Learned Mindfulness : Physician Engagement and M. D. Wellness</t>
  </si>
  <si>
    <t>BF637.M56 .N565 2020</t>
  </si>
  <si>
    <t>College Mindfulness Training : Reducing Student Life Stress and Improving Academic Performance</t>
  </si>
  <si>
    <t>BF637.M4 .P344 2019</t>
  </si>
  <si>
    <t>'139,140,141,142,143,144,145,146,147,148,149,150,151,152'</t>
  </si>
  <si>
    <t>Living Mindfully Across the Lifespan : An Intergenerational Guide</t>
  </si>
  <si>
    <t>616.89/1425</t>
  </si>
  <si>
    <t>RC489.C63$b.P463 2021</t>
  </si>
  <si>
    <t>'39,40,41,42,43'</t>
  </si>
  <si>
    <t>Design of Biomedical Devices and Systems, 4th Edition</t>
  </si>
  <si>
    <t>R856 .K564 2019</t>
  </si>
  <si>
    <t>'1,3,8,10,12,11,18,108,109,110,112,113,114,115,116,118,119,120'</t>
  </si>
  <si>
    <t>'7,12,1,6,4,9,11,10'</t>
  </si>
  <si>
    <t>FMGM 2007 : Proceeding of the 7th International Symposium on Field Measurements In Geomechanics</t>
  </si>
  <si>
    <t>TA703.5.F54 2007</t>
  </si>
  <si>
    <t>Beyond Bias: Move from Awareness to Action</t>
  </si>
  <si>
    <t>Center for Creative Leadership</t>
  </si>
  <si>
    <t>HD57.7 .C547 2020</t>
  </si>
  <si>
    <t>Mozilla/5.0 (iPhone; CPU iPhone OS 13_3 like Mac OS X) AppleWebKit/605.1.15 (KHTML, like Gecko) Version/13.0.4 Mobile/15E148 Safari/604.1</t>
  </si>
  <si>
    <t>Mozilla/5.0 (Windows NT 10.0; Win64; x64) AppleWebKit/537.36 (KHTML, like Gecko) Chrome/89.0.4389.128 Safari/537.36</t>
  </si>
  <si>
    <t>Mozilla/5.0 (Windows NT 10.0; Win64; x64) AppleWebKit/537.36 (KHTML, like Gecko) Chrome/90.0.4430.93 Safari/537.36 Edg/90.0.818.51</t>
  </si>
  <si>
    <t>'1,11,12,13,14,15,16,17,18,19,20,21'</t>
  </si>
  <si>
    <t>Technical Presentation Skills : A Practical Guide for Better Speaking</t>
  </si>
  <si>
    <t>Engineering; Engineering: General; General Works/Reference</t>
  </si>
  <si>
    <t>T10.5 -- .M317 1994eb</t>
  </si>
  <si>
    <t>'1,377,1127,1126,1128,1129,1130,1131,1132,1133,1134,1135,1136,1137,1138,1139,1140,1141,1142,1143,1144,1139'</t>
  </si>
  <si>
    <t>'1,11,2,3,4,5,6,7,8,9,12,13,15,14,16,17,18,19,20,21,22,23,24,25,26,27,28,73,63,74'</t>
  </si>
  <si>
    <t>Mozilla/5.0 (iPhone; CPU iPhone OS 14_5_1 like Mac OS X) AppleWebKit/605.1.15 (KHTML, like Gecko) Version/14.1 Mobile/15E148 Safari/604.1</t>
  </si>
  <si>
    <t>'1,2,3,6,118,114'</t>
  </si>
  <si>
    <t>The Biochar Solution : Carbon Farming and Climate Change</t>
  </si>
  <si>
    <t>TP331 -- .B38 2010eb</t>
  </si>
  <si>
    <t>'1,2,3,4,5,6,7,8,9,10,34,36,38,40,35'</t>
  </si>
  <si>
    <t>Understanding Depression : Volume 1. Biomedical and Neurobiological Background</t>
  </si>
  <si>
    <t>Mozilla/5.0 (Macintosh; Intel Mac OS X 10_15_6) AppleWebKit/537.36 (KHTML, like Gecko) Chrome/90.0.4430.93 Safari/537.36</t>
  </si>
  <si>
    <t>Depression : Causes and Treatment</t>
  </si>
  <si>
    <t>616.85/27</t>
  </si>
  <si>
    <t>RC537 -- .B4 2009eb</t>
  </si>
  <si>
    <t>'1,2,3,4,5,6,8,9,10,11,156,158,159,160,161,162,165,164,166'</t>
  </si>
  <si>
    <t>'1,14,15,15,14'</t>
  </si>
  <si>
    <t>'7,24,26,28,29,30,32'</t>
  </si>
  <si>
    <t>'9,10,11,12,342,383,384,385,386,387,388,390,391,392,393,395,396,397,415,416,417,418,419,421,422,423,426,428,429,389'</t>
  </si>
  <si>
    <t>Linear Programming and Network Flows</t>
  </si>
  <si>
    <t>519.7/2</t>
  </si>
  <si>
    <t>T57.74.B39 2010eb</t>
  </si>
  <si>
    <t>'1,1,2,4,6,7,8,9,10,11,12,13,498,439,457,470,471,472,473,474,475,476,477,478,479,480,481,482,483,485,486,488,635,615,618,619,620,621,622,623,624,625,626,627,628,629,630,631,633,636,637,638,639,641,643,644'</t>
  </si>
  <si>
    <t>Applied Integer Programming : Modeling and Solution</t>
  </si>
  <si>
    <t>Mathematics; Engineering: General; Engineering</t>
  </si>
  <si>
    <t>519.7/7</t>
  </si>
  <si>
    <t>T57.74 -- .C454 2010eb</t>
  </si>
  <si>
    <t>'1,1,2,3,4,6,7,8,9,10,11,12,13,14,15,16,17,349,433,489,242,241,240,239,238,237,236'</t>
  </si>
  <si>
    <t>The Resource Transfer Problem : A Framework for Integrated Scheduling and Routing Problems</t>
  </si>
  <si>
    <t>'9,10,31,32,33,34,35,37,39,41,42,43,44,45,47,48,49,50,51,52,53,54'</t>
  </si>
  <si>
    <t>Generalized Network Design Problems : Modeling and Optimization</t>
  </si>
  <si>
    <t>QA402.5 -- .P65 2012eb</t>
  </si>
  <si>
    <t>'138,139,140,141,142,143,144,145'</t>
  </si>
  <si>
    <t>Combinatorial And Global Optimization</t>
  </si>
  <si>
    <t>QA402.5.C5435 2002</t>
  </si>
  <si>
    <t>'162,161,160,163,164,166,222,224,225,226,227,228,229,231,232,233,234,235,236,237,238,239,240,242,244,245,246,247'</t>
  </si>
  <si>
    <t>'140,141,142'</t>
  </si>
  <si>
    <t>'342,344,346,347,348,349,351'</t>
  </si>
  <si>
    <t>'138,140,142,143,144,145,146,147,148,149,150,151,152,153,154,155,156,157,158,159,161,162,163,164,165,167,169,171,172,173,174'</t>
  </si>
  <si>
    <t>Smart Delivery Systems : Solving Complex Vehicle Routing Problems</t>
  </si>
  <si>
    <t>HD38.5 .S637 2020</t>
  </si>
  <si>
    <t>'108,109,110,111,112,114'</t>
  </si>
  <si>
    <t>Containing Arab Nationalism</t>
  </si>
  <si>
    <t>327.73017/4927/09045</t>
  </si>
  <si>
    <t>DS63.2.U5 -- Y37 2004eb</t>
  </si>
  <si>
    <t>'1,1,359,358,503,504,505,506,546,1275'</t>
  </si>
  <si>
    <t>'1,1,18,19,20,17,16,15,21,23,24,26,27,28,25,,24,1,,1,607,608,609,610,611'</t>
  </si>
  <si>
    <t>Handbook of Cell Signaling</t>
  </si>
  <si>
    <t>QP517.C45.H36 2010</t>
  </si>
  <si>
    <t>Cell Physiology Source Book : Essentials of Membrane Biophysics</t>
  </si>
  <si>
    <t>QH631.C45 2012</t>
  </si>
  <si>
    <t>'1,2,5,4,3,898,897,895'</t>
  </si>
  <si>
    <t>CompTIA Project+ Study Guide : Exam PK0-004</t>
  </si>
  <si>
    <t>HD69.P75.H453 2017</t>
  </si>
  <si>
    <t>'1,2,3,4,5,7,8,9,10,11,15,14,18,19,20'</t>
  </si>
  <si>
    <t>Gilles Deleuze's Philosophy of Time : A Critical Introduction and Guide</t>
  </si>
  <si>
    <t>115;115.092 22</t>
  </si>
  <si>
    <t>B2430.D454 -- W555 2011eb</t>
  </si>
  <si>
    <t>'1,18,19,20,21,22,23,24,25,26,27,28,30,15,16,17,18,1,15,31,,1,127,128,129,131,132,132,132,131,130,129,129,18,19,20,18,19,20,21,22'</t>
  </si>
  <si>
    <t>'1,15,15'</t>
  </si>
  <si>
    <t>Probabilistic Design for Optimization and Robustness for Engineers</t>
  </si>
  <si>
    <t>TS171.9 -- .D63 2014eb</t>
  </si>
  <si>
    <t>'1,2,3,6,15,16,17,18,19,20,21,22,23,24,25,26,27,28,29,30,31,32,33,34,60,61,62,,1,2,4,,1,3,4,6,5'</t>
  </si>
  <si>
    <t>Handbook on Planning and Complexity</t>
  </si>
  <si>
    <t>Edward Elgar Publishing Limited</t>
  </si>
  <si>
    <t>Social Science; Architecture</t>
  </si>
  <si>
    <t>NA9031$b.H363 2020</t>
  </si>
  <si>
    <t>Essentials of Anatomy and Physiology, 8e</t>
  </si>
  <si>
    <t>F. A. Davis Company</t>
  </si>
  <si>
    <t>QP34.5 .S336 2019</t>
  </si>
  <si>
    <t>'1,1,1,,363,363,364,365,366,367,368,370,372,375,377,378,379,380,381'</t>
  </si>
  <si>
    <t>Illustrated Clinical Anatomy, Second Edition</t>
  </si>
  <si>
    <t>QM25 -- .A273 2011eb</t>
  </si>
  <si>
    <t>'6,5,8,7,34,35,36,37,38,39,40,41,42,44,43,45,46,47,48,50,51,52,54,55,57,59,60,61'</t>
  </si>
  <si>
    <t>'1,2,12,13,11,14,15,16,17,20,19,21'</t>
  </si>
  <si>
    <t>Territory, Specialization and Globalization in European Manufacturing</t>
  </si>
  <si>
    <t>HD9735.A2 -- P85 2010eb</t>
  </si>
  <si>
    <t>Design for Six Sigma : Launching New Products and Services Without Failure</t>
  </si>
  <si>
    <t>Gower Publishing Limited</t>
  </si>
  <si>
    <t>658.5/62</t>
  </si>
  <si>
    <t>TS156 -- .T448 2002eb</t>
  </si>
  <si>
    <t>'73,74,72,71,19,20,13,15,17,173,175,176,177'</t>
  </si>
  <si>
    <t>'175,176,177,178,179,180,181,182,183,184,185,186,187,188'</t>
  </si>
  <si>
    <t>ASQ Pocket Guide for the Certified Six Sigma Black Belt</t>
  </si>
  <si>
    <t>ASQ Quality Press</t>
  </si>
  <si>
    <t>519.8/6</t>
  </si>
  <si>
    <t>TS156 -- .K8235 2014eb</t>
  </si>
  <si>
    <t>'28,29,36'</t>
  </si>
  <si>
    <t>TRIZ for Engineers: Enabling Inventive Problem Solving : Enabling Inventive Problem Solving</t>
  </si>
  <si>
    <t>620.3/7</t>
  </si>
  <si>
    <t>T212 -- .G33 2011eb</t>
  </si>
  <si>
    <t>'5,7,10,12,18,20'</t>
  </si>
  <si>
    <t>'18,19,20'</t>
  </si>
  <si>
    <t>Hypnosis: Theories, Research and Applications : Theories, Research and Applications</t>
  </si>
  <si>
    <t>615.8/512</t>
  </si>
  <si>
    <t>RC495 -- .H985 2009eb</t>
  </si>
  <si>
    <t>'1,2,4,5,7,3,16,,1,3,4,15,16,17,18,19,20,21,22,23,24,25,26,27,29,28,31,32,33,34,35,36,37,,1'</t>
  </si>
  <si>
    <t>Nasser's Gamble : How Intervention in Yemen Caused the Six-Day War and the Decline of Egyptian Power</t>
  </si>
  <si>
    <t>DT107.83 -- .F47 2013eb</t>
  </si>
  <si>
    <t>'1,30,10,9,,,10,30,31,10,69,71'</t>
  </si>
  <si>
    <t>A Handbook Of Minerals,Crystals,Rocks And Ores</t>
  </si>
  <si>
    <t>New India Publishing Agency (NIPA)</t>
  </si>
  <si>
    <t>QD921 .A449 2020</t>
  </si>
  <si>
    <t>'1,2,3,4,5,6,7,8,9,10,11,12,14,15,16,17,33'</t>
  </si>
  <si>
    <t>Mozilla/5.0 (Windows NT 10.0; Win64; x64) AppleWebKit/537.36 (KHTML, like Gecko) Chrome/90.0.4430.85 Safari/537.36 Edg/90.0.818.49</t>
  </si>
  <si>
    <t>'1,,1,229'</t>
  </si>
  <si>
    <t>'229,230,231,232,233,234,235,236,237,238,239,240,241,242,243,244,245,246,247,248,249,250,251,252,253,254,255,256,257,258,259,260,261,262,263,264,265,266,,229,230,231,232,233,234,235,236,237,238,239,240,241,242,243,244,245,246,247,248,249,250,251,252,253,254,255,256,257,258,259,260,261,262,263,264,265,266'</t>
  </si>
  <si>
    <t>Immanence - Deleuze and Philosophy : Deleuze and Philosophy</t>
  </si>
  <si>
    <t>B2430.D454 -- B45 2010eb</t>
  </si>
  <si>
    <t>Mozilla/5.0 (Macintosh; Intel Mac OS X 10_15_7) AppleWebKit/537.36 (KHTML, like Gecko) Chrome/90.0.4430.85 Safari/537.36</t>
  </si>
  <si>
    <t>'1,1,1,2,3,4,7,10'</t>
  </si>
  <si>
    <t>Deleuze's 'Difference and Repetition' : A Reader's Guide</t>
  </si>
  <si>
    <t>B2430.D453D456 2009</t>
  </si>
  <si>
    <t>'1,1,15'</t>
  </si>
  <si>
    <t>Introduction to the Philosophy of Gilles Deleuze</t>
  </si>
  <si>
    <t>B2430.D454I68 2003</t>
  </si>
  <si>
    <t>'31,32,33,34,35,36,37,1,15,569,570,571'</t>
  </si>
  <si>
    <t>Introduction to Micrometeorology</t>
  </si>
  <si>
    <t>QC883.8.A79 2001</t>
  </si>
  <si>
    <t>'31,32,33'</t>
  </si>
  <si>
    <t>Handbook of Natural Gas Transmission and Processing</t>
  </si>
  <si>
    <t>TN880.M65 2012</t>
  </si>
  <si>
    <t>'1,647,650,651,653,654'</t>
  </si>
  <si>
    <t>Guidance And Control</t>
  </si>
  <si>
    <t>TL3250.G85 1962</t>
  </si>
  <si>
    <t>Mozilla/5.0 (Windows NT 10.0; Win64; x64) AppleWebKit/537.36 (KHTML, like Gecko) Chrome/90.0.4430.85 Safari/537.36</t>
  </si>
  <si>
    <t>Lippincott Professional Guides : Anatomy &amp; Physiology</t>
  </si>
  <si>
    <t>QP35 -- .A538 2002eb</t>
  </si>
  <si>
    <t>'1,114,116'</t>
  </si>
  <si>
    <t>Anatomy and Physiology for Nurses at a Glance</t>
  </si>
  <si>
    <t>QP38 -- .P438 2015eb</t>
  </si>
  <si>
    <t>'1,47,51,52,54,55,56,59,60,61'</t>
  </si>
  <si>
    <t>Description in classical Arabic poetry : Was?f, ekphrasis, and interarts theory</t>
  </si>
  <si>
    <t>892.7/1009</t>
  </si>
  <si>
    <t>PJ7541 -- .S84 2003eb</t>
  </si>
  <si>
    <t>'1,2,3,4,5,6,8,,1,,1,1,1,1,1'</t>
  </si>
  <si>
    <t>Mozilla/5.0 (Macintosh; Intel Mac OS X 10_15_7) AppleWebKit/605.1.15 (KHTML, like Gecko) Version/14.0.1 Safari/605.1.15</t>
  </si>
  <si>
    <t>Understanding Symmetrical Components for Power System Modeling</t>
  </si>
  <si>
    <t>TK3001.D37 2017</t>
  </si>
  <si>
    <t>'1,1,3,2,7,6,8,9,10,8,8,136,161'</t>
  </si>
  <si>
    <t>'1,186,189,190,191,192,193,194,196,198,199,200,201,202,203'</t>
  </si>
  <si>
    <t>Book Download</t>
  </si>
  <si>
    <t>Non-Linear Loan</t>
  </si>
  <si>
    <t>CubeSat Handbook : From Mission Design to Operations</t>
  </si>
  <si>
    <t>TL796 .C834 2021</t>
  </si>
  <si>
    <t>'1,186,187,188,189,190,191'</t>
  </si>
  <si>
    <t>'1,186,187,188,189,1,191'</t>
  </si>
  <si>
    <t>Felt Time : The Psychology of How We Perceive Time</t>
  </si>
  <si>
    <t>153.7/53</t>
  </si>
  <si>
    <t>BF468 -- .W5713 2015eb</t>
  </si>
  <si>
    <t>'1,1,12,11,21,20,19,18,17,16,15,12,11,14,1,2,3,4,5,6,7,8,9,10,11,12,13,14,,1,16,17,18,19'</t>
  </si>
  <si>
    <t>Leading Apple with Steve Jobs : Management Lessons from a Controversial Genius</t>
  </si>
  <si>
    <t>Economics; Business/Management; Computer Science/IT</t>
  </si>
  <si>
    <t>338.7/61004092</t>
  </si>
  <si>
    <t>QA76.2.J63 -- E47 2012eb</t>
  </si>
  <si>
    <t>'1,3,13,17,18,19,20,21,22,23'</t>
  </si>
  <si>
    <t>Mozilla/5.0 (Macintosh; Intel Mac OS X 10_14_6) AppleWebKit/537.36 (KHTML, like Gecko) Chrome/90.0.4430.85 Safari/537.36</t>
  </si>
  <si>
    <t>'1,2,3,4,5,6,7,8,8,10,7,11,9,30,31'</t>
  </si>
  <si>
    <t>Jane's Window : My Spirited Life in West Texas and Austin</t>
  </si>
  <si>
    <t>976.4/063092;B</t>
  </si>
  <si>
    <t>F394.A953 -- S53 2013eb</t>
  </si>
  <si>
    <t>'1,3,4,8,7,9'</t>
  </si>
  <si>
    <t>Windows and Doors : A Poet Reads Literary Theory</t>
  </si>
  <si>
    <t>University of Michigan Press</t>
  </si>
  <si>
    <t>PN1031</t>
  </si>
  <si>
    <t>Python for Bioinformatics</t>
  </si>
  <si>
    <t>QH324.2 -- .B387 2010eb</t>
  </si>
  <si>
    <t>Mozilla/5.0 (Windows NT 10.0; Win64; x64) AppleWebKit/537.36 (KHTML, like Gecko) Chrome/90.0.4430.72 Safari/537.36</t>
  </si>
  <si>
    <t>Bioinformatics : The Machine Learning Approach</t>
  </si>
  <si>
    <t>572.8/01/13</t>
  </si>
  <si>
    <t>QH506.B35 2001</t>
  </si>
  <si>
    <t>'1,2,3,5,5,6,7,8,9,10,11,12,13,,13'</t>
  </si>
  <si>
    <t>'1,947,946,948,949,950,951,952,953,954,955,956,957'</t>
  </si>
  <si>
    <t>All Thoughts Are Equal : Laruelle and Nonhuman Philosophy</t>
  </si>
  <si>
    <t>B2433.L374 -- .O33 2015eb</t>
  </si>
  <si>
    <t>Mozilla/5.0 (Macintosh; Intel Mac OS X 10_15_7) AppleWebKit/537.36 (KHTML, like Gecko) Chrome/90.0.4430.72 Safari/537.36</t>
  </si>
  <si>
    <t>'1,1,12,1,1,12,13,10,14,15,18,21,22,26,25,1,1,,,1,1'</t>
  </si>
  <si>
    <t>Hands-On Deep Learning with Apache Spark : Build and Deploy Distributed Deep Learning Applications on Apache Spark</t>
  </si>
  <si>
    <t>QA76.9.D343 .I599 2019</t>
  </si>
  <si>
    <t>'105,106,107,108,109,110,111,112,113'</t>
  </si>
  <si>
    <t>Not Half No End : Militantly Melancholic Essays in Memory of Jacques Derrida</t>
  </si>
  <si>
    <t>B2430.D484 -- B46 2010eb</t>
  </si>
  <si>
    <t>'1,1,2,3,4,5,6,7,8,9,10,11,12,13,14,15,16,17,18,19'</t>
  </si>
  <si>
    <t>Grammar Acquisition and Processing Instruction : Secondary and Cumulative Effects</t>
  </si>
  <si>
    <t>401/.93</t>
  </si>
  <si>
    <t>P118.2 -- .B453 2008eb</t>
  </si>
  <si>
    <t>'1,2,3,4,5,6,7,8,9,12,14,15,16,17,18,19'</t>
  </si>
  <si>
    <t>Clinical Cases in Prosthodontics</t>
  </si>
  <si>
    <t>617.6/9</t>
  </si>
  <si>
    <t>RK651 -- .C58 2010eb</t>
  </si>
  <si>
    <t>'1,1,2,274,273,272,271,3'</t>
  </si>
  <si>
    <t>'263,264,265,266,267,268,269,270,271,272,273,274'</t>
  </si>
  <si>
    <t>Corrosion : Understanding the Basics</t>
  </si>
  <si>
    <t>A S M International</t>
  </si>
  <si>
    <t>TA462 -- .C668 2000eb</t>
  </si>
  <si>
    <t>'31,32,33,34,35,36,37,38,39,40,41,42,43,44,45,46,47,48,49,50,51,52,53,54,55,56,57,58'</t>
  </si>
  <si>
    <t>Last Pagans of Iraq : Ibn Wahshiyya and His Nabatean Agriculture</t>
  </si>
  <si>
    <t>Religion; History</t>
  </si>
  <si>
    <t>956.7/02</t>
  </si>
  <si>
    <t>BL2350.I7 -- H36 2006eb</t>
  </si>
  <si>
    <t>'10,10'</t>
  </si>
  <si>
    <t>Mozilla/5.0 (Windows NT 10.0; Win64; x64) AppleWebKit/537.36 (KHTML, like Gecko) Chrome/89.0.4389.128 Safari/537.36 Edg/89.0.774.77</t>
  </si>
  <si>
    <t>'1,13,9,7,8,10,11,,,10'</t>
  </si>
  <si>
    <t>'153,154,155,156,157,158,159,160,161,162,163,164,165,166,167,168,169,171,172,,,,,,,,,,,,,139,,144,117'</t>
  </si>
  <si>
    <t>'31,32,33,34,,35,36,37,38,39,40,,41,42,43,44,45,46,47,48,49,50,51,52,,53,54,55,56,57,58,59,60,,61,62,63,64,65,66,67,68,,69,70,71,72,73,74,75,76,,77,78,79,80,81,82,83,84,,85,86,87,88,89,90,91,92,93,94,,95,96,97,98,99,100,101,102,,103,104,105,106,107,108,109,110,111,112,113,114,115,116,117,118,119,120,121,122,123,124,125,126,127,128,,129,130,131,132,133,134,135,136,137,138'</t>
  </si>
  <si>
    <t>Solutions Manual to Accompany Fundamentals of Calculus</t>
  </si>
  <si>
    <t>QA303.2 -- .M67 2016eb</t>
  </si>
  <si>
    <t>'74,75'</t>
  </si>
  <si>
    <t>Solar Energy Engineering : Processes and Systems</t>
  </si>
  <si>
    <t>TJ810.K35 2014eb</t>
  </si>
  <si>
    <t>'502,503,505,509,474,473,504,506,507,508,510,511,512,513,514,515,516,517,518,519,520,521,1,2,3,4,5,548,542,534,522,523,524,525,526,527,528,529,531,530,532,533,535,536,537,538,539,540,541,543,544,545,546,547,549,550,551,552,553,554,555,556,557,558,559,560,561,561,72,72,72,73,74,75,76,77,78,80,79,81,82,83,84,85,86,87,88,90,91,92,93,94,95,96,97,97,98,99,100,101,102,103,104,105,106,107,108,109,110,111,112,113,114,115,116,117,118,119,120,121,122,123,124,125,126,127,128,129,130,131,132,133,134,22,24,25,26,28,29,30,31,33,34,35,36,37,38,39,40,41,42,43,44,45,46,47,48,49,50,72,146'</t>
  </si>
  <si>
    <t>'559,560,561,72,73,74,75,76,77,78,79,80,81,82,83,84,85,86,87,88,89,90,91,92,93,94,95,96,97,98,99,100,101,102,103,104,105,106,107,108,109,110,111,112,113,114,115,116,117,118,119,120,121,122,123,124,125,126,127,128,129,130,131,132,133,134,135,136,137,138,139,140,141,142,143,144,145'</t>
  </si>
  <si>
    <t>'519'</t>
  </si>
  <si>
    <t>Mozilla/5.0 (Windows NT 10.0; WOW64) AppleWebKit/537.36 (KHTML, like Gecko) Chrome/89.0.4389.128 Safari/537.36</t>
  </si>
  <si>
    <t>Handbook of Physical Vapor Deposition (PVD) Processing</t>
  </si>
  <si>
    <t>TS695 .M38 2010</t>
  </si>
  <si>
    <t>'1,4,312,311,313,315,314,316'</t>
  </si>
  <si>
    <t>'1,313,314,315,312,311'</t>
  </si>
  <si>
    <t>'1,2,3,4,16'</t>
  </si>
  <si>
    <t>'1,242,284,285,286,287,288,289,290,291,292,293,312,313,314,314,314,314'</t>
  </si>
  <si>
    <t>'1,154,155,156,16,17,18,138,167,170,169,168,166,165,139'</t>
  </si>
  <si>
    <t>Solar Energy Conversion : An Introductory Course</t>
  </si>
  <si>
    <t>TJ810 -- .S65 2013eb</t>
  </si>
  <si>
    <t>'266,267,268,269,270,271,272,273,274,344'</t>
  </si>
  <si>
    <t>'260,261,262,263,264,265,260,261,262,263,264,265,266,267,268,269,270,271,272,273,274,275,276,277,278,279,280,281,282,283,284,285,286,287,288,289,290,291,292,293,294,295,296,297,298,299,300,301,302,303,304,305,306,307,308,309,310,311,312,313,314,315,316,317,318,319,320,321,322,323,324,325,326,327,328,329,330,331,332,333,334,335,336,337,338,339,340,341,342,343'</t>
  </si>
  <si>
    <t>Nuclear Safety</t>
  </si>
  <si>
    <t>TK9152.P47 2006</t>
  </si>
  <si>
    <t>'124,125,126,127,128,129,130,131,132,133'</t>
  </si>
  <si>
    <t>'266,267,265,,,265'</t>
  </si>
  <si>
    <t>'14,15,16,17,18,19,20,21,22,23,24,25,26,27,28,29,30,31,32,33,34,35,36,37,38,39,40,41,42,43,44,45,46,47,48,49,50,51,52,53,54,55,56,57,58,59,60,61,62,63,64,65,66,67,68,69,70,71,72,73,74,75,76,77,78,79,80,81,82,83,84,85,86,87,88,89,90,91,92,93,94,95,96,97,98,99,100,101,102,103,104,105,106,107,108,109,110,111,112,113'</t>
  </si>
  <si>
    <t>'1,312,313,314,315'</t>
  </si>
  <si>
    <t>'22,23,24,25,26,27,28,29,30,31,32,33,34,35,36,37,38,39,40,41,42,43,44,45,46,47,48,49,50,51,52,53,54,55,56,57,58,59,60,61,62,63,64,65,66,67,68,69,70,71'</t>
  </si>
  <si>
    <t>Psychology of Stress: New Research : New Research</t>
  </si>
  <si>
    <t>155.9/042</t>
  </si>
  <si>
    <t>RC455.4.S87 -- P853 2013eb</t>
  </si>
  <si>
    <t>'1,5,3,2,13,6,7,8,9,10,11,12,14'</t>
  </si>
  <si>
    <t>Patient Safety Culture : Theory, Methods and Application</t>
  </si>
  <si>
    <t>RA969.9 -- .P385 2014eb</t>
  </si>
  <si>
    <t>'1,96'</t>
  </si>
  <si>
    <t>'96,97,98,99,100,101,102,103,104,105,106,107,108,109,110,111,112,113,114,115,116,117,118,119,120,121,122,123,124,125,126,127'</t>
  </si>
  <si>
    <t>Mozilla/5.0 (Macintosh; Intel Mac OS X 10_12_6) AppleWebKit/537.36 (KHTML, like Gecko) Chrome/88.0.4324.192 Safari/537.36</t>
  </si>
  <si>
    <t>'1,1,22,,1,312,313,313,314,315,316,317,318,319,316,316,315,315,451'</t>
  </si>
  <si>
    <t>'1,284,285,286,287,288,289,291,312,313,314,315,316,317,318,318,125'</t>
  </si>
  <si>
    <t>Mobile Customer Relationship Management</t>
  </si>
  <si>
    <t>HD28 -- .B843136 2007eb</t>
  </si>
  <si>
    <t>Modelling of Flow and Transport in Fractal Porous Media</t>
  </si>
  <si>
    <t>Science; Engineering; Science: Physics; Engineering: General</t>
  </si>
  <si>
    <t>QC155 .M634 2021</t>
  </si>
  <si>
    <t>'4,,5,,6,7,8,9,10,11,,12,13,,14,15,,16,17'</t>
  </si>
  <si>
    <t>'263,264,265,266,267,,268,269,270,271,272,273,,274,,1,2,3,,4,,4'</t>
  </si>
  <si>
    <t>'212,,213,214,215,216,217,218,219,220,,221,222,223,224,225,226,227,228,229,230,231,232,233,234,235,236,237,,238,239,240,241,242,243,244,245,246,247,248,249,,250,251,252,253,254,255,256,257,258,259,260,261,262,,263'</t>
  </si>
  <si>
    <t>'182,183,184,185,186,187,188,189,190,191,192,193,194,195,196,197,198,199,200,201,202,203,204,205,206,207,208,209'</t>
  </si>
  <si>
    <t>'136,137,138,139,140,141,142,143,144,145,146,147,148,149,150,151,152,153,154,155,156,157,,158,159,160,161,162,163,164,165,166,167,168,169,170,171,172,173,174,175,176,177,178,179,180,181'</t>
  </si>
  <si>
    <t>'96,97,98,99,100,101,102,103,104,105,106,107,108,109,110,111,112,113,114,115,116,117,118,119,120,121,122,123,124,125,126,127,128,129,130,131,132,133,134,135'</t>
  </si>
  <si>
    <t>'54,55,56,57,58,59,60,61,62,63,64,65,66,67,68,69,70,71,72,73,74,75,76,77,78,79,80,81,82,83,84,85,86,87,88,89,90,91,92,93,94,95'</t>
  </si>
  <si>
    <t>'1,9,10,11'</t>
  </si>
  <si>
    <t>Dialectical Behavior Therapy : A Contemporary Guide for Practitioners</t>
  </si>
  <si>
    <t>RC489.C63 -- P43 2015eb</t>
  </si>
  <si>
    <t>'1,2,5,6,8,9,10,11,12,13,14,15,16,17'</t>
  </si>
  <si>
    <t>Handbook of Polymer Synthesis, Characterization, and Processing</t>
  </si>
  <si>
    <t>Science; Engineering: Chemical; Engineering; Science: Chemistry</t>
  </si>
  <si>
    <t>547/.28</t>
  </si>
  <si>
    <t>TP156.P6 -- H36 2013eb</t>
  </si>
  <si>
    <t>'1,1,2,4,7,6,9,10,12,13,15,16,18,19,21,23,24,25,26,27,28,29,30,31,32,33,34,35,36,37,38,39,40,42,43,44,45'</t>
  </si>
  <si>
    <t>Mechanics of Hydraulic Fracturing</t>
  </si>
  <si>
    <t>Engineering: General; Engineering; Engineering: Mining</t>
  </si>
  <si>
    <t>625.7/32</t>
  </si>
  <si>
    <t>TN870.56 -- .Y48 2015eb</t>
  </si>
  <si>
    <t>'1,1,,1,1,3,4,6,7,8,10,12,13,14,15,16,17,19,20,21,22,23,24'</t>
  </si>
  <si>
    <t>Fundamentals of Parallel Computing</t>
  </si>
  <si>
    <t>QA76.58 .R393 2014</t>
  </si>
  <si>
    <t>'1,2,3,4,5,6,7,8,9,10,11,12,13,15,16,17,18,19,17,17,16,15,18,19,20,21,22,23,23,24,25,26,27,28,29,30,32,12,11,13,14,15,16,17,203,204'</t>
  </si>
  <si>
    <t>Parallel Computing: Advances And Current Issues, Proceedings Of The International Conference Parco2001 : Advances and Current Issues - Proceedings of the International Conference ParCo2001</t>
  </si>
  <si>
    <t>QA76.58.P3794 2002</t>
  </si>
  <si>
    <t>'1,3,2,4,6,7,8,9,10,11,12,13,14,15'</t>
  </si>
  <si>
    <t>'54'</t>
  </si>
  <si>
    <t>'18,19,20,21,22,23,24,25,26,27,,4,,6,7,8,9,10,11,,28,29,30,31,32,33,34,35,36,37,38,39,40,41,,42,43,44,45,46,47,48,49,50,51,52,53,,,268,269,270,271,272,273'</t>
  </si>
  <si>
    <t>A Critical Dictionary of Jungian Analysis</t>
  </si>
  <si>
    <t>150.19/54/0321</t>
  </si>
  <si>
    <t>BF173.J85 S275</t>
  </si>
  <si>
    <t>'1,8,10,12,14,16,18,20,22,23,25,26,100,29,31,32,32'</t>
  </si>
  <si>
    <t>Mozilla/5.0 (Macintosh; Intel Mac OS X 10_15_7) AppleWebKit/537.36 (KHTML, like Gecko) Chrome/89.0.4389.114 Safari/537.36</t>
  </si>
  <si>
    <t>Diffuse Pollution, Degraded Waters: emerging policy solutions : Emerging Policy Solutions</t>
  </si>
  <si>
    <t>TD420.D544 2017</t>
  </si>
  <si>
    <t>'14,15,16,17,18,19,20,21,22,23,24,25,26,27,28,29,30,31,32,33,34,35,,1,2'</t>
  </si>
  <si>
    <t>Mozilla/5.0 (Windows NT 6.1; Win64; x64) AppleWebKit/537.36 (KHTML, like Gecko) Chrome/90.0.4430.72 Safari/537.36</t>
  </si>
  <si>
    <t>Mozilla/5.0 (Windows NT 10.0; Win64; x64) AppleWebKit/537.36 (KHTML, like Gecko) Chrome/89.0.4389.114 Safari/537.36</t>
  </si>
  <si>
    <t>'1,215,216,218,219,220,221,220,226,225,224,223,222,221,220'</t>
  </si>
  <si>
    <t>'1,3,2'</t>
  </si>
  <si>
    <t>Voltage-Sourced Converters in Power Systems : Modeling, Control, and Applications</t>
  </si>
  <si>
    <t>621.31/3</t>
  </si>
  <si>
    <t>TK1007 -- .Y39 2010eb</t>
  </si>
  <si>
    <t>'1,1,2,3,4,6,,6,6,8,5,335,334,296,293,292,291,290,289,288,287,285'</t>
  </si>
  <si>
    <t>Teaching Quantitative Methods : Getting the Basics Right</t>
  </si>
  <si>
    <t>HA35 -- .P39 2011eb</t>
  </si>
  <si>
    <t>'1,3,14,16,18,19,22,23,24,25'</t>
  </si>
  <si>
    <t>Basic Statistics for Social Research</t>
  </si>
  <si>
    <t>Social Science; Mathematics</t>
  </si>
  <si>
    <t>HA29.H2494 2013</t>
  </si>
  <si>
    <t>'1,25,26,27,28,29,30,31,32,33,35,38,40,41,42'</t>
  </si>
  <si>
    <t>Research Methods: The Basics : The Basics</t>
  </si>
  <si>
    <t>H62 -- .W254 2011eb</t>
  </si>
  <si>
    <t>'1,2,2,2,2,4,6,8,9,11,13,15,17,19,20,22,25,27,28,29,31,32,33,34,35,36,37,,78,79,82,85,182,183,184,185,186,187,188,189,190'</t>
  </si>
  <si>
    <t>'1,186,205,206,208,211,212,213,214,215,216,217,218,219,220'</t>
  </si>
  <si>
    <t>Fundamentals of Seismic Wave Propagation</t>
  </si>
  <si>
    <t>QE538.5 .C48 2004</t>
  </si>
  <si>
    <t>'10,11,9'</t>
  </si>
  <si>
    <t>Mozilla/5.0 (Windows NT 10.0; Win64; x64) AppleWebKit/537.36 (KHTML, like Gecko) Chrome/88.0.4324.190 Safari/537.36</t>
  </si>
  <si>
    <t>'1,2,3,4,5,6,7,8,8,9,10,11,9,9,10,,,10'</t>
  </si>
  <si>
    <t>CO2 Rising : The World's Greatest Environmental Challenge</t>
  </si>
  <si>
    <t>QC879.8.V65 2008</t>
  </si>
  <si>
    <t>'1,9,12,13,15,16,17,18,19'</t>
  </si>
  <si>
    <t>Global Warming Desk Reference</t>
  </si>
  <si>
    <t>QC981.8.G56 -- J64 2002eb</t>
  </si>
  <si>
    <t>Unconventional Oil and Gas Resources Handbook : Evaluation and Development</t>
  </si>
  <si>
    <t>TN870 .U536 2016</t>
  </si>
  <si>
    <t>'1,5,6,7,8,10,9,11,13,16,18,230,231,232,233,234,235,236,237,238,240,241,242,243,244,245,246,247,248,249,250,251,252,253,254,255,256,257,258,259,262,263,264,266,267,269,270'</t>
  </si>
  <si>
    <t>Petroleum Production Engineering</t>
  </si>
  <si>
    <t>TN870.G86 2017</t>
  </si>
  <si>
    <t>'1,1,5,7,8,10,11,12'</t>
  </si>
  <si>
    <t>Petroleum Production Engineering, a Computer-Assisted Approach</t>
  </si>
  <si>
    <t>Engineering; Engineering: Chemical; Engineering: Mining</t>
  </si>
  <si>
    <t>TN871.G785 2007</t>
  </si>
  <si>
    <t>Eco-Efficient Materials for Mitigating Building Cooling Needs : Design, Properties and Applications</t>
  </si>
  <si>
    <t>Engineering: Construction; Engineering: Environmental; Engineering</t>
  </si>
  <si>
    <t>TD196.B85 -- .E26 2015eb</t>
  </si>
  <si>
    <t>'1,1,2,92,22,21,24,20,23,26,29,29,4,3,23,22,24,73,210,209,214,215,216,396,395,458,457,214,210,209,396,395,462,461'</t>
  </si>
  <si>
    <t>Mozilla/5.0 (Windows NT 10.0; Win64; x64) AppleWebKit/537.36 (KHTML, like Gecko) Chrome/89.0.4389.114 Safari/537.36 Edg/89.0.774.76</t>
  </si>
  <si>
    <t>'1,1,104,208,209,210,211,212,213'</t>
  </si>
  <si>
    <t>Air Pollution in India and Its Impact on the Health of Different Income Groups</t>
  </si>
  <si>
    <t>Social Science; Health; Environmental Studies</t>
  </si>
  <si>
    <t>363.739/20954147</t>
  </si>
  <si>
    <t>RA576.7.I4 -- M85 2009eb</t>
  </si>
  <si>
    <t>Fibro-Cartilaginous Eustachian Tube : Middle Ear Cleft</t>
  </si>
  <si>
    <t>Kugler Publications</t>
  </si>
  <si>
    <t>616.2;616.2106</t>
  </si>
  <si>
    <t>RF230 -- .F53 2003eb</t>
  </si>
  <si>
    <t>Mozilla/5.0 (Macintosh; Intel Mac OS X 10_14_6) AppleWebKit/537.36 (KHTML, like Gecko) Chrome/89.0.4389.114 Safari/537.36</t>
  </si>
  <si>
    <t>Interaction between climate change, air pollution and related impacts</t>
  </si>
  <si>
    <t>Nordic Council of Ministers</t>
  </si>
  <si>
    <t>QC903.I58 2008</t>
  </si>
  <si>
    <t>'1,1,2,3,6,4,8,7,9,10,11,12,13,14,15,16'</t>
  </si>
  <si>
    <t>'1,1,2,26,19,22,20,21,21,22,23,24,25,26,28,46,47,191,190,189,188'</t>
  </si>
  <si>
    <t>Impact of Carbon Dioxide and Other Greenhouse Gases on Forest Ecosystems, IUFRO Series, No. 8</t>
  </si>
  <si>
    <t>Science; Science: Botany; Science: Biology/Natural History</t>
  </si>
  <si>
    <t>577.3/276</t>
  </si>
  <si>
    <t>QK753.C3 -- I48 2001eb</t>
  </si>
  <si>
    <t>'1,1,2,3,4,11,12'</t>
  </si>
  <si>
    <t>'11,12,13,14,15,16,17,18,19,20,21,22,23,24,25,26'</t>
  </si>
  <si>
    <t>Evidence-Based Climate Science : Data Opposing CO2 Emissions As the Primary Source of Global Warming</t>
  </si>
  <si>
    <t>QC879.8.E95 2016</t>
  </si>
  <si>
    <t>'1,1,2,3,10,21,17,16,18,19,17'</t>
  </si>
  <si>
    <t>'16,17,18,19,20,21,22,23'</t>
  </si>
  <si>
    <t>'1,,8,,1,3,11,12,10,14,13,15,16,17,18,8,6,120,111,112,113,114,115,117,118,119,74,70,67,61,2,4,5,7,9,12,12'</t>
  </si>
  <si>
    <t>'8,9'</t>
  </si>
  <si>
    <t>'17,16,120,6'</t>
  </si>
  <si>
    <t>Introduction to Wood and Natural Fiber Composites</t>
  </si>
  <si>
    <t>TS875.S765 2014eb</t>
  </si>
  <si>
    <t>'1,255,257,258,259,260'</t>
  </si>
  <si>
    <t>Mozilla/5.0 (Windows NT 10.0; Win64; x64) AppleWebKit/537.36 (KHTML, like Gecko) Chrome/89.0.4389.90 Safari/537.36 Edg/89.0.774.63</t>
  </si>
  <si>
    <t>'1,1,7,26,22,20'</t>
  </si>
  <si>
    <t>Greywater Use in the Middle East : Technical, Social, Economic and Policy Issues</t>
  </si>
  <si>
    <t>International Development Research Centre</t>
  </si>
  <si>
    <t>Engineering: Environmental; Engineering; Engineering: Construction</t>
  </si>
  <si>
    <t>TH6523 -- .G74 2010eb</t>
  </si>
  <si>
    <t>'1,2,3,5,6,7,8,11,101,106,107,117,118,119,121,122,123,124,125'</t>
  </si>
  <si>
    <t>'1,2,3,4,5,6,9,8,7,10,12,12,14,13,16,17,18,20,22,23,24,1,2,3,36,22,23,96,89,89,87,86,94,122,123,122,122,122'</t>
  </si>
  <si>
    <t>'1,19,20,21,21,24,25,26,27,28,29,30,31'</t>
  </si>
  <si>
    <t>'20,21,22,23'</t>
  </si>
  <si>
    <t>'1,1,5,28,23,20,22,18,19,17'</t>
  </si>
  <si>
    <t>'1,1,7,4,5,2,3'</t>
  </si>
  <si>
    <t>'1,2,3,4,5,6,7,8,9,20'</t>
  </si>
  <si>
    <t>Mozilla/5.0 (Windows NT 6.1; Trident/7.0; rv:11.0) like Gecko</t>
  </si>
  <si>
    <t>Multiple View Geometry in Computer Vision</t>
  </si>
  <si>
    <t>TA1634 .H38 2003</t>
  </si>
  <si>
    <t>'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t>
  </si>
  <si>
    <t>Grounding and Shielding : Circuits and Interference</t>
  </si>
  <si>
    <t>621.3815/4</t>
  </si>
  <si>
    <t>TK3227 -- .M66 2016eb</t>
  </si>
  <si>
    <t>Mozilla/5.0 (Windows NT 10.0; Win64; x64) AppleWebKit/537.36 (KHTML, like Gecko) Chrome/89.0.4389.90 Safari/537.36 Edg/89.0.774.57</t>
  </si>
  <si>
    <t>'2,3,4,5,,,4'</t>
  </si>
  <si>
    <t>Basics of Engineering Turbulence</t>
  </si>
  <si>
    <t>620.1/064</t>
  </si>
  <si>
    <t>TA357.5.T87</t>
  </si>
  <si>
    <t>'1,1,210,211,214,215,216,217,217,42,43,44,45,46,47,48,49,50,51,52,53,54,55,56,57,8,9,10,11,12,13,13'</t>
  </si>
  <si>
    <t>Desertification Combat and Food Safety : The Added Value of Camel Producers</t>
  </si>
  <si>
    <t>636.2/952</t>
  </si>
  <si>
    <t>'1,23,5,3,2,4,6,7,11,82,58,64,56,10,12,24,78,240'</t>
  </si>
  <si>
    <t>Global Climate Change : International Perspectives and Responses</t>
  </si>
  <si>
    <t>363.738/7456</t>
  </si>
  <si>
    <t>QC903 -- .G56 2009eb</t>
  </si>
  <si>
    <t>Ordinary Differential Equations for Engineers : Problems with MATLAB Solutions</t>
  </si>
  <si>
    <t>Mathematics; Engineering: Civil; Engineering</t>
  </si>
  <si>
    <t>'703,704,705,706,707,708,709,711,712,713,714,715,716,717,718,719,720,721,722,723,724,725,726,727,728,730'</t>
  </si>
  <si>
    <t>Semi-Lagrangian Advection Methods and Their Applications in Geoscience</t>
  </si>
  <si>
    <t>QE33.2.M3 .F548 2020</t>
  </si>
  <si>
    <t>'1,1,10,11,12,13,14,15,16,17,18,19,20,21,22,23,24,25,26,27,28,29,,29,29'</t>
  </si>
  <si>
    <t>Optimal Space Flight Navigation : An Analytical Approach</t>
  </si>
  <si>
    <t>Engineering; Mathematics; Engineering: General</t>
  </si>
  <si>
    <t>Transport and Coherent Structures in Wall Turbulence</t>
  </si>
  <si>
    <t>QA913 -- .T373 2014eb</t>
  </si>
  <si>
    <t>'1,1,,1,30,31,32,33,34'</t>
  </si>
  <si>
    <t>Fundamentals of Object Tracking</t>
  </si>
  <si>
    <t>QA402.5 .F86 2011</t>
  </si>
  <si>
    <t>'1,1,1,2,3,15,15,15,15,15,15,15,16,17'</t>
  </si>
  <si>
    <t>Random Fields and Stochastic Lagrangian Models : Analysis and Applications in Turbulence and Porous Media</t>
  </si>
  <si>
    <t>QA274.45 -- .S23 2013eb</t>
  </si>
  <si>
    <t>'1,1,19,24,25,26,27,28'</t>
  </si>
  <si>
    <t>'19'</t>
  </si>
  <si>
    <t>Lagrangian Mechanics : An Advanced Analytical Approach</t>
  </si>
  <si>
    <t>QC20.7.C3 .L4 2019</t>
  </si>
  <si>
    <t>'7,8,9,19,20,21,22,23,24,25,127,128,129,130,131,132'</t>
  </si>
  <si>
    <t>Introduction to Lagrangian Dynamics</t>
  </si>
  <si>
    <t>Engineering; Engineering: Civil; Mathematics</t>
  </si>
  <si>
    <t>'1,1,2,3,4,4,7,18,19,20,30,31,32,33,34,35,36,37,38,39,40,41,79,80,81,82,83,84,85,86,87,88,89,,89,89'</t>
  </si>
  <si>
    <t>Introduction to the Modelling of Marine Ecosystems</t>
  </si>
  <si>
    <t>QH541.15.M3 -- .F46 2015eb</t>
  </si>
  <si>
    <t>'24,25,26,27,,1,1,2,3'</t>
  </si>
  <si>
    <t>Fundamental Mechanics of Fluids</t>
  </si>
  <si>
    <t>Engineering; Engineering: General; Mathematics</t>
  </si>
  <si>
    <t>QA901 .C8 2015</t>
  </si>
  <si>
    <t>CFD simulations of particle laden flows: Particle transport and separation : Particle transport and separation</t>
  </si>
  <si>
    <t>Diplomica Verlag</t>
  </si>
  <si>
    <t>TA357 -- .S3 2014eb</t>
  </si>
  <si>
    <t>Ocean Circulation and El Nino : New Research</t>
  </si>
  <si>
    <t>551.46/2</t>
  </si>
  <si>
    <t>GC296.8.E4 -- O24 2009eb</t>
  </si>
  <si>
    <t>Monitoring and Modeling the Deepwater Horizon Oil Spill : A Record Breaking Enterprise</t>
  </si>
  <si>
    <t>Engineering; Engineering: Environmental; Social Science</t>
  </si>
  <si>
    <t>TD427.P4.M66 2011</t>
  </si>
  <si>
    <t>'1,1,1,8,7,162,163,164,165,166,167,168,169,170,171,172,174,175,188,189,190,191,192,193,226,227,228,230,275,278,277,273,272,267,263,261,258,256,254,250,252,248,246,244,233,232,231,229'</t>
  </si>
  <si>
    <t>Ocean Solutions, Earth Solutions</t>
  </si>
  <si>
    <t>Esri Press</t>
  </si>
  <si>
    <t>GC11.2 -- .O243 2015eb</t>
  </si>
  <si>
    <t>'1,1,1,27,32,36,31,39,37,38,42,40,293'</t>
  </si>
  <si>
    <t>The Marine Environment: Ecology, Management and Conservation : Ecology, Management and Conservation</t>
  </si>
  <si>
    <t>Science: Geology; Science; Science: Biology/Natural History</t>
  </si>
  <si>
    <t>GC1015.2 -- .M37 2011eb</t>
  </si>
  <si>
    <t>'1,1,1,51,50,52,53,54,55,56,57,64'</t>
  </si>
  <si>
    <t>Lagrangian Modeling of the Atmosphere</t>
  </si>
  <si>
    <t>QC874.3.L34 2012</t>
  </si>
  <si>
    <t>'10,1,11,12,13,14,15,16,17,19,18,20,21,22,23,24,25,26,26,7,8,9,10,11'</t>
  </si>
  <si>
    <t>'1,1,140,141,142,16,16,12,17,18,19,20,21,22,23,24,25,26,27,28,29,30,31,32,33,34,35,36,,36,36'</t>
  </si>
  <si>
    <t>'18,18,18,19,19,20'</t>
  </si>
  <si>
    <t>'1,1,16,17,18,19'</t>
  </si>
  <si>
    <t>Hyperobjects : Philosophy and Ecology after the End of the World</t>
  </si>
  <si>
    <t>BD336 -- .M67 2013eb</t>
  </si>
  <si>
    <t>'1,1,145,214,145,145,146,147,148,149,150,151,152,153,154,155,156,157,158,159,160,161,162,163,164,165,166,167,168,169,170,171,214,172,173,174,175,176,177,178,179,180,181,182,183,184,185,186,187,188,189,190,191,192,193,194'</t>
  </si>
  <si>
    <t>Mozilla/5.0 (Windows NT 10.0; Win64; x64) AppleWebKit/537.36 (KHTML, like Gecko) Chrome/89.0.4389.114 Safari/537.36 Edg/89.0.774.75</t>
  </si>
  <si>
    <t>Global Physical Climatology</t>
  </si>
  <si>
    <t>QC981 .H378 2016</t>
  </si>
  <si>
    <t>'1,1,1,6,6,14,15,16,17,18,19,20,144,145'</t>
  </si>
  <si>
    <t>The Atmosphere and Ocean : A Physical Introduction</t>
  </si>
  <si>
    <t>Science: Geology; Science; Science: Physics</t>
  </si>
  <si>
    <t>QC861.3.W45 2012</t>
  </si>
  <si>
    <t>'1,1,1,1,7,8,9,10'</t>
  </si>
  <si>
    <t>Remote Sensing of the Asian Seas</t>
  </si>
  <si>
    <t>Geography/Travel; Science; Science: Geology</t>
  </si>
  <si>
    <t>'33,33,33,35,22,245'</t>
  </si>
  <si>
    <t>Sea Ice : Physics and Remote Sensing</t>
  </si>
  <si>
    <t>GB2401.72.R42 -- .S565 2015eb</t>
  </si>
  <si>
    <t>'1,60,60,44,44,60,60,60,61,62,63,64,65,66,67,68'</t>
  </si>
  <si>
    <t>'60,60,60,61,60,67'</t>
  </si>
  <si>
    <t>Transport Phenomena : An Introduction to Advanced Topics</t>
  </si>
  <si>
    <t>Engineering: Chemical; Engineering; Science: Physics; Science</t>
  </si>
  <si>
    <t>530.4/75</t>
  </si>
  <si>
    <t>TP156.T7 -- G55 2010eb</t>
  </si>
  <si>
    <t>'96,97,98,99,100,101,102,103,104,105,106,107'</t>
  </si>
  <si>
    <t>'1,37,5,14,,,,,,,,,,,,,,62'</t>
  </si>
  <si>
    <t>'1,2,3,,4,,5,,6,7,8,9,10,11,12,13,,14,15,16,17,,18,19,,20,21,,22,23,24,25,26,27,28,29,,30,31,32,33,34,35,36,37,38,39,40,41,42,43,44,45,46,47,48,49,50,51,52,53,54,55,56,57,58,59,60,61,,348,349,350,351,352,353,354,355,356,357,358,359,360,361,362,363,364,365,366,367,,484,485,486,487,488,489,490,491,492,493,494,495,496,497,498,499,,500'</t>
  </si>
  <si>
    <t>Hazardous Waste Management</t>
  </si>
  <si>
    <t>TD1050.W36 .S464 2018</t>
  </si>
  <si>
    <t>'38,39,40,41,42,43,44,45,46,47,48,49,,50,51,52,53,54,55,56,57,58,59,60,61,62,63,64,65,66,67,68,69'</t>
  </si>
  <si>
    <t>An Arabic Musical and Socio-Cultural Glossary of Kitāb Al-Aghānī</t>
  </si>
  <si>
    <t>ML348.2.S28 2015</t>
  </si>
  <si>
    <t>'567,567,569,570,,1,1,28,120,122,121,119,118'</t>
  </si>
  <si>
    <t>Introduction to International Disaster Management</t>
  </si>
  <si>
    <t>363.34/526</t>
  </si>
  <si>
    <t>HV553 -- .C677 2015eb</t>
  </si>
  <si>
    <t>'1,7,307,308,309,310,306,310,311,312,309,313,314'</t>
  </si>
  <si>
    <t>Mozilla/5.0 (Macintosh; Intel Mac OS X 11_0_1) AppleWebKit/537.36 (KHTML, like Gecko) Chrome/89.0.4389.114 Safari/537.36</t>
  </si>
  <si>
    <t>'1,60,61'</t>
  </si>
  <si>
    <t>Ocean Acidification</t>
  </si>
  <si>
    <t>Science: Geology; Science: Biology/Natural History; Science</t>
  </si>
  <si>
    <t>QH545.A27 -- O24 2011eb</t>
  </si>
  <si>
    <t>'1,16,9,9,7,6'</t>
  </si>
  <si>
    <t>'1,3,15,23,265,266,268,306,312'</t>
  </si>
  <si>
    <t>'1,2,3,267'</t>
  </si>
  <si>
    <t>'1,2,4,6,9,11,12,13,43,43,43,43,39,60,60,60,75,78'</t>
  </si>
  <si>
    <t>'1,2,42'</t>
  </si>
  <si>
    <t>Mozilla/5.0 (Macintosh; Intel Mac OS X 11_0_0) AppleWebKit/537.36 (KHTML, like Gecko) Chrome/86.0.4240.198 Safari/537.36</t>
  </si>
  <si>
    <t>Implementing Safety Management Systems in Aviation</t>
  </si>
  <si>
    <t>Engineering: Mechanical; Business/Management; Engineering</t>
  </si>
  <si>
    <t>TL553.5 -- .S7429 2011eb</t>
  </si>
  <si>
    <t>'1,,460,,446,6,1,3,5,141,136,126,54,57'</t>
  </si>
  <si>
    <t>'1,,1,,1'</t>
  </si>
  <si>
    <t>'1,,1,3,5,6,6,6,1'</t>
  </si>
  <si>
    <t>'1,3,,1'</t>
  </si>
  <si>
    <t>'1,1,10,11,13,1,14,22,26,,1,9,13,13,17,31,30'</t>
  </si>
  <si>
    <t>'1,4,7,8,9,10,11,12,13,14,15,16,17,20,19,21,22,23,24,25,27,29,30,31,32,33,34,35,36,37,38,39,40,41,42,43,60'</t>
  </si>
  <si>
    <t>'1,2,3,4,6,6,6,8,9,10'</t>
  </si>
  <si>
    <t>The Muslim Brotherhood : Hasan Al-Hudaybi and Ideology</t>
  </si>
  <si>
    <t>322.4/20962</t>
  </si>
  <si>
    <t>BP10.J383 -- Z64 2009eb</t>
  </si>
  <si>
    <t>'1,1,1,1,21,21,2,3,12,13'</t>
  </si>
  <si>
    <t>Foucault and the Iranian Revolution : Gender and the Seductions of Islamism</t>
  </si>
  <si>
    <t>University of Chicago Press</t>
  </si>
  <si>
    <t>History; Philosophy</t>
  </si>
  <si>
    <t>955.05/42</t>
  </si>
  <si>
    <t>B2430</t>
  </si>
  <si>
    <t>'80,81,82,83,84'</t>
  </si>
  <si>
    <t>Animal Waste, Water Quality and Human Health</t>
  </si>
  <si>
    <t>614.4/3</t>
  </si>
  <si>
    <t>RA639 -- .A54 2012eb</t>
  </si>
  <si>
    <t>'1,2,3,372,373'</t>
  </si>
  <si>
    <t>'1,,42'</t>
  </si>
  <si>
    <t>Arsenic in Soil and Groundwater Environment : Biogeochemical Interactions, Health Effects and Remediation</t>
  </si>
  <si>
    <t>Environmental Studies; Science; Science: Chemistry</t>
  </si>
  <si>
    <t>QD181.A7A77 2007</t>
  </si>
  <si>
    <t>'1,2,3,6,7,9,9,9,13,13,12,14,15,18,18,9,34,35,36,35,36,,36,37,38,39,41,580,581,582,583,584,585,587,588,589,590,592'</t>
  </si>
  <si>
    <t>'1,13,14,15,16'</t>
  </si>
  <si>
    <t>Mozilla/5.0 (Windows NT 10.0; Win64; x64) AppleWebKit/537.36 (KHTML, like Gecko) Chrome/89.0.4389.114 Safari/537.36 Edg/89.0.774.68</t>
  </si>
  <si>
    <t>Multiphase Flow Metering</t>
  </si>
  <si>
    <t>TN879.5.F35 2012</t>
  </si>
  <si>
    <t>'1,186,211,213,212,214,215,216,218,217,219,220,221'</t>
  </si>
  <si>
    <t>Mozilla/5.0 (Windows NT 10.0; WOW64) AppleWebKit/537.36 (KHTML, like Gecko) Chrome/69.2.0.1713 Safari/537.36</t>
  </si>
  <si>
    <t>'1,11,12,13,14,15,16,17'</t>
  </si>
  <si>
    <t>'26,27,28,31,29,30,32,33,34,35,36,37,38,39,40,41,42,43'</t>
  </si>
  <si>
    <t>'1,12,11,13,14,15,16,17,18,19,20,21,22,23,24,25,26,,,26'</t>
  </si>
  <si>
    <t>CRC Handbook of Basic Tables for Chemical Analysis : Data-Driven Methods and Interpretation</t>
  </si>
  <si>
    <t>QD75.3$b.B786 2021</t>
  </si>
  <si>
    <t>'1,1,1,4,6,7,8,9,10,11,12,13,14,15,16,17,18,19,20,21,22,23,825,826,827'</t>
  </si>
  <si>
    <t>Innovative Wastewater Treatment &amp; Resource Recovery Technologies : Impacts on Energy, Economy and Environment</t>
  </si>
  <si>
    <t>TD745.I566 2017</t>
  </si>
  <si>
    <t>'460,362,461,459,459,456,362'</t>
  </si>
  <si>
    <t>'456,457,458,459,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t>
  </si>
  <si>
    <t>'1,186,189,190,191,192,193,194,195,196,197'</t>
  </si>
  <si>
    <t>Aircraft Materials and Analysis</t>
  </si>
  <si>
    <t>629.133/34</t>
  </si>
  <si>
    <t>TL698 .S533 2015</t>
  </si>
  <si>
    <t>'18,18,17,5,65,43,45,46,47,48,49,50,51,52,53,54,55,56,57,58,59,60,61,62,63,66,67,68,69,70,71,72,73,74,75,76,77,78,80,81,64'</t>
  </si>
  <si>
    <t>'17,18'</t>
  </si>
  <si>
    <t>Mozilla/5.0 (Macintosh; Intel Mac OS X 10_15_2) AppleWebKit/605.1.15 (KHTML, like Gecko) Version/13.0.4 Safari/605.1.15</t>
  </si>
  <si>
    <t>'1,310,186,188,197,204,206,207,205,208,209,210,211,212,213,214,215,216,217,218,219,220,221,222,,1,186,205,206,207,208,203,204,209,202,201,214,213,212,211'</t>
  </si>
  <si>
    <t>'43,44,45,46,47,48,49,50,40,16,17,19,20,21,22,23,24,26,27,28,30,31,31,44'</t>
  </si>
  <si>
    <t>Political Theory : The State of the Discipline</t>
  </si>
  <si>
    <t>Philosophy; Political Science</t>
  </si>
  <si>
    <t>JA71 -- .P65 2013eb</t>
  </si>
  <si>
    <t>A Little Princess</t>
  </si>
  <si>
    <t>PZ7.B934 .B876 2017</t>
  </si>
  <si>
    <t>The 7 Habits of Highly Effective People : Powerful Lessons in Personal Change</t>
  </si>
  <si>
    <t>RosettaBooks</t>
  </si>
  <si>
    <t>BF637.S8 .C684 2013</t>
  </si>
  <si>
    <t>Water Wisdom : Preparing the Groundwork for Cooperative and Sustainable Water Management in the Middle East</t>
  </si>
  <si>
    <t>Rutgers University Press</t>
  </si>
  <si>
    <t>Business/Management; Economics; Environmental Studies; Agriculture</t>
  </si>
  <si>
    <t>HD1698.M53$bW387 2010</t>
  </si>
  <si>
    <t>'1,2,3,4,5,21,78'</t>
  </si>
  <si>
    <t>'316,317,318,319,320,321,322,323,324,325,326,327,328,329,330,331'</t>
  </si>
  <si>
    <t>Lone Actors - an Emerging Security Threat</t>
  </si>
  <si>
    <t>'1,,1,1,151'</t>
  </si>
  <si>
    <t>Disagreement and Skepticism</t>
  </si>
  <si>
    <t>B837 .D57 2012</t>
  </si>
  <si>
    <t>'1,11,10,12,13'</t>
  </si>
  <si>
    <t>Causes of Deforestation in the Brazilian Amazon</t>
  </si>
  <si>
    <t>World Bank Publications</t>
  </si>
  <si>
    <t>Economics; Agriculture; Environmental Studies</t>
  </si>
  <si>
    <t>333.75/137/0981</t>
  </si>
  <si>
    <t>SD418.3.B6 -- M27 2004eb</t>
  </si>
  <si>
    <t>Mozilla/5.0 (Macintosh; Intel Mac OS X 11_1_0) AppleWebKit/537.36 (KHTML, like Gecko) Chrome/89.0.4389.114 Safari/537.36</t>
  </si>
  <si>
    <t>'1,186,187,189,191,228,229,226,225,225,225,437,227,228,229,223,212,214,215,216,218,217,219,221,222,224,226,230,231'</t>
  </si>
  <si>
    <t>Minimum Design Loads and Associated Criteria for Buildings and Other Structures</t>
  </si>
  <si>
    <t>Engineering; Engineering: Civil; Engineering: Construction</t>
  </si>
  <si>
    <t>TH851.M56 2017</t>
  </si>
  <si>
    <t>'218,219,220,221,,258,259,,772,773,774,775,776,777,778,779,,258,259,,132,133,134,135,136,137,138,139,140,141,142,143'</t>
  </si>
  <si>
    <t>Modernism, Narrative and Humanism</t>
  </si>
  <si>
    <t>PR888.M63 S54 2002</t>
  </si>
  <si>
    <t>'1,1,3,4,4,5,7,14,18,20,20,20,20,20,17,17,16,15,14,13,12,11,10,9,8,7,6,6'</t>
  </si>
  <si>
    <t>Mozilla/5.0 (Macintosh; Intel Mac OS X 10_12_6) AppleWebKit/537.36 (KHTML, like Gecko) Chrome/89.0.4389.114 Safari/537.36</t>
  </si>
  <si>
    <t>Mozilla/5.0 (Macintosh; Intel Mac OS X) Word/14.20.0</t>
  </si>
  <si>
    <t>Advances in Financial Machine Learning</t>
  </si>
  <si>
    <t>HG104 .L674 2018</t>
  </si>
  <si>
    <t>'1,1,3,49,49,35,42,137'</t>
  </si>
  <si>
    <t>'42,43,44,45'</t>
  </si>
  <si>
    <t>Discrete Wavelet Transform : A Signal Processing Approach</t>
  </si>
  <si>
    <t>515/.2433</t>
  </si>
  <si>
    <t>QA403.3 -- .S863 2015eb</t>
  </si>
  <si>
    <t>'1,323,324,325,327,,,,,,,323,324'</t>
  </si>
  <si>
    <t>'1,2,3,4,5,6,7,8,9,10,11,12,13,14,1,2,3,4,5,6,7,8,9,10,11,12,13,14,1,2,3,4,5,6,7,8,9,10,11,12,13,14,,323,324,325,326,327,328,329,330,331,332,333,334,335,336,337,338,339,340,341,342,343,344,345,346,347,348,349,350,351,352,353,354,355,356,357,358,,,323,324,325,326,327,328,329,330,331,332,333,334,335,336,337,338,339,340,341,342,343,344,345,346,347,348,349,350,351,352,353,354,355,356,357,358'</t>
  </si>
  <si>
    <t>Mozilla/5.0 (Windows NT 10.0; Win64; x64) AppleWebKit/537.36 (KHTML, like Gecko) Chrome/89.0.4389.90 Safari/537.36</t>
  </si>
  <si>
    <t>Maritime Security in the Indo-Pacific : Perspectives from China, India, and the United States</t>
  </si>
  <si>
    <t>DS341 -- .M375 2014eb</t>
  </si>
  <si>
    <t>'106,107,108'</t>
  </si>
  <si>
    <t>Mozilla/5.0 (Macintosh; Intel Mac OS X 11_1_0) AppleWebKit/537.36 (KHTML, like Gecko) Chrome/89.0.4389.90 Safari/537.36</t>
  </si>
  <si>
    <t>'1,189,188,185,184,184,184,184,184,185,188,189,191,57,62,114,112,112,112,147,151,152,154,153,150,148,146,156,158,160,155,161,162,168,169,170,172,174,175,176,177,178'</t>
  </si>
  <si>
    <t>'147,148,149,150,151,152,153,154,155,156,157,158,159,160,161,162,163,164,165,166,167,168,169,170,171,172,173,174,175,176,177,178,179,180,181,182,183,184,185,186,187,188'</t>
  </si>
  <si>
    <t>'1,186,187,188,189,190,191,192,193,194,195,196,197,198,199,200,201,202,203,204,205,206,207,208,209,210,211,212,213,214,215,216,217,218,219,220,221'</t>
  </si>
  <si>
    <t>Fundamentals of Forensic Science</t>
  </si>
  <si>
    <t>HV8073 .H77 2015</t>
  </si>
  <si>
    <t>'1,154,348,374,375,376,377,378,379,380,381,382,384'</t>
  </si>
  <si>
    <t>Fundamentals of Ionic Liquids : From Chemistry to Applications</t>
  </si>
  <si>
    <t>QD561.M334 2017</t>
  </si>
  <si>
    <t>'1,3,5,6,7,8,12,18,16,14,13,15,17,19,20,21,22,23,24,25,26,27,28,29,30,31,32,34,39,40,41,42,43,44,45,46,47,49,67,68,115,116,117,118,119,120,121,122,123,124,125,126,127,128,129,130,131,132,133,134,135,136,137,138,161,162,163,164,165,166,167,168,169,170,171,172,173,174,175,181,182,183,184,243,244,245,246,247,249'</t>
  </si>
  <si>
    <t>'132,133,134,135,136,137,138,139,140,141,142,143,,132,133,134,135,136,137,138,139,140,141,142,143,,144,145,146,147,148,149,150,151,152,153,154,155,156,157,158,159,160,161,162,163,164,165,166,167,168,169,170,171,172,173,174,175'</t>
  </si>
  <si>
    <t>Solid-State Properties of Pharmaceutical Materials</t>
  </si>
  <si>
    <t>Medicine; Science; Pharmacy; Science: Chemistry</t>
  </si>
  <si>
    <t>QD478.B976 2017</t>
  </si>
  <si>
    <t>'1,186,157,157,188'</t>
  </si>
  <si>
    <t>Volunteer Tourism : Experiences that Make a Difference</t>
  </si>
  <si>
    <t>Geography/Travel; Business/Management; Economics</t>
  </si>
  <si>
    <t>338.4/791</t>
  </si>
  <si>
    <t>G156.5.V64 -- W43 2001eb</t>
  </si>
  <si>
    <t>'1,13,213,214,215,216,217,,1,13,14'</t>
  </si>
  <si>
    <t>Global Warming in the 21st Century</t>
  </si>
  <si>
    <t>Science: Physics; Science; Science: Geology</t>
  </si>
  <si>
    <t>QC981.8.G56 -- G5819373 2011eb</t>
  </si>
  <si>
    <t>'5,5,5,6,5,5,3,1,1,11,16,16,15,17,18,19,22,20,21,37,56,55,,,56,56,11,57,122,179,180,236,226,225,181,21,37,38,39,40,41,42,43,47,49,51,54,55,58,59,60,61,62,63,64,65,66,67,68,69,71,73,75,77,78,79,81,85,89,86,87,90,91,,5,1'</t>
  </si>
  <si>
    <t>'55,56,57,58,59,60,61,62,63,64,65,66,67,68,69,70,71,72,73,74,75,76,77,78,79,80,81,82,83,84,85,86,87,88,89,90'</t>
  </si>
  <si>
    <t>'1,4,5,6,7,8,9,10,140'</t>
  </si>
  <si>
    <t>'140,141,142,143,144,145,146,147,148,149,150,151,152,153,154,155,156,157'</t>
  </si>
  <si>
    <t>Applied Thermodynamics of Fluids</t>
  </si>
  <si>
    <t>Science: Chemistry; Science: Physics; Science</t>
  </si>
  <si>
    <t>QC145.4.T5 -- A67 2010eb</t>
  </si>
  <si>
    <t>'12'</t>
  </si>
  <si>
    <t>A Reference Grammar of Modern Standard Arabic</t>
  </si>
  <si>
    <t>PJ6303 .R93 2005</t>
  </si>
  <si>
    <t>'1,72,73,73,72,74'</t>
  </si>
  <si>
    <t>'1,186,187,188,189,190,191,192,193,194,195,196,197,198,199,200,201,202,203,204,205,206,207,208,209,210,212,213,214,215,216,217,218,219,220,221,224'</t>
  </si>
  <si>
    <t>'1,2,119,120,121,122,123,124,125,128,130,132,134,136,137,138,140,142,143,144,145,146,147,148,149,150,151,152,153,154,156'</t>
  </si>
  <si>
    <t>Mozilla/5.0 (Macintosh; Intel Mac OS X 11_2_2) AppleWebKit/537.36 (KHTML, like Gecko) Chrome/89.0.4389.114 Safari/537.36</t>
  </si>
  <si>
    <t>'5,,5,121,128'</t>
  </si>
  <si>
    <t>Xenotransplantation : Science, Ethics, and Public Policy</t>
  </si>
  <si>
    <t>Science: Biology/Natural History; Philosophy; Science</t>
  </si>
  <si>
    <t>174/.25</t>
  </si>
  <si>
    <t>QR188.8 -- .I52 1996eb</t>
  </si>
  <si>
    <t>'1,2,3,4,5,7,6,8,9,10,11,12,14,16,17,18,19,21,22,47,48,49,50,51,1,3,4,19,20,21,22,23,24,25,26,27,28,29,30,31,32,33,34,15,14,16,17,18,,1,2,4,5,6,7,8,9,3'</t>
  </si>
  <si>
    <t>'22,22'</t>
  </si>
  <si>
    <t>Mozilla/5.0 (Macintosh; Intel Mac OS X 10_14_6) AppleWebKit/605.1.15 (KHTML, like Gecko) Version/13.1.2 Safari/605.1.15</t>
  </si>
  <si>
    <t>Handbook of Silicon Based MEMS Materials and Technologies</t>
  </si>
  <si>
    <t>TK7875 .H363 2015</t>
  </si>
  <si>
    <t>'1,2,3,4,4,4,6,7,8,9,10,11,12,14,22'</t>
  </si>
  <si>
    <t>'1,2,3,4,7,6,8,10,9,11,18,19,20'</t>
  </si>
  <si>
    <t>Mozilla/5.0 (Macintosh; Intel Mac OS X 10_12_6) AppleWebKit/537.36 (KHTML, like Gecko) Chrome/89.0.4389.82 Safari/537.36</t>
  </si>
  <si>
    <t>The Caliph and the Heretic : Ibn Sabaʾ and the Origins of Shīʿism</t>
  </si>
  <si>
    <t>BP80.A21975 -- A85 2012eb</t>
  </si>
  <si>
    <t>'1,1,84,83,85,316,317,316,69,70,71,72,108,107,280,279,280,64,63,122,121,166,260,259,333'</t>
  </si>
  <si>
    <t>'280'</t>
  </si>
  <si>
    <t>'1,2,3,4,5,6,7,8,9,11,13,14,23,25,24,24,7,202,206,215,262,261,263,264,265,266,266,145,140,1,1,52,51,50,49,48,47,46,45,44,43,42,41,40,39,38,37,36,39,311,40,41,1,3,4,5,6,7,8,23,24,25,26,27,28,29,30,31,32,33,33,21,23,22,23,23,12,11,34,33,38,49,50,51,52,53,97,115,116,119,121,155,157,156,158,159,170,169,171,173,175,176,177,180,179,185,186,188,187,255,257,258,259,261,262,264,265,308,307,328,327,326'</t>
  </si>
  <si>
    <t>'23,23,23'</t>
  </si>
  <si>
    <t>London Underground : A Cultural Geography</t>
  </si>
  <si>
    <t>Liverpool University Press</t>
  </si>
  <si>
    <t>GF552.L66 A844 2013</t>
  </si>
  <si>
    <t>'1,8,7,2,24,23,25,26'</t>
  </si>
  <si>
    <t>The Spirit of Tolerance in Islam</t>
  </si>
  <si>
    <t>BP171.5 -- .S45 2012eb</t>
  </si>
  <si>
    <t>'1,7,8,85'</t>
  </si>
  <si>
    <t>'1,2,5,8,9,10,11,12,13,14'</t>
  </si>
  <si>
    <t>Electrical Engineer's Reference Book</t>
  </si>
  <si>
    <t>TK145.E36 2003</t>
  </si>
  <si>
    <t>Electrical Engineering : A Pocket Reference</t>
  </si>
  <si>
    <t>TK151 -- .K583 2007eb</t>
  </si>
  <si>
    <t>'535,536,537,538,539,540,541,542,543,544,545,546,547'</t>
  </si>
  <si>
    <t>Fundamentals of Electrical Engineering</t>
  </si>
  <si>
    <t>TK146 .B693 2015</t>
  </si>
  <si>
    <t>'170,171,172,173,174,175,176,177,178,179,180,181,182,183,184,185,186,187,188,189,190,192,193,194,195,196,197'</t>
  </si>
  <si>
    <t>'1,2,3,4,5,6,7,8,9,10,11,12,13,14,15,16,16'</t>
  </si>
  <si>
    <t>Practical MATLAB Deep Learning : A Project-Based Approach</t>
  </si>
  <si>
    <t>'1,1,2,3,5,6,7,8'</t>
  </si>
  <si>
    <t>Environmental Data Analysis with MatLab</t>
  </si>
  <si>
    <t>Environmental Studies</t>
  </si>
  <si>
    <t>363.7/0015118</t>
  </si>
  <si>
    <t>GE45.M37 -- M46 2012eb</t>
  </si>
  <si>
    <t>Climate Change Adaptation for Health and Social Services</t>
  </si>
  <si>
    <t>RA793 .C556 2015</t>
  </si>
  <si>
    <t>'22,24,25,26'</t>
  </si>
  <si>
    <t>Numerical Methods : Using MATLAB</t>
  </si>
  <si>
    <t>518.0285/53</t>
  </si>
  <si>
    <t>QA297.P45 2012</t>
  </si>
  <si>
    <t>'252,253,254,255,256,257,258,259,260,261,262,263,264,265,266,267,268,269,270,271,272,273,274,275,276,277,278,279,280,281,282,283,284,285,286,287,288,289,290,291,292,293,294,295,296,1,2,,1,1,2,38,204,205,206'</t>
  </si>
  <si>
    <t>Climate Change and Public Health</t>
  </si>
  <si>
    <t>RA793 .L384 2015</t>
  </si>
  <si>
    <t>'102,103,104,105,106,107,108,109,110,111,112'</t>
  </si>
  <si>
    <t>'1,2,3,4,5,6,7,8,9,9,9'</t>
  </si>
  <si>
    <t>Mozilla/5.0 (Windows NT 10.0; Win64; x64; rv:86.0) Gecko/20100101 Firefox/86.0</t>
  </si>
  <si>
    <t>Climate Change and Life on Earth</t>
  </si>
  <si>
    <t>'10,12,17,19,20,21,22,11,13,14,15'</t>
  </si>
  <si>
    <t>Mozilla/5.0 (Macintosh; Intel Mac OS X 11_2_3) AppleWebKit/537.36 (KHTML, like Gecko) Chrome/89.0.4389.90 Safari/537.36</t>
  </si>
  <si>
    <t>'10,11,12,13,14,15'</t>
  </si>
  <si>
    <t>Robotic Surgery : Practical Examples in Gynecology</t>
  </si>
  <si>
    <t>RG104 -- .R63 2014eb</t>
  </si>
  <si>
    <t>Nuclear Energy : What Everyone Needs to Know®</t>
  </si>
  <si>
    <t>Engineering: Electrical; Engineering; Economics; Environmental Studies</t>
  </si>
  <si>
    <t>333.792/4</t>
  </si>
  <si>
    <t>TK9145 -- .F47 2011eb</t>
  </si>
  <si>
    <t>'1,2,3,4,5,6,7,8,9,10,11,12,13,14,15,16,17,18,19,20,21,22,23,24,25,26,27,28,29,30,31,32,33,34,35'</t>
  </si>
  <si>
    <t>'24'</t>
  </si>
  <si>
    <t>The Finite Element Method: Its Basis and Fundamentals : Its Basis and Fundamentals</t>
  </si>
  <si>
    <t>620/.00151825</t>
  </si>
  <si>
    <t>TA640.2.Z54 2013eb</t>
  </si>
  <si>
    <t>'86,87,88,89,90,91,92,93,94,95,96,97,98,99,100,101,102,103,104,105,106,107,108,109,110,111,112,113,114,115,116,117,118,119,120,121,122,123,124,125,126,127,128,129,130,131'</t>
  </si>
  <si>
    <t>'5,5,8,8,8,8,8'</t>
  </si>
  <si>
    <t>Infrastructure Computer Vision</t>
  </si>
  <si>
    <t>TA1634$b.I547 2020</t>
  </si>
  <si>
    <t>Computer Vision : Principles, Algorithms, Applications, Learning</t>
  </si>
  <si>
    <t>TA1634 .D385 2018</t>
  </si>
  <si>
    <t>Agile Software Development : Evaluating the Methods for Your Organization</t>
  </si>
  <si>
    <t>005.1/2</t>
  </si>
  <si>
    <t>QA76.76.D47 -- K62 2005eb</t>
  </si>
  <si>
    <t>'1,1,,15,,1,19,4,2,3,6,7,8,9,10,,1,,1'</t>
  </si>
  <si>
    <t>'5,5,1,10,6,7,7,7,7,8,6,15,16,17,18,19,5'</t>
  </si>
  <si>
    <t>'333,348'</t>
  </si>
  <si>
    <t>New Directions in Philosophy and Literature</t>
  </si>
  <si>
    <t>PN45 .N49 2019</t>
  </si>
  <si>
    <t>'1,1,2,184'</t>
  </si>
  <si>
    <t>'1,1,310,391,226,232'</t>
  </si>
  <si>
    <t>Mozilla/5.0 (Windows NT 10.0; Win64; x64) AppleWebKit/537.36 (KHTML, like Gecko) Chrome/89.0.4389.82 Safari/537.36</t>
  </si>
  <si>
    <t>'1,2,5,6,7,8,9,10,11,12,13,14,15,16,17,18,19,1,1,,303,304,305,1'</t>
  </si>
  <si>
    <t>'1,3,4,6,5,7,8,10,11,12,14,15,16,16,16'</t>
  </si>
  <si>
    <t>Islamic Ethics : Divine Command Theory in Arabo-Islamic Thought</t>
  </si>
  <si>
    <t>BJ1291 -- .A88 2010eb</t>
  </si>
  <si>
    <t>'1,2,3,4,5,6,7,8,9,10,11,12,12,12,12,12,10,11,13,14'</t>
  </si>
  <si>
    <t>Universal Paradigm And The Islamic World-system, The: Economy, Society, Ethics And Science</t>
  </si>
  <si>
    <t>BP173.75.C493 2007</t>
  </si>
  <si>
    <t>'38,2,1,3,4,5,6,7,8,39,40,41,24,25,23,21,20,17,16,14,10,9,86,87'</t>
  </si>
  <si>
    <t>The Teleological Ethics of Fakhr Al-Dīn Al-Rāzī</t>
  </si>
  <si>
    <t>B753.R4S55 2006</t>
  </si>
  <si>
    <t>'1,2,3,4,5,6,7,8,10,11,12,125,125,125,124'</t>
  </si>
  <si>
    <t>Living Knowledge in West African Islam : The Sufi Community of Ibrāhīm Niasse</t>
  </si>
  <si>
    <t>297.4/8</t>
  </si>
  <si>
    <t>BP188.8.A358W75 2015</t>
  </si>
  <si>
    <t>'1,2,3,4,5,5,6,8,60,59,61,62'</t>
  </si>
  <si>
    <t>Inspired Knowledge in Islamic Thought : Al-Ghazali's Theory of Mystical Cognition and Its Avicennian Foundation</t>
  </si>
  <si>
    <t>B753.G34 -- T74 2012eb</t>
  </si>
  <si>
    <t>'1,2,3,4,5,9,8,11,16,18,21,23,24,27,32,47,48,52,53,51,52,51,1,2,3,4,5,6,7,8,9,10,11,17,47,48'</t>
  </si>
  <si>
    <t>Climate Change and Rising Temperatures</t>
  </si>
  <si>
    <t>'16,18'</t>
  </si>
  <si>
    <t>'10'</t>
  </si>
  <si>
    <t>QC903.C56 2009</t>
  </si>
  <si>
    <t>'1,1,3,4,8,9,10,11,12,290,291,292,288,16,21,21'</t>
  </si>
  <si>
    <t>'10,11,12,13,14,15,16,17,18,19,20,21,22,23,24,25,26,27'</t>
  </si>
  <si>
    <t>Thermoplastic Material Selection : A Practical Guide</t>
  </si>
  <si>
    <t>TP1180.T5 -- .L377 2015eb</t>
  </si>
  <si>
    <t>'1,1,3'</t>
  </si>
  <si>
    <t>'10,11,12,13,14,15,16,17,2,8,36,35'</t>
  </si>
  <si>
    <t>'1,2,4,6,8,9,3'</t>
  </si>
  <si>
    <t>Thermoplastic Materials : Properties, Manufacturing Methods, and Applications</t>
  </si>
  <si>
    <t>668.4/23</t>
  </si>
  <si>
    <t>TP1180.T5 -- .I24 2011eb</t>
  </si>
  <si>
    <t>'1,2,3,5,7,9,8,10'</t>
  </si>
  <si>
    <t>Methods of Information Geometry</t>
  </si>
  <si>
    <t>QA276 .A56313 2000</t>
  </si>
  <si>
    <t>'126,127,128,130,131,133,113'</t>
  </si>
  <si>
    <t>Mozilla/5.0 (Macintosh; Intel Mac OS X 10.14; rv:87.0) Gecko/20100101 Firefox/87.0</t>
  </si>
  <si>
    <t>Secrets to Writing Great Papers</t>
  </si>
  <si>
    <t>University of Wisconsin Press</t>
  </si>
  <si>
    <t>Language/Linguistics; Literature</t>
  </si>
  <si>
    <t>808/.042</t>
  </si>
  <si>
    <t>PE1408</t>
  </si>
  <si>
    <t>'72,73,74,75,76,77,,55,56,57,58,59,60,61,62,63,64,65,66,67,68,69,70,71,,48,49,50,51,52,53,54,,44,45,46,47,,16,17,18'</t>
  </si>
  <si>
    <t>Mozilla/5.0 (Windows NT 10.0; Win64; x64) AppleWebKit/537.36 (KHTML, like Gecko) Chrome/88.0.4324.104 Safari/537.36</t>
  </si>
  <si>
    <t>Essays &amp; Term Papers</t>
  </si>
  <si>
    <t>Literature; Education</t>
  </si>
  <si>
    <t>LB2369 .E873 2014</t>
  </si>
  <si>
    <t>'1,2,3,4,5,,5,3,1,,1'</t>
  </si>
  <si>
    <t>Earth Wars : The Battle for Global Resources</t>
  </si>
  <si>
    <t>Environmental Studies; Economics; Business/Management</t>
  </si>
  <si>
    <t>HC85 -- .H57 2012eb</t>
  </si>
  <si>
    <t>'1,2,21,22,20,19,18,23,24,25,26,85,86,87'</t>
  </si>
  <si>
    <t>Crisis Leadership: Using Military Lessons, Organizational Experiences, and the Power of Influence to Lessen the Impact of Chaos on the People You Lead : How Military Lessons and Corporate Experiences Can Help Leaders Find Opportunity in Times of Chaos</t>
  </si>
  <si>
    <t>658.4/092</t>
  </si>
  <si>
    <t>HD57.7 -- .K547 2003eb</t>
  </si>
  <si>
    <t>'1,2,4,55,55,53,54'</t>
  </si>
  <si>
    <t>'1,4,1,6,5,4'</t>
  </si>
  <si>
    <t>Mozilla/5.0 (Macintosh; Intel Mac OS X 10_15_5) AppleWebKit/537.36 (KHTML, like Gecko) Chrome/89.0.4389.90 Safari/537.36</t>
  </si>
  <si>
    <t>'1,7,,1,1'</t>
  </si>
  <si>
    <t>'1,3,55,55,57,56,58,59,60,61,62,63,64,65'</t>
  </si>
  <si>
    <t>React and React Native : A Complete Hands-On Guide to Modern Web and Mobile Development with React. js, 3rd Edition</t>
  </si>
  <si>
    <t>QA76.76.A65$b.B638 2020</t>
  </si>
  <si>
    <t>'23,24,25'</t>
  </si>
  <si>
    <t>Mozilla/5.0 (Macintosh; Intel Mac OS X 10_15_5) AppleWebKit/605.1.15 (KHTML, like Gecko) Version/13.1.1 Safari/605.1.15</t>
  </si>
  <si>
    <t>The challenges of antibiotic resistance in the development of new therapeutics</t>
  </si>
  <si>
    <t>QR177 -- .C435 2015eb</t>
  </si>
  <si>
    <t>Water Quality</t>
  </si>
  <si>
    <t>TD370 -- .W392 2010eb</t>
  </si>
  <si>
    <t>'1,2,3,4,5,6,7,9,11,12'</t>
  </si>
  <si>
    <t>Alternatives To Animal Testing</t>
  </si>
  <si>
    <t>615.9/07</t>
  </si>
  <si>
    <t>'1,2,3,4,6,7,8,9,10,12,113,114,114,115,116,116,117,115,118,120,119,121,122,123,124,125,126,127,128,129,130,132,134,135,136,137,133,114,113,112,111,110,109,108,8,1,2,4,3,5,7,6'</t>
  </si>
  <si>
    <t>Netter's Neurology E-Book</t>
  </si>
  <si>
    <t>RC355 .N488 2020</t>
  </si>
  <si>
    <t>'1,,,,,780,781'</t>
  </si>
  <si>
    <t>'646,647,648,649,650,651,652,653,654,655,656,657,658,659,660,661,662,663,664,665,666,667,668,669,670,671,672,673,674,675,,602,603,604,605,606,607,608,609,610,611,612,613,,316,317,318,319,320,321,322,323,324,325,326,327,328,329,330,331,332,333,334,335,336,337,338,339,,764,765,766,767,768,769,770,771,772,773,774,775,776,777,778,779'</t>
  </si>
  <si>
    <t>Mozilla/5.0 (Windows NT 6.3; Win64; x64) AppleWebKit/537.36 (KHTML, like Gecko) Chrome/83.0.4103.97 Safari/537.36 Edg/83.0.478.50</t>
  </si>
  <si>
    <t>Next-Generation Batteries and Fuel Cells for Commercial, Military, and Space Applications</t>
  </si>
  <si>
    <t>TK2941</t>
  </si>
  <si>
    <t>'1,8,9,11,14,15,16,32,33,34,214,215,216,217,218,219,220,221,222,223,224,225,226,227,228,229,230,231,232'</t>
  </si>
  <si>
    <t>Mozilla/5.0 (Macintosh; Intel Mac OS X 10_11_6) AppleWebKit/537.36 (KHTML, like Gecko) Chrome/87.0.4280.141 Safari/537.36</t>
  </si>
  <si>
    <t>Handbook on Transport and Development</t>
  </si>
  <si>
    <t>HE148.H53 2015</t>
  </si>
  <si>
    <t>'234,235,236,237,238,239,240,241,242,243,244,245,246,247,248,249,250,251,252'</t>
  </si>
  <si>
    <t>Mozilla/5.0 (Windows NT 6.1; Win64; x64) AppleWebKit/537.36 (KHTML, like Gecko) Chrome/89.0.4389.90 Safari/537.36</t>
  </si>
  <si>
    <t>Streets and Patterns : The Structure of Urban Geometry</t>
  </si>
  <si>
    <t>Architecture; Fine Arts</t>
  </si>
  <si>
    <t>NA9053.S7</t>
  </si>
  <si>
    <t>'125,164,163,161,159,157,158,183,195,204,201,205,208,228,228'</t>
  </si>
  <si>
    <t>'5,9,12,10,11,13,16,17,20,6,7,8,14,18,19,21,24,26,28,32,33,36,38,40,40,41,43,45,47,48,49,51,53,54,55,69,72,74,78,81,89,90,91,112,121,122,120,,121'</t>
  </si>
  <si>
    <t>'29'</t>
  </si>
  <si>
    <t>Mars, Planète Habitable : Entretien Avec Alexandre Mangeot</t>
  </si>
  <si>
    <t>Noblishing</t>
  </si>
  <si>
    <t>General Works/Reference; Engineering; Engineering: General</t>
  </si>
  <si>
    <t>Z5064.A8 -- .M377 2016eb</t>
  </si>
  <si>
    <t>Mozilla/5.0 (Macintosh; Intel Mac OS X 10_15_7) AppleWebKit/537.36 (KHTML, like Gecko) Chrome/89.0.4389.90 Safari/537.36</t>
  </si>
  <si>
    <t>Earth and Mars : A Reflection</t>
  </si>
  <si>
    <t>University of Arizona Press</t>
  </si>
  <si>
    <t>GB403</t>
  </si>
  <si>
    <t>'1,3,4,9,12,13,14,15,19,24,22,23,20,18,76,104,105,106,106,106,106,107,108,109,109,181,122,119,108,107,110,112,114,116,117,124,125,127,128,132,134,136,137,138,139'</t>
  </si>
  <si>
    <t>'1,186,187,198,200,232,234,234,226,232,233,230,229,228'</t>
  </si>
  <si>
    <t>Methods of Adipose Tissue Biology Part A</t>
  </si>
  <si>
    <t>QP88.15 -- .M48eb</t>
  </si>
  <si>
    <t>Mozilla/5.0 (Windows NT 6.3; Win64; x64; rv:86.0) Gecko/20100101 Firefox/86.0</t>
  </si>
  <si>
    <t>'1,2,3,4,5,6,7,8,9,10,11,13,17,21,29,30'</t>
  </si>
  <si>
    <t>'1,27,28,29,30,24,25,26,17,18,31,32,32,15,129,132,133,139,538,539,502,502,479,480,481,481,481,335'</t>
  </si>
  <si>
    <t>'1,27'</t>
  </si>
  <si>
    <t>Refrigeration and Air-Conditioning</t>
  </si>
  <si>
    <t>Engineering; Engineering: Chemical; Engineering: General</t>
  </si>
  <si>
    <t>TP492.T75 2008</t>
  </si>
  <si>
    <t>'1,1,366,367,368,369,370,371,372,373,374,375,376,392'</t>
  </si>
  <si>
    <t>Advanced Theory of Constraint and Motion Analysis for Robot Mechanisms</t>
  </si>
  <si>
    <t>TJ211.35.A38 2014eb</t>
  </si>
  <si>
    <t>Geometric Method for Type Synthesis of Parallel Manipulators</t>
  </si>
  <si>
    <t>Finite and Instantaneous Screw Theory in Robotic Mechanism</t>
  </si>
  <si>
    <t>Topology Design of Robot Mechanisms</t>
  </si>
  <si>
    <t>'1,1,331,332,333,334,335,336,337,338,339,340,341,342,343,344,345,346,347,348,349,350,351,352,353,354,355,356,357,358,359,360,361,362,363,364'</t>
  </si>
  <si>
    <t>'1,1,321,322,323,324,325,326,327,328,329'</t>
  </si>
  <si>
    <t>Clinical Guide to Cardiology</t>
  </si>
  <si>
    <t>RC682</t>
  </si>
  <si>
    <t>'1,1,2,79,78'</t>
  </si>
  <si>
    <t>Clinical Cardiology: Current Practice Guidelines</t>
  </si>
  <si>
    <t>RC667.K387 2016</t>
  </si>
  <si>
    <t>'1,121,121'</t>
  </si>
  <si>
    <t>'121,122,123,124,125,126,127,128,129,130,131,132,133,134,135,136,137,138,139,140,141,142,143,144,145,146,147,148,149'</t>
  </si>
  <si>
    <t>'1,2,3,4,5,6,7,8,147,148,150,151,154,155,155,60,155,155,155,156,157,159,161,163,164,164,102,165,166,167,168,169,170,171,172,173,175,176,177,178,179,180,181,174'</t>
  </si>
  <si>
    <t>'1,2,4,5,6,7,8,9,10,11,12,13,15,16,17,18,14,19,20,21,22,23,24,26,26,18,18'</t>
  </si>
  <si>
    <t>'1,2,3,3,4,5,169,170,171,172,173,174,175,176,177,178,179,181,182,183,185,186,187,169'</t>
  </si>
  <si>
    <t>'184'</t>
  </si>
  <si>
    <t>Mozilla/5.0 (Macintosh; Intel Mac OS X 10_14_6) AppleWebKit/537.36 (KHTML, like Gecko) Chrome/89.0.4389.82 Safari/537.36</t>
  </si>
  <si>
    <t>Society Explained : An Introduction to Sociology</t>
  </si>
  <si>
    <t>HM585 -- .R677 2014eb</t>
  </si>
  <si>
    <t>'91,92,93,94,95,96,97,98,99,100,101,102,103,104,105,106,107,108,109,110,111,112,113,114,115,116,117,118,119,120,121,122,123,124,125,126,127,128,129,130,131,,91,92,93,94,95,96,97,98,99,100,101,102,103,104,105,106,107,108,109,110,111,112,113,114,115,116,117,118,119,120,121,122,123,124,125,126,127,128,129,130,131,,67,68,69,70,71,72,73,74,75,76,77,78,79,80,81,82,83,84,85,86,87,88,89,90,,13,14,15,16,17,18,19,20,21,22,23,24,25,26'</t>
  </si>
  <si>
    <t>'1,6,8,9,11,12,13,14,15,16'</t>
  </si>
  <si>
    <t>Mozilla/5.0 (Windows NT 10.0; Win64; x64) AppleWebKit/537.36 (KHTML, like Gecko) Chrome/89.0.4389.90 Safari/537.36 Edg/89.0.774.54</t>
  </si>
  <si>
    <t>'126'</t>
  </si>
  <si>
    <t>Mozilla/5.0 (Macintosh; Intel Mac OS X 10.14; rv:86.0) Gecko/20100101 Firefox/86.0</t>
  </si>
  <si>
    <t>Kali Linux – Assuring Security by Penetration Testing : Assuring Security By Penetration Testing</t>
  </si>
  <si>
    <t>QA76.76.O63 -- A45 2014eb</t>
  </si>
  <si>
    <t>'1,2,31,32,33,34,36'</t>
  </si>
  <si>
    <t>Authentic Leadership Effectiveness : For Individuals and Teams – A Coaching Approach</t>
  </si>
  <si>
    <t>KR Publishing</t>
  </si>
  <si>
    <t>HD57.7.W854 2017</t>
  </si>
  <si>
    <t>'1,1,3,4,5,6,7,8,9,10,11,12,13,14,15,16,17,18,19,20,21,22,23,24,25,26,27,28,29,30,31'</t>
  </si>
  <si>
    <t>'27,30'</t>
  </si>
  <si>
    <t>Leading with Strategic Thinking : Four Ways Effective Leaders Gain Insight, Drive Change, and Get Results</t>
  </si>
  <si>
    <t>HD57.7.O4327 2015</t>
  </si>
  <si>
    <t>'1,1,64,65,66,67,67,68,69,70,72,74,76,77,78,79,81,82,83,84,85,86,88,90,91,93,94,95,96,99,100,101,102,103,104,105,107,108,108,109,110,111,112,113,114,115,116,117'</t>
  </si>
  <si>
    <t>'1,1,314,315,316,317,318,319,320,321'</t>
  </si>
  <si>
    <t>Powder Metallurgy Research Trends</t>
  </si>
  <si>
    <t>Engineering; Engineering: Manufacturing; Engineering: Mining</t>
  </si>
  <si>
    <t>TN695 -- .P674 2009eb</t>
  </si>
  <si>
    <t>'1,1,286,292'</t>
  </si>
  <si>
    <t>Advances in Powder Metallurgy : Properties, Processing and Applications</t>
  </si>
  <si>
    <t>Engineering: Manufacturing; Engineering; Engineering: Mining</t>
  </si>
  <si>
    <t>TN695.A38 2013eb</t>
  </si>
  <si>
    <t>'1,1,176,179,180,183,190,191,189,188,189,175,383'</t>
  </si>
  <si>
    <t>Powder Metallurgy Technology</t>
  </si>
  <si>
    <t>Cambridge International Science Publishing, Limited</t>
  </si>
  <si>
    <t>Engineering; Engineering: Mining; Engineering: Manufacturing</t>
  </si>
  <si>
    <t>TN695 -- .U73 2002eb</t>
  </si>
  <si>
    <t>'1,1,27,27,29,30,31,32,33,35,35,36,36,,1,1,1,79,79,15,27'</t>
  </si>
  <si>
    <t>'1,1,308,308,309,310,311,312,313,314'</t>
  </si>
  <si>
    <t>Difficult Atheism : Post-Theological Thinking in Alain Badiou, Jean-Luc Nancy and Quentin Meillassoux</t>
  </si>
  <si>
    <t>BL2765.F8 -- W38 2011eb</t>
  </si>
  <si>
    <t>'1,1,183,184,185,186,187,,1,1,189,190,191,192'</t>
  </si>
  <si>
    <t>'1,1,225,225,225,225,225,226,227,228,229,230,231,232,233,234,235,236,237,238,239,240,241,242,243,244,245,246,247,248,249,250,251,252,253,254,255,256,257,258,259,260,261,262,263,264,265,266,267,268,269,270,271,272,273,274,275,276,277,278,279,280,281,282,283,284,285,286,287,288,289,290,291,292,293,294,295,296,297,298,299,300,301,302,303,304,305,306,307'</t>
  </si>
  <si>
    <t>'1,1,221,183,184,185,186,187'</t>
  </si>
  <si>
    <t>Proteomics of Biological Systems : Protein Phosphorylation Using Mass Spectrometry Techniques</t>
  </si>
  <si>
    <t>572/.62</t>
  </si>
  <si>
    <t>QP519.9.M3 -- H367 2012eb</t>
  </si>
  <si>
    <t>'1,2,4,3,5,6,7,8,8,8,29,27,26,24,23,22,25,28'</t>
  </si>
  <si>
    <t>Introduction to Proteomics : Principles and Applications</t>
  </si>
  <si>
    <t>QP551 -- .M475 2010eb</t>
  </si>
  <si>
    <t>'1,2,4,5,23,24,25,26,,1,2,5,9,23,22,24,25,26,27,28,29'</t>
  </si>
  <si>
    <t>'25,26,27,28'</t>
  </si>
  <si>
    <t>'1,117,117,9,10,262,263,268,269,278,279,280,281,282,282,120,249,300,299,301,334,350,350,9,11,10,12,469,380,336,379,377,372,358,353,352,351,349,348,347,345,343,342,341,343,352,353,355,358'</t>
  </si>
  <si>
    <t>'1,293,294,262,263,264,265,267,269,269,1,300,334'</t>
  </si>
  <si>
    <t>Parmenides and Presocratic Philosophy</t>
  </si>
  <si>
    <t>B235.P24P35 2009</t>
  </si>
  <si>
    <t>'1,1,238,239,240,241,242,243,244,245,246,247,248,249,250,251,252,253'</t>
  </si>
  <si>
    <t>Anaxagoras, Origen, and Neoplatonism : The Legacy of Anaxagoras to Classical and Late Antiquity</t>
  </si>
  <si>
    <t>182/.8</t>
  </si>
  <si>
    <t>B205.Z7.T93 2016</t>
  </si>
  <si>
    <t>'1,1,2,3,4,5,6,7,8,9,10,21,22,23,24,25,26,27,28,29,123,124,125,126,127,128,129,130,131,132,133,134,135,136,137,138,139,140,141,142,183'</t>
  </si>
  <si>
    <t>'5,6,7,8'</t>
  </si>
  <si>
    <t>Driving Strategy to Execution Using Lean Six Sigma : A Framework for Creating High Performance Organizations</t>
  </si>
  <si>
    <t>TS156 -- .P54 2012eb</t>
  </si>
  <si>
    <t>'1,2,3,4,5,6,7,8,9,10,11,86,87,88,89,90,91,93'</t>
  </si>
  <si>
    <t>'5,10'</t>
  </si>
  <si>
    <t>'1,2,,3,4'</t>
  </si>
  <si>
    <t>Robust Energy Procurement of Large Electricity Consumers</t>
  </si>
  <si>
    <t>Economics; Science; Environmental Studies; Science: Physics</t>
  </si>
  <si>
    <t>QC71.82-73.8</t>
  </si>
  <si>
    <t>'1,1,34,33,35,36,37,38,39,40'</t>
  </si>
  <si>
    <t>The Finite Element Method : A Practical Course</t>
  </si>
  <si>
    <t>TA347.F5.L58 2013eb</t>
  </si>
  <si>
    <t>'1,,,19,20,35,36,37,38,41,42,43,44,45,46,48,54,61,62,89,95,137,155'</t>
  </si>
  <si>
    <t>'279,280,,281,282,,283,284,,285,286,287,288,289,290'</t>
  </si>
  <si>
    <t>'221,222,223,224,225,226,227,228,229,230,231,232,233,234,235,236,,237,238,239,240,241,242,,243,244,245,246,247,248,249,250,251,252,,253,254,255,256,257,258,259,260,261,262,,263,264,265,266,267,268,269,270,,271,272,273,274,275,276,277,278'</t>
  </si>
  <si>
    <t>'167,168,169,170,171,172,173,174,,175,176,177,178,179,180,,181,182,183,184,185,186,187,188,189,190,,191,192,193,194,195,196,197,198,,199,200,201,202,203,204,205,206,207,208,209,210,211,212,,213,214,215,216,217,218,219,220'</t>
  </si>
  <si>
    <t>'109,110,111,112,113,114,115,116,117,118,119,120,,121,122,123,124,125,126,127,128,129,130,,131,132,133,134,135,136,137,138,,139,140,141,142,143,144,145,146,147,148,,149,150,151,152,153,154,155,156,,157,158,159,160,161,162,163,164,165,166'</t>
  </si>
  <si>
    <t>'1,2,3,4,5,6,7,8,8,9,10,11,12,13,14,15,16,17,19,20,21,22,23,24,25,26,27,28,29,30,30,1,3,5,2,4,6,7,8,9,11,12,14,15,17,19,21,23,25,26,27,28,29,28,29,28,1,2,4,5,7,6,8,19,17,23,21,22,25,26,27,29,31,30,32,33,34,36,38,40,41,42,44,46,48,50,52,54,56,58,,1'</t>
  </si>
  <si>
    <t>'29,30,31,32,1,2,3,4,5,6,7,8,9,10,11,12,13,14,15,16,17,18,19,20,21,22,23,24,25,26,27,28,33,34,35,36,37,38,39,40,41,42,43,44,45,46,47,48,49,50,51,52,53,54,55,56,57,58,,,59,60,61,62,63,64,65,66,,67,68,69,70,71,72,73,74,,75,76,77,78,79,80,81,82,83,84,85,86,,87,88,89,90,91,92,93,94,95,96,97,98,99,100,,101,102,103,104,105,106,107,108'</t>
  </si>
  <si>
    <t>Digital Integrated Circuit Design Using Verilog and Systemverilog</t>
  </si>
  <si>
    <t>TK7874.65 -- .M445 2015eb</t>
  </si>
  <si>
    <t>'1,1,2,5,4,6,7,8'</t>
  </si>
  <si>
    <t>Computer Principles and Design in Verilog HDL</t>
  </si>
  <si>
    <t>621.390285/5133</t>
  </si>
  <si>
    <t>TK7885.7 -- .L5 2015eb</t>
  </si>
  <si>
    <t>'327,,298,299,300,301'</t>
  </si>
  <si>
    <t>'300,301,302,303,304,,298,299,300,301,302,303,304,305,306,307,308,309,310,311,312,313,314,315,316,317,318,319,320,321,322,323,324,325,326,327,328,329,330,331,332,333,334,335,336,337,338,339,340,341,342,343,344,345,346,347,348,349,350,351,352,353,354'</t>
  </si>
  <si>
    <t>'114,115,116,117'</t>
  </si>
  <si>
    <t>'298,299,300,301,297,320,319,318,317,316,315,313,312,311,310,307,306,291,292,290,302,303,304,305,308,309,314,321,322,323,324,325'</t>
  </si>
  <si>
    <t>'1,1,112,111,111,111,111,110,112,113,114,112,113,114,114,113,115,117,117,117,109,108,108,109,110,111,,,109,112'</t>
  </si>
  <si>
    <t>'106,107,108,110,111'</t>
  </si>
  <si>
    <t>'6,1'</t>
  </si>
  <si>
    <t>Nanotechnology in Industrial Wastewater Treatment</t>
  </si>
  <si>
    <t>TD745 -- .R69 2015eb</t>
  </si>
  <si>
    <t>'40,42,43,44,46,47,48,49,50,51,52'</t>
  </si>
  <si>
    <t>Carbonate Reservoirs : Porosity and Diagenesis in a Sequence Stratigraphic Framework</t>
  </si>
  <si>
    <t>QE471.15.C3.M667 20</t>
  </si>
  <si>
    <t>'4,6,9'</t>
  </si>
  <si>
    <t>'1,1,133,134,135,136,137,138,139'</t>
  </si>
  <si>
    <t>'138,139,140,141'</t>
  </si>
  <si>
    <t>'139'</t>
  </si>
  <si>
    <t>Chemical Process Equipment - Selection and Design (Revised 2nd Edition)</t>
  </si>
  <si>
    <t>TP157.C414 2010</t>
  </si>
  <si>
    <t>'600,601,602,603,604,605,606,607,608,609,610,611,612,613,614,615,616,617,618,619,620,621,622,623,624,625,626,627,628,629,630,631,632,633,634,635,636,637,638,639,640,641,642,643,644,645,646,647,648,649,650,651,652,653,654,655,656,657,658,659'</t>
  </si>
  <si>
    <t>Mozilla/5.0 (Macintosh; Intel Mac OS X 10_15_7) AppleWebKit/537.36 (KHTML, like Gecko) Chrome/86.0.4240.75 Safari/537.36</t>
  </si>
  <si>
    <t>'1,1,187,188,189,190,191,192,193,194,195,196,197,198,199,200,201,202,203,109,111,112,114,115,116,117,117,117,116,116,117,119,224,119,118,117,116,115,113,112,111,108,114,114'</t>
  </si>
  <si>
    <t>'1,51,52,53,54,55,56,57'</t>
  </si>
  <si>
    <t>'1,31,32,33,34,35,36,37,38,39,40,41,42,43,44,45,46,47,48,49,50,51,50,50,31'</t>
  </si>
  <si>
    <t>'48,49,50,31,32,33,34,35,36,37,38,39,40,41,42,43,44,45,46,47,48,49,50'</t>
  </si>
  <si>
    <t>'1,19,18,20,,1,4,2,3,19,20,16,21,22'</t>
  </si>
  <si>
    <t>'1,190,3,2'</t>
  </si>
  <si>
    <t>'1,1,26,25,25,25,25,7,24,26,27,28,29,1,,1,2,26,25,25,25,,1,38,37,39,40,46,45,47,48,2,121'</t>
  </si>
  <si>
    <t>'26,26,,,45'</t>
  </si>
  <si>
    <t>'1,3,,3'</t>
  </si>
  <si>
    <t>High Performance Control of AC Drives with Matlab / Simulink Models</t>
  </si>
  <si>
    <t>TK2781 -- .A28 2012eb</t>
  </si>
  <si>
    <t>'1,2,,,2'</t>
  </si>
  <si>
    <t>Mozilla/5.0 (Windows NT 6.1; Win64; x64) AppleWebKit/537.36 (KHTML, like Gecko) Chrome/88.0.4324.190 Safari/537.36</t>
  </si>
  <si>
    <t>Introduction to Microelectromechanical Systems Engineering</t>
  </si>
  <si>
    <t>TK7875 -- .M35 2004eb</t>
  </si>
  <si>
    <t>Mozilla/5.0 (Windows NT 6.2; Win64; x64) AppleWebKit/537.36 (KHTML, like Gecko) Chrome/89.0.4389.82 Safari/537.36</t>
  </si>
  <si>
    <t>'1,1,3,,1,1'</t>
  </si>
  <si>
    <t>'1,1,2,3,4,51'</t>
  </si>
  <si>
    <t>'1,1,9,10,11,12,14,15,16,17,19,20,21,22'</t>
  </si>
  <si>
    <t>Understanding Stuttering</t>
  </si>
  <si>
    <t>616.85/54</t>
  </si>
  <si>
    <t>RC424 -- .L35 2003eb</t>
  </si>
  <si>
    <t>Project Finance for Construction and Infrastructure : Principles and Case Studies</t>
  </si>
  <si>
    <t>Engineering; Engineering: Civil; Business/Management</t>
  </si>
  <si>
    <t>HD69.P75P724 2008</t>
  </si>
  <si>
    <t>'1,1,2,3,4,5,6,7,8,10'</t>
  </si>
  <si>
    <t>Green Infrastructure Finance : Framework Report</t>
  </si>
  <si>
    <t>332.67/22</t>
  </si>
  <si>
    <t>HC79.C3 -- G74 2012eb</t>
  </si>
  <si>
    <t>'1,1,181,181,183,180,179,178,177,182'</t>
  </si>
  <si>
    <t>Understanding MEMS : Principles and Applications</t>
  </si>
  <si>
    <t>TK7875.C37 2015</t>
  </si>
  <si>
    <t>'1,1,183,182,179,178,178,179'</t>
  </si>
  <si>
    <t>Physical and Chemical Methods in Soil Analysis</t>
  </si>
  <si>
    <t>S593 -- .S27 2005eb</t>
  </si>
  <si>
    <t>'1,156,157,158,159,160,18'</t>
  </si>
  <si>
    <t>Analytical Chemistry</t>
  </si>
  <si>
    <t>QD75.22 -- .C43 2008eb</t>
  </si>
  <si>
    <t>'1,306,307,308,309,6,7'</t>
  </si>
  <si>
    <t>'1,12,11,13,14,15,16,17,18'</t>
  </si>
  <si>
    <t>'1,253,254,255,252,251,250,248,247,246,244,245,249,296,298,299,300,303,307,305,302,301,297,293,291'</t>
  </si>
  <si>
    <t>'252,252'</t>
  </si>
  <si>
    <t>Mozilla/5.0 (Windows NT 10.0; Win64; x64) AppleWebKit/537.36 (KHTML, like Gecko) Chrome/88.0.4324.182 Safari/537.36 Edg/88.0.705.81</t>
  </si>
  <si>
    <t>'1,15,14,17,16,18,22,23,,1,23,22,24,25,26,,1,24,23,25,26,27'</t>
  </si>
  <si>
    <t>'15,17,23,23,23,23,,24,25,25,,25'</t>
  </si>
  <si>
    <t>'1,2,5,149,148,147,17,26,27,28,29,83,125'</t>
  </si>
  <si>
    <t>'1,2,3,4,5,6,7,8,27,28,29,30,31,32,33,34,35,36,37,38,39,40,41,42,43,44,45,46,47,48,49,50,51,52,53,54,55,56,83,84,85,86,87,88,89,90,91,92,93,94,95,96,97,98,99,100,101,102,103,104,105,106,107,108,109,110,111,112,113,114,115,116,117,118,119,120,121,122,123,124'</t>
  </si>
  <si>
    <t>Twitter data analytics</t>
  </si>
  <si>
    <t>QA76.9.D343 -- .T858 2014eb</t>
  </si>
  <si>
    <t>Environmental Security : Approaches and Issues</t>
  </si>
  <si>
    <t>363.7/05610973</t>
  </si>
  <si>
    <t>GE180 .F569 2012</t>
  </si>
  <si>
    <t>'1,4,8,14,16,15,18,2,3'</t>
  </si>
  <si>
    <t>'1,2,4,3,5,6,8,10,16,18,20,22,21,23,24'</t>
  </si>
  <si>
    <t>Mozilla/5.0 (Macintosh; Intel Mac OS X 10_14_6) AppleWebKit/537.36 (KHTML, like Gecko) Chrome/88.0.4324.150 Safari/537.36</t>
  </si>
  <si>
    <t>'1,2,7'</t>
  </si>
  <si>
    <t>'15,16,17,18,19,20,21,22,23,24,25,26,27,28,29,30,31,32,33,34,35,36,37,38,39,40,41,42,43,44,45,46'</t>
  </si>
  <si>
    <t>Communicating As Women in STEM</t>
  </si>
  <si>
    <t>P94.5.W65 .B736 2018</t>
  </si>
  <si>
    <t>'1,1,2,,1,,1,1,1,2,3,4,5,6'</t>
  </si>
  <si>
    <t>Leadership (the Brian Tracy Success Library)</t>
  </si>
  <si>
    <t>HD57.7.T725 2014eb</t>
  </si>
  <si>
    <t>'1,1,2,5,6,7,8,9,10,12,11,13,14,15,16,17,18,19,20,21,22,23,24,25,26,27,28,4,29,30,31,32,33,34,35,36'</t>
  </si>
  <si>
    <t>'1,1,2,3,4,5,6,7,8,9,10,11,12'</t>
  </si>
  <si>
    <t>Mozilla/5.0 (Windows NT 10.0; WOW64) AppleWebKit/537.36 (KHTML, like Gecko) Chrome/88.0.4324.190 Safari/537.36</t>
  </si>
  <si>
    <t>'1,1,2,12,11,10,9,8,7,13,14,15,16,17,18,19,20,21,22,43,44,45,53,54,55,56,57,58,59,60'</t>
  </si>
  <si>
    <t>Seven Disciplines of a Leader</t>
  </si>
  <si>
    <t>HD57.7 -- .W6495 2015eb</t>
  </si>
  <si>
    <t>'1,1,2,3,4,5,6,7,8,9,10,11,12,13,14,15,16,17,18,19,20,21,22,23,28,27,26,25,24'</t>
  </si>
  <si>
    <t>'1,2,4,6,8,9,12'</t>
  </si>
  <si>
    <t>Implications of Integrating Women into the Marine Corps Infantry</t>
  </si>
  <si>
    <t>IN</t>
  </si>
  <si>
    <t>'14,15'</t>
  </si>
  <si>
    <t>Mozilla/5.0 (Macintosh; Intel Mac OS X 10_15_7) AppleWebKit/537.36 (KHTML, like Gecko) Chrome/88.0.4324.192 Safari/537.36</t>
  </si>
  <si>
    <t>'1,2,,1,2,3,77,170,169'</t>
  </si>
  <si>
    <t>'2,76,169'</t>
  </si>
  <si>
    <t>'1,15,15,20,110,110,110,110,109,15,16,17,23,22,24,23'</t>
  </si>
  <si>
    <t>'15,16,17,18,19,20,21,23'</t>
  </si>
  <si>
    <t>'1,1,2,3,4,5,6,7,8,9,10,11,12,13,14,15,16,17,18,19,20,21,23,24,25,26'</t>
  </si>
  <si>
    <t>'26'</t>
  </si>
  <si>
    <t>'1,1,2,3,4,5,7,3'</t>
  </si>
  <si>
    <t>'1,1,2,3,4,5,6,7,8,9'</t>
  </si>
  <si>
    <t>'9'</t>
  </si>
  <si>
    <t>'1,1,13,15,14,16,17,18,19'</t>
  </si>
  <si>
    <t>'1,1,23,24'</t>
  </si>
  <si>
    <t>'1,2,6,7,8,189,190,191,192,193,194,195,196,197,198,199,200,201,202,203,583,584,585,,1,2,4,6,9,8,199,200,201,197,198,195,194,193,192'</t>
  </si>
  <si>
    <t>'1,1,2,3,4,5,6,8,7,9'</t>
  </si>
  <si>
    <t>'1,1,2,12'</t>
  </si>
  <si>
    <t>'1,346,552,553,554,555,556,126,102,103,104,105,106,107,108,109,110,111,127,128,129,130,131,132,133,134,135,136,137,138,139,140,141,142,143,144,145,146,147,148,149,150,151'</t>
  </si>
  <si>
    <t>'126,127,128,129,130,131,132,133,134,135,136,137,138,139,140,141,142,143,144,145,146,147,148,149,150,151,152,153'</t>
  </si>
  <si>
    <t>'1,1,31,30,77,78,32,33,34,35,36,37,38,39,40,41,42,43,44,44,44'</t>
  </si>
  <si>
    <t>Leadership Skills in the Early Years : Making a Difference</t>
  </si>
  <si>
    <t>LB2822.6.O78 2009</t>
  </si>
  <si>
    <t>'1,1,2,3,4,8,9,10,11,12,13,14'</t>
  </si>
  <si>
    <t>'1,2,3,4,5,6,7,8,9,10,12,11,13,14,,13,14,21,22,23,26,25,27,32,33,34,35,36,37,38,39,40,41,42,43,44,68,520,525,526,533,534,536,543'</t>
  </si>
  <si>
    <t>Design As Research : Positions, Arguments, Perspectives</t>
  </si>
  <si>
    <t>Fine Arts; Architecture</t>
  </si>
  <si>
    <t>NA2750 -- .D475 2016eb</t>
  </si>
  <si>
    <t>'1,127,127,127,127,,1'</t>
  </si>
  <si>
    <t>'235,236,237,238,239,240'</t>
  </si>
  <si>
    <t>Mozilla/5.0 (Windows NT 10.0; Win64; x64) AppleWebKit/537.36 (KHTML, like Gecko) Chrome/70.0.3538.102 Safari/537.36 Edge/18.18363</t>
  </si>
  <si>
    <t>Network Security</t>
  </si>
  <si>
    <t>TK5105.59 -- .P47 2014eb</t>
  </si>
  <si>
    <t>'1,1,265,266,267,268,269,270,271,272,264,262,263,261,260,264,42,44,48,132,246,247,248,250,251,252,253,254,255,256,258,259,260,261,262,263,265,266,267,268,269,1'</t>
  </si>
  <si>
    <t>'1,1,,1,1,3,3,368,370,373,376,377,1,1'</t>
  </si>
  <si>
    <t>'1,2,2,2,2,1,4,4,5,6,7,7,8,9,10,11,252,253,254,255,256'</t>
  </si>
  <si>
    <t>'253'</t>
  </si>
  <si>
    <t>'6,6,6,37,36,38,40,39,41,42,67,68,69,70,69,70,70,69,69,69,70,69,70,70,69,69,70,70,69,71,70,70,71'</t>
  </si>
  <si>
    <t>'67,68,69,70,71,72'</t>
  </si>
  <si>
    <t>Readings in Planning Theory</t>
  </si>
  <si>
    <t>307.1/216</t>
  </si>
  <si>
    <t>HT165.5 -- .R433 2016eb</t>
  </si>
  <si>
    <t>'1,1,1,,1,1,1,8,9,10'</t>
  </si>
  <si>
    <t>Singapore, the Energy Economy : From the First Refinery to the End of Cheap Oil, 1960-2010</t>
  </si>
  <si>
    <t>338.2/7282095957</t>
  </si>
  <si>
    <t>HD9576.S552 -- H66 2012eb</t>
  </si>
  <si>
    <t>'1,18,17,19,20,21,22,23,24,25,26,27,28,30,31,35,94,253,99,46,45,44,43,42,47,48,49,50,52,53,54,55,56,57,58,59,60,61,62,63,64,65,66,67,68,69,70,71,72,73,76,77,78,127,128,129,130,131,132,133,134,135,136,137,140,13,14,15,16'</t>
  </si>
  <si>
    <t>'42,42,46,47,47,53,58,57'</t>
  </si>
  <si>
    <t>'1,1,1,1,,3,6,5,7,8,9'</t>
  </si>
  <si>
    <t>'1,1,1,,1,11,10,12,13,4,23,22,24,25,26,27,28,29,30,31,32,14,15,16,17,18'</t>
  </si>
  <si>
    <t>'1,1,23,1,,1,1,,23,24'</t>
  </si>
  <si>
    <t>Success Strategies from Women in STEM : A Portable Mentor</t>
  </si>
  <si>
    <t>Business/Management; Science: General</t>
  </si>
  <si>
    <t>HD6054</t>
  </si>
  <si>
    <t>Nanotechnology in Eco-Efficient Construction : Materials, Processes and Applications</t>
  </si>
  <si>
    <t>Engineering; Engineering: Construction; Engineering: General</t>
  </si>
  <si>
    <t>T174.7.N36 2013eb</t>
  </si>
  <si>
    <t>Pattern Recognition</t>
  </si>
  <si>
    <t>Engineering: Electrical; Computer Science/IT; Engineering</t>
  </si>
  <si>
    <t>TK7882.P3T46 2009</t>
  </si>
  <si>
    <t>IMechE Engineers' Careers Guide 2013</t>
  </si>
  <si>
    <t>TA633 .E384 2013</t>
  </si>
  <si>
    <t>'1,2,4,5,6,7,8,9,11,12'</t>
  </si>
  <si>
    <t>Dictionary of Environmental Science and Technology</t>
  </si>
  <si>
    <t>GE10.P67 2008</t>
  </si>
  <si>
    <t>'1,1,2,36,11,13,15,17,20,19'</t>
  </si>
  <si>
    <t>Aristotle's Laptop: The Discovery Of Our Informational Mind : The Discovery of Our Informational Mind</t>
  </si>
  <si>
    <t>Q335 -- .A44 2012eb</t>
  </si>
  <si>
    <t>'1,2,220,221,222,223,224'</t>
  </si>
  <si>
    <t>Mozilla/5.0 (Windows NT 10.0; Win64; x64) AppleWebKit/537.36 (KHTML, like Gecko) Chrome/89.0.4389.72 Safari/537.36 Edg/89.0.774.45</t>
  </si>
  <si>
    <t>'1,156'</t>
  </si>
  <si>
    <t>'1,,1,1,1'</t>
  </si>
  <si>
    <t>Rapid Prototyping of Biomaterials : Techniques in Additive Manufacturing</t>
  </si>
  <si>
    <t>R857.M3 .R375 2020</t>
  </si>
  <si>
    <t>'1,5,338,339,340,341,342,343,344,345,346,347,348,349,350,351,352,336'</t>
  </si>
  <si>
    <t>'338,338,345'</t>
  </si>
  <si>
    <t>Fermentation and Biochemical Engineering Handbook</t>
  </si>
  <si>
    <t>TP248.3.F47 2014eb</t>
  </si>
  <si>
    <t>'6,7,8,9,246,246'</t>
  </si>
  <si>
    <t>'246,247,248,249,250,251,252,253,254,255,256,257,258,259'</t>
  </si>
  <si>
    <t>'1,1,4,3,5,6,7,8,9,10,11,12,13,14,17,18,19,20,21,22,23,24,25,26,28,29,30,31,32,33,34,35,36,37,41,394,393,395,396,397'</t>
  </si>
  <si>
    <t>Part 1 : ADVANCEing Women Faculty in STEM</t>
  </si>
  <si>
    <t>HF5549 .P378 2019</t>
  </si>
  <si>
    <t>'1,1,2,4'</t>
  </si>
  <si>
    <t>'1,1,2,7,8,9,10,11'</t>
  </si>
  <si>
    <t>Laptops for Dummies</t>
  </si>
  <si>
    <t>QA76.5 .G665 2016</t>
  </si>
  <si>
    <t>'1,2,3,4,5,6,17,319,21,22,23,24,25,26,25,26,27,28,29,30,31,32,33,34'</t>
  </si>
  <si>
    <t>'25'</t>
  </si>
  <si>
    <t>'23,23'</t>
  </si>
  <si>
    <t>Mozilla/5.0 (Windows NT 10.0; Win64; x64) AppleWebKit/537.36 (KHTML, like Gecko) Chrome/89.0.4389.72 Safari/537.36</t>
  </si>
  <si>
    <t>Biodiesel Production Technologies</t>
  </si>
  <si>
    <t>662/.669</t>
  </si>
  <si>
    <t>TP359.B46 -- M368 2010eb</t>
  </si>
  <si>
    <t>'1,,1,2,4,5,6,7,8,9,10,11,12,13,14,15,16,17,18,19,20,21,22,23,24,25,26,27,28,29,30,31,32,33'</t>
  </si>
  <si>
    <t>'1,33,33,33'</t>
  </si>
  <si>
    <t>'33,34,35,36,37,38,39,40,41,42,43,44,45,46,47,48,49,50,51,52,53,54,55,56,57,58,59,60'</t>
  </si>
  <si>
    <t>Coastal Erosion and Protection in Europe</t>
  </si>
  <si>
    <t>627/.58094</t>
  </si>
  <si>
    <t>TC330 -- .C63 2013eb</t>
  </si>
  <si>
    <t>'1,2,3,4,5,9,11,12,13,16,15,18,19,20,25,26,452,453,455,456,457,458,459,460,461,462,463,464,466,465,467,462,462,465,467'</t>
  </si>
  <si>
    <t>'1,1,2,12,,1,1,2,3,4,12,12,13,14,15,16,17,18,21,25,23,1,25,,27,28,29,30,31,32'</t>
  </si>
  <si>
    <t>Leadership by Choice : Increasing Influence and Effectiveness Through Self-Management</t>
  </si>
  <si>
    <t>658.4012;658.4092</t>
  </si>
  <si>
    <t>HD57.7 -- .P37 2012eb</t>
  </si>
  <si>
    <t>'1,1,2,11,12,13'</t>
  </si>
  <si>
    <t>Principal Succession : Establishing Leadership in Schools</t>
  </si>
  <si>
    <t>371.2/012</t>
  </si>
  <si>
    <t>LB2831.92 -- .H37 1993eb</t>
  </si>
  <si>
    <t>Textbook of Clinical Neuropsychiatry and Behavioral Neuroscience, Third Edition</t>
  </si>
  <si>
    <t>RC341.M667 2012</t>
  </si>
  <si>
    <t>'1,80,81,82,83,84,85,86,87,88,89,90,18,19,20,21,22'</t>
  </si>
  <si>
    <t>'1,3,4,5,6,7,8,9,10,11,12,13'</t>
  </si>
  <si>
    <t>'1,2,4,6,7,8,9,10,11,12,13,14,18,19,20,21,22'</t>
  </si>
  <si>
    <t>'1,2,3,5,6,7,8,10,364,334,335,337,336,338,338,339,338,339,340,341'</t>
  </si>
  <si>
    <t>Mozilla/5.0 (Windows NT 10.0; WOW64; Trident/7.0; rv:11.0) like Gecko</t>
  </si>
  <si>
    <t>'1,96,95,98,100,101,102,103,104,105,107,109,113,114,115,116,117,129,124,120,97,96'</t>
  </si>
  <si>
    <t>'96,97,98,99,100,101,102,103,104,105,106,107,108,109,110,111,112,113,114,115,116,117,118,119,120'</t>
  </si>
  <si>
    <t>'1,1,70,69,70,42,42,42,70,70,71,70,71,1'</t>
  </si>
  <si>
    <t>Global Food Security and Supply</t>
  </si>
  <si>
    <t>338.1/9</t>
  </si>
  <si>
    <t>HD9000.5 .M359 2014</t>
  </si>
  <si>
    <t>'1,2,2,3,4,5,6,7,8,9,10,11,12,13,14,15,16,17,18,20,21,22,23,24,25,26,27,28,29,30,185,145,33,31'</t>
  </si>
  <si>
    <t>Research Ethics : A Philosophical Guide to the Responsible Conduct of Research</t>
  </si>
  <si>
    <t>Philosophy; Science</t>
  </si>
  <si>
    <t>Q180.55.M67 R465 2012</t>
  </si>
  <si>
    <t>'1,39,40'</t>
  </si>
  <si>
    <t>Mozilla/5.0 (Windows NT 10.0; Win64; x64) AppleWebKit/537.36 (KHTML, like Gecko) Chrome/88.0.4324.150 Safari/537.36 Edg/88.0.705.63</t>
  </si>
  <si>
    <t>'1,19,18,70,69,71,1,,70,69'</t>
  </si>
  <si>
    <t>Britannica Concise Encyclopedia</t>
  </si>
  <si>
    <t>Encyclopaedia Britannica, Incorporated</t>
  </si>
  <si>
    <t>AG5 -- .B78 2006eb</t>
  </si>
  <si>
    <t>'1,6,5,6,7,7,15,16,17'</t>
  </si>
  <si>
    <t>Functional Polymer Coatings : Principles, Methods, and Applications</t>
  </si>
  <si>
    <t>668.9/2</t>
  </si>
  <si>
    <t>TP156.C57 F864 2015</t>
  </si>
  <si>
    <t>Mozilla/5.0 (Linux; Android 10; LYA-L29) AppleWebKit/537.36 (KHTML, like Gecko) Chrome/88.0.4324.181 Mobile Safari/537.36</t>
  </si>
  <si>
    <t>'1,250,249,251,252,253,254,255,252,253,253'</t>
  </si>
  <si>
    <t>'252,253'</t>
  </si>
  <si>
    <t>'1,2,5,6,7,8,9,10,11,234,235,236'</t>
  </si>
  <si>
    <t>'235'</t>
  </si>
  <si>
    <t>Mozilla/5.0 (Windows NT 6.2; Win64; x64) AppleWebKit/537.36 (KHTML, like Gecko) Chrome/87.0.4280.88 Safari/537.36</t>
  </si>
  <si>
    <t>'1,2,4,6,347,347'</t>
  </si>
  <si>
    <t>'1,2,3,4,5,6,7,8,1,2,3,4,5,6,7,8,1,2,3,4,5,6,7,8'</t>
  </si>
  <si>
    <t>'1,75,75'</t>
  </si>
  <si>
    <t>'75,76,77,78,79,80,81,82,83,84,85,86,87,88,89,90,91,92,93,94,95'</t>
  </si>
  <si>
    <t>'1,3,2,69,123'</t>
  </si>
  <si>
    <t>Mozilla/5.0 (Windows NT 10.0; Win64; x64) AppleWebKit/537.36 (KHTML, like Gecko) Chrome/88.0.4324.182 Safari/537.36</t>
  </si>
  <si>
    <t>Solid State Physics : An Introduction</t>
  </si>
  <si>
    <t>QC173.454 .H384 2015</t>
  </si>
  <si>
    <t>'65,66,67'</t>
  </si>
  <si>
    <t>'65,66,67,68,69,70,71,72,73,74,75,76,77,78,79,80,81,82,83,84,85,86,87,88,89,90,91,92,93,94'</t>
  </si>
  <si>
    <t>'1,50,49,52,46,47,48,45,44,55,59,60,61,62,63,64,65,66,67,68,69,70,71,72,73,74,75,76,77,78,80,79,81,82,83'</t>
  </si>
  <si>
    <t>Computer Science Research and Technology</t>
  </si>
  <si>
    <t>QA76.27.C6734 2011</t>
  </si>
  <si>
    <t>'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t>
  </si>
  <si>
    <t>Code : Collaborative Ownership and the Digital Economy</t>
  </si>
  <si>
    <t>Business/Management; Social Science</t>
  </si>
  <si>
    <t>HF5548.32.C62 2005</t>
  </si>
  <si>
    <t>'98,99,100,101,102,103,104,105,106,107,108,109,110,111,112,113,114,115,116,117,118,119,120,121,122,123,124,125'</t>
  </si>
  <si>
    <t>China's Economic Growth : A Miracle with Chinese Characteristics</t>
  </si>
  <si>
    <t>HC427.92 -- .W8525 2004eb</t>
  </si>
  <si>
    <t>'1,2,3,4,5,6,7,8,,1,3,5,6,7,9,10,12,13,15,36,44,52,53,54,55,56,57,58,59,60,61,8,34,49'</t>
  </si>
  <si>
    <t>'1,1,86,100,113,114,127,127,127,128,38,65,66,62,59,58,57,61,63,60'</t>
  </si>
  <si>
    <t>'57,58,59,60,61,62,63,64,65,66,67,68,69,70,71,72,73,74,75,76,77,78,79,80,81,82'</t>
  </si>
  <si>
    <t>Mozilla/5.0 (Macintosh; Intel Mac OS X 10_15_7) AppleWebKit/605.1.15 (KHTML, like Gecko) Version/14.0.2 Safari/605.1.15</t>
  </si>
  <si>
    <t>Singapore in a Post-Kyoto World : Energy, Environment and the Economy</t>
  </si>
  <si>
    <t>Institute of Southeast Asian Studies</t>
  </si>
  <si>
    <t>Economics; Business/Management; Environmental Studies</t>
  </si>
  <si>
    <t>HD9502.A2.D674 2015</t>
  </si>
  <si>
    <t>'26,27,28,29,30,31,33,34,35,36,37,40,32'</t>
  </si>
  <si>
    <t>'26,27,28,29,30,31,32,33,34,35,36,37,38'</t>
  </si>
  <si>
    <t>Streets and the Shaping of Towns and Cities</t>
  </si>
  <si>
    <t>Engineering: Civil; Engineering; Fine Arts</t>
  </si>
  <si>
    <t>711/.41</t>
  </si>
  <si>
    <t>TE279</t>
  </si>
  <si>
    <t>'1,3,116,150,152,153,154,155,155'</t>
  </si>
  <si>
    <t>'1,2,4,6,7,8,9,12,88,89,90,92,91,93,95,96,98,97,99,99,100,102,103,104,104'</t>
  </si>
  <si>
    <t>'98,99,100,101,102,103,104,105,106,107,108,109,110,111'</t>
  </si>
  <si>
    <t>'1,1,229,230,232,233,234,235,236,206'</t>
  </si>
  <si>
    <t>Introduction to Aerospace Materials</t>
  </si>
  <si>
    <t>TL698.M687 2012eb</t>
  </si>
  <si>
    <t>'1,143,144,146,148,146,147,148,152'</t>
  </si>
  <si>
    <t>'143,144,145,146,147,148,149,150,151,152,153,154,155,156,157,158,159,160,161,162,163,164,165,166,167,168,,169,170,171,172,173,174,175,176,177,178,179,180,181,182,183,184,185,186,187'</t>
  </si>
  <si>
    <t>Mozilla/5.0 (Macintosh; Intel Mac OS X 11_2_1) AppleWebKit/537.36 (KHTML, like Gecko) Chrome/88.0.4324.192 Safari/537.36</t>
  </si>
  <si>
    <t>'1,48,49,50,51,52,53,54,54,53,48,,48'</t>
  </si>
  <si>
    <t>'54,,48,49,50,51,52,53,54,55,56,57,58,59,60,61,62,63,64,65,66,67,68,69,70,71,72,73,74'</t>
  </si>
  <si>
    <t>'1,13,,1,9,13,14,15,16,18,19,20,21,22'</t>
  </si>
  <si>
    <t>Integrating Emergency Management and Disaster Behavioral Health : One Picture Through Two Lenses</t>
  </si>
  <si>
    <t>HV551.2.I584 2017</t>
  </si>
  <si>
    <t>'278'</t>
  </si>
  <si>
    <t>Planning, Housing and Infrastructure for Smart Villages</t>
  </si>
  <si>
    <t>Social Science; Engineering: Environmental; Engineering</t>
  </si>
  <si>
    <t>TD159.4 .D656 2019</t>
  </si>
  <si>
    <t>'202,201'</t>
  </si>
  <si>
    <t>Problems of Emergency Situations: Materials and Technologies</t>
  </si>
  <si>
    <t>TA401.3 .A537 2020</t>
  </si>
  <si>
    <t>'1,2,3,4,5,,1,2,3,6,7,8,9,10,11,12'</t>
  </si>
  <si>
    <t>Security and Loss Prevention : An Introduction</t>
  </si>
  <si>
    <t>658.4/73</t>
  </si>
  <si>
    <t>HF5549.5.E43 .P877 2019</t>
  </si>
  <si>
    <t>'28,29,27,30,31,33'</t>
  </si>
  <si>
    <t>The Prevention of Crime</t>
  </si>
  <si>
    <t>HV6025.E455 2017</t>
  </si>
  <si>
    <t>'286,279,280,277,276,270,268,267'</t>
  </si>
  <si>
    <t>'1,5,6,7,9,11,13,15,17,16,18,19,20'</t>
  </si>
  <si>
    <t>Composite Materials and Processing</t>
  </si>
  <si>
    <t>TA418.9.C6.B3544 20</t>
  </si>
  <si>
    <t>'1,2,3,4,5,6,7,8,10,13,14,15,622,24,23,25,26,27,28,29,30,31,32,33,34,35,36,37,38,39,40,41,42,43,44,45,46,47,48,49,50,51,52,53,54,55,56,57,59,60,54,54,54,54,54,383,120,119,121,122,123,190,189,290,378,486,485,487,488,489,534,535,536,537,538,539,540,541,542,543,544,545,546,547,548,549,550,551,552,553,554,555'</t>
  </si>
  <si>
    <t>Mozilla/5.0 (Windows NT 6.1; WOW64) AppleWebKit/537.36 (KHTML, like Gecko) Chrome/88.0.4324.182 Safari/537.36</t>
  </si>
  <si>
    <t>Engineering Materials Science</t>
  </si>
  <si>
    <t>TA403 -- .O37 1995eb</t>
  </si>
  <si>
    <t>'1,1,2,3,169,318,319,320,321,322,323,324,325,326,327,328,329,330,331,332,333,334,335,336,337,338,339,340,341,342,343,344,345,346'</t>
  </si>
  <si>
    <t>Material Science</t>
  </si>
  <si>
    <t>620.1;620.1/1;620.11</t>
  </si>
  <si>
    <t>TA403 -- .K35 2004eb</t>
  </si>
  <si>
    <t>'1,1,2,3,4,5,6,7,8,9,10,11,12,13,14,15,16'</t>
  </si>
  <si>
    <t>'79,80,81,82,83,84,85,86,87,88,89,90,91,92,93'</t>
  </si>
  <si>
    <t>'1,1,8,7,9'</t>
  </si>
  <si>
    <t>Coherent Structures in Granular Crystals : From Experiment and Modelling to Computation and Mathematical Analysis</t>
  </si>
  <si>
    <t>Science; Science: Physics; Engineering; Engineering: General</t>
  </si>
  <si>
    <t>QC1-75</t>
  </si>
  <si>
    <t>'1,9,13,10,11,12,14,15,16'</t>
  </si>
  <si>
    <t>Mozilla/5.0 (Windows NT 10.0; Win64; x64) AppleWebKit/537.36 (KHTML, like Gecko) Chrome/88.0.4324.182 Safari/537.36 Edg/88.0.705.74</t>
  </si>
  <si>
    <t>Spinoza Dictionary</t>
  </si>
  <si>
    <t>Philosophical Library</t>
  </si>
  <si>
    <t>B3951 .S5 1951</t>
  </si>
  <si>
    <t>'1,2,3,4,5,6,7,11,10'</t>
  </si>
  <si>
    <t>Mozilla/5.0 (Windows NT 10.0; Win64; x64) AppleWebKit/537.36 (KHTML, like Gecko) Chrome/88.0.4324.192 Safari/537.36</t>
  </si>
  <si>
    <t>Immunization Strategies and Practices</t>
  </si>
  <si>
    <t>American Academy of Pediatrics</t>
  </si>
  <si>
    <t>Health; Social Science; Medicine</t>
  </si>
  <si>
    <t>RA638 .I468 2018</t>
  </si>
  <si>
    <t>'1,13,10,6,2,3,4,5'</t>
  </si>
  <si>
    <t>Time Series Analysis : Forecasting and Control</t>
  </si>
  <si>
    <t>Engineering: Mechanical; Mathematics; Engineering</t>
  </si>
  <si>
    <t>519.5/5</t>
  </si>
  <si>
    <t>TJ216</t>
  </si>
  <si>
    <t>'1,27,3,4,5,6,6,11,122,123,124,125,126,47,48,49'</t>
  </si>
  <si>
    <t>Mozilla/5.0 (Windows NT 10.0; Win64; x64; rv:85.0) Gecko/20100101 Firefox/85.0</t>
  </si>
  <si>
    <t>'1,2,3,70,69,71'</t>
  </si>
  <si>
    <t>In Search of Omar Khayyam (RLE Iran B)</t>
  </si>
  <si>
    <t>PK6525 -- .D313 2011eb</t>
  </si>
  <si>
    <t>Mozilla/5.0 (iPhone; CPU iPhone OS 14_4 like Mac OS X) AppleWebKit/605.1.15 (KHTML, like Gecko) Version/14.0.3 Mobile/15E148 Safari/604.1</t>
  </si>
  <si>
    <t>'1,4,30,34,109,110,108,107,106,105,104,102,103'</t>
  </si>
  <si>
    <t>Matter of Mind : A Neurologist's View of Brain-Behavior Relationships</t>
  </si>
  <si>
    <t>QP395 -- .H45 2002eb</t>
  </si>
  <si>
    <t>'1,176,177,178,179,180,181,182,183,184,185,186'</t>
  </si>
  <si>
    <t>'1,6,8,9'</t>
  </si>
  <si>
    <t>Integrated Solid Waste Management : A Life Cycle Inventory</t>
  </si>
  <si>
    <t>363.72/85</t>
  </si>
  <si>
    <t>TD794.2.I58 2001</t>
  </si>
  <si>
    <t>'1,7,8,9,10,11'</t>
  </si>
  <si>
    <t>Generation Us : The Challenge of Global Warming</t>
  </si>
  <si>
    <t>Orca Book Publishers</t>
  </si>
  <si>
    <t>Language/Linguistics; Science; Science: Physics</t>
  </si>
  <si>
    <t>428.6/2</t>
  </si>
  <si>
    <t>QC981.8.G56.W47 201</t>
  </si>
  <si>
    <t>'15,16,17,86,87,85'</t>
  </si>
  <si>
    <t>'1,13,15,16,17,18,19,20,5,21,22'</t>
  </si>
  <si>
    <t>'1,1,9,13,14,15'</t>
  </si>
  <si>
    <t>Mozilla/5.0 (Macintosh; Intel Mac OS X 11_1_0) AppleWebKit/537.36 (KHTML, like Gecko) Chrome/88.0.4324.192 Safari/537.36</t>
  </si>
  <si>
    <t>Programming the Finite Element Method</t>
  </si>
  <si>
    <t>515.3/53</t>
  </si>
  <si>
    <t>TA347.F5.S64 2014eb</t>
  </si>
  <si>
    <t>'443,442,444,445,446,447,448,449,450,451,452,161,160,162,163,164,165,166,167,168,169,170,171,173,174,,443,,444,443,,,448,447,451,452,453,454,455,456,457,458,459,460,461,462,463,464,466,467,1,2,3,4,,,21,22,23,24,25,26,27,28,29,30,31,32,684,683,682,680,679,678,677,676,675,674,673,671,494,493,,79,80,82,83,,443'</t>
  </si>
  <si>
    <t>'45,46,47,48,49,50,51,52,53,54,55,56,57,58,59,60,61,62,63,64,65,66,67,68,69,70,71,72,73,74,75,76,77,78,,189,190,191,192,193,194,195,196,197,198,199,200,201,202,203,204,205,206,207,208,209,210,211,212,213,214,215,216,217,218,219,220,221,222,223,224,225,226,227,228,229,230,231,232,233,234,235,236,237,238,239,240,241,242,243,244,245,246,247,248,249,250,251,252,,353,354,355,356,357,358,359,360,361,362,363,364,365,366,367,368,369,370,371,372,373,374,375,376,377,378,379,380,381,382,383,384,385,386,387,388,,,,,,,45,46,47,48,49,50,51,52,53,54,55,56,57,58,59,60,61,62,63,64,65,66,67,68,69,70,71,72,73,74,75,76,77,78'</t>
  </si>
  <si>
    <t>We Are the State! : Barrio Activism in Venezuela's Bolivarian Revolution</t>
  </si>
  <si>
    <t>987.06/4</t>
  </si>
  <si>
    <t>F2329</t>
  </si>
  <si>
    <t>'1,1,20,20,117,127,127,17,20,21,30,49,50,51,74,107,108,109'</t>
  </si>
  <si>
    <t>Venezuela Reframed : Bolivarianism, Indigenous Peoples and Socialisms of the Twenty-First Century</t>
  </si>
  <si>
    <t>Bloomsbury Academic &amp; Professional</t>
  </si>
  <si>
    <t>JL3881 -- .A54 2015eb</t>
  </si>
  <si>
    <t>'1,1,50,50,81,102,102'</t>
  </si>
  <si>
    <t>'1,2,3,4,6,7,9,14,15,16,17,18,19,20,21,23,26'</t>
  </si>
  <si>
    <t>3D Printing in Medicine and Surgery : Applications in Healthcare</t>
  </si>
  <si>
    <t>R857.T47 .S564 2020</t>
  </si>
  <si>
    <t>'18,19'</t>
  </si>
  <si>
    <t>Public Policy and the Public Interest</t>
  </si>
  <si>
    <t>H97 -- .H576 2012eb</t>
  </si>
  <si>
    <t>Climate Change : A Multidisciplinary Approach</t>
  </si>
  <si>
    <t>QC981.8.C5 -- B86 2001eb</t>
  </si>
  <si>
    <t>'1,2,4,5,7,8,14,20,155,103,157,158,159,160,159,161,160,162,163,164,158,157,155,15,1,2,158,158,37,158,158,158,158,15,157,1,2,2,2,2,2,157,158,154,15,3,4,5,6,7,8,9,237,247,246,245,243,243,243,243'</t>
  </si>
  <si>
    <t>'1,9,10,11,6,5,13,14,15,15,16'</t>
  </si>
  <si>
    <t>'1,1,19,18,20,21,23,24,22'</t>
  </si>
  <si>
    <t>Mozilla/5.0 (Macintosh; Intel Mac OS X 10_15_1) AppleWebKit/605.1.15 (KHTML, like Gecko) Version/13.0.3 Safari/605.1.15</t>
  </si>
  <si>
    <t>'1,2,3,5,6,7,8,10'</t>
  </si>
  <si>
    <t>'1,19,18'</t>
  </si>
  <si>
    <t>'1,2,3,4,4,5,7,8,9,10,11,18,1'</t>
  </si>
  <si>
    <t>Climate Change : Identification and Projections</t>
  </si>
  <si>
    <t>QC903 -- .D45 2014eb</t>
  </si>
  <si>
    <t>'1,11,12,13'</t>
  </si>
  <si>
    <t>'15,16,17,54,85,86,87,86,85,87,88,89,90,91,92,93,94,95,97,,116,116,117,120,126,127,128,125,124,123,122,121,120,,15,16'</t>
  </si>
  <si>
    <t>Mozilla/5.0 (Macintosh; Intel Mac OS X 10_15_5) AppleWebKit/537.36 (KHTML, like Gecko) Chrome/88.0.4324.182 Safari/537.36</t>
  </si>
  <si>
    <t>'1,2,4,3,6,9,8,10,11,12,117,118,119,121,120,123,122,,236,237,,208,209,210,211'</t>
  </si>
  <si>
    <t>'1,2,19,19,14,14,13,12,15,19,20'</t>
  </si>
  <si>
    <t>'1,1,2,6,7,18,19,20,21,17,5'</t>
  </si>
  <si>
    <t>'1,1,12,11,13,14,15,16,17,18,19,20,21,22,23,24,25,26'</t>
  </si>
  <si>
    <t>'1,2,5,7,9,6,8,9'</t>
  </si>
  <si>
    <t>'1,1,2,3,4,5,6,7,8,9,10,11'</t>
  </si>
  <si>
    <t>'1,1,2,3,4,5,6,7,8,9,10,11,12,13'</t>
  </si>
  <si>
    <t>'6,6'</t>
  </si>
  <si>
    <t>Mozilla/5.0 (Macintosh; Intel Mac OS X 10_11_6) AppleWebKit/537.36 (KHTML, like Gecko) Chrome/88.0.4324.192 Safari/537.36</t>
  </si>
  <si>
    <t>'1,5,3,23,24,25,26,27,28,31,30,32,33,34,35,36,37,38,39,40,41,11,12,13'</t>
  </si>
  <si>
    <t>Global Hunger Crisis : Tackling Food Insecurity in Developing Countries</t>
  </si>
  <si>
    <t>HD9018.D44 -- B64 2013eb</t>
  </si>
  <si>
    <t>'1,2,4,5,7,8,9,10,13,11,12,116,169,202,212,210,211,213,197,108,26,16,17,18,19,20,21,15,22'</t>
  </si>
  <si>
    <t>Solid Waste Technology and Management</t>
  </si>
  <si>
    <t>628/.744</t>
  </si>
  <si>
    <t>TD791 -- .S65 2011eb</t>
  </si>
  <si>
    <t>'1,7,8,9,269,270,272,274,293,295,296,299'</t>
  </si>
  <si>
    <t>Leadership and Organization (RLE: Organizations) : A Behavioural Science Approach</t>
  </si>
  <si>
    <t>HD57.7 -- .T37 1961eb</t>
  </si>
  <si>
    <t>'1,1,9,6,7,8,10,11,12,13,14,15,16,17,18,19,20,21,22,23,24,25,26,27,28,29'</t>
  </si>
  <si>
    <t>From Leading to Succeeding : The Seven Elements of Effective Leadership in Education (a Change Readiness Assessment Tool for School Initiatives)</t>
  </si>
  <si>
    <t>Solution Tree</t>
  </si>
  <si>
    <t>LB2806.R367 2016</t>
  </si>
  <si>
    <t>'1,1,2,6,5,17,16,27,28,29,30,31,32'</t>
  </si>
  <si>
    <t>Business Leadership : A Jossey-Bass Reader</t>
  </si>
  <si>
    <t>HD57.7.B875 2008eb</t>
  </si>
  <si>
    <t>'1,1,13,11,12,14,15'</t>
  </si>
  <si>
    <t>'1,1,14,13,15,16,17,18,19,20,21,22,23,24,25,26,,1,1,14,13,17,15,20,19,18,21,22,23,24,25,26,27,28,29,30,31,32,33,34,35,36,37,38,39,40,41,42,82,83,84,85,86,,1,1,82,81,14,15,16,17,18'</t>
  </si>
  <si>
    <t>'1,1,,1,1,43,36,39,23,22,,1,31,30,30,31,37,35,23,24'</t>
  </si>
  <si>
    <t>'27,28,29,30'</t>
  </si>
  <si>
    <t>'23'</t>
  </si>
  <si>
    <t>'1,15,16,17,18,19,20,21,22,23,24,25,26,29,66,67,79,91,92,93,283,284,285,358,359,360,361,362,363'</t>
  </si>
  <si>
    <t>'1,50,49,47,52,51,48,46,53,55,56,57,58,59,60,61,62,63,64,65,66,67,68,69,70'</t>
  </si>
  <si>
    <t>Mozilla/5.0 (Macintosh; Intel Mac OS X 10_14_1) AppleWebKit/537.36 (KHTML, like Gecko) Chrome/88.0.4324.150 Safari/537.36</t>
  </si>
  <si>
    <t>'1,11,143'</t>
  </si>
  <si>
    <t>'1,3,4,5,6,8'</t>
  </si>
  <si>
    <t>'1,6,4,3,2,5,7,10'</t>
  </si>
  <si>
    <t>'1,3,4,6,7,8,10,13,11,11,11'</t>
  </si>
  <si>
    <t>'1,,13,16'</t>
  </si>
  <si>
    <t>Mozilla/5.0 (Macintosh; Intel Mac OS X 10.14; rv:85.0) Gecko/20100101 Firefox/85.0</t>
  </si>
  <si>
    <t>Economics and the Challenge of Global Warming</t>
  </si>
  <si>
    <t>QC903 .P395 2011</t>
  </si>
  <si>
    <t>'23,1,24,25,26,27'</t>
  </si>
  <si>
    <t>Climate Change: Global Risks, Challenges and Decisions : Global Risks, Challenges and Decisions</t>
  </si>
  <si>
    <t>QC903 .R48 2011</t>
  </si>
  <si>
    <t>'1,3,2,5,6,7,8,9,9,8,8'</t>
  </si>
  <si>
    <t>'1,1,2,3,4,5,6,7,11,9,13,15,17,68,7'</t>
  </si>
  <si>
    <t>'1,1,75,76,77,78,79,80,81'</t>
  </si>
  <si>
    <t>A Social History of Late Ottoman Women : New Perspectives</t>
  </si>
  <si>
    <t>HQ1726.7.S63 2013eb</t>
  </si>
  <si>
    <t>'1,2,3,4,5,6,7,8,9,10,11,12,13,14,15,16,17,,1,6,14,16,17,18,17,17,18,19,20,21,22,23,24,25,26,27,28,29,30,31,32,33,35,37,39,41,42,46,44,48,49,51,52,54,55,59,57,61,63,58,65,66,68,70,72,74,76,78,80,82,84,86,79,144,225,243,252,260,266,271,277,286,292,298,303,307,309,312,313,,1,231,262,285,289,295,301,305,307,314,315,316,317,318,319,320,321,322,323,324,325,326,327,328,329,330'</t>
  </si>
  <si>
    <t>'17,17,18,18,19,19,20,20,21,21,22,22,23,24,25,26,26,27,28,313,313,313,,314,314,315,316,317,318,319,321,322,323,323,324,325,327,327,328,329,330'</t>
  </si>
  <si>
    <t>Virtual Reality: Eine Analyse der Schlüsseltechnologie aus der Perspektive des strategischen Managements</t>
  </si>
  <si>
    <t>HD30.28 -- .B786 2015eb</t>
  </si>
  <si>
    <t>'1,2,3,4,5,6,7,8,9,10,28,29,,1,2,3,,3,,1'</t>
  </si>
  <si>
    <t>Mozilla/5.0 (Windows NT 6.3; Win64; x64) AppleWebKit/537.36 (KHTML, like Gecko) Chrome/88.0.4324.182 Safari/537.36</t>
  </si>
  <si>
    <t>'206'</t>
  </si>
  <si>
    <t>'24,25,26,27,28,29,30,31,32,33,34,35,36,37,38,39,40,41,42,43,44,45,,52,53,54,55,56,57,58,59,60,61,62,63,,102,103,104,105,106,107,108,109'</t>
  </si>
  <si>
    <t>'151,150,151'</t>
  </si>
  <si>
    <t>'21,22,23,24,25,26,27,28,29,30,31,32,33,34,35,36,37,38,,117,118,119,120,121,122,123,124'</t>
  </si>
  <si>
    <t>Surviving 1000 Centuries : Can We Do It?</t>
  </si>
  <si>
    <t>Springer New York</t>
  </si>
  <si>
    <t>Science: Physics; Science; Social Science</t>
  </si>
  <si>
    <t>'1,1,293,294,295,296,297,298,299,300,301,302,303'</t>
  </si>
  <si>
    <t>An Introduction to Nuclear Waste Immobilisation</t>
  </si>
  <si>
    <t>Engineering: Environmental; Engineering; Engineering: General</t>
  </si>
  <si>
    <t>TD898.O368 2014eb</t>
  </si>
  <si>
    <t>Mozilla/5.0 (Macintosh; Intel Mac OS X 11_1_0) AppleWebKit/537.36 (KHTML, like Gecko) Chrome/88.0.4324.182 Safari/537.36</t>
  </si>
  <si>
    <t>Particles, Bubbles And Drops: Their Motion, Heat And Mass Transfer</t>
  </si>
  <si>
    <t>TA357.5.M84M53 2006</t>
  </si>
  <si>
    <t>'1,37,38,39,40,41,42,43,44,45,47,48,49,50,51,52,53,54,55,56,57,58,59,60,61,62,63,64,64'</t>
  </si>
  <si>
    <t>'1,1,2,5,3,15,16,17,14,26,25,36,26'</t>
  </si>
  <si>
    <t>'1,1,292,291,293,294,295,297,299,301,303,304'</t>
  </si>
  <si>
    <t>'1,2,,1,2,2,1,1,,1,4'</t>
  </si>
  <si>
    <t>'1,1,2,3,6,7,8,9,10'</t>
  </si>
  <si>
    <t>The Inversion Factor : How to Thrive in the IoT Economy</t>
  </si>
  <si>
    <t>658.5/75</t>
  </si>
  <si>
    <t>TS170.B476 2017</t>
  </si>
  <si>
    <t>'1,1,2,3,4,5'</t>
  </si>
  <si>
    <t>'1,2,9,3,5,10,15,15'</t>
  </si>
  <si>
    <t>'1,2,,4,5,7,7'</t>
  </si>
  <si>
    <t>New Product Development and Delivery : Ensuring Successful Products Through Integrated Process Management</t>
  </si>
  <si>
    <t>HF5415.153 -- .B74 2002eb</t>
  </si>
  <si>
    <t>'1,2,15,16,17,18'</t>
  </si>
  <si>
    <t>Concentrating Solar Power Technology : Principles, Developments and Applications</t>
  </si>
  <si>
    <t>TJ810.C6 2012</t>
  </si>
  <si>
    <t>'1,3,4,5,6,7,9,317,319,320,320,320,386,385,413,532,531'</t>
  </si>
  <si>
    <t>'1,2,5,8,9,9,10,1,39,18,19,17,16,15,14,13,12,11,185,186,187,188,189,190,191,12,12,37,38,38'</t>
  </si>
  <si>
    <t>Human and Environmental Security : An Agenda for Change</t>
  </si>
  <si>
    <t>327.1/72</t>
  </si>
  <si>
    <t>JZ5588.H84</t>
  </si>
  <si>
    <t>Mozilla/5.0 (Macintosh; Intel Mac OS X 10_14_6) AppleWebKit/537.36 (KHTML, like Gecko) Chrome/88.0.4324.182 Safari/537.36</t>
  </si>
  <si>
    <t>'1,2,10,14,15,13'</t>
  </si>
  <si>
    <t>The Unending Hunger : Tracing Women and Food Insecurity Across Borders</t>
  </si>
  <si>
    <t>362.83/9812083</t>
  </si>
  <si>
    <t>JV6602.C37 2015</t>
  </si>
  <si>
    <t>'1,2,3,4,5,,1,3,5,6,8,9,10,12'</t>
  </si>
  <si>
    <t>'1,2,2,406,406,28'</t>
  </si>
  <si>
    <t>'1,2,3,259,258'</t>
  </si>
  <si>
    <t>'259,260,261,262,263,264,265,266,267,268,269,270,271,272,273,274,275,276,277,278,279,280'</t>
  </si>
  <si>
    <t>'1,2,4,6,8,24,25,26,22,20,18,16,14'</t>
  </si>
  <si>
    <t>Life on Mars : From Manchester to New York</t>
  </si>
  <si>
    <t>University of Wales Press</t>
  </si>
  <si>
    <t>PN1992.8.S35 -- L54 2012eb</t>
  </si>
  <si>
    <t>'1,3,3,9,10,11,13,14,15,16,17,18'</t>
  </si>
  <si>
    <t>'1,21,22,23,24,25,26,47,49,50,51,52,53,54,55,56,57,58,59,60,61,62,63,64,65,66,67,68,167,168,169,170,171,172,173,174,175,176,177,178,179,180,181,182,183,184,185,186,187,181,181,181,181'</t>
  </si>
  <si>
    <t>Youtube Marketing</t>
  </si>
  <si>
    <t>Computer Science/IT; Social Science</t>
  </si>
  <si>
    <t>TK5105.8868.Y68 .Y688 2013</t>
  </si>
  <si>
    <t>'6,4,,6,4,3,5,1,,6,4,4,4,4,4,4,5,5,6'</t>
  </si>
  <si>
    <t>Biochar Application : Essential Soil Microbial Ecology</t>
  </si>
  <si>
    <t>QH545.S63 -- .B563 2016eb</t>
  </si>
  <si>
    <t>'238,239,241,242,243,246,252,253,254,255,256,257,250'</t>
  </si>
  <si>
    <t>'238,239,240,241,242,243,244,245,246,247,248,249,250,251,252,253,254,255,256,257,258,259,260,261,262,263'</t>
  </si>
  <si>
    <t>'6,1,3,2,4'</t>
  </si>
  <si>
    <t>Automated Planning : Theory and Practice</t>
  </si>
  <si>
    <t>Computer Science/IT; Business/Management</t>
  </si>
  <si>
    <t>TS183.3.M35 2004</t>
  </si>
  <si>
    <t>Water Quality : Indicators, Human Impact and Environmental Health</t>
  </si>
  <si>
    <t>TD370 -- .W3953 2013eb</t>
  </si>
  <si>
    <t>'302,,302,301,300,3,4,5,6,7,143,142,144,145,146,147,148,149,150,151,152,154,155,156,157,158,159,8,251,250,252,253,254,271,270,272,273,274,275'</t>
  </si>
  <si>
    <t>'302,,275'</t>
  </si>
  <si>
    <t>'1,1,3,54,57'</t>
  </si>
  <si>
    <t>'1,1,2,3,4,5,10,14,12,15,16,17,33,34,36,47,55,57,56,54'</t>
  </si>
  <si>
    <t>'1,474,475,476,477,478,479,480,481,482,483,485,417'</t>
  </si>
  <si>
    <t>'1,4,5,6,7,8,285,286,287,288,289,290,292,293,294,295,297,298,300,291,299,301,302'</t>
  </si>
  <si>
    <t>Handbook of Psychology, Developmental Psychology</t>
  </si>
  <si>
    <t>BF713 -- .D48 2013eb</t>
  </si>
  <si>
    <t>Personality and Individual Differences : Current Directions</t>
  </si>
  <si>
    <t>Australian Academic Press</t>
  </si>
  <si>
    <t>155.6;301</t>
  </si>
  <si>
    <t>BF698 -- .P47 2010eb</t>
  </si>
  <si>
    <t>'1,2,3,4,5,6,7,8,9,10,11,12,13,14,15,16,17,18,19,20,21,22,23,24,25,26,27,28,29,30,31,32,33,34,35,36,37,38,39,40,41,42,43,44,45,46,47,48,49,50,51,52,53,54,55,56,57,58,60,61,62,63,64,65,66,67,68,69,70,71,72,73,74,75,76,77,78,79,80,109,110,111,81,82,83'</t>
  </si>
  <si>
    <t>'1,37,38,39,303,305,,305,307'</t>
  </si>
  <si>
    <t>'304,305,306,307,308,309'</t>
  </si>
  <si>
    <t>'1,2,3,4,,1,1,1,1,1,,1'</t>
  </si>
  <si>
    <t>'1,2,4,5,6,7,8,9,10,12,13,,1,1,1,1'</t>
  </si>
  <si>
    <t>Efficient Desalination by Reverse Osmosis : A guide to RO practice</t>
  </si>
  <si>
    <t>TD479 -- .B876 2016eb</t>
  </si>
  <si>
    <t>'1,1,74,73,77,79,80,82'</t>
  </si>
  <si>
    <t>Membrane Technology and Engineering for Water Purification : Application, Systems Design and Operation</t>
  </si>
  <si>
    <t>TD430</t>
  </si>
  <si>
    <t>'1,1,96'</t>
  </si>
  <si>
    <t>TD479 .D473 2019</t>
  </si>
  <si>
    <t>Online Learning : A User-Friendly Approach for High School and College Students</t>
  </si>
  <si>
    <t>R&amp;L Education</t>
  </si>
  <si>
    <t>LB2395.7 -- .B68 2010eb</t>
  </si>
  <si>
    <t>'1,2,3,4,,1,3,4,78,79,80,81,82,83,84'</t>
  </si>
  <si>
    <t>'1,298'</t>
  </si>
  <si>
    <t>'298,299,300,301,302,303,304,305,306,307,308,309,310,311,312,313,314,315,316,317,318,319,320,321,322,323,324,325,326,327,328,329,330,331,332,333,334,335,336,337,338,339'</t>
  </si>
  <si>
    <t>Mozilla/5.0 (Macintosh; Intel Mac OS X 11_2_1) AppleWebKit/537.36 (KHTML, like Gecko) Chrome/88.0.4324.182 Safari/537.36</t>
  </si>
  <si>
    <t>'1,1,293,299,300,301,303,304,305,2,292'</t>
  </si>
  <si>
    <t>'1,2,11,15,12,16'</t>
  </si>
  <si>
    <t>'1,2,16,15,17,18'</t>
  </si>
  <si>
    <t>Mozilla/5.0 (Windows NT 10.0; Win64; x64) AppleWebKit/537.36 (KHTML, like Gecko) Chrome/87.0.4280.141 Safari/537.36 OPR/73.0.3856.396</t>
  </si>
  <si>
    <t>'1,2,15,16,17,18,81,82,109,110,111,112,113,114,115,116,118,120,119,121,122,123,124'</t>
  </si>
  <si>
    <t>'1,1,2,3,5,6,7,8,9,10,12,21,13,14,15,16,17,18,4,23,22,20,19,24,26,27,55,56,57,58'</t>
  </si>
  <si>
    <t>'1,1,2,3,4,5,6,7,8,9,10,11,12,13,14,15,16,17,18,19,20,21,22,23,24,25,26,27,28'</t>
  </si>
  <si>
    <t>'1,1,2,5,6,7,8,9,10,11,12,13,14,15,17,18,19,20,21,22,23,24,25,26,27,28,29,30,31,32,33,34,35,36,46,49,50,51,52,53,54,55,56,57,59,1,1,1,1'</t>
  </si>
  <si>
    <t>Classical Humanism and the Challenge of Modernity : Debates on Classical Education in 19th-Century Germany</t>
  </si>
  <si>
    <t>Education; Philosophy</t>
  </si>
  <si>
    <t>B778 -- .B66 2015eb</t>
  </si>
  <si>
    <t>'7,1,8,13,11,10,14,15,16,17'</t>
  </si>
  <si>
    <t>'11,12'</t>
  </si>
  <si>
    <t>Kernel Methods for Pattern Analysis</t>
  </si>
  <si>
    <t>Q325.5 .S475 2004</t>
  </si>
  <si>
    <t>'1,2,3,4,,1,2,3,4,5,7,8,9,10,11,12,13,14,15,16,17,18,19,20,21,22,23,24,25,26,27,28,29,30,31,32,33,34,35,36,37,38,39,40,41,42,43,44,45,46,47,48'</t>
  </si>
  <si>
    <t>'1,2,2,2,2,2,3,4,5,6,7,8,9,10,11,12'</t>
  </si>
  <si>
    <t>Electric Vehicle Machines and Drives : Design, Analysis and Application</t>
  </si>
  <si>
    <t>TL220 -- .C453 2015eb</t>
  </si>
  <si>
    <t>'1,337,338,339,340,341,342'</t>
  </si>
  <si>
    <t>'1,2,4,5,6,7,8,7,1,2,4,6,10,11,23,24,25,26,27,28,29,30,31,32,33,34,36,37,172,173,174'</t>
  </si>
  <si>
    <t>Mozilla/5.0 (Macintosh; Intel Mac OS X 10_15_7) AppleWebKit/537.36 (KHTML, like Gecko) Chrome/88.0.4324.150 Safari/537.36</t>
  </si>
  <si>
    <t>'1,1,183,182,181,179,178,180'</t>
  </si>
  <si>
    <t>Mozilla/5.0 (Linux; Android 11; SAMSUNG SM-T970) AppleWebKit/537.36 (KHTML, like Gecko) SamsungBrowser/13.2 Chrome/83.0.4103.106 Safari/537.36</t>
  </si>
  <si>
    <t>Essential Sustainable Home Design : A Complete Guide to Goals, Options, and the Design Process</t>
  </si>
  <si>
    <t>690/.8047</t>
  </si>
  <si>
    <t>TH4860 .M35 2017</t>
  </si>
  <si>
    <t>'1,2,3,109,110,111,112,113'</t>
  </si>
  <si>
    <t>'34,35'</t>
  </si>
  <si>
    <t>'148,149'</t>
  </si>
  <si>
    <t>'1,1,147,,147,147'</t>
  </si>
  <si>
    <t>'1,3,4,5,6,7,8,9,11,12,13,16,17,18,19,20,21,22,336,337,338,339,340,36,37,38,39,40,40,40,41,43,44,45,46,46,45,16,17,18,19,19,19,17,16,18,19,26,19,16,17,18,20,20,20'</t>
  </si>
  <si>
    <t>'1,1,2,3,5,6,7,8,10,11,12,13,14,15,16,17,18,4,9,20,19'</t>
  </si>
  <si>
    <t>'1,3,5,5'</t>
  </si>
  <si>
    <t>'5,6'</t>
  </si>
  <si>
    <t>Water Contamination Emergencies : Can We Cope?</t>
  </si>
  <si>
    <t>TD878</t>
  </si>
  <si>
    <t>'1,12,2,1,48,77,76,78,79,82,80,84,85,86,83'</t>
  </si>
  <si>
    <t>'1,1,2,3,4,5,6,7,8,9,10,11,12,13,14,16,20,61,55,53,52,51,22,19,18,25,28,29,30,27,26,24,23,31,32,33,34,35,36,37,38,40,41,42,43,44,45,46,47,48,49,50'</t>
  </si>
  <si>
    <t>An Introduction to MATLAB® Programming and Numerical Methods for Engineers</t>
  </si>
  <si>
    <t>QA297 .S538 2015</t>
  </si>
  <si>
    <t>'1,4,6,5,1,7,1,3,339,198,338,2,199,145,145,144,1,198,145,150'</t>
  </si>
  <si>
    <t>'1,1,12,13,14,15,16,17,18,19,20,21,22,23,24,25,26,27,244,43,38,88,87,1,1'</t>
  </si>
  <si>
    <t>Public Sector Leadership</t>
  </si>
  <si>
    <t>Business/Management; Political Science</t>
  </si>
  <si>
    <t>HD57.7 -- .P83 2002eb</t>
  </si>
  <si>
    <t>'1,21,22,23,24,25,26,28,27,30,31,32,33'</t>
  </si>
  <si>
    <t>'1,2,3,4,5,1'</t>
  </si>
  <si>
    <t>Antibiotics and Antibiotic Resistance</t>
  </si>
  <si>
    <t>RM267.S55513 2011</t>
  </si>
  <si>
    <t>Antibiotic Resistance : Implications for Global Health and Novel Intervention Strategies: Workshop Summary</t>
  </si>
  <si>
    <t>Science; Science: Biology/Natural History; Medicine</t>
  </si>
  <si>
    <t>QR177 -- .I57 2010eb</t>
  </si>
  <si>
    <t>'1,2,3,4,5,6,7,8,13,14,15,17,100,101,102,103,104,105,106,107,108'</t>
  </si>
  <si>
    <t>Operations Research for Unmanned Systems</t>
  </si>
  <si>
    <t>TL152.8 -- .O64 2016eb</t>
  </si>
  <si>
    <t>'1,2,3,4,5,277,278,279,280,281,282,283,284,285,286,287,288,289,290,292,291,293,294'</t>
  </si>
  <si>
    <t>Mozilla/5.0 (Macintosh; Intel Mac OS X 10_15_6) AppleWebKit/537.36 (KHTML, like Gecko) Chrome/88.0.4324.182 Safari/537.36</t>
  </si>
  <si>
    <t>'1,172,173,174,175,176,177,178,179,180,181,182,183,184,185,186,187,188,189'</t>
  </si>
  <si>
    <t>'1,298,202,239,340,299,300,301,302,304'</t>
  </si>
  <si>
    <t>'202,203,204,205,206,207,208,209,210,211,212,213,214,215,216,217,218,219,220,221,222,223,224,225,226,227,228,229,230,231,232,233,234,235,236,239,240,241,242,243,244,245,246,247,248,249,250,251,252,253,254,255,256,257,258,259,260,261,262,263,264,265,266,267,268,269,270,271,272,273,274,275,276,277,278,279,280,281,282,283,284,285,286,287,288,289,290,291,292,293,294,295,296,297'</t>
  </si>
  <si>
    <t>Mozilla/5.0 (Macintosh; Intel Mac OS X 11_2_1) AppleWebKit/537.36 (KHTML, like Gecko) Chrome/88.0.4324.150 Safari/537.36</t>
  </si>
  <si>
    <t>Prolegomena to Any Future Materialism : The Outcome of Contemporary French Philosophy</t>
  </si>
  <si>
    <t>Northwestern University Press</t>
  </si>
  <si>
    <t>B1809</t>
  </si>
  <si>
    <t>'1,1,2,249,248,194,193,230,250'</t>
  </si>
  <si>
    <t>'1,1,230,229,231,232,234,235,236,237,238,239,240,241,242,243,244,245,246,247,254,253,255,256,257,258,259,260,261,262,263,264,265,266,267,268,269'</t>
  </si>
  <si>
    <t>'148,149,150,151,152,153,154,155,156,157,158,159,160,161,162,163,164,165,166,167,168,169,170,171,172,173,174,175,176,177,178,179,180,181,182,183,184,185,186,187,188,189,190,191,192,193'</t>
  </si>
  <si>
    <t>Hydrogen Generation, Storage and Utilization</t>
  </si>
  <si>
    <t>TP245.H9.TP245.H9 2</t>
  </si>
  <si>
    <t>'1,1,2,3,5,4,6,7,8,9,7,10,8'</t>
  </si>
  <si>
    <t>Mozilla/5.0 (Macintosh; Intel Mac OS X 10_14_6) AppleWebKit/605.1.15 (KHTML, like Gecko) Version/12.1.2 Safari/605.1.15</t>
  </si>
  <si>
    <t>'41,42,43,44,45,46,47,48,49,50,51,52,53,54,55,56,57,58,59,60,61,62,63,64'</t>
  </si>
  <si>
    <t>Emerging Nanotechnologies in Dentistry : Processes, Materials and Applications</t>
  </si>
  <si>
    <t>RK652.5 -- .S83 2012eb</t>
  </si>
  <si>
    <t>'1,2,3,40,42,41,44,45,46,47,48,49,50,,1,40,42,43,41,47,48,49,50,51,52,53'</t>
  </si>
  <si>
    <t>'50,50,,50,51'</t>
  </si>
  <si>
    <t>In Vivo Self-Assembly Nanotechnology for Biomedical Applications</t>
  </si>
  <si>
    <t>'1,2,3,4,11,13,14,15,16,18,40,65,192,193,,1,11,12,13,14,15,65,66,192,193,194'</t>
  </si>
  <si>
    <t>'11,65,192,,12,65,66,193,194'</t>
  </si>
  <si>
    <t>Nanotechnology Applications for Tissue Engineering</t>
  </si>
  <si>
    <t>Engineering; Medicine; Engineering: General</t>
  </si>
  <si>
    <t>R857.T55 -- .N366 2015eb</t>
  </si>
  <si>
    <t>'1,2,4,22,23,24,25,26,27,28,30,29'</t>
  </si>
  <si>
    <t>'23,24,28'</t>
  </si>
  <si>
    <t>'216,217,218,220,221,223,224,,226,74,75,76,77,78,79,80,81,82,83,84,85,89,90,91,92,94,95'</t>
  </si>
  <si>
    <t>Mozilla/5.0 (Windows NT 10.0; Win64; x64) AppleWebKit/537.36 (KHTML, like Gecko) Chrome/88.0.4324.150 Safari/537.36 Edg/88.0.705.68</t>
  </si>
  <si>
    <t>'1,283,143,11,12,13,15,14,16,17,18,19,20,21,22,23,24,25,26,27'</t>
  </si>
  <si>
    <t>'68,29,28,36,1,3,30,31,32,11,14,17,22,21,23,24,25,26'</t>
  </si>
  <si>
    <t>'68'</t>
  </si>
  <si>
    <t>'68,29,42,22,33,39,11,33,9,33,33,33,34,32,38,61,60,27,30'</t>
  </si>
  <si>
    <t>'33'</t>
  </si>
  <si>
    <t>Nanotechnology in Medicine : Emerging Applications</t>
  </si>
  <si>
    <t>R857.N34 .K677 2012</t>
  </si>
  <si>
    <t>'1,2,4,26,27,28,29,30,31,54,53,55,57,59,61,62,63,65,67'</t>
  </si>
  <si>
    <t>Mozilla/5.0 (Macintosh; Intel Mac OS X 10_13_6) AppleWebKit/605.1.15 (KHTML, like Gecko) Version/13.0.5 Safari/605.1.15</t>
  </si>
  <si>
    <t>'68,143,144,30,29,438,155,558,557,557,17,145,284,283,7,8,9,10,393,394,395,396,397,437,438,439,440,441,442'</t>
  </si>
  <si>
    <t>'25,11,29,31,30,32,33,51,20,34,35,37,38,39,40,41,42,43,44,66,68,,68,29,30,32'</t>
  </si>
  <si>
    <t>'29,,29,30'</t>
  </si>
  <si>
    <t>'1,2,3,3,7,5,6,8,9,10,11,12'</t>
  </si>
  <si>
    <t>'3,4,6'</t>
  </si>
  <si>
    <t>'1,2,3,80,79'</t>
  </si>
  <si>
    <t>Artificial Intelligence</t>
  </si>
  <si>
    <t>Juvenile Literature</t>
  </si>
  <si>
    <t>The Sedimentary Basins of the United States and Canada</t>
  </si>
  <si>
    <t>QE615 .S435 2019</t>
  </si>
  <si>
    <t>'60,61,62,63,64,65,66,67,68,69,70,71,72,73,74,75,76,77,78,79,80,81,82,83,84,85,86,87,88,89,90,91,92,93,94,95,96,97,,,60,61,62,63,64,65,66,67,68,69,70,71,72,73,74,75,76,77,78,79,80,81,82,83,84,85,86,87,88,89,90,91,92,93,94,95,96,97,,422,423,424,425,426,427,428,429,430,431,432,433,434,435,436,437,438,439,440,441,442,443,444,445,446,447,448,449,450,451,452,453,454,455,456,457,458,459,460,461,462,463,464,465,,550,551,552,553,554,555,556,557,558,559,560,561,562,563,564,565,566,567,568,569,570,571,572,573,574,575,576,577,578,579'</t>
  </si>
  <si>
    <t>Andean Tectonics</t>
  </si>
  <si>
    <t>QE511.44 .A534 2019</t>
  </si>
  <si>
    <t>'270,271,272,273,274,275,276,277,278,279,280,281,282,283,284,285,286,287,288,289,290,291,292,293,294,295,296,297,298,299,300,301,,302,303,304,305,306,307,308,309,310,311,312,313,314,315,316,317,318,319,320,321,322,323,324,325,326,327,328,329'</t>
  </si>
  <si>
    <t>Principles of Alluvial Fan Morphology</t>
  </si>
  <si>
    <t>GB3-5030</t>
  </si>
  <si>
    <t>'1,119'</t>
  </si>
  <si>
    <t>'119,120,121,122,123,124,125,126'</t>
  </si>
  <si>
    <t>Rifts and Passive Margins : Structural Architecture, Thermal Regimes, and Petroleum Systems</t>
  </si>
  <si>
    <t>QE606 -- .N463 2016eb</t>
  </si>
  <si>
    <t>'15,16,17,18,19,20,21,22,23,24,25,26,27,28,29,30,31,32,33,34,35,36,37,38,39,40,41,42'</t>
  </si>
  <si>
    <t>'1,29,37,27,25,,25,29,30,31,32,33,35,36,37,39,41,42,43,44,48,49,51,52,53,61,62,63,64,65,66,67,68,69,70,71'</t>
  </si>
  <si>
    <t>Combat Anesthesia: the First 24 Hours</t>
  </si>
  <si>
    <t>United States Government Printing Office</t>
  </si>
  <si>
    <t>RD476.A3.C663 2015</t>
  </si>
  <si>
    <t>Mozilla/5.0 (Windows NT 10.0; WOW64) AppleWebKit/537.36 (KHTML, like Gecko) Chrome/88.0.4324.150 Safari/537.36</t>
  </si>
  <si>
    <t>'26,27,28,29,30,31,32,33,54,55,56,57,58,59,60,62'</t>
  </si>
  <si>
    <t>'1,11,68'</t>
  </si>
  <si>
    <t>Planning in the Public Domain : From Knowledge to Action</t>
  </si>
  <si>
    <t>HD87.5$b.F754 1987</t>
  </si>
  <si>
    <t>'1,1,,,1,,1,9,10,11,12,13,14,15,17,31,30,33,34,35,36,37,38,39,40,41,42,43,44,65,72,60,66,67,68,69,70,71,73,74,75,76,77,78,79,80,81,82'</t>
  </si>
  <si>
    <t>'1,2,3,33,34,35,36,37,38,32'</t>
  </si>
  <si>
    <t>'1,7,6,13,11,20,4,2,3'</t>
  </si>
  <si>
    <t>'1,11,12,2,3,4,5,6,7,8,11,11,,1,11,11'</t>
  </si>
  <si>
    <t>'11'</t>
  </si>
  <si>
    <t>Personality Traits: Classifications, Effects and Changes : Classifications, Effects and Changes</t>
  </si>
  <si>
    <t>155.2/32</t>
  </si>
  <si>
    <t>BF698 -- .P3714 2010eb</t>
  </si>
  <si>
    <t>Personality Traits: Theory, Testing and Influences : Theory, Testing and Influences</t>
  </si>
  <si>
    <t>BF698.5 -- .P47 2011eb</t>
  </si>
  <si>
    <t>'1,274,296,275,295'</t>
  </si>
  <si>
    <t>Advanced Natural Gas Engineering</t>
  </si>
  <si>
    <t>Gulf Publishing Company</t>
  </si>
  <si>
    <t>Engineering: Chemical; Engineering; Engineering: Mining</t>
  </si>
  <si>
    <t>TN880 .W26 2009</t>
  </si>
  <si>
    <t>'1,6,8,9,7,5,10'</t>
  </si>
  <si>
    <t>'1,1,1,3,100,101,108,109,110,113,114,116'</t>
  </si>
  <si>
    <t>'1,1,360,274,275,287,303,303,254,304,302,300,299,297,296,296,295,297,299,300,301,302,303,298'</t>
  </si>
  <si>
    <t>'1,16,15'</t>
  </si>
  <si>
    <t>'1,79,63,19'</t>
  </si>
  <si>
    <t>'79,80,81,82,83,84,85,86,87,88,89,90,91,92,93,94,95,63,64,65,66,67,68,69,70,71,72,73,74,75,76,77,78,19,20,21,22,23,24,25,26,27,28,29,30,31,32,33,34,35,36,37,38,39,40,41,42,43,44,45,46,47,48,49,50,51,52,53,54,55,56,57,58,59,60'</t>
  </si>
  <si>
    <t>Tectonic Geomorphology</t>
  </si>
  <si>
    <t>GB401.5.B86 2012</t>
  </si>
  <si>
    <t>'1,15,,1,15,14'</t>
  </si>
  <si>
    <t>'15,16,17,18,19,20,21,22,23,24,25,26,27,28,29,30,31,32,33,34,35,36,37,38,39,40,41,42,,15,16,17,18,19,20,21,22,23,24,25,26,27,28,29,30,31,32,33,34,35,36,37,38,39,40,41,42'</t>
  </si>
  <si>
    <t>Mountain Geomorphology</t>
  </si>
  <si>
    <t>GB501.2</t>
  </si>
  <si>
    <t>Geomorphology and Plate Tectonics</t>
  </si>
  <si>
    <t>GB401.5 -- .G4537 2009eb</t>
  </si>
  <si>
    <t>'1,65,1,17,18,19,20,21,22,23,23,23,24,25,26,27,67,112,167,167,237,202'</t>
  </si>
  <si>
    <t>'67,68,69,70,71,72,73,74,75,76,77,78,79,80,81,82,83,84,85,86,87,88,89,90,91,92,93,94,95,96,97,98,99,100,101,102,103,104,105,106,107,108,109,110,111,112,113,114,115,116,117,118,119,120,121,122,123,124,125,126,127,128,129,130,131,132,133,134,135,136,137,138,139,140,141,142,143,144,145,146,147,148,149,150,151,152,153,154,155,156,157,158,159,160,161,162,163,164,165,166'</t>
  </si>
  <si>
    <t>Applied Sedimentology</t>
  </si>
  <si>
    <t>QE471.S426 2000</t>
  </si>
  <si>
    <t>Geomorphology and Global Environmental Change</t>
  </si>
  <si>
    <t>GB447 -- .G46 2009eb</t>
  </si>
  <si>
    <t>'1,86,87,88,89,90,91,92,93,94,95,96,97,98,99,100,101,102,103,104,106,107,108,109,110,111,112,113,114,115,116,117,191,190,192,193,194,195,196,197,198,199,200,201,202,203,204,205,206,208,209'</t>
  </si>
  <si>
    <t>'1,186,187,188,189,190,191,192,193,194,195,196,197,198,199,200,201,202,203,204,205,1,186,187,189,190,191,193,194,195,196,197,198,199,200,201,202,203,204,205,206,,1,208,209,210,211,212,213,214,215,216,217,218,219,220,221,222,223,224,225,226,227,228,229,230,231,232,233,234,235,236,237,238,239,240,241,242,243,244,245,246,247,248,249,250,251,252,253,254,255,256,257,258,259,260,261,262,263,266,265,268,267,269,272,273,274,275,276,277,278,279,280,281,282,1'</t>
  </si>
  <si>
    <t>Mozilla/5.0 (Windows NT 6.1; Win64; x64) AppleWebKit/537.36 (KHTML, like Gecko) Chrome/88.0.4324.150 Safari/537.36</t>
  </si>
  <si>
    <t>'1,1,1,52,16,17,15,18,19,20,21,22,23,24,25,26,27,25,16,30,31,32,33,52,53,54,55,56,57,57,58,56,55,54,53,76,77,78,80,79,79'</t>
  </si>
  <si>
    <t>'1,1,1,12,12,144,197,198,199,200,202,201,204,206'</t>
  </si>
  <si>
    <t>'1,1,1,37,40,62,63,65,175,176,177,178'</t>
  </si>
  <si>
    <t>Establishing Predominance of English for Specific Purposes Within Adult English Language Teaching</t>
  </si>
  <si>
    <t>Language/Linguistics; Education</t>
  </si>
  <si>
    <t>LB1576 .E883 2018</t>
  </si>
  <si>
    <t>'1,2,3,4,3,4,3,4,3,2,4'</t>
  </si>
  <si>
    <t>'1,2,3,4,,195,196,197,198,199,200,201,202,203,204,205,206,207,208,209,210,211,212,213,214,215,216,217,218,219,220,221,222,223,224,225,226,227,228,,5,6'</t>
  </si>
  <si>
    <t>'1,1,4,2,3,7,8,6,133,134,135,136,137,138,139,140,141,142,143,178,179,,1,1,1,8,9,12,13,19,20'</t>
  </si>
  <si>
    <t>Nanotechnology Applications and Markets</t>
  </si>
  <si>
    <t>T174.7 -- .G37 2006eb</t>
  </si>
  <si>
    <t>'1,2,102,103,104,105,106,107,108,109,110,111,112'</t>
  </si>
  <si>
    <t>'110'</t>
  </si>
  <si>
    <t>Application of Nanotechnology in Water Research : Key Issues for Midwives and Women</t>
  </si>
  <si>
    <t>TD442.5 -- .A67 2014eb</t>
  </si>
  <si>
    <t>'1,3,21,21,22,24,23,25,43,43,43,43,43,,1,25,28,30,32,33,35,36,39,23,43,44,45,46,175,176,177,205,206,207,208,209,211,212,213,214,216,293,294,295,296,297,298,300'</t>
  </si>
  <si>
    <t>'43,,43,175'</t>
  </si>
  <si>
    <t>'1,1,2,3,4,5,6,7,8,9,10'</t>
  </si>
  <si>
    <t>'1,2,3,4,5,6,7,8,9,10,11,12,13,14,47,278,276,,1'</t>
  </si>
  <si>
    <t>'1,307,329,308,309,310,311,312,313,314,330,331,332,328,327,326,343,337'</t>
  </si>
  <si>
    <t>Signal Processing For 5G : Algorithms and Implementations</t>
  </si>
  <si>
    <t>TK5102.9.S546 2016eb</t>
  </si>
  <si>
    <t>'1,145,147,148,149,150,151,152,153,154,155,156,157,158,173,174,175,176'</t>
  </si>
  <si>
    <t>Tsunamis: Causes, Characteristics, Warnings and Protection : Causes, Characteristics, Warnings and Protection</t>
  </si>
  <si>
    <t>Science: Geology; Science; Social Science</t>
  </si>
  <si>
    <t>363.34/94</t>
  </si>
  <si>
    <t>GC221.2 -- .T785 2010eb</t>
  </si>
  <si>
    <t>'1,1,1,11,10'</t>
  </si>
  <si>
    <t>Biomaterials in Orthopaedic Surgery</t>
  </si>
  <si>
    <t>R857.M3.R63 2009</t>
  </si>
  <si>
    <t>'1,1,2,3,4,5,6,11,9,10,12,13,14,15,16,17,18,19,,109,110,111,112,113,114,115,101'</t>
  </si>
  <si>
    <t>'19,20,21,22,23,24,25,26,27,28'</t>
  </si>
  <si>
    <t>'1,33,34,35,36,38,40,41,43,45,46,47,48,48,47'</t>
  </si>
  <si>
    <t>'291,,291,64,63,65,66,67,68,69,70,71,72,73,74,75,76,77,78,79,80,81,82,83,84,85,86,87,88,89,90,91,92'</t>
  </si>
  <si>
    <t>'1,1,3,11,12,13,14,15,16,17,18,19,20,21,22,23,25,26,37,38,39,41,40,42,43,44,45'</t>
  </si>
  <si>
    <t>Airline Marketing and Management</t>
  </si>
  <si>
    <t>387.7/40688</t>
  </si>
  <si>
    <t>HE9761</t>
  </si>
  <si>
    <t>'1,1,2,3,3,3,3,4,5,6,7'</t>
  </si>
  <si>
    <t>'291,64,63,65,66,67,68,69,70,71,72'</t>
  </si>
  <si>
    <t>'291,64,63,65,66,67,68,69,70,71,72,73,74,75,76,77,78,79,80'</t>
  </si>
  <si>
    <t>'291,168,167,26,25,27,28,23'</t>
  </si>
  <si>
    <t>'1,249,274,275,276,277,278,279,280,281,282,283,284,285,286,287,288,289,290,291,,291,292,293,294,295,295,296,297,294,293,298,299'</t>
  </si>
  <si>
    <t>'1,23,22,274'</t>
  </si>
  <si>
    <t>The Arabian Nights and Orientalism : Perspectives from East and West</t>
  </si>
  <si>
    <t>Literature; Social Science</t>
  </si>
  <si>
    <t>PJ7737 -- .A72 2006eb</t>
  </si>
  <si>
    <t>'1,1,,1,1,66,65,93,4,6,166'</t>
  </si>
  <si>
    <t>'1,9,27,29,30,31,32,33,34,35,37,38,39,40,41,42,43,44,45,46,48,47,49,50,51,52,53'</t>
  </si>
  <si>
    <t>'1,1,57,89,136,136,57,83,83,,1,27,28,29,30,31,32,33'</t>
  </si>
  <si>
    <t>Computational Aeroacoustics : A Wave Number Approach</t>
  </si>
  <si>
    <t>TL574.N6 T36 2012</t>
  </si>
  <si>
    <t>'1,2,3,4,6,8,9,10,11'</t>
  </si>
  <si>
    <t>'1,186,188,190,191,197,198,199,201,202,203,204,206,207,208,209,210,212,213,214,215,218,232,233,235,238,240,241,243,244,245,246,247,248,249,250,251,252,253,254,255,256,257,258,259,260,261,262,263,264,265,266,267,268,269,270,271,272,273,274,275,276,278,279,281,280,282,283,284,285,286,287,289,290,291,292,293,294,295,296,297,298,299'</t>
  </si>
  <si>
    <t>'1,1,186'</t>
  </si>
  <si>
    <t>'1,2,5,3,7,9,12,15,17,18,20,21,22,23,24,25,26,27,27'</t>
  </si>
  <si>
    <t>'7,8,9,10,11,12,13,14,18,19,20'</t>
  </si>
  <si>
    <t>TRIZ for Dummies</t>
  </si>
  <si>
    <t>T212</t>
  </si>
  <si>
    <t>'1,3,4,5,8,10,9,14,16,17,18,19,21,47,49'</t>
  </si>
  <si>
    <t>'1,310,309,308,307,306,303,301,300,290,289,288,285,284,281,280,278,277,276,275,274,273,272'</t>
  </si>
  <si>
    <t>Mozilla/5.0 (Windows NT 6.1; Win64; x64) AppleWebKit/537.36 (KHTML, like Gecko) Chrome/88.0.4324.146 Safari/537.36</t>
  </si>
  <si>
    <t>Contending Visions of the Middle East : The History and Politics of Orientalism</t>
  </si>
  <si>
    <t>956.0072;956.007201821</t>
  </si>
  <si>
    <t>DS61.8 -- .L63 2004eb</t>
  </si>
  <si>
    <t>Mozilla/5.0 (Macintosh; Intel Mac OS X 10_15_3) AppleWebKit/605.1.15 (KHTML, like Gecko)</t>
  </si>
  <si>
    <t>Mozilla/5.0 (Macintosh; Intel Mac OS X 10_15_3) AppleWebKit/605.1.15 (KHTML, like Gecko) Version/13.0.5 Safari/605.1.15</t>
  </si>
  <si>
    <t>'1,68,69,70,71,72,73,74,74,100,100,102,103,104,105,107,108,110,111,112,113,114,115,116,118,119,121,122,123,124,125,126,128,128,68,70,114,188,191,192,196,202,201,201,201,201,201,202,203'</t>
  </si>
  <si>
    <t>Mozilla/5.0 (Windows NT 10.0; Win64; x64) AppleWebKit/537.36 (KHTML, like Gecko) Chrome/88.0.4324.146 Safari/537.36</t>
  </si>
  <si>
    <t>'1,26'</t>
  </si>
  <si>
    <t>'1,186,188,189,190,191,192,193,194,195,196,197,198,199,200,201,202,203,204,205,206,207,208,209,210,211,213,214,215,216,217,218,219,220,221,222,223,224,225,226,227,228,229,230,231,232,233,234,235,236'</t>
  </si>
  <si>
    <t>MacBook Pro Portable Genius</t>
  </si>
  <si>
    <t>QA76.8.M3.G35 2014eb</t>
  </si>
  <si>
    <t>'1,2,4,6,6,1,6,9'</t>
  </si>
  <si>
    <t>'1,85'</t>
  </si>
  <si>
    <t>'85,86,87,88,89,90'</t>
  </si>
  <si>
    <t>Mozilla/5.0 (Macintosh; Intel Mac OS X 11_1_0) AppleWebKit/537.36 (KHTML, like Gecko) Chrome/88.0.4324.146 Safari/537.36</t>
  </si>
  <si>
    <t>Europe and the Islamic World : A History</t>
  </si>
  <si>
    <t>DS63.2.E8 -- L3813 2013eb</t>
  </si>
  <si>
    <t>'4,3,1,2,5,6'</t>
  </si>
  <si>
    <t>'1,2,23,25,24,26,27,28,29,30,31,31,30'</t>
  </si>
  <si>
    <t>Design for Six Sigma in Product and Service Development : Applications and Case Studies</t>
  </si>
  <si>
    <t>658.4/013</t>
  </si>
  <si>
    <t>TS156 -- .D47725 2012eb</t>
  </si>
  <si>
    <t>'1,1,3,8,8,9,18,23,19,20,21'</t>
  </si>
  <si>
    <t>'1,1,7,228,240,239,241,242,244'</t>
  </si>
  <si>
    <t>Interpreting Islam : Bandali Jawzi's Islamic Intellectual History</t>
  </si>
  <si>
    <t>297.1/97</t>
  </si>
  <si>
    <t>BP55 -- .Z4913 1996eb</t>
  </si>
  <si>
    <t>'1,2,18,17,19,20'</t>
  </si>
  <si>
    <t>Islamic State : Rewriting History</t>
  </si>
  <si>
    <t>DS39.3</t>
  </si>
  <si>
    <t>'6,7,9,21,22,23,16,19,20'</t>
  </si>
  <si>
    <t>'1,2,3,27,9,10,11,12,13,14,14,9,9,57,57,89,,1,27,28'</t>
  </si>
  <si>
    <t>'6,1,2'</t>
  </si>
  <si>
    <t>Medical Device Design for Six Sigma : A Road Map for Safety and Effectiveness</t>
  </si>
  <si>
    <t>R856.6 -- .E44 2008eb</t>
  </si>
  <si>
    <t>'1,1,2,3,4,9,10,11'</t>
  </si>
  <si>
    <t>Mozilla/5.0 (X11; Linux x86_64) AppleWebKit/537.36 (KHTML, like Gecko) SamsungBrowser/13.2 Chrome/83.0.4103.106 Safari/537.36</t>
  </si>
  <si>
    <t>World Environmental and Water Resources Congress 2010 : Challenges of Change</t>
  </si>
  <si>
    <t>Business/Management; Economics; Environmental Studies</t>
  </si>
  <si>
    <t>HC54 -- .W67 2010eb</t>
  </si>
  <si>
    <t>'1,1,7,6,8,9,10,11'</t>
  </si>
  <si>
    <t>Sherlock Holmes in Babylon : And Other Tales of Mathematical History</t>
  </si>
  <si>
    <t>QA21 -- .S48 2004eb</t>
  </si>
  <si>
    <t>'1,1,1,2,5,5,5,36,213'</t>
  </si>
  <si>
    <t>'1,3,4,5,6,7,8,9,13,19,18,20,21,22,34,35,36,37,36,51,36,22,23,24,25,27,28,29,30,7'</t>
  </si>
  <si>
    <t>'36,37,38,39,40,41,42,43,44,45'</t>
  </si>
  <si>
    <t>Lean Six Sigma Pocket Toolbook</t>
  </si>
  <si>
    <t>TS156.L43 2005</t>
  </si>
  <si>
    <t>'1,3,6,5,7,8,8,9,10'</t>
  </si>
  <si>
    <t>'1,1,4,5,6,7,8,10,11,13'</t>
  </si>
  <si>
    <t>'1,1,3,5,7,7,8,9,10,12,13,14,16,15,19,18'</t>
  </si>
  <si>
    <t>'17,18,19,20,21,22,23,24,25,26,27,28,29,30,31,32,33,34,35,36,37,38,39,40,41,42,43,44,45,46,47,48,49,50'</t>
  </si>
  <si>
    <t>'61,62,63,64,65,66,67,68,69,70,71,72,73,74,75,76,77,78,79,80,81,82,83,84,85,86,,211,212,213,214,215,216,217,218,219,220,221,222,223,224,225,226,227,228,229,230,231,232,233,234,235,236,237,238,239,240,241,242,243,244,245,246,247,248,249,250,251,252,253,254,255,256,257,258,259,260,261,262,263,264,265,266,,211,212,213,214,215,216,217,218,219,220,221,222,223,224,225,226,227,228,229,230,231,232,233,234,235,236,237,238,239,240,241,242,243,244,245,246,247,248,249,250,251,252,253,254,255,256,257,258,259,260,261,262,263,264,265,266'</t>
  </si>
  <si>
    <t>'12,12,,12,,12'</t>
  </si>
  <si>
    <t>Tectonic Faults : Agents of Change on a Dynamic Earth</t>
  </si>
  <si>
    <t>551.8/72</t>
  </si>
  <si>
    <t>QE606.D34 2007</t>
  </si>
  <si>
    <t>'246,247,248,249,250,251,252,253,254,255,256,257,258,259,260,261,262,263,264,265,266,267,268,269,270,271,272,273,274,275,276,277,278,279,280,281,282,283,284,285,286,287,,246,247,248,249,250,251,252,253,254,255,256,257,258,259,260,261,262,263,264,265,266,267,268,269,270,271,272,273,274,275,276,277,278,279,280,281,282,283,284,285,286,287'</t>
  </si>
  <si>
    <t>'116,117,118,119,120,121,122,123,124,125,126,127,128,129,130,131,132,133,134,135,136,137,138,,139,140,141,142,143,144,145,146,147,148,149,150,151,152,153,154,155,156,157,158,159'</t>
  </si>
  <si>
    <t>CFA 2008 Level I Certification : With Preliminary Reading Assignments</t>
  </si>
  <si>
    <t>TotalRecall Publications</t>
  </si>
  <si>
    <t>HG4621.V471 2008</t>
  </si>
  <si>
    <t>'238,239,240,241,242,243,244,248,249,542,541,540,538'</t>
  </si>
  <si>
    <t>'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t>
  </si>
  <si>
    <t>'542'</t>
  </si>
  <si>
    <t>'7,,7'</t>
  </si>
  <si>
    <t>'1,1,2,5,28,29,31,30,33,34,35,36,37,38,40,41,39,42,46,44,45,47,48,49,50,43,1,112,111'</t>
  </si>
  <si>
    <t>'1,22,23,24,25,26,186,185,187,184,27'</t>
  </si>
  <si>
    <t>'1,106,107,108,109,110,111,112,113,114,115,116,117,118,119,120,121,122,123,124,125,126,127,128,129,130,131,132,133,134,135,136,137,8,9,10,11,12,13,14,15,16,18,17,20,21,22,23,24,25,26,27,28,29,30,31,33,34,36,37,38,39,36,116,106,107,108,109,110,111,112,113'</t>
  </si>
  <si>
    <t>'1,2,3,3,3,3,5,7,7,7,7,7,,7'</t>
  </si>
  <si>
    <t>'1,2,,1,2,3,4,5,6,7,8,9,10,11'</t>
  </si>
  <si>
    <t>'1,22,24,26,25,23,21,20,19,18'</t>
  </si>
  <si>
    <t>'1,2,3,4,5,6,7,8,9,10,11,12,13,14,22,23,24,25,26,27,28,29,30,31,32,33,34,35'</t>
  </si>
  <si>
    <t>The History of Islamic Political Thought : From the Prophet to the Present</t>
  </si>
  <si>
    <t>JC49 -- .B58 2011eb</t>
  </si>
  <si>
    <t>'1,3,6,5,7,8'</t>
  </si>
  <si>
    <t>'15,16,18,20,21,22,,1,2,5,4,15,14,24,23,25'</t>
  </si>
  <si>
    <t>'1,1,2,4,4,4,5,6,7,8,8'</t>
  </si>
  <si>
    <t>Mozilla/5.0 (Macintosh; Intel Mac OS X 10_15_4) AppleWebKit/605.1.15 (KHTML, like Gecko) Version/13.1.1 Safari/605.1.15</t>
  </si>
  <si>
    <t>Women and the City, Women in the City : A Gendered Perspective on Ottoman Urban History</t>
  </si>
  <si>
    <t>HQ1726.7.W6296 2014</t>
  </si>
  <si>
    <t>'1,26,,1,,1,,1,,1,7,8,9,26,23'</t>
  </si>
  <si>
    <t>'1,85,86,87,88,89,90,91,92,93'</t>
  </si>
  <si>
    <t>'1,298,299,300,301'</t>
  </si>
  <si>
    <t>'1,274,307,306,305,304,303,283,282,281,284,285,286,289,293,297,299,302'</t>
  </si>
  <si>
    <t>'1,89,89'</t>
  </si>
  <si>
    <t>'89,90,91,92,93,94,95,96,97,98,99,100,101,102,103,104,105,106,107,108,109,110,111,112,113,114,115,116,117,118,119,120,121,122,123,124,125,126,127,128,129,130,131'</t>
  </si>
  <si>
    <t>Paleolimnology : The History and Evolution of Lake Systems</t>
  </si>
  <si>
    <t>QE39.5.P3C63 2003</t>
  </si>
  <si>
    <t>'46,47,48,49,50,51,52,53,54,55,56,57,58,59,60,61,62,63,64,65,66,67,68,69,70,71,72,73,74,75,76,77,78,79,80,,187,188,189,190,191,192,193,194,195,196,197,198,199,200,201,202,203,204,205,206,207,208,209,210,211,212,213,214,215,216,217,218,219,220,221,222,223,224,225,226,227,228,229,230,231,232'</t>
  </si>
  <si>
    <t>Pollution of Lakes and Rivers : A Paleoenvironmental Perspective</t>
  </si>
  <si>
    <t>363.739/4</t>
  </si>
  <si>
    <t>TD420.S63 2008</t>
  </si>
  <si>
    <t>'58,59,60,61,62,63,64,65,66,67,68,69,70,71,72,73,74,75,76,77,78,79,80,81,82,83,,32,33,34,35,36,37,38,39'</t>
  </si>
  <si>
    <t>Wetland Landscape Characterization : Practical Tools, Methods, and Approaches for Landscape Ecology, Second Edition</t>
  </si>
  <si>
    <t>QH87.3</t>
  </si>
  <si>
    <t>'19,20,18'</t>
  </si>
  <si>
    <t>Treatise on Geomorphology : V1-14</t>
  </si>
  <si>
    <t>GB401.5 -- .T74 2013eb</t>
  </si>
  <si>
    <t>'6,7,1080,1106,1091,1092,1238,1356,1356,1356'</t>
  </si>
  <si>
    <t>'1080,1081,1082,1083,1084,1085,1086,1087,1088,1089,1090,1106,1107,1108,1109,1110,1111,1112,1113,1114,1115,1116,1117,1118,1119,1120,1121,1122,1091,1092,1093,1094,1095,1096,1097,1098,1099,1100,1101,1102,1103,1104,1105,1356,1357,1358,1359,1360,1361,1362'</t>
  </si>
  <si>
    <t>Regolith Science</t>
  </si>
  <si>
    <t>QE511.S36 2009</t>
  </si>
  <si>
    <t>'21,22,23,24,25,26,27,28,29,30,31,32,33,34,35,36,37,38,39,40,41,42,43,44,45,46,47,48,49,50,,371,372,373,374,375,376,377,378,379,380,381,382,383,384,385,386,387,388,389,390,391,392,393,394,395,396,397,398,399,400,401,402,403,404,,292,293,294,295,296,297,298,299,300,301,302,303,304,305,306,307,308,309,310,311,312,313,314,315,316,317,318,319,320,321,322,323,324,325,326,327,328,329,,51,52,53,54,55,56,57,58,59,60,61,62,63,64,65'</t>
  </si>
  <si>
    <t>Soil Science Simplified</t>
  </si>
  <si>
    <t>S591 -- .S655 2016eb</t>
  </si>
  <si>
    <t>'25,26,27,28,29,30,31,32,33,34,35,36,37,38,39,40,41,42'</t>
  </si>
  <si>
    <t>Soil Genesis and Classification</t>
  </si>
  <si>
    <t>S591.B887 2011</t>
  </si>
  <si>
    <t>'1,1,5,6,7,9,12,107,108,110,111,112'</t>
  </si>
  <si>
    <t>'107,108,109,110,111,112,113,114,115,116,117,118,119,120,121,122,123,124,125,126,127,128,129,130,131,132,133,134,135,136,137,138,139,140,141,142,143,144,145,146,147,148,149,150,151,152,153,154,155,156,157,158'</t>
  </si>
  <si>
    <t>Handbook of Soil Sciences : Properties and Processes, Second Edition</t>
  </si>
  <si>
    <t>S591 -- .H235 2012eb</t>
  </si>
  <si>
    <t>'971,972,973,974,975,976,977,978,979,980,981,982,983,984,985,986,987,988,989,990,991,992,993,994,995,996,,1265,1266,1267,1268,1269,1270,1271,1272,1273,1274,1275,1276,1277,1278,1279,1280,1281,1282,1283,1284,1285,1286'</t>
  </si>
  <si>
    <t>Reading the Soil Archives : Unraveling the Geoecological Code of Palaeosols and Sediment Cores</t>
  </si>
  <si>
    <t>S591$b.R433 2019</t>
  </si>
  <si>
    <t>'238,239,240,241,242,243,244,245,246,247,248,249,250,251,252,253,254,255,256,257,258,259,260,261,262,263,264,265'</t>
  </si>
  <si>
    <t>Arid and Semi-Arid Geomorphology</t>
  </si>
  <si>
    <t>GB611 .G674 2013</t>
  </si>
  <si>
    <t>'218,219,220,221,222,223,224,225,226,227,228,229,230,231,232,233,234,235,236,237,238,239,240,241,242,243,244,245,246,247,248,249,250,251,252,253,254,255,256,257,258,259,,56,57,58,59,60,61,62,63,64,65,66,67,68,69,70,71,72,73,74,75,76,77,78,79,80,81,82,83,84,85,86,87,88,89,90,91,92,93,94,95,96,97,98,99,100,101,102,103,104,105,106,107,108,109,110,111,112,113,114,115,116,117,118,119,120,121,122,123,124,125,126,127'</t>
  </si>
  <si>
    <t>Nano Hybrids and Composites Vol. 26</t>
  </si>
  <si>
    <t>TA418.9.N35 .A434 2019</t>
  </si>
  <si>
    <t>'1,9,10,11,65,33,63,,33'</t>
  </si>
  <si>
    <t>Desalination of Seawater (M60)</t>
  </si>
  <si>
    <t>628.1/67</t>
  </si>
  <si>
    <t>TD479.2 -- .W48 2011eb</t>
  </si>
  <si>
    <t>'1,1,4,3,5,6'</t>
  </si>
  <si>
    <t>Advances in Water Desalination</t>
  </si>
  <si>
    <t>TD479 -- .A38 2013eb</t>
  </si>
  <si>
    <t>'1,1,3,4,7,8,9,12,17,20,6,33,127,125,124,64,63,60,27,25,11,18,21,22'</t>
  </si>
  <si>
    <t>'1,1,4,8,9,10,17'</t>
  </si>
  <si>
    <t>Membrane Separation Principles and Applications : From Material Selection to Mechanisms and Industrial Uses</t>
  </si>
  <si>
    <t>TP248.25.M46 .M463 2019</t>
  </si>
  <si>
    <t>'1,1,7,6,8,9,10'</t>
  </si>
  <si>
    <t>Membrane Technology : Sustainable Solutions in Water, Health, Energy and Environmental Sectors</t>
  </si>
  <si>
    <t>660/.28424</t>
  </si>
  <si>
    <t>TP159.M4 .M463 2019</t>
  </si>
  <si>
    <t>'1,1,9,8,10,11'</t>
  </si>
  <si>
    <t>Microfiltration: Principles, Process and Applications</t>
  </si>
  <si>
    <t>TP156.S4 .M53 2019</t>
  </si>
  <si>
    <t>'1,1,7,8'</t>
  </si>
  <si>
    <t>AWWA B112-19 Microfiltration and Ultrafiltration Membrane Systems</t>
  </si>
  <si>
    <t>TD442.5$b.A447 2019</t>
  </si>
  <si>
    <t>'1,1,3,5,6'</t>
  </si>
  <si>
    <t>'1,1,6,5,7,8,9,10,11,12'</t>
  </si>
  <si>
    <t>Membrane Technology and Environmental Applications</t>
  </si>
  <si>
    <t>TP248.25.M46M455</t>
  </si>
  <si>
    <t>'1,1,4,5,6,7,8,9'</t>
  </si>
  <si>
    <t>Emerging Membrane Technology for Sustainable Water Treatment</t>
  </si>
  <si>
    <t>628.1/64</t>
  </si>
  <si>
    <t>TD442.5</t>
  </si>
  <si>
    <t>'1,1,6,7,8,9,10,11,65,66,67,68,70,71'</t>
  </si>
  <si>
    <t>Advances in Membrane Science and Technology</t>
  </si>
  <si>
    <t>TP159.M4.A394 2009</t>
  </si>
  <si>
    <t>'1,1,7,6,8,11'</t>
  </si>
  <si>
    <t>Membrane Technology and Applications</t>
  </si>
  <si>
    <t>660/.2842</t>
  </si>
  <si>
    <t>TP159.M4 -- B35 2012eb</t>
  </si>
  <si>
    <t>'1,1,7,8,9,10,11,12,13'</t>
  </si>
  <si>
    <t>Desalination Sustainability : A Technical, Socioeconomic, and Environmental Approach</t>
  </si>
  <si>
    <t>628.167 (D)</t>
  </si>
  <si>
    <t>TD479.A734 2017</t>
  </si>
  <si>
    <t>'1,1,6,7,8,9'</t>
  </si>
  <si>
    <t>'1,1,166,165,167'</t>
  </si>
  <si>
    <t>'1,186,187,188,189,190,191,192,193,194,195,196,197,198,199,200,201,202,203,204,205,206,208'</t>
  </si>
  <si>
    <t>Mozilla/5.0 (Windows NT 6.1; Win64; x64) AppleWebKit/537.36 (KHTML, like Gecko) Chrome/87.0.4280.141 Safari/537.36</t>
  </si>
  <si>
    <t>'1,2,247,248'</t>
  </si>
  <si>
    <t>'258,259,260,261,262,263,264,265,266,267'</t>
  </si>
  <si>
    <t>'1,1,6,5,166,167,168,169,170'</t>
  </si>
  <si>
    <t>'1,28,27,30,40,39,41,44,42,38,37,36,35,34,33,32,31,26,25,24,14,4,29'</t>
  </si>
  <si>
    <t>'1,6'</t>
  </si>
  <si>
    <t>Mozilla/5.0 (Macintosh; Intel Mac OS X 11_2_0) AppleWebKit/537.36 (KHTML, like Gecko) Chrome/88.0.4324.96 Safari/537.36</t>
  </si>
  <si>
    <t>'166,167'</t>
  </si>
  <si>
    <t>Culture, Communication and National Identity : The Case of Canadian Television</t>
  </si>
  <si>
    <t>HE8700.9.C2.C655 1990</t>
  </si>
  <si>
    <t>'1,2,3,6,9,5,13,10,12,11'</t>
  </si>
  <si>
    <t>'6,1,2,3,4'</t>
  </si>
  <si>
    <t>Mozilla/5.0 (Windows NT 10.0; Win64; x64) AppleWebKit/537.36 (KHTML, like Gecko) Chrome/88.0.4324.96 Safari/537.36 Edg/88.0.705.56</t>
  </si>
  <si>
    <t>'1,2,4,5,6,6,7,9,8,11,11,11'</t>
  </si>
  <si>
    <t>Constituting Equality : Gender Equality and Comparative Constitutional Law</t>
  </si>
  <si>
    <t>K3243 -- .C66 2009eb</t>
  </si>
  <si>
    <t>'9,10,21'</t>
  </si>
  <si>
    <t>'1,27,29,322,342,347,346,345,,,27'</t>
  </si>
  <si>
    <t>'1,2,3,4,5,6,7,8,331,332,333,334,335,336,337,338,339,340,341,342,343,344,345,346'</t>
  </si>
  <si>
    <t>'1,2,3,3,3,3,4,5,6,1,16,2,7,8,1,,10'</t>
  </si>
  <si>
    <t>Seldin and Giebisch's the Kidney : Physiology and Pathophysiology</t>
  </si>
  <si>
    <t>Science: Zoology; Science: Anatomy/Physiology; Science</t>
  </si>
  <si>
    <t>QL801</t>
  </si>
  <si>
    <t>'4,5,6,7,8,9,10,11'</t>
  </si>
  <si>
    <t>Mozilla/5.0 (Windows NT 10.0; Win64; x64) AppleWebKit/537.36 (KHTML, like Gecko) Chrome/87.0.4280.141 Safari/537.36</t>
  </si>
  <si>
    <t>Key Terms in Discourse Analysis</t>
  </si>
  <si>
    <t>401/.41</t>
  </si>
  <si>
    <t>P302 -- .B285 2011eb</t>
  </si>
  <si>
    <t>'8,10,11'</t>
  </si>
  <si>
    <t>The Handbook of Discourse Analysis</t>
  </si>
  <si>
    <t>P302 -- .H344 2015eb</t>
  </si>
  <si>
    <t>'41,42,43,44,45,46,47,48,49,50,51,52,53,54,55,56,57,58,59,60,61,62,63,64,65,66,67,68,69,70,71,,91,92,93,94,95,96,97,98,99,100,101,102,103,104,105,106,107,108,109,110,111,,219,220,221,222,223,224,225,226,227,228,229,230,231,232,233,234,235,236,237,238,239,240,241,242,243,244,245,246,247,248,249,250,251'</t>
  </si>
  <si>
    <t>Introducing Discourse Analysis in Class</t>
  </si>
  <si>
    <t>P302 -- .F47 2011eb</t>
  </si>
  <si>
    <t>'11,12,13,14,15,16,17,19,18,20'</t>
  </si>
  <si>
    <t>'5,6,7,8,,9,10,,,85,86,87,88,89,90,91,92,93,94,95,96,97,98,99,100,101,102,103,104,105,106,107,108,109,110,111,112,113,114'</t>
  </si>
  <si>
    <t>'3943,1224'</t>
  </si>
  <si>
    <t>'1080,1081,1082,1083,1084,1085,1086,1087,1088,1089,1090,,1224,1225,1226,1227,1228,1229,1230,1231,1232,1233,1234,1235,1236,1237,,,1224,1225,1226,1227,1228,1229,1230,1231,1232,1233,1234,1235,1236,1237,,1276,1277,1278,1279,1280,1281,1282,1283,1284,1285,1286,1287,1288,1289,1290,1291,1292,1293,1294,1295,1296,1297,1298,1299,1300,1301,1302,1303,1304,1305,1306,,2385,2386,2387,2388,2389,2390,2391,2392,2393,2394,2395,2396,,2499,2500,2501,2502,2503,2504,2505,2506,2507,2508,2509,2510,2511,,3943,3944,3945,3946,3947,3948,3949,3950,3951,3952,3953,3954,3955,3956,3957,3958,3959,3960,3961,3962,3963,3964,3965,3966,3967,3968,3969,3970,3971,3972,3973,3974,3975,3976,,3943,3944,3945,3946,3947,3948,3949,3950,3951,3952,3953,3954,3955,3956,3957,3958,3959,3960,3961,3962,3963,3964,3965,3966,3967,3968,3969,3970,3971,3972,3973,3974,3975,3976,1224,1225,1226,1227,1228,1229,1230,1231,1232,1233,1234,1235,1236,1237'</t>
  </si>
  <si>
    <t>'218,219,220,221,222,223,224,225,226,227,228,229,230,231,232,233,234,235,236,237,238,239,240,241,242,243,244,245,246,247,248,249,250,251,252,253,254,255,256,257,258,259'</t>
  </si>
  <si>
    <t>From Depositional Systems to Sedimentary Successions on the Norwegian Continental Margin : From Depositional Systems to Sedimentary Successions on the Norwegian Continental Margin (IAS SP 46)</t>
  </si>
  <si>
    <t>QE471.F766 2014eb</t>
  </si>
  <si>
    <t>'91,91'</t>
  </si>
  <si>
    <t>'997,998,999,1000,1001,1002,1003,1004,1005,1006,1007,1008,1009,1010,1011,1012,1013,1014,1015,1016,1017,1018,1019,1020,1021,1022,1023,1024,1025,1026,,1265,1266,1267,1268,1269,1270,1271,1272,1273,1274,1275,1276,1277,1278,1279,1280,1281,1282,1283,1284,1285,1286'</t>
  </si>
  <si>
    <t>'1,2,3,4,5,5,6,7,8,10,11,11,12,13,14,15,16,17,18,19,20,21,21,21,20,97,97,123,199,120,116,114,114,3,4,5,6,7,8,9,10,11,12'</t>
  </si>
  <si>
    <t>Tsunami: To Survive From Tsunami : To Survive from Tsunami</t>
  </si>
  <si>
    <t>GC221.2 -- .T78 2010eb</t>
  </si>
  <si>
    <t>'1,2,3,4,6,7,8,9,10,13,12,14,15,16,17,18,19,21,22,23,24'</t>
  </si>
  <si>
    <t>Tsunami : Nature and Culture</t>
  </si>
  <si>
    <t>GC221.2 -- .H363 2014eb</t>
  </si>
  <si>
    <t>'1,5,6,7,8,9,11,12,13,14,14,15,1,5,7,48,49,50,51,183,166,167,6,8,11,9,10,12,13,16,17,18,19,20,21,22,23,24,25,26,27,28,29,30,30,13,13,73'</t>
  </si>
  <si>
    <t>Shift Linguals : Cut-Up Narratives from William S. Burroughs to the Present</t>
  </si>
  <si>
    <t>PN98.P67 -- R63 2011eb</t>
  </si>
  <si>
    <t>'3,4,165,166'</t>
  </si>
  <si>
    <t>Mozilla/5.0 (Macintosh; Intel Mac OS X 10_11_6) AppleWebKit/537.36 (KHTML, like Gecko) Chrome/88.0.4324.146 Safari/537.36</t>
  </si>
  <si>
    <t>'292,292,293,294,296,295,297,299,301,302,303,304,305,306,307,308,309,310,311,312,313,314,1,42'</t>
  </si>
  <si>
    <t>'292,293,294,295,296,297,298,299,300,301,302,303,304,305,306,307,308,309,310,311,312,313,314,315,316,317,318,319,320,321,322,323,324,325'</t>
  </si>
  <si>
    <t>Refining Processes Handbook</t>
  </si>
  <si>
    <t>665.5/3</t>
  </si>
  <si>
    <t>TP690.P247 2003</t>
  </si>
  <si>
    <t>'77,77,70,1'</t>
  </si>
  <si>
    <t>'77,78,79,80,81'</t>
  </si>
  <si>
    <t>'1,16,17,18,19,20,21,22,23,24,25,26,27,28,29,30,31,32,34,35,36,37,38,39,40,41,42,43,45,47,48,49,50,51,52,53,54,55,56,57,58,60,77,78,79'</t>
  </si>
  <si>
    <t>Language and Identity Across Modes of Communication</t>
  </si>
  <si>
    <t>P93.55 -- .L36 2015eb</t>
  </si>
  <si>
    <t>'13,14,15,16,17'</t>
  </si>
  <si>
    <t>'231,232,233,234,235,236,237,238,239,240,241,242,243,244,245,246,247,248,249,250,251,252,253,254,255,256,257,258,259,260,261,262'</t>
  </si>
  <si>
    <t>'1,1,4,8,12,21,19,16,10,7,6'</t>
  </si>
  <si>
    <t>'1,16'</t>
  </si>
  <si>
    <t>'1,44,16'</t>
  </si>
  <si>
    <t>'77,78,79,80,81,82,83,84'</t>
  </si>
  <si>
    <t>'1,1,2,227,226,225,224,223,222,233,232,231,230,229,228'</t>
  </si>
  <si>
    <t>'223,223,224,225,222,233,226,222,222,222,222,222,230,231'</t>
  </si>
  <si>
    <t>'1,1,7,8,9,222,223'</t>
  </si>
  <si>
    <t>'223,223'</t>
  </si>
  <si>
    <t>Getting Started with Simulink</t>
  </si>
  <si>
    <t>QA76.9.C65 -- Z35 2013eb</t>
  </si>
  <si>
    <t>Mozilla/5.0 (Linux; Android 10; GM1910) AppleWebKit/537.36 (KHTML, like Gecko) Chrome/88.0.4324.141 Mobile Safari/537.36</t>
  </si>
  <si>
    <t>Gender, Emotion, and the Family</t>
  </si>
  <si>
    <t>RC455</t>
  </si>
  <si>
    <t>'21,22,23,24,25,26,27,28,29,30,31,32,33,34,35,36,37,107,108,109,110,111,112,113,114,115,116,117,118,119,120,121,122,123,124,125,126,127,128,129,130,133,132,131,188,189,190,191,192,193,194,195,197,198,199,200,201,202'</t>
  </si>
  <si>
    <t>Gender in Interaction : Perspectives on femininity and masculinity in ethnography and discourse</t>
  </si>
  <si>
    <t>HM1111 -- .G46 2001eb</t>
  </si>
  <si>
    <t>'161,163,164,165,165,165,166,167,168'</t>
  </si>
  <si>
    <t>The Impact of YouTube on U.S. Politics</t>
  </si>
  <si>
    <t>JA85.2.U6 -- .R535 2014eb</t>
  </si>
  <si>
    <t>Earthquakes : Models, Statistics, Testable Forecasts</t>
  </si>
  <si>
    <t>QE538.8.K32 2014eb</t>
  </si>
  <si>
    <t>'27,29,30,31,32,34,35,36,45,44,46'</t>
  </si>
  <si>
    <t>Mozilla/5.0 (Macintosh; Intel Mac OS X 10_14_6) AppleWebKit/537.36 (KHTML, like Gecko) Chrome/88.0.4324.96 Safari/537.36</t>
  </si>
  <si>
    <t>Kids on YouTube : Technical Identities and Digital Literacies</t>
  </si>
  <si>
    <t>004.67/8083</t>
  </si>
  <si>
    <t>HQ784.I58 -- .L364 2014eb</t>
  </si>
  <si>
    <t>'1,2,4,6,,6,1,2,3,4'</t>
  </si>
  <si>
    <t>'1,,1,83,84,85,86,87,88,89,90,91,92,93,94,95,96,97,98,99,100,102,104,105,106,107,108,109,110,111,125,126,127,128,129,130,131,132,133,134,135,136,137,138,139,140,141,142,147,147,147,148,150,151,153,154,156,158,305'</t>
  </si>
  <si>
    <t>'161,43,43,43'</t>
  </si>
  <si>
    <t>TA169.K378 2014eb</t>
  </si>
  <si>
    <t>Varieties of Skepticism : Essays after Kant, Wittgenstein, and Cavell</t>
  </si>
  <si>
    <t>BD201.V375 2014eb</t>
  </si>
  <si>
    <t>'23,,23,24,25,26,27'</t>
  </si>
  <si>
    <t>'7,8,9,10,11,12,13,14,15,16,17,18,19,20,21,22'</t>
  </si>
  <si>
    <t>'1,2,,,2,27,30'</t>
  </si>
  <si>
    <t>'1,2,3,4,5,6,7,8,27,28,29,30,31,32,33,34,35,36,37,38,39,40,41,42,43,44,45,46,47,48,49,50,51,52,53,54,55,56'</t>
  </si>
  <si>
    <t>Activity Learning : Discovering, Recognizing, and Predicting Human Behavior from Sensor Data</t>
  </si>
  <si>
    <t>LB1027.23 .C665 2015</t>
  </si>
  <si>
    <t>'61,63,64,65,66,68,69,72'</t>
  </si>
  <si>
    <t>'1,2,3,4,5,6,,7,8,9,10,,11,12,,21,22,23,24,,25,26,27,28,29,30,,31,32,33,34,35,36,37,38,39,40,41,42,43,44,45,46,47,48,49,50,51,52,53,54,55,56,57,58,59,60'</t>
  </si>
  <si>
    <t>'5,4,6,7,8,9,11,30,29,28,27,32,31,33'</t>
  </si>
  <si>
    <t>Earthquakes: Risk, Monitoring and Research : Risk, Monitoring and Research</t>
  </si>
  <si>
    <t>Science: Geology; Social Science; Science</t>
  </si>
  <si>
    <t>363.4/95</t>
  </si>
  <si>
    <t>QE539.2.S34E43 2009</t>
  </si>
  <si>
    <t>'1,,1,7,13,6,2,3,4,5,8,9,11'</t>
  </si>
  <si>
    <t>Routledge Handbook of Surveillance Studies</t>
  </si>
  <si>
    <t>JC596 -- .R68 2012eb</t>
  </si>
  <si>
    <t>'1,1,50'</t>
  </si>
  <si>
    <t>Maritime Private Security : Market Responses to Piracy, Terrorism and Waterborne Security Risks in the 21st Century</t>
  </si>
  <si>
    <t>Social Science; Military Science</t>
  </si>
  <si>
    <t>363.28/7</t>
  </si>
  <si>
    <t>VK203 -- .M35 2012eb</t>
  </si>
  <si>
    <t>'1,1,47,53,103,134,178,187,188,186'</t>
  </si>
  <si>
    <t>'174,175,176,177,178,179,180,181,182,183,184,185,186,187,188,189,190,191,192,193,194,195,196,197,198,199,200,201,46,47,48,49,50,51,52,53,54,55,56,57,58'</t>
  </si>
  <si>
    <t>Regulating US Private Security Contractors</t>
  </si>
  <si>
    <t>'1,1,176'</t>
  </si>
  <si>
    <t>Learning to Teach in the Secondary School : A Companion to School Experience</t>
  </si>
  <si>
    <t>LB1737.A3 -- .L437 2013eb</t>
  </si>
  <si>
    <t>'1,456,468,368,686,687,688,689,690,691,692,693,694,695,696,697,698,699,700,701,702,703,704,705,706,707'</t>
  </si>
  <si>
    <t>'1,2,1,6,7,222,223,224,233,234,227'</t>
  </si>
  <si>
    <t>'222,222,233,223,223'</t>
  </si>
  <si>
    <t>'1,2,4,5,3,,1'</t>
  </si>
  <si>
    <t>HBR's 10 Must Reads on Organizational Resilience (with bonus article "Organizational Grit" by Thomas H. Lee and Angela L. Duckworth)</t>
  </si>
  <si>
    <t>Harvard Business Review Press</t>
  </si>
  <si>
    <t>HD58.9$b.H378 2021</t>
  </si>
  <si>
    <t>'12,15,14,16,17,,17,18,19,16,1'</t>
  </si>
  <si>
    <t>Primative Mind and Modern Man</t>
  </si>
  <si>
    <t>GN451 -- .C64 2010eb</t>
  </si>
  <si>
    <t>'1,7,3,4,5,6,,6'</t>
  </si>
  <si>
    <t>'1,4,41,42,44,45,47,46,49,50,51,52,53,54,55,56,57'</t>
  </si>
  <si>
    <t>Mozilla/5.0 (Macintosh; Intel Mac OS X 10_15_7) AppleWebKit/537.36 (KHTML, like Gecko) Chrome/87.0.4280.141 Safari/537.36</t>
  </si>
  <si>
    <t>Discrete-Event Simulation and System Dynamics for Management Decision Making</t>
  </si>
  <si>
    <t>Mathematics; Engineering; Business/Management; Engineering: General</t>
  </si>
  <si>
    <t>T57.62.D495 2014eb</t>
  </si>
  <si>
    <t>'1,1,1,1,1,1,2,3,5,6,7,9,10,11,12,13,13'</t>
  </si>
  <si>
    <t>Mozilla/5.0 (Macintosh; Intel Mac OS X 10_15_4) AppleWebKit/605.1.15 (KHTML, like Gecko) Version/13.1.2 Safari/605.1.15</t>
  </si>
  <si>
    <t>Construction Management : New Directions</t>
  </si>
  <si>
    <t>Business/Management; Engineering; Engineering: Civil</t>
  </si>
  <si>
    <t>HD9715.A2.M354 2013</t>
  </si>
  <si>
    <t>'5,8,9,10,11'</t>
  </si>
  <si>
    <t>'1,5,6'</t>
  </si>
  <si>
    <t>'1,6,7,222,223,224,225,226,227,228,229,230,231,232,233,234,235,236,237'</t>
  </si>
  <si>
    <t>'1,3,4,5,6,7,9,11,13,14,15,17,18,19,20,21,23,24,25,26,27,28'</t>
  </si>
  <si>
    <t>Smart Cities : A Spatialised Intelligence</t>
  </si>
  <si>
    <t>HT166 -- .P536 2015eb</t>
  </si>
  <si>
    <t>'1,8,9,107,108,109'</t>
  </si>
  <si>
    <t>'62,63,60,,6,7,22,9,8,222,223,,223,224,222,221,216,20,21,17,1,3,2,6,7,242,243,244,4,5,204,205,217'</t>
  </si>
  <si>
    <t>Lithium Process Chemistry : Resources, Extraction, Batteries, and Recycling</t>
  </si>
  <si>
    <t>Engineering: Electrical; Science: Chemistry; Engineering; Science</t>
  </si>
  <si>
    <t>546/.381</t>
  </si>
  <si>
    <t>TK2945.L58</t>
  </si>
  <si>
    <t>'4,5,14,15,54,55,56,57,13'</t>
  </si>
  <si>
    <t>'14,15,16,17,18,19,20,21,22,23,24,25,26,27,28,29,30,31,32,33,34,35,36,37,38,39,40,41,42,43,44,45,46,47,48,49,50,51,52,53'</t>
  </si>
  <si>
    <t>Solid and Hazardous Waste Management : Science and Engineering</t>
  </si>
  <si>
    <t>TD897.R36 2017</t>
  </si>
  <si>
    <t>'1,1,4,3,2,6,7,8,45,44,46,47,48,49,50,52,53,55,,1,1,7,16,6'</t>
  </si>
  <si>
    <t>'1,173,174,175,177,176,1,173,174,175,176,,177,176'</t>
  </si>
  <si>
    <t>'173,173,,176'</t>
  </si>
  <si>
    <t>Mozilla/5.0 (Windows NT 6.1; Win64; x64) AppleWebKit/537.36 (KHTML, like Gecko) Chrome/88.0.4324.104 Safari/537.36</t>
  </si>
  <si>
    <t>'1,1,1,1,27,41,41,42'</t>
  </si>
  <si>
    <t>Principles of Chemical Engineering Practice</t>
  </si>
  <si>
    <t>TP155 -- .D425 2013eb</t>
  </si>
  <si>
    <t>'1,25,27,28,29,30,31,32,33,34,35,22,9,10,11,12,13,14,18,131,132,133,134,135,136,137'</t>
  </si>
  <si>
    <t>Mozilla/5.0 (Macintosh; Intel Mac OS X 10_15_7) AppleWebKit/537.36 (KHTML, like Gecko) Chrome/88.0.4324.96 Safari/537.36</t>
  </si>
  <si>
    <t>Introduction to Structural Dynamics and Aeroelasticity</t>
  </si>
  <si>
    <t>TL671.6 .H565 2011</t>
  </si>
  <si>
    <t>The Structure of Moral Revolutions : Studies of Changes in the Morality of Abortion, Death, and the Bioethics Revolution</t>
  </si>
  <si>
    <t>Philosophy; Science: Biology/Natural History; Science</t>
  </si>
  <si>
    <t>QH332 .B354 2019</t>
  </si>
  <si>
    <t>Mozilla/5.0 (Macintosh; Intel Mac OS X 10.13; rv:85.0) Gecko/20100101 Firefox/85.0</t>
  </si>
  <si>
    <t>'1,2,4,5,6,7,8,9,10,11,12'</t>
  </si>
  <si>
    <t>'1,2,3,4,296,295,297,298,300'</t>
  </si>
  <si>
    <t>Computational Fluid Dynamics : Principles and Applications</t>
  </si>
  <si>
    <t>Engineering; Engineering: Civil; Science: Physics; Science</t>
  </si>
  <si>
    <t>532/.05/0285</t>
  </si>
  <si>
    <t>TA357.5.D37 .B384 2015</t>
  </si>
  <si>
    <t>'1,1,14,17,17,16,18,19'</t>
  </si>
  <si>
    <t>'1,1,2,3,4,5,6,7,8,8,9,10,11,12,13,14,15'</t>
  </si>
  <si>
    <t>'6,205,206,207,208,,207'</t>
  </si>
  <si>
    <t>Heritage in the Home : Domestic Prehabitation and Inheritance</t>
  </si>
  <si>
    <t>GT285$b.L57 2020</t>
  </si>
  <si>
    <t>The Thermodynamics of Phase and Reaction Equilibria</t>
  </si>
  <si>
    <t>Science; Science: Physics; Science: Chemistry</t>
  </si>
  <si>
    <t>QC311 -- .T67 2013eb</t>
  </si>
  <si>
    <t>'1,1,4'</t>
  </si>
  <si>
    <t>Mozilla/5.0 (Windows NT 10.0; Win64; x64) AppleWebKit/537.36 (KHTML, like Gecko) Chrome/87.0.4280.88 Safari/537.36</t>
  </si>
  <si>
    <t>'51,52,53,54,55,56,57,58,59,60,61,62,63,64,65,66,67,68,69,70'</t>
  </si>
  <si>
    <t>'1,2,3,,4'</t>
  </si>
  <si>
    <t>Enhanced Oil Recovery</t>
  </si>
  <si>
    <t>TN871 .G744 2018</t>
  </si>
  <si>
    <t>'1,1,303,304,,303'</t>
  </si>
  <si>
    <t>'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t>
  </si>
  <si>
    <t>Audiobooks, Literature, and Sound Studies</t>
  </si>
  <si>
    <t>Social Science; Literature</t>
  </si>
  <si>
    <t>PN56.T37 -- A83 2011eb</t>
  </si>
  <si>
    <t>'17,18,19,38,39,39,40,5,6,8,17,18,11,122,19,38'</t>
  </si>
  <si>
    <t>'1,1,14,17,16,28,29,30'</t>
  </si>
  <si>
    <t>Mozilla/5.0 (Macintosh; Intel Mac OS X 10_14_5) AppleWebKit/537.36 (KHTML, like Gecko) Chrome/86.0.4240.198 Safari/537.36</t>
  </si>
  <si>
    <t>Women at Work : Trends 2016</t>
  </si>
  <si>
    <t>ILO</t>
  </si>
  <si>
    <t>HD6053.W664 2016eb</t>
  </si>
  <si>
    <t>'1,3,5,11,4,,1,1,1,20,17,14,2,3,4,5,6'</t>
  </si>
  <si>
    <t>'1,31,2,3,4,5,6,7,1'</t>
  </si>
  <si>
    <t>Acid Stimulation</t>
  </si>
  <si>
    <t>TN871.A253 2016</t>
  </si>
  <si>
    <t>'1,1,,4,6,7,8,9,10,11,12,14,15,,,,18,17,19,21,22,24,25,26,27,28,29,30,31,32,34,35,36,37,38,39,40,41,42,43,44,45,46,47,48,49,50,51,52,53,54,55,56,57,58,60,61,63,64,65,66,67,68,69,70,71,72,73,74,75,76,77,78,79,80,81,82,83,84,85,86,87,88,89,90,91,92,93,94,95,96,97,98,99,100,101,102,103,104,105,106,108,109,110,111,112,113,114,116,117'</t>
  </si>
  <si>
    <t>'6,120,121,122,123,124,125,126,127,128,129,130,131,132,133,134,135,136,137,138,139,140,141,142,143,144,145,146,147,148,149,150,151,152,153,154,155,156,157,158,159,160,161,,271,272,273,274,275,276,277,278,279,280,281,282,283,284,285,286,287,288,289,290,291,292,293,294,295,296,297,298,299,300,301,302,303,304,305,306,307,308,309,310,311,312,313,314,315,316,317,,196,197,198,199,200,201,202,203,204,205,206,207,208,209,210,211,212,213,214,215,216,217'</t>
  </si>
  <si>
    <t>'135,136,136,137,138,139,140,141,141,143,144,145,146,147,263,264,265,266,256'</t>
  </si>
  <si>
    <t>'263,264,264,264,264,265,265,265,265'</t>
  </si>
  <si>
    <t>Law: the Basics : The Basics</t>
  </si>
  <si>
    <t>KD661 -- .S585 2011eb</t>
  </si>
  <si>
    <t>Applied Photovoltaics</t>
  </si>
  <si>
    <t>TK1087 .A685 2012</t>
  </si>
  <si>
    <t>'18,19,20,21,22,23,24,25,26,27,28,29,30,31,32,33,34,35,36,37,38,39,40,41,42,43'</t>
  </si>
  <si>
    <t>Waves</t>
  </si>
  <si>
    <t>551.46/3</t>
  </si>
  <si>
    <t>TC172 -- .R35 2012eb</t>
  </si>
  <si>
    <t>'1,130,129,56,100,55,57,59,58,61,62'</t>
  </si>
  <si>
    <t>Coastal Engineering Practice 2011</t>
  </si>
  <si>
    <t>TC203.5.C63 2011</t>
  </si>
  <si>
    <t>Waves in Oceanic and Coastal Waters</t>
  </si>
  <si>
    <t>Mathematics; Science; Science: Geology</t>
  </si>
  <si>
    <t>QA927 .H66 2007</t>
  </si>
  <si>
    <t>'1,163,164,165,166,167,168,262,261,263,264,265,266,267,268,269,270,271,272,273,274,275,276,277,278,42,41,43'</t>
  </si>
  <si>
    <t>'1,2,3,4,5,6,7,8,9,10,11,12,13,14,15,16,18,21,20'</t>
  </si>
  <si>
    <t>Class and Religious Identity : The Rhenish Center Party in Wilhelmine, Germany</t>
  </si>
  <si>
    <t>Marquette University Press</t>
  </si>
  <si>
    <t>324.243/05</t>
  </si>
  <si>
    <t>JN3946.Z5 -- B74 2000eb</t>
  </si>
  <si>
    <t>'1,2,3,4,5,6,7,7,8,9,13,14,49,107,108,110'</t>
  </si>
  <si>
    <t>Response Surface Methodology : Process and Product Optimization Using Designed Experiments</t>
  </si>
  <si>
    <t>519.5/7</t>
  </si>
  <si>
    <t>QA279</t>
  </si>
  <si>
    <t>'7,8,9,10,11,12,13,14,,15,16,17,18,,15,16,17,18,,19,20,21,22,23,24,25,26,27,28,29,30,,31,32,33,34,35,36,37,38,39,40,41,42,43,44,45,46,47,48,49,50,51,52,53,54,55,56,57,58,59,60,61,62,63,64,65,66,67,68,69,70,71,72,73,74,75,76,77,78,79,80,81,82,83,84,85,86,87,88,89,90,91,92,93,94,95,96,97,98'</t>
  </si>
  <si>
    <t>'31,32,33,34,35,36,37,38,39,40,41,42,43,44,45,46,47,48,49,50'</t>
  </si>
  <si>
    <t>'1,2,,3,4,5,6,,7,8,9,10,11,12,13,14'</t>
  </si>
  <si>
    <t>'19,20,21,22,23,24,25,26,27,28,29,30'</t>
  </si>
  <si>
    <t>'365,366,367,368,369,370,371,372,373,374,375,376,377,378,379,380,381,382,383,384,385,386,387,388,389,390,391,392,393,394,395,396,,365,366,367,368,369,370,371,372,373,374,375,376,377,378,379,380,381,382,383,384,385,386,387,388,389,390,391,392,393,394,395,396,,397,398,399,400,401,402,403,404,405,406,407,408,409,410,411,412,413,414,415,416,,,449,450,451,452,453,454,455,456,457,458,459,460,461,462,463,464,465,466,467,468,469,470,471,472,473,474,,449,450,451,452,453,454,455,456,457,458,459,460,461,462,463,464,465,466,467,468,469,470,471,472,473,474'</t>
  </si>
  <si>
    <t>Class, Nation and Identity : The Anthropology of Political Movements</t>
  </si>
  <si>
    <t>320.54/094</t>
  </si>
  <si>
    <t>JC311 -- .P683 2003eb</t>
  </si>
  <si>
    <t>'1,3,4,5,6,6,1'</t>
  </si>
  <si>
    <t>'1,2,2,8,7,9,10,13,14'</t>
  </si>
  <si>
    <t>'1,2,3,4,5,6,7,8,9,24,27,26,28,29,29'</t>
  </si>
  <si>
    <t>Remote Sensing : Models and Methods for Image Processing</t>
  </si>
  <si>
    <t>Engineering: Electrical; Engineering; Engineering: Civil</t>
  </si>
  <si>
    <t>TA1632.S3 2007</t>
  </si>
  <si>
    <t>'1,44,43,45,46,47,50,50,51,52,53,54,55,56,57,58,59,60,61,62,63,64,65,66,67,68,69,70,71,72,73,74,75,76,77,78,79,80,81,82,83,84,85,99,,1'</t>
  </si>
  <si>
    <t>'45,46,47,48,49,50,51,52,53,54,55'</t>
  </si>
  <si>
    <t>Learning with Kernels : Support Vector Machines, Regularization, Optimization, and Beyond</t>
  </si>
  <si>
    <t>Q325.5.S32 2002</t>
  </si>
  <si>
    <t>'1,2,4,6,8,9,10'</t>
  </si>
  <si>
    <t>Optimization for Machine Learning</t>
  </si>
  <si>
    <t>Q325.5 -- .O65 2012eb</t>
  </si>
  <si>
    <t>'1,2,3,4,5,70,71,16,15,17,18,19,20,21,22,23'</t>
  </si>
  <si>
    <t>'1,274,275,276,278,279,280,281,282,283,284,285,286'</t>
  </si>
  <si>
    <t>'1,249,274,275,276,277,278,279,280,281,282,283,284,285'</t>
  </si>
  <si>
    <t>Conversation and Gender</t>
  </si>
  <si>
    <t>P120.S48 C66 2011</t>
  </si>
  <si>
    <t>'1,4,3,5,6,7,8,9'</t>
  </si>
  <si>
    <t>'1,2,11,16'</t>
  </si>
  <si>
    <t>'1,,1,10,11,9,8,7,6,4,5,3,2,12,13,14,15,23,24,25,26,27,28,29,30,31,32,33'</t>
  </si>
  <si>
    <t>Power Quality : Problems and Mitigation Techniques</t>
  </si>
  <si>
    <t>TK1010 -- .S56 2015eb</t>
  </si>
  <si>
    <t>'1,4,5,6,7,8,9,12,13,14,13,16,17,19,20,22,23,27,28,29,30,31,32,37,38,40,48,257,259,258,256,255,254,253,252,251,250,249,248,247,260,261,262,263,264,265,266,268,269,270,271,272,273,275,276,277,279,280,281,282,283,259,260,264,268,272,274,276,277,278,280,281,282,285,286,287,289,290,291,292,293,294,295,301,304,305,307,308,17,15,1,2,3,4,5,6,7,8,9,10,11,,2,4,1,598,597,595,594,590,516,470,469,487,485,350,348,346,318,317,314,313,312,311,309,306,304,298,296,295,293,290,282,277,275,274,261,259,247,245,248,249,250,251,253,254,255,256,257,262,263,265,266,268,264,260,258,252,269,270,271,272,273,278,279,280,285'</t>
  </si>
  <si>
    <t>Mozilla/5.0 (Macintosh; Intel Mac OS X 10.15; rv:84.0) Gecko/20100101 Firefox/84.0</t>
  </si>
  <si>
    <t>Climate Change and Land Policies</t>
  </si>
  <si>
    <t>Lincoln Institute of Land Policy</t>
  </si>
  <si>
    <t>Business/Management; Environmental Studies; Economics</t>
  </si>
  <si>
    <t>333.73/13</t>
  </si>
  <si>
    <t>HD1391 -- .C64 2011eb</t>
  </si>
  <si>
    <t>'1,2,22,23,24'</t>
  </si>
  <si>
    <t>Land Policies and Their Outcomes</t>
  </si>
  <si>
    <t>Economics; Environmental Studies; Business/Management</t>
  </si>
  <si>
    <t>HD1391 -- .L37 2007eb</t>
  </si>
  <si>
    <t>'1,2,4,5,6,7,8,9,10,12,38,63,64,65,66'</t>
  </si>
  <si>
    <t>Sustainable Development : Capabilities, Needs, and Well-Being</t>
  </si>
  <si>
    <t>HC79.E5 S86476 2012</t>
  </si>
  <si>
    <t>'1,2,3,4,5,6,8,9,11,12,13,15,16,17,18,19,21,22,23,24,25'</t>
  </si>
  <si>
    <t>Well Testing</t>
  </si>
  <si>
    <t>TN871.L373 1982</t>
  </si>
  <si>
    <t>'1,2,3,4,,10,11,12,13,14,15,16,17,18,19,20,21,22,23,24,25,26,27,28,,5,6,,7,8,,9,,29,30,31,32,33,34,35,36,37,38,39,40,41,42,43,44,45,46,47,48,49,50,51,52,53,54,55,56,57'</t>
  </si>
  <si>
    <t>Power Electronics for Renewable Energy Systems, Transportation and Industrial Applications</t>
  </si>
  <si>
    <t>TK7881.15 -- .P6725 2014eb</t>
  </si>
  <si>
    <t>'1288,1289,1289,1289,1289,1289,1289,1290,1291,1292,1293,1294,1295,1297,1298,1299,1300,1301,1302,1304,1306,1307,1309,1310,1311,1312,1313,1314,1315,1316,1317,1318,1319,1320,1321,1322,1323,1324,1325,1327,1329,1331,1333,1334,1336,1335,1337,1338,1339,1340,1341,1343,1344,1347,1349,1351,1352,1352,1353,1354,1355,1358,1359,1360,1361,1362,1363,1364,1365,1366,1367,1368,1370,1371,1373,1374,1375,1377,1378,1379,1380,1381,1382,1383,1368,1368'</t>
  </si>
  <si>
    <t>'1340,1341,1342,1343,1344,1345,1346,1347,1348,1349,1350,1351,1352,1353,1354,1355,1356'</t>
  </si>
  <si>
    <t>Conflict and Cooperation in the Indo-Pacific : New Geopolitical Realities</t>
  </si>
  <si>
    <t>DS341$b.C664 2020</t>
  </si>
  <si>
    <t>'1,3,2,5,6,7,8,10,11,13,14,17,19,20,21'</t>
  </si>
  <si>
    <t>Mozilla/5.0 (Macintosh; Intel Mac OS X 11_0_1) AppleWebKit/537.36 (KHTML, like Gecko) Chrome/88.0.4324.96 Safari/537.36</t>
  </si>
  <si>
    <t>CultureShock! Venezuela</t>
  </si>
  <si>
    <t>Marshall Cavendish International (Asia) Pte, Limited</t>
  </si>
  <si>
    <t>F2310 -- .B34 2008eb</t>
  </si>
  <si>
    <t>'1,1,1,101,100,112,111,111,89,184'</t>
  </si>
  <si>
    <t>Debating Civil-Military Relations in Latin America</t>
  </si>
  <si>
    <t>Sussex Academic Press</t>
  </si>
  <si>
    <t>322/.5098</t>
  </si>
  <si>
    <t>JL956.C58 -- D44 2014eb</t>
  </si>
  <si>
    <t>'1,1,1,6,5,7,148,147,163,165,164,172,171,173,174,184,185'</t>
  </si>
  <si>
    <t>'170,171,172,173,174,175,176,177,178,179,180,181,182,183,184,185,186,187,188,189,190,191,192,193,194,195'</t>
  </si>
  <si>
    <t>Crafting Civilian Control of the Military in Venezuela : A Comparative Perspective</t>
  </si>
  <si>
    <t>322/.5/098709045</t>
  </si>
  <si>
    <t>F2325 -- .T75 2005eb</t>
  </si>
  <si>
    <t>'1,1,2,3,5,6,7,8,9,10,11,12,12,16,17,18'</t>
  </si>
  <si>
    <t>Latin America in Focus : Venezuela</t>
  </si>
  <si>
    <t>F2308.N49 2010</t>
  </si>
  <si>
    <t>'426,460,426,460,427,461,461,96,95,361,156,155,223,,223'</t>
  </si>
  <si>
    <t>'86,87,88,89,90,91,92,93,94,95,96,97,98,99,100,101,102,103,104,105,106,107,108,109,110,111,112,113,114,115,116,117,118,119,120,121,122,123,124,125,126,127,128,129,130,131,132,133'</t>
  </si>
  <si>
    <t>'1,1,2,3,4,5,6,9,103,102'</t>
  </si>
  <si>
    <t>'1,216,217'</t>
  </si>
  <si>
    <t>Afghanistan : A Cultural and Political History</t>
  </si>
  <si>
    <t>DS357.5.B37 2010</t>
  </si>
  <si>
    <t>'12,13,14,10,9,7,5'</t>
  </si>
  <si>
    <t>Hazardous Waste : Classifications and Treatment Technologies</t>
  </si>
  <si>
    <t>628.4/2</t>
  </si>
  <si>
    <t>TD1050.C65 -- H39 2008eb</t>
  </si>
  <si>
    <t>'1,2,3,7,7'</t>
  </si>
  <si>
    <t>Mozilla/5.0 (Macintosh; Intel Mac OS X 11_1_0) AppleWebKit/537.36 (KHTML, like Gecko) Chrome/87.0.4280.141 Safari/537.36</t>
  </si>
  <si>
    <t>Introduction to Continuum Mechanics</t>
  </si>
  <si>
    <t>Mathematics; Science; Science: Physics</t>
  </si>
  <si>
    <t>QA808.2.L3 2010</t>
  </si>
  <si>
    <t>'18,19,20,21,22,23,24,25,26,27,28,29,30,31,32,33,34,35,36,37,38,39,40,41,42,43,44,45,46,47,48,49,50,51,52,53,54,55,56,57,58,59,60,61,62,63,64,65,66,67,68,69,70,71,72,73,74,75,76,77,78,79,80,81,82,83,,16,17,,4'</t>
  </si>
  <si>
    <t>Mozilla/5.0 (Windows NT 10.0; Win64; x64) AppleWebKit/537.36 (KHTML, like Gecko) Chrome/88.0.4324.96 Safari/537.36 Edg/88.0.705.50</t>
  </si>
  <si>
    <t>Process Identification and PID Control</t>
  </si>
  <si>
    <t>Engineering; Engineering: General; Business/Management</t>
  </si>
  <si>
    <t>TS156.8 -- .P7585 2009eb</t>
  </si>
  <si>
    <t>'1,,1,23'</t>
  </si>
  <si>
    <t>'1,186,216'</t>
  </si>
  <si>
    <t>Mozilla/5.0 (Windows NT 6.1; Win64; x64) AppleWebKit/537.36 (KHTML, like Gecko) Chrome/87.0.4280.88 Safari/537.36</t>
  </si>
  <si>
    <t>'1,3,4,5,6,7,8,11,36,38,40,42,43,44,45'</t>
  </si>
  <si>
    <t>Mozilla/5.0 (Macintosh; Intel Mac OS X 10_14_5) AppleWebKit/605.1.15 (KHTML, like Gecko) Version/12.1.1 Safari/605.1.15</t>
  </si>
  <si>
    <t>'1,216,216'</t>
  </si>
  <si>
    <t>'1,186,187,191,192,194,195,196,197,198,199,200,201,202,203,204,205,206,207,208,209,210,211,213,214,215,216,216,215,214,213,216,216,215,216,217,216,217,218,219,214,213,211,210,209,208,206,205,204,202,186,187,188,189,190,191,192,193,194,195,196,197,197,198,199,200,201,202,204,205,206,207,208,210,211,212,213,214,215,216'</t>
  </si>
  <si>
    <t>'1,3,4,5,6,8,9'</t>
  </si>
  <si>
    <t>Challenge of Urban Government : Policies and Practices</t>
  </si>
  <si>
    <t>JS78 -- .C48 2001eb</t>
  </si>
  <si>
    <t>'1,2,3,4,5,6,7,8,9,10,11,12,13,14,15,15,15,16,17,18,19,20,21,22,23,24,25,26,27,28,29,30,91,92,93,94,96'</t>
  </si>
  <si>
    <t>Urban Policy Reconsidered : Dialogues on the Problems and Prospects of American Cities</t>
  </si>
  <si>
    <t>307.76/0973</t>
  </si>
  <si>
    <t>HT123 -- .E83 2003eb</t>
  </si>
  <si>
    <t>'1,2,3,4,5,6,7,8,9,10,11,12,13,13,2,3,4,14,15,17,18,16,9,8,7,6,33,34'</t>
  </si>
  <si>
    <t>'1,3,4,5,6,7,9,44,43,43,44'</t>
  </si>
  <si>
    <t>'40,41,42,43,44,45,46,47,48,49,50,51,52,53,54,55,56,57,58,59,60,61,62,63,64,65,66,67,68,69,70,71,72,73,74,75,76,77,78,79,80,81,82,83,84,85,86,87'</t>
  </si>
  <si>
    <t>Biochar from Biomass and Waste : Fundamentals and Applications</t>
  </si>
  <si>
    <t>TP339 .B56 2019</t>
  </si>
  <si>
    <t>'402,403,404,405,406,407,408,409,410,411,412,413,414,416,417,418,419,420,421'</t>
  </si>
  <si>
    <t>'434,434,,468,469,470,471,472,473,474,475,476,477,478,479,480,481,482,483,485,486,488,489,487,490,491,492,494,523,532,541,357,350,453,452,457'</t>
  </si>
  <si>
    <t>'485,,,468,469,470,471,472,473,474,475,476,477,478,479,480,481,482,483,484,485,486,487,488,489'</t>
  </si>
  <si>
    <t>Mozilla/5.0 (iPhone; CPU iPhone OS 14_2 like Mac OS X) AppleWebKit/605.1.15 (KHTML, like Gecko) Version/14.0.1 Mobile/15E148 Safari/604.1</t>
  </si>
  <si>
    <t>'1,2,4,6,8,486'</t>
  </si>
  <si>
    <t>Traffic Engineering Handbook</t>
  </si>
  <si>
    <t>HE333 -- .I578 2016eb</t>
  </si>
  <si>
    <t>'1,3,521,522,523,524'</t>
  </si>
  <si>
    <t>Safety and Health for Engineers</t>
  </si>
  <si>
    <t>620.8/6</t>
  </si>
  <si>
    <t>T55 -- .B738 2016eb</t>
  </si>
  <si>
    <t>'1,2,3,72,71,73,74,75,76,77,78,79,80,81,82,83,84,85,86'</t>
  </si>
  <si>
    <t>'72,73,74,75,76,77,78,79,80,81,82,83,84,85,86,87,88,89,90,91,92,93,94'</t>
  </si>
  <si>
    <t>River Dynamics : Geomorphology to Support Management</t>
  </si>
  <si>
    <t>GB1203.2$b.R463 2020</t>
  </si>
  <si>
    <t>'1,281,281,264,209'</t>
  </si>
  <si>
    <t>'281,282,283,284,285,286,287,288,289,290,291,292,293,294,295,296,297,298,299,300,301,302,303,304,305,209,210,211,212,213,214,215,216,217,218,219,220,221,222,223,224,225,226,227,228,229,230,231,232,233,234,235,236,237,238,239,240,241,242,243,244,245'</t>
  </si>
  <si>
    <t>Soil Erosion and Sediment Redistribution in River Catchments : Measurement, Modelling and Management</t>
  </si>
  <si>
    <t>Agriculture; Science: Geology; Science</t>
  </si>
  <si>
    <t>551.3/02</t>
  </si>
  <si>
    <t>S623 -- .S5747 2006eb</t>
  </si>
  <si>
    <t>Rivers in the Landscape : Science and Management</t>
  </si>
  <si>
    <t>551.48/3</t>
  </si>
  <si>
    <t>GB1201.7 -- .W65 2014eb</t>
  </si>
  <si>
    <t>'1,1,97'</t>
  </si>
  <si>
    <t>'97,98,99,100,101,102,103,104,105,106,107,108,109,110,111,112,113,114,115,116,117,118,119,120,121,122,123,124,125,126,127,128,129,130,131,132,133,134,135,136,137,138'</t>
  </si>
  <si>
    <t>River Morphology</t>
  </si>
  <si>
    <t>GB568.71.G374 2006</t>
  </si>
  <si>
    <t>'1,57,252'</t>
  </si>
  <si>
    <t>'57,58,59,60,61,62,63,64,65,66,67,68,69,70,71,72,73,74,75,76,77,78,79,80,81,82,83,84,85,86,87,88,89,90,91,92,93,252,253,254,255,256,257,258,259,260,261,262,263,264,265,266,267,268,269,270,271,272,273,274,275,276,277,278'</t>
  </si>
  <si>
    <t>River Science : Research and Management for the 21st Century</t>
  </si>
  <si>
    <t>Science: Biology/Natural History; Science: Geology; Science</t>
  </si>
  <si>
    <t>GB1203.2 -- .R584 2016eb</t>
  </si>
  <si>
    <t>'1,164,165'</t>
  </si>
  <si>
    <t>Gravel Bed Rivers : Processes, Tools, Environments</t>
  </si>
  <si>
    <t>Engineering: Civil; Science: Geology; Science; Engineering</t>
  </si>
  <si>
    <t>551.48/3;551.483</t>
  </si>
  <si>
    <t>TC175 -- .G765 2012eb</t>
  </si>
  <si>
    <t>'1,419,437,442'</t>
  </si>
  <si>
    <t>'419,420,421,422,423,424,425,426,427,428,429,430,431,432,433,434,435,436,437,438,439,440,441,442,443,444,445,446,447,448,449,450'</t>
  </si>
  <si>
    <t>Earth Materials : Components of a Diverse Planet</t>
  </si>
  <si>
    <t>QE26.3 .P475 2019</t>
  </si>
  <si>
    <t>'1,356,256,257,258,259,260'</t>
  </si>
  <si>
    <t>Coherent Flow Structures at Earth's Surface</t>
  </si>
  <si>
    <t>Science: Geology; Engineering: Civil; Engineering; Science</t>
  </si>
  <si>
    <t>TA357.5.T87 -- C64 2013eb</t>
  </si>
  <si>
    <t>'1,85,86,83'</t>
  </si>
  <si>
    <t>Desert Sorrows : Poems by Tayseer Al-Sboul</t>
  </si>
  <si>
    <t>892.7/16</t>
  </si>
  <si>
    <t>PJ7862</t>
  </si>
  <si>
    <t>'106'</t>
  </si>
  <si>
    <t>Phase Behavior of Petroleum Reservoir Fluids</t>
  </si>
  <si>
    <t>Science; Science: Geology; Engineering: Mining; Engineering</t>
  </si>
  <si>
    <t>TN871 -- .P434 2015eb</t>
  </si>
  <si>
    <t>Material and Mind</t>
  </si>
  <si>
    <t>745.401/9</t>
  </si>
  <si>
    <t>NK1520 .B373 2019</t>
  </si>
  <si>
    <t>Mozilla/5.0 (Windows NT 10.0; Win64; x64; rv:84.0) Gecko/20100101 Firefox/84.0</t>
  </si>
  <si>
    <t>Points of Departure : Rethinking Student Source Use and Writing Studies Research Methods</t>
  </si>
  <si>
    <t>Utah State University Press</t>
  </si>
  <si>
    <t>808/.0420711</t>
  </si>
  <si>
    <t>PE1404</t>
  </si>
  <si>
    <t>How Artifacts Afford : The Power and Politics of Everyday Things</t>
  </si>
  <si>
    <t>658.5/752</t>
  </si>
  <si>
    <t>TS171.4$b.D385 2020</t>
  </si>
  <si>
    <t>A Critique of Anti-racism in Rhetoric and Composition : The Semblance of Empowerment</t>
  </si>
  <si>
    <t>HT1521$b.S658 2020</t>
  </si>
  <si>
    <t>Toward a Composition Made Whole</t>
  </si>
  <si>
    <t>University of Pittsburgh Press</t>
  </si>
  <si>
    <t>'1,1,3,4,5,6,7,34,35,36,38,39,40,41,42,43,44,45'</t>
  </si>
  <si>
    <t>'45,46,47,48,49,50,51,34,35,36,37,38,39,40,41,42,43,44,45,46,47,48,49,50,51,52,53,54,55,56,57,58,59'</t>
  </si>
  <si>
    <t>'106,106,107,108,109,110,111,113,115,116'</t>
  </si>
  <si>
    <t>'1,58,59'</t>
  </si>
  <si>
    <t>Handbook of Luminscence Dating</t>
  </si>
  <si>
    <t>QC476.5 .H363 2019</t>
  </si>
  <si>
    <t>'1,235,236,234'</t>
  </si>
  <si>
    <t>'1,55,57,58,59,60,61,74,75,76'</t>
  </si>
  <si>
    <t>'74,75,76,77,78,79,80,81,82,83,84,85,86'</t>
  </si>
  <si>
    <t>Floodplain Management : A New Approach for a New Era</t>
  </si>
  <si>
    <t>627/.4</t>
  </si>
  <si>
    <t>TC423</t>
  </si>
  <si>
    <t>'1,52,53'</t>
  </si>
  <si>
    <t>'106,107,108,109,110,111,112,113,114,115'</t>
  </si>
  <si>
    <t>Islam: The Way of Revival : The Way of Revival</t>
  </si>
  <si>
    <t>BP161.3 .I78 2015</t>
  </si>
  <si>
    <t>'1,2,5,6,7'</t>
  </si>
  <si>
    <t>Beginning Programming with Python for Dummies</t>
  </si>
  <si>
    <t>QA76.73.P98 -- .M845 2014eb</t>
  </si>
  <si>
    <t>Deep Learning for Dummies</t>
  </si>
  <si>
    <t>Q325.5 .M845 2019</t>
  </si>
  <si>
    <t>'1,1,2,3,8,7,9,10,119'</t>
  </si>
  <si>
    <t>Python All-In-One for Dummies</t>
  </si>
  <si>
    <t>QA76.73.P98 .S568 2019</t>
  </si>
  <si>
    <t>'1,1,2,3,4,5,6,7,183,182,184,185,186,46,45,43,42,41,40,39,38,37,36'</t>
  </si>
  <si>
    <t>'1,1,1,1,2,4,4,17,18,19,20,21,22,23,24,25,26,27,28,29,30,31,32,33,34,35,36,37,38,39,40,41,42,43,44,45,46,47,48,49,50,51,52,53,54,55,57,62,63,64,65,66,67,68,69,70,71,72,73,74,75,76,77,78,79,80,81,82,83,84,85,86,87,88,89,90,91,92,93,94,95,96,97,98,99,100,101,102,103,104,105,106,107,108,109,110,111,112,113,114,115,118,121,122,123,124,125,126,127,128,129,130,131,132,133,134,135,136,137,138,139,140,141,142,143,144,145,146,147,148,149,150,151,152,153,154,155,156,157,158,159,160,161,162,163,164,165,166,167,168,169,170,171,172,173,174,175,176,177,178,179,180,181,182,183,184'</t>
  </si>
  <si>
    <t>Analytical Mechanics of Space Systems</t>
  </si>
  <si>
    <t>Science; Science: Astronomy</t>
  </si>
  <si>
    <t>QB350.5 -- .S33 2009eb</t>
  </si>
  <si>
    <t>'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t>
  </si>
  <si>
    <t>'1,1,1,3'</t>
  </si>
  <si>
    <t>'1,3,8,7,9,10,11,12,13,14,15,16,17'</t>
  </si>
  <si>
    <t>'331,332,333,334,335,336,337,338,339,340,341,342,343,344,345,346,347,348,349,350,351,352,353,354,355,356,357,358,359,360,361,362,363,364,365,366,367,368,369,370,,264,265,266,267,268,269,270,271,272,273,274,275,276,277,278,279,280,,246,247,248,249,250,251,252,253,254,255,256,257,258,259,260,261,262,263,,146,147,148,149,150,151,152,153,154,155,156,157,158,159,160,161,162,163,164,165,166,167,168,169,170,171,172,173,174,175,,84,85,86,87,88,89,90,91,92,93,94,95,96,97,98,99,100,101,102,103,104,105,106,107,108'</t>
  </si>
  <si>
    <t>'1,1,2,3,23,24,27,30,31,55,57,60,61,62,63,64,65,66,68,69,70,72,71,73,74,75,76,77,78,80,81,34,35,36,37,38,39,40,41,42,43,44,5,6,33,45,46,47,48,49,50,51,52,53,54,58'</t>
  </si>
  <si>
    <t>'1,1,125,126,127,128,129,258,259,260,260,19,20,21'</t>
  </si>
  <si>
    <t>Tuning and Control Loop Performance, 4e</t>
  </si>
  <si>
    <t>TS156.8 -- .M357 2015</t>
  </si>
  <si>
    <t>'1,2,3,39,41,42,43,44,45'</t>
  </si>
  <si>
    <t>'44'</t>
  </si>
  <si>
    <t>'1,1,5'</t>
  </si>
  <si>
    <t>The Physician</t>
  </si>
  <si>
    <t>Barcelona Digital Editions</t>
  </si>
  <si>
    <t>813/.54</t>
  </si>
  <si>
    <t>Mozilla/5.0 (Linux; Android 10; SAMSUNG SM-A217F) AppleWebKit/537.36 (KHTML, like Gecko) SamsungBrowser/11.0 Chrome/75.0.3770.143 Mobile Safari/537.36</t>
  </si>
  <si>
    <t>'1,3,4,15,16,17,18,19,20,21'</t>
  </si>
  <si>
    <t>'1,2,3,5,6,7,10,12,13,14,16,17,18,21,26,36,37,38,39,40,41'</t>
  </si>
  <si>
    <t>Handbook Of Pi And Pid Controller Tuning Rules (2nd Edition)</t>
  </si>
  <si>
    <t>TJ223.P55O38 2006</t>
  </si>
  <si>
    <t>'1,2,3,6,7,8,5,10,13,16,18,19,20,21,23,24,25,26,27,22,20,19,23,173,174,451,8,9,11,10,14,16,21,22,24'</t>
  </si>
  <si>
    <t>The Handbook of Lithium-Ion Battery Pack Design : Chemistry, Components, Types and Terminology</t>
  </si>
  <si>
    <t>'1,1,3,6,12,15'</t>
  </si>
  <si>
    <t>Mozilla/5.0 (Windows NT 10.0; Win64; x64) AppleWebKit/537.36 (KHTML, like Gecko) Chrome/87.0.4280.141 Safari/537.36 Edg/87.0.664.75</t>
  </si>
  <si>
    <t>'274,276,277,279,301,302,303,275,280,281,282,283,284,285,286,287,288,289,290,291,292,293,294,295,296,297,298,299,300'</t>
  </si>
  <si>
    <t>'1,249,274,,274,275,276,277,278,279,280,281,282,283,284,285,286,288,289,290,291,292,293,294,295,296'</t>
  </si>
  <si>
    <t>'1,249,274,275'</t>
  </si>
  <si>
    <t>'1,108,109,105,110,111,10,11,12,13,14,15,16,17,18,19,21'</t>
  </si>
  <si>
    <t>Composites And Metamaterials</t>
  </si>
  <si>
    <t>TA418.9.C6$b.L354 2020</t>
  </si>
  <si>
    <t>'1,274,279,283,285,284,287,288,290,291,292'</t>
  </si>
  <si>
    <t>'1,13,22,14,15,16,17,55,56,55,78,55,44,56,57,58'</t>
  </si>
  <si>
    <t>'1,274,276,275,277,278,280,281,282,283,284,285,286,287,288'</t>
  </si>
  <si>
    <t>Acoustics and Noise Control</t>
  </si>
  <si>
    <t>NA2800 .S49 2013</t>
  </si>
  <si>
    <t>Mozilla/5.0 (Windows NT 10.0; WOW64) AppleWebKit/537.36 (KHTML, like Gecko) Chrome/87.0.4280.141 Safari/537.36</t>
  </si>
  <si>
    <t>ASIC Design and Synthesis : RTL Design Using Verilog</t>
  </si>
  <si>
    <t>Lattice Boltzmann Method And Its Application In Engineering</t>
  </si>
  <si>
    <t>Engineering: General; Science; Engineering; Science: Physics</t>
  </si>
  <si>
    <t>QC176.8.L3 -- G86 2013eb</t>
  </si>
  <si>
    <t>'16,17,18,19,20,21,22,23,24,25,26,27,28,29,30,31,32,33,34,35,36,37,38,39,40,41,42,43,44,45,46,47,48,49,,50,51,52,53,54,55,56,57,58,59,60,61,62,63,64,65,66,67,68,69,70,71,72,73,74,75'</t>
  </si>
  <si>
    <t>'1,37,36,38,39,41,42,43,44,45,46,47,48,86,85,84,87,88,90,167,274,,1,1,24,380,263,264,265,266,267,268,269,270,271,272,273,274,,,274,275,276,277,278,279,280,281,282,283,284,285'</t>
  </si>
  <si>
    <t>Conductive Atomic Force Microscopy : Applications in Nanomaterials</t>
  </si>
  <si>
    <t>Science; Engineering; Science: Biology/Natural History; Engineering: General</t>
  </si>
  <si>
    <t>QH212.A78.C663 2017</t>
  </si>
  <si>
    <t>Mozilla/5.0 (X11; Linux x86_64; rv:10.0) Gecko/20150101 Firefox/47.0 (Chrome)</t>
  </si>
  <si>
    <t>Fundamentals of Enhanced Oil and Gas Recovery from Conventional and Unconventional Reservoirs</t>
  </si>
  <si>
    <t>TN871 .B343 2018</t>
  </si>
  <si>
    <t>'4,,14,15,16,17,18,19,20,21,22,23,24,25,26,27,28,29,30,31,32,33,34,35,36,37,38,39,40,41,42,43,44,45,46,47,48,49,50,51,52,53,,114,115,116,117,118,119,120,121,122,123,124,125,126,127,128,129,130,131,132,133,134,135,136,137,138,139,140,141,142,143,144,145,146,147,148,149,150,151'</t>
  </si>
  <si>
    <t>Atomic Force Microscopy : Understanding Basic Modes and Advanced Applications</t>
  </si>
  <si>
    <t>Engineering; Science: Biology/Natural History; Engineering: General; Science</t>
  </si>
  <si>
    <t>QH212.A78 -- H38 2012eb</t>
  </si>
  <si>
    <t>Mozilla/5.0 (Windows NT 6.3; Win64; x64) AppleWebKit/537.36 (KHTML, like Gecko) Chrome/87.0.4280.141 Safari/537.36</t>
  </si>
  <si>
    <t>'1,2,3,4,5,6,7,8,9,10,11,12,57,58,59,75,76,77,78,79,80,81,82,84,86'</t>
  </si>
  <si>
    <t>'50,,,,1,91,145,195,235,298,331,40'</t>
  </si>
  <si>
    <t>'50,51,52,53,54,55,56,57,58,59,60,61,62,63,64,65,66,67,68,69,70,71,72,73,74,75,76,77,78,79,,50,51,52,53,54,55,56,57,58,59,60,61,62,63,64,65,66,67,68,69,70,71,72,73,74,75,76,77,78,79,,80,81,82,83,84,85,86,87,88,89,90,91,92,93,94,95,96,97,,98,99,100,101,102,103,104,105,106,107,108,109,110,111,112,113,114,115,116,117,118,119,120,121,122,123,124,125,126,127,128,129,130,131,132,133,134,135,136'</t>
  </si>
  <si>
    <t>'1,1,23,26,25,27,28,29,30,31,32,33,34,35,36,37,38,39,40,41,42,43,44,45,46,47,48,49,50,51'</t>
  </si>
  <si>
    <t>Read Japanese Kanji Today : The Easy Way to Learn the 400 Basic Kanji [JLPT Levels N5 + N4 and AP Japanese Language &amp; Culture Exam]</t>
  </si>
  <si>
    <t>Tuttle Publishing</t>
  </si>
  <si>
    <t>PL528 .W357 2017</t>
  </si>
  <si>
    <t>Essential Japanese Kanji Volume 2 : (JLPT Level N4) Learn the Essential Kanji Characters Needed for Everyday Interactions in Japan</t>
  </si>
  <si>
    <t>PL528 .U558 2016</t>
  </si>
  <si>
    <t>'133'</t>
  </si>
  <si>
    <t>Learning Japanese Kanji Practice Book Volume 1 : The Quick and Easy Way to Learn the Basic Japanese Kanji [Downloadable Material Included]</t>
  </si>
  <si>
    <t>495.6;495.6/11</t>
  </si>
  <si>
    <t>PL679</t>
  </si>
  <si>
    <t>Learning Japanese Kanji Practice Book Volume 2 : (JLPT Level N4 &amp; AP Exam) The Quick and Easy Way to Learn the Basic Japanese Kanji [Downloadable Material Included]</t>
  </si>
  <si>
    <t>PL528 .S286 2017</t>
  </si>
  <si>
    <t>Japanese Kanji Power : (JLPT Levels N5 &amp; N4) A Workbook for Mastering Japanese Characters</t>
  </si>
  <si>
    <t>495.6/82421</t>
  </si>
  <si>
    <t>PL528 -- .M555 2010eb</t>
  </si>
  <si>
    <t>'35,,35'</t>
  </si>
  <si>
    <t>Kanji Handbook : (JLPT All Levels) This Japanese Character Dictionary and Kanji Textbook Uses an Innovative and Effective System</t>
  </si>
  <si>
    <t>PL677.6 -- .D38 2006eb</t>
  </si>
  <si>
    <t>'12,,12,,12'</t>
  </si>
  <si>
    <t>'1,2,3,4,5,,6,7,8,,9,,10,11,12,13,14,15,16,17'</t>
  </si>
  <si>
    <t>Fundamentals of General Linear Acoustics</t>
  </si>
  <si>
    <t>Science: Physics; Engineering; Engineering: General; Science</t>
  </si>
  <si>
    <t>QC243 -- .J33 2013eb</t>
  </si>
  <si>
    <t>'67,70,68,71,,67,68,,93'</t>
  </si>
  <si>
    <t>'21,22,23,24,25,26,27,28,,19,20,,29,30,31,32,33,34,35,36,37,38,39,40,41,42,,43,44,45,46,47,48,49,50,51,52,53,54,55,56,57,58,,59,60,61,62,63,64,65,66,,73,74,75,76,77,78'</t>
  </si>
  <si>
    <t>Polymer Viscoelasticity: Basics, Molecular Theories And Experiments : Basics, Molecular Theories, and Experiments</t>
  </si>
  <si>
    <t>Science; Engineering: General; Science: Chemistry; Engineering</t>
  </si>
  <si>
    <t>QD281.P6L56 2003</t>
  </si>
  <si>
    <t>'6,11,1,4,5,7,8,9,10,14,17,29,29,20,31,32,34,33,35,36,37,38,39,62,63,64,66,67,68,69,70,72,73,74,75,77,78,104,106,107'</t>
  </si>
  <si>
    <t>Fractional Calculus And Waves In Linear Viscoelasticity: An Introduction To Mathematical Models</t>
  </si>
  <si>
    <t>QA314.M35 2010</t>
  </si>
  <si>
    <t>'14,15,16,17'</t>
  </si>
  <si>
    <t>Sustainable Energy, Second Edition : Choosing among Options</t>
  </si>
  <si>
    <t>Engineering: Mechanical; Economics; Environmental Studies; Engineering</t>
  </si>
  <si>
    <t>TJ808 -- .S85 2012eb</t>
  </si>
  <si>
    <t>'1,32,33,34'</t>
  </si>
  <si>
    <t>Medical Terminology: an Illustrated Guide : An Illustrated Guide</t>
  </si>
  <si>
    <t>Jones &amp; Bartlett Learning, LLC</t>
  </si>
  <si>
    <t>'1,1,2,167,24,26,25,23,22,21,27,28,29,30,31,32,33,34'</t>
  </si>
  <si>
    <t>'59,60,61,62,63,64,65,66,67,68,69,70,71,72,73,74,75,76,77,78,79,80,81,82,83,,109,110,111,112,113,114,115,116,117,118,119,120,121,122,123,124,125,126,127,128,129,130,131,132,133,134,135,136,137,138,139,140,141,142,143,144,145,,442,443,,13,14,15,16,17,18,19,20,21,22,23,24,25,26'</t>
  </si>
  <si>
    <t>'19,20,21,22,23,24,25,26,27,28,29,30,,1,2,3,4,5,,6,7,8,,9,,10,11,12,13,14,15,16,17,,19,20,21,22,23,24,25,26,27,28,29,30,,31,32,33,34,35,36,37,38,39,40,41,42,43,44,,45,46,47,48,49,50,51,52,53,54,55,56,57,58,59,60,61,62,63,64,65,66,,67,68,69,70,71,72,73,74,75,76,77,78,79,80,81,82,83,84,85,86,87,88,89,90,,91,92,93,94,95,96,97,98,99,100,101,102,,330'</t>
  </si>
  <si>
    <t>Mozilla/5.0 (Windows NT 6.1; WOW64) AppleWebKit/537.36 (KHTML, like Gecko) Chrome/87.0.4280.141 Safari/537.36</t>
  </si>
  <si>
    <t>'1,26,24,23,25,27,28,29,30,31,32,33,34,35,36,37,38,39,40,41,42,43,44,45,46,47,48,49,50,51,52,55,54,53,56,57,58,59,60,61,64,63,65,66,67,68,69,70,71,72,73,74,75,76,77,78,79,80,81,82,83,84,85,86,87,88,89,90,91,92,93,94,95,96,97,98,99,100,101,102,104,105,253,254,255,256,257,258,259,260,261,262,263,264,265'</t>
  </si>
  <si>
    <t>'253,110,,110'</t>
  </si>
  <si>
    <t>'110,111,112,113,114,115,116,117,118,119,120,121,122,123,124,125,126,127,128,129,130,131,132,133,134,135,136,137,138,139,140,141,,216,217,218,219,220,221,222,223,224,225,226,227,228,229,230,231,232,233,234,235,236,237,,238,239,240,241,242,243,244,245,246,247,248,249,250,251,252,253,254,255,256,257,,198,199,200,201,202,203,204,205,206,207,208,209,210,211,212,213,214,215'</t>
  </si>
  <si>
    <t>'110,111,238,258,257,256,255,253,254'</t>
  </si>
  <si>
    <t>'142,143,144,145,146,147,148,149,150,151,152,153,154,155,156,157,158,159,160,161,162,163,164,165,166,167,168,169,170,171,172,173,174,175,176,177,178,179,180,181,182,183,184,185,186,187,188,189,190,191,192,193,194,195,196,197'</t>
  </si>
  <si>
    <t>QA911.B638 2005</t>
  </si>
  <si>
    <t>Computational Fluid Dynamics - Proceedings Of The Fourth Unam Supercomputing Conference</t>
  </si>
  <si>
    <t>QA911.U39 2000</t>
  </si>
  <si>
    <t>Introduction to Computational Fluid Dynamics : Development, Application and Analysis</t>
  </si>
  <si>
    <t>TJ254.5.S537 2017</t>
  </si>
  <si>
    <t>'1,83,84,85,86'</t>
  </si>
  <si>
    <t>Computational Fluid Dynamics</t>
  </si>
  <si>
    <t>QA911 -- .C622 2012eb</t>
  </si>
  <si>
    <t>Computational Fluid Dynamics : A Practical Approach</t>
  </si>
  <si>
    <t>TA357 -- .T8 2013eb</t>
  </si>
  <si>
    <t>'110,,110,110,110,110,110,112,113,114,115,116,118,119,120,121,122,123,124,125,126,127,128,129,130,131,132,133,134,135,136,138,139,140,141,142,143,144,145,146,147,148,150,151,153,154,155,156,157,158,160,161,162,163,165,166,167,168,169,170,171,172,173,175,176,177,179,180,181,182,183,184,185,187,188,190,191,189,178,164,198,199,200,201,202,203,204,205,206,207,208,210,211,212,215,216,217,219,220,221,222,223,224,225'</t>
  </si>
  <si>
    <t>'1,2,3,4,5,6,7,,1,2,3,4,5,6,7,,1,2,3,4,5,6,7,,8,,6,7,8,9,10,11,12,13,14,15,,16,17,18,19,20,21,22,23,,24,25,26,27,28,29,30,31,32,33,34,35,36,37,38,39,40,41,42,43,44,45,46,47,48,49,50,51,,52,53,54,55,56,57,58,59,60,61,62,63,64,65,66,67,68,69,70,71,72,73,,74,75,76,77,78,79,80,81,82,83,84,85,86,87,88,89,90,91,92,93,94,95,96,97,98,99,100,101,102,103,104,105,106,107,108,109'</t>
  </si>
  <si>
    <t>Mozilla/5.0 (Macintosh; Intel Mac OS X 10_15_7) AppleWebKit/537.36 (KHTML, like Gecko) Chrome/87.0.4280.88 Safari/537.36</t>
  </si>
  <si>
    <t>'1,1,1,90,91,92,115,116,117,124,125,126,127,128'</t>
  </si>
  <si>
    <t>Computational Mechanics Research Trends</t>
  </si>
  <si>
    <t>621.01/51</t>
  </si>
  <si>
    <t>TA404.8 -- .C67 2010eb</t>
  </si>
  <si>
    <t>'1,1,549,550,550,545,551,552'</t>
  </si>
  <si>
    <t>Computational Fluid Dynamics and Heat Transfer : Emerging Topics</t>
  </si>
  <si>
    <t>WIT Press</t>
  </si>
  <si>
    <t>QA911 -- .C66 2011eb</t>
  </si>
  <si>
    <t>'1,1,187,195,204,205,206,228'</t>
  </si>
  <si>
    <t>'1,82'</t>
  </si>
  <si>
    <t>'82,83,84,85,86,87,88,89,90,91,92,93,94,95,96,97,98,99,100,101,102,103,104,105,106,107,108,109,110,111'</t>
  </si>
  <si>
    <t>'1,3,6,17,18,18,19,20,21'</t>
  </si>
  <si>
    <t>'1,17,18,19'</t>
  </si>
  <si>
    <t>'17,18,19,20,21,22,23,24'</t>
  </si>
  <si>
    <t>The Dictionary of Physical Geography</t>
  </si>
  <si>
    <t>910/.02/03</t>
  </si>
  <si>
    <t>GB10 -- .D53 2016eb</t>
  </si>
  <si>
    <t>Sedimentary Crisis at the Global Scale 1 : Large Rivers, from Abundance to Scarcity</t>
  </si>
  <si>
    <t>GB1399.6 .B738 2019</t>
  </si>
  <si>
    <t>Sediment Management at the River Basin Scale</t>
  </si>
  <si>
    <t>Engineering; Economics; Engineering: Environmental; Environmental Studies</t>
  </si>
  <si>
    <t>TD195.D72S87eb vol.</t>
  </si>
  <si>
    <t>'1,16,17,18,19,20,21'</t>
  </si>
  <si>
    <t>Material Fluxes on the Surface of the Earth</t>
  </si>
  <si>
    <t>QE571 -- .M37 1994eb</t>
  </si>
  <si>
    <t>'1,15,21,22'</t>
  </si>
  <si>
    <t>'1,19,20,55,56'</t>
  </si>
  <si>
    <t>Geomorphological Fieldwork</t>
  </si>
  <si>
    <t>GB400.5 -- .G466 2014eb</t>
  </si>
  <si>
    <t>'1,218'</t>
  </si>
  <si>
    <t>Applied Stratigraphy</t>
  </si>
  <si>
    <t>'1,2,3,6,7'</t>
  </si>
  <si>
    <t>'1,264,265,266,267,3385'</t>
  </si>
  <si>
    <t>'3385,3386,3387,3388,3389,3390,3391,3392,3393,3394,3395,3396,3397,3398,3399,3400'</t>
  </si>
  <si>
    <t>Tools in Fluvial Geomorphology</t>
  </si>
  <si>
    <t>551.3/5</t>
  </si>
  <si>
    <t>GB562 -- .T66 2016eb</t>
  </si>
  <si>
    <t>Seismic Stratigraphy and Depositional Facies Models</t>
  </si>
  <si>
    <t>Science: Geology; Engineering: Mining; Engineering; Science</t>
  </si>
  <si>
    <t>TN269.84.V44 2013eb</t>
  </si>
  <si>
    <t>'1,216,218,219,220'</t>
  </si>
  <si>
    <t>Sediments, Diagenesis, and Sedimentary Rocks : Treatise on Geochemistry, Second Edition, Volume 7</t>
  </si>
  <si>
    <t>QE471.S43 2005</t>
  </si>
  <si>
    <t>Sediment Provenance : Influences on Compositional Change from Source to Sink</t>
  </si>
  <si>
    <t>QE75.S435 2017</t>
  </si>
  <si>
    <t>'1,35'</t>
  </si>
  <si>
    <t>'35,36,37,38,39,40,41,42,43,44,45,46,47,48,49,50,51,52,53,54,55,56,57,58'</t>
  </si>
  <si>
    <t>'1,57,58,,1,57'</t>
  </si>
  <si>
    <t>'57,58,59,60,61,62,63,64,65,66,67,68,69,70,71,72,73,74,75,76,77,78,79,80,81,82,83,84,85,86,87,88,89,90,91,92,93,57,58,59,60,61,62,63,64,65,66,67,68,69,70,71,72,73,74,75,76,77,78,79,80,81,82,83,84,85,86,87,88,89,90,91,92,93'</t>
  </si>
  <si>
    <t>'1,109,,1,109,110'</t>
  </si>
  <si>
    <t>'1,46,47,23,12'</t>
  </si>
  <si>
    <t>Fluvial-Tidal Sedimentology</t>
  </si>
  <si>
    <t>GB1399.6</t>
  </si>
  <si>
    <t>'1,30,31,,1,32,33,34,35,36'</t>
  </si>
  <si>
    <t>'100,101,102,103,104,105,106,107,108,109,110,111,112,113,114,115,116,117,118,119,120,121,122,123,124,125,126,127,128,129,130,131,132,133,134,135,136,137,138,139,140,,192,193,194,195,196,197,,198,199,,,33,34,35'</t>
  </si>
  <si>
    <t>'185,215,252,285,286,287,288,289,290,291,292,293,294,295,296,297,1'</t>
  </si>
  <si>
    <t>'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t>
  </si>
  <si>
    <t>'1,,,,,,,,1,185,186'</t>
  </si>
  <si>
    <t>'1,,6,7,,,90,91,92,93,94,95,96,97,98,99,100,101,102,103,104,105,106,107,108,109,110,111,112,113,114,115,116,117,118,119,120,,121,122,123,124,125,126,127,128,129,130,131,132,133,134,135,136,137,138,139,140,141,142,143,144,145,146,147,148,149,150,151,,152,153,154,155,156,157,158,159,160,161,162,163,164,165,166,167,168,169,170,171,172,173,174,175,176,177,178,179,180,181,182,183,184,,383,384,385'</t>
  </si>
  <si>
    <t>'255,,255,257,280,298,299'</t>
  </si>
  <si>
    <t>'257,258,259,260,261,262,263,264,265,266,267,268,269,270,271,272,273,274,275,276,277,278,279,280,281,282,283,284,285,286,287,288,289,290,291,292,293,294,295,296,297'</t>
  </si>
  <si>
    <t>'268,269,270,271,272,273,274,275,276,277,278,279,280,281,282,283,284,285,286,287,288,289'</t>
  </si>
  <si>
    <t>'255'</t>
  </si>
  <si>
    <t>'201,202,203,204,205,206,207,208,209,210,211,212,213,214,215,216,217,218,219,220,221,222,223,224,225,226,227,228,229,230,231,232,233,234,235,236,237,238,239,240,241,242,243,244,245,246,247,248,249,250,251,252,253,254'</t>
  </si>
  <si>
    <t>'1,1,1,1,2,1,1,2,3,4,5,6,6,7,8,9,10,11,12,13,14,15,16,17,18,19,21,22,20,23,,25,26,28,29,30,31,32,33,34,35,36,38,39,40,42,43,44,45,46,47,48,49,50,51,52,53,54,55,57,59,60,61,63,64,65,66,67,68,69,70,71,73,72,78,79,81,82,83,84,85,86,89,90,92,93,94,95,1,2,4,5,3'</t>
  </si>
  <si>
    <t>'21,22,23,24,25,26,27,28,29,30,31,32,33,34,35,36,37,38,39,40,41,42,43,44,45,46,47,48,49,50,51,52,53,54,55,56,57,58,59,60,61,62,63,64,65,66,68,69,70,71,72,19,20,7,8,9,10,6'</t>
  </si>
  <si>
    <t>'236,237,238,239,240,241,242,243,244,245,246,247,248,249,250,251,252,253,254,255,256,257,258,259,260,261,262,263,,632,633,634,635,636,637,638,639,640,641,642,643,644,645,646,647,648,649,650,651,,3848,3849,3850,3851,3852,3853,3854,3855,3856,3857,3858,3859,3860,3861,3862,3863,3864,3865,3866,3867,3868,3869,3870,3871,,3677,3678,3679,3680,3681,3682,3683,3684,3685,3686,3687,3688,3689,3690,3691,3692,3693,3694,3695,3696,3697,3698,3699,3700,3701,3702,3703,3704,3705,3706,3707,3708,3709,3710,,3320,3321,3322,3323,3324,3325,3326,3327,3328,3329,3330,3331,3332,3333,3334,3335,3336,3337,3338,3339,3340,,3367,3368,3369,3370,3371,3372,3373,3374,3375,3376,3377,3378,3379,3380,3381,3382,3383,3384,,3422,3423,3424,3425,3426,3427,3428,3429,3430,3431,3432,3433,3434,,3435,3436,3437,3438,3439,3440,3441,3442,3443,3444,3445,3446,3447,3448,3449,3450,3451,3452,3453,3454,3455,3456,3457,3458,3459,3460,,3461,3462,3463,3464,3465,3466,3467,3468,3469,3470,3471,3472,3473,3474,3475,3476,3477,3478,3479,3480,3481,3482,3483,3484,3485,3486,,3461,3462,3463,3464,3465,3466,3467,3468,3469,3470,3471,3472,3473,3474,3475,3476,3477,3478,3479,3480,3481,3482,3483,3484,3485,3486,,3487,3488,3489,3490,3491,3492,3493,3494,3495,3496,3497,3498,3499,3500,,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3628,3629,3630,3631,3632,3633,3634,3635,3636,3637,3638,3639,3640,3641,3642,3643,,3943,3944,3945,3946,3947,3948,3949,3950,3951,3952,3953,3954,3955,3956,3957,3958,3959,3960,3961,3962,3963,3964,3965,3966,3967,3968,3969,3970,3971,3972,3973,3974,3975,3976'</t>
  </si>
  <si>
    <t>'1,1,2,3,4,7,8,9,10'</t>
  </si>
  <si>
    <t>'1,1,2,1,3,4,5,6,7,8,9,10,11,12,13,14,15,16,17,19,20,21,22,23,24,25,26,27,28,29,31,32,33,37,38,39,40,41,59,36,45,60,57,48,47,49,74,72,67,69,68,70,101,102,103,96,92,91,90'</t>
  </si>
  <si>
    <t>'1,20,21,22,23,24,16,17,18,19,20,21,22,23,24,25,26,27,28,29,30,31,32,33,34,35,36,37,38,39,40,41,42,43,44,45,46,47,48,49,50,51,52,53,54,55,56,57,58,59,60,61,62,63,64,65,66,67,68,69,70,71,72,73,74,75,76,77,78,79,80,81,82,83,84,85,86,87,88,89'</t>
  </si>
  <si>
    <t>'1,,1,1,1,226,227,228,229,230,231,233,232,234,235,236,237,238,240,241,242,243,244,245,246,247,248,249,250,251,252,253,254,116,173,172,194,193,196,197,198,199,200,202,203,204,205,206,207,208,209,210,211,212,213,214,215,216,217'</t>
  </si>
  <si>
    <t>Romeo and Juliet</t>
  </si>
  <si>
    <t>Fine Arts; Literature</t>
  </si>
  <si>
    <t>741.5/973</t>
  </si>
  <si>
    <t>PR2831.A2 .S535 2014</t>
  </si>
  <si>
    <t>'1,2,3,5,7,10,,10,11'</t>
  </si>
  <si>
    <t>'1,205,206,207,208,391,392,393,394,395,396,397,398'</t>
  </si>
  <si>
    <t>'1,2,14,13,12,15,16,18,17,22,37,36,33'</t>
  </si>
  <si>
    <t>GRE The Official Guide to the Revised General Test, Second Edition</t>
  </si>
  <si>
    <t>McGraw-Hill Publishing</t>
  </si>
  <si>
    <t>LB2367.4.G737 2012</t>
  </si>
  <si>
    <t>'686,687,705,706,707,708,709,710,711,712'</t>
  </si>
  <si>
    <t>Couple Dynamics : Psychoanalytic Perspectives in Work with the Individual, the Couple, and the Group</t>
  </si>
  <si>
    <t>BF76.5 -- .C687 2016eb</t>
  </si>
  <si>
    <t>'1,3,4,5,52,53,54,55'</t>
  </si>
  <si>
    <t>'55,56,57,58,59,60,61,62,63,64,65,,1,,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10,11,12,13,14,15,16,17,18,19,20,21,22,23,24,25,26,27,28,29,30,,217,218,219,220,221,222,223,224,225,226,227,228,229,230,231,232,233,234,235,236,237,238,239,240,241,242,243,244,245,246,247,248,249,250,251,252,253,254,255,256,257,258,259,260,261,262,263,264,265,266,267,268,269,270,271,272,273,274,275,276,277,278,279,280,281,282,283,284,285,286,287,288,289,290,291,292,293,294,295,296,297,298,299,300,301,302,303,304,305,306,307,308'</t>
  </si>
  <si>
    <t>Biochar : A Guide to Analytical Methods</t>
  </si>
  <si>
    <t>Engineering: Chemical; Agriculture; Engineering</t>
  </si>
  <si>
    <t>TP331.B563 2017</t>
  </si>
  <si>
    <t>'1,3,4,6,8,9'</t>
  </si>
  <si>
    <t>Calculus 2</t>
  </si>
  <si>
    <t>QA303 .C353 2016</t>
  </si>
  <si>
    <t>The How and Why of One Variable Calculus</t>
  </si>
  <si>
    <t>QA303.2 -- .S36 2015eb</t>
  </si>
  <si>
    <t>'1,12,23,46,58,34,11,5,3,9,10,16,8,7,2'</t>
  </si>
  <si>
    <t>We Know How This Ends : Living while Dying</t>
  </si>
  <si>
    <t>362.1968390092;B</t>
  </si>
  <si>
    <t>RC406.A24 -- K73 2015eb</t>
  </si>
  <si>
    <t>'1,36,55,54,52,33,32,30,27,26,25,24,23,22,21'</t>
  </si>
  <si>
    <t>'1,12'</t>
  </si>
  <si>
    <t>'1,2,5,38,39,40,41,42,43,44'</t>
  </si>
  <si>
    <t>Attending Others : A Doctor’s Education in Bodies and Words</t>
  </si>
  <si>
    <t>Wipf &amp; Stock Publishers</t>
  </si>
  <si>
    <t>R154.V65.V653 2016</t>
  </si>
  <si>
    <t>'1,,,,1,32,33'</t>
  </si>
  <si>
    <t>The Cinematic Mode of Production : Attention Economy and the Society of the Spectacle</t>
  </si>
  <si>
    <t>Dartmouth College Press</t>
  </si>
  <si>
    <t>PN1995</t>
  </si>
  <si>
    <t>'1,1,2,18,17,19,20,21,22,23,24,25,300'</t>
  </si>
  <si>
    <t>'1,,,1,32,33,34,35,45,46'</t>
  </si>
  <si>
    <t>RNA Interference</t>
  </si>
  <si>
    <t>'1,76,77,78,79,80,82,69,68,67'</t>
  </si>
  <si>
    <t>'76,77,78,79,80,81,82,83,84,85,86,87,88,89,90,91,92,93,94,95,96,97,98,99,100'</t>
  </si>
  <si>
    <t>'29,25,,19,21,1'</t>
  </si>
  <si>
    <t>Mozilla/5.0 (iPhone; CPU iPhone OS 14_1 like Mac OS X) AppleWebKit/605.1.15 (KHTML, like Gecko) Version/14.0 Mobile/15E148 Safari/604.1</t>
  </si>
  <si>
    <t>'1,2,3,1,2,3,4,5,6,7,8,9,10,11,12,1,2,3,5,4,6,,3'</t>
  </si>
  <si>
    <t>'1,3,5,6,7,9,10,11,12,13,8,19,23,26,,26'</t>
  </si>
  <si>
    <t>'1,264,3299,3273,3274,3271'</t>
  </si>
  <si>
    <t>'264,265,266,267,268,269,270,271,272,273,274,275,276,277,278,279,280,281,282,283,284,285,286,287,3271,3272'</t>
  </si>
  <si>
    <t>Mozilla/5.0 (Macintosh; Intel Mac OS X 11_1_0) AppleWebKit/537.36 (KHTML, like Gecko) Chrome/87.0.4280.88 Safari/537.36</t>
  </si>
  <si>
    <t>Linking Climate Change to Land Surface Change</t>
  </si>
  <si>
    <t>'1,6,7'</t>
  </si>
  <si>
    <t>'1,17,18,19,20,21,22'</t>
  </si>
  <si>
    <t>'1,26,27,29,30,28,25'</t>
  </si>
  <si>
    <t>'26,27,28,29,30,31,32,33,34,35,36,37,38,39,40,41,42,43,44,45,46,47,48,49,50,51,52,53,54,55,56,57,58,59,60,61,62,63,64,65,66,67,68,69'</t>
  </si>
  <si>
    <t>'1,206,232,280'</t>
  </si>
  <si>
    <t>'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t>
  </si>
  <si>
    <t>Reservoir Formation Damage : Fundamentals, Modeling, Assessment, and Mitigation</t>
  </si>
  <si>
    <t>TN870.57 .C583 2016</t>
  </si>
  <si>
    <t>'1,1,2,3,4,5,6,7,8,18,17,16,15,14,13,264,,,,80,81,82,83,84'</t>
  </si>
  <si>
    <t>'32,33,34,35,36,37,,38,39,40,41,42,43,44,45,46,47,48,49,50,51,52,53,54,55,56,57,58,59,60,61,62,63,64,65,66,67,68,69,70,71,72,73,74,75,76,77,78,79'</t>
  </si>
  <si>
    <t>Power System Analysis : Short-Circuit Load Flow and Harmonics, Second Edition</t>
  </si>
  <si>
    <t>621.31/01/51</t>
  </si>
  <si>
    <t>TK1005 -- .D37 2012eb</t>
  </si>
  <si>
    <t>'26,28'</t>
  </si>
  <si>
    <t>Artificial Intelligence and Problem Solving</t>
  </si>
  <si>
    <t>Q335 .A785 2017</t>
  </si>
  <si>
    <t>'1,2,3,4,5,6,7,101,102,104,105,106,107,111,114,115,118,119,120,121,123,124,125,126,127'</t>
  </si>
  <si>
    <t>'1,1,227,228,226,224,223,225,229,214,213,212,211,210,206,230,232,,1,1,310,227,228,230,231,232,233,234,235,237,239,240,241,242,243,244,245,246,248,252,253,454,455,511,512,515,513,514,514,201,301,202,223'</t>
  </si>
  <si>
    <t>'1,13,31,32,33,34,36,35,280,281,282,75,123,177'</t>
  </si>
  <si>
    <t>'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t>
  </si>
  <si>
    <t>'1,2,12,13,14,16,17,18,30,32'</t>
  </si>
  <si>
    <t>Principles of Corrosion Engineering and Corrosion Control</t>
  </si>
  <si>
    <t>TA462.A39 2006</t>
  </si>
  <si>
    <t>'1,4,5,7,9,11,13,144,133,131,126,128,125,124,123,122,121,120,119,118,117,127,129,130,132,134,135,136,137,664,665,667,668,670,672,673,662,661,663,74,75,77'</t>
  </si>
  <si>
    <t>'1,28,27,35,18,29'</t>
  </si>
  <si>
    <t>'1,186,187,188,189,190,191,192,193,194,195,199,200,201,202,310,311,312,313,314,315,316,1'</t>
  </si>
  <si>
    <t>Metal Foams: a Design Guide</t>
  </si>
  <si>
    <t>Engineering: Civil; Engineering; Engineering: Manufacturing</t>
  </si>
  <si>
    <t>TA418.9.F6 -- M48 2000eb</t>
  </si>
  <si>
    <t>'55,56,57,58,59,60,61,62,63,64'</t>
  </si>
  <si>
    <t>'1,1,,1,32,31,33,60,57,60'</t>
  </si>
  <si>
    <t>'1,,,1,32,31,33,34,35,36,37'</t>
  </si>
  <si>
    <t>'1,,274,,,275,274,275,276,278,279,280,281,282,283,284,285,286,287,288,289,290,291,292,293,294,295,296,297,298,299,300,301,302,303,304,305,306,307,309,310,311,312,313,314,315,316,318,319,320,321,947,948,949,950,951,952,953,954,955,956,957'</t>
  </si>
  <si>
    <t>'1,6,7,8,274,274,275,,1,274,275,,274'</t>
  </si>
  <si>
    <t>Wireless Positioning Technologies and Applications</t>
  </si>
  <si>
    <t>TK5103.2 -- .B458 2008eb</t>
  </si>
  <si>
    <t>Cloud Computing : An Introduction</t>
  </si>
  <si>
    <t>QA76.585.C467 2018</t>
  </si>
  <si>
    <t>'1,1,11,12,12,12'</t>
  </si>
  <si>
    <t>Mozilla/5.0 (Macintosh; Intel Mac OS X 10_15_6) AppleWebKit/537.36 (KHTML, like Gecko) Chrome/87.0.4280.88 Safari/537.36</t>
  </si>
  <si>
    <t>'1,,,1,32,33,34,35,36,37,38,39,40,41,42,60,59,61,58,57,56,55,,1,31,32,33,34,34,34,25,45,44,46'</t>
  </si>
  <si>
    <t>'1,1,3,4,5,6,7,8,10,11,12,13,14,15,16,17,18,19,20,21,21,22,23,24,25,26,27,28,29,30,31,33,32,34,35,36,37,38,39,40,41,42,43,44,45,46,47'</t>
  </si>
  <si>
    <t>Philosophy after Deleuze</t>
  </si>
  <si>
    <t>B2430.D454</t>
  </si>
  <si>
    <t>'1,1,2,3,3,2,3,4,5,6,8,9,9,8,10,11,12,13,14,15,16,17,18,30,29,31,32,33,34,35,36,37,28,38,52,39,40,41,42,43,44,45,46,47,48,49,50,51'</t>
  </si>
  <si>
    <t>Biomolecular Action of Ionizing Radiation</t>
  </si>
  <si>
    <t>QP82.2.I53 B56 2015</t>
  </si>
  <si>
    <t>'1,2,3,6,5,4,7,8,9'</t>
  </si>
  <si>
    <t>Mozilla/5.0 (Windows NT 10.0; Win64; x64) AppleWebKit/537.36 (KHTML, like Gecko) Chrome/87.0.4280.88 Safari/537.36 Edg/87.0.664.66</t>
  </si>
  <si>
    <t>The Essential Physics of Medical Imaging</t>
  </si>
  <si>
    <t>RC78.7.D53 -- E87 2011eb</t>
  </si>
  <si>
    <t>Basic Clinical Radiobiology</t>
  </si>
  <si>
    <t>RM847.B36 2014</t>
  </si>
  <si>
    <t>Measurement and Detection of Radiation</t>
  </si>
  <si>
    <t>539.7/7</t>
  </si>
  <si>
    <t>QC795.42 .T78 2015</t>
  </si>
  <si>
    <t>'1,336,335,338,339,340,341,342,343,344,345,346,347,348,349,350,351,352,353,354,355,356,357,358,359,360,361,362,363,364,365,367,368,369,370,371,372,373,374,375,376,376,12,11'</t>
  </si>
  <si>
    <t>'1,336,335,337,338,339,340,341,342,343'</t>
  </si>
  <si>
    <t>Mozilla/5.0 (Macintosh; Intel Mac OS X 10.14; rv:84.0) Gecko/20100101 Firefox/84.0</t>
  </si>
  <si>
    <t>Radio Propagation Measurement and Channel Modelling</t>
  </si>
  <si>
    <t>TK6553.S214 2013</t>
  </si>
  <si>
    <t>'1,2,2,1,1,2,25,26,27,28,29,30,31,59,58,60,61,62,63,64,65,66,67,68,69,70,71,72,73,74,75,81,82,82,83,84,85,86,87,88,89,90,91,92,93,94,95,96,97,98,109,110,111,112,113,114,115,116,117,118,119,120,121,122,123,124'</t>
  </si>
  <si>
    <t>Antenna Theory : Analysis and Design</t>
  </si>
  <si>
    <t>621.382/4</t>
  </si>
  <si>
    <t>TK7871.6</t>
  </si>
  <si>
    <t>'661,662,663,664,665,666'</t>
  </si>
  <si>
    <t>'1,4,31,32,33,,1,,1,31,32,33,34,35,36,37,38,39,40,41,42,43,44,45,46,47,48,49,50,51,52,53,54,55,56,57,58,59,60,61,62,63,63,64,65,66,67,68,69,70,71,72,73,74,75,76,77,78,79,80,81,82,83,84,85,86,87,88,89,90,91,92,93,94,95,96,97,98,98,99,100,101,102,103,104,105,106,107,108,109,110,111,112,113,114,115,116,116,116,58,116,116,117,118,119,120,121,122,123,175,174,176,177,178,179,179,,11,32,31,33'</t>
  </si>
  <si>
    <t>'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t>
  </si>
  <si>
    <t>'1,1,2,,1,1,,1,1,2,3,4,5,6,7,8,9,10,11,12,13,14,15,16,17,18,19,20,21,21,11,22,22,22,23,24,25,26,28,26,27,29,30,31,32,33,28,32,33,34,34,33,35,34,35'</t>
  </si>
  <si>
    <t>Nonequilibrium Thermodynamics : Transport and Rate Processes in Physical, Chemical and Biological Systems</t>
  </si>
  <si>
    <t>QC318.I7$b.D465 2019</t>
  </si>
  <si>
    <t>High-Pressure Fluid Phase Equilibria : Phenomenology and Computation</t>
  </si>
  <si>
    <t>Science: Physics; Science: Chemistry; Science</t>
  </si>
  <si>
    <t>QD381.9.S65</t>
  </si>
  <si>
    <t>Phase Equilibria, Phase Diagrams and Phase Transformations : Their Thermodynamic Basis</t>
  </si>
  <si>
    <t>QD503 -- .H554 2008eb</t>
  </si>
  <si>
    <t>Thermodynamics of Phase Equilibria in Food Engineering</t>
  </si>
  <si>
    <t>TP370 .T447 2019</t>
  </si>
  <si>
    <t>Chemical Thermodynamics for Industry</t>
  </si>
  <si>
    <t>Chemical Thermodynamics: Advanced Applications : Advanced Applications</t>
  </si>
  <si>
    <t>QD504.O76 2000</t>
  </si>
  <si>
    <t>Equations of State for Fluids and Fluid Mixtures</t>
  </si>
  <si>
    <t>530.4/24</t>
  </si>
  <si>
    <t>QC145.2 -- .E68 2000eb</t>
  </si>
  <si>
    <t>'22,23,24,25,,26,27,28,29,30,31,32,33,34,35,36,37,38,39,40,41,42,43,44,45,46,47,48,49,50,51,52,53,54,55,,56,57,58,59,60,61,62,63,64,65,66,67,68,69,70,71,72,73,74,75,76,77,78,79,80,81,82,83,84,85,86,87,88,89,90,91,92,93,94,95'</t>
  </si>
  <si>
    <t>'1,2,3,,4,,5,,8,9,10,11,12,13,,14,15,16,17,,18,19,,20,21,,22,23,24,25,26,27,,94,95,96,97,98,99,100,101,102,103,,104,105,106,107,108,109,110,111,112,113,114,115,116,117,118,119,,178,179,180,181,182,183,184,185,186,187,188,189,190,191,192,193,194,195,196,197'</t>
  </si>
  <si>
    <t>'1,2,,3,4,,5,,6,,7,8,9,10,11,12,13,,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512,513,514'</t>
  </si>
  <si>
    <t>'4,,6,7,8,9,10,11'</t>
  </si>
  <si>
    <t>'20,21,22,23,24,25,26,27,28,29,30,,10,11,12,13,14,15,16,17,18,19,,31,32,33,34,35,36,37,38,39,40,41,,42,43,44,45,46,47,48,49,50,51,,52,53,54,55,56,57,58,59,60,61,,62,63,64,65,66,67,68,69,70,71,72,73,74,75'</t>
  </si>
  <si>
    <t>Phase Equilibrium Engineering</t>
  </si>
  <si>
    <t>QD503 -- .B75 2013eb</t>
  </si>
  <si>
    <t>Forensic Science : A Multidisciplinary Approach</t>
  </si>
  <si>
    <t>Q172</t>
  </si>
  <si>
    <t>'1,29,30,31,32,33,34,35,36,37,79,80,81,82'</t>
  </si>
  <si>
    <t>Forensic Chemistry : Fundamentals and Applications</t>
  </si>
  <si>
    <t>614/.12</t>
  </si>
  <si>
    <t>RA1057.F66 2015</t>
  </si>
  <si>
    <t>'1,1,2,31,31,78,2,,1,31,34,35,36,37,38,39,40,41,70,71,44,106,107,108,109,110,111,236,183'</t>
  </si>
  <si>
    <t>Excel 2013 for Scientists</t>
  </si>
  <si>
    <t>Holy Macro! Books</t>
  </si>
  <si>
    <t>QA76.76.D47 -- .V477 2014eb</t>
  </si>
  <si>
    <t>'1,1,3,8'</t>
  </si>
  <si>
    <t>Artificial Intelligence with Python</t>
  </si>
  <si>
    <t>QA76.73.P98.J67 2017eb</t>
  </si>
  <si>
    <t>'1,1,2,3,283,373,374,376,377,378,379,380,381,382,383,384,385,386,388,389,391,285,286,287,288,289,284'</t>
  </si>
  <si>
    <t>To the Black Women We All Knew</t>
  </si>
  <si>
    <t>Modajaji Books</t>
  </si>
  <si>
    <t>Fiction; Literature</t>
  </si>
  <si>
    <t>PQ2235.D65$b.M346 2014</t>
  </si>
  <si>
    <t>Mozilla/5.0 (Linux; Android 10; SM-P615) AppleWebKit/537.36 (KHTML, like Gecko) Chrome/87.0.4280.101 Safari/537.36</t>
  </si>
  <si>
    <t>Polymer Composites with Functionalized Nanoparticles : Synthesis, Properties, and Applications</t>
  </si>
  <si>
    <t>TA418.9.C6 .P659 2019</t>
  </si>
  <si>
    <t>'4,5,8,11,13,17,19,21,20,22,23,24'</t>
  </si>
  <si>
    <t>'1,28,28,28,28'</t>
  </si>
  <si>
    <t>Advaita Vedanta and Zen Buddhism : Deconstructive Modes of Spiritual Inquiry</t>
  </si>
  <si>
    <t>181/.482</t>
  </si>
  <si>
    <t>B132.A3 -- D38 2010eb</t>
  </si>
  <si>
    <t>'1,1,2,4,5,6,8,9,10,70,70,71,72,214,213,216,215,217,218,219,230,231,232,232,49,82,81,83,94,214,213,215,216,217,217,52,,1,1,214,215,215,216,217,218,219,219,27,26,28,28,52,51,217,216'</t>
  </si>
  <si>
    <t>'217,,217'</t>
  </si>
  <si>
    <t>Grand Total</t>
  </si>
  <si>
    <t>Jan</t>
  </si>
  <si>
    <t>Feb</t>
  </si>
  <si>
    <t>Mar</t>
  </si>
  <si>
    <t>Apr</t>
  </si>
  <si>
    <t>May</t>
  </si>
  <si>
    <t>Jun</t>
  </si>
  <si>
    <t>Jul</t>
  </si>
  <si>
    <t>Aug</t>
  </si>
  <si>
    <t>Sep</t>
  </si>
  <si>
    <t>Oct</t>
  </si>
  <si>
    <t>Nov</t>
  </si>
  <si>
    <t>Dec</t>
  </si>
  <si>
    <t>Sum of Total Pages Read</t>
  </si>
  <si>
    <t>Sum of Total Pages Printed</t>
  </si>
  <si>
    <t>Sum of Total Pages Copied</t>
  </si>
  <si>
    <t>Sum of Book Downloads</t>
  </si>
  <si>
    <t>Sum of Chapter Downloads</t>
  </si>
  <si>
    <t>Khalifa University</t>
  </si>
  <si>
    <t>Ebooks Usage: Jan 2021 to 28 Dec 2021</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</si>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</sst>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4.3"/>
      <color rgb="FF515255"/>
      <name val="Verdana"/>
      <family val="2"/>
    </font>
    <font>
      <sz val="6"/>
      <color theme="1"/>
      <name val="Verdana"/>
      <family val="2"/>
    </font>
    <font>
      <b/>
      <sz val="6"/>
      <color theme="1"/>
      <name val="Verdana"/>
      <family val="2"/>
    </font>
    <font>
      <sz val="6"/>
      <color rgb="FF000000"/>
      <name val="Verdana"/>
      <family val="2"/>
    </font>
    <font>
      <b/>
      <sz val="11"/>
      <color theme="1"/>
      <name val="Calibri"/>
      <family val="2"/>
      <scheme val="minor"/>
    </font>
  </fonts>
  <fills count="8">
    <fill>
      <patternFill patternType="none"/>
    </fill>
    <fill>
      <patternFill patternType="gray125"/>
    </fill>
    <fill>
      <patternFill patternType="solid">
        <fgColor rgb="FFCCFFCC"/>
        <bgColor indexed="64"/>
      </patternFill>
    </fill>
    <fill>
      <patternFill patternType="solid">
        <fgColor rgb="FF00FFFF"/>
        <bgColor indexed="64"/>
      </patternFill>
    </fill>
    <fill>
      <patternFill patternType="solid">
        <fgColor rgb="FFFFFFFF"/>
        <bgColor indexed="64"/>
      </patternFill>
    </fill>
    <fill>
      <patternFill patternType="solid">
        <fgColor rgb="FFEDEDED"/>
        <bgColor indexed="64"/>
      </patternFill>
    </fill>
    <fill>
      <patternFill patternType="solid">
        <fgColor rgb="FFFFFF00"/>
        <bgColor indexed="64"/>
      </patternFill>
    </fill>
    <fill>
      <patternFill patternType="solid">
        <fgColor theme="3" tint="0.79998168889431442"/>
        <bgColor indexed="64"/>
      </patternFill>
    </fill>
  </fills>
  <borders count="15">
    <border>
      <left/>
      <right/>
      <top/>
      <bottom/>
      <diagonal/>
    </border>
    <border>
      <left style="medium">
        <color rgb="FFCCCCCC"/>
      </left>
      <right style="medium">
        <color rgb="FFCCCCCC"/>
      </right>
      <top style="medium">
        <color rgb="FFCCCCCC"/>
      </top>
      <bottom style="medium">
        <color rgb="FFCCCCCC"/>
      </bottom>
      <diagonal/>
    </border>
    <border>
      <left/>
      <right/>
      <top style="medium">
        <color rgb="FFCCCCCC"/>
      </top>
      <bottom style="medium">
        <color rgb="FFCCCCCC"/>
      </bottom>
      <diagonal/>
    </border>
    <border>
      <left style="medium">
        <color rgb="FF000000"/>
      </left>
      <right/>
      <top style="medium">
        <color rgb="FF000000"/>
      </top>
      <bottom style="medium">
        <color rgb="FFCCCCCC"/>
      </bottom>
      <diagonal/>
    </border>
    <border>
      <left/>
      <right/>
      <top style="medium">
        <color rgb="FF000000"/>
      </top>
      <bottom style="medium">
        <color rgb="FFCCCCCC"/>
      </bottom>
      <diagonal/>
    </border>
    <border>
      <left/>
      <right style="medium">
        <color rgb="FF000000"/>
      </right>
      <top style="medium">
        <color rgb="FF000000"/>
      </top>
      <bottom style="medium">
        <color rgb="FFCCCCCC"/>
      </bottom>
      <diagonal/>
    </border>
    <border>
      <left style="medium">
        <color rgb="FF000000"/>
      </left>
      <right/>
      <top style="medium">
        <color rgb="FFCCCCCC"/>
      </top>
      <bottom style="medium">
        <color rgb="FFCCCCCC"/>
      </bottom>
      <diagonal/>
    </border>
    <border>
      <left/>
      <right style="medium">
        <color rgb="FF000000"/>
      </right>
      <top style="medium">
        <color rgb="FFCCCCCC"/>
      </top>
      <bottom style="medium">
        <color rgb="FFCCCCCC"/>
      </bottom>
      <diagonal/>
    </border>
    <border>
      <left style="medium">
        <color rgb="FF000000"/>
      </left>
      <right style="medium">
        <color rgb="FFCCCCCC"/>
      </right>
      <top style="medium">
        <color rgb="FFCCCCCC"/>
      </top>
      <bottom style="medium">
        <color rgb="FFCCCCCC"/>
      </bottom>
      <diagonal/>
    </border>
    <border>
      <left/>
      <right style="medium">
        <color rgb="FF000000"/>
      </right>
      <top/>
      <bottom/>
      <diagonal/>
    </border>
    <border>
      <left style="medium">
        <color rgb="FF000000"/>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3" fillId="3" borderId="1" xfId="0" applyFont="1" applyFill="1" applyBorder="1" applyAlignment="1">
      <alignment vertical="center"/>
    </xf>
    <xf numFmtId="0" fontId="3" fillId="4" borderId="1" xfId="0" applyFont="1" applyFill="1" applyBorder="1" applyAlignment="1">
      <alignment vertical="center"/>
    </xf>
    <xf numFmtId="0" fontId="2" fillId="5" borderId="1" xfId="0" applyFont="1" applyFill="1" applyBorder="1" applyAlignment="1">
      <alignment vertical="center"/>
    </xf>
    <xf numFmtId="0" fontId="2" fillId="4" borderId="1" xfId="0" applyFont="1" applyFill="1" applyBorder="1" applyAlignment="1">
      <alignment vertical="center"/>
    </xf>
    <xf numFmtId="0" fontId="3" fillId="5" borderId="1" xfId="0" applyFont="1" applyFill="1" applyBorder="1" applyAlignment="1">
      <alignment vertical="center"/>
    </xf>
    <xf numFmtId="0" fontId="3" fillId="6" borderId="1" xfId="0" applyFont="1" applyFill="1" applyBorder="1" applyAlignment="1">
      <alignment vertical="center"/>
    </xf>
    <xf numFmtId="0" fontId="3" fillId="3" borderId="8" xfId="0" applyFont="1" applyFill="1" applyBorder="1" applyAlignment="1">
      <alignment vertical="center"/>
    </xf>
    <xf numFmtId="0" fontId="0" fillId="0" borderId="9" xfId="0" applyBorder="1"/>
    <xf numFmtId="0" fontId="3" fillId="4" borderId="8" xfId="0" applyFont="1" applyFill="1" applyBorder="1" applyAlignment="1">
      <alignment vertical="center"/>
    </xf>
    <xf numFmtId="0" fontId="2" fillId="5" borderId="8" xfId="0" applyFont="1" applyFill="1" applyBorder="1" applyAlignment="1">
      <alignment vertical="center"/>
    </xf>
    <xf numFmtId="0" fontId="2" fillId="4" borderId="8" xfId="0" applyFont="1" applyFill="1" applyBorder="1" applyAlignment="1">
      <alignment vertical="center"/>
    </xf>
    <xf numFmtId="0" fontId="3" fillId="5" borderId="8" xfId="0" applyFont="1" applyFill="1" applyBorder="1" applyAlignment="1">
      <alignment vertical="center"/>
    </xf>
    <xf numFmtId="0" fontId="3" fillId="6" borderId="8" xfId="0" applyFont="1" applyFill="1" applyBorder="1" applyAlignment="1">
      <alignment vertical="center"/>
    </xf>
    <xf numFmtId="0" fontId="3" fillId="6" borderId="10" xfId="0" applyFont="1" applyFill="1" applyBorder="1" applyAlignment="1">
      <alignment vertical="center"/>
    </xf>
    <xf numFmtId="0" fontId="3" fillId="6" borderId="11" xfId="0" applyFont="1" applyFill="1" applyBorder="1" applyAlignment="1">
      <alignment vertical="center"/>
    </xf>
    <xf numFmtId="0" fontId="0" fillId="0" borderId="12" xfId="0" applyBorder="1"/>
    <xf numFmtId="0" fontId="4" fillId="0" borderId="0" xfId="0" applyFont="1" applyAlignment="1">
      <alignment vertical="center" wrapText="1"/>
    </xf>
    <xf numFmtId="22" fontId="0" fillId="0" borderId="0" xfId="0" applyNumberFormat="1"/>
    <xf numFmtId="14" fontId="0" fillId="0" borderId="0" xfId="0" applyNumberFormat="1"/>
    <xf numFmtId="21" fontId="0" fillId="0" borderId="0" xfId="0" applyNumberFormat="1"/>
    <xf numFmtId="0" fontId="5" fillId="0" borderId="0" xfId="0" applyFont="1"/>
    <xf numFmtId="0" fontId="0" fillId="0" borderId="14" xfId="0" applyBorder="1"/>
    <xf numFmtId="0" fontId="5" fillId="7" borderId="14" xfId="0" applyFont="1" applyFill="1" applyBorder="1"/>
    <xf numFmtId="0" fontId="3" fillId="2" borderId="3" xfId="0" applyFont="1" applyFill="1" applyBorder="1" applyAlignment="1">
      <alignment vertical="center"/>
    </xf>
    <xf numFmtId="0" fontId="3" fillId="2" borderId="4" xfId="0" applyFont="1" applyFill="1" applyBorder="1" applyAlignment="1">
      <alignment vertical="center"/>
    </xf>
    <xf numFmtId="0" fontId="3" fillId="2" borderId="5" xfId="0" applyFont="1" applyFill="1" applyBorder="1" applyAlignment="1">
      <alignment vertical="center"/>
    </xf>
    <xf numFmtId="0" fontId="3" fillId="2" borderId="6" xfId="0" applyFont="1" applyFill="1" applyBorder="1" applyAlignment="1">
      <alignment vertical="center"/>
    </xf>
    <xf numFmtId="0" fontId="3" fillId="2" borderId="2" xfId="0" applyFont="1" applyFill="1" applyBorder="1" applyAlignment="1">
      <alignment vertical="center"/>
    </xf>
    <xf numFmtId="0" fontId="3" fillId="2" borderId="7" xfId="0" applyFont="1" applyFill="1" applyBorder="1" applyAlignment="1">
      <alignment vertical="center"/>
    </xf>
    <xf numFmtId="0" fontId="1" fillId="0" borderId="13" xfId="0" applyFont="1" applyBorder="1" applyAlignment="1">
      <alignment horizontal="center" vertical="center" wrapText="1"/>
    </xf>
    <xf numFmtId="0" fontId="3" fillId="6" borderId="0" xfId="0" applyFont="1" applyFill="1" applyBorder="1" applyAlignment="1">
      <alignment vertical="center"/>
    </xf>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tabSelected="1" topLeftCell="A3" workbookViewId="0">
      <selection activeCell="A18" sqref="A18:A20"/>
    </sheetView>
  </sheetViews>
  <sheetFormatPr defaultRowHeight="14.5" x14ac:dyDescent="0.35"/>
  <cols>
    <col min="2" max="2" width="26" bestFit="1" customWidth="1"/>
    <col min="4" max="4" width="11.6328125" customWidth="1"/>
  </cols>
  <sheetData>
    <row r="1" spans="1:6" ht="18.5" thickBot="1" x14ac:dyDescent="0.4">
      <c r="A1" s="30" t="s">
        <v>0</v>
      </c>
      <c r="B1" s="30"/>
      <c r="C1" s="30"/>
      <c r="D1" s="30"/>
      <c r="E1" s="30"/>
      <c r="F1" s="30"/>
    </row>
    <row r="2" spans="1:6" ht="15" thickBot="1" x14ac:dyDescent="0.4">
      <c r="A2" s="24" t="s">
        <v>1</v>
      </c>
      <c r="B2" s="25"/>
      <c r="C2" s="25"/>
      <c r="D2" s="25"/>
      <c r="E2" s="25"/>
      <c r="F2" s="26"/>
    </row>
    <row r="3" spans="1:6" ht="15" thickBot="1" x14ac:dyDescent="0.4">
      <c r="A3" s="27" t="s">
        <v>2</v>
      </c>
      <c r="B3" s="28"/>
      <c r="C3" s="28"/>
      <c r="D3" s="28"/>
      <c r="E3" s="28"/>
      <c r="F3" s="29"/>
    </row>
    <row r="4" spans="1:6" ht="15" thickBot="1" x14ac:dyDescent="0.4">
      <c r="A4" s="7" t="s">
        <v>3</v>
      </c>
      <c r="B4" s="1" t="s">
        <v>4</v>
      </c>
      <c r="C4" s="1" t="s">
        <v>5</v>
      </c>
      <c r="D4" s="1" t="s">
        <v>6</v>
      </c>
      <c r="E4" s="1" t="s">
        <v>7</v>
      </c>
      <c r="F4" s="8"/>
    </row>
    <row r="5" spans="1:6" ht="15" thickBot="1" x14ac:dyDescent="0.4">
      <c r="A5" s="9">
        <v>699</v>
      </c>
      <c r="B5" s="2" t="s">
        <v>8</v>
      </c>
      <c r="C5" s="2">
        <v>70</v>
      </c>
      <c r="D5" s="2">
        <v>924</v>
      </c>
      <c r="E5" s="2">
        <v>994</v>
      </c>
      <c r="F5" s="8"/>
    </row>
    <row r="6" spans="1:6" ht="15" thickBot="1" x14ac:dyDescent="0.4">
      <c r="A6" s="10" t="s">
        <v>9</v>
      </c>
      <c r="B6" s="3" t="s">
        <v>10</v>
      </c>
      <c r="C6" s="3">
        <v>0</v>
      </c>
      <c r="D6" s="3">
        <v>6</v>
      </c>
      <c r="E6" s="3">
        <v>6</v>
      </c>
      <c r="F6" s="8"/>
    </row>
    <row r="7" spans="1:6" ht="15" thickBot="1" x14ac:dyDescent="0.4">
      <c r="A7" s="11" t="s">
        <v>9</v>
      </c>
      <c r="B7" s="4" t="s">
        <v>11</v>
      </c>
      <c r="C7" s="4">
        <v>5</v>
      </c>
      <c r="D7" s="4">
        <v>17</v>
      </c>
      <c r="E7" s="4">
        <v>22</v>
      </c>
      <c r="F7" s="8"/>
    </row>
    <row r="8" spans="1:6" ht="15" thickBot="1" x14ac:dyDescent="0.4">
      <c r="A8" s="10" t="s">
        <v>12</v>
      </c>
      <c r="B8" s="3" t="s">
        <v>13</v>
      </c>
      <c r="C8" s="3">
        <v>34</v>
      </c>
      <c r="D8" s="3">
        <v>0</v>
      </c>
      <c r="E8" s="3">
        <v>34</v>
      </c>
      <c r="F8" s="8"/>
    </row>
    <row r="9" spans="1:6" ht="15" thickBot="1" x14ac:dyDescent="0.4">
      <c r="A9" s="11" t="s">
        <v>9</v>
      </c>
      <c r="B9" s="4" t="s">
        <v>14</v>
      </c>
      <c r="C9" s="4">
        <v>3</v>
      </c>
      <c r="D9" s="4">
        <v>20</v>
      </c>
      <c r="E9" s="4">
        <v>23</v>
      </c>
      <c r="F9" s="8"/>
    </row>
    <row r="10" spans="1:6" ht="15" thickBot="1" x14ac:dyDescent="0.4">
      <c r="A10" s="10" t="s">
        <v>9</v>
      </c>
      <c r="B10" s="3" t="s">
        <v>15</v>
      </c>
      <c r="C10" s="3">
        <v>1</v>
      </c>
      <c r="D10" s="3">
        <v>16</v>
      </c>
      <c r="E10" s="3">
        <v>17</v>
      </c>
      <c r="F10" s="8"/>
    </row>
    <row r="11" spans="1:6" ht="15" thickBot="1" x14ac:dyDescent="0.4">
      <c r="A11" s="11" t="s">
        <v>16</v>
      </c>
      <c r="B11" s="4" t="s">
        <v>17</v>
      </c>
      <c r="C11" s="4">
        <v>0</v>
      </c>
      <c r="D11" s="4">
        <v>14</v>
      </c>
      <c r="E11" s="4">
        <v>14</v>
      </c>
      <c r="F11" s="8"/>
    </row>
    <row r="12" spans="1:6" ht="15" thickBot="1" x14ac:dyDescent="0.4">
      <c r="A12" s="12" t="s">
        <v>18</v>
      </c>
      <c r="B12" s="5" t="s">
        <v>19</v>
      </c>
      <c r="C12" s="5">
        <v>27</v>
      </c>
      <c r="D12" s="5">
        <v>851</v>
      </c>
      <c r="E12" s="5">
        <v>878</v>
      </c>
      <c r="F12" s="8"/>
    </row>
    <row r="13" spans="1:6" ht="15" thickBot="1" x14ac:dyDescent="0.4">
      <c r="A13" s="9">
        <v>698</v>
      </c>
      <c r="B13" s="2" t="s">
        <v>20</v>
      </c>
      <c r="C13" s="2">
        <v>178</v>
      </c>
      <c r="D13" s="2">
        <v>830</v>
      </c>
      <c r="E13" s="2">
        <v>1008</v>
      </c>
      <c r="F13" s="8"/>
    </row>
    <row r="14" spans="1:6" ht="15" thickBot="1" x14ac:dyDescent="0.4">
      <c r="A14" s="10">
        <v>695</v>
      </c>
      <c r="B14" s="3" t="s">
        <v>21</v>
      </c>
      <c r="C14" s="3">
        <v>3</v>
      </c>
      <c r="D14" s="3">
        <v>6</v>
      </c>
      <c r="E14" s="3">
        <v>9</v>
      </c>
      <c r="F14" s="8"/>
    </row>
    <row r="15" spans="1:6" ht="15" thickBot="1" x14ac:dyDescent="0.4">
      <c r="A15" s="11">
        <v>697</v>
      </c>
      <c r="B15" s="4" t="s">
        <v>22</v>
      </c>
      <c r="C15" s="4">
        <v>0</v>
      </c>
      <c r="D15" s="4">
        <v>0</v>
      </c>
      <c r="E15" s="4">
        <v>0</v>
      </c>
      <c r="F15" s="8"/>
    </row>
    <row r="16" spans="1:6" ht="15" thickBot="1" x14ac:dyDescent="0.4">
      <c r="A16" s="10">
        <v>0</v>
      </c>
      <c r="B16" s="3" t="s">
        <v>23</v>
      </c>
      <c r="C16" s="3">
        <v>6</v>
      </c>
      <c r="D16" s="3">
        <v>0</v>
      </c>
      <c r="E16" s="3">
        <v>6</v>
      </c>
      <c r="F16" s="8"/>
    </row>
    <row r="17" spans="1:6" ht="15" thickBot="1" x14ac:dyDescent="0.4">
      <c r="A17" s="11">
        <v>697</v>
      </c>
      <c r="B17" s="4" t="s">
        <v>24</v>
      </c>
      <c r="C17" s="4">
        <v>19</v>
      </c>
      <c r="D17" s="4">
        <v>143</v>
      </c>
      <c r="E17" s="4">
        <v>162</v>
      </c>
      <c r="F17" s="8"/>
    </row>
    <row r="18" spans="1:6" ht="15" thickBot="1" x14ac:dyDescent="0.4">
      <c r="A18" s="13">
        <v>12559</v>
      </c>
      <c r="B18" s="6" t="s">
        <v>25</v>
      </c>
      <c r="C18" s="6">
        <v>276</v>
      </c>
      <c r="D18" s="6">
        <v>1903</v>
      </c>
      <c r="E18" s="6">
        <v>2179</v>
      </c>
      <c r="F18" s="8"/>
    </row>
    <row r="19" spans="1:6" ht="15" thickBot="1" x14ac:dyDescent="0.4">
      <c r="A19" s="14">
        <v>704</v>
      </c>
      <c r="B19" s="15" t="s">
        <v>26</v>
      </c>
      <c r="C19" s="15"/>
      <c r="D19" s="15"/>
      <c r="E19" s="15"/>
      <c r="F19" s="16"/>
    </row>
    <row r="20" spans="1:6" x14ac:dyDescent="0.35">
      <c r="A20" s="31">
        <f>SUM(A18:A19)</f>
        <v>13263</v>
      </c>
      <c r="B20" s="31"/>
      <c r="C20" s="31"/>
      <c r="D20" s="31"/>
      <c r="E20" s="31"/>
      <c r="F20" s="32"/>
    </row>
    <row r="21" spans="1:6" x14ac:dyDescent="0.35">
      <c r="A21" t="s">
        <v>27</v>
      </c>
    </row>
    <row r="22" spans="1:6" x14ac:dyDescent="0.35">
      <c r="A22" s="17"/>
    </row>
  </sheetData>
  <mergeCells count="3">
    <mergeCell ref="A2:F2"/>
    <mergeCell ref="A3:F3"/>
    <mergeCell ref="A1:F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selection activeCell="B13" sqref="B13"/>
    </sheetView>
  </sheetViews>
  <sheetFormatPr defaultRowHeight="14.5" x14ac:dyDescent="0.35"/>
  <cols>
    <col min="1" max="1" width="11.26953125" customWidth="1"/>
    <col min="2" max="2" width="21.36328125" bestFit="1" customWidth="1"/>
    <col min="3" max="3" width="23.1796875" bestFit="1" customWidth="1"/>
    <col min="4" max="4" width="23" bestFit="1" customWidth="1"/>
    <col min="5" max="5" width="21.36328125" bestFit="1" customWidth="1"/>
    <col min="6" max="6" width="23.81640625" bestFit="1" customWidth="1"/>
  </cols>
  <sheetData>
    <row r="1" spans="1:6" x14ac:dyDescent="0.35">
      <c r="A1" s="21" t="s">
        <v>6811</v>
      </c>
      <c r="B1" s="21"/>
    </row>
    <row r="2" spans="1:6" x14ac:dyDescent="0.35">
      <c r="A2" s="21" t="s">
        <v>6812</v>
      </c>
      <c r="B2" s="21"/>
    </row>
    <row r="3" spans="1:6" x14ac:dyDescent="0.35">
      <c r="A3" s="23" t="s">
        <v>6813</v>
      </c>
      <c r="B3" s="23" t="s">
        <v>6806</v>
      </c>
      <c r="C3" s="23" t="s">
        <v>6807</v>
      </c>
      <c r="D3" s="23" t="s">
        <v>6808</v>
      </c>
      <c r="E3" s="23" t="s">
        <v>6809</v>
      </c>
      <c r="F3" s="23" t="s">
        <v>6810</v>
      </c>
    </row>
    <row r="4" spans="1:6" x14ac:dyDescent="0.35">
      <c r="A4" s="22" t="s">
        <v>6794</v>
      </c>
      <c r="B4" s="22">
        <v>3470</v>
      </c>
      <c r="C4" s="22">
        <v>4434</v>
      </c>
      <c r="D4" s="22">
        <v>8</v>
      </c>
      <c r="E4" s="22">
        <v>63</v>
      </c>
      <c r="F4" s="22">
        <v>219</v>
      </c>
    </row>
    <row r="5" spans="1:6" x14ac:dyDescent="0.35">
      <c r="A5" s="22" t="s">
        <v>6795</v>
      </c>
      <c r="B5" s="22">
        <v>5605</v>
      </c>
      <c r="C5" s="22">
        <v>3161</v>
      </c>
      <c r="D5" s="22">
        <v>105</v>
      </c>
      <c r="E5" s="22">
        <v>44</v>
      </c>
      <c r="F5" s="22">
        <v>139</v>
      </c>
    </row>
    <row r="6" spans="1:6" x14ac:dyDescent="0.35">
      <c r="A6" s="22" t="s">
        <v>6796</v>
      </c>
      <c r="B6" s="22">
        <v>3303</v>
      </c>
      <c r="C6" s="22">
        <v>1637</v>
      </c>
      <c r="D6" s="22">
        <v>43</v>
      </c>
      <c r="E6" s="22">
        <v>26</v>
      </c>
      <c r="F6" s="22">
        <v>96</v>
      </c>
    </row>
    <row r="7" spans="1:6" x14ac:dyDescent="0.35">
      <c r="A7" s="22" t="s">
        <v>6797</v>
      </c>
      <c r="B7" s="22">
        <v>2899</v>
      </c>
      <c r="C7" s="22">
        <v>1692</v>
      </c>
      <c r="D7" s="22">
        <v>32</v>
      </c>
      <c r="E7" s="22">
        <v>46</v>
      </c>
      <c r="F7" s="22">
        <v>102</v>
      </c>
    </row>
    <row r="8" spans="1:6" x14ac:dyDescent="0.35">
      <c r="A8" s="22" t="s">
        <v>6798</v>
      </c>
      <c r="B8" s="22">
        <v>2473</v>
      </c>
      <c r="C8" s="22">
        <v>633</v>
      </c>
      <c r="D8" s="22">
        <v>2</v>
      </c>
      <c r="E8" s="22">
        <v>16</v>
      </c>
      <c r="F8" s="22">
        <v>32</v>
      </c>
    </row>
    <row r="9" spans="1:6" x14ac:dyDescent="0.35">
      <c r="A9" s="22" t="s">
        <v>6799</v>
      </c>
      <c r="B9" s="22">
        <v>2047</v>
      </c>
      <c r="C9" s="22">
        <v>1055</v>
      </c>
      <c r="D9" s="22">
        <v>57</v>
      </c>
      <c r="E9" s="22">
        <v>15</v>
      </c>
      <c r="F9" s="22">
        <v>57</v>
      </c>
    </row>
    <row r="10" spans="1:6" x14ac:dyDescent="0.35">
      <c r="A10" s="22" t="s">
        <v>6800</v>
      </c>
      <c r="B10" s="22">
        <v>795</v>
      </c>
      <c r="C10" s="22">
        <v>302</v>
      </c>
      <c r="D10" s="22">
        <v>11</v>
      </c>
      <c r="E10" s="22">
        <v>12</v>
      </c>
      <c r="F10" s="22">
        <v>10</v>
      </c>
    </row>
    <row r="11" spans="1:6" x14ac:dyDescent="0.35">
      <c r="A11" s="22" t="s">
        <v>6801</v>
      </c>
      <c r="B11" s="22">
        <v>1684</v>
      </c>
      <c r="C11" s="22">
        <v>1191</v>
      </c>
      <c r="D11" s="22">
        <v>24</v>
      </c>
      <c r="E11" s="22">
        <v>36</v>
      </c>
      <c r="F11" s="22">
        <v>34</v>
      </c>
    </row>
    <row r="12" spans="1:6" x14ac:dyDescent="0.35">
      <c r="A12" s="22" t="s">
        <v>6802</v>
      </c>
      <c r="B12" s="22">
        <v>5137</v>
      </c>
      <c r="C12" s="22">
        <v>3273</v>
      </c>
      <c r="D12" s="22">
        <v>77</v>
      </c>
      <c r="E12" s="22">
        <v>35</v>
      </c>
      <c r="F12" s="22">
        <v>134</v>
      </c>
    </row>
    <row r="13" spans="1:6" x14ac:dyDescent="0.35">
      <c r="A13" s="22" t="s">
        <v>6803</v>
      </c>
      <c r="B13" s="22">
        <v>4815</v>
      </c>
      <c r="C13" s="22">
        <v>3511</v>
      </c>
      <c r="D13" s="22">
        <v>23</v>
      </c>
      <c r="E13" s="22">
        <v>46</v>
      </c>
      <c r="F13" s="22">
        <v>159</v>
      </c>
    </row>
    <row r="14" spans="1:6" x14ac:dyDescent="0.35">
      <c r="A14" s="22" t="s">
        <v>6804</v>
      </c>
      <c r="B14" s="22">
        <v>4589</v>
      </c>
      <c r="C14" s="22">
        <v>1398</v>
      </c>
      <c r="D14" s="22">
        <v>68</v>
      </c>
      <c r="E14" s="22">
        <v>39</v>
      </c>
      <c r="F14" s="22">
        <v>61</v>
      </c>
    </row>
    <row r="15" spans="1:6" x14ac:dyDescent="0.35">
      <c r="A15" s="22" t="s">
        <v>6805</v>
      </c>
      <c r="B15" s="22">
        <v>1301</v>
      </c>
      <c r="C15" s="22">
        <v>564</v>
      </c>
      <c r="D15" s="22">
        <v>38</v>
      </c>
      <c r="E15" s="22">
        <v>13</v>
      </c>
      <c r="F15" s="22">
        <v>26</v>
      </c>
    </row>
    <row r="16" spans="1:6" x14ac:dyDescent="0.35">
      <c r="A16" s="23" t="s">
        <v>6793</v>
      </c>
      <c r="B16" s="23">
        <v>38118</v>
      </c>
      <c r="C16" s="23">
        <v>22851</v>
      </c>
      <c r="D16" s="23">
        <v>488</v>
      </c>
      <c r="E16" s="23">
        <v>391</v>
      </c>
      <c r="F16" s="23">
        <v>1069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216"/>
  <sheetViews>
    <sheetView workbookViewId="0">
      <selection activeCell="B11" sqref="B11"/>
    </sheetView>
  </sheetViews>
  <sheetFormatPr defaultRowHeight="14.5" x14ac:dyDescent="0.35"/>
  <cols>
    <col min="1" max="1" width="17" customWidth="1"/>
  </cols>
  <sheetData>
    <row r="1" spans="1:41" s="21" customFormat="1" x14ac:dyDescent="0.35">
      <c r="A1" s="21" t="s">
        <v>28</v>
      </c>
      <c r="B1" s="21" t="s">
        <v>29</v>
      </c>
      <c r="C1" s="21" t="s">
        <v>30</v>
      </c>
      <c r="D1" s="21" t="s">
        <v>31</v>
      </c>
      <c r="E1" s="21" t="s">
        <v>32</v>
      </c>
      <c r="F1" s="21" t="s">
        <v>33</v>
      </c>
      <c r="G1" s="21" t="s">
        <v>34</v>
      </c>
      <c r="H1" s="21" t="s">
        <v>35</v>
      </c>
      <c r="I1" s="21" t="s">
        <v>36</v>
      </c>
      <c r="J1" s="21" t="s">
        <v>37</v>
      </c>
      <c r="K1" s="21" t="s">
        <v>38</v>
      </c>
      <c r="L1" s="21" t="s">
        <v>39</v>
      </c>
      <c r="M1" s="21" t="s">
        <v>40</v>
      </c>
      <c r="N1" s="21" t="s">
        <v>41</v>
      </c>
      <c r="O1" s="21" t="s">
        <v>42</v>
      </c>
      <c r="P1" s="21" t="s">
        <v>43</v>
      </c>
      <c r="Q1" s="21" t="s">
        <v>44</v>
      </c>
      <c r="R1" s="21" t="s">
        <v>45</v>
      </c>
      <c r="S1" s="21" t="s">
        <v>46</v>
      </c>
      <c r="T1" s="21" t="s">
        <v>47</v>
      </c>
      <c r="U1" s="21" t="s">
        <v>48</v>
      </c>
      <c r="V1" s="21" t="s">
        <v>49</v>
      </c>
      <c r="W1" s="21" t="s">
        <v>50</v>
      </c>
      <c r="X1" s="21" t="s">
        <v>51</v>
      </c>
      <c r="Y1" s="21" t="s">
        <v>52</v>
      </c>
      <c r="Z1" s="21" t="s">
        <v>53</v>
      </c>
      <c r="AA1" s="21" t="s">
        <v>54</v>
      </c>
      <c r="AB1" s="21" t="s">
        <v>55</v>
      </c>
      <c r="AC1" s="21" t="s">
        <v>56</v>
      </c>
      <c r="AD1" s="21" t="s">
        <v>57</v>
      </c>
      <c r="AE1" s="21" t="s">
        <v>58</v>
      </c>
      <c r="AF1" s="21" t="s">
        <v>59</v>
      </c>
      <c r="AG1" s="21" t="s">
        <v>60</v>
      </c>
      <c r="AH1" s="21" t="s">
        <v>61</v>
      </c>
      <c r="AI1" s="21" t="s">
        <v>62</v>
      </c>
      <c r="AJ1" s="21" t="s">
        <v>63</v>
      </c>
      <c r="AK1" s="21" t="s">
        <v>64</v>
      </c>
      <c r="AL1" s="21" t="s">
        <v>65</v>
      </c>
      <c r="AM1" s="21" t="s">
        <v>66</v>
      </c>
      <c r="AN1" s="21" t="s">
        <v>67</v>
      </c>
      <c r="AO1" s="21" t="s">
        <v>68</v>
      </c>
    </row>
    <row r="2" spans="1:41" x14ac:dyDescent="0.35">
      <c r="A2" s="18">
        <v>44557.375694444447</v>
      </c>
      <c r="B2">
        <v>589099</v>
      </c>
      <c r="C2" t="s">
        <v>69</v>
      </c>
      <c r="D2" t="s">
        <v>70</v>
      </c>
      <c r="E2" s="19">
        <v>40498</v>
      </c>
      <c r="F2" t="str">
        <f>"9780470825624"</f>
        <v>9780470825624</v>
      </c>
      <c r="G2" t="str">
        <f>"9780470825617"</f>
        <v>9780470825617</v>
      </c>
      <c r="H2" t="s">
        <v>71</v>
      </c>
      <c r="I2">
        <v>621.38400000000001</v>
      </c>
      <c r="J2" t="s">
        <v>72</v>
      </c>
      <c r="K2" t="s">
        <v>73</v>
      </c>
      <c r="N2" t="s">
        <v>74</v>
      </c>
      <c r="O2" t="s">
        <v>75</v>
      </c>
      <c r="P2" t="s">
        <v>74</v>
      </c>
      <c r="Q2" t="s">
        <v>76</v>
      </c>
      <c r="R2" t="s">
        <v>73</v>
      </c>
      <c r="S2">
        <v>0</v>
      </c>
      <c r="W2" s="20">
        <v>1.0069444444444444E-3</v>
      </c>
      <c r="X2" t="s">
        <v>77</v>
      </c>
      <c r="Y2">
        <v>22</v>
      </c>
      <c r="Z2">
        <v>0</v>
      </c>
      <c r="AA2" t="s">
        <v>78</v>
      </c>
      <c r="AB2">
        <v>0</v>
      </c>
      <c r="AC2" t="s">
        <v>78</v>
      </c>
      <c r="AD2">
        <v>0</v>
      </c>
      <c r="AE2">
        <v>10412611</v>
      </c>
      <c r="AF2" t="s">
        <v>79</v>
      </c>
      <c r="AG2" t="s">
        <v>80</v>
      </c>
    </row>
    <row r="3" spans="1:41" x14ac:dyDescent="0.35">
      <c r="A3" s="18">
        <v>44557.342361111114</v>
      </c>
      <c r="B3">
        <v>589099</v>
      </c>
      <c r="C3" t="s">
        <v>69</v>
      </c>
      <c r="D3" t="s">
        <v>70</v>
      </c>
      <c r="E3" s="19">
        <v>40498</v>
      </c>
      <c r="F3" t="str">
        <f>"9780470825624"</f>
        <v>9780470825624</v>
      </c>
      <c r="G3" t="str">
        <f>"9780470825617"</f>
        <v>9780470825617</v>
      </c>
      <c r="H3" t="s">
        <v>71</v>
      </c>
      <c r="I3">
        <v>621.38400000000001</v>
      </c>
      <c r="J3" t="s">
        <v>72</v>
      </c>
      <c r="K3" t="s">
        <v>73</v>
      </c>
      <c r="N3" t="s">
        <v>74</v>
      </c>
      <c r="O3" t="s">
        <v>75</v>
      </c>
      <c r="P3" t="s">
        <v>74</v>
      </c>
      <c r="Q3" t="s">
        <v>76</v>
      </c>
      <c r="R3" t="s">
        <v>73</v>
      </c>
      <c r="S3">
        <v>0</v>
      </c>
      <c r="W3" s="20">
        <v>1.1701388888888891E-2</v>
      </c>
      <c r="X3" t="s">
        <v>81</v>
      </c>
      <c r="Y3">
        <v>18</v>
      </c>
      <c r="Z3">
        <v>0</v>
      </c>
      <c r="AA3" t="s">
        <v>78</v>
      </c>
      <c r="AB3">
        <v>0</v>
      </c>
      <c r="AC3" t="s">
        <v>78</v>
      </c>
      <c r="AD3">
        <v>0</v>
      </c>
      <c r="AE3">
        <v>10412611</v>
      </c>
      <c r="AF3" t="s">
        <v>79</v>
      </c>
      <c r="AG3" t="s">
        <v>80</v>
      </c>
    </row>
    <row r="4" spans="1:41" x14ac:dyDescent="0.35">
      <c r="A4" s="18">
        <v>44556.65347222222</v>
      </c>
      <c r="B4">
        <v>693314</v>
      </c>
      <c r="C4" t="s">
        <v>82</v>
      </c>
      <c r="D4" t="s">
        <v>70</v>
      </c>
      <c r="E4" s="19">
        <v>40805</v>
      </c>
      <c r="F4" t="str">
        <f>"9781119971016"</f>
        <v>9781119971016</v>
      </c>
      <c r="G4" t="str">
        <f>"9780470750124"</f>
        <v>9780470750124</v>
      </c>
      <c r="H4" t="s">
        <v>83</v>
      </c>
      <c r="I4">
        <v>629.47400000000005</v>
      </c>
      <c r="J4" t="s">
        <v>84</v>
      </c>
      <c r="K4" t="s">
        <v>85</v>
      </c>
      <c r="N4" t="s">
        <v>86</v>
      </c>
      <c r="P4" t="s">
        <v>87</v>
      </c>
      <c r="Q4" t="s">
        <v>76</v>
      </c>
      <c r="R4" t="s">
        <v>73</v>
      </c>
      <c r="S4">
        <v>1</v>
      </c>
      <c r="T4">
        <v>90</v>
      </c>
      <c r="U4" s="18">
        <v>44556.65347222222</v>
      </c>
      <c r="V4" s="18">
        <v>44646.65347222222</v>
      </c>
      <c r="W4" s="20">
        <v>0</v>
      </c>
      <c r="X4" t="s">
        <v>78</v>
      </c>
      <c r="Y4">
        <v>0</v>
      </c>
      <c r="Z4">
        <v>0</v>
      </c>
      <c r="AA4" t="s">
        <v>78</v>
      </c>
      <c r="AB4">
        <v>0</v>
      </c>
      <c r="AC4" t="s">
        <v>78</v>
      </c>
      <c r="AD4">
        <v>0</v>
      </c>
      <c r="AE4">
        <v>10494538</v>
      </c>
      <c r="AF4" t="s">
        <v>88</v>
      </c>
      <c r="AG4" t="s">
        <v>80</v>
      </c>
    </row>
    <row r="5" spans="1:41" x14ac:dyDescent="0.35">
      <c r="A5" s="18">
        <v>44556.595138888886</v>
      </c>
      <c r="B5">
        <v>589099</v>
      </c>
      <c r="C5" t="s">
        <v>69</v>
      </c>
      <c r="D5" t="s">
        <v>70</v>
      </c>
      <c r="E5" s="19">
        <v>40498</v>
      </c>
      <c r="F5" t="str">
        <f>"9780470825624"</f>
        <v>9780470825624</v>
      </c>
      <c r="G5" t="str">
        <f>"9780470825617"</f>
        <v>9780470825617</v>
      </c>
      <c r="H5" t="s">
        <v>71</v>
      </c>
      <c r="I5">
        <v>621.38400000000001</v>
      </c>
      <c r="J5" t="s">
        <v>72</v>
      </c>
      <c r="K5" t="s">
        <v>73</v>
      </c>
      <c r="N5" t="s">
        <v>74</v>
      </c>
      <c r="O5" t="s">
        <v>75</v>
      </c>
      <c r="P5" t="s">
        <v>74</v>
      </c>
      <c r="Q5" t="s">
        <v>76</v>
      </c>
      <c r="R5" t="s">
        <v>73</v>
      </c>
      <c r="S5">
        <v>0</v>
      </c>
      <c r="W5" s="20">
        <v>2.4270833333333335E-2</v>
      </c>
      <c r="X5" t="s">
        <v>89</v>
      </c>
      <c r="Y5">
        <v>12</v>
      </c>
      <c r="Z5">
        <v>0</v>
      </c>
      <c r="AA5" t="s">
        <v>78</v>
      </c>
      <c r="AB5">
        <v>0</v>
      </c>
      <c r="AC5" t="s">
        <v>90</v>
      </c>
      <c r="AD5">
        <v>2</v>
      </c>
      <c r="AE5">
        <v>10412611</v>
      </c>
      <c r="AF5" t="s">
        <v>79</v>
      </c>
      <c r="AG5" t="s">
        <v>80</v>
      </c>
    </row>
    <row r="6" spans="1:41" x14ac:dyDescent="0.35">
      <c r="A6" s="18">
        <v>44556.554166666669</v>
      </c>
      <c r="B6">
        <v>589099</v>
      </c>
      <c r="C6" t="s">
        <v>69</v>
      </c>
      <c r="D6" t="s">
        <v>70</v>
      </c>
      <c r="E6" s="19">
        <v>40498</v>
      </c>
      <c r="F6" t="str">
        <f>"9780470825624"</f>
        <v>9780470825624</v>
      </c>
      <c r="G6" t="str">
        <f>"9780470825617"</f>
        <v>9780470825617</v>
      </c>
      <c r="H6" t="s">
        <v>71</v>
      </c>
      <c r="I6">
        <v>621.38400000000001</v>
      </c>
      <c r="J6" t="s">
        <v>72</v>
      </c>
      <c r="K6" t="s">
        <v>73</v>
      </c>
      <c r="N6" t="s">
        <v>74</v>
      </c>
      <c r="O6" t="s">
        <v>75</v>
      </c>
      <c r="P6" t="s">
        <v>74</v>
      </c>
      <c r="Q6" t="s">
        <v>76</v>
      </c>
      <c r="R6" t="s">
        <v>73</v>
      </c>
      <c r="S6">
        <v>0</v>
      </c>
      <c r="W6" s="20">
        <v>1.9108796296296294E-2</v>
      </c>
      <c r="X6" t="s">
        <v>91</v>
      </c>
      <c r="Y6">
        <v>10</v>
      </c>
      <c r="Z6">
        <v>0</v>
      </c>
      <c r="AA6" t="s">
        <v>78</v>
      </c>
      <c r="AB6">
        <v>0</v>
      </c>
      <c r="AC6" t="s">
        <v>92</v>
      </c>
      <c r="AD6">
        <v>9</v>
      </c>
      <c r="AE6">
        <v>10412611</v>
      </c>
      <c r="AF6" t="s">
        <v>79</v>
      </c>
      <c r="AG6" t="s">
        <v>80</v>
      </c>
    </row>
    <row r="7" spans="1:41" x14ac:dyDescent="0.35">
      <c r="A7" s="18">
        <v>44556.518055555556</v>
      </c>
      <c r="B7">
        <v>589099</v>
      </c>
      <c r="C7" t="s">
        <v>69</v>
      </c>
      <c r="D7" t="s">
        <v>70</v>
      </c>
      <c r="E7" s="19">
        <v>40498</v>
      </c>
      <c r="F7" t="str">
        <f>"9780470825624"</f>
        <v>9780470825624</v>
      </c>
      <c r="G7" t="str">
        <f>"9780470825617"</f>
        <v>9780470825617</v>
      </c>
      <c r="H7" t="s">
        <v>71</v>
      </c>
      <c r="I7">
        <v>621.38400000000001</v>
      </c>
      <c r="J7" t="s">
        <v>72</v>
      </c>
      <c r="K7" t="s">
        <v>73</v>
      </c>
      <c r="N7" t="s">
        <v>74</v>
      </c>
      <c r="O7" t="s">
        <v>75</v>
      </c>
      <c r="P7" t="s">
        <v>74</v>
      </c>
      <c r="Q7" t="s">
        <v>76</v>
      </c>
      <c r="R7" t="s">
        <v>73</v>
      </c>
      <c r="S7">
        <v>0</v>
      </c>
      <c r="W7" s="20">
        <v>3.2407407407407406E-3</v>
      </c>
      <c r="X7" t="s">
        <v>93</v>
      </c>
      <c r="Y7">
        <v>18</v>
      </c>
      <c r="Z7">
        <v>0</v>
      </c>
      <c r="AA7" t="s">
        <v>78</v>
      </c>
      <c r="AB7">
        <v>0</v>
      </c>
      <c r="AC7" t="s">
        <v>94</v>
      </c>
      <c r="AD7">
        <v>2</v>
      </c>
      <c r="AE7">
        <v>10412611</v>
      </c>
      <c r="AF7" t="s">
        <v>79</v>
      </c>
      <c r="AG7" t="s">
        <v>80</v>
      </c>
    </row>
    <row r="8" spans="1:41" x14ac:dyDescent="0.35">
      <c r="A8" s="18">
        <v>44556.449305555558</v>
      </c>
      <c r="B8">
        <v>589099</v>
      </c>
      <c r="C8" t="s">
        <v>69</v>
      </c>
      <c r="D8" t="s">
        <v>70</v>
      </c>
      <c r="E8" s="19">
        <v>40498</v>
      </c>
      <c r="F8" t="str">
        <f>"9780470825624"</f>
        <v>9780470825624</v>
      </c>
      <c r="G8" t="str">
        <f>"9780470825617"</f>
        <v>9780470825617</v>
      </c>
      <c r="H8" t="s">
        <v>71</v>
      </c>
      <c r="I8">
        <v>621.38400000000001</v>
      </c>
      <c r="J8" t="s">
        <v>72</v>
      </c>
      <c r="K8" t="s">
        <v>73</v>
      </c>
      <c r="N8" t="s">
        <v>74</v>
      </c>
      <c r="O8" t="s">
        <v>75</v>
      </c>
      <c r="P8" t="s">
        <v>74</v>
      </c>
      <c r="Q8" t="s">
        <v>76</v>
      </c>
      <c r="R8" t="s">
        <v>73</v>
      </c>
      <c r="S8">
        <v>0</v>
      </c>
      <c r="W8" s="20">
        <v>1.6782407407407406E-3</v>
      </c>
      <c r="X8" t="s">
        <v>95</v>
      </c>
      <c r="Y8">
        <v>14</v>
      </c>
      <c r="Z8">
        <v>0</v>
      </c>
      <c r="AA8" t="s">
        <v>78</v>
      </c>
      <c r="AB8">
        <v>0</v>
      </c>
      <c r="AC8" t="s">
        <v>78</v>
      </c>
      <c r="AD8">
        <v>0</v>
      </c>
      <c r="AE8">
        <v>10412611</v>
      </c>
      <c r="AF8" t="s">
        <v>79</v>
      </c>
      <c r="AG8" t="s">
        <v>80</v>
      </c>
    </row>
    <row r="9" spans="1:41" x14ac:dyDescent="0.35">
      <c r="A9" s="18">
        <v>44555.97152777778</v>
      </c>
      <c r="B9">
        <v>496068</v>
      </c>
      <c r="C9" t="s">
        <v>96</v>
      </c>
      <c r="D9" t="s">
        <v>70</v>
      </c>
      <c r="E9" s="19">
        <v>40273</v>
      </c>
      <c r="F9" t="str">
        <f>"9780470689479"</f>
        <v>9780470689479</v>
      </c>
      <c r="G9" t="str">
        <f>"9780470746530"</f>
        <v>9780470746530</v>
      </c>
      <c r="H9" t="s">
        <v>97</v>
      </c>
      <c r="I9" t="s">
        <v>98</v>
      </c>
      <c r="J9" t="s">
        <v>99</v>
      </c>
      <c r="K9" t="s">
        <v>73</v>
      </c>
      <c r="N9" t="s">
        <v>74</v>
      </c>
      <c r="O9" t="s">
        <v>75</v>
      </c>
      <c r="P9" t="s">
        <v>74</v>
      </c>
      <c r="Q9" t="s">
        <v>76</v>
      </c>
      <c r="R9" t="s">
        <v>73</v>
      </c>
      <c r="S9">
        <v>0</v>
      </c>
      <c r="W9" s="20">
        <v>1.0879629629629629E-3</v>
      </c>
      <c r="X9" t="s">
        <v>100</v>
      </c>
      <c r="Y9">
        <v>17</v>
      </c>
      <c r="Z9">
        <v>0</v>
      </c>
      <c r="AA9" t="s">
        <v>78</v>
      </c>
      <c r="AB9">
        <v>0</v>
      </c>
      <c r="AC9" t="s">
        <v>78</v>
      </c>
      <c r="AD9">
        <v>0</v>
      </c>
      <c r="AE9">
        <v>10375595</v>
      </c>
      <c r="AF9" t="s">
        <v>79</v>
      </c>
      <c r="AG9" t="s">
        <v>80</v>
      </c>
    </row>
    <row r="10" spans="1:41" x14ac:dyDescent="0.35">
      <c r="A10" s="18">
        <v>44555.310416666667</v>
      </c>
      <c r="B10">
        <v>1481010</v>
      </c>
      <c r="C10" t="s">
        <v>101</v>
      </c>
      <c r="D10" t="s">
        <v>102</v>
      </c>
      <c r="E10" s="19">
        <v>41571</v>
      </c>
      <c r="F10" t="str">
        <f>"9780199989799"</f>
        <v>9780199989799</v>
      </c>
      <c r="G10" t="str">
        <f>"9780199935710"</f>
        <v>9780199935710</v>
      </c>
      <c r="H10" t="s">
        <v>103</v>
      </c>
      <c r="I10">
        <v>573.6</v>
      </c>
      <c r="J10" t="s">
        <v>104</v>
      </c>
      <c r="K10" t="s">
        <v>73</v>
      </c>
      <c r="N10" t="s">
        <v>74</v>
      </c>
      <c r="O10" t="s">
        <v>75</v>
      </c>
      <c r="P10" t="s">
        <v>74</v>
      </c>
      <c r="Q10" t="s">
        <v>76</v>
      </c>
      <c r="R10" t="s">
        <v>73</v>
      </c>
      <c r="S10">
        <v>2</v>
      </c>
      <c r="W10" s="20">
        <v>1.7291666666666667E-2</v>
      </c>
      <c r="X10" t="s">
        <v>105</v>
      </c>
      <c r="Y10">
        <v>62</v>
      </c>
      <c r="Z10">
        <v>1</v>
      </c>
      <c r="AA10" t="s">
        <v>106</v>
      </c>
      <c r="AB10">
        <v>34</v>
      </c>
      <c r="AC10" t="s">
        <v>78</v>
      </c>
      <c r="AD10">
        <v>0</v>
      </c>
      <c r="AE10">
        <v>10775386</v>
      </c>
      <c r="AF10" t="s">
        <v>88</v>
      </c>
      <c r="AG10" t="s">
        <v>107</v>
      </c>
    </row>
    <row r="11" spans="1:41" x14ac:dyDescent="0.35">
      <c r="A11" s="18">
        <v>44555.309027777781</v>
      </c>
      <c r="B11">
        <v>1481010</v>
      </c>
      <c r="C11" t="s">
        <v>101</v>
      </c>
      <c r="D11" t="s">
        <v>102</v>
      </c>
      <c r="E11" s="19">
        <v>41571</v>
      </c>
      <c r="F11" t="str">
        <f>"9780199989799"</f>
        <v>9780199989799</v>
      </c>
      <c r="G11" t="str">
        <f>"9780199935710"</f>
        <v>9780199935710</v>
      </c>
      <c r="H11" t="s">
        <v>103</v>
      </c>
      <c r="I11">
        <v>573.6</v>
      </c>
      <c r="J11" t="s">
        <v>104</v>
      </c>
      <c r="K11" t="s">
        <v>73</v>
      </c>
      <c r="N11" t="s">
        <v>74</v>
      </c>
      <c r="O11" t="s">
        <v>75</v>
      </c>
      <c r="P11" t="s">
        <v>74</v>
      </c>
      <c r="Q11" t="s">
        <v>76</v>
      </c>
      <c r="R11" t="s">
        <v>73</v>
      </c>
      <c r="S11">
        <v>0</v>
      </c>
      <c r="W11" s="20">
        <v>1.5393518518518519E-3</v>
      </c>
      <c r="X11" t="s">
        <v>108</v>
      </c>
      <c r="Y11">
        <v>11</v>
      </c>
      <c r="Z11">
        <v>0</v>
      </c>
      <c r="AA11" t="s">
        <v>78</v>
      </c>
      <c r="AB11">
        <v>0</v>
      </c>
      <c r="AC11" t="s">
        <v>78</v>
      </c>
      <c r="AD11">
        <v>0</v>
      </c>
      <c r="AE11">
        <v>10775386</v>
      </c>
      <c r="AF11" t="s">
        <v>88</v>
      </c>
      <c r="AG11" t="s">
        <v>107</v>
      </c>
    </row>
    <row r="12" spans="1:41" x14ac:dyDescent="0.35">
      <c r="A12" s="18">
        <v>44551.392361111109</v>
      </c>
      <c r="B12">
        <v>5761056</v>
      </c>
      <c r="C12" t="s">
        <v>109</v>
      </c>
      <c r="D12" t="s">
        <v>70</v>
      </c>
      <c r="E12" s="19">
        <v>43592</v>
      </c>
      <c r="F12" t="str">
        <f>"9781119542957"</f>
        <v>9781119542957</v>
      </c>
      <c r="G12" t="str">
        <f>"9781119542940"</f>
        <v>9781119542940</v>
      </c>
      <c r="H12" t="s">
        <v>110</v>
      </c>
      <c r="I12">
        <v>5.8</v>
      </c>
      <c r="J12" t="s">
        <v>111</v>
      </c>
      <c r="K12" t="s">
        <v>85</v>
      </c>
      <c r="Q12" t="s">
        <v>76</v>
      </c>
      <c r="R12" t="s">
        <v>73</v>
      </c>
      <c r="S12">
        <v>0</v>
      </c>
      <c r="W12" s="20">
        <v>3.0092592592592595E-4</v>
      </c>
      <c r="X12" t="s">
        <v>112</v>
      </c>
      <c r="Y12">
        <v>6</v>
      </c>
      <c r="Z12">
        <v>0</v>
      </c>
      <c r="AA12" t="s">
        <v>78</v>
      </c>
      <c r="AB12">
        <v>0</v>
      </c>
      <c r="AC12" t="s">
        <v>78</v>
      </c>
      <c r="AD12">
        <v>0</v>
      </c>
      <c r="AE12">
        <v>-1</v>
      </c>
      <c r="AF12" t="s">
        <v>79</v>
      </c>
      <c r="AG12" t="s">
        <v>113</v>
      </c>
    </row>
    <row r="13" spans="1:41" x14ac:dyDescent="0.35">
      <c r="A13" s="18">
        <v>44551.352777777778</v>
      </c>
      <c r="B13">
        <v>2008055</v>
      </c>
      <c r="C13" t="s">
        <v>114</v>
      </c>
      <c r="D13" t="s">
        <v>70</v>
      </c>
      <c r="E13" s="19">
        <v>34236</v>
      </c>
      <c r="F13" t="str">
        <f>"9781119115175"</f>
        <v>9781119115175</v>
      </c>
      <c r="G13" t="str">
        <f>"9780471002550"</f>
        <v>9780471002550</v>
      </c>
      <c r="H13" t="s">
        <v>115</v>
      </c>
      <c r="I13" t="s">
        <v>116</v>
      </c>
      <c r="J13" t="s">
        <v>117</v>
      </c>
      <c r="K13" t="s">
        <v>73</v>
      </c>
      <c r="N13" t="s">
        <v>74</v>
      </c>
      <c r="O13" t="s">
        <v>75</v>
      </c>
      <c r="P13" t="s">
        <v>74</v>
      </c>
      <c r="Q13" t="s">
        <v>76</v>
      </c>
      <c r="R13" t="s">
        <v>73</v>
      </c>
      <c r="S13">
        <v>0</v>
      </c>
      <c r="W13" s="20">
        <v>1.3310185185185185E-3</v>
      </c>
      <c r="X13" t="s">
        <v>118</v>
      </c>
      <c r="Y13">
        <v>10</v>
      </c>
      <c r="Z13">
        <v>3</v>
      </c>
      <c r="AA13" t="s">
        <v>119</v>
      </c>
      <c r="AB13">
        <v>39</v>
      </c>
      <c r="AC13" t="s">
        <v>78</v>
      </c>
      <c r="AD13">
        <v>0</v>
      </c>
      <c r="AE13">
        <v>11197059</v>
      </c>
      <c r="AF13" t="s">
        <v>79</v>
      </c>
      <c r="AG13" t="s">
        <v>120</v>
      </c>
    </row>
    <row r="14" spans="1:41" x14ac:dyDescent="0.35">
      <c r="A14" s="18">
        <v>44550.469444444447</v>
      </c>
      <c r="B14">
        <v>1832729</v>
      </c>
      <c r="C14" t="s">
        <v>121</v>
      </c>
      <c r="D14" t="s">
        <v>122</v>
      </c>
      <c r="E14" s="19">
        <v>41939</v>
      </c>
      <c r="F14" t="str">
        <f>"9781119019237"</f>
        <v>9781119019237</v>
      </c>
      <c r="G14" t="str">
        <f>"9781556203411"</f>
        <v>9781556203411</v>
      </c>
      <c r="H14" t="s">
        <v>123</v>
      </c>
      <c r="I14">
        <v>362.20400000000001</v>
      </c>
      <c r="J14" t="s">
        <v>124</v>
      </c>
      <c r="K14" t="s">
        <v>85</v>
      </c>
      <c r="N14" t="s">
        <v>74</v>
      </c>
      <c r="O14" t="s">
        <v>75</v>
      </c>
      <c r="P14" t="s">
        <v>74</v>
      </c>
      <c r="Q14" t="s">
        <v>76</v>
      </c>
      <c r="R14" t="s">
        <v>73</v>
      </c>
      <c r="S14">
        <v>0</v>
      </c>
      <c r="W14" s="20">
        <v>9.2592592592592588E-5</v>
      </c>
      <c r="X14" t="s">
        <v>125</v>
      </c>
      <c r="Y14">
        <v>2</v>
      </c>
      <c r="Z14">
        <v>0</v>
      </c>
      <c r="AA14" t="s">
        <v>78</v>
      </c>
      <c r="AB14">
        <v>0</v>
      </c>
      <c r="AC14" t="s">
        <v>78</v>
      </c>
      <c r="AD14">
        <v>0</v>
      </c>
      <c r="AE14">
        <v>10964416</v>
      </c>
      <c r="AF14" t="s">
        <v>79</v>
      </c>
      <c r="AG14" t="s">
        <v>80</v>
      </c>
    </row>
    <row r="15" spans="1:41" x14ac:dyDescent="0.35">
      <c r="A15" s="18">
        <v>44550.449305555558</v>
      </c>
      <c r="B15">
        <v>668432</v>
      </c>
      <c r="C15" t="s">
        <v>126</v>
      </c>
      <c r="D15" t="s">
        <v>127</v>
      </c>
      <c r="E15" s="19">
        <v>40612</v>
      </c>
      <c r="F15" t="str">
        <f>"9780203844434"</f>
        <v>9780203844434</v>
      </c>
      <c r="G15" t="str">
        <f>"9780415553643"</f>
        <v>9780415553643</v>
      </c>
      <c r="H15" t="s">
        <v>128</v>
      </c>
      <c r="I15">
        <v>307.12</v>
      </c>
      <c r="J15" t="s">
        <v>129</v>
      </c>
      <c r="K15" t="s">
        <v>73</v>
      </c>
      <c r="N15" t="s">
        <v>74</v>
      </c>
      <c r="O15" t="s">
        <v>75</v>
      </c>
      <c r="P15" t="s">
        <v>74</v>
      </c>
      <c r="Q15" t="s">
        <v>76</v>
      </c>
      <c r="R15" t="s">
        <v>73</v>
      </c>
      <c r="S15">
        <v>0</v>
      </c>
      <c r="W15" s="20">
        <v>2.2037037037037036E-2</v>
      </c>
      <c r="X15" t="s">
        <v>130</v>
      </c>
      <c r="Y15">
        <v>46</v>
      </c>
      <c r="Z15">
        <v>0</v>
      </c>
      <c r="AA15" t="s">
        <v>78</v>
      </c>
      <c r="AB15">
        <v>0</v>
      </c>
      <c r="AC15" t="s">
        <v>131</v>
      </c>
      <c r="AD15">
        <v>5</v>
      </c>
      <c r="AE15">
        <v>10452433</v>
      </c>
      <c r="AF15" t="s">
        <v>88</v>
      </c>
      <c r="AG15" t="s">
        <v>120</v>
      </c>
    </row>
    <row r="16" spans="1:41" x14ac:dyDescent="0.35">
      <c r="A16" s="18">
        <v>44550.449305555558</v>
      </c>
      <c r="B16">
        <v>668432</v>
      </c>
      <c r="C16" t="s">
        <v>126</v>
      </c>
      <c r="D16" t="s">
        <v>127</v>
      </c>
      <c r="E16" s="19">
        <v>40612</v>
      </c>
      <c r="F16" t="str">
        <f>"9780203844434"</f>
        <v>9780203844434</v>
      </c>
      <c r="G16" t="str">
        <f>"9780415553643"</f>
        <v>9780415553643</v>
      </c>
      <c r="H16" t="s">
        <v>128</v>
      </c>
      <c r="I16">
        <v>307.12</v>
      </c>
      <c r="J16" t="s">
        <v>129</v>
      </c>
      <c r="K16" t="s">
        <v>73</v>
      </c>
      <c r="N16" t="s">
        <v>74</v>
      </c>
      <c r="O16" t="s">
        <v>75</v>
      </c>
      <c r="P16" t="s">
        <v>74</v>
      </c>
      <c r="Q16" t="s">
        <v>76</v>
      </c>
      <c r="R16" t="s">
        <v>73</v>
      </c>
      <c r="S16">
        <v>0</v>
      </c>
      <c r="W16" s="20">
        <v>0</v>
      </c>
      <c r="X16" t="s">
        <v>78</v>
      </c>
      <c r="Y16">
        <v>0</v>
      </c>
      <c r="Z16">
        <v>0</v>
      </c>
      <c r="AA16" t="s">
        <v>78</v>
      </c>
      <c r="AB16">
        <v>0</v>
      </c>
      <c r="AC16" t="s">
        <v>78</v>
      </c>
      <c r="AD16">
        <v>0</v>
      </c>
      <c r="AE16">
        <v>10452433</v>
      </c>
      <c r="AF16" t="s">
        <v>79</v>
      </c>
      <c r="AG16" t="s">
        <v>120</v>
      </c>
    </row>
    <row r="17" spans="1:33" x14ac:dyDescent="0.35">
      <c r="A17" s="18">
        <v>44550.25277777778</v>
      </c>
      <c r="B17">
        <v>668432</v>
      </c>
      <c r="C17" t="s">
        <v>126</v>
      </c>
      <c r="D17" t="s">
        <v>127</v>
      </c>
      <c r="E17" s="19">
        <v>40612</v>
      </c>
      <c r="F17" t="str">
        <f>"9780203844434"</f>
        <v>9780203844434</v>
      </c>
      <c r="G17" t="str">
        <f>"9780415553643"</f>
        <v>9780415553643</v>
      </c>
      <c r="H17" t="s">
        <v>128</v>
      </c>
      <c r="I17">
        <v>307.12</v>
      </c>
      <c r="J17" t="s">
        <v>129</v>
      </c>
      <c r="K17" t="s">
        <v>73</v>
      </c>
      <c r="N17" t="s">
        <v>74</v>
      </c>
      <c r="O17" t="s">
        <v>75</v>
      </c>
      <c r="P17" t="s">
        <v>74</v>
      </c>
      <c r="Q17" t="s">
        <v>76</v>
      </c>
      <c r="R17" t="s">
        <v>73</v>
      </c>
      <c r="S17">
        <v>0</v>
      </c>
      <c r="W17" s="20">
        <v>4.6296296296296294E-5</v>
      </c>
      <c r="X17" t="s">
        <v>132</v>
      </c>
      <c r="Y17">
        <v>1</v>
      </c>
      <c r="Z17">
        <v>0</v>
      </c>
      <c r="AA17" t="s">
        <v>78</v>
      </c>
      <c r="AB17">
        <v>0</v>
      </c>
      <c r="AC17" t="s">
        <v>78</v>
      </c>
      <c r="AD17">
        <v>0</v>
      </c>
      <c r="AE17">
        <v>10452433</v>
      </c>
      <c r="AF17" t="s">
        <v>79</v>
      </c>
      <c r="AG17" t="s">
        <v>120</v>
      </c>
    </row>
    <row r="18" spans="1:33" x14ac:dyDescent="0.35">
      <c r="A18" s="18">
        <v>44549.904861111114</v>
      </c>
      <c r="B18">
        <v>1874266</v>
      </c>
      <c r="C18" t="s">
        <v>133</v>
      </c>
      <c r="D18" t="s">
        <v>134</v>
      </c>
      <c r="E18" s="19">
        <v>41968</v>
      </c>
      <c r="F18" t="str">
        <f>"9781442223516"</f>
        <v>9781442223516</v>
      </c>
      <c r="G18" t="str">
        <f>"9781442223493"</f>
        <v>9781442223493</v>
      </c>
      <c r="H18" t="s">
        <v>135</v>
      </c>
      <c r="I18">
        <v>320.12</v>
      </c>
      <c r="J18" t="s">
        <v>136</v>
      </c>
      <c r="K18" t="s">
        <v>73</v>
      </c>
      <c r="N18" t="s">
        <v>74</v>
      </c>
      <c r="O18" t="s">
        <v>75</v>
      </c>
      <c r="P18" t="s">
        <v>74</v>
      </c>
      <c r="Q18" t="s">
        <v>76</v>
      </c>
      <c r="R18" t="s">
        <v>73</v>
      </c>
      <c r="S18">
        <v>0</v>
      </c>
      <c r="W18" s="20">
        <v>4.6296296296296294E-5</v>
      </c>
      <c r="X18" t="s">
        <v>137</v>
      </c>
      <c r="Y18">
        <v>1</v>
      </c>
      <c r="Z18">
        <v>5</v>
      </c>
      <c r="AA18" t="s">
        <v>138</v>
      </c>
      <c r="AB18">
        <v>148</v>
      </c>
      <c r="AC18" t="s">
        <v>78</v>
      </c>
      <c r="AD18">
        <v>0</v>
      </c>
      <c r="AE18">
        <v>11025386</v>
      </c>
      <c r="AF18" t="s">
        <v>79</v>
      </c>
      <c r="AG18" t="s">
        <v>139</v>
      </c>
    </row>
    <row r="19" spans="1:33" x14ac:dyDescent="0.35">
      <c r="A19" s="18">
        <v>44549.390277777777</v>
      </c>
      <c r="B19">
        <v>668432</v>
      </c>
      <c r="C19" t="s">
        <v>126</v>
      </c>
      <c r="D19" t="s">
        <v>127</v>
      </c>
      <c r="E19" s="19">
        <v>40612</v>
      </c>
      <c r="F19" t="str">
        <f>"9780203844434"</f>
        <v>9780203844434</v>
      </c>
      <c r="G19" t="str">
        <f>"9780415553643"</f>
        <v>9780415553643</v>
      </c>
      <c r="H19" t="s">
        <v>128</v>
      </c>
      <c r="I19">
        <v>307.12</v>
      </c>
      <c r="J19" t="s">
        <v>129</v>
      </c>
      <c r="K19" t="s">
        <v>73</v>
      </c>
      <c r="N19" t="s">
        <v>74</v>
      </c>
      <c r="O19" t="s">
        <v>75</v>
      </c>
      <c r="P19" t="s">
        <v>74</v>
      </c>
      <c r="Q19" t="s">
        <v>76</v>
      </c>
      <c r="R19" t="s">
        <v>73</v>
      </c>
      <c r="S19">
        <v>0</v>
      </c>
      <c r="W19" s="20">
        <v>6.134259259259259E-4</v>
      </c>
      <c r="X19" t="s">
        <v>140</v>
      </c>
      <c r="Y19">
        <v>5</v>
      </c>
      <c r="Z19">
        <v>0</v>
      </c>
      <c r="AA19" t="s">
        <v>78</v>
      </c>
      <c r="AB19">
        <v>0</v>
      </c>
      <c r="AC19" t="s">
        <v>78</v>
      </c>
      <c r="AD19">
        <v>0</v>
      </c>
      <c r="AE19">
        <v>10452433</v>
      </c>
      <c r="AF19" t="s">
        <v>79</v>
      </c>
      <c r="AG19" t="s">
        <v>120</v>
      </c>
    </row>
    <row r="20" spans="1:33" x14ac:dyDescent="0.35">
      <c r="A20" s="18">
        <v>44549.335416666669</v>
      </c>
      <c r="B20">
        <v>668432</v>
      </c>
      <c r="C20" t="s">
        <v>126</v>
      </c>
      <c r="D20" t="s">
        <v>127</v>
      </c>
      <c r="E20" s="19">
        <v>40612</v>
      </c>
      <c r="F20" t="str">
        <f>"9780203844434"</f>
        <v>9780203844434</v>
      </c>
      <c r="G20" t="str">
        <f>"9780415553643"</f>
        <v>9780415553643</v>
      </c>
      <c r="H20" t="s">
        <v>128</v>
      </c>
      <c r="I20">
        <v>307.12</v>
      </c>
      <c r="J20" t="s">
        <v>129</v>
      </c>
      <c r="K20" t="s">
        <v>73</v>
      </c>
      <c r="N20" t="s">
        <v>74</v>
      </c>
      <c r="O20" t="s">
        <v>75</v>
      </c>
      <c r="P20" t="s">
        <v>74</v>
      </c>
      <c r="Q20" t="s">
        <v>76</v>
      </c>
      <c r="R20" t="s">
        <v>73</v>
      </c>
      <c r="S20">
        <v>0</v>
      </c>
      <c r="W20" s="20">
        <v>5.7870370370370378E-4</v>
      </c>
      <c r="X20" t="s">
        <v>141</v>
      </c>
      <c r="Y20">
        <v>5</v>
      </c>
      <c r="Z20">
        <v>0</v>
      </c>
      <c r="AA20" t="s">
        <v>78</v>
      </c>
      <c r="AB20">
        <v>0</v>
      </c>
      <c r="AC20" t="s">
        <v>78</v>
      </c>
      <c r="AD20">
        <v>0</v>
      </c>
      <c r="AE20">
        <v>10452433</v>
      </c>
      <c r="AF20" t="s">
        <v>79</v>
      </c>
      <c r="AG20" t="s">
        <v>120</v>
      </c>
    </row>
    <row r="21" spans="1:33" x14ac:dyDescent="0.35">
      <c r="A21" s="18">
        <v>44548.99722222222</v>
      </c>
      <c r="B21">
        <v>4187170</v>
      </c>
      <c r="C21" t="s">
        <v>142</v>
      </c>
      <c r="D21" t="s">
        <v>70</v>
      </c>
      <c r="E21" s="19">
        <v>42317</v>
      </c>
      <c r="F21" t="str">
        <f>"9781119086581"</f>
        <v>9781119086581</v>
      </c>
      <c r="G21" t="str">
        <f>"9781119086574"</f>
        <v>9781119086574</v>
      </c>
      <c r="H21" t="s">
        <v>143</v>
      </c>
      <c r="I21" t="s">
        <v>144</v>
      </c>
      <c r="J21" t="s">
        <v>145</v>
      </c>
      <c r="K21" t="s">
        <v>73</v>
      </c>
      <c r="N21" t="s">
        <v>74</v>
      </c>
      <c r="O21" t="s">
        <v>75</v>
      </c>
      <c r="P21" t="s">
        <v>74</v>
      </c>
      <c r="Q21" t="s">
        <v>76</v>
      </c>
      <c r="R21" t="s">
        <v>73</v>
      </c>
      <c r="S21">
        <v>0</v>
      </c>
      <c r="W21" s="20">
        <v>2.3148148148148151E-3</v>
      </c>
      <c r="X21" t="s">
        <v>146</v>
      </c>
      <c r="Y21">
        <v>38</v>
      </c>
      <c r="Z21">
        <v>0</v>
      </c>
      <c r="AA21" t="s">
        <v>78</v>
      </c>
      <c r="AB21">
        <v>0</v>
      </c>
      <c r="AC21" t="s">
        <v>78</v>
      </c>
      <c r="AD21">
        <v>0</v>
      </c>
      <c r="AE21">
        <v>11128320</v>
      </c>
      <c r="AF21" t="s">
        <v>79</v>
      </c>
      <c r="AG21" t="s">
        <v>147</v>
      </c>
    </row>
    <row r="22" spans="1:33" x14ac:dyDescent="0.35">
      <c r="A22" s="18">
        <v>44548.351388888892</v>
      </c>
      <c r="B22">
        <v>818495</v>
      </c>
      <c r="C22" t="s">
        <v>148</v>
      </c>
      <c r="D22" t="s">
        <v>70</v>
      </c>
      <c r="E22" s="19">
        <v>40919</v>
      </c>
      <c r="F22" t="str">
        <f>"9781118158647"</f>
        <v>9781118158647</v>
      </c>
      <c r="G22" t="str">
        <f>"9781118158678"</f>
        <v>9781118158678</v>
      </c>
      <c r="H22" t="s">
        <v>149</v>
      </c>
      <c r="I22">
        <v>572.67999999999995</v>
      </c>
      <c r="J22" t="s">
        <v>150</v>
      </c>
      <c r="K22" t="s">
        <v>73</v>
      </c>
      <c r="N22" t="s">
        <v>74</v>
      </c>
      <c r="O22" t="s">
        <v>75</v>
      </c>
      <c r="P22" t="s">
        <v>74</v>
      </c>
      <c r="Q22" t="s">
        <v>76</v>
      </c>
      <c r="R22" t="s">
        <v>73</v>
      </c>
      <c r="S22">
        <v>0</v>
      </c>
      <c r="W22" s="20">
        <v>5.7407407407407416E-3</v>
      </c>
      <c r="X22" t="s">
        <v>151</v>
      </c>
      <c r="Y22">
        <v>19</v>
      </c>
      <c r="Z22">
        <v>0</v>
      </c>
      <c r="AA22" t="s">
        <v>78</v>
      </c>
      <c r="AB22">
        <v>0</v>
      </c>
      <c r="AC22" t="s">
        <v>78</v>
      </c>
      <c r="AD22">
        <v>0</v>
      </c>
      <c r="AE22">
        <v>10577666</v>
      </c>
      <c r="AF22" t="s">
        <v>79</v>
      </c>
      <c r="AG22" t="s">
        <v>80</v>
      </c>
    </row>
    <row r="23" spans="1:33" x14ac:dyDescent="0.35">
      <c r="A23" s="18">
        <v>44547.689583333333</v>
      </c>
      <c r="B23">
        <v>3011213</v>
      </c>
      <c r="C23" t="s">
        <v>152</v>
      </c>
      <c r="D23" t="s">
        <v>153</v>
      </c>
      <c r="E23" s="19">
        <v>39417</v>
      </c>
      <c r="F23" t="str">
        <f>"9781642875614"</f>
        <v>9781642875614</v>
      </c>
      <c r="G23" t="str">
        <f>"9788183185493"</f>
        <v>9788183185493</v>
      </c>
      <c r="H23" t="s">
        <v>154</v>
      </c>
      <c r="J23" t="s">
        <v>155</v>
      </c>
      <c r="K23" t="s">
        <v>73</v>
      </c>
      <c r="N23" t="s">
        <v>74</v>
      </c>
      <c r="O23" t="s">
        <v>75</v>
      </c>
      <c r="P23" t="s">
        <v>74</v>
      </c>
      <c r="Q23" t="s">
        <v>76</v>
      </c>
      <c r="R23" t="s">
        <v>73</v>
      </c>
      <c r="S23">
        <v>0</v>
      </c>
      <c r="W23" s="20">
        <v>1.0416666666666667E-4</v>
      </c>
      <c r="X23" t="s">
        <v>156</v>
      </c>
      <c r="Y23">
        <v>1</v>
      </c>
      <c r="Z23">
        <v>0</v>
      </c>
      <c r="AA23" t="s">
        <v>78</v>
      </c>
      <c r="AB23">
        <v>0</v>
      </c>
      <c r="AC23" t="s">
        <v>78</v>
      </c>
      <c r="AD23">
        <v>0</v>
      </c>
      <c r="AE23">
        <v>10415487</v>
      </c>
      <c r="AF23" t="s">
        <v>79</v>
      </c>
      <c r="AG23" t="s">
        <v>80</v>
      </c>
    </row>
    <row r="24" spans="1:33" x14ac:dyDescent="0.35">
      <c r="A24" s="18">
        <v>44547</v>
      </c>
      <c r="B24">
        <v>858659</v>
      </c>
      <c r="C24" t="s">
        <v>157</v>
      </c>
      <c r="D24" t="s">
        <v>158</v>
      </c>
      <c r="E24" s="19">
        <v>40957</v>
      </c>
      <c r="F24" t="str">
        <f>"9780080966601"</f>
        <v>9780080966601</v>
      </c>
      <c r="G24" t="str">
        <f>"9780080966595"</f>
        <v>9780080966595</v>
      </c>
      <c r="H24" t="s">
        <v>159</v>
      </c>
      <c r="I24" t="s">
        <v>160</v>
      </c>
      <c r="J24" t="s">
        <v>161</v>
      </c>
      <c r="K24" t="s">
        <v>73</v>
      </c>
      <c r="N24" t="s">
        <v>74</v>
      </c>
      <c r="O24" t="s">
        <v>75</v>
      </c>
      <c r="P24" t="s">
        <v>74</v>
      </c>
      <c r="Q24" t="s">
        <v>76</v>
      </c>
      <c r="R24" t="s">
        <v>73</v>
      </c>
      <c r="S24">
        <v>0</v>
      </c>
      <c r="W24" s="20">
        <v>1.5046296296296297E-4</v>
      </c>
      <c r="X24" t="s">
        <v>162</v>
      </c>
      <c r="Y24">
        <v>3</v>
      </c>
      <c r="Z24">
        <v>0</v>
      </c>
      <c r="AA24" t="s">
        <v>78</v>
      </c>
      <c r="AB24">
        <v>0</v>
      </c>
      <c r="AC24" t="s">
        <v>78</v>
      </c>
      <c r="AD24">
        <v>0</v>
      </c>
      <c r="AE24">
        <v>10562149</v>
      </c>
      <c r="AF24" t="s">
        <v>79</v>
      </c>
      <c r="AG24" t="s">
        <v>163</v>
      </c>
    </row>
    <row r="25" spans="1:33" x14ac:dyDescent="0.35">
      <c r="A25" s="18">
        <v>44545.7</v>
      </c>
      <c r="B25">
        <v>604149</v>
      </c>
      <c r="C25" t="s">
        <v>164</v>
      </c>
      <c r="D25" t="s">
        <v>127</v>
      </c>
      <c r="E25" s="19">
        <v>40529</v>
      </c>
      <c r="F25" t="str">
        <f>"9780203835227"</f>
        <v>9780203835227</v>
      </c>
      <c r="G25" t="str">
        <f>"9780415499392"</f>
        <v>9780415499392</v>
      </c>
      <c r="H25" t="s">
        <v>165</v>
      </c>
      <c r="I25">
        <v>363.32517200000001</v>
      </c>
      <c r="J25" t="s">
        <v>166</v>
      </c>
      <c r="K25" t="s">
        <v>73</v>
      </c>
      <c r="N25" t="s">
        <v>74</v>
      </c>
      <c r="O25" t="s">
        <v>75</v>
      </c>
      <c r="P25" t="s">
        <v>74</v>
      </c>
      <c r="Q25" t="s">
        <v>76</v>
      </c>
      <c r="R25" t="s">
        <v>73</v>
      </c>
      <c r="S25">
        <v>0</v>
      </c>
      <c r="W25" s="20">
        <v>0</v>
      </c>
      <c r="X25" t="s">
        <v>78</v>
      </c>
      <c r="Y25">
        <v>0</v>
      </c>
      <c r="Z25">
        <v>1</v>
      </c>
      <c r="AA25" t="s">
        <v>167</v>
      </c>
      <c r="AB25">
        <v>12</v>
      </c>
      <c r="AC25" t="s">
        <v>78</v>
      </c>
      <c r="AD25">
        <v>0</v>
      </c>
      <c r="AE25">
        <v>10442794</v>
      </c>
      <c r="AF25" t="s">
        <v>79</v>
      </c>
      <c r="AG25" t="s">
        <v>80</v>
      </c>
    </row>
    <row r="26" spans="1:33" x14ac:dyDescent="0.35">
      <c r="A26" s="18">
        <v>44545.690972222219</v>
      </c>
      <c r="B26">
        <v>684091</v>
      </c>
      <c r="C26" t="s">
        <v>168</v>
      </c>
      <c r="D26" t="s">
        <v>127</v>
      </c>
      <c r="E26" s="19">
        <v>40687</v>
      </c>
      <c r="F26" t="str">
        <f>"9780203827475"</f>
        <v>9780203827475</v>
      </c>
      <c r="G26" t="str">
        <f>"9780415602624"</f>
        <v>9780415602624</v>
      </c>
      <c r="H26" t="s">
        <v>128</v>
      </c>
      <c r="I26" t="s">
        <v>169</v>
      </c>
      <c r="J26" t="s">
        <v>170</v>
      </c>
      <c r="K26" t="s">
        <v>73</v>
      </c>
      <c r="N26" t="s">
        <v>74</v>
      </c>
      <c r="O26" t="s">
        <v>75</v>
      </c>
      <c r="P26" t="s">
        <v>74</v>
      </c>
      <c r="Q26" t="s">
        <v>76</v>
      </c>
      <c r="R26" t="s">
        <v>73</v>
      </c>
      <c r="S26">
        <v>0</v>
      </c>
      <c r="W26" s="20">
        <v>6.5972222222222213E-4</v>
      </c>
      <c r="X26" t="s">
        <v>171</v>
      </c>
      <c r="Y26">
        <v>6</v>
      </c>
      <c r="Z26">
        <v>2</v>
      </c>
      <c r="AA26" t="s">
        <v>172</v>
      </c>
      <c r="AB26">
        <v>35</v>
      </c>
      <c r="AC26" t="s">
        <v>78</v>
      </c>
      <c r="AD26">
        <v>0</v>
      </c>
      <c r="AE26">
        <v>10514345</v>
      </c>
      <c r="AF26" t="s">
        <v>79</v>
      </c>
      <c r="AG26" t="s">
        <v>80</v>
      </c>
    </row>
    <row r="27" spans="1:33" x14ac:dyDescent="0.35">
      <c r="A27" s="18">
        <v>44545.629861111112</v>
      </c>
      <c r="B27">
        <v>1791862</v>
      </c>
      <c r="C27" t="s">
        <v>173</v>
      </c>
      <c r="D27" t="s">
        <v>70</v>
      </c>
      <c r="E27" s="19">
        <v>42004</v>
      </c>
      <c r="F27" t="str">
        <f>"9781118696002"</f>
        <v>9781118696002</v>
      </c>
      <c r="G27" t="str">
        <f>"9781118695968"</f>
        <v>9781118695968</v>
      </c>
      <c r="H27" t="s">
        <v>174</v>
      </c>
      <c r="I27">
        <v>668.1</v>
      </c>
      <c r="J27" t="s">
        <v>175</v>
      </c>
      <c r="K27" t="s">
        <v>73</v>
      </c>
      <c r="N27" t="s">
        <v>74</v>
      </c>
      <c r="O27" t="s">
        <v>75</v>
      </c>
      <c r="P27" t="s">
        <v>74</v>
      </c>
      <c r="Q27" t="s">
        <v>76</v>
      </c>
      <c r="R27" t="s">
        <v>73</v>
      </c>
      <c r="S27">
        <v>0</v>
      </c>
      <c r="W27" s="20">
        <v>9.2476851851851852E-3</v>
      </c>
      <c r="X27" t="s">
        <v>176</v>
      </c>
      <c r="Y27">
        <v>59</v>
      </c>
      <c r="Z27">
        <v>2</v>
      </c>
      <c r="AA27" t="s">
        <v>177</v>
      </c>
      <c r="AB27">
        <v>8</v>
      </c>
      <c r="AC27" t="s">
        <v>78</v>
      </c>
      <c r="AD27">
        <v>0</v>
      </c>
      <c r="AE27">
        <v>10937139</v>
      </c>
      <c r="AF27" t="s">
        <v>79</v>
      </c>
      <c r="AG27" t="s">
        <v>80</v>
      </c>
    </row>
    <row r="28" spans="1:33" x14ac:dyDescent="0.35">
      <c r="A28" s="18">
        <v>44544.981249999997</v>
      </c>
      <c r="B28">
        <v>6546221</v>
      </c>
      <c r="C28" t="s">
        <v>178</v>
      </c>
      <c r="D28" t="s">
        <v>158</v>
      </c>
      <c r="E28" s="19">
        <v>44299</v>
      </c>
      <c r="F28" t="str">
        <f>"9780128219300"</f>
        <v>9780128219300</v>
      </c>
      <c r="G28" t="str">
        <f>"9780128219294"</f>
        <v>9780128219294</v>
      </c>
      <c r="H28" t="s">
        <v>179</v>
      </c>
      <c r="I28">
        <v>622.33802856310001</v>
      </c>
      <c r="J28" t="s">
        <v>180</v>
      </c>
      <c r="K28" t="s">
        <v>85</v>
      </c>
      <c r="N28" t="s">
        <v>86</v>
      </c>
      <c r="P28" t="s">
        <v>87</v>
      </c>
      <c r="Q28" t="s">
        <v>76</v>
      </c>
      <c r="R28" t="s">
        <v>73</v>
      </c>
      <c r="S28">
        <v>0</v>
      </c>
      <c r="W28" s="20">
        <v>1.5046296296296297E-4</v>
      </c>
      <c r="X28" t="s">
        <v>181</v>
      </c>
      <c r="Y28">
        <v>3</v>
      </c>
      <c r="Z28">
        <v>0</v>
      </c>
      <c r="AA28" t="s">
        <v>78</v>
      </c>
      <c r="AB28">
        <v>0</v>
      </c>
      <c r="AC28" t="s">
        <v>78</v>
      </c>
      <c r="AD28">
        <v>0</v>
      </c>
      <c r="AE28">
        <v>-1</v>
      </c>
      <c r="AF28" t="s">
        <v>79</v>
      </c>
      <c r="AG28" t="s">
        <v>80</v>
      </c>
    </row>
    <row r="29" spans="1:33" x14ac:dyDescent="0.35">
      <c r="A29" s="18">
        <v>44544.474999999999</v>
      </c>
      <c r="B29">
        <v>6395817</v>
      </c>
      <c r="C29" t="s">
        <v>182</v>
      </c>
      <c r="D29" t="s">
        <v>183</v>
      </c>
      <c r="E29" s="19">
        <v>44222</v>
      </c>
      <c r="F29" t="str">
        <f>"9781503614574"</f>
        <v>9781503614574</v>
      </c>
      <c r="G29" t="str">
        <f>"9781503611917"</f>
        <v>9781503611917</v>
      </c>
      <c r="H29" t="s">
        <v>184</v>
      </c>
      <c r="I29">
        <v>616.04209560000004</v>
      </c>
      <c r="J29" t="s">
        <v>185</v>
      </c>
      <c r="K29" t="s">
        <v>85</v>
      </c>
      <c r="N29" t="s">
        <v>186</v>
      </c>
      <c r="P29" t="s">
        <v>87</v>
      </c>
      <c r="Q29" t="s">
        <v>76</v>
      </c>
      <c r="R29" t="s">
        <v>73</v>
      </c>
      <c r="S29">
        <v>1</v>
      </c>
      <c r="T29">
        <v>90</v>
      </c>
      <c r="U29" s="18">
        <v>44544.474999999999</v>
      </c>
      <c r="V29" s="18">
        <v>44634.474999999999</v>
      </c>
      <c r="W29" s="20">
        <v>0</v>
      </c>
      <c r="X29" t="s">
        <v>78</v>
      </c>
      <c r="Y29">
        <v>0</v>
      </c>
      <c r="Z29">
        <v>0</v>
      </c>
      <c r="AA29" t="s">
        <v>78</v>
      </c>
      <c r="AB29">
        <v>0</v>
      </c>
      <c r="AC29" t="s">
        <v>78</v>
      </c>
      <c r="AD29">
        <v>0</v>
      </c>
      <c r="AE29">
        <v>-1</v>
      </c>
      <c r="AF29" t="s">
        <v>88</v>
      </c>
      <c r="AG29" t="s">
        <v>187</v>
      </c>
    </row>
    <row r="30" spans="1:33" x14ac:dyDescent="0.35">
      <c r="A30" s="18">
        <v>44543.643055555556</v>
      </c>
      <c r="B30">
        <v>3044618</v>
      </c>
      <c r="C30" t="s">
        <v>188</v>
      </c>
      <c r="D30" t="s">
        <v>189</v>
      </c>
      <c r="E30" s="19">
        <v>36854</v>
      </c>
      <c r="F30" t="str">
        <f>"9783110800234"</f>
        <v>9783110800234</v>
      </c>
      <c r="G30" t="str">
        <f>"9783110159035"</f>
        <v>9783110159035</v>
      </c>
      <c r="H30" t="s">
        <v>190</v>
      </c>
      <c r="I30">
        <v>526.1</v>
      </c>
      <c r="J30" t="s">
        <v>191</v>
      </c>
      <c r="K30" t="s">
        <v>73</v>
      </c>
      <c r="N30" t="s">
        <v>74</v>
      </c>
      <c r="O30" t="s">
        <v>75</v>
      </c>
      <c r="P30" t="s">
        <v>74</v>
      </c>
      <c r="Q30" t="s">
        <v>76</v>
      </c>
      <c r="R30" t="s">
        <v>73</v>
      </c>
      <c r="S30">
        <v>0</v>
      </c>
      <c r="W30" s="20">
        <v>4.6296296296296294E-5</v>
      </c>
      <c r="X30" t="s">
        <v>132</v>
      </c>
      <c r="Y30">
        <v>1</v>
      </c>
      <c r="Z30">
        <v>0</v>
      </c>
      <c r="AA30" t="s">
        <v>78</v>
      </c>
      <c r="AB30">
        <v>0</v>
      </c>
      <c r="AC30" t="s">
        <v>78</v>
      </c>
      <c r="AD30">
        <v>0</v>
      </c>
      <c r="AE30">
        <v>10789650</v>
      </c>
      <c r="AF30" t="s">
        <v>79</v>
      </c>
      <c r="AG30" t="s">
        <v>192</v>
      </c>
    </row>
    <row r="31" spans="1:33" x14ac:dyDescent="0.35">
      <c r="A31" s="18">
        <v>44543.534722222219</v>
      </c>
      <c r="B31">
        <v>4683351</v>
      </c>
      <c r="C31" t="s">
        <v>193</v>
      </c>
      <c r="D31" t="s">
        <v>127</v>
      </c>
      <c r="E31" s="19">
        <v>42584</v>
      </c>
      <c r="F31" t="str">
        <f>"9781498731515"</f>
        <v>9781498731515</v>
      </c>
      <c r="G31" t="str">
        <f>"9781498731508"</f>
        <v>9781498731508</v>
      </c>
      <c r="H31" t="s">
        <v>194</v>
      </c>
      <c r="I31">
        <v>658.47</v>
      </c>
      <c r="J31" t="s">
        <v>195</v>
      </c>
      <c r="K31" t="s">
        <v>85</v>
      </c>
      <c r="N31" t="s">
        <v>86</v>
      </c>
      <c r="P31" t="s">
        <v>87</v>
      </c>
      <c r="Q31" t="s">
        <v>76</v>
      </c>
      <c r="R31" t="s">
        <v>73</v>
      </c>
      <c r="S31">
        <v>0</v>
      </c>
      <c r="W31" s="20">
        <v>7.8703703703703705E-4</v>
      </c>
      <c r="X31" t="s">
        <v>196</v>
      </c>
      <c r="Y31">
        <v>6</v>
      </c>
      <c r="Z31">
        <v>2</v>
      </c>
      <c r="AA31" t="s">
        <v>197</v>
      </c>
      <c r="AB31">
        <v>6</v>
      </c>
      <c r="AC31" t="s">
        <v>78</v>
      </c>
      <c r="AD31">
        <v>0</v>
      </c>
      <c r="AE31">
        <v>11265331</v>
      </c>
      <c r="AF31" t="s">
        <v>88</v>
      </c>
      <c r="AG31" t="s">
        <v>147</v>
      </c>
    </row>
    <row r="32" spans="1:33" x14ac:dyDescent="0.35">
      <c r="A32" s="18">
        <v>44543.422222222223</v>
      </c>
      <c r="B32">
        <v>3044618</v>
      </c>
      <c r="C32" t="s">
        <v>188</v>
      </c>
      <c r="D32" t="s">
        <v>189</v>
      </c>
      <c r="E32" s="19">
        <v>36854</v>
      </c>
      <c r="F32" t="str">
        <f>"9783110800234"</f>
        <v>9783110800234</v>
      </c>
      <c r="G32" t="str">
        <f>"9783110159035"</f>
        <v>9783110159035</v>
      </c>
      <c r="H32" t="s">
        <v>190</v>
      </c>
      <c r="I32">
        <v>526.1</v>
      </c>
      <c r="J32" t="s">
        <v>191</v>
      </c>
      <c r="K32" t="s">
        <v>73</v>
      </c>
      <c r="N32" t="s">
        <v>74</v>
      </c>
      <c r="O32" t="s">
        <v>75</v>
      </c>
      <c r="P32" t="s">
        <v>74</v>
      </c>
      <c r="Q32" t="s">
        <v>76</v>
      </c>
      <c r="R32" t="s">
        <v>73</v>
      </c>
      <c r="S32">
        <v>0</v>
      </c>
      <c r="W32" s="20">
        <v>3.1365740740740742E-3</v>
      </c>
      <c r="X32" t="s">
        <v>198</v>
      </c>
      <c r="Y32">
        <v>27</v>
      </c>
      <c r="Z32">
        <v>0</v>
      </c>
      <c r="AA32" t="s">
        <v>78</v>
      </c>
      <c r="AB32">
        <v>0</v>
      </c>
      <c r="AC32" t="s">
        <v>78</v>
      </c>
      <c r="AD32">
        <v>0</v>
      </c>
      <c r="AE32">
        <v>10789650</v>
      </c>
      <c r="AF32" t="s">
        <v>79</v>
      </c>
      <c r="AG32" t="s">
        <v>192</v>
      </c>
    </row>
    <row r="33" spans="1:33" x14ac:dyDescent="0.35">
      <c r="A33" s="18">
        <v>44542.666666666664</v>
      </c>
      <c r="B33">
        <v>6272240</v>
      </c>
      <c r="C33" t="s">
        <v>199</v>
      </c>
      <c r="D33" t="s">
        <v>200</v>
      </c>
      <c r="E33" s="19">
        <v>44027</v>
      </c>
      <c r="F33" t="str">
        <f>"9789813290013"</f>
        <v>9789813290013</v>
      </c>
      <c r="G33" t="str">
        <f>"9789813290006"</f>
        <v>9789813290006</v>
      </c>
      <c r="H33" t="s">
        <v>201</v>
      </c>
      <c r="I33">
        <v>6.25</v>
      </c>
      <c r="J33" t="s">
        <v>202</v>
      </c>
      <c r="K33" t="s">
        <v>85</v>
      </c>
      <c r="Q33" t="s">
        <v>76</v>
      </c>
      <c r="R33" t="s">
        <v>73</v>
      </c>
      <c r="S33">
        <v>0</v>
      </c>
      <c r="W33" s="20">
        <v>0</v>
      </c>
      <c r="X33" t="s">
        <v>78</v>
      </c>
      <c r="Y33">
        <v>0</v>
      </c>
      <c r="Z33">
        <v>0</v>
      </c>
      <c r="AA33" t="s">
        <v>78</v>
      </c>
      <c r="AB33">
        <v>0</v>
      </c>
      <c r="AC33" t="s">
        <v>78</v>
      </c>
      <c r="AD33">
        <v>0</v>
      </c>
      <c r="AE33">
        <v>-1</v>
      </c>
      <c r="AF33" t="s">
        <v>88</v>
      </c>
      <c r="AG33" t="s">
        <v>203</v>
      </c>
    </row>
    <row r="34" spans="1:33" x14ac:dyDescent="0.35">
      <c r="A34" s="18">
        <v>44542.665972222225</v>
      </c>
      <c r="B34">
        <v>338757</v>
      </c>
      <c r="C34" t="s">
        <v>204</v>
      </c>
      <c r="D34" t="s">
        <v>205</v>
      </c>
      <c r="E34" s="19">
        <v>39141</v>
      </c>
      <c r="F34" t="str">
        <f>"9781596930933"</f>
        <v>9781596930933</v>
      </c>
      <c r="G34" t="str">
        <f>"9781596930926"</f>
        <v>9781596930926</v>
      </c>
      <c r="H34" t="s">
        <v>110</v>
      </c>
      <c r="I34" t="s">
        <v>206</v>
      </c>
      <c r="J34" t="s">
        <v>207</v>
      </c>
      <c r="K34" t="s">
        <v>73</v>
      </c>
      <c r="N34" t="s">
        <v>74</v>
      </c>
      <c r="O34" t="s">
        <v>75</v>
      </c>
      <c r="P34" t="s">
        <v>74</v>
      </c>
      <c r="Q34" t="s">
        <v>76</v>
      </c>
      <c r="R34" t="s">
        <v>73</v>
      </c>
      <c r="S34">
        <v>1</v>
      </c>
      <c r="W34" s="20">
        <v>0</v>
      </c>
      <c r="X34" t="s">
        <v>78</v>
      </c>
      <c r="Y34">
        <v>0</v>
      </c>
      <c r="Z34">
        <v>0</v>
      </c>
      <c r="AA34" t="s">
        <v>78</v>
      </c>
      <c r="AB34">
        <v>0</v>
      </c>
      <c r="AC34" t="s">
        <v>78</v>
      </c>
      <c r="AD34">
        <v>0</v>
      </c>
      <c r="AE34">
        <v>10240786</v>
      </c>
      <c r="AF34" t="s">
        <v>88</v>
      </c>
      <c r="AG34" t="s">
        <v>203</v>
      </c>
    </row>
    <row r="35" spans="1:33" x14ac:dyDescent="0.35">
      <c r="A35" s="18">
        <v>44542.599305555559</v>
      </c>
      <c r="B35">
        <v>1691887</v>
      </c>
      <c r="C35" t="s">
        <v>208</v>
      </c>
      <c r="D35" t="s">
        <v>209</v>
      </c>
      <c r="E35" s="19">
        <v>41774</v>
      </c>
      <c r="F35" t="str">
        <f>"9780739187050"</f>
        <v>9780739187050</v>
      </c>
      <c r="G35" t="str">
        <f>"9780739187043"</f>
        <v>9780739187043</v>
      </c>
      <c r="H35" t="s">
        <v>210</v>
      </c>
      <c r="I35">
        <v>302.23450000000003</v>
      </c>
      <c r="J35" t="s">
        <v>211</v>
      </c>
      <c r="K35" t="s">
        <v>73</v>
      </c>
      <c r="N35" t="s">
        <v>74</v>
      </c>
      <c r="O35" t="s">
        <v>75</v>
      </c>
      <c r="P35" t="s">
        <v>74</v>
      </c>
      <c r="Q35" t="s">
        <v>76</v>
      </c>
      <c r="R35" t="s">
        <v>73</v>
      </c>
      <c r="S35">
        <v>1</v>
      </c>
      <c r="W35" s="20">
        <v>1.045138888888889E-2</v>
      </c>
      <c r="X35" t="s">
        <v>212</v>
      </c>
      <c r="Y35">
        <v>22</v>
      </c>
      <c r="Z35">
        <v>0</v>
      </c>
      <c r="AA35" t="s">
        <v>78</v>
      </c>
      <c r="AB35">
        <v>0</v>
      </c>
      <c r="AC35" t="s">
        <v>78</v>
      </c>
      <c r="AD35">
        <v>0</v>
      </c>
      <c r="AE35">
        <v>10876706</v>
      </c>
      <c r="AF35" t="s">
        <v>88</v>
      </c>
      <c r="AG35" t="s">
        <v>213</v>
      </c>
    </row>
    <row r="36" spans="1:33" x14ac:dyDescent="0.35">
      <c r="A36" s="18">
        <v>44542.581944444442</v>
      </c>
      <c r="B36">
        <v>818495</v>
      </c>
      <c r="C36" t="s">
        <v>148</v>
      </c>
      <c r="D36" t="s">
        <v>70</v>
      </c>
      <c r="E36" s="19">
        <v>40919</v>
      </c>
      <c r="F36" t="str">
        <f>"9781118158647"</f>
        <v>9781118158647</v>
      </c>
      <c r="G36" t="str">
        <f>"9781118158678"</f>
        <v>9781118158678</v>
      </c>
      <c r="H36" t="s">
        <v>149</v>
      </c>
      <c r="I36">
        <v>572.67999999999995</v>
      </c>
      <c r="J36" t="s">
        <v>150</v>
      </c>
      <c r="K36" t="s">
        <v>73</v>
      </c>
      <c r="N36" t="s">
        <v>74</v>
      </c>
      <c r="O36" t="s">
        <v>75</v>
      </c>
      <c r="P36" t="s">
        <v>74</v>
      </c>
      <c r="Q36" t="s">
        <v>76</v>
      </c>
      <c r="R36" t="s">
        <v>73</v>
      </c>
      <c r="S36">
        <v>0</v>
      </c>
      <c r="W36" s="20">
        <v>1.4212962962962962E-2</v>
      </c>
      <c r="X36" t="s">
        <v>214</v>
      </c>
      <c r="Y36">
        <v>105</v>
      </c>
      <c r="Z36">
        <v>1</v>
      </c>
      <c r="AA36" t="s">
        <v>215</v>
      </c>
      <c r="AB36">
        <v>36</v>
      </c>
      <c r="AC36" t="s">
        <v>78</v>
      </c>
      <c r="AD36">
        <v>0</v>
      </c>
      <c r="AE36">
        <v>10577666</v>
      </c>
      <c r="AF36" t="s">
        <v>88</v>
      </c>
      <c r="AG36" t="s">
        <v>147</v>
      </c>
    </row>
    <row r="37" spans="1:33" x14ac:dyDescent="0.35">
      <c r="A37" s="18">
        <v>44542.565972222219</v>
      </c>
      <c r="B37">
        <v>4039442</v>
      </c>
      <c r="C37" t="s">
        <v>216</v>
      </c>
      <c r="D37" t="s">
        <v>70</v>
      </c>
      <c r="E37" s="19">
        <v>42310</v>
      </c>
      <c r="F37" t="str">
        <f>"9781118870976"</f>
        <v>9781118870976</v>
      </c>
      <c r="G37" t="str">
        <f>"9781118870983"</f>
        <v>9781118870983</v>
      </c>
      <c r="H37" t="s">
        <v>217</v>
      </c>
      <c r="I37">
        <v>629.13499999999999</v>
      </c>
      <c r="J37" t="s">
        <v>218</v>
      </c>
      <c r="K37" t="s">
        <v>73</v>
      </c>
      <c r="N37" t="s">
        <v>74</v>
      </c>
      <c r="O37" t="s">
        <v>75</v>
      </c>
      <c r="P37" t="s">
        <v>74</v>
      </c>
      <c r="Q37" t="s">
        <v>76</v>
      </c>
      <c r="R37" t="s">
        <v>73</v>
      </c>
      <c r="S37">
        <v>1</v>
      </c>
      <c r="W37" s="20">
        <v>0</v>
      </c>
      <c r="X37" t="s">
        <v>78</v>
      </c>
      <c r="Y37">
        <v>0</v>
      </c>
      <c r="Z37">
        <v>0</v>
      </c>
      <c r="AA37" t="s">
        <v>78</v>
      </c>
      <c r="AB37">
        <v>0</v>
      </c>
      <c r="AC37" t="s">
        <v>78</v>
      </c>
      <c r="AD37">
        <v>0</v>
      </c>
      <c r="AE37">
        <v>11113001</v>
      </c>
      <c r="AF37" t="s">
        <v>88</v>
      </c>
      <c r="AG37" t="s">
        <v>147</v>
      </c>
    </row>
    <row r="38" spans="1:33" x14ac:dyDescent="0.35">
      <c r="A38" s="18">
        <v>44542.5625</v>
      </c>
      <c r="B38">
        <v>4683351</v>
      </c>
      <c r="C38" t="s">
        <v>193</v>
      </c>
      <c r="D38" t="s">
        <v>127</v>
      </c>
      <c r="E38" s="19">
        <v>42584</v>
      </c>
      <c r="F38" t="str">
        <f>"9781498731515"</f>
        <v>9781498731515</v>
      </c>
      <c r="G38" t="str">
        <f>"9781498731508"</f>
        <v>9781498731508</v>
      </c>
      <c r="H38" t="s">
        <v>194</v>
      </c>
      <c r="I38">
        <v>658.47</v>
      </c>
      <c r="J38" t="s">
        <v>195</v>
      </c>
      <c r="K38" t="s">
        <v>85</v>
      </c>
      <c r="N38" t="s">
        <v>86</v>
      </c>
      <c r="P38" t="s">
        <v>87</v>
      </c>
      <c r="Q38" t="s">
        <v>76</v>
      </c>
      <c r="R38" t="s">
        <v>73</v>
      </c>
      <c r="S38">
        <v>0</v>
      </c>
      <c r="W38" s="20">
        <v>3.7037037037037035E-4</v>
      </c>
      <c r="X38" t="s">
        <v>219</v>
      </c>
      <c r="Y38">
        <v>5</v>
      </c>
      <c r="Z38">
        <v>1</v>
      </c>
      <c r="AA38" t="s">
        <v>220</v>
      </c>
      <c r="AB38">
        <v>42</v>
      </c>
      <c r="AC38" t="s">
        <v>78</v>
      </c>
      <c r="AD38">
        <v>0</v>
      </c>
      <c r="AE38">
        <v>11265331</v>
      </c>
      <c r="AF38" t="s">
        <v>79</v>
      </c>
      <c r="AG38" t="s">
        <v>147</v>
      </c>
    </row>
    <row r="39" spans="1:33" x14ac:dyDescent="0.35">
      <c r="A39" s="18">
        <v>44542.431944444441</v>
      </c>
      <c r="B39">
        <v>3044618</v>
      </c>
      <c r="C39" t="s">
        <v>188</v>
      </c>
      <c r="D39" t="s">
        <v>189</v>
      </c>
      <c r="E39" s="19">
        <v>36854</v>
      </c>
      <c r="F39" t="str">
        <f>"9783110800234"</f>
        <v>9783110800234</v>
      </c>
      <c r="G39" t="str">
        <f>"9783110159035"</f>
        <v>9783110159035</v>
      </c>
      <c r="H39" t="s">
        <v>190</v>
      </c>
      <c r="I39">
        <v>526.1</v>
      </c>
      <c r="J39" t="s">
        <v>191</v>
      </c>
      <c r="K39" t="s">
        <v>73</v>
      </c>
      <c r="N39" t="s">
        <v>74</v>
      </c>
      <c r="O39" t="s">
        <v>75</v>
      </c>
      <c r="P39" t="s">
        <v>74</v>
      </c>
      <c r="Q39" t="s">
        <v>76</v>
      </c>
      <c r="R39" t="s">
        <v>73</v>
      </c>
      <c r="S39">
        <v>0</v>
      </c>
      <c r="W39" s="20">
        <v>4.6296296296296294E-5</v>
      </c>
      <c r="X39" t="s">
        <v>132</v>
      </c>
      <c r="Y39">
        <v>1</v>
      </c>
      <c r="Z39">
        <v>0</v>
      </c>
      <c r="AA39" t="s">
        <v>78</v>
      </c>
      <c r="AB39">
        <v>0</v>
      </c>
      <c r="AC39" t="s">
        <v>78</v>
      </c>
      <c r="AD39">
        <v>0</v>
      </c>
      <c r="AE39">
        <v>10789650</v>
      </c>
      <c r="AF39" t="s">
        <v>79</v>
      </c>
      <c r="AG39" t="s">
        <v>147</v>
      </c>
    </row>
    <row r="40" spans="1:33" x14ac:dyDescent="0.35">
      <c r="A40" s="18">
        <v>44540.615972222222</v>
      </c>
      <c r="B40">
        <v>328555</v>
      </c>
      <c r="C40" t="s">
        <v>221</v>
      </c>
      <c r="D40" t="s">
        <v>158</v>
      </c>
      <c r="E40" s="19">
        <v>39365</v>
      </c>
      <c r="F40" t="str">
        <f>"9780080556192"</f>
        <v>9780080556192</v>
      </c>
      <c r="G40" t="str">
        <f>"9780123739797"</f>
        <v>9780123739797</v>
      </c>
      <c r="H40" t="s">
        <v>222</v>
      </c>
      <c r="I40">
        <v>616.13606100000004</v>
      </c>
      <c r="J40" t="s">
        <v>223</v>
      </c>
      <c r="K40" t="s">
        <v>73</v>
      </c>
      <c r="N40" t="s">
        <v>74</v>
      </c>
      <c r="O40" t="s">
        <v>75</v>
      </c>
      <c r="P40" t="s">
        <v>74</v>
      </c>
      <c r="Q40" t="s">
        <v>76</v>
      </c>
      <c r="R40" t="s">
        <v>73</v>
      </c>
      <c r="S40">
        <v>0</v>
      </c>
      <c r="W40" s="20">
        <v>1.4699074074074074E-3</v>
      </c>
      <c r="X40" t="s">
        <v>224</v>
      </c>
      <c r="Y40">
        <v>4</v>
      </c>
      <c r="Z40">
        <v>0</v>
      </c>
      <c r="AA40" t="s">
        <v>78</v>
      </c>
      <c r="AB40">
        <v>0</v>
      </c>
      <c r="AC40" t="s">
        <v>78</v>
      </c>
      <c r="AD40">
        <v>0</v>
      </c>
      <c r="AE40">
        <v>10204244</v>
      </c>
      <c r="AF40" t="s">
        <v>79</v>
      </c>
      <c r="AG40" t="s">
        <v>147</v>
      </c>
    </row>
    <row r="41" spans="1:33" x14ac:dyDescent="0.35">
      <c r="A41" s="18">
        <v>44540.60833333333</v>
      </c>
      <c r="B41">
        <v>3018574</v>
      </c>
      <c r="C41" t="s">
        <v>225</v>
      </c>
      <c r="D41" t="s">
        <v>226</v>
      </c>
      <c r="E41" s="19">
        <v>40057</v>
      </c>
      <c r="F41" t="str">
        <f>"9781608767281"</f>
        <v>9781608767281</v>
      </c>
      <c r="G41" t="str">
        <f>"9781607417675"</f>
        <v>9781607417675</v>
      </c>
      <c r="H41" t="s">
        <v>227</v>
      </c>
      <c r="I41" t="s">
        <v>228</v>
      </c>
      <c r="J41" t="s">
        <v>229</v>
      </c>
      <c r="K41" t="s">
        <v>73</v>
      </c>
      <c r="N41" t="s">
        <v>74</v>
      </c>
      <c r="O41" t="s">
        <v>75</v>
      </c>
      <c r="P41" t="s">
        <v>230</v>
      </c>
      <c r="Q41" t="s">
        <v>76</v>
      </c>
      <c r="R41" t="s">
        <v>85</v>
      </c>
      <c r="S41">
        <v>0</v>
      </c>
      <c r="W41" s="20">
        <v>4.8379629629629632E-3</v>
      </c>
      <c r="X41" t="s">
        <v>231</v>
      </c>
      <c r="Y41">
        <v>14</v>
      </c>
      <c r="Z41">
        <v>1</v>
      </c>
      <c r="AA41" t="s">
        <v>232</v>
      </c>
      <c r="AB41">
        <v>6</v>
      </c>
      <c r="AC41" t="s">
        <v>78</v>
      </c>
      <c r="AD41">
        <v>0</v>
      </c>
      <c r="AE41">
        <v>10660435</v>
      </c>
      <c r="AF41" t="s">
        <v>79</v>
      </c>
      <c r="AG41" t="s">
        <v>147</v>
      </c>
    </row>
    <row r="42" spans="1:33" x14ac:dyDescent="0.35">
      <c r="A42" s="18">
        <v>44540.037499999999</v>
      </c>
      <c r="B42">
        <v>437706</v>
      </c>
      <c r="C42" t="s">
        <v>233</v>
      </c>
      <c r="D42" t="s">
        <v>234</v>
      </c>
      <c r="E42" s="19">
        <v>39814</v>
      </c>
      <c r="F42" t="str">
        <f>"9788122428834"</f>
        <v>9788122428834</v>
      </c>
      <c r="G42" t="str">
        <f>"9788122425871"</f>
        <v>9788122425871</v>
      </c>
      <c r="H42" t="s">
        <v>143</v>
      </c>
      <c r="I42">
        <v>658.5</v>
      </c>
      <c r="J42" t="s">
        <v>235</v>
      </c>
      <c r="K42" t="s">
        <v>73</v>
      </c>
      <c r="N42" t="s">
        <v>74</v>
      </c>
      <c r="O42" t="s">
        <v>75</v>
      </c>
      <c r="P42" t="s">
        <v>74</v>
      </c>
      <c r="Q42" t="s">
        <v>76</v>
      </c>
      <c r="R42" t="s">
        <v>73</v>
      </c>
      <c r="S42">
        <v>0</v>
      </c>
      <c r="W42" s="20">
        <v>5.9027777777777778E-4</v>
      </c>
      <c r="X42" t="s">
        <v>236</v>
      </c>
      <c r="Y42">
        <v>6</v>
      </c>
      <c r="Z42">
        <v>0</v>
      </c>
      <c r="AA42" t="s">
        <v>78</v>
      </c>
      <c r="AB42">
        <v>0</v>
      </c>
      <c r="AC42" t="s">
        <v>78</v>
      </c>
      <c r="AD42">
        <v>0</v>
      </c>
      <c r="AE42">
        <v>10318653</v>
      </c>
      <c r="AF42" t="s">
        <v>79</v>
      </c>
      <c r="AG42" t="s">
        <v>147</v>
      </c>
    </row>
    <row r="43" spans="1:33" x14ac:dyDescent="0.35">
      <c r="A43" s="18">
        <v>44539.711111111108</v>
      </c>
      <c r="B43">
        <v>4039442</v>
      </c>
      <c r="C43" t="s">
        <v>216</v>
      </c>
      <c r="D43" t="s">
        <v>70</v>
      </c>
      <c r="E43" s="19">
        <v>42310</v>
      </c>
      <c r="F43" t="str">
        <f>"9781118870976"</f>
        <v>9781118870976</v>
      </c>
      <c r="G43" t="str">
        <f>"9781118870983"</f>
        <v>9781118870983</v>
      </c>
      <c r="H43" t="s">
        <v>217</v>
      </c>
      <c r="I43">
        <v>629.13499999999999</v>
      </c>
      <c r="J43" t="s">
        <v>218</v>
      </c>
      <c r="K43" t="s">
        <v>73</v>
      </c>
      <c r="N43" t="s">
        <v>74</v>
      </c>
      <c r="O43" t="s">
        <v>75</v>
      </c>
      <c r="P43" t="s">
        <v>74</v>
      </c>
      <c r="Q43" t="s">
        <v>76</v>
      </c>
      <c r="R43" t="s">
        <v>73</v>
      </c>
      <c r="S43">
        <v>0</v>
      </c>
      <c r="W43" s="20">
        <v>1.1747685185185186E-2</v>
      </c>
      <c r="X43" t="s">
        <v>237</v>
      </c>
      <c r="Y43">
        <v>154</v>
      </c>
      <c r="Z43">
        <v>0</v>
      </c>
      <c r="AA43" t="s">
        <v>78</v>
      </c>
      <c r="AB43">
        <v>0</v>
      </c>
      <c r="AC43" t="s">
        <v>78</v>
      </c>
      <c r="AD43">
        <v>0</v>
      </c>
      <c r="AE43">
        <v>11113001</v>
      </c>
      <c r="AF43" t="s">
        <v>88</v>
      </c>
      <c r="AG43" t="s">
        <v>147</v>
      </c>
    </row>
    <row r="44" spans="1:33" x14ac:dyDescent="0.35">
      <c r="A44" s="18">
        <v>44539.677083333336</v>
      </c>
      <c r="B44">
        <v>1209902</v>
      </c>
      <c r="C44" t="s">
        <v>238</v>
      </c>
      <c r="D44" t="s">
        <v>239</v>
      </c>
      <c r="E44" s="19">
        <v>36312</v>
      </c>
      <c r="F44" t="str">
        <f>"9789812774903"</f>
        <v>9789812774903</v>
      </c>
      <c r="G44" t="str">
        <f>"9789810237813"</f>
        <v>9789810237813</v>
      </c>
      <c r="H44" t="s">
        <v>240</v>
      </c>
      <c r="I44">
        <v>502</v>
      </c>
      <c r="J44" t="s">
        <v>241</v>
      </c>
      <c r="K44" t="s">
        <v>73</v>
      </c>
      <c r="N44" t="s">
        <v>74</v>
      </c>
      <c r="O44" t="s">
        <v>75</v>
      </c>
      <c r="P44" t="s">
        <v>74</v>
      </c>
      <c r="Q44" t="s">
        <v>76</v>
      </c>
      <c r="R44" t="s">
        <v>73</v>
      </c>
      <c r="S44">
        <v>0</v>
      </c>
      <c r="W44" s="20">
        <v>0</v>
      </c>
      <c r="X44" t="s">
        <v>78</v>
      </c>
      <c r="Y44">
        <v>0</v>
      </c>
      <c r="Z44">
        <v>0</v>
      </c>
      <c r="AA44" t="s">
        <v>78</v>
      </c>
      <c r="AB44">
        <v>0</v>
      </c>
      <c r="AC44" t="s">
        <v>78</v>
      </c>
      <c r="AD44">
        <v>0</v>
      </c>
      <c r="AE44">
        <v>10201183</v>
      </c>
      <c r="AF44" t="s">
        <v>79</v>
      </c>
      <c r="AG44" t="s">
        <v>242</v>
      </c>
    </row>
    <row r="45" spans="1:33" x14ac:dyDescent="0.35">
      <c r="A45" s="18">
        <v>44539.675000000003</v>
      </c>
      <c r="B45">
        <v>3044618</v>
      </c>
      <c r="C45" t="s">
        <v>188</v>
      </c>
      <c r="D45" t="s">
        <v>189</v>
      </c>
      <c r="E45" s="19">
        <v>36854</v>
      </c>
      <c r="F45" t="str">
        <f>"9783110800234"</f>
        <v>9783110800234</v>
      </c>
      <c r="G45" t="str">
        <f>"9783110159035"</f>
        <v>9783110159035</v>
      </c>
      <c r="H45" t="s">
        <v>190</v>
      </c>
      <c r="I45">
        <v>526.1</v>
      </c>
      <c r="J45" t="s">
        <v>191</v>
      </c>
      <c r="K45" t="s">
        <v>73</v>
      </c>
      <c r="N45" t="s">
        <v>74</v>
      </c>
      <c r="O45" t="s">
        <v>75</v>
      </c>
      <c r="P45" t="s">
        <v>74</v>
      </c>
      <c r="Q45" t="s">
        <v>76</v>
      </c>
      <c r="R45" t="s">
        <v>73</v>
      </c>
      <c r="S45">
        <v>2</v>
      </c>
      <c r="W45" s="20">
        <v>4.7002314814814816E-2</v>
      </c>
      <c r="X45" t="s">
        <v>243</v>
      </c>
      <c r="Y45">
        <v>30</v>
      </c>
      <c r="Z45">
        <v>0</v>
      </c>
      <c r="AA45" t="s">
        <v>78</v>
      </c>
      <c r="AB45">
        <v>0</v>
      </c>
      <c r="AC45" t="s">
        <v>244</v>
      </c>
      <c r="AD45">
        <v>1</v>
      </c>
      <c r="AE45">
        <v>10789650</v>
      </c>
      <c r="AF45" t="s">
        <v>88</v>
      </c>
      <c r="AG45" t="s">
        <v>147</v>
      </c>
    </row>
    <row r="46" spans="1:33" x14ac:dyDescent="0.35">
      <c r="A46" s="18">
        <v>44539.674305555556</v>
      </c>
      <c r="B46">
        <v>3044618</v>
      </c>
      <c r="C46" t="s">
        <v>188</v>
      </c>
      <c r="D46" t="s">
        <v>189</v>
      </c>
      <c r="E46" s="19">
        <v>36854</v>
      </c>
      <c r="F46" t="str">
        <f>"9783110800234"</f>
        <v>9783110800234</v>
      </c>
      <c r="G46" t="str">
        <f>"9783110159035"</f>
        <v>9783110159035</v>
      </c>
      <c r="H46" t="s">
        <v>190</v>
      </c>
      <c r="I46">
        <v>526.1</v>
      </c>
      <c r="J46" t="s">
        <v>191</v>
      </c>
      <c r="K46" t="s">
        <v>73</v>
      </c>
      <c r="N46" t="s">
        <v>74</v>
      </c>
      <c r="O46" t="s">
        <v>75</v>
      </c>
      <c r="P46" t="s">
        <v>74</v>
      </c>
      <c r="Q46" t="s">
        <v>76</v>
      </c>
      <c r="R46" t="s">
        <v>73</v>
      </c>
      <c r="S46">
        <v>0</v>
      </c>
      <c r="W46" s="20">
        <v>2.6620370370370372E-4</v>
      </c>
      <c r="X46" t="s">
        <v>245</v>
      </c>
      <c r="Y46">
        <v>3</v>
      </c>
      <c r="Z46">
        <v>0</v>
      </c>
      <c r="AA46" t="s">
        <v>78</v>
      </c>
      <c r="AB46">
        <v>0</v>
      </c>
      <c r="AC46" t="s">
        <v>78</v>
      </c>
      <c r="AD46">
        <v>0</v>
      </c>
      <c r="AE46">
        <v>10789650</v>
      </c>
      <c r="AF46" t="s">
        <v>79</v>
      </c>
      <c r="AG46" t="s">
        <v>147</v>
      </c>
    </row>
    <row r="47" spans="1:33" x14ac:dyDescent="0.35">
      <c r="A47" s="18">
        <v>44539.667361111111</v>
      </c>
      <c r="B47">
        <v>3044618</v>
      </c>
      <c r="C47" t="s">
        <v>188</v>
      </c>
      <c r="D47" t="s">
        <v>189</v>
      </c>
      <c r="E47" s="19">
        <v>36854</v>
      </c>
      <c r="F47" t="str">
        <f>"9783110800234"</f>
        <v>9783110800234</v>
      </c>
      <c r="G47" t="str">
        <f>"9783110159035"</f>
        <v>9783110159035</v>
      </c>
      <c r="H47" t="s">
        <v>190</v>
      </c>
      <c r="I47">
        <v>526.1</v>
      </c>
      <c r="J47" t="s">
        <v>191</v>
      </c>
      <c r="K47" t="s">
        <v>73</v>
      </c>
      <c r="N47" t="s">
        <v>74</v>
      </c>
      <c r="O47" t="s">
        <v>75</v>
      </c>
      <c r="P47" t="s">
        <v>74</v>
      </c>
      <c r="Q47" t="s">
        <v>76</v>
      </c>
      <c r="R47" t="s">
        <v>73</v>
      </c>
      <c r="S47">
        <v>0</v>
      </c>
      <c r="W47" s="20">
        <v>6.4814814814814813E-4</v>
      </c>
      <c r="X47" t="s">
        <v>246</v>
      </c>
      <c r="Y47">
        <v>3</v>
      </c>
      <c r="Z47">
        <v>0</v>
      </c>
      <c r="AA47" t="s">
        <v>78</v>
      </c>
      <c r="AB47">
        <v>0</v>
      </c>
      <c r="AC47" t="s">
        <v>78</v>
      </c>
      <c r="AD47">
        <v>0</v>
      </c>
      <c r="AE47">
        <v>10789650</v>
      </c>
      <c r="AF47" t="s">
        <v>79</v>
      </c>
      <c r="AG47" t="s">
        <v>247</v>
      </c>
    </row>
    <row r="48" spans="1:33" x14ac:dyDescent="0.35">
      <c r="A48" s="18">
        <v>44539.661805555559</v>
      </c>
      <c r="B48">
        <v>3044618</v>
      </c>
      <c r="C48" t="s">
        <v>188</v>
      </c>
      <c r="D48" t="s">
        <v>189</v>
      </c>
      <c r="E48" s="19">
        <v>36854</v>
      </c>
      <c r="F48" t="str">
        <f>"9783110800234"</f>
        <v>9783110800234</v>
      </c>
      <c r="G48" t="str">
        <f>"9783110159035"</f>
        <v>9783110159035</v>
      </c>
      <c r="H48" t="s">
        <v>190</v>
      </c>
      <c r="I48">
        <v>526.1</v>
      </c>
      <c r="J48" t="s">
        <v>191</v>
      </c>
      <c r="K48" t="s">
        <v>73</v>
      </c>
      <c r="N48" t="s">
        <v>74</v>
      </c>
      <c r="O48" t="s">
        <v>75</v>
      </c>
      <c r="P48" t="s">
        <v>74</v>
      </c>
      <c r="Q48" t="s">
        <v>76</v>
      </c>
      <c r="R48" t="s">
        <v>73</v>
      </c>
      <c r="S48">
        <v>2</v>
      </c>
      <c r="W48" s="20">
        <v>2.0833333333333335E-4</v>
      </c>
      <c r="X48" t="s">
        <v>248</v>
      </c>
      <c r="Y48">
        <v>6</v>
      </c>
      <c r="Z48">
        <v>0</v>
      </c>
      <c r="AA48" t="s">
        <v>78</v>
      </c>
      <c r="AB48">
        <v>0</v>
      </c>
      <c r="AC48" t="s">
        <v>78</v>
      </c>
      <c r="AD48">
        <v>0</v>
      </c>
      <c r="AE48">
        <v>10789650</v>
      </c>
      <c r="AF48" t="s">
        <v>88</v>
      </c>
      <c r="AG48" t="s">
        <v>203</v>
      </c>
    </row>
    <row r="49" spans="1:33" x14ac:dyDescent="0.35">
      <c r="A49" s="18">
        <v>44539.636111111111</v>
      </c>
      <c r="B49">
        <v>1209902</v>
      </c>
      <c r="C49" t="s">
        <v>238</v>
      </c>
      <c r="D49" t="s">
        <v>239</v>
      </c>
      <c r="E49" s="19">
        <v>36312</v>
      </c>
      <c r="F49" t="str">
        <f>"9789812774903"</f>
        <v>9789812774903</v>
      </c>
      <c r="G49" t="str">
        <f>"9789810237813"</f>
        <v>9789810237813</v>
      </c>
      <c r="H49" t="s">
        <v>240</v>
      </c>
      <c r="I49">
        <v>502</v>
      </c>
      <c r="J49" t="s">
        <v>241</v>
      </c>
      <c r="K49" t="s">
        <v>73</v>
      </c>
      <c r="N49" t="s">
        <v>74</v>
      </c>
      <c r="O49" t="s">
        <v>75</v>
      </c>
      <c r="P49" t="s">
        <v>74</v>
      </c>
      <c r="Q49" t="s">
        <v>76</v>
      </c>
      <c r="R49" t="s">
        <v>73</v>
      </c>
      <c r="S49">
        <v>0</v>
      </c>
      <c r="W49" s="20">
        <v>1.0416666666666667E-4</v>
      </c>
      <c r="X49" t="s">
        <v>249</v>
      </c>
      <c r="Y49">
        <v>2</v>
      </c>
      <c r="Z49">
        <v>0</v>
      </c>
      <c r="AA49" t="s">
        <v>78</v>
      </c>
      <c r="AB49">
        <v>0</v>
      </c>
      <c r="AC49" t="s">
        <v>78</v>
      </c>
      <c r="AD49">
        <v>0</v>
      </c>
      <c r="AE49">
        <v>10201183</v>
      </c>
      <c r="AF49" t="s">
        <v>79</v>
      </c>
      <c r="AG49" t="s">
        <v>242</v>
      </c>
    </row>
    <row r="50" spans="1:33" x14ac:dyDescent="0.35">
      <c r="A50" s="18">
        <v>44538.8</v>
      </c>
      <c r="B50">
        <v>456669</v>
      </c>
      <c r="C50" t="s">
        <v>250</v>
      </c>
      <c r="D50" t="s">
        <v>127</v>
      </c>
      <c r="E50" s="19">
        <v>40108</v>
      </c>
      <c r="F50" t="str">
        <f>"9780203869833"</f>
        <v>9780203869833</v>
      </c>
      <c r="G50" t="str">
        <f>"9780415547376"</f>
        <v>9780415547376</v>
      </c>
      <c r="H50" t="s">
        <v>251</v>
      </c>
      <c r="I50">
        <v>341</v>
      </c>
      <c r="J50" t="s">
        <v>252</v>
      </c>
      <c r="K50" t="s">
        <v>73</v>
      </c>
      <c r="N50" t="s">
        <v>74</v>
      </c>
      <c r="O50" t="s">
        <v>75</v>
      </c>
      <c r="P50" t="s">
        <v>74</v>
      </c>
      <c r="Q50" t="s">
        <v>76</v>
      </c>
      <c r="R50" t="s">
        <v>73</v>
      </c>
      <c r="S50">
        <v>0</v>
      </c>
      <c r="W50" s="20">
        <v>9.2592592592592588E-5</v>
      </c>
      <c r="X50" t="s">
        <v>132</v>
      </c>
      <c r="Y50">
        <v>1</v>
      </c>
      <c r="Z50">
        <v>0</v>
      </c>
      <c r="AA50" t="s">
        <v>78</v>
      </c>
      <c r="AB50">
        <v>0</v>
      </c>
      <c r="AC50" t="s">
        <v>78</v>
      </c>
      <c r="AD50">
        <v>0</v>
      </c>
      <c r="AE50">
        <v>10341955</v>
      </c>
      <c r="AF50" t="s">
        <v>79</v>
      </c>
      <c r="AG50" t="s">
        <v>253</v>
      </c>
    </row>
    <row r="51" spans="1:33" x14ac:dyDescent="0.35">
      <c r="A51" s="18">
        <v>44538.593055555553</v>
      </c>
      <c r="B51">
        <v>514318</v>
      </c>
      <c r="C51" t="s">
        <v>254</v>
      </c>
      <c r="D51" t="s">
        <v>70</v>
      </c>
      <c r="E51" s="19">
        <v>40259</v>
      </c>
      <c r="F51" t="str">
        <f>"9780470552698"</f>
        <v>9780470552698</v>
      </c>
      <c r="G51" t="str">
        <f>"9780470376218"</f>
        <v>9780470376218</v>
      </c>
      <c r="H51" t="s">
        <v>255</v>
      </c>
      <c r="I51" t="s">
        <v>256</v>
      </c>
      <c r="J51" t="s">
        <v>257</v>
      </c>
      <c r="K51" t="s">
        <v>73</v>
      </c>
      <c r="N51" t="s">
        <v>74</v>
      </c>
      <c r="O51" t="s">
        <v>75</v>
      </c>
      <c r="P51" t="s">
        <v>74</v>
      </c>
      <c r="Q51" t="s">
        <v>76</v>
      </c>
      <c r="R51" t="s">
        <v>73</v>
      </c>
      <c r="S51">
        <v>0</v>
      </c>
      <c r="W51" s="20">
        <v>3.1782407407407405E-2</v>
      </c>
      <c r="X51" t="s">
        <v>258</v>
      </c>
      <c r="Y51">
        <v>35</v>
      </c>
      <c r="Z51">
        <v>0</v>
      </c>
      <c r="AA51" t="s">
        <v>78</v>
      </c>
      <c r="AB51">
        <v>0</v>
      </c>
      <c r="AC51" t="s">
        <v>259</v>
      </c>
      <c r="AD51">
        <v>1</v>
      </c>
      <c r="AE51">
        <v>10383583</v>
      </c>
      <c r="AF51" t="s">
        <v>79</v>
      </c>
      <c r="AG51" t="s">
        <v>260</v>
      </c>
    </row>
    <row r="52" spans="1:33" x14ac:dyDescent="0.35">
      <c r="A52" s="18">
        <v>44538.578472222223</v>
      </c>
      <c r="B52">
        <v>3011213</v>
      </c>
      <c r="C52" t="s">
        <v>152</v>
      </c>
      <c r="D52" t="s">
        <v>153</v>
      </c>
      <c r="E52" s="19">
        <v>39417</v>
      </c>
      <c r="F52" t="str">
        <f>"9781642875614"</f>
        <v>9781642875614</v>
      </c>
      <c r="G52" t="str">
        <f>"9788183185493"</f>
        <v>9788183185493</v>
      </c>
      <c r="H52" t="s">
        <v>154</v>
      </c>
      <c r="J52" t="s">
        <v>155</v>
      </c>
      <c r="K52" t="s">
        <v>73</v>
      </c>
      <c r="N52" t="s">
        <v>74</v>
      </c>
      <c r="O52" t="s">
        <v>75</v>
      </c>
      <c r="P52" t="s">
        <v>74</v>
      </c>
      <c r="Q52" t="s">
        <v>76</v>
      </c>
      <c r="R52" t="s">
        <v>73</v>
      </c>
      <c r="S52">
        <v>1</v>
      </c>
      <c r="W52" s="20">
        <v>5.3240740740740744E-4</v>
      </c>
      <c r="X52" t="s">
        <v>261</v>
      </c>
      <c r="Y52">
        <v>5</v>
      </c>
      <c r="Z52">
        <v>1</v>
      </c>
      <c r="AA52" t="s">
        <v>262</v>
      </c>
      <c r="AB52">
        <v>19</v>
      </c>
      <c r="AC52" t="s">
        <v>78</v>
      </c>
      <c r="AD52">
        <v>0</v>
      </c>
      <c r="AE52">
        <v>10415487</v>
      </c>
      <c r="AF52" t="s">
        <v>88</v>
      </c>
      <c r="AG52" t="s">
        <v>147</v>
      </c>
    </row>
    <row r="53" spans="1:33" x14ac:dyDescent="0.35">
      <c r="A53" s="18">
        <v>44538.576388888891</v>
      </c>
      <c r="B53">
        <v>3011213</v>
      </c>
      <c r="C53" t="s">
        <v>152</v>
      </c>
      <c r="D53" t="s">
        <v>153</v>
      </c>
      <c r="E53" s="19">
        <v>39417</v>
      </c>
      <c r="F53" t="str">
        <f>"9781642875614"</f>
        <v>9781642875614</v>
      </c>
      <c r="G53" t="str">
        <f>"9788183185493"</f>
        <v>9788183185493</v>
      </c>
      <c r="H53" t="s">
        <v>154</v>
      </c>
      <c r="J53" t="s">
        <v>155</v>
      </c>
      <c r="K53" t="s">
        <v>73</v>
      </c>
      <c r="N53" t="s">
        <v>74</v>
      </c>
      <c r="O53" t="s">
        <v>75</v>
      </c>
      <c r="P53" t="s">
        <v>74</v>
      </c>
      <c r="Q53" t="s">
        <v>76</v>
      </c>
      <c r="R53" t="s">
        <v>73</v>
      </c>
      <c r="S53">
        <v>0</v>
      </c>
      <c r="W53" s="20">
        <v>2.0601851851851853E-3</v>
      </c>
      <c r="X53" t="s">
        <v>263</v>
      </c>
      <c r="Y53">
        <v>8</v>
      </c>
      <c r="Z53">
        <v>0</v>
      </c>
      <c r="AA53" t="s">
        <v>78</v>
      </c>
      <c r="AB53">
        <v>0</v>
      </c>
      <c r="AC53" t="s">
        <v>78</v>
      </c>
      <c r="AD53">
        <v>0</v>
      </c>
      <c r="AE53">
        <v>10415487</v>
      </c>
      <c r="AF53" t="s">
        <v>88</v>
      </c>
      <c r="AG53" t="s">
        <v>147</v>
      </c>
    </row>
    <row r="54" spans="1:33" x14ac:dyDescent="0.35">
      <c r="A54" s="18">
        <v>44538.575694444444</v>
      </c>
      <c r="B54">
        <v>588007</v>
      </c>
      <c r="C54" t="s">
        <v>264</v>
      </c>
      <c r="D54" t="s">
        <v>265</v>
      </c>
      <c r="E54" s="19">
        <v>40179</v>
      </c>
      <c r="F54" t="str">
        <f>"9789350431900"</f>
        <v>9789350431900</v>
      </c>
      <c r="G54" t="str">
        <f>"9789350245453"</f>
        <v>9789350245453</v>
      </c>
      <c r="H54" t="s">
        <v>154</v>
      </c>
      <c r="I54">
        <v>547.00779999999997</v>
      </c>
      <c r="J54" t="s">
        <v>266</v>
      </c>
      <c r="K54" t="s">
        <v>73</v>
      </c>
      <c r="N54" t="s">
        <v>74</v>
      </c>
      <c r="O54" t="s">
        <v>75</v>
      </c>
      <c r="P54" t="s">
        <v>74</v>
      </c>
      <c r="Q54" t="s">
        <v>76</v>
      </c>
      <c r="R54" t="s">
        <v>73</v>
      </c>
      <c r="S54">
        <v>0</v>
      </c>
      <c r="W54" s="20">
        <v>3.1250000000000001E-4</v>
      </c>
      <c r="X54" t="s">
        <v>267</v>
      </c>
      <c r="Y54">
        <v>2</v>
      </c>
      <c r="Z54">
        <v>0</v>
      </c>
      <c r="AA54" t="s">
        <v>78</v>
      </c>
      <c r="AB54">
        <v>0</v>
      </c>
      <c r="AC54" t="s">
        <v>78</v>
      </c>
      <c r="AD54">
        <v>0</v>
      </c>
      <c r="AE54">
        <v>10415935</v>
      </c>
      <c r="AF54" t="s">
        <v>79</v>
      </c>
      <c r="AG54" t="s">
        <v>147</v>
      </c>
    </row>
    <row r="55" spans="1:33" x14ac:dyDescent="0.35">
      <c r="A55" s="18">
        <v>44538.488888888889</v>
      </c>
      <c r="B55">
        <v>1175179</v>
      </c>
      <c r="C55" t="s">
        <v>268</v>
      </c>
      <c r="D55" t="s">
        <v>183</v>
      </c>
      <c r="E55" s="19">
        <v>41402</v>
      </c>
      <c r="F55" t="str">
        <f>"9780804786331"</f>
        <v>9780804786331</v>
      </c>
      <c r="G55" t="str">
        <f>"9780804783262"</f>
        <v>9780804783262</v>
      </c>
      <c r="H55" t="s">
        <v>128</v>
      </c>
      <c r="I55" t="s">
        <v>269</v>
      </c>
      <c r="J55" t="s">
        <v>270</v>
      </c>
      <c r="K55" t="s">
        <v>73</v>
      </c>
      <c r="N55" t="s">
        <v>74</v>
      </c>
      <c r="O55" t="s">
        <v>75</v>
      </c>
      <c r="P55" t="s">
        <v>74</v>
      </c>
      <c r="Q55" t="s">
        <v>76</v>
      </c>
      <c r="R55" t="s">
        <v>73</v>
      </c>
      <c r="S55">
        <v>0</v>
      </c>
      <c r="W55" s="20">
        <v>0</v>
      </c>
      <c r="X55" t="s">
        <v>78</v>
      </c>
      <c r="Y55">
        <v>0</v>
      </c>
      <c r="Z55">
        <v>1</v>
      </c>
      <c r="AA55" t="s">
        <v>271</v>
      </c>
      <c r="AB55">
        <v>88</v>
      </c>
      <c r="AC55" t="s">
        <v>78</v>
      </c>
      <c r="AD55">
        <v>0</v>
      </c>
      <c r="AE55">
        <v>10692202</v>
      </c>
      <c r="AF55" t="s">
        <v>79</v>
      </c>
      <c r="AG55" t="s">
        <v>272</v>
      </c>
    </row>
    <row r="56" spans="1:33" x14ac:dyDescent="0.35">
      <c r="A56" s="18">
        <v>44537.970833333333</v>
      </c>
      <c r="B56">
        <v>1209902</v>
      </c>
      <c r="C56" t="s">
        <v>238</v>
      </c>
      <c r="D56" t="s">
        <v>239</v>
      </c>
      <c r="E56" s="19">
        <v>36312</v>
      </c>
      <c r="F56" t="str">
        <f>"9789812774903"</f>
        <v>9789812774903</v>
      </c>
      <c r="G56" t="str">
        <f>"9789810237813"</f>
        <v>9789810237813</v>
      </c>
      <c r="H56" t="s">
        <v>240</v>
      </c>
      <c r="I56">
        <v>502</v>
      </c>
      <c r="J56" t="s">
        <v>241</v>
      </c>
      <c r="K56" t="s">
        <v>73</v>
      </c>
      <c r="N56" t="s">
        <v>74</v>
      </c>
      <c r="O56" t="s">
        <v>75</v>
      </c>
      <c r="P56" t="s">
        <v>74</v>
      </c>
      <c r="Q56" t="s">
        <v>76</v>
      </c>
      <c r="R56" t="s">
        <v>73</v>
      </c>
      <c r="S56">
        <v>0</v>
      </c>
      <c r="W56" s="20">
        <v>9.1435185185185185E-4</v>
      </c>
      <c r="X56" t="s">
        <v>273</v>
      </c>
      <c r="Y56">
        <v>6</v>
      </c>
      <c r="Z56">
        <v>0</v>
      </c>
      <c r="AA56" t="s">
        <v>78</v>
      </c>
      <c r="AB56">
        <v>0</v>
      </c>
      <c r="AC56" t="s">
        <v>78</v>
      </c>
      <c r="AD56">
        <v>0</v>
      </c>
      <c r="AE56">
        <v>10201183</v>
      </c>
      <c r="AF56" t="s">
        <v>79</v>
      </c>
      <c r="AG56" t="s">
        <v>242</v>
      </c>
    </row>
    <row r="57" spans="1:33" x14ac:dyDescent="0.35">
      <c r="A57" s="18">
        <v>44537.598611111112</v>
      </c>
      <c r="B57">
        <v>843664</v>
      </c>
      <c r="C57" t="s">
        <v>274</v>
      </c>
      <c r="D57" t="s">
        <v>70</v>
      </c>
      <c r="E57" s="19">
        <v>41079</v>
      </c>
      <c r="F57" t="str">
        <f>"9781118309520"</f>
        <v>9781118309520</v>
      </c>
      <c r="G57" t="str">
        <f>"9781118137192"</f>
        <v>9781118137192</v>
      </c>
      <c r="H57" t="s">
        <v>275</v>
      </c>
      <c r="I57" t="s">
        <v>276</v>
      </c>
      <c r="J57" t="s">
        <v>277</v>
      </c>
      <c r="K57" t="s">
        <v>73</v>
      </c>
      <c r="N57" t="s">
        <v>74</v>
      </c>
      <c r="O57" t="s">
        <v>75</v>
      </c>
      <c r="P57" t="s">
        <v>74</v>
      </c>
      <c r="Q57" t="s">
        <v>76</v>
      </c>
      <c r="R57" t="s">
        <v>73</v>
      </c>
      <c r="S57">
        <v>0</v>
      </c>
      <c r="W57" s="20">
        <v>2.4652777777777776E-3</v>
      </c>
      <c r="X57" t="s">
        <v>278</v>
      </c>
      <c r="Y57">
        <v>28</v>
      </c>
      <c r="Z57">
        <v>0</v>
      </c>
      <c r="AA57" t="s">
        <v>78</v>
      </c>
      <c r="AB57">
        <v>0</v>
      </c>
      <c r="AC57" t="s">
        <v>78</v>
      </c>
      <c r="AD57">
        <v>0</v>
      </c>
      <c r="AE57">
        <v>10580167</v>
      </c>
      <c r="AF57" t="s">
        <v>79</v>
      </c>
      <c r="AG57" t="s">
        <v>147</v>
      </c>
    </row>
    <row r="58" spans="1:33" x14ac:dyDescent="0.35">
      <c r="A58" s="18">
        <v>44537.554861111108</v>
      </c>
      <c r="B58">
        <v>4497397</v>
      </c>
      <c r="C58" t="s">
        <v>279</v>
      </c>
      <c r="D58" t="s">
        <v>280</v>
      </c>
      <c r="E58" s="19">
        <v>42551</v>
      </c>
      <c r="F58" t="str">
        <f>"9789385059605"</f>
        <v>9789385059605</v>
      </c>
      <c r="G58" t="str">
        <f>"9789385059049"</f>
        <v>9789385059049</v>
      </c>
      <c r="H58" t="s">
        <v>159</v>
      </c>
      <c r="J58" t="s">
        <v>281</v>
      </c>
      <c r="K58" t="s">
        <v>85</v>
      </c>
      <c r="N58" t="s">
        <v>86</v>
      </c>
      <c r="P58" t="s">
        <v>87</v>
      </c>
      <c r="Q58" t="s">
        <v>76</v>
      </c>
      <c r="R58" t="s">
        <v>73</v>
      </c>
      <c r="S58">
        <v>0</v>
      </c>
      <c r="W58" s="20">
        <v>1.9675925925925926E-4</v>
      </c>
      <c r="X58" t="s">
        <v>282</v>
      </c>
      <c r="Y58">
        <v>4</v>
      </c>
      <c r="Z58">
        <v>0</v>
      </c>
      <c r="AA58" t="s">
        <v>78</v>
      </c>
      <c r="AB58">
        <v>0</v>
      </c>
      <c r="AC58" t="s">
        <v>78</v>
      </c>
      <c r="AD58">
        <v>0</v>
      </c>
      <c r="AE58">
        <v>11201119</v>
      </c>
      <c r="AF58" t="s">
        <v>79</v>
      </c>
      <c r="AG58" t="s">
        <v>260</v>
      </c>
    </row>
    <row r="59" spans="1:33" x14ac:dyDescent="0.35">
      <c r="A59" s="18">
        <v>44537.40902777778</v>
      </c>
      <c r="B59">
        <v>455756</v>
      </c>
      <c r="C59" t="s">
        <v>283</v>
      </c>
      <c r="D59" t="s">
        <v>284</v>
      </c>
      <c r="E59" s="19">
        <v>39448</v>
      </c>
      <c r="F59" t="str">
        <f>"9781845936204"</f>
        <v>9781845936204</v>
      </c>
      <c r="G59" t="str">
        <f>"9781845934583"</f>
        <v>9781845934583</v>
      </c>
      <c r="H59" t="s">
        <v>285</v>
      </c>
      <c r="I59" t="s">
        <v>286</v>
      </c>
      <c r="J59" t="s">
        <v>287</v>
      </c>
      <c r="K59" t="s">
        <v>73</v>
      </c>
      <c r="N59" t="s">
        <v>74</v>
      </c>
      <c r="O59" t="s">
        <v>75</v>
      </c>
      <c r="P59" t="s">
        <v>230</v>
      </c>
      <c r="Q59" t="s">
        <v>76</v>
      </c>
      <c r="R59" t="s">
        <v>85</v>
      </c>
      <c r="S59">
        <v>1</v>
      </c>
      <c r="W59" s="20">
        <v>1.1574074074074073E-5</v>
      </c>
      <c r="X59" t="s">
        <v>78</v>
      </c>
      <c r="Y59">
        <v>0</v>
      </c>
      <c r="Z59">
        <v>0</v>
      </c>
      <c r="AA59" t="s">
        <v>78</v>
      </c>
      <c r="AB59">
        <v>0</v>
      </c>
      <c r="AC59" t="s">
        <v>78</v>
      </c>
      <c r="AD59">
        <v>0</v>
      </c>
      <c r="AE59">
        <v>10320511</v>
      </c>
      <c r="AF59" t="s">
        <v>88</v>
      </c>
      <c r="AG59" t="s">
        <v>260</v>
      </c>
    </row>
    <row r="60" spans="1:33" x14ac:dyDescent="0.35">
      <c r="A60" s="18">
        <v>44537.367361111108</v>
      </c>
      <c r="B60">
        <v>270103</v>
      </c>
      <c r="C60" t="s">
        <v>288</v>
      </c>
      <c r="D60" t="s">
        <v>158</v>
      </c>
      <c r="E60" s="19">
        <v>38498</v>
      </c>
      <c r="F60" t="str">
        <f>"9780080457956"</f>
        <v>9780080457956</v>
      </c>
      <c r="G60" t="str">
        <f>"9781493303144"</f>
        <v>9781493303144</v>
      </c>
      <c r="H60" t="s">
        <v>289</v>
      </c>
      <c r="I60">
        <v>622.18280000000004</v>
      </c>
      <c r="J60" t="s">
        <v>290</v>
      </c>
      <c r="K60" t="s">
        <v>73</v>
      </c>
      <c r="N60" t="s">
        <v>74</v>
      </c>
      <c r="O60" t="s">
        <v>75</v>
      </c>
      <c r="P60" t="s">
        <v>74</v>
      </c>
      <c r="Q60" t="s">
        <v>76</v>
      </c>
      <c r="R60" t="s">
        <v>73</v>
      </c>
      <c r="S60">
        <v>0</v>
      </c>
      <c r="W60" s="20">
        <v>3.2407407407407406E-4</v>
      </c>
      <c r="X60" t="s">
        <v>291</v>
      </c>
      <c r="Y60">
        <v>3</v>
      </c>
      <c r="Z60">
        <v>3</v>
      </c>
      <c r="AA60" t="s">
        <v>292</v>
      </c>
      <c r="AB60">
        <v>63</v>
      </c>
      <c r="AC60" t="s">
        <v>78</v>
      </c>
      <c r="AD60">
        <v>0</v>
      </c>
      <c r="AE60">
        <v>10138661</v>
      </c>
      <c r="AF60" t="s">
        <v>79</v>
      </c>
      <c r="AG60" t="s">
        <v>293</v>
      </c>
    </row>
    <row r="61" spans="1:33" x14ac:dyDescent="0.35">
      <c r="A61" s="18">
        <v>44537.072222222225</v>
      </c>
      <c r="B61">
        <v>5400159</v>
      </c>
      <c r="C61" t="s">
        <v>294</v>
      </c>
      <c r="D61" t="s">
        <v>295</v>
      </c>
      <c r="E61" s="19">
        <v>43313</v>
      </c>
      <c r="F61" t="str">
        <f>"9781538303269"</f>
        <v>9781538303269</v>
      </c>
      <c r="G61" t="str">
        <f>"9781538303245"</f>
        <v>9781538303245</v>
      </c>
      <c r="H61" t="s">
        <v>222</v>
      </c>
      <c r="I61">
        <v>610.9</v>
      </c>
      <c r="J61" t="s">
        <v>296</v>
      </c>
      <c r="K61" t="s">
        <v>85</v>
      </c>
      <c r="N61" t="s">
        <v>86</v>
      </c>
      <c r="P61" t="s">
        <v>297</v>
      </c>
      <c r="Q61" t="s">
        <v>76</v>
      </c>
      <c r="R61" t="s">
        <v>73</v>
      </c>
      <c r="S61">
        <v>0</v>
      </c>
      <c r="W61" s="20">
        <v>4.8726851851851856E-3</v>
      </c>
      <c r="X61" t="s">
        <v>298</v>
      </c>
      <c r="Y61">
        <v>15</v>
      </c>
      <c r="Z61">
        <v>0</v>
      </c>
      <c r="AA61" t="s">
        <v>78</v>
      </c>
      <c r="AB61">
        <v>0</v>
      </c>
      <c r="AC61" t="s">
        <v>78</v>
      </c>
      <c r="AD61">
        <v>0</v>
      </c>
      <c r="AE61">
        <v>11564574</v>
      </c>
      <c r="AF61" t="s">
        <v>79</v>
      </c>
      <c r="AG61" t="s">
        <v>260</v>
      </c>
    </row>
    <row r="62" spans="1:33" x14ac:dyDescent="0.35">
      <c r="A62" s="18">
        <v>44536.89166666667</v>
      </c>
      <c r="B62">
        <v>3339351</v>
      </c>
      <c r="C62" t="s">
        <v>299</v>
      </c>
      <c r="D62" t="s">
        <v>300</v>
      </c>
      <c r="E62" s="19">
        <v>40886</v>
      </c>
      <c r="F62" t="str">
        <f>"9780262298636"</f>
        <v>9780262298636</v>
      </c>
      <c r="G62" t="str">
        <f>"9780262016667"</f>
        <v>9780262016667</v>
      </c>
      <c r="H62" t="s">
        <v>301</v>
      </c>
      <c r="I62" t="s">
        <v>302</v>
      </c>
      <c r="J62" t="s">
        <v>303</v>
      </c>
      <c r="K62" t="s">
        <v>73</v>
      </c>
      <c r="N62" t="s">
        <v>74</v>
      </c>
      <c r="O62" t="s">
        <v>75</v>
      </c>
      <c r="P62" t="s">
        <v>74</v>
      </c>
      <c r="Q62" t="s">
        <v>76</v>
      </c>
      <c r="R62" t="s">
        <v>73</v>
      </c>
      <c r="S62">
        <v>0</v>
      </c>
      <c r="W62" s="20">
        <v>2.3981481481481479E-2</v>
      </c>
      <c r="X62" t="s">
        <v>304</v>
      </c>
      <c r="Y62">
        <v>11</v>
      </c>
      <c r="Z62">
        <v>0</v>
      </c>
      <c r="AA62" t="s">
        <v>78</v>
      </c>
      <c r="AB62">
        <v>0</v>
      </c>
      <c r="AC62" t="s">
        <v>78</v>
      </c>
      <c r="AD62">
        <v>0</v>
      </c>
      <c r="AE62">
        <v>10520613</v>
      </c>
      <c r="AF62" t="s">
        <v>79</v>
      </c>
      <c r="AG62" t="s">
        <v>260</v>
      </c>
    </row>
    <row r="63" spans="1:33" x14ac:dyDescent="0.35">
      <c r="A63" s="18">
        <v>44536.888194444444</v>
      </c>
      <c r="B63">
        <v>4497397</v>
      </c>
      <c r="C63" t="s">
        <v>279</v>
      </c>
      <c r="D63" t="s">
        <v>280</v>
      </c>
      <c r="E63" s="19">
        <v>42551</v>
      </c>
      <c r="F63" t="str">
        <f>"9789385059605"</f>
        <v>9789385059605</v>
      </c>
      <c r="G63" t="str">
        <f>"9789385059049"</f>
        <v>9789385059049</v>
      </c>
      <c r="H63" t="s">
        <v>159</v>
      </c>
      <c r="J63" t="s">
        <v>281</v>
      </c>
      <c r="K63" t="s">
        <v>85</v>
      </c>
      <c r="N63" t="s">
        <v>86</v>
      </c>
      <c r="P63" t="s">
        <v>87</v>
      </c>
      <c r="Q63" t="s">
        <v>76</v>
      </c>
      <c r="R63" t="s">
        <v>73</v>
      </c>
      <c r="S63">
        <v>0</v>
      </c>
      <c r="W63" s="20">
        <v>4.1782407407407402E-3</v>
      </c>
      <c r="X63" t="s">
        <v>305</v>
      </c>
      <c r="Y63">
        <v>41</v>
      </c>
      <c r="Z63">
        <v>0</v>
      </c>
      <c r="AA63" t="s">
        <v>78</v>
      </c>
      <c r="AB63">
        <v>0</v>
      </c>
      <c r="AC63" t="s">
        <v>78</v>
      </c>
      <c r="AD63">
        <v>0</v>
      </c>
      <c r="AE63">
        <v>11201119</v>
      </c>
      <c r="AF63" t="s">
        <v>79</v>
      </c>
      <c r="AG63" t="s">
        <v>260</v>
      </c>
    </row>
    <row r="64" spans="1:33" x14ac:dyDescent="0.35">
      <c r="A64" s="18">
        <v>44536.863888888889</v>
      </c>
      <c r="B64">
        <v>3443519</v>
      </c>
      <c r="C64" t="s">
        <v>306</v>
      </c>
      <c r="D64" t="s">
        <v>307</v>
      </c>
      <c r="E64" s="19">
        <v>37622</v>
      </c>
      <c r="F64" t="str">
        <f>"9780292792395"</f>
        <v>9780292792395</v>
      </c>
      <c r="G64" t="str">
        <f>"9780292705159"</f>
        <v>9780292705159</v>
      </c>
      <c r="H64" t="s">
        <v>308</v>
      </c>
      <c r="I64" t="s">
        <v>309</v>
      </c>
      <c r="J64" t="s">
        <v>310</v>
      </c>
      <c r="K64" t="s">
        <v>73</v>
      </c>
      <c r="N64" t="s">
        <v>74</v>
      </c>
      <c r="O64" t="s">
        <v>75</v>
      </c>
      <c r="P64" t="s">
        <v>74</v>
      </c>
      <c r="Q64" t="s">
        <v>76</v>
      </c>
      <c r="R64" t="s">
        <v>73</v>
      </c>
      <c r="S64">
        <v>0</v>
      </c>
      <c r="W64" s="20">
        <v>6.7129629629629625E-4</v>
      </c>
      <c r="X64" t="s">
        <v>311</v>
      </c>
      <c r="Y64">
        <v>6</v>
      </c>
      <c r="Z64">
        <v>0</v>
      </c>
      <c r="AA64" t="s">
        <v>78</v>
      </c>
      <c r="AB64">
        <v>0</v>
      </c>
      <c r="AC64" t="s">
        <v>78</v>
      </c>
      <c r="AD64">
        <v>0</v>
      </c>
      <c r="AE64">
        <v>10439445</v>
      </c>
      <c r="AF64" t="s">
        <v>88</v>
      </c>
      <c r="AG64" t="s">
        <v>312</v>
      </c>
    </row>
    <row r="65" spans="1:33" x14ac:dyDescent="0.35">
      <c r="A65" s="18">
        <v>44536.854166666664</v>
      </c>
      <c r="B65">
        <v>292370</v>
      </c>
      <c r="C65" t="s">
        <v>313</v>
      </c>
      <c r="D65" t="s">
        <v>314</v>
      </c>
      <c r="E65" s="19">
        <v>39184</v>
      </c>
      <c r="F65" t="str">
        <f>"9780748628971"</f>
        <v>9780748628971</v>
      </c>
      <c r="G65" t="str">
        <f>"9780748619191"</f>
        <v>9780748619191</v>
      </c>
      <c r="H65" t="s">
        <v>308</v>
      </c>
      <c r="I65">
        <v>297.40902</v>
      </c>
      <c r="J65" t="s">
        <v>315</v>
      </c>
      <c r="K65" t="s">
        <v>73</v>
      </c>
      <c r="N65" t="s">
        <v>74</v>
      </c>
      <c r="O65" t="s">
        <v>75</v>
      </c>
      <c r="P65" t="s">
        <v>74</v>
      </c>
      <c r="Q65" t="s">
        <v>76</v>
      </c>
      <c r="R65" t="s">
        <v>73</v>
      </c>
      <c r="S65">
        <v>0</v>
      </c>
      <c r="W65" s="20">
        <v>2.9513888888888888E-3</v>
      </c>
      <c r="X65" t="s">
        <v>316</v>
      </c>
      <c r="Y65">
        <v>20</v>
      </c>
      <c r="Z65">
        <v>0</v>
      </c>
      <c r="AA65" t="s">
        <v>78</v>
      </c>
      <c r="AB65">
        <v>0</v>
      </c>
      <c r="AC65" t="s">
        <v>78</v>
      </c>
      <c r="AD65">
        <v>0</v>
      </c>
      <c r="AE65">
        <v>10405162</v>
      </c>
      <c r="AF65" t="s">
        <v>79</v>
      </c>
      <c r="AG65" t="s">
        <v>312</v>
      </c>
    </row>
    <row r="66" spans="1:33" x14ac:dyDescent="0.35">
      <c r="A66" s="18">
        <v>44536.84652777778</v>
      </c>
      <c r="B66">
        <v>3339351</v>
      </c>
      <c r="C66" t="s">
        <v>299</v>
      </c>
      <c r="D66" t="s">
        <v>300</v>
      </c>
      <c r="E66" s="19">
        <v>40886</v>
      </c>
      <c r="F66" t="str">
        <f>"9780262298636"</f>
        <v>9780262298636</v>
      </c>
      <c r="G66" t="str">
        <f>"9780262016667"</f>
        <v>9780262016667</v>
      </c>
      <c r="H66" t="s">
        <v>301</v>
      </c>
      <c r="I66" t="s">
        <v>302</v>
      </c>
      <c r="J66" t="s">
        <v>303</v>
      </c>
      <c r="K66" t="s">
        <v>73</v>
      </c>
      <c r="N66" t="s">
        <v>74</v>
      </c>
      <c r="O66" t="s">
        <v>75</v>
      </c>
      <c r="P66" t="s">
        <v>74</v>
      </c>
      <c r="Q66" t="s">
        <v>76</v>
      </c>
      <c r="R66" t="s">
        <v>73</v>
      </c>
      <c r="S66">
        <v>0</v>
      </c>
      <c r="W66" s="20">
        <v>4.5486111111111109E-3</v>
      </c>
      <c r="X66" t="s">
        <v>317</v>
      </c>
      <c r="Y66">
        <v>5</v>
      </c>
      <c r="Z66">
        <v>0</v>
      </c>
      <c r="AA66" t="s">
        <v>78</v>
      </c>
      <c r="AB66">
        <v>0</v>
      </c>
      <c r="AC66" t="s">
        <v>78</v>
      </c>
      <c r="AD66">
        <v>0</v>
      </c>
      <c r="AE66">
        <v>10520613</v>
      </c>
      <c r="AF66" t="s">
        <v>79</v>
      </c>
      <c r="AG66" t="s">
        <v>260</v>
      </c>
    </row>
    <row r="67" spans="1:33" x14ac:dyDescent="0.35">
      <c r="A67" s="18">
        <v>44536.84652777778</v>
      </c>
      <c r="B67">
        <v>3021533</v>
      </c>
      <c r="C67" t="s">
        <v>318</v>
      </c>
      <c r="D67" t="s">
        <v>226</v>
      </c>
      <c r="E67" s="19">
        <v>40963</v>
      </c>
      <c r="F67" t="str">
        <f>"9781621004783"</f>
        <v>9781621004783</v>
      </c>
      <c r="G67" t="str">
        <f>"9781621004035"</f>
        <v>9781621004035</v>
      </c>
      <c r="H67" t="s">
        <v>319</v>
      </c>
      <c r="I67" t="s">
        <v>320</v>
      </c>
      <c r="J67" t="s">
        <v>321</v>
      </c>
      <c r="K67" t="s">
        <v>73</v>
      </c>
      <c r="N67" t="s">
        <v>74</v>
      </c>
      <c r="O67" t="s">
        <v>75</v>
      </c>
      <c r="P67" t="s">
        <v>230</v>
      </c>
      <c r="Q67" t="s">
        <v>76</v>
      </c>
      <c r="R67" t="s">
        <v>85</v>
      </c>
      <c r="S67">
        <v>0</v>
      </c>
      <c r="W67" s="20">
        <v>3.3564814814814812E-4</v>
      </c>
      <c r="X67" t="s">
        <v>322</v>
      </c>
      <c r="Y67">
        <v>5</v>
      </c>
      <c r="Z67">
        <v>0</v>
      </c>
      <c r="AA67" t="s">
        <v>78</v>
      </c>
      <c r="AB67">
        <v>0</v>
      </c>
      <c r="AC67" t="s">
        <v>78</v>
      </c>
      <c r="AD67">
        <v>0</v>
      </c>
      <c r="AE67">
        <v>10683193</v>
      </c>
      <c r="AF67" t="s">
        <v>79</v>
      </c>
      <c r="AG67" t="s">
        <v>260</v>
      </c>
    </row>
    <row r="68" spans="1:33" x14ac:dyDescent="0.35">
      <c r="A68" s="18">
        <v>44536.761805555558</v>
      </c>
      <c r="B68">
        <v>5503111</v>
      </c>
      <c r="C68" t="s">
        <v>323</v>
      </c>
      <c r="D68" t="s">
        <v>324</v>
      </c>
      <c r="E68" s="19">
        <v>41821</v>
      </c>
      <c r="F68" t="str">
        <f>"9781770905665"</f>
        <v>9781770905665</v>
      </c>
      <c r="G68" t="str">
        <f>""</f>
        <v/>
      </c>
      <c r="H68" t="s">
        <v>222</v>
      </c>
      <c r="I68">
        <v>610.69600000000003</v>
      </c>
      <c r="J68" t="s">
        <v>325</v>
      </c>
      <c r="K68" t="s">
        <v>73</v>
      </c>
      <c r="N68" t="s">
        <v>74</v>
      </c>
      <c r="O68" t="s">
        <v>75</v>
      </c>
      <c r="P68" t="s">
        <v>74</v>
      </c>
      <c r="Q68" t="s">
        <v>76</v>
      </c>
      <c r="R68" t="s">
        <v>73</v>
      </c>
      <c r="S68">
        <v>0</v>
      </c>
      <c r="W68" s="20">
        <v>4.2708333333333339E-3</v>
      </c>
      <c r="X68" t="s">
        <v>326</v>
      </c>
      <c r="Y68">
        <v>12</v>
      </c>
      <c r="Z68">
        <v>0</v>
      </c>
      <c r="AA68" t="s">
        <v>78</v>
      </c>
      <c r="AB68">
        <v>0</v>
      </c>
      <c r="AC68" t="s">
        <v>78</v>
      </c>
      <c r="AD68">
        <v>0</v>
      </c>
      <c r="AE68">
        <v>11603557</v>
      </c>
      <c r="AF68" t="s">
        <v>79</v>
      </c>
      <c r="AG68" t="s">
        <v>260</v>
      </c>
    </row>
    <row r="69" spans="1:33" x14ac:dyDescent="0.35">
      <c r="A69" s="18">
        <v>44536.760416666664</v>
      </c>
      <c r="B69">
        <v>5400159</v>
      </c>
      <c r="C69" t="s">
        <v>294</v>
      </c>
      <c r="D69" t="s">
        <v>295</v>
      </c>
      <c r="E69" s="19">
        <v>43313</v>
      </c>
      <c r="F69" t="str">
        <f>"9781538303269"</f>
        <v>9781538303269</v>
      </c>
      <c r="G69" t="str">
        <f>"9781538303245"</f>
        <v>9781538303245</v>
      </c>
      <c r="H69" t="s">
        <v>222</v>
      </c>
      <c r="I69">
        <v>610.9</v>
      </c>
      <c r="J69" t="s">
        <v>296</v>
      </c>
      <c r="K69" t="s">
        <v>85</v>
      </c>
      <c r="N69" t="s">
        <v>86</v>
      </c>
      <c r="P69" t="s">
        <v>297</v>
      </c>
      <c r="Q69" t="s">
        <v>76</v>
      </c>
      <c r="R69" t="s">
        <v>73</v>
      </c>
      <c r="S69">
        <v>0</v>
      </c>
      <c r="W69" s="20">
        <v>3.9745370370370368E-2</v>
      </c>
      <c r="X69" t="s">
        <v>327</v>
      </c>
      <c r="Y69">
        <v>57</v>
      </c>
      <c r="Z69">
        <v>0</v>
      </c>
      <c r="AA69" t="s">
        <v>78</v>
      </c>
      <c r="AB69">
        <v>0</v>
      </c>
      <c r="AC69" t="s">
        <v>328</v>
      </c>
      <c r="AD69">
        <v>13</v>
      </c>
      <c r="AE69">
        <v>11564574</v>
      </c>
      <c r="AF69" t="s">
        <v>79</v>
      </c>
      <c r="AG69" t="s">
        <v>260</v>
      </c>
    </row>
    <row r="70" spans="1:33" x14ac:dyDescent="0.35">
      <c r="A70" s="18">
        <v>44536.561111111114</v>
      </c>
      <c r="B70">
        <v>334204</v>
      </c>
      <c r="C70" t="s">
        <v>329</v>
      </c>
      <c r="D70" t="s">
        <v>330</v>
      </c>
      <c r="E70" s="19">
        <v>39630</v>
      </c>
      <c r="F70" t="str">
        <f>"9781607503118"</f>
        <v>9781607503118</v>
      </c>
      <c r="G70" t="str">
        <f>"9781586038366"</f>
        <v>9781586038366</v>
      </c>
      <c r="H70" t="s">
        <v>331</v>
      </c>
      <c r="K70" t="s">
        <v>73</v>
      </c>
      <c r="N70" t="s">
        <v>74</v>
      </c>
      <c r="O70" t="s">
        <v>75</v>
      </c>
      <c r="P70" t="s">
        <v>230</v>
      </c>
      <c r="Q70" t="s">
        <v>76</v>
      </c>
      <c r="R70" t="s">
        <v>85</v>
      </c>
      <c r="S70">
        <v>0</v>
      </c>
      <c r="W70" s="20">
        <v>1.2037037037037035E-2</v>
      </c>
      <c r="X70" t="s">
        <v>332</v>
      </c>
      <c r="Y70">
        <v>17</v>
      </c>
      <c r="Z70">
        <v>0</v>
      </c>
      <c r="AA70" t="s">
        <v>78</v>
      </c>
      <c r="AB70">
        <v>0</v>
      </c>
      <c r="AC70" t="s">
        <v>78</v>
      </c>
      <c r="AD70">
        <v>0</v>
      </c>
      <c r="AE70">
        <v>10216842</v>
      </c>
      <c r="AF70" t="s">
        <v>79</v>
      </c>
      <c r="AG70" t="s">
        <v>333</v>
      </c>
    </row>
    <row r="71" spans="1:33" x14ac:dyDescent="0.35">
      <c r="A71" s="18">
        <v>44536.439583333333</v>
      </c>
      <c r="B71">
        <v>1209902</v>
      </c>
      <c r="C71" t="s">
        <v>238</v>
      </c>
      <c r="D71" t="s">
        <v>239</v>
      </c>
      <c r="E71" s="19">
        <v>36312</v>
      </c>
      <c r="F71" t="str">
        <f>"9789812774903"</f>
        <v>9789812774903</v>
      </c>
      <c r="G71" t="str">
        <f>"9789810237813"</f>
        <v>9789810237813</v>
      </c>
      <c r="H71" t="s">
        <v>240</v>
      </c>
      <c r="I71">
        <v>502</v>
      </c>
      <c r="J71" t="s">
        <v>241</v>
      </c>
      <c r="K71" t="s">
        <v>73</v>
      </c>
      <c r="N71" t="s">
        <v>74</v>
      </c>
      <c r="O71" t="s">
        <v>75</v>
      </c>
      <c r="P71" t="s">
        <v>74</v>
      </c>
      <c r="Q71" t="s">
        <v>76</v>
      </c>
      <c r="R71" t="s">
        <v>73</v>
      </c>
      <c r="S71">
        <v>0</v>
      </c>
      <c r="W71" s="20">
        <v>2.199074074074074E-4</v>
      </c>
      <c r="X71" t="s">
        <v>334</v>
      </c>
      <c r="Y71">
        <v>3</v>
      </c>
      <c r="Z71">
        <v>0</v>
      </c>
      <c r="AA71" t="s">
        <v>78</v>
      </c>
      <c r="AB71">
        <v>0</v>
      </c>
      <c r="AC71" t="s">
        <v>78</v>
      </c>
      <c r="AD71">
        <v>0</v>
      </c>
      <c r="AE71">
        <v>10201183</v>
      </c>
      <c r="AF71" t="s">
        <v>79</v>
      </c>
      <c r="AG71" t="s">
        <v>242</v>
      </c>
    </row>
    <row r="72" spans="1:33" x14ac:dyDescent="0.35">
      <c r="A72" s="18">
        <v>44536.370138888888</v>
      </c>
      <c r="B72">
        <v>4497397</v>
      </c>
      <c r="C72" t="s">
        <v>279</v>
      </c>
      <c r="D72" t="s">
        <v>280</v>
      </c>
      <c r="E72" s="19">
        <v>42551</v>
      </c>
      <c r="F72" t="str">
        <f>"9789385059605"</f>
        <v>9789385059605</v>
      </c>
      <c r="G72" t="str">
        <f>"9789385059049"</f>
        <v>9789385059049</v>
      </c>
      <c r="H72" t="s">
        <v>159</v>
      </c>
      <c r="J72" t="s">
        <v>281</v>
      </c>
      <c r="K72" t="s">
        <v>85</v>
      </c>
      <c r="N72" t="s">
        <v>86</v>
      </c>
      <c r="P72" t="s">
        <v>87</v>
      </c>
      <c r="Q72" t="s">
        <v>76</v>
      </c>
      <c r="R72" t="s">
        <v>73</v>
      </c>
      <c r="S72">
        <v>0</v>
      </c>
      <c r="W72" s="20">
        <v>1.7997685185185186E-2</v>
      </c>
      <c r="X72" t="s">
        <v>335</v>
      </c>
      <c r="Y72">
        <v>9</v>
      </c>
      <c r="Z72">
        <v>1</v>
      </c>
      <c r="AA72" t="s">
        <v>336</v>
      </c>
      <c r="AB72">
        <v>14</v>
      </c>
      <c r="AC72" t="s">
        <v>78</v>
      </c>
      <c r="AD72">
        <v>0</v>
      </c>
      <c r="AE72">
        <v>11201119</v>
      </c>
      <c r="AF72" t="s">
        <v>79</v>
      </c>
      <c r="AG72" t="s">
        <v>260</v>
      </c>
    </row>
    <row r="73" spans="1:33" x14ac:dyDescent="0.35">
      <c r="A73" s="18">
        <v>44535.781944444447</v>
      </c>
      <c r="B73">
        <v>1637335</v>
      </c>
      <c r="C73" t="s">
        <v>337</v>
      </c>
      <c r="D73" t="s">
        <v>338</v>
      </c>
      <c r="E73" s="19">
        <v>41690</v>
      </c>
      <c r="F73" t="str">
        <f>"9780124167452"</f>
        <v>9780124167452</v>
      </c>
      <c r="G73" t="str">
        <f>"9780124167438"</f>
        <v>9780124167438</v>
      </c>
      <c r="H73" t="s">
        <v>339</v>
      </c>
      <c r="I73">
        <v>519.6</v>
      </c>
      <c r="J73" t="s">
        <v>340</v>
      </c>
      <c r="K73" t="s">
        <v>73</v>
      </c>
      <c r="N73" t="s">
        <v>74</v>
      </c>
      <c r="O73" t="s">
        <v>75</v>
      </c>
      <c r="P73" t="s">
        <v>74</v>
      </c>
      <c r="Q73" t="s">
        <v>76</v>
      </c>
      <c r="R73" t="s">
        <v>73</v>
      </c>
      <c r="S73">
        <v>0</v>
      </c>
      <c r="W73" s="20">
        <v>0</v>
      </c>
      <c r="X73" t="s">
        <v>78</v>
      </c>
      <c r="Y73">
        <v>0</v>
      </c>
      <c r="Z73">
        <v>1</v>
      </c>
      <c r="AA73" t="s">
        <v>341</v>
      </c>
      <c r="AB73">
        <v>14</v>
      </c>
      <c r="AC73" t="s">
        <v>78</v>
      </c>
      <c r="AD73">
        <v>0</v>
      </c>
      <c r="AE73">
        <v>10839265</v>
      </c>
      <c r="AF73" t="s">
        <v>79</v>
      </c>
      <c r="AG73" t="s">
        <v>187</v>
      </c>
    </row>
    <row r="74" spans="1:33" x14ac:dyDescent="0.35">
      <c r="A74" s="18">
        <v>44535.71597222222</v>
      </c>
      <c r="B74">
        <v>1209902</v>
      </c>
      <c r="C74" t="s">
        <v>238</v>
      </c>
      <c r="D74" t="s">
        <v>239</v>
      </c>
      <c r="E74" s="19">
        <v>36312</v>
      </c>
      <c r="F74" t="str">
        <f>"9789812774903"</f>
        <v>9789812774903</v>
      </c>
      <c r="G74" t="str">
        <f>"9789810237813"</f>
        <v>9789810237813</v>
      </c>
      <c r="H74" t="s">
        <v>240</v>
      </c>
      <c r="I74">
        <v>502</v>
      </c>
      <c r="J74" t="s">
        <v>241</v>
      </c>
      <c r="K74" t="s">
        <v>73</v>
      </c>
      <c r="N74" t="s">
        <v>74</v>
      </c>
      <c r="O74" t="s">
        <v>75</v>
      </c>
      <c r="P74" t="s">
        <v>74</v>
      </c>
      <c r="Q74" t="s">
        <v>76</v>
      </c>
      <c r="R74" t="s">
        <v>73</v>
      </c>
      <c r="S74">
        <v>0</v>
      </c>
      <c r="W74" s="20">
        <v>2.3611111111111111E-3</v>
      </c>
      <c r="X74" t="s">
        <v>342</v>
      </c>
      <c r="Y74">
        <v>9</v>
      </c>
      <c r="Z74">
        <v>0</v>
      </c>
      <c r="AA74" t="s">
        <v>78</v>
      </c>
      <c r="AB74">
        <v>0</v>
      </c>
      <c r="AC74" t="s">
        <v>78</v>
      </c>
      <c r="AD74">
        <v>0</v>
      </c>
      <c r="AE74">
        <v>10201183</v>
      </c>
      <c r="AF74" t="s">
        <v>79</v>
      </c>
      <c r="AG74" t="s">
        <v>242</v>
      </c>
    </row>
    <row r="75" spans="1:33" x14ac:dyDescent="0.35">
      <c r="A75" s="18">
        <v>44535.703472222223</v>
      </c>
      <c r="B75">
        <v>3044618</v>
      </c>
      <c r="C75" t="s">
        <v>188</v>
      </c>
      <c r="D75" t="s">
        <v>189</v>
      </c>
      <c r="E75" s="19">
        <v>36854</v>
      </c>
      <c r="F75" t="str">
        <f>"9783110800234"</f>
        <v>9783110800234</v>
      </c>
      <c r="G75" t="str">
        <f>"9783110159035"</f>
        <v>9783110159035</v>
      </c>
      <c r="H75" t="s">
        <v>190</v>
      </c>
      <c r="I75">
        <v>526.1</v>
      </c>
      <c r="J75" t="s">
        <v>191</v>
      </c>
      <c r="K75" t="s">
        <v>73</v>
      </c>
      <c r="N75" t="s">
        <v>74</v>
      </c>
      <c r="O75" t="s">
        <v>75</v>
      </c>
      <c r="P75" t="s">
        <v>74</v>
      </c>
      <c r="Q75" t="s">
        <v>76</v>
      </c>
      <c r="R75" t="s">
        <v>73</v>
      </c>
      <c r="S75">
        <v>0</v>
      </c>
      <c r="W75" s="20">
        <v>1.4351851851851854E-3</v>
      </c>
      <c r="X75" t="s">
        <v>343</v>
      </c>
      <c r="Y75">
        <v>8</v>
      </c>
      <c r="Z75">
        <v>0</v>
      </c>
      <c r="AA75" t="s">
        <v>78</v>
      </c>
      <c r="AB75">
        <v>0</v>
      </c>
      <c r="AC75" t="s">
        <v>78</v>
      </c>
      <c r="AD75">
        <v>0</v>
      </c>
      <c r="AE75">
        <v>10789650</v>
      </c>
      <c r="AF75" t="s">
        <v>88</v>
      </c>
      <c r="AG75" t="s">
        <v>203</v>
      </c>
    </row>
    <row r="76" spans="1:33" x14ac:dyDescent="0.35">
      <c r="A76" s="18">
        <v>44535.685416666667</v>
      </c>
      <c r="B76">
        <v>1209902</v>
      </c>
      <c r="C76" t="s">
        <v>238</v>
      </c>
      <c r="D76" t="s">
        <v>239</v>
      </c>
      <c r="E76" s="19">
        <v>36312</v>
      </c>
      <c r="F76" t="str">
        <f>"9789812774903"</f>
        <v>9789812774903</v>
      </c>
      <c r="G76" t="str">
        <f>"9789810237813"</f>
        <v>9789810237813</v>
      </c>
      <c r="H76" t="s">
        <v>240</v>
      </c>
      <c r="I76">
        <v>502</v>
      </c>
      <c r="J76" t="s">
        <v>241</v>
      </c>
      <c r="K76" t="s">
        <v>73</v>
      </c>
      <c r="N76" t="s">
        <v>74</v>
      </c>
      <c r="O76" t="s">
        <v>75</v>
      </c>
      <c r="P76" t="s">
        <v>74</v>
      </c>
      <c r="Q76" t="s">
        <v>76</v>
      </c>
      <c r="R76" t="s">
        <v>73</v>
      </c>
      <c r="S76">
        <v>0</v>
      </c>
      <c r="W76" s="20">
        <v>1.8518518518518518E-4</v>
      </c>
      <c r="X76" t="s">
        <v>334</v>
      </c>
      <c r="Y76">
        <v>3</v>
      </c>
      <c r="Z76">
        <v>0</v>
      </c>
      <c r="AA76" t="s">
        <v>78</v>
      </c>
      <c r="AB76">
        <v>0</v>
      </c>
      <c r="AC76" t="s">
        <v>78</v>
      </c>
      <c r="AD76">
        <v>0</v>
      </c>
      <c r="AE76">
        <v>10201183</v>
      </c>
      <c r="AF76" t="s">
        <v>79</v>
      </c>
      <c r="AG76" t="s">
        <v>242</v>
      </c>
    </row>
    <row r="77" spans="1:33" x14ac:dyDescent="0.35">
      <c r="A77" s="18">
        <v>44535.574305555558</v>
      </c>
      <c r="B77">
        <v>1209902</v>
      </c>
      <c r="C77" t="s">
        <v>238</v>
      </c>
      <c r="D77" t="s">
        <v>239</v>
      </c>
      <c r="E77" s="19">
        <v>36312</v>
      </c>
      <c r="F77" t="str">
        <f>"9789812774903"</f>
        <v>9789812774903</v>
      </c>
      <c r="G77" t="str">
        <f>"9789810237813"</f>
        <v>9789810237813</v>
      </c>
      <c r="H77" t="s">
        <v>240</v>
      </c>
      <c r="I77">
        <v>502</v>
      </c>
      <c r="J77" t="s">
        <v>241</v>
      </c>
      <c r="K77" t="s">
        <v>73</v>
      </c>
      <c r="N77" t="s">
        <v>74</v>
      </c>
      <c r="O77" t="s">
        <v>75</v>
      </c>
      <c r="P77" t="s">
        <v>74</v>
      </c>
      <c r="Q77" t="s">
        <v>76</v>
      </c>
      <c r="R77" t="s">
        <v>73</v>
      </c>
      <c r="S77">
        <v>0</v>
      </c>
      <c r="W77" s="20">
        <v>1.2048611111111112E-2</v>
      </c>
      <c r="X77" t="s">
        <v>344</v>
      </c>
      <c r="Y77">
        <v>12</v>
      </c>
      <c r="Z77">
        <v>0</v>
      </c>
      <c r="AA77" t="s">
        <v>78</v>
      </c>
      <c r="AB77">
        <v>0</v>
      </c>
      <c r="AC77" t="s">
        <v>78</v>
      </c>
      <c r="AD77">
        <v>0</v>
      </c>
      <c r="AE77">
        <v>10201183</v>
      </c>
      <c r="AF77" t="s">
        <v>79</v>
      </c>
      <c r="AG77" t="s">
        <v>242</v>
      </c>
    </row>
    <row r="78" spans="1:33" x14ac:dyDescent="0.35">
      <c r="A78" s="18">
        <v>44535.04583333333</v>
      </c>
      <c r="B78">
        <v>3115590</v>
      </c>
      <c r="C78" t="s">
        <v>345</v>
      </c>
      <c r="D78" t="s">
        <v>346</v>
      </c>
      <c r="E78" s="19">
        <v>40261</v>
      </c>
      <c r="F78" t="str">
        <f>"9780784473542"</f>
        <v>9780784473542</v>
      </c>
      <c r="G78" t="str">
        <f>"9780784411179"</f>
        <v>9780784411179</v>
      </c>
      <c r="H78" t="s">
        <v>97</v>
      </c>
      <c r="I78" t="s">
        <v>347</v>
      </c>
      <c r="J78" t="s">
        <v>348</v>
      </c>
      <c r="K78" t="s">
        <v>73</v>
      </c>
      <c r="N78" t="s">
        <v>74</v>
      </c>
      <c r="O78" t="s">
        <v>75</v>
      </c>
      <c r="P78" t="s">
        <v>74</v>
      </c>
      <c r="Q78" t="s">
        <v>76</v>
      </c>
      <c r="R78" t="s">
        <v>73</v>
      </c>
      <c r="S78">
        <v>0</v>
      </c>
      <c r="W78" s="20">
        <v>4.5138888888888892E-4</v>
      </c>
      <c r="X78" t="s">
        <v>349</v>
      </c>
      <c r="Y78">
        <v>7</v>
      </c>
      <c r="Z78">
        <v>0</v>
      </c>
      <c r="AA78" t="s">
        <v>78</v>
      </c>
      <c r="AB78">
        <v>0</v>
      </c>
      <c r="AC78" t="s">
        <v>78</v>
      </c>
      <c r="AD78">
        <v>0</v>
      </c>
      <c r="AE78">
        <v>10594246</v>
      </c>
      <c r="AF78" t="s">
        <v>79</v>
      </c>
      <c r="AG78" t="s">
        <v>293</v>
      </c>
    </row>
    <row r="79" spans="1:33" x14ac:dyDescent="0.35">
      <c r="A79" s="18">
        <v>44534.991666666669</v>
      </c>
      <c r="B79">
        <v>3378221</v>
      </c>
      <c r="C79" t="s">
        <v>350</v>
      </c>
      <c r="D79" t="s">
        <v>351</v>
      </c>
      <c r="E79" s="19">
        <v>39192</v>
      </c>
      <c r="F79" t="str">
        <f>"9780309106047"</f>
        <v>9780309106047</v>
      </c>
      <c r="G79" t="str">
        <f>"9780309106030"</f>
        <v>9780309106030</v>
      </c>
      <c r="H79" t="s">
        <v>352</v>
      </c>
      <c r="I79">
        <v>631.70000000000005</v>
      </c>
      <c r="J79" t="s">
        <v>353</v>
      </c>
      <c r="K79" t="s">
        <v>73</v>
      </c>
      <c r="N79" t="s">
        <v>74</v>
      </c>
      <c r="O79" t="s">
        <v>75</v>
      </c>
      <c r="P79" t="s">
        <v>230</v>
      </c>
      <c r="Q79" t="s">
        <v>76</v>
      </c>
      <c r="R79" t="s">
        <v>85</v>
      </c>
      <c r="S79">
        <v>0</v>
      </c>
      <c r="W79" s="20">
        <v>2.2488425925925926E-2</v>
      </c>
      <c r="X79" t="s">
        <v>354</v>
      </c>
      <c r="Y79">
        <v>20</v>
      </c>
      <c r="Z79">
        <v>0</v>
      </c>
      <c r="AA79" t="s">
        <v>78</v>
      </c>
      <c r="AB79">
        <v>0</v>
      </c>
      <c r="AC79" t="s">
        <v>355</v>
      </c>
      <c r="AD79">
        <v>1</v>
      </c>
      <c r="AE79">
        <v>10170949</v>
      </c>
      <c r="AF79" t="s">
        <v>79</v>
      </c>
      <c r="AG79" t="s">
        <v>242</v>
      </c>
    </row>
    <row r="80" spans="1:33" x14ac:dyDescent="0.35">
      <c r="A80" s="18">
        <v>44534.369444444441</v>
      </c>
      <c r="B80">
        <v>243589</v>
      </c>
      <c r="C80" t="s">
        <v>356</v>
      </c>
      <c r="D80" t="s">
        <v>70</v>
      </c>
      <c r="E80" s="19">
        <v>38734</v>
      </c>
      <c r="F80" t="str">
        <f>"9781405153164"</f>
        <v>9781405153164</v>
      </c>
      <c r="G80" t="str">
        <f>"9781405116060"</f>
        <v>9781405116060</v>
      </c>
      <c r="H80" t="s">
        <v>128</v>
      </c>
      <c r="I80">
        <v>302.23081999999999</v>
      </c>
      <c r="J80" t="s">
        <v>357</v>
      </c>
      <c r="K80" t="s">
        <v>73</v>
      </c>
      <c r="N80" t="s">
        <v>74</v>
      </c>
      <c r="O80" t="s">
        <v>75</v>
      </c>
      <c r="P80" t="s">
        <v>74</v>
      </c>
      <c r="Q80" t="s">
        <v>76</v>
      </c>
      <c r="R80" t="s">
        <v>73</v>
      </c>
      <c r="S80">
        <v>0</v>
      </c>
      <c r="W80" s="20">
        <v>1.5740740740740741E-3</v>
      </c>
      <c r="X80" t="s">
        <v>358</v>
      </c>
      <c r="Y80">
        <v>12</v>
      </c>
      <c r="Z80">
        <v>0</v>
      </c>
      <c r="AA80" t="s">
        <v>78</v>
      </c>
      <c r="AB80">
        <v>0</v>
      </c>
      <c r="AC80" t="s">
        <v>78</v>
      </c>
      <c r="AD80">
        <v>0</v>
      </c>
      <c r="AE80">
        <v>10213747</v>
      </c>
      <c r="AF80" t="s">
        <v>79</v>
      </c>
      <c r="AG80" t="s">
        <v>260</v>
      </c>
    </row>
    <row r="81" spans="1:33" x14ac:dyDescent="0.35">
      <c r="A81" s="18">
        <v>44533.728472222225</v>
      </c>
      <c r="B81">
        <v>6694113</v>
      </c>
      <c r="C81" t="s">
        <v>359</v>
      </c>
      <c r="D81" t="s">
        <v>127</v>
      </c>
      <c r="E81" s="19">
        <v>44467</v>
      </c>
      <c r="F81" t="str">
        <f>"9781000460643"</f>
        <v>9781000460643</v>
      </c>
      <c r="G81" t="str">
        <f>"9780367485177"</f>
        <v>9780367485177</v>
      </c>
      <c r="H81" t="s">
        <v>128</v>
      </c>
      <c r="I81">
        <v>307.76095379999998</v>
      </c>
      <c r="K81" t="s">
        <v>85</v>
      </c>
      <c r="N81" t="s">
        <v>86</v>
      </c>
      <c r="P81" t="s">
        <v>87</v>
      </c>
      <c r="Q81" t="s">
        <v>76</v>
      </c>
      <c r="R81" t="s">
        <v>73</v>
      </c>
      <c r="S81">
        <v>0</v>
      </c>
      <c r="W81" s="20">
        <v>1.9907407407407408E-3</v>
      </c>
      <c r="X81" t="s">
        <v>360</v>
      </c>
      <c r="Y81">
        <v>2</v>
      </c>
      <c r="Z81">
        <v>0</v>
      </c>
      <c r="AA81" t="s">
        <v>78</v>
      </c>
      <c r="AB81">
        <v>0</v>
      </c>
      <c r="AC81" t="s">
        <v>78</v>
      </c>
      <c r="AD81">
        <v>0</v>
      </c>
      <c r="AE81">
        <v>-1</v>
      </c>
      <c r="AF81" t="s">
        <v>79</v>
      </c>
      <c r="AG81" t="s">
        <v>260</v>
      </c>
    </row>
    <row r="82" spans="1:33" x14ac:dyDescent="0.35">
      <c r="A82" s="18">
        <v>44533.63958333333</v>
      </c>
      <c r="B82">
        <v>420666</v>
      </c>
      <c r="C82" t="s">
        <v>361</v>
      </c>
      <c r="D82" t="s">
        <v>284</v>
      </c>
      <c r="E82" s="19">
        <v>39814</v>
      </c>
      <c r="F82" t="str">
        <f>"9781845934798"</f>
        <v>9781845934798</v>
      </c>
      <c r="G82" t="str">
        <f>"9781845934781"</f>
        <v>9781845934781</v>
      </c>
      <c r="H82" t="s">
        <v>285</v>
      </c>
      <c r="I82" t="s">
        <v>362</v>
      </c>
      <c r="J82" t="s">
        <v>363</v>
      </c>
      <c r="K82" t="s">
        <v>73</v>
      </c>
      <c r="N82" t="s">
        <v>74</v>
      </c>
      <c r="O82" t="s">
        <v>75</v>
      </c>
      <c r="P82" t="s">
        <v>230</v>
      </c>
      <c r="Q82" t="s">
        <v>76</v>
      </c>
      <c r="R82" t="s">
        <v>85</v>
      </c>
      <c r="S82">
        <v>0</v>
      </c>
      <c r="W82" s="20">
        <v>1.1458333333333333E-3</v>
      </c>
      <c r="X82" t="s">
        <v>364</v>
      </c>
      <c r="Y82">
        <v>19</v>
      </c>
      <c r="Z82">
        <v>0</v>
      </c>
      <c r="AA82" t="s">
        <v>78</v>
      </c>
      <c r="AB82">
        <v>0</v>
      </c>
      <c r="AC82" t="s">
        <v>78</v>
      </c>
      <c r="AD82">
        <v>0</v>
      </c>
      <c r="AE82">
        <v>10281498</v>
      </c>
      <c r="AF82" t="s">
        <v>79</v>
      </c>
      <c r="AG82" t="s">
        <v>365</v>
      </c>
    </row>
    <row r="83" spans="1:33" x14ac:dyDescent="0.35">
      <c r="A83" s="18">
        <v>44533.63958333333</v>
      </c>
      <c r="B83">
        <v>3377579</v>
      </c>
      <c r="C83" t="s">
        <v>366</v>
      </c>
      <c r="D83" t="s">
        <v>351</v>
      </c>
      <c r="E83" s="19">
        <v>35765</v>
      </c>
      <c r="F83" t="str">
        <f>"9780309578226"</f>
        <v>9780309578226</v>
      </c>
      <c r="G83" t="str">
        <f>""</f>
        <v/>
      </c>
      <c r="H83" t="s">
        <v>135</v>
      </c>
      <c r="I83">
        <v>327.17450000000002</v>
      </c>
      <c r="J83" t="s">
        <v>367</v>
      </c>
      <c r="K83" t="s">
        <v>73</v>
      </c>
      <c r="N83" t="s">
        <v>74</v>
      </c>
      <c r="O83" t="s">
        <v>75</v>
      </c>
      <c r="P83" t="s">
        <v>230</v>
      </c>
      <c r="Q83" t="s">
        <v>76</v>
      </c>
      <c r="R83" t="s">
        <v>85</v>
      </c>
      <c r="S83">
        <v>0</v>
      </c>
      <c r="W83" s="20">
        <v>0</v>
      </c>
      <c r="X83" t="s">
        <v>78</v>
      </c>
      <c r="Y83">
        <v>0</v>
      </c>
      <c r="Z83">
        <v>0</v>
      </c>
      <c r="AA83" t="s">
        <v>78</v>
      </c>
      <c r="AB83">
        <v>0</v>
      </c>
      <c r="AC83" t="s">
        <v>78</v>
      </c>
      <c r="AD83">
        <v>0</v>
      </c>
      <c r="AE83">
        <v>10071895</v>
      </c>
      <c r="AF83" t="s">
        <v>79</v>
      </c>
      <c r="AG83" t="s">
        <v>365</v>
      </c>
    </row>
    <row r="84" spans="1:33" x14ac:dyDescent="0.35">
      <c r="A84" s="18">
        <v>44533.630555555559</v>
      </c>
      <c r="B84">
        <v>5831090</v>
      </c>
      <c r="C84" t="s">
        <v>368</v>
      </c>
      <c r="D84" t="s">
        <v>369</v>
      </c>
      <c r="E84" s="19">
        <v>43671</v>
      </c>
      <c r="F84" t="str">
        <f>"9783030153786"</f>
        <v>9783030153786</v>
      </c>
      <c r="G84" t="str">
        <f>"9783030153779"</f>
        <v>9783030153779</v>
      </c>
      <c r="H84" t="s">
        <v>222</v>
      </c>
      <c r="I84">
        <v>610.11</v>
      </c>
      <c r="J84" t="s">
        <v>370</v>
      </c>
      <c r="K84" t="s">
        <v>85</v>
      </c>
      <c r="Q84" t="s">
        <v>76</v>
      </c>
      <c r="R84" t="s">
        <v>73</v>
      </c>
      <c r="S84">
        <v>0</v>
      </c>
      <c r="W84" s="20">
        <v>1.7476851851851852E-3</v>
      </c>
      <c r="X84" t="s">
        <v>371</v>
      </c>
      <c r="Y84">
        <v>19</v>
      </c>
      <c r="Z84">
        <v>0</v>
      </c>
      <c r="AA84" t="s">
        <v>78</v>
      </c>
      <c r="AB84">
        <v>0</v>
      </c>
      <c r="AC84" t="s">
        <v>78</v>
      </c>
      <c r="AD84">
        <v>0</v>
      </c>
      <c r="AE84">
        <v>-1</v>
      </c>
      <c r="AF84" t="s">
        <v>88</v>
      </c>
      <c r="AG84" t="s">
        <v>372</v>
      </c>
    </row>
    <row r="85" spans="1:33" x14ac:dyDescent="0.35">
      <c r="A85" s="18">
        <v>44533.45208333333</v>
      </c>
      <c r="B85">
        <v>289913</v>
      </c>
      <c r="C85" t="s">
        <v>373</v>
      </c>
      <c r="D85" t="s">
        <v>284</v>
      </c>
      <c r="E85" s="19">
        <v>39083</v>
      </c>
      <c r="F85" t="str">
        <f>"9781845931902"</f>
        <v>9781845931902</v>
      </c>
      <c r="G85" t="str">
        <f>"9781845931896"</f>
        <v>9781845931896</v>
      </c>
      <c r="H85" t="s">
        <v>374</v>
      </c>
      <c r="I85">
        <v>628.53200000000004</v>
      </c>
      <c r="J85" t="s">
        <v>375</v>
      </c>
      <c r="K85" t="s">
        <v>73</v>
      </c>
      <c r="N85" t="s">
        <v>74</v>
      </c>
      <c r="O85" t="s">
        <v>75</v>
      </c>
      <c r="P85" t="s">
        <v>230</v>
      </c>
      <c r="Q85" t="s">
        <v>76</v>
      </c>
      <c r="R85" t="s">
        <v>85</v>
      </c>
      <c r="S85">
        <v>0</v>
      </c>
      <c r="W85" s="20">
        <v>1.8518518518518517E-3</v>
      </c>
      <c r="X85" t="s">
        <v>376</v>
      </c>
      <c r="Y85">
        <v>13</v>
      </c>
      <c r="Z85">
        <v>0</v>
      </c>
      <c r="AA85" t="s">
        <v>78</v>
      </c>
      <c r="AB85">
        <v>0</v>
      </c>
      <c r="AC85" t="s">
        <v>78</v>
      </c>
      <c r="AD85">
        <v>0</v>
      </c>
      <c r="AE85">
        <v>10167230</v>
      </c>
      <c r="AF85" t="s">
        <v>79</v>
      </c>
      <c r="AG85" t="s">
        <v>260</v>
      </c>
    </row>
    <row r="86" spans="1:33" x14ac:dyDescent="0.35">
      <c r="A86" s="18">
        <v>44533.381944444445</v>
      </c>
      <c r="B86">
        <v>4585271</v>
      </c>
      <c r="C86" t="s">
        <v>377</v>
      </c>
      <c r="D86" t="s">
        <v>70</v>
      </c>
      <c r="E86" s="19">
        <v>42583</v>
      </c>
      <c r="F86" t="str">
        <f>"9781119179597"</f>
        <v>9781119179597</v>
      </c>
      <c r="G86" t="str">
        <f>"9781119179573"</f>
        <v>9781119179573</v>
      </c>
      <c r="H86" t="s">
        <v>378</v>
      </c>
      <c r="I86">
        <v>658.4</v>
      </c>
      <c r="J86" t="s">
        <v>379</v>
      </c>
      <c r="K86" t="s">
        <v>73</v>
      </c>
      <c r="N86" t="s">
        <v>74</v>
      </c>
      <c r="O86" t="s">
        <v>75</v>
      </c>
      <c r="P86" t="s">
        <v>74</v>
      </c>
      <c r="Q86" t="s">
        <v>76</v>
      </c>
      <c r="R86" t="s">
        <v>73</v>
      </c>
      <c r="S86">
        <v>0</v>
      </c>
      <c r="W86" s="20">
        <v>1.8599537037037036E-2</v>
      </c>
      <c r="X86" t="s">
        <v>380</v>
      </c>
      <c r="Y86">
        <v>22</v>
      </c>
      <c r="Z86">
        <v>0</v>
      </c>
      <c r="AA86" t="s">
        <v>78</v>
      </c>
      <c r="AB86">
        <v>0</v>
      </c>
      <c r="AC86" t="s">
        <v>78</v>
      </c>
      <c r="AD86">
        <v>0</v>
      </c>
      <c r="AE86">
        <v>11234254</v>
      </c>
      <c r="AF86" t="s">
        <v>79</v>
      </c>
      <c r="AG86" t="s">
        <v>381</v>
      </c>
    </row>
    <row r="87" spans="1:33" x14ac:dyDescent="0.35">
      <c r="A87" s="18">
        <v>44533.072222222225</v>
      </c>
      <c r="B87">
        <v>289913</v>
      </c>
      <c r="C87" t="s">
        <v>373</v>
      </c>
      <c r="D87" t="s">
        <v>284</v>
      </c>
      <c r="E87" s="19">
        <v>39083</v>
      </c>
      <c r="F87" t="str">
        <f>"9781845931902"</f>
        <v>9781845931902</v>
      </c>
      <c r="G87" t="str">
        <f>"9781845931896"</f>
        <v>9781845931896</v>
      </c>
      <c r="H87" t="s">
        <v>374</v>
      </c>
      <c r="I87">
        <v>628.53200000000004</v>
      </c>
      <c r="J87" t="s">
        <v>375</v>
      </c>
      <c r="K87" t="s">
        <v>73</v>
      </c>
      <c r="N87" t="s">
        <v>74</v>
      </c>
      <c r="O87" t="s">
        <v>75</v>
      </c>
      <c r="P87" t="s">
        <v>230</v>
      </c>
      <c r="Q87" t="s">
        <v>76</v>
      </c>
      <c r="R87" t="s">
        <v>85</v>
      </c>
      <c r="S87">
        <v>0</v>
      </c>
      <c r="W87" s="20">
        <v>5.7870370370370366E-5</v>
      </c>
      <c r="X87" t="s">
        <v>132</v>
      </c>
      <c r="Y87">
        <v>1</v>
      </c>
      <c r="Z87">
        <v>0</v>
      </c>
      <c r="AA87" t="s">
        <v>78</v>
      </c>
      <c r="AB87">
        <v>0</v>
      </c>
      <c r="AC87" t="s">
        <v>78</v>
      </c>
      <c r="AD87">
        <v>0</v>
      </c>
      <c r="AE87">
        <v>10167230</v>
      </c>
      <c r="AF87" t="s">
        <v>79</v>
      </c>
      <c r="AG87" t="s">
        <v>382</v>
      </c>
    </row>
    <row r="88" spans="1:33" x14ac:dyDescent="0.35">
      <c r="A88" s="18">
        <v>44533.043055555558</v>
      </c>
      <c r="B88">
        <v>289913</v>
      </c>
      <c r="C88" t="s">
        <v>373</v>
      </c>
      <c r="D88" t="s">
        <v>284</v>
      </c>
      <c r="E88" s="19">
        <v>39083</v>
      </c>
      <c r="F88" t="str">
        <f>"9781845931902"</f>
        <v>9781845931902</v>
      </c>
      <c r="G88" t="str">
        <f>"9781845931896"</f>
        <v>9781845931896</v>
      </c>
      <c r="H88" t="s">
        <v>374</v>
      </c>
      <c r="I88">
        <v>628.53200000000004</v>
      </c>
      <c r="J88" t="s">
        <v>375</v>
      </c>
      <c r="K88" t="s">
        <v>73</v>
      </c>
      <c r="N88" t="s">
        <v>74</v>
      </c>
      <c r="O88" t="s">
        <v>75</v>
      </c>
      <c r="P88" t="s">
        <v>230</v>
      </c>
      <c r="Q88" t="s">
        <v>76</v>
      </c>
      <c r="R88" t="s">
        <v>85</v>
      </c>
      <c r="S88">
        <v>0</v>
      </c>
      <c r="W88" s="20">
        <v>5.4398148148148144E-4</v>
      </c>
      <c r="X88" t="s">
        <v>383</v>
      </c>
      <c r="Y88">
        <v>4</v>
      </c>
      <c r="Z88">
        <v>0</v>
      </c>
      <c r="AA88" t="s">
        <v>78</v>
      </c>
      <c r="AB88">
        <v>0</v>
      </c>
      <c r="AC88" t="s">
        <v>78</v>
      </c>
      <c r="AD88">
        <v>0</v>
      </c>
      <c r="AE88">
        <v>10167230</v>
      </c>
      <c r="AF88" t="s">
        <v>79</v>
      </c>
      <c r="AG88" t="s">
        <v>384</v>
      </c>
    </row>
    <row r="89" spans="1:33" x14ac:dyDescent="0.35">
      <c r="A89" s="18">
        <v>44533.040277777778</v>
      </c>
      <c r="B89">
        <v>3378646</v>
      </c>
      <c r="C89" t="s">
        <v>385</v>
      </c>
      <c r="D89" t="s">
        <v>351</v>
      </c>
      <c r="E89" s="19">
        <v>40387</v>
      </c>
      <c r="F89" t="str">
        <f>"9780309152129"</f>
        <v>9780309152129</v>
      </c>
      <c r="G89" t="str">
        <f>"9780309152112"</f>
        <v>9780309152112</v>
      </c>
      <c r="H89" t="s">
        <v>386</v>
      </c>
      <c r="I89">
        <v>363.738742</v>
      </c>
      <c r="J89" t="s">
        <v>387</v>
      </c>
      <c r="K89" t="s">
        <v>73</v>
      </c>
      <c r="N89" t="s">
        <v>74</v>
      </c>
      <c r="O89" t="s">
        <v>75</v>
      </c>
      <c r="P89" t="s">
        <v>230</v>
      </c>
      <c r="Q89" t="s">
        <v>76</v>
      </c>
      <c r="R89" t="s">
        <v>85</v>
      </c>
      <c r="S89">
        <v>0</v>
      </c>
      <c r="W89" s="20">
        <v>8.9120370370370362E-4</v>
      </c>
      <c r="X89" t="s">
        <v>388</v>
      </c>
      <c r="Y89">
        <v>4</v>
      </c>
      <c r="Z89">
        <v>0</v>
      </c>
      <c r="AA89" t="s">
        <v>78</v>
      </c>
      <c r="AB89">
        <v>0</v>
      </c>
      <c r="AC89" t="s">
        <v>78</v>
      </c>
      <c r="AD89">
        <v>0</v>
      </c>
      <c r="AE89">
        <v>10405111</v>
      </c>
      <c r="AF89" t="s">
        <v>79</v>
      </c>
      <c r="AG89" t="s">
        <v>384</v>
      </c>
    </row>
    <row r="90" spans="1:33" x14ac:dyDescent="0.35">
      <c r="A90" s="18">
        <v>44533.013888888891</v>
      </c>
      <c r="B90">
        <v>4793899</v>
      </c>
      <c r="C90" t="s">
        <v>389</v>
      </c>
      <c r="D90" t="s">
        <v>390</v>
      </c>
      <c r="E90" s="19">
        <v>42709</v>
      </c>
      <c r="F90" t="str">
        <f>"9783110369632"</f>
        <v>9783110369632</v>
      </c>
      <c r="G90" t="str">
        <f>"9783110374575"</f>
        <v>9783110374575</v>
      </c>
      <c r="H90" t="s">
        <v>391</v>
      </c>
      <c r="I90">
        <v>662.88</v>
      </c>
      <c r="J90" t="s">
        <v>392</v>
      </c>
      <c r="K90" t="s">
        <v>73</v>
      </c>
      <c r="N90" t="s">
        <v>74</v>
      </c>
      <c r="O90" t="s">
        <v>75</v>
      </c>
      <c r="P90" t="s">
        <v>74</v>
      </c>
      <c r="Q90" t="s">
        <v>76</v>
      </c>
      <c r="R90" t="s">
        <v>73</v>
      </c>
      <c r="S90">
        <v>0</v>
      </c>
      <c r="W90" s="20">
        <v>3.2407407407407406E-4</v>
      </c>
      <c r="X90" t="s">
        <v>393</v>
      </c>
      <c r="Y90">
        <v>4</v>
      </c>
      <c r="Z90">
        <v>0</v>
      </c>
      <c r="AA90" t="s">
        <v>78</v>
      </c>
      <c r="AB90">
        <v>0</v>
      </c>
      <c r="AC90" t="s">
        <v>78</v>
      </c>
      <c r="AD90">
        <v>0</v>
      </c>
      <c r="AE90">
        <v>11334797</v>
      </c>
      <c r="AF90" t="s">
        <v>79</v>
      </c>
      <c r="AG90" t="s">
        <v>384</v>
      </c>
    </row>
    <row r="91" spans="1:33" x14ac:dyDescent="0.35">
      <c r="A91" s="18">
        <v>44531.977777777778</v>
      </c>
      <c r="B91">
        <v>1895166</v>
      </c>
      <c r="C91" t="s">
        <v>394</v>
      </c>
      <c r="D91" t="s">
        <v>70</v>
      </c>
      <c r="E91" s="19">
        <v>42100</v>
      </c>
      <c r="F91" t="str">
        <f>"9781118958490"</f>
        <v>9781118958490</v>
      </c>
      <c r="G91" t="str">
        <f>"9781118958476"</f>
        <v>9781118958476</v>
      </c>
      <c r="H91" t="s">
        <v>128</v>
      </c>
      <c r="I91">
        <v>364.16320000000002</v>
      </c>
      <c r="J91" t="s">
        <v>395</v>
      </c>
      <c r="K91" t="s">
        <v>73</v>
      </c>
      <c r="N91" t="s">
        <v>74</v>
      </c>
      <c r="O91" t="s">
        <v>75</v>
      </c>
      <c r="P91" t="s">
        <v>74</v>
      </c>
      <c r="Q91" t="s">
        <v>76</v>
      </c>
      <c r="R91" t="s">
        <v>73</v>
      </c>
      <c r="S91">
        <v>0</v>
      </c>
      <c r="W91" s="20">
        <v>4.4560185185185189E-3</v>
      </c>
      <c r="X91" t="s">
        <v>396</v>
      </c>
      <c r="Y91">
        <v>24</v>
      </c>
      <c r="Z91">
        <v>0</v>
      </c>
      <c r="AA91" t="s">
        <v>78</v>
      </c>
      <c r="AB91">
        <v>0</v>
      </c>
      <c r="AC91" t="s">
        <v>78</v>
      </c>
      <c r="AD91">
        <v>0</v>
      </c>
      <c r="AE91">
        <v>11034356</v>
      </c>
      <c r="AF91" t="s">
        <v>79</v>
      </c>
      <c r="AG91" t="s">
        <v>382</v>
      </c>
    </row>
    <row r="92" spans="1:33" x14ac:dyDescent="0.35">
      <c r="A92" s="18">
        <v>44531.927777777775</v>
      </c>
      <c r="B92">
        <v>3378670</v>
      </c>
      <c r="C92" t="s">
        <v>397</v>
      </c>
      <c r="D92" t="s">
        <v>351</v>
      </c>
      <c r="E92" s="19">
        <v>40481</v>
      </c>
      <c r="F92" t="str">
        <f>"9780309160865"</f>
        <v>9780309160865</v>
      </c>
      <c r="G92" t="str">
        <f>"9780309160353"</f>
        <v>9780309160353</v>
      </c>
      <c r="H92" t="s">
        <v>398</v>
      </c>
      <c r="I92">
        <v>4.6779999999999999</v>
      </c>
      <c r="J92" t="s">
        <v>399</v>
      </c>
      <c r="K92" t="s">
        <v>73</v>
      </c>
      <c r="N92" t="s">
        <v>74</v>
      </c>
      <c r="O92" t="s">
        <v>75</v>
      </c>
      <c r="P92" t="s">
        <v>230</v>
      </c>
      <c r="Q92" t="s">
        <v>76</v>
      </c>
      <c r="R92" t="s">
        <v>85</v>
      </c>
      <c r="S92">
        <v>0</v>
      </c>
      <c r="W92" s="20">
        <v>4.5138888888888892E-4</v>
      </c>
      <c r="X92" t="s">
        <v>400</v>
      </c>
      <c r="Y92">
        <v>4</v>
      </c>
      <c r="Z92">
        <v>0</v>
      </c>
      <c r="AA92" t="s">
        <v>78</v>
      </c>
      <c r="AB92">
        <v>0</v>
      </c>
      <c r="AC92" t="s">
        <v>78</v>
      </c>
      <c r="AD92">
        <v>0</v>
      </c>
      <c r="AE92">
        <v>10425159</v>
      </c>
      <c r="AF92" t="s">
        <v>79</v>
      </c>
      <c r="AG92" t="s">
        <v>382</v>
      </c>
    </row>
    <row r="93" spans="1:33" x14ac:dyDescent="0.35">
      <c r="A93" s="18">
        <v>44531.786111111112</v>
      </c>
      <c r="B93">
        <v>667719</v>
      </c>
      <c r="C93" t="s">
        <v>401</v>
      </c>
      <c r="D93" t="s">
        <v>158</v>
      </c>
      <c r="E93" s="19">
        <v>40623</v>
      </c>
      <c r="F93" t="str">
        <f>"9780123849892"</f>
        <v>9780123849892</v>
      </c>
      <c r="G93" t="str">
        <f>"9780123849885"</f>
        <v>9780123849885</v>
      </c>
      <c r="H93" t="s">
        <v>402</v>
      </c>
      <c r="I93">
        <v>6.66</v>
      </c>
      <c r="J93" t="s">
        <v>403</v>
      </c>
      <c r="K93" t="s">
        <v>73</v>
      </c>
      <c r="N93" t="s">
        <v>74</v>
      </c>
      <c r="O93" t="s">
        <v>75</v>
      </c>
      <c r="P93" t="s">
        <v>74</v>
      </c>
      <c r="Q93" t="s">
        <v>76</v>
      </c>
      <c r="R93" t="s">
        <v>73</v>
      </c>
      <c r="S93">
        <v>0</v>
      </c>
      <c r="W93" s="20">
        <v>8.449074074074075E-4</v>
      </c>
      <c r="X93" t="s">
        <v>404</v>
      </c>
      <c r="Y93">
        <v>9</v>
      </c>
      <c r="Z93">
        <v>0</v>
      </c>
      <c r="AA93" t="s">
        <v>78</v>
      </c>
      <c r="AB93">
        <v>0</v>
      </c>
      <c r="AC93" t="s">
        <v>78</v>
      </c>
      <c r="AD93">
        <v>0</v>
      </c>
      <c r="AE93">
        <v>10444572</v>
      </c>
      <c r="AF93" t="s">
        <v>79</v>
      </c>
      <c r="AG93" t="s">
        <v>260</v>
      </c>
    </row>
    <row r="94" spans="1:33" x14ac:dyDescent="0.35">
      <c r="A94" s="18">
        <v>44531.727083333331</v>
      </c>
      <c r="B94">
        <v>4011933</v>
      </c>
      <c r="C94" t="s">
        <v>405</v>
      </c>
      <c r="D94" t="s">
        <v>158</v>
      </c>
      <c r="E94" s="19">
        <v>42335</v>
      </c>
      <c r="F94" t="str">
        <f>"9780128018484"</f>
        <v>9780128018484</v>
      </c>
      <c r="G94" t="str">
        <f>"9780128017753"</f>
        <v>9780128017753</v>
      </c>
      <c r="H94" t="s">
        <v>285</v>
      </c>
      <c r="I94">
        <v>631.5</v>
      </c>
      <c r="J94" t="s">
        <v>406</v>
      </c>
      <c r="K94" t="s">
        <v>73</v>
      </c>
      <c r="N94" t="s">
        <v>74</v>
      </c>
      <c r="O94" t="s">
        <v>75</v>
      </c>
      <c r="P94" t="s">
        <v>74</v>
      </c>
      <c r="Q94" t="s">
        <v>76</v>
      </c>
      <c r="R94" t="s">
        <v>73</v>
      </c>
      <c r="S94">
        <v>0</v>
      </c>
      <c r="W94" s="20">
        <v>3.3518518518518517E-2</v>
      </c>
      <c r="X94" t="s">
        <v>407</v>
      </c>
      <c r="Y94">
        <v>11</v>
      </c>
      <c r="Z94">
        <v>0</v>
      </c>
      <c r="AA94" t="s">
        <v>78</v>
      </c>
      <c r="AB94">
        <v>0</v>
      </c>
      <c r="AC94" t="s">
        <v>408</v>
      </c>
      <c r="AD94">
        <v>4</v>
      </c>
      <c r="AE94">
        <v>11116860</v>
      </c>
      <c r="AF94" t="s">
        <v>79</v>
      </c>
      <c r="AG94" t="s">
        <v>187</v>
      </c>
    </row>
    <row r="95" spans="1:33" x14ac:dyDescent="0.35">
      <c r="A95" s="18">
        <v>44531.720138888886</v>
      </c>
      <c r="B95">
        <v>1566843</v>
      </c>
      <c r="C95" t="s">
        <v>409</v>
      </c>
      <c r="D95" t="s">
        <v>209</v>
      </c>
      <c r="E95" s="19">
        <v>41592</v>
      </c>
      <c r="F95" t="str">
        <f>"9780739173725"</f>
        <v>9780739173725</v>
      </c>
      <c r="G95" t="str">
        <f>"9780739173701"</f>
        <v>9780739173701</v>
      </c>
      <c r="H95" t="s">
        <v>159</v>
      </c>
      <c r="I95">
        <v>662.88</v>
      </c>
      <c r="J95" t="s">
        <v>410</v>
      </c>
      <c r="K95" t="s">
        <v>73</v>
      </c>
      <c r="N95" t="s">
        <v>74</v>
      </c>
      <c r="O95" t="s">
        <v>75</v>
      </c>
      <c r="P95" t="s">
        <v>74</v>
      </c>
      <c r="Q95" t="s">
        <v>76</v>
      </c>
      <c r="R95" t="s">
        <v>73</v>
      </c>
      <c r="S95">
        <v>0</v>
      </c>
      <c r="W95" s="20">
        <v>6.9444444444444444E-5</v>
      </c>
      <c r="X95" t="s">
        <v>132</v>
      </c>
      <c r="Y95">
        <v>1</v>
      </c>
      <c r="Z95">
        <v>0</v>
      </c>
      <c r="AA95" t="s">
        <v>78</v>
      </c>
      <c r="AB95">
        <v>0</v>
      </c>
      <c r="AC95" t="s">
        <v>78</v>
      </c>
      <c r="AD95">
        <v>0</v>
      </c>
      <c r="AE95">
        <v>10811015</v>
      </c>
      <c r="AF95" t="s">
        <v>79</v>
      </c>
      <c r="AG95" t="s">
        <v>384</v>
      </c>
    </row>
    <row r="96" spans="1:33" x14ac:dyDescent="0.35">
      <c r="A96" s="18">
        <v>44531.098611111112</v>
      </c>
      <c r="B96">
        <v>5450869</v>
      </c>
      <c r="C96" t="s">
        <v>411</v>
      </c>
      <c r="D96" t="s">
        <v>127</v>
      </c>
      <c r="E96" s="19">
        <v>43287</v>
      </c>
      <c r="F96" t="str">
        <f>"9781351714198"</f>
        <v>9781351714198</v>
      </c>
      <c r="G96" t="str">
        <f>"9781138943841"</f>
        <v>9781138943841</v>
      </c>
      <c r="H96" t="s">
        <v>412</v>
      </c>
      <c r="I96">
        <v>621.40223000000003</v>
      </c>
      <c r="J96" t="s">
        <v>413</v>
      </c>
      <c r="K96" t="s">
        <v>85</v>
      </c>
      <c r="N96" t="s">
        <v>86</v>
      </c>
      <c r="P96" t="s">
        <v>297</v>
      </c>
      <c r="Q96" t="s">
        <v>76</v>
      </c>
      <c r="R96" t="s">
        <v>73</v>
      </c>
      <c r="S96">
        <v>0</v>
      </c>
      <c r="W96" s="20">
        <v>2.2453703703703702E-3</v>
      </c>
      <c r="X96" t="s">
        <v>414</v>
      </c>
      <c r="Y96">
        <v>22</v>
      </c>
      <c r="Z96">
        <v>0</v>
      </c>
      <c r="AA96" t="s">
        <v>78</v>
      </c>
      <c r="AB96">
        <v>0</v>
      </c>
      <c r="AC96" t="s">
        <v>78</v>
      </c>
      <c r="AD96">
        <v>0</v>
      </c>
      <c r="AE96">
        <v>-1</v>
      </c>
      <c r="AF96" t="s">
        <v>79</v>
      </c>
      <c r="AG96" t="s">
        <v>415</v>
      </c>
    </row>
    <row r="97" spans="1:33" x14ac:dyDescent="0.35">
      <c r="A97" s="18">
        <v>44530.928472222222</v>
      </c>
      <c r="B97">
        <v>415688</v>
      </c>
      <c r="C97" t="s">
        <v>416</v>
      </c>
      <c r="D97" t="s">
        <v>102</v>
      </c>
      <c r="E97" s="19">
        <v>39163</v>
      </c>
      <c r="F97" t="str">
        <f>"9780191517310"</f>
        <v>9780191517310</v>
      </c>
      <c r="G97" t="str">
        <f>"9780192805904"</f>
        <v>9780192805904</v>
      </c>
      <c r="H97" t="s">
        <v>128</v>
      </c>
      <c r="I97">
        <v>305.8</v>
      </c>
      <c r="J97" t="s">
        <v>417</v>
      </c>
      <c r="K97" t="s">
        <v>73</v>
      </c>
      <c r="N97" t="s">
        <v>74</v>
      </c>
      <c r="O97" t="s">
        <v>75</v>
      </c>
      <c r="P97" t="s">
        <v>74</v>
      </c>
      <c r="Q97" t="s">
        <v>76</v>
      </c>
      <c r="R97" t="s">
        <v>73</v>
      </c>
      <c r="S97">
        <v>0</v>
      </c>
      <c r="W97" s="20">
        <v>6.3657407407407402E-4</v>
      </c>
      <c r="X97" t="s">
        <v>418</v>
      </c>
      <c r="Y97">
        <v>3</v>
      </c>
      <c r="Z97">
        <v>0</v>
      </c>
      <c r="AA97" t="s">
        <v>78</v>
      </c>
      <c r="AB97">
        <v>0</v>
      </c>
      <c r="AC97" t="s">
        <v>78</v>
      </c>
      <c r="AD97">
        <v>0</v>
      </c>
      <c r="AE97">
        <v>10271752</v>
      </c>
      <c r="AF97" t="s">
        <v>79</v>
      </c>
      <c r="AG97" t="s">
        <v>260</v>
      </c>
    </row>
    <row r="98" spans="1:33" x14ac:dyDescent="0.35">
      <c r="A98" s="18">
        <v>44530.911805555559</v>
      </c>
      <c r="B98">
        <v>231640</v>
      </c>
      <c r="C98" t="s">
        <v>419</v>
      </c>
      <c r="D98" t="s">
        <v>205</v>
      </c>
      <c r="E98" s="19">
        <v>38472</v>
      </c>
      <c r="F98" t="str">
        <f>"9781580533669"</f>
        <v>9781580533669</v>
      </c>
      <c r="G98" t="str">
        <f>"9781580536103"</f>
        <v>9781580536103</v>
      </c>
      <c r="H98" t="s">
        <v>71</v>
      </c>
      <c r="I98" t="s">
        <v>420</v>
      </c>
      <c r="J98" t="s">
        <v>421</v>
      </c>
      <c r="K98" t="s">
        <v>73</v>
      </c>
      <c r="N98" t="s">
        <v>74</v>
      </c>
      <c r="O98" t="s">
        <v>75</v>
      </c>
      <c r="P98" t="s">
        <v>74</v>
      </c>
      <c r="Q98" t="s">
        <v>76</v>
      </c>
      <c r="R98" t="s">
        <v>73</v>
      </c>
      <c r="S98">
        <v>0</v>
      </c>
      <c r="W98" s="20">
        <v>6.5393518518518517E-3</v>
      </c>
      <c r="X98" t="s">
        <v>422</v>
      </c>
      <c r="Y98">
        <v>50</v>
      </c>
      <c r="Z98">
        <v>0</v>
      </c>
      <c r="AA98" t="s">
        <v>78</v>
      </c>
      <c r="AB98">
        <v>0</v>
      </c>
      <c r="AC98" t="s">
        <v>78</v>
      </c>
      <c r="AD98">
        <v>0</v>
      </c>
      <c r="AE98">
        <v>10081926</v>
      </c>
      <c r="AF98" t="s">
        <v>79</v>
      </c>
      <c r="AG98" t="s">
        <v>260</v>
      </c>
    </row>
    <row r="99" spans="1:33" x14ac:dyDescent="0.35">
      <c r="A99" s="18">
        <v>44530.607638888891</v>
      </c>
      <c r="B99">
        <v>698010</v>
      </c>
      <c r="C99" t="s">
        <v>423</v>
      </c>
      <c r="D99" t="s">
        <v>70</v>
      </c>
      <c r="E99" s="19">
        <v>40770</v>
      </c>
      <c r="F99" t="str">
        <f>"9781119991274"</f>
        <v>9781119991274</v>
      </c>
      <c r="G99" t="str">
        <f>"9780470978047"</f>
        <v>9780470978047</v>
      </c>
      <c r="H99" t="s">
        <v>424</v>
      </c>
      <c r="I99">
        <v>332.10917669999998</v>
      </c>
      <c r="J99" t="s">
        <v>425</v>
      </c>
      <c r="K99" t="s">
        <v>73</v>
      </c>
      <c r="N99" t="s">
        <v>74</v>
      </c>
      <c r="O99" t="s">
        <v>75</v>
      </c>
      <c r="P99" t="s">
        <v>74</v>
      </c>
      <c r="Q99" t="s">
        <v>76</v>
      </c>
      <c r="R99" t="s">
        <v>73</v>
      </c>
      <c r="S99">
        <v>0</v>
      </c>
      <c r="W99" s="20">
        <v>0</v>
      </c>
      <c r="X99" t="s">
        <v>78</v>
      </c>
      <c r="Y99">
        <v>0</v>
      </c>
      <c r="Z99">
        <v>2</v>
      </c>
      <c r="AA99" t="s">
        <v>426</v>
      </c>
      <c r="AB99">
        <v>32</v>
      </c>
      <c r="AC99" t="s">
        <v>78</v>
      </c>
      <c r="AD99">
        <v>0</v>
      </c>
      <c r="AE99">
        <v>10484708</v>
      </c>
      <c r="AF99" t="s">
        <v>79</v>
      </c>
      <c r="AG99" t="s">
        <v>260</v>
      </c>
    </row>
    <row r="100" spans="1:33" x14ac:dyDescent="0.35">
      <c r="A100" s="18">
        <v>44530.513888888891</v>
      </c>
      <c r="B100">
        <v>3386956</v>
      </c>
      <c r="C100" t="s">
        <v>427</v>
      </c>
      <c r="D100" t="s">
        <v>428</v>
      </c>
      <c r="E100" s="19">
        <v>41671</v>
      </c>
      <c r="F100" t="str">
        <f>"9781607952794"</f>
        <v>9781607952794</v>
      </c>
      <c r="G100" t="str">
        <f>"9781607951780"</f>
        <v>9781607951780</v>
      </c>
      <c r="H100" t="s">
        <v>149</v>
      </c>
      <c r="I100" t="s">
        <v>429</v>
      </c>
      <c r="J100" t="s">
        <v>430</v>
      </c>
      <c r="K100" t="s">
        <v>73</v>
      </c>
      <c r="N100" t="s">
        <v>74</v>
      </c>
      <c r="O100" t="s">
        <v>75</v>
      </c>
      <c r="P100" t="s">
        <v>74</v>
      </c>
      <c r="Q100" t="s">
        <v>76</v>
      </c>
      <c r="R100" t="s">
        <v>73</v>
      </c>
      <c r="S100">
        <v>0</v>
      </c>
      <c r="W100" s="20">
        <v>4.6296296296296294E-5</v>
      </c>
      <c r="X100" t="s">
        <v>132</v>
      </c>
      <c r="Y100">
        <v>1</v>
      </c>
      <c r="Z100">
        <v>0</v>
      </c>
      <c r="AA100" t="s">
        <v>78</v>
      </c>
      <c r="AB100">
        <v>0</v>
      </c>
      <c r="AC100" t="s">
        <v>78</v>
      </c>
      <c r="AD100">
        <v>0</v>
      </c>
      <c r="AE100">
        <v>10949549</v>
      </c>
      <c r="AF100" t="s">
        <v>79</v>
      </c>
      <c r="AG100" t="s">
        <v>431</v>
      </c>
    </row>
    <row r="101" spans="1:33" x14ac:dyDescent="0.35">
      <c r="A101" s="18">
        <v>44530.501388888886</v>
      </c>
      <c r="B101">
        <v>6397892</v>
      </c>
      <c r="C101" t="s">
        <v>432</v>
      </c>
      <c r="D101" t="s">
        <v>127</v>
      </c>
      <c r="E101" s="19">
        <v>44197</v>
      </c>
      <c r="F101" t="str">
        <f>"9781000292619"</f>
        <v>9781000292619</v>
      </c>
      <c r="G101" t="str">
        <f>"9780367855932"</f>
        <v>9780367855932</v>
      </c>
      <c r="H101" t="s">
        <v>433</v>
      </c>
      <c r="I101">
        <v>808.06614999999999</v>
      </c>
      <c r="J101" t="s">
        <v>434</v>
      </c>
      <c r="K101" t="s">
        <v>85</v>
      </c>
      <c r="N101" t="s">
        <v>186</v>
      </c>
      <c r="P101" t="s">
        <v>87</v>
      </c>
      <c r="Q101" t="s">
        <v>76</v>
      </c>
      <c r="R101" t="s">
        <v>73</v>
      </c>
      <c r="S101">
        <v>1</v>
      </c>
      <c r="T101">
        <v>90</v>
      </c>
      <c r="U101" s="18">
        <v>44530.501388888886</v>
      </c>
      <c r="V101" s="18">
        <v>44620.501388888886</v>
      </c>
      <c r="W101" s="20">
        <v>1.1574074074074073E-5</v>
      </c>
      <c r="X101" t="s">
        <v>78</v>
      </c>
      <c r="Y101">
        <v>0</v>
      </c>
      <c r="Z101">
        <v>0</v>
      </c>
      <c r="AA101" t="s">
        <v>78</v>
      </c>
      <c r="AB101">
        <v>0</v>
      </c>
      <c r="AC101" t="s">
        <v>78</v>
      </c>
      <c r="AD101">
        <v>0</v>
      </c>
      <c r="AE101">
        <v>-1</v>
      </c>
      <c r="AF101" t="s">
        <v>88</v>
      </c>
      <c r="AG101" t="s">
        <v>431</v>
      </c>
    </row>
    <row r="102" spans="1:33" x14ac:dyDescent="0.35">
      <c r="A102" s="18">
        <v>44530.490277777775</v>
      </c>
      <c r="B102">
        <v>3386956</v>
      </c>
      <c r="C102" t="s">
        <v>427</v>
      </c>
      <c r="D102" t="s">
        <v>428</v>
      </c>
      <c r="E102" s="19">
        <v>41671</v>
      </c>
      <c r="F102" t="str">
        <f>"9781607952794"</f>
        <v>9781607952794</v>
      </c>
      <c r="G102" t="str">
        <f>"9781607951780"</f>
        <v>9781607951780</v>
      </c>
      <c r="H102" t="s">
        <v>149</v>
      </c>
      <c r="I102" t="s">
        <v>429</v>
      </c>
      <c r="J102" t="s">
        <v>430</v>
      </c>
      <c r="K102" t="s">
        <v>73</v>
      </c>
      <c r="N102" t="s">
        <v>74</v>
      </c>
      <c r="O102" t="s">
        <v>75</v>
      </c>
      <c r="P102" t="s">
        <v>74</v>
      </c>
      <c r="Q102" t="s">
        <v>76</v>
      </c>
      <c r="R102" t="s">
        <v>73</v>
      </c>
      <c r="S102">
        <v>2</v>
      </c>
      <c r="W102" s="20">
        <v>1.1909722222222223E-2</v>
      </c>
      <c r="X102" t="s">
        <v>435</v>
      </c>
      <c r="Y102">
        <v>8</v>
      </c>
      <c r="Z102">
        <v>0</v>
      </c>
      <c r="AA102" t="s">
        <v>78</v>
      </c>
      <c r="AB102">
        <v>0</v>
      </c>
      <c r="AC102" t="s">
        <v>78</v>
      </c>
      <c r="AD102">
        <v>0</v>
      </c>
      <c r="AE102">
        <v>10949549</v>
      </c>
      <c r="AF102" t="s">
        <v>88</v>
      </c>
      <c r="AG102" t="s">
        <v>431</v>
      </c>
    </row>
    <row r="103" spans="1:33" x14ac:dyDescent="0.35">
      <c r="A103" s="18">
        <v>44530.490277777775</v>
      </c>
      <c r="B103">
        <v>3386956</v>
      </c>
      <c r="C103" t="s">
        <v>427</v>
      </c>
      <c r="D103" t="s">
        <v>428</v>
      </c>
      <c r="E103" s="19">
        <v>41671</v>
      </c>
      <c r="F103" t="str">
        <f>"9781607952794"</f>
        <v>9781607952794</v>
      </c>
      <c r="G103" t="str">
        <f>"9781607951780"</f>
        <v>9781607951780</v>
      </c>
      <c r="H103" t="s">
        <v>149</v>
      </c>
      <c r="I103" t="s">
        <v>429</v>
      </c>
      <c r="J103" t="s">
        <v>430</v>
      </c>
      <c r="K103" t="s">
        <v>73</v>
      </c>
      <c r="N103" t="s">
        <v>74</v>
      </c>
      <c r="O103" t="s">
        <v>75</v>
      </c>
      <c r="P103" t="s">
        <v>74</v>
      </c>
      <c r="Q103" t="s">
        <v>76</v>
      </c>
      <c r="R103" t="s">
        <v>73</v>
      </c>
      <c r="S103">
        <v>0</v>
      </c>
      <c r="W103" s="20">
        <v>4.5138888888888892E-4</v>
      </c>
      <c r="X103" t="s">
        <v>132</v>
      </c>
      <c r="Y103">
        <v>1</v>
      </c>
      <c r="Z103">
        <v>0</v>
      </c>
      <c r="AA103" t="s">
        <v>78</v>
      </c>
      <c r="AB103">
        <v>0</v>
      </c>
      <c r="AC103" t="s">
        <v>78</v>
      </c>
      <c r="AD103">
        <v>0</v>
      </c>
      <c r="AE103">
        <v>10949549</v>
      </c>
      <c r="AF103" t="s">
        <v>88</v>
      </c>
      <c r="AG103" t="s">
        <v>431</v>
      </c>
    </row>
    <row r="104" spans="1:33" x14ac:dyDescent="0.35">
      <c r="A104" s="18">
        <v>44530.470833333333</v>
      </c>
      <c r="B104">
        <v>6397892</v>
      </c>
      <c r="C104" t="s">
        <v>432</v>
      </c>
      <c r="D104" t="s">
        <v>127</v>
      </c>
      <c r="E104" s="19">
        <v>44197</v>
      </c>
      <c r="F104" t="str">
        <f>"9781000292619"</f>
        <v>9781000292619</v>
      </c>
      <c r="G104" t="str">
        <f>"9780367855932"</f>
        <v>9780367855932</v>
      </c>
      <c r="H104" t="s">
        <v>433</v>
      </c>
      <c r="I104">
        <v>808.06614999999999</v>
      </c>
      <c r="J104" t="s">
        <v>434</v>
      </c>
      <c r="K104" t="s">
        <v>85</v>
      </c>
      <c r="Q104" t="s">
        <v>76</v>
      </c>
      <c r="R104" t="s">
        <v>73</v>
      </c>
      <c r="S104">
        <v>0</v>
      </c>
      <c r="W104" s="20">
        <v>0</v>
      </c>
      <c r="X104" t="s">
        <v>78</v>
      </c>
      <c r="Y104">
        <v>0</v>
      </c>
      <c r="Z104">
        <v>0</v>
      </c>
      <c r="AA104" t="s">
        <v>78</v>
      </c>
      <c r="AB104">
        <v>0</v>
      </c>
      <c r="AC104" t="s">
        <v>78</v>
      </c>
      <c r="AD104">
        <v>0</v>
      </c>
      <c r="AE104">
        <v>-1</v>
      </c>
      <c r="AF104" t="s">
        <v>88</v>
      </c>
      <c r="AG104" t="s">
        <v>431</v>
      </c>
    </row>
    <row r="105" spans="1:33" x14ac:dyDescent="0.35">
      <c r="A105" s="18">
        <v>44530.467361111114</v>
      </c>
      <c r="B105">
        <v>6382749</v>
      </c>
      <c r="C105" t="s">
        <v>436</v>
      </c>
      <c r="D105" t="s">
        <v>127</v>
      </c>
      <c r="E105" s="19">
        <v>44197</v>
      </c>
      <c r="F105" t="str">
        <f>"9781000293722"</f>
        <v>9781000293722</v>
      </c>
      <c r="G105" t="str">
        <f>"9780367627034"</f>
        <v>9780367627034</v>
      </c>
      <c r="H105" t="s">
        <v>437</v>
      </c>
      <c r="I105">
        <v>808.06637799999999</v>
      </c>
      <c r="J105" t="s">
        <v>438</v>
      </c>
      <c r="K105" t="s">
        <v>85</v>
      </c>
      <c r="Q105" t="s">
        <v>76</v>
      </c>
      <c r="R105" t="s">
        <v>73</v>
      </c>
      <c r="S105">
        <v>0</v>
      </c>
      <c r="W105" s="20">
        <v>9.1435185185185185E-4</v>
      </c>
      <c r="X105" t="s">
        <v>439</v>
      </c>
      <c r="Y105">
        <v>17</v>
      </c>
      <c r="Z105">
        <v>0</v>
      </c>
      <c r="AA105" t="s">
        <v>78</v>
      </c>
      <c r="AB105">
        <v>0</v>
      </c>
      <c r="AC105" t="s">
        <v>78</v>
      </c>
      <c r="AD105">
        <v>0</v>
      </c>
      <c r="AE105">
        <v>-1</v>
      </c>
      <c r="AF105" t="s">
        <v>88</v>
      </c>
      <c r="AG105" t="s">
        <v>431</v>
      </c>
    </row>
    <row r="106" spans="1:33" x14ac:dyDescent="0.35">
      <c r="A106" s="18">
        <v>44530.461805555555</v>
      </c>
      <c r="B106">
        <v>6395817</v>
      </c>
      <c r="C106" t="s">
        <v>182</v>
      </c>
      <c r="D106" t="s">
        <v>183</v>
      </c>
      <c r="E106" s="19">
        <v>44222</v>
      </c>
      <c r="F106" t="str">
        <f>"9781503614574"</f>
        <v>9781503614574</v>
      </c>
      <c r="G106" t="str">
        <f>"9781503611917"</f>
        <v>9781503611917</v>
      </c>
      <c r="H106" t="s">
        <v>184</v>
      </c>
      <c r="I106">
        <v>616.04209560000004</v>
      </c>
      <c r="J106" t="s">
        <v>185</v>
      </c>
      <c r="K106" t="s">
        <v>85</v>
      </c>
      <c r="Q106" t="s">
        <v>76</v>
      </c>
      <c r="R106" t="s">
        <v>73</v>
      </c>
      <c r="S106">
        <v>0</v>
      </c>
      <c r="W106" s="20">
        <v>4.4328703703703709E-3</v>
      </c>
      <c r="X106" t="s">
        <v>440</v>
      </c>
      <c r="Y106">
        <v>15</v>
      </c>
      <c r="Z106">
        <v>0</v>
      </c>
      <c r="AA106" t="s">
        <v>78</v>
      </c>
      <c r="AB106">
        <v>0</v>
      </c>
      <c r="AC106" t="s">
        <v>78</v>
      </c>
      <c r="AD106">
        <v>0</v>
      </c>
      <c r="AE106">
        <v>-1</v>
      </c>
      <c r="AF106" t="s">
        <v>88</v>
      </c>
      <c r="AG106" t="s">
        <v>431</v>
      </c>
    </row>
    <row r="107" spans="1:33" x14ac:dyDescent="0.35">
      <c r="A107" s="18">
        <v>44530.429166666669</v>
      </c>
      <c r="B107">
        <v>294432</v>
      </c>
      <c r="C107" t="s">
        <v>441</v>
      </c>
      <c r="D107" t="s">
        <v>158</v>
      </c>
      <c r="E107" s="19">
        <v>39146</v>
      </c>
      <c r="F107" t="str">
        <f>"9780080489841"</f>
        <v>9780080489841</v>
      </c>
      <c r="G107" t="str">
        <f>"9780444530929"</f>
        <v>9780444530929</v>
      </c>
      <c r="H107" t="s">
        <v>442</v>
      </c>
      <c r="I107" t="s">
        <v>443</v>
      </c>
      <c r="J107" t="s">
        <v>444</v>
      </c>
      <c r="K107" t="s">
        <v>85</v>
      </c>
      <c r="N107" t="s">
        <v>86</v>
      </c>
      <c r="P107" t="s">
        <v>87</v>
      </c>
      <c r="Q107" t="s">
        <v>76</v>
      </c>
      <c r="R107" t="s">
        <v>73</v>
      </c>
      <c r="S107">
        <v>0</v>
      </c>
      <c r="W107" s="20">
        <v>4.5138888888888892E-4</v>
      </c>
      <c r="X107" t="s">
        <v>445</v>
      </c>
      <c r="Y107">
        <v>5</v>
      </c>
      <c r="Z107">
        <v>2</v>
      </c>
      <c r="AA107" t="s">
        <v>446</v>
      </c>
      <c r="AB107">
        <v>27</v>
      </c>
      <c r="AC107" t="s">
        <v>78</v>
      </c>
      <c r="AD107">
        <v>0</v>
      </c>
      <c r="AE107">
        <v>10186507</v>
      </c>
      <c r="AF107" t="s">
        <v>79</v>
      </c>
      <c r="AG107" t="s">
        <v>384</v>
      </c>
    </row>
    <row r="108" spans="1:33" x14ac:dyDescent="0.35">
      <c r="A108" s="18">
        <v>44530.370138888888</v>
      </c>
      <c r="B108">
        <v>5165459</v>
      </c>
      <c r="C108" t="s">
        <v>447</v>
      </c>
      <c r="D108" t="s">
        <v>338</v>
      </c>
      <c r="E108" s="19">
        <v>43061</v>
      </c>
      <c r="F108" t="str">
        <f>"9780081023051"</f>
        <v>9780081023051</v>
      </c>
      <c r="G108" t="str">
        <f>"9781785482298"</f>
        <v>9781785482298</v>
      </c>
      <c r="H108" t="s">
        <v>448</v>
      </c>
      <c r="I108">
        <v>620.11270000000002</v>
      </c>
      <c r="J108" t="s">
        <v>449</v>
      </c>
      <c r="K108" t="s">
        <v>85</v>
      </c>
      <c r="N108" t="s">
        <v>86</v>
      </c>
      <c r="P108" t="s">
        <v>87</v>
      </c>
      <c r="Q108" t="s">
        <v>76</v>
      </c>
      <c r="R108" t="s">
        <v>73</v>
      </c>
      <c r="S108">
        <v>1</v>
      </c>
      <c r="T108">
        <v>90</v>
      </c>
      <c r="U108" s="18">
        <v>44518.73333333333</v>
      </c>
      <c r="V108" s="18">
        <v>44608.73333333333</v>
      </c>
      <c r="W108" s="20">
        <v>0</v>
      </c>
      <c r="X108" t="s">
        <v>78</v>
      </c>
      <c r="Y108">
        <v>0</v>
      </c>
      <c r="Z108">
        <v>1</v>
      </c>
      <c r="AA108" t="s">
        <v>450</v>
      </c>
      <c r="AB108">
        <v>66</v>
      </c>
      <c r="AC108" t="s">
        <v>78</v>
      </c>
      <c r="AD108">
        <v>0</v>
      </c>
      <c r="AE108">
        <v>11475578</v>
      </c>
      <c r="AF108" t="s">
        <v>88</v>
      </c>
      <c r="AG108" t="s">
        <v>384</v>
      </c>
    </row>
    <row r="109" spans="1:33" x14ac:dyDescent="0.35">
      <c r="A109" s="18">
        <v>44530.356944444444</v>
      </c>
      <c r="B109">
        <v>5165459</v>
      </c>
      <c r="C109" t="s">
        <v>447</v>
      </c>
      <c r="D109" t="s">
        <v>338</v>
      </c>
      <c r="E109" s="19">
        <v>43061</v>
      </c>
      <c r="F109" t="str">
        <f>"9780081023051"</f>
        <v>9780081023051</v>
      </c>
      <c r="G109" t="str">
        <f>"9781785482298"</f>
        <v>9781785482298</v>
      </c>
      <c r="H109" t="s">
        <v>448</v>
      </c>
      <c r="I109">
        <v>620.11270000000002</v>
      </c>
      <c r="J109" t="s">
        <v>449</v>
      </c>
      <c r="K109" t="s">
        <v>85</v>
      </c>
      <c r="N109" t="s">
        <v>86</v>
      </c>
      <c r="P109" t="s">
        <v>87</v>
      </c>
      <c r="Q109" t="s">
        <v>76</v>
      </c>
      <c r="R109" t="s">
        <v>73</v>
      </c>
      <c r="S109">
        <v>0</v>
      </c>
      <c r="W109" s="20">
        <v>0</v>
      </c>
      <c r="X109" t="s">
        <v>78</v>
      </c>
      <c r="Y109">
        <v>0</v>
      </c>
      <c r="Z109">
        <v>7</v>
      </c>
      <c r="AA109" t="s">
        <v>451</v>
      </c>
      <c r="AB109">
        <v>41</v>
      </c>
      <c r="AC109" t="s">
        <v>78</v>
      </c>
      <c r="AD109">
        <v>0</v>
      </c>
      <c r="AE109">
        <v>11475578</v>
      </c>
      <c r="AF109" t="s">
        <v>79</v>
      </c>
      <c r="AG109" t="s">
        <v>384</v>
      </c>
    </row>
    <row r="110" spans="1:33" x14ac:dyDescent="0.35">
      <c r="A110" s="18">
        <v>44530.088888888888</v>
      </c>
      <c r="B110">
        <v>231640</v>
      </c>
      <c r="C110" t="s">
        <v>419</v>
      </c>
      <c r="D110" t="s">
        <v>205</v>
      </c>
      <c r="E110" s="19">
        <v>38472</v>
      </c>
      <c r="F110" t="str">
        <f>"9781580533669"</f>
        <v>9781580533669</v>
      </c>
      <c r="G110" t="str">
        <f>"9781580536103"</f>
        <v>9781580536103</v>
      </c>
      <c r="H110" t="s">
        <v>71</v>
      </c>
      <c r="I110" t="s">
        <v>420</v>
      </c>
      <c r="J110" t="s">
        <v>421</v>
      </c>
      <c r="K110" t="s">
        <v>73</v>
      </c>
      <c r="N110" t="s">
        <v>74</v>
      </c>
      <c r="O110" t="s">
        <v>75</v>
      </c>
      <c r="P110" t="s">
        <v>74</v>
      </c>
      <c r="Q110" t="s">
        <v>76</v>
      </c>
      <c r="R110" t="s">
        <v>73</v>
      </c>
      <c r="S110">
        <v>0</v>
      </c>
      <c r="W110" s="20">
        <v>5.0462962962962961E-3</v>
      </c>
      <c r="X110" t="s">
        <v>452</v>
      </c>
      <c r="Y110">
        <v>20</v>
      </c>
      <c r="Z110">
        <v>0</v>
      </c>
      <c r="AA110" t="s">
        <v>78</v>
      </c>
      <c r="AB110">
        <v>0</v>
      </c>
      <c r="AC110" t="s">
        <v>78</v>
      </c>
      <c r="AD110">
        <v>0</v>
      </c>
      <c r="AE110">
        <v>10081926</v>
      </c>
      <c r="AF110" t="s">
        <v>79</v>
      </c>
      <c r="AG110" t="s">
        <v>260</v>
      </c>
    </row>
    <row r="111" spans="1:33" x14ac:dyDescent="0.35">
      <c r="A111" s="18">
        <v>44529.977083333331</v>
      </c>
      <c r="B111">
        <v>231640</v>
      </c>
      <c r="C111" t="s">
        <v>419</v>
      </c>
      <c r="D111" t="s">
        <v>205</v>
      </c>
      <c r="E111" s="19">
        <v>38472</v>
      </c>
      <c r="F111" t="str">
        <f>"9781580533669"</f>
        <v>9781580533669</v>
      </c>
      <c r="G111" t="str">
        <f>"9781580536103"</f>
        <v>9781580536103</v>
      </c>
      <c r="H111" t="s">
        <v>71</v>
      </c>
      <c r="I111" t="s">
        <v>420</v>
      </c>
      <c r="J111" t="s">
        <v>421</v>
      </c>
      <c r="K111" t="s">
        <v>73</v>
      </c>
      <c r="N111" t="s">
        <v>74</v>
      </c>
      <c r="O111" t="s">
        <v>75</v>
      </c>
      <c r="P111" t="s">
        <v>74</v>
      </c>
      <c r="Q111" t="s">
        <v>76</v>
      </c>
      <c r="R111" t="s">
        <v>73</v>
      </c>
      <c r="S111">
        <v>0</v>
      </c>
      <c r="W111" s="20">
        <v>2.210648148148148E-2</v>
      </c>
      <c r="X111" t="s">
        <v>453</v>
      </c>
      <c r="Y111">
        <v>115</v>
      </c>
      <c r="Z111">
        <v>0</v>
      </c>
      <c r="AA111" t="s">
        <v>78</v>
      </c>
      <c r="AB111">
        <v>0</v>
      </c>
      <c r="AC111" t="s">
        <v>78</v>
      </c>
      <c r="AD111">
        <v>0</v>
      </c>
      <c r="AE111">
        <v>10081926</v>
      </c>
      <c r="AF111" t="s">
        <v>79</v>
      </c>
      <c r="AG111" t="s">
        <v>260</v>
      </c>
    </row>
    <row r="112" spans="1:33" x14ac:dyDescent="0.35">
      <c r="A112" s="18">
        <v>44529.849305555559</v>
      </c>
      <c r="B112">
        <v>1209902</v>
      </c>
      <c r="C112" t="s">
        <v>238</v>
      </c>
      <c r="D112" t="s">
        <v>239</v>
      </c>
      <c r="E112" s="19">
        <v>36312</v>
      </c>
      <c r="F112" t="str">
        <f>"9789812774903"</f>
        <v>9789812774903</v>
      </c>
      <c r="G112" t="str">
        <f>"9789810237813"</f>
        <v>9789810237813</v>
      </c>
      <c r="H112" t="s">
        <v>240</v>
      </c>
      <c r="I112">
        <v>502</v>
      </c>
      <c r="J112" t="s">
        <v>241</v>
      </c>
      <c r="K112" t="s">
        <v>73</v>
      </c>
      <c r="N112" t="s">
        <v>74</v>
      </c>
      <c r="O112" t="s">
        <v>75</v>
      </c>
      <c r="P112" t="s">
        <v>74</v>
      </c>
      <c r="Q112" t="s">
        <v>76</v>
      </c>
      <c r="R112" t="s">
        <v>73</v>
      </c>
      <c r="S112">
        <v>0</v>
      </c>
      <c r="W112" s="20">
        <v>1.3078703703703705E-3</v>
      </c>
      <c r="X112" t="s">
        <v>454</v>
      </c>
      <c r="Y112">
        <v>13</v>
      </c>
      <c r="Z112">
        <v>0</v>
      </c>
      <c r="AA112" t="s">
        <v>78</v>
      </c>
      <c r="AB112">
        <v>0</v>
      </c>
      <c r="AC112" t="s">
        <v>78</v>
      </c>
      <c r="AD112">
        <v>0</v>
      </c>
      <c r="AE112">
        <v>10201183</v>
      </c>
      <c r="AF112" t="s">
        <v>79</v>
      </c>
      <c r="AG112" t="s">
        <v>242</v>
      </c>
    </row>
    <row r="113" spans="1:33" x14ac:dyDescent="0.35">
      <c r="A113" s="18">
        <v>44529.827777777777</v>
      </c>
      <c r="B113">
        <v>231640</v>
      </c>
      <c r="C113" t="s">
        <v>419</v>
      </c>
      <c r="D113" t="s">
        <v>205</v>
      </c>
      <c r="E113" s="19">
        <v>38472</v>
      </c>
      <c r="F113" t="str">
        <f>"9781580533669"</f>
        <v>9781580533669</v>
      </c>
      <c r="G113" t="str">
        <f>"9781580536103"</f>
        <v>9781580536103</v>
      </c>
      <c r="H113" t="s">
        <v>71</v>
      </c>
      <c r="I113" t="s">
        <v>420</v>
      </c>
      <c r="J113" t="s">
        <v>421</v>
      </c>
      <c r="K113" t="s">
        <v>73</v>
      </c>
      <c r="N113" t="s">
        <v>74</v>
      </c>
      <c r="O113" t="s">
        <v>75</v>
      </c>
      <c r="P113" t="s">
        <v>74</v>
      </c>
      <c r="Q113" t="s">
        <v>76</v>
      </c>
      <c r="R113" t="s">
        <v>73</v>
      </c>
      <c r="S113">
        <v>0</v>
      </c>
      <c r="W113" s="20">
        <v>1.4351851851851854E-3</v>
      </c>
      <c r="X113" t="s">
        <v>455</v>
      </c>
      <c r="Y113">
        <v>11</v>
      </c>
      <c r="Z113">
        <v>0</v>
      </c>
      <c r="AA113" t="s">
        <v>78</v>
      </c>
      <c r="AB113">
        <v>0</v>
      </c>
      <c r="AC113" t="s">
        <v>78</v>
      </c>
      <c r="AD113">
        <v>0</v>
      </c>
      <c r="AE113">
        <v>10081926</v>
      </c>
      <c r="AF113" t="s">
        <v>79</v>
      </c>
      <c r="AG113" t="s">
        <v>260</v>
      </c>
    </row>
    <row r="114" spans="1:33" x14ac:dyDescent="0.35">
      <c r="A114" s="18">
        <v>44529.753472222219</v>
      </c>
      <c r="B114">
        <v>827026</v>
      </c>
      <c r="C114" t="s">
        <v>456</v>
      </c>
      <c r="D114" t="s">
        <v>127</v>
      </c>
      <c r="E114" s="19">
        <v>40898</v>
      </c>
      <c r="F114" t="str">
        <f>"9781439846742"</f>
        <v>9781439846742</v>
      </c>
      <c r="G114" t="str">
        <f>"9781439846735"</f>
        <v>9781439846735</v>
      </c>
      <c r="H114" t="s">
        <v>457</v>
      </c>
      <c r="I114">
        <v>664.07</v>
      </c>
      <c r="J114" t="s">
        <v>458</v>
      </c>
      <c r="K114" t="s">
        <v>73</v>
      </c>
      <c r="N114" t="s">
        <v>74</v>
      </c>
      <c r="O114" t="s">
        <v>75</v>
      </c>
      <c r="P114" t="s">
        <v>74</v>
      </c>
      <c r="Q114" t="s">
        <v>76</v>
      </c>
      <c r="R114" t="s">
        <v>73</v>
      </c>
      <c r="S114">
        <v>0</v>
      </c>
      <c r="W114" s="20">
        <v>1.5046296296296297E-4</v>
      </c>
      <c r="X114" t="s">
        <v>132</v>
      </c>
      <c r="Y114">
        <v>1</v>
      </c>
      <c r="Z114">
        <v>0</v>
      </c>
      <c r="AA114" t="s">
        <v>78</v>
      </c>
      <c r="AB114">
        <v>0</v>
      </c>
      <c r="AC114" t="s">
        <v>78</v>
      </c>
      <c r="AD114">
        <v>0</v>
      </c>
      <c r="AE114">
        <v>10521203</v>
      </c>
      <c r="AF114" t="s">
        <v>79</v>
      </c>
      <c r="AG114" t="s">
        <v>260</v>
      </c>
    </row>
    <row r="115" spans="1:33" x14ac:dyDescent="0.35">
      <c r="A115" s="18">
        <v>44529.647916666669</v>
      </c>
      <c r="B115">
        <v>3328255</v>
      </c>
      <c r="C115" t="s">
        <v>459</v>
      </c>
      <c r="D115" t="s">
        <v>460</v>
      </c>
      <c r="E115" s="19">
        <v>35765</v>
      </c>
      <c r="F115" t="str">
        <f>"9780844495323"</f>
        <v>9780844495323</v>
      </c>
      <c r="G115" t="str">
        <f>"9780844409504"</f>
        <v>9780844409504</v>
      </c>
      <c r="H115" t="s">
        <v>461</v>
      </c>
      <c r="I115">
        <v>355.02</v>
      </c>
      <c r="J115" t="s">
        <v>462</v>
      </c>
      <c r="K115" t="s">
        <v>73</v>
      </c>
      <c r="N115" t="s">
        <v>74</v>
      </c>
      <c r="O115" t="s">
        <v>75</v>
      </c>
      <c r="P115" t="s">
        <v>74</v>
      </c>
      <c r="Q115" t="s">
        <v>76</v>
      </c>
      <c r="R115" t="s">
        <v>73</v>
      </c>
      <c r="S115">
        <v>0</v>
      </c>
      <c r="W115" s="20">
        <v>7.9861111111111105E-4</v>
      </c>
      <c r="X115" t="s">
        <v>463</v>
      </c>
      <c r="Y115">
        <v>18</v>
      </c>
      <c r="Z115">
        <v>0</v>
      </c>
      <c r="AA115" t="s">
        <v>78</v>
      </c>
      <c r="AB115">
        <v>0</v>
      </c>
      <c r="AC115" t="s">
        <v>78</v>
      </c>
      <c r="AD115">
        <v>0</v>
      </c>
      <c r="AE115">
        <v>10022123</v>
      </c>
      <c r="AF115" t="s">
        <v>79</v>
      </c>
      <c r="AG115" t="s">
        <v>464</v>
      </c>
    </row>
    <row r="116" spans="1:33" x14ac:dyDescent="0.35">
      <c r="A116" s="18">
        <v>44529.642361111109</v>
      </c>
      <c r="B116">
        <v>4875240</v>
      </c>
      <c r="C116" t="s">
        <v>465</v>
      </c>
      <c r="D116" t="s">
        <v>70</v>
      </c>
      <c r="E116" s="19">
        <v>42954</v>
      </c>
      <c r="F116" t="str">
        <f>"9781119329039"</f>
        <v>9781119329039</v>
      </c>
      <c r="G116" t="str">
        <f>"9781119329053"</f>
        <v>9781119329053</v>
      </c>
      <c r="H116" t="s">
        <v>466</v>
      </c>
      <c r="I116">
        <v>621.38104399999997</v>
      </c>
      <c r="J116" t="s">
        <v>467</v>
      </c>
      <c r="K116" t="s">
        <v>73</v>
      </c>
      <c r="N116" t="s">
        <v>74</v>
      </c>
      <c r="O116" t="s">
        <v>75</v>
      </c>
      <c r="P116" t="s">
        <v>74</v>
      </c>
      <c r="Q116" t="s">
        <v>76</v>
      </c>
      <c r="R116" t="s">
        <v>73</v>
      </c>
      <c r="S116">
        <v>0</v>
      </c>
      <c r="W116" s="20">
        <v>1.6203703703703703E-4</v>
      </c>
      <c r="X116" t="s">
        <v>132</v>
      </c>
      <c r="Y116">
        <v>1</v>
      </c>
      <c r="Z116">
        <v>0</v>
      </c>
      <c r="AA116" t="s">
        <v>78</v>
      </c>
      <c r="AB116">
        <v>0</v>
      </c>
      <c r="AC116" t="s">
        <v>78</v>
      </c>
      <c r="AD116">
        <v>0</v>
      </c>
      <c r="AE116">
        <v>11395817</v>
      </c>
      <c r="AF116" t="s">
        <v>79</v>
      </c>
      <c r="AG116" t="s">
        <v>260</v>
      </c>
    </row>
    <row r="117" spans="1:33" x14ac:dyDescent="0.35">
      <c r="A117" s="18">
        <v>44529.631944444445</v>
      </c>
      <c r="B117">
        <v>697653</v>
      </c>
      <c r="C117" t="s">
        <v>468</v>
      </c>
      <c r="D117" t="s">
        <v>70</v>
      </c>
      <c r="E117" s="19">
        <v>40729</v>
      </c>
      <c r="F117" t="str">
        <f>"9781118043448"</f>
        <v>9781118043448</v>
      </c>
      <c r="G117" t="str">
        <f>"9780470907566"</f>
        <v>9780470907566</v>
      </c>
      <c r="H117" t="s">
        <v>469</v>
      </c>
      <c r="I117" t="s">
        <v>470</v>
      </c>
      <c r="J117" t="s">
        <v>471</v>
      </c>
      <c r="K117" t="s">
        <v>73</v>
      </c>
      <c r="N117" t="s">
        <v>74</v>
      </c>
      <c r="O117" t="s">
        <v>75</v>
      </c>
      <c r="P117" t="s">
        <v>74</v>
      </c>
      <c r="Q117" t="s">
        <v>76</v>
      </c>
      <c r="R117" t="s">
        <v>73</v>
      </c>
      <c r="S117">
        <v>0</v>
      </c>
      <c r="W117" s="20">
        <v>1.3310185185185185E-3</v>
      </c>
      <c r="X117" t="s">
        <v>100</v>
      </c>
      <c r="Y117">
        <v>17</v>
      </c>
      <c r="Z117">
        <v>0</v>
      </c>
      <c r="AA117" t="s">
        <v>78</v>
      </c>
      <c r="AB117">
        <v>0</v>
      </c>
      <c r="AC117" t="s">
        <v>78</v>
      </c>
      <c r="AD117">
        <v>0</v>
      </c>
      <c r="AE117">
        <v>10494682</v>
      </c>
      <c r="AF117" t="s">
        <v>79</v>
      </c>
      <c r="AG117" t="s">
        <v>260</v>
      </c>
    </row>
    <row r="118" spans="1:33" x14ac:dyDescent="0.35">
      <c r="A118" s="18">
        <v>44529.581944444442</v>
      </c>
      <c r="B118">
        <v>5450869</v>
      </c>
      <c r="C118" t="s">
        <v>411</v>
      </c>
      <c r="D118" t="s">
        <v>127</v>
      </c>
      <c r="E118" s="19">
        <v>43287</v>
      </c>
      <c r="F118" t="str">
        <f>"9781351714198"</f>
        <v>9781351714198</v>
      </c>
      <c r="G118" t="str">
        <f>"9781138943841"</f>
        <v>9781138943841</v>
      </c>
      <c r="H118" t="s">
        <v>412</v>
      </c>
      <c r="I118">
        <v>621.40223000000003</v>
      </c>
      <c r="J118" t="s">
        <v>413</v>
      </c>
      <c r="K118" t="s">
        <v>85</v>
      </c>
      <c r="N118" t="s">
        <v>86</v>
      </c>
      <c r="P118" t="s">
        <v>297</v>
      </c>
      <c r="Q118" t="s">
        <v>76</v>
      </c>
      <c r="R118" t="s">
        <v>73</v>
      </c>
      <c r="S118">
        <v>0</v>
      </c>
      <c r="W118" s="20">
        <v>5.3240740740740748E-3</v>
      </c>
      <c r="X118" t="s">
        <v>472</v>
      </c>
      <c r="Y118">
        <v>16</v>
      </c>
      <c r="Z118">
        <v>0</v>
      </c>
      <c r="AA118" t="s">
        <v>78</v>
      </c>
      <c r="AB118">
        <v>0</v>
      </c>
      <c r="AC118" t="s">
        <v>78</v>
      </c>
      <c r="AD118">
        <v>0</v>
      </c>
      <c r="AE118">
        <v>-1</v>
      </c>
      <c r="AF118" t="s">
        <v>79</v>
      </c>
      <c r="AG118" t="s">
        <v>415</v>
      </c>
    </row>
    <row r="119" spans="1:33" x14ac:dyDescent="0.35">
      <c r="A119" s="18">
        <v>44529.537499999999</v>
      </c>
      <c r="B119">
        <v>5450869</v>
      </c>
      <c r="C119" t="s">
        <v>411</v>
      </c>
      <c r="D119" t="s">
        <v>127</v>
      </c>
      <c r="E119" s="19">
        <v>43287</v>
      </c>
      <c r="F119" t="str">
        <f>"9781351714198"</f>
        <v>9781351714198</v>
      </c>
      <c r="G119" t="str">
        <f>"9781138943841"</f>
        <v>9781138943841</v>
      </c>
      <c r="H119" t="s">
        <v>412</v>
      </c>
      <c r="I119">
        <v>621.40223000000003</v>
      </c>
      <c r="J119" t="s">
        <v>413</v>
      </c>
      <c r="K119" t="s">
        <v>85</v>
      </c>
      <c r="N119" t="s">
        <v>86</v>
      </c>
      <c r="P119" t="s">
        <v>297</v>
      </c>
      <c r="Q119" t="s">
        <v>76</v>
      </c>
      <c r="R119" t="s">
        <v>73</v>
      </c>
      <c r="S119">
        <v>0</v>
      </c>
      <c r="W119" s="20">
        <v>2.2442129629629631E-2</v>
      </c>
      <c r="X119" t="s">
        <v>473</v>
      </c>
      <c r="Y119">
        <v>52</v>
      </c>
      <c r="Z119">
        <v>0</v>
      </c>
      <c r="AA119" t="s">
        <v>78</v>
      </c>
      <c r="AB119">
        <v>0</v>
      </c>
      <c r="AC119" t="s">
        <v>78</v>
      </c>
      <c r="AD119">
        <v>0</v>
      </c>
      <c r="AE119">
        <v>-1</v>
      </c>
      <c r="AF119" t="s">
        <v>79</v>
      </c>
      <c r="AG119" t="s">
        <v>415</v>
      </c>
    </row>
    <row r="120" spans="1:33" x14ac:dyDescent="0.35">
      <c r="A120" s="18">
        <v>44529.527777777781</v>
      </c>
      <c r="B120">
        <v>3417289</v>
      </c>
      <c r="C120" t="s">
        <v>474</v>
      </c>
      <c r="D120" t="s">
        <v>475</v>
      </c>
      <c r="E120" s="19">
        <v>40336</v>
      </c>
      <c r="F120" t="str">
        <f>"9781849950237"</f>
        <v>9781849950237</v>
      </c>
      <c r="G120" t="str">
        <f>""</f>
        <v/>
      </c>
      <c r="H120" t="s">
        <v>476</v>
      </c>
      <c r="I120">
        <v>547.70000000000005</v>
      </c>
      <c r="J120" t="s">
        <v>477</v>
      </c>
      <c r="K120" t="s">
        <v>73</v>
      </c>
      <c r="N120" t="s">
        <v>74</v>
      </c>
      <c r="O120" t="s">
        <v>75</v>
      </c>
      <c r="P120" t="s">
        <v>74</v>
      </c>
      <c r="Q120" t="s">
        <v>76</v>
      </c>
      <c r="R120" t="s">
        <v>73</v>
      </c>
      <c r="S120">
        <v>0</v>
      </c>
      <c r="W120" s="20">
        <v>1.2268518518518518E-3</v>
      </c>
      <c r="X120" t="s">
        <v>478</v>
      </c>
      <c r="Y120">
        <v>24</v>
      </c>
      <c r="Z120">
        <v>0</v>
      </c>
      <c r="AA120" t="s">
        <v>78</v>
      </c>
      <c r="AB120">
        <v>0</v>
      </c>
      <c r="AC120" t="s">
        <v>78</v>
      </c>
      <c r="AD120">
        <v>0</v>
      </c>
      <c r="AE120">
        <v>10698316</v>
      </c>
      <c r="AF120" t="s">
        <v>79</v>
      </c>
      <c r="AG120" t="s">
        <v>260</v>
      </c>
    </row>
    <row r="121" spans="1:33" x14ac:dyDescent="0.35">
      <c r="A121" s="18">
        <v>44529.526388888888</v>
      </c>
      <c r="B121">
        <v>4497397</v>
      </c>
      <c r="C121" t="s">
        <v>279</v>
      </c>
      <c r="D121" t="s">
        <v>280</v>
      </c>
      <c r="E121" s="19">
        <v>42551</v>
      </c>
      <c r="F121" t="str">
        <f>"9789385059605"</f>
        <v>9789385059605</v>
      </c>
      <c r="G121" t="str">
        <f>"9789385059049"</f>
        <v>9789385059049</v>
      </c>
      <c r="H121" t="s">
        <v>159</v>
      </c>
      <c r="J121" t="s">
        <v>281</v>
      </c>
      <c r="K121" t="s">
        <v>85</v>
      </c>
      <c r="N121" t="s">
        <v>86</v>
      </c>
      <c r="P121" t="s">
        <v>87</v>
      </c>
      <c r="Q121" t="s">
        <v>76</v>
      </c>
      <c r="R121" t="s">
        <v>73</v>
      </c>
      <c r="S121">
        <v>0</v>
      </c>
      <c r="W121" s="20">
        <v>1.1574074074074073E-5</v>
      </c>
      <c r="X121" t="s">
        <v>132</v>
      </c>
      <c r="Y121">
        <v>1</v>
      </c>
      <c r="Z121">
        <v>0</v>
      </c>
      <c r="AA121" t="s">
        <v>78</v>
      </c>
      <c r="AB121">
        <v>0</v>
      </c>
      <c r="AC121" t="s">
        <v>78</v>
      </c>
      <c r="AD121">
        <v>0</v>
      </c>
      <c r="AE121">
        <v>11201119</v>
      </c>
      <c r="AF121" t="s">
        <v>79</v>
      </c>
      <c r="AG121" t="s">
        <v>260</v>
      </c>
    </row>
    <row r="122" spans="1:33" x14ac:dyDescent="0.35">
      <c r="A122" s="18">
        <v>44529.419444444444</v>
      </c>
      <c r="B122">
        <v>1111317</v>
      </c>
      <c r="C122" t="s">
        <v>479</v>
      </c>
      <c r="D122" t="s">
        <v>127</v>
      </c>
      <c r="E122" s="19">
        <v>37587</v>
      </c>
      <c r="F122" t="str">
        <f>"9781136129223"</f>
        <v>9781136129223</v>
      </c>
      <c r="G122" t="str">
        <f>"9780700716074"</f>
        <v>9780700716074</v>
      </c>
      <c r="H122" t="s">
        <v>308</v>
      </c>
      <c r="I122" t="s">
        <v>480</v>
      </c>
      <c r="J122" t="s">
        <v>481</v>
      </c>
      <c r="K122" t="s">
        <v>73</v>
      </c>
      <c r="N122" t="s">
        <v>74</v>
      </c>
      <c r="O122" t="s">
        <v>75</v>
      </c>
      <c r="P122" t="s">
        <v>74</v>
      </c>
      <c r="Q122" t="s">
        <v>76</v>
      </c>
      <c r="R122" t="s">
        <v>73</v>
      </c>
      <c r="S122">
        <v>0</v>
      </c>
      <c r="W122" s="20">
        <v>0</v>
      </c>
      <c r="X122" t="s">
        <v>132</v>
      </c>
      <c r="Y122">
        <v>1</v>
      </c>
      <c r="Z122">
        <v>0</v>
      </c>
      <c r="AA122" t="s">
        <v>78</v>
      </c>
      <c r="AB122">
        <v>0</v>
      </c>
      <c r="AC122" t="s">
        <v>78</v>
      </c>
      <c r="AD122">
        <v>0</v>
      </c>
      <c r="AE122">
        <v>10645721</v>
      </c>
      <c r="AF122" t="s">
        <v>79</v>
      </c>
      <c r="AG122" t="s">
        <v>260</v>
      </c>
    </row>
    <row r="123" spans="1:33" x14ac:dyDescent="0.35">
      <c r="A123" s="18">
        <v>44529.006249999999</v>
      </c>
      <c r="B123">
        <v>698010</v>
      </c>
      <c r="C123" t="s">
        <v>423</v>
      </c>
      <c r="D123" t="s">
        <v>70</v>
      </c>
      <c r="E123" s="19">
        <v>40770</v>
      </c>
      <c r="F123" t="str">
        <f>"9781119991274"</f>
        <v>9781119991274</v>
      </c>
      <c r="G123" t="str">
        <f>"9780470978047"</f>
        <v>9780470978047</v>
      </c>
      <c r="H123" t="s">
        <v>424</v>
      </c>
      <c r="I123">
        <v>332.10917669999998</v>
      </c>
      <c r="J123" t="s">
        <v>425</v>
      </c>
      <c r="K123" t="s">
        <v>73</v>
      </c>
      <c r="N123" t="s">
        <v>74</v>
      </c>
      <c r="O123" t="s">
        <v>75</v>
      </c>
      <c r="P123" t="s">
        <v>74</v>
      </c>
      <c r="Q123" t="s">
        <v>76</v>
      </c>
      <c r="R123" t="s">
        <v>73</v>
      </c>
      <c r="S123">
        <v>0</v>
      </c>
      <c r="W123" s="20">
        <v>4.6296296296296294E-5</v>
      </c>
      <c r="X123" t="s">
        <v>482</v>
      </c>
      <c r="Y123">
        <v>1</v>
      </c>
      <c r="Z123">
        <v>0</v>
      </c>
      <c r="AA123" t="s">
        <v>78</v>
      </c>
      <c r="AB123">
        <v>0</v>
      </c>
      <c r="AC123" t="s">
        <v>78</v>
      </c>
      <c r="AD123">
        <v>0</v>
      </c>
      <c r="AE123">
        <v>10484708</v>
      </c>
      <c r="AF123" t="s">
        <v>79</v>
      </c>
      <c r="AG123" t="s">
        <v>260</v>
      </c>
    </row>
    <row r="124" spans="1:33" x14ac:dyDescent="0.35">
      <c r="A124" s="18">
        <v>44528.740277777775</v>
      </c>
      <c r="B124">
        <v>456669</v>
      </c>
      <c r="C124" t="s">
        <v>250</v>
      </c>
      <c r="D124" t="s">
        <v>127</v>
      </c>
      <c r="E124" s="19">
        <v>40108</v>
      </c>
      <c r="F124" t="str">
        <f>"9780203869833"</f>
        <v>9780203869833</v>
      </c>
      <c r="G124" t="str">
        <f>"9780415547376"</f>
        <v>9780415547376</v>
      </c>
      <c r="H124" t="s">
        <v>251</v>
      </c>
      <c r="I124">
        <v>341</v>
      </c>
      <c r="J124" t="s">
        <v>252</v>
      </c>
      <c r="K124" t="s">
        <v>73</v>
      </c>
      <c r="N124" t="s">
        <v>74</v>
      </c>
      <c r="O124" t="s">
        <v>75</v>
      </c>
      <c r="P124" t="s">
        <v>74</v>
      </c>
      <c r="Q124" t="s">
        <v>76</v>
      </c>
      <c r="R124" t="s">
        <v>73</v>
      </c>
      <c r="S124">
        <v>0</v>
      </c>
      <c r="W124" s="20">
        <v>2.3842592592592596E-2</v>
      </c>
      <c r="X124" t="s">
        <v>483</v>
      </c>
      <c r="Y124">
        <v>19</v>
      </c>
      <c r="Z124">
        <v>0</v>
      </c>
      <c r="AA124" t="s">
        <v>78</v>
      </c>
      <c r="AB124">
        <v>0</v>
      </c>
      <c r="AC124" t="s">
        <v>484</v>
      </c>
      <c r="AD124">
        <v>3</v>
      </c>
      <c r="AE124">
        <v>10341955</v>
      </c>
      <c r="AF124" t="s">
        <v>79</v>
      </c>
      <c r="AG124" t="s">
        <v>253</v>
      </c>
    </row>
    <row r="125" spans="1:33" x14ac:dyDescent="0.35">
      <c r="A125" s="18">
        <v>44527.893055555556</v>
      </c>
      <c r="B125">
        <v>1683293</v>
      </c>
      <c r="C125" t="s">
        <v>485</v>
      </c>
      <c r="D125" t="s">
        <v>338</v>
      </c>
      <c r="E125" s="19">
        <v>41816</v>
      </c>
      <c r="F125" t="str">
        <f>"9780123965066"</f>
        <v>9780123965066</v>
      </c>
      <c r="G125" t="str">
        <f>"9780123964595"</f>
        <v>9780123964595</v>
      </c>
      <c r="H125" t="s">
        <v>374</v>
      </c>
      <c r="I125">
        <v>628.44579999999996</v>
      </c>
      <c r="J125" t="s">
        <v>486</v>
      </c>
      <c r="K125" t="s">
        <v>73</v>
      </c>
      <c r="N125" t="s">
        <v>74</v>
      </c>
      <c r="O125" t="s">
        <v>75</v>
      </c>
      <c r="P125" t="s">
        <v>74</v>
      </c>
      <c r="Q125" t="s">
        <v>76</v>
      </c>
      <c r="R125" t="s">
        <v>73</v>
      </c>
      <c r="S125">
        <v>0</v>
      </c>
      <c r="W125" s="20">
        <v>7.4421296296296293E-3</v>
      </c>
      <c r="X125" t="s">
        <v>487</v>
      </c>
      <c r="Y125">
        <v>11</v>
      </c>
      <c r="Z125">
        <v>0</v>
      </c>
      <c r="AA125" t="s">
        <v>78</v>
      </c>
      <c r="AB125">
        <v>0</v>
      </c>
      <c r="AC125" t="s">
        <v>78</v>
      </c>
      <c r="AD125">
        <v>0</v>
      </c>
      <c r="AE125">
        <v>10866819</v>
      </c>
      <c r="AF125" t="s">
        <v>79</v>
      </c>
      <c r="AG125" t="s">
        <v>260</v>
      </c>
    </row>
    <row r="126" spans="1:33" x14ac:dyDescent="0.35">
      <c r="A126" s="18">
        <v>44527.854861111111</v>
      </c>
      <c r="B126">
        <v>456669</v>
      </c>
      <c r="C126" t="s">
        <v>250</v>
      </c>
      <c r="D126" t="s">
        <v>127</v>
      </c>
      <c r="E126" s="19">
        <v>40108</v>
      </c>
      <c r="F126" t="str">
        <f>"9780203869833"</f>
        <v>9780203869833</v>
      </c>
      <c r="G126" t="str">
        <f>"9780415547376"</f>
        <v>9780415547376</v>
      </c>
      <c r="H126" t="s">
        <v>251</v>
      </c>
      <c r="I126">
        <v>341</v>
      </c>
      <c r="J126" t="s">
        <v>252</v>
      </c>
      <c r="K126" t="s">
        <v>73</v>
      </c>
      <c r="N126" t="s">
        <v>74</v>
      </c>
      <c r="O126" t="s">
        <v>75</v>
      </c>
      <c r="P126" t="s">
        <v>74</v>
      </c>
      <c r="Q126" t="s">
        <v>76</v>
      </c>
      <c r="R126" t="s">
        <v>73</v>
      </c>
      <c r="S126">
        <v>0</v>
      </c>
      <c r="W126" s="20">
        <v>8.1018518518518516E-5</v>
      </c>
      <c r="X126" t="s">
        <v>488</v>
      </c>
      <c r="Y126">
        <v>14</v>
      </c>
      <c r="Z126">
        <v>0</v>
      </c>
      <c r="AA126" t="s">
        <v>78</v>
      </c>
      <c r="AB126">
        <v>0</v>
      </c>
      <c r="AC126" t="s">
        <v>78</v>
      </c>
      <c r="AD126">
        <v>0</v>
      </c>
      <c r="AE126">
        <v>10341955</v>
      </c>
      <c r="AF126" t="s">
        <v>79</v>
      </c>
      <c r="AG126" t="s">
        <v>253</v>
      </c>
    </row>
    <row r="127" spans="1:33" x14ac:dyDescent="0.35">
      <c r="A127" s="18">
        <v>44527.818749999999</v>
      </c>
      <c r="B127">
        <v>456669</v>
      </c>
      <c r="C127" t="s">
        <v>250</v>
      </c>
      <c r="D127" t="s">
        <v>127</v>
      </c>
      <c r="E127" s="19">
        <v>40108</v>
      </c>
      <c r="F127" t="str">
        <f>"9780203869833"</f>
        <v>9780203869833</v>
      </c>
      <c r="G127" t="str">
        <f>"9780415547376"</f>
        <v>9780415547376</v>
      </c>
      <c r="H127" t="s">
        <v>251</v>
      </c>
      <c r="I127">
        <v>341</v>
      </c>
      <c r="J127" t="s">
        <v>252</v>
      </c>
      <c r="K127" t="s">
        <v>73</v>
      </c>
      <c r="N127" t="s">
        <v>74</v>
      </c>
      <c r="O127" t="s">
        <v>75</v>
      </c>
      <c r="P127" t="s">
        <v>74</v>
      </c>
      <c r="Q127" t="s">
        <v>76</v>
      </c>
      <c r="R127" t="s">
        <v>73</v>
      </c>
      <c r="S127">
        <v>0</v>
      </c>
      <c r="W127" s="20">
        <v>6.9675925925925921E-3</v>
      </c>
      <c r="X127" t="s">
        <v>489</v>
      </c>
      <c r="Y127">
        <v>7</v>
      </c>
      <c r="Z127">
        <v>0</v>
      </c>
      <c r="AA127" t="s">
        <v>78</v>
      </c>
      <c r="AB127">
        <v>0</v>
      </c>
      <c r="AC127" t="s">
        <v>78</v>
      </c>
      <c r="AD127">
        <v>0</v>
      </c>
      <c r="AE127">
        <v>10341955</v>
      </c>
      <c r="AF127" t="s">
        <v>79</v>
      </c>
      <c r="AG127" t="s">
        <v>253</v>
      </c>
    </row>
    <row r="128" spans="1:33" x14ac:dyDescent="0.35">
      <c r="A128" s="18">
        <v>44527.668749999997</v>
      </c>
      <c r="B128">
        <v>1574415</v>
      </c>
      <c r="C128" t="s">
        <v>490</v>
      </c>
      <c r="D128" t="s">
        <v>491</v>
      </c>
      <c r="E128" s="19">
        <v>41598</v>
      </c>
      <c r="F128" t="str">
        <f>"9780761862406"</f>
        <v>9780761862406</v>
      </c>
      <c r="G128" t="str">
        <f>"9780761862390"</f>
        <v>9780761862390</v>
      </c>
      <c r="H128" t="s">
        <v>492</v>
      </c>
      <c r="I128">
        <v>371.26019000000002</v>
      </c>
      <c r="J128" t="s">
        <v>493</v>
      </c>
      <c r="K128" t="s">
        <v>73</v>
      </c>
      <c r="N128" t="s">
        <v>74</v>
      </c>
      <c r="O128" t="s">
        <v>75</v>
      </c>
      <c r="P128" t="s">
        <v>74</v>
      </c>
      <c r="Q128" t="s">
        <v>76</v>
      </c>
      <c r="R128" t="s">
        <v>73</v>
      </c>
      <c r="S128">
        <v>0</v>
      </c>
      <c r="W128" s="20">
        <v>1.8865740740740742E-3</v>
      </c>
      <c r="X128" t="s">
        <v>494</v>
      </c>
      <c r="Y128">
        <v>21</v>
      </c>
      <c r="Z128">
        <v>0</v>
      </c>
      <c r="AA128" t="s">
        <v>78</v>
      </c>
      <c r="AB128">
        <v>0</v>
      </c>
      <c r="AC128" t="s">
        <v>78</v>
      </c>
      <c r="AD128">
        <v>0</v>
      </c>
      <c r="AE128">
        <v>10816105</v>
      </c>
      <c r="AF128" t="s">
        <v>79</v>
      </c>
      <c r="AG128" t="s">
        <v>260</v>
      </c>
    </row>
    <row r="129" spans="1:33" x14ac:dyDescent="0.35">
      <c r="A129" s="18">
        <v>44527.52847222222</v>
      </c>
      <c r="B129">
        <v>1683293</v>
      </c>
      <c r="C129" t="s">
        <v>485</v>
      </c>
      <c r="D129" t="s">
        <v>338</v>
      </c>
      <c r="E129" s="19">
        <v>41816</v>
      </c>
      <c r="F129" t="str">
        <f>"9780123965066"</f>
        <v>9780123965066</v>
      </c>
      <c r="G129" t="str">
        <f>"9780123964595"</f>
        <v>9780123964595</v>
      </c>
      <c r="H129" t="s">
        <v>374</v>
      </c>
      <c r="I129">
        <v>628.44579999999996</v>
      </c>
      <c r="J129" t="s">
        <v>486</v>
      </c>
      <c r="K129" t="s">
        <v>73</v>
      </c>
      <c r="N129" t="s">
        <v>74</v>
      </c>
      <c r="O129" t="s">
        <v>75</v>
      </c>
      <c r="P129" t="s">
        <v>74</v>
      </c>
      <c r="Q129" t="s">
        <v>76</v>
      </c>
      <c r="R129" t="s">
        <v>73</v>
      </c>
      <c r="S129">
        <v>0</v>
      </c>
      <c r="W129" s="20">
        <v>4.340277777777778E-3</v>
      </c>
      <c r="X129" t="s">
        <v>495</v>
      </c>
      <c r="Y129">
        <v>35</v>
      </c>
      <c r="Z129">
        <v>0</v>
      </c>
      <c r="AA129" t="s">
        <v>78</v>
      </c>
      <c r="AB129">
        <v>0</v>
      </c>
      <c r="AC129" t="s">
        <v>78</v>
      </c>
      <c r="AD129">
        <v>0</v>
      </c>
      <c r="AE129">
        <v>10866819</v>
      </c>
      <c r="AF129" t="s">
        <v>79</v>
      </c>
      <c r="AG129" t="s">
        <v>260</v>
      </c>
    </row>
    <row r="130" spans="1:33" x14ac:dyDescent="0.35">
      <c r="A130" s="18">
        <v>44526.895138888889</v>
      </c>
      <c r="B130">
        <v>351146</v>
      </c>
      <c r="C130" t="s">
        <v>496</v>
      </c>
      <c r="D130" t="s">
        <v>70</v>
      </c>
      <c r="E130" s="19">
        <v>38667</v>
      </c>
      <c r="F130" t="str">
        <f>"9780470995266"</f>
        <v>9780470995266</v>
      </c>
      <c r="G130" t="str">
        <f>"9780470709580"</f>
        <v>9780470709580</v>
      </c>
      <c r="H130" t="s">
        <v>497</v>
      </c>
      <c r="I130" t="s">
        <v>498</v>
      </c>
      <c r="J130" t="s">
        <v>499</v>
      </c>
      <c r="K130" t="s">
        <v>73</v>
      </c>
      <c r="N130" t="s">
        <v>74</v>
      </c>
      <c r="O130" t="s">
        <v>75</v>
      </c>
      <c r="P130" t="s">
        <v>74</v>
      </c>
      <c r="Q130" t="s">
        <v>76</v>
      </c>
      <c r="R130" t="s">
        <v>73</v>
      </c>
      <c r="S130">
        <v>0</v>
      </c>
      <c r="W130" s="20">
        <v>1.0416666666666667E-3</v>
      </c>
      <c r="X130" t="s">
        <v>500</v>
      </c>
      <c r="Y130">
        <v>18</v>
      </c>
      <c r="Z130">
        <v>0</v>
      </c>
      <c r="AA130" t="s">
        <v>78</v>
      </c>
      <c r="AB130">
        <v>0</v>
      </c>
      <c r="AC130" t="s">
        <v>78</v>
      </c>
      <c r="AD130">
        <v>0</v>
      </c>
      <c r="AE130">
        <v>10240504</v>
      </c>
      <c r="AF130" t="s">
        <v>79</v>
      </c>
      <c r="AG130" t="s">
        <v>260</v>
      </c>
    </row>
    <row r="131" spans="1:33" x14ac:dyDescent="0.35">
      <c r="A131" s="18">
        <v>44526.856249999997</v>
      </c>
      <c r="B131">
        <v>4939116</v>
      </c>
      <c r="C131" t="s">
        <v>501</v>
      </c>
      <c r="D131" t="s">
        <v>502</v>
      </c>
      <c r="E131" s="19">
        <v>42901</v>
      </c>
      <c r="F131" t="str">
        <f>"9781780408217"</f>
        <v>9781780408217</v>
      </c>
      <c r="G131" t="str">
        <f>"9781780408200"</f>
        <v>9781780408200</v>
      </c>
      <c r="H131" t="s">
        <v>374</v>
      </c>
      <c r="I131">
        <v>628.44579999999996</v>
      </c>
      <c r="J131" t="s">
        <v>503</v>
      </c>
      <c r="K131" t="s">
        <v>73</v>
      </c>
      <c r="N131" t="s">
        <v>74</v>
      </c>
      <c r="O131" t="s">
        <v>75</v>
      </c>
      <c r="P131" t="s">
        <v>74</v>
      </c>
      <c r="Q131" t="s">
        <v>76</v>
      </c>
      <c r="R131" t="s">
        <v>73</v>
      </c>
      <c r="S131">
        <v>0</v>
      </c>
      <c r="W131" s="20">
        <v>6.5972222222222213E-4</v>
      </c>
      <c r="X131" t="s">
        <v>504</v>
      </c>
      <c r="Y131">
        <v>12</v>
      </c>
      <c r="Z131">
        <v>0</v>
      </c>
      <c r="AA131" t="s">
        <v>78</v>
      </c>
      <c r="AB131">
        <v>0</v>
      </c>
      <c r="AC131" t="s">
        <v>78</v>
      </c>
      <c r="AD131">
        <v>0</v>
      </c>
      <c r="AE131">
        <v>11421565</v>
      </c>
      <c r="AF131" t="s">
        <v>79</v>
      </c>
      <c r="AG131" t="s">
        <v>260</v>
      </c>
    </row>
    <row r="132" spans="1:33" x14ac:dyDescent="0.35">
      <c r="A132" s="18">
        <v>44525.972916666666</v>
      </c>
      <c r="B132">
        <v>1517909</v>
      </c>
      <c r="C132" t="s">
        <v>505</v>
      </c>
      <c r="D132" t="s">
        <v>506</v>
      </c>
      <c r="E132" s="19">
        <v>41571</v>
      </c>
      <c r="F132" t="str">
        <f>"9789004260337"</f>
        <v>9789004260337</v>
      </c>
      <c r="G132" t="str">
        <f>"9789004260320"</f>
        <v>9789004260320</v>
      </c>
      <c r="H132" t="s">
        <v>507</v>
      </c>
      <c r="I132">
        <v>384.04199999999997</v>
      </c>
      <c r="J132" t="s">
        <v>508</v>
      </c>
      <c r="K132" t="s">
        <v>73</v>
      </c>
      <c r="N132" t="s">
        <v>74</v>
      </c>
      <c r="O132" t="s">
        <v>75</v>
      </c>
      <c r="P132" t="s">
        <v>74</v>
      </c>
      <c r="Q132" t="s">
        <v>76</v>
      </c>
      <c r="R132" t="s">
        <v>73</v>
      </c>
      <c r="S132">
        <v>0</v>
      </c>
      <c r="W132" s="20">
        <v>9.0162037037037034E-3</v>
      </c>
      <c r="X132" t="s">
        <v>509</v>
      </c>
      <c r="Y132">
        <v>51</v>
      </c>
      <c r="Z132">
        <v>0</v>
      </c>
      <c r="AA132" t="s">
        <v>78</v>
      </c>
      <c r="AB132">
        <v>0</v>
      </c>
      <c r="AC132" t="s">
        <v>78</v>
      </c>
      <c r="AD132">
        <v>0</v>
      </c>
      <c r="AE132">
        <v>10792294</v>
      </c>
      <c r="AF132" t="s">
        <v>79</v>
      </c>
      <c r="AG132" t="s">
        <v>510</v>
      </c>
    </row>
    <row r="133" spans="1:33" x14ac:dyDescent="0.35">
      <c r="A133" s="18">
        <v>44525.936111111114</v>
      </c>
      <c r="B133">
        <v>3443314</v>
      </c>
      <c r="C133" t="s">
        <v>511</v>
      </c>
      <c r="D133" t="s">
        <v>307</v>
      </c>
      <c r="E133" s="19">
        <v>38899</v>
      </c>
      <c r="F133" t="str">
        <f>"9780292795778"</f>
        <v>9780292795778</v>
      </c>
      <c r="G133" t="str">
        <f>"9780292712737"</f>
        <v>9780292712737</v>
      </c>
      <c r="H133" t="s">
        <v>308</v>
      </c>
      <c r="I133" t="s">
        <v>512</v>
      </c>
      <c r="J133" t="s">
        <v>513</v>
      </c>
      <c r="K133" t="s">
        <v>73</v>
      </c>
      <c r="N133" t="s">
        <v>74</v>
      </c>
      <c r="O133" t="s">
        <v>75</v>
      </c>
      <c r="P133" t="s">
        <v>74</v>
      </c>
      <c r="Q133" t="s">
        <v>76</v>
      </c>
      <c r="R133" t="s">
        <v>73</v>
      </c>
      <c r="S133">
        <v>0</v>
      </c>
      <c r="W133" s="20">
        <v>4.3981481481481481E-4</v>
      </c>
      <c r="X133" t="s">
        <v>514</v>
      </c>
      <c r="Y133">
        <v>4</v>
      </c>
      <c r="Z133">
        <v>0</v>
      </c>
      <c r="AA133" t="s">
        <v>78</v>
      </c>
      <c r="AB133">
        <v>0</v>
      </c>
      <c r="AC133" t="s">
        <v>78</v>
      </c>
      <c r="AD133">
        <v>0</v>
      </c>
      <c r="AE133">
        <v>10245802</v>
      </c>
      <c r="AF133" t="s">
        <v>79</v>
      </c>
      <c r="AG133" t="s">
        <v>515</v>
      </c>
    </row>
    <row r="134" spans="1:33" x14ac:dyDescent="0.35">
      <c r="A134" s="18">
        <v>44525.808333333334</v>
      </c>
      <c r="B134">
        <v>3408517</v>
      </c>
      <c r="C134" t="s">
        <v>516</v>
      </c>
      <c r="D134" t="s">
        <v>517</v>
      </c>
      <c r="E134" s="19">
        <v>38201</v>
      </c>
      <c r="F134" t="str">
        <f>"9780791485040"</f>
        <v>9780791485040</v>
      </c>
      <c r="G134" t="str">
        <f>"9780791460955"</f>
        <v>9780791460955</v>
      </c>
      <c r="H134" t="s">
        <v>308</v>
      </c>
      <c r="I134" t="s">
        <v>518</v>
      </c>
      <c r="J134" t="s">
        <v>519</v>
      </c>
      <c r="K134" t="s">
        <v>73</v>
      </c>
      <c r="N134" t="s">
        <v>74</v>
      </c>
      <c r="O134" t="s">
        <v>75</v>
      </c>
      <c r="P134" t="s">
        <v>74</v>
      </c>
      <c r="Q134" t="s">
        <v>76</v>
      </c>
      <c r="R134" t="s">
        <v>73</v>
      </c>
      <c r="S134">
        <v>0</v>
      </c>
      <c r="W134" s="20">
        <v>1.1226851851851851E-3</v>
      </c>
      <c r="X134" t="s">
        <v>520</v>
      </c>
      <c r="Y134">
        <v>11</v>
      </c>
      <c r="Z134">
        <v>0</v>
      </c>
      <c r="AA134" t="s">
        <v>78</v>
      </c>
      <c r="AB134">
        <v>0</v>
      </c>
      <c r="AC134" t="s">
        <v>78</v>
      </c>
      <c r="AD134">
        <v>0</v>
      </c>
      <c r="AE134">
        <v>10594845</v>
      </c>
      <c r="AF134" t="s">
        <v>79</v>
      </c>
      <c r="AG134" t="s">
        <v>515</v>
      </c>
    </row>
    <row r="135" spans="1:33" x14ac:dyDescent="0.35">
      <c r="A135" s="18">
        <v>44525.808333333334</v>
      </c>
      <c r="B135">
        <v>3443314</v>
      </c>
      <c r="C135" t="s">
        <v>511</v>
      </c>
      <c r="D135" t="s">
        <v>307</v>
      </c>
      <c r="E135" s="19">
        <v>38899</v>
      </c>
      <c r="F135" t="str">
        <f>"9780292795778"</f>
        <v>9780292795778</v>
      </c>
      <c r="G135" t="str">
        <f>"9780292712737"</f>
        <v>9780292712737</v>
      </c>
      <c r="H135" t="s">
        <v>308</v>
      </c>
      <c r="I135" t="s">
        <v>512</v>
      </c>
      <c r="J135" t="s">
        <v>513</v>
      </c>
      <c r="K135" t="s">
        <v>73</v>
      </c>
      <c r="N135" t="s">
        <v>74</v>
      </c>
      <c r="O135" t="s">
        <v>75</v>
      </c>
      <c r="P135" t="s">
        <v>74</v>
      </c>
      <c r="Q135" t="s">
        <v>76</v>
      </c>
      <c r="R135" t="s">
        <v>73</v>
      </c>
      <c r="S135">
        <v>0</v>
      </c>
      <c r="W135" s="20">
        <v>2.0613425925925927E-2</v>
      </c>
      <c r="X135" t="s">
        <v>521</v>
      </c>
      <c r="Y135">
        <v>3</v>
      </c>
      <c r="Z135">
        <v>0</v>
      </c>
      <c r="AA135" t="s">
        <v>78</v>
      </c>
      <c r="AB135">
        <v>0</v>
      </c>
      <c r="AC135" t="s">
        <v>78</v>
      </c>
      <c r="AD135">
        <v>0</v>
      </c>
      <c r="AE135">
        <v>10245802</v>
      </c>
      <c r="AF135" t="s">
        <v>79</v>
      </c>
      <c r="AG135" t="s">
        <v>515</v>
      </c>
    </row>
    <row r="136" spans="1:33" x14ac:dyDescent="0.35">
      <c r="A136" s="18">
        <v>44525.806944444441</v>
      </c>
      <c r="B136">
        <v>231640</v>
      </c>
      <c r="C136" t="s">
        <v>419</v>
      </c>
      <c r="D136" t="s">
        <v>205</v>
      </c>
      <c r="E136" s="19">
        <v>38472</v>
      </c>
      <c r="F136" t="str">
        <f>"9781580533669"</f>
        <v>9781580533669</v>
      </c>
      <c r="G136" t="str">
        <f>"9781580536103"</f>
        <v>9781580536103</v>
      </c>
      <c r="H136" t="s">
        <v>71</v>
      </c>
      <c r="I136" t="s">
        <v>420</v>
      </c>
      <c r="J136" t="s">
        <v>421</v>
      </c>
      <c r="K136" t="s">
        <v>73</v>
      </c>
      <c r="N136" t="s">
        <v>74</v>
      </c>
      <c r="O136" t="s">
        <v>75</v>
      </c>
      <c r="P136" t="s">
        <v>74</v>
      </c>
      <c r="Q136" t="s">
        <v>76</v>
      </c>
      <c r="R136" t="s">
        <v>73</v>
      </c>
      <c r="S136">
        <v>0</v>
      </c>
      <c r="W136" s="20">
        <v>1.4421296296296295E-2</v>
      </c>
      <c r="X136" t="s">
        <v>522</v>
      </c>
      <c r="Y136">
        <v>47</v>
      </c>
      <c r="Z136">
        <v>0</v>
      </c>
      <c r="AA136" t="s">
        <v>78</v>
      </c>
      <c r="AB136">
        <v>0</v>
      </c>
      <c r="AC136" t="s">
        <v>78</v>
      </c>
      <c r="AD136">
        <v>0</v>
      </c>
      <c r="AE136">
        <v>10081926</v>
      </c>
      <c r="AF136" t="s">
        <v>79</v>
      </c>
      <c r="AG136" t="s">
        <v>260</v>
      </c>
    </row>
    <row r="137" spans="1:33" x14ac:dyDescent="0.35">
      <c r="A137" s="18">
        <v>44525.740972222222</v>
      </c>
      <c r="B137">
        <v>182841</v>
      </c>
      <c r="C137" t="s">
        <v>523</v>
      </c>
      <c r="D137" t="s">
        <v>127</v>
      </c>
      <c r="E137" s="19">
        <v>37680</v>
      </c>
      <c r="F137" t="str">
        <f>"9780203504239"</f>
        <v>9780203504239</v>
      </c>
      <c r="G137" t="str">
        <f>"9780415945295"</f>
        <v>9780415945295</v>
      </c>
      <c r="H137" t="s">
        <v>251</v>
      </c>
      <c r="I137" t="s">
        <v>524</v>
      </c>
      <c r="J137" t="s">
        <v>525</v>
      </c>
      <c r="K137" t="s">
        <v>73</v>
      </c>
      <c r="N137" t="s">
        <v>74</v>
      </c>
      <c r="O137" t="s">
        <v>75</v>
      </c>
      <c r="P137" t="s">
        <v>74</v>
      </c>
      <c r="Q137" t="s">
        <v>76</v>
      </c>
      <c r="R137" t="s">
        <v>73</v>
      </c>
      <c r="S137">
        <v>0</v>
      </c>
      <c r="W137" s="20">
        <v>8.2523148148148148E-3</v>
      </c>
      <c r="X137" t="s">
        <v>526</v>
      </c>
      <c r="Y137">
        <v>7</v>
      </c>
      <c r="Z137">
        <v>0</v>
      </c>
      <c r="AA137" t="s">
        <v>78</v>
      </c>
      <c r="AB137">
        <v>0</v>
      </c>
      <c r="AC137" t="s">
        <v>78</v>
      </c>
      <c r="AD137">
        <v>0</v>
      </c>
      <c r="AE137">
        <v>10986557</v>
      </c>
      <c r="AF137" t="s">
        <v>79</v>
      </c>
      <c r="AG137" t="s">
        <v>242</v>
      </c>
    </row>
    <row r="138" spans="1:33" x14ac:dyDescent="0.35">
      <c r="A138" s="18">
        <v>44525.701388888891</v>
      </c>
      <c r="B138">
        <v>425578</v>
      </c>
      <c r="C138" t="s">
        <v>527</v>
      </c>
      <c r="D138" t="s">
        <v>127</v>
      </c>
      <c r="E138" s="19">
        <v>39973</v>
      </c>
      <c r="F138" t="str">
        <f>"9780203879542"</f>
        <v>9780203879542</v>
      </c>
      <c r="G138" t="str">
        <f>"9780415490733"</f>
        <v>9780415490733</v>
      </c>
      <c r="H138" t="s">
        <v>528</v>
      </c>
      <c r="I138" t="s">
        <v>529</v>
      </c>
      <c r="J138" t="s">
        <v>530</v>
      </c>
      <c r="K138" t="s">
        <v>73</v>
      </c>
      <c r="N138" t="s">
        <v>74</v>
      </c>
      <c r="O138" t="s">
        <v>75</v>
      </c>
      <c r="P138" t="s">
        <v>74</v>
      </c>
      <c r="Q138" t="s">
        <v>76</v>
      </c>
      <c r="R138" t="s">
        <v>73</v>
      </c>
      <c r="S138">
        <v>0</v>
      </c>
      <c r="W138" s="20">
        <v>3.4722222222222222E-5</v>
      </c>
      <c r="X138" t="s">
        <v>132</v>
      </c>
      <c r="Y138">
        <v>1</v>
      </c>
      <c r="Z138">
        <v>0</v>
      </c>
      <c r="AA138" t="s">
        <v>78</v>
      </c>
      <c r="AB138">
        <v>0</v>
      </c>
      <c r="AC138" t="s">
        <v>78</v>
      </c>
      <c r="AD138">
        <v>0</v>
      </c>
      <c r="AE138">
        <v>10714796</v>
      </c>
      <c r="AF138" t="s">
        <v>79</v>
      </c>
      <c r="AG138" t="s">
        <v>242</v>
      </c>
    </row>
    <row r="139" spans="1:33" x14ac:dyDescent="0.35">
      <c r="A139" s="18">
        <v>44525.699305555558</v>
      </c>
      <c r="B139">
        <v>3407075</v>
      </c>
      <c r="C139" t="s">
        <v>531</v>
      </c>
      <c r="D139" t="s">
        <v>517</v>
      </c>
      <c r="E139" s="19">
        <v>40817</v>
      </c>
      <c r="F139" t="str">
        <f>"9781438437446"</f>
        <v>9781438437446</v>
      </c>
      <c r="G139" t="str">
        <f>"9781438437439"</f>
        <v>9781438437439</v>
      </c>
      <c r="H139" t="s">
        <v>528</v>
      </c>
      <c r="I139" t="s">
        <v>532</v>
      </c>
      <c r="J139" t="s">
        <v>533</v>
      </c>
      <c r="K139" t="s">
        <v>73</v>
      </c>
      <c r="N139" t="s">
        <v>74</v>
      </c>
      <c r="O139" t="s">
        <v>75</v>
      </c>
      <c r="P139" t="s">
        <v>74</v>
      </c>
      <c r="Q139" t="s">
        <v>76</v>
      </c>
      <c r="R139" t="s">
        <v>73</v>
      </c>
      <c r="S139">
        <v>0</v>
      </c>
      <c r="W139" s="20">
        <v>6.5972222222222213E-4</v>
      </c>
      <c r="X139" t="s">
        <v>534</v>
      </c>
      <c r="Y139">
        <v>9</v>
      </c>
      <c r="Z139">
        <v>0</v>
      </c>
      <c r="AA139" t="s">
        <v>78</v>
      </c>
      <c r="AB139">
        <v>0</v>
      </c>
      <c r="AC139" t="s">
        <v>78</v>
      </c>
      <c r="AD139">
        <v>0</v>
      </c>
      <c r="AE139">
        <v>10573936</v>
      </c>
      <c r="AF139" t="s">
        <v>79</v>
      </c>
      <c r="AG139" t="s">
        <v>242</v>
      </c>
    </row>
    <row r="140" spans="1:33" x14ac:dyDescent="0.35">
      <c r="A140" s="18">
        <v>44525.696527777778</v>
      </c>
      <c r="B140">
        <v>3408517</v>
      </c>
      <c r="C140" t="s">
        <v>516</v>
      </c>
      <c r="D140" t="s">
        <v>517</v>
      </c>
      <c r="E140" s="19">
        <v>38201</v>
      </c>
      <c r="F140" t="str">
        <f>"9780791485040"</f>
        <v>9780791485040</v>
      </c>
      <c r="G140" t="str">
        <f>"9780791460955"</f>
        <v>9780791460955</v>
      </c>
      <c r="H140" t="s">
        <v>308</v>
      </c>
      <c r="I140" t="s">
        <v>518</v>
      </c>
      <c r="J140" t="s">
        <v>519</v>
      </c>
      <c r="K140" t="s">
        <v>73</v>
      </c>
      <c r="N140" t="s">
        <v>74</v>
      </c>
      <c r="O140" t="s">
        <v>75</v>
      </c>
      <c r="P140" t="s">
        <v>74</v>
      </c>
      <c r="Q140" t="s">
        <v>76</v>
      </c>
      <c r="R140" t="s">
        <v>73</v>
      </c>
      <c r="S140">
        <v>0</v>
      </c>
      <c r="W140" s="20">
        <v>3.2407407407407406E-4</v>
      </c>
      <c r="X140" t="s">
        <v>535</v>
      </c>
      <c r="Y140">
        <v>4</v>
      </c>
      <c r="Z140">
        <v>0</v>
      </c>
      <c r="AA140" t="s">
        <v>78</v>
      </c>
      <c r="AB140">
        <v>0</v>
      </c>
      <c r="AC140" t="s">
        <v>536</v>
      </c>
      <c r="AD140">
        <v>1</v>
      </c>
      <c r="AE140">
        <v>10594845</v>
      </c>
      <c r="AF140" t="s">
        <v>79</v>
      </c>
      <c r="AG140" t="s">
        <v>515</v>
      </c>
    </row>
    <row r="141" spans="1:33" x14ac:dyDescent="0.35">
      <c r="A141" s="18">
        <v>44525.695138888892</v>
      </c>
      <c r="B141">
        <v>201810</v>
      </c>
      <c r="C141" t="s">
        <v>537</v>
      </c>
      <c r="D141" t="s">
        <v>538</v>
      </c>
      <c r="E141" s="19">
        <v>37210</v>
      </c>
      <c r="F141" t="str">
        <f>"9780511155277"</f>
        <v>9780511155277</v>
      </c>
      <c r="G141" t="str">
        <f>"9780521793438"</f>
        <v>9780521793438</v>
      </c>
      <c r="H141" t="s">
        <v>528</v>
      </c>
      <c r="I141">
        <v>181.07</v>
      </c>
      <c r="J141" t="s">
        <v>539</v>
      </c>
      <c r="K141" t="s">
        <v>73</v>
      </c>
      <c r="N141" t="s">
        <v>74</v>
      </c>
      <c r="O141" t="s">
        <v>75</v>
      </c>
      <c r="P141" t="s">
        <v>74</v>
      </c>
      <c r="Q141" t="s">
        <v>76</v>
      </c>
      <c r="R141" t="s">
        <v>73</v>
      </c>
      <c r="S141">
        <v>0</v>
      </c>
      <c r="W141" s="20">
        <v>2.615740740740741E-3</v>
      </c>
      <c r="X141" t="s">
        <v>540</v>
      </c>
      <c r="Y141">
        <v>3</v>
      </c>
      <c r="Z141">
        <v>0</v>
      </c>
      <c r="AA141" t="s">
        <v>78</v>
      </c>
      <c r="AB141">
        <v>0</v>
      </c>
      <c r="AC141" t="s">
        <v>78</v>
      </c>
      <c r="AD141">
        <v>0</v>
      </c>
      <c r="AE141">
        <v>10064625</v>
      </c>
      <c r="AF141" t="s">
        <v>79</v>
      </c>
      <c r="AG141" t="s">
        <v>242</v>
      </c>
    </row>
    <row r="142" spans="1:33" x14ac:dyDescent="0.35">
      <c r="A142" s="18">
        <v>44525.681250000001</v>
      </c>
      <c r="B142">
        <v>1909035</v>
      </c>
      <c r="C142" t="s">
        <v>541</v>
      </c>
      <c r="D142" t="s">
        <v>542</v>
      </c>
      <c r="E142" s="19">
        <v>42004</v>
      </c>
      <c r="F142" t="str">
        <f>"9781606496138"</f>
        <v>9781606496138</v>
      </c>
      <c r="G142" t="str">
        <f>"9781606496121"</f>
        <v>9781606496121</v>
      </c>
      <c r="H142" t="s">
        <v>143</v>
      </c>
      <c r="I142">
        <v>657.45</v>
      </c>
      <c r="J142" t="s">
        <v>543</v>
      </c>
      <c r="K142" t="s">
        <v>73</v>
      </c>
      <c r="N142" t="s">
        <v>74</v>
      </c>
      <c r="O142" t="s">
        <v>75</v>
      </c>
      <c r="P142" t="s">
        <v>74</v>
      </c>
      <c r="Q142" t="s">
        <v>76</v>
      </c>
      <c r="R142" t="s">
        <v>73</v>
      </c>
      <c r="S142">
        <v>0</v>
      </c>
      <c r="W142" s="20">
        <v>0</v>
      </c>
      <c r="X142" t="s">
        <v>78</v>
      </c>
      <c r="Y142">
        <v>0</v>
      </c>
      <c r="Z142">
        <v>1</v>
      </c>
      <c r="AA142" t="s">
        <v>544</v>
      </c>
      <c r="AB142">
        <v>24</v>
      </c>
      <c r="AC142" t="s">
        <v>78</v>
      </c>
      <c r="AD142">
        <v>0</v>
      </c>
      <c r="AE142">
        <v>11007941</v>
      </c>
      <c r="AF142" t="s">
        <v>79</v>
      </c>
      <c r="AG142" t="s">
        <v>260</v>
      </c>
    </row>
    <row r="143" spans="1:33" x14ac:dyDescent="0.35">
      <c r="A143" s="18">
        <v>44525.678472222222</v>
      </c>
      <c r="B143">
        <v>1110555</v>
      </c>
      <c r="C143" t="s">
        <v>545</v>
      </c>
      <c r="D143" t="s">
        <v>70</v>
      </c>
      <c r="E143" s="19">
        <v>41351</v>
      </c>
      <c r="F143" t="str">
        <f>"9781118481332"</f>
        <v>9781118481332</v>
      </c>
      <c r="G143" t="str">
        <f>"9781118481301"</f>
        <v>9781118481301</v>
      </c>
      <c r="H143" t="s">
        <v>285</v>
      </c>
      <c r="I143">
        <v>637.14599999999996</v>
      </c>
      <c r="J143" t="s">
        <v>546</v>
      </c>
      <c r="K143" t="s">
        <v>73</v>
      </c>
      <c r="N143" t="s">
        <v>74</v>
      </c>
      <c r="O143" t="s">
        <v>75</v>
      </c>
      <c r="P143" t="s">
        <v>74</v>
      </c>
      <c r="Q143" t="s">
        <v>76</v>
      </c>
      <c r="R143" t="s">
        <v>73</v>
      </c>
      <c r="S143">
        <v>0</v>
      </c>
      <c r="W143" s="20">
        <v>2.8935185185185189E-4</v>
      </c>
      <c r="X143" t="s">
        <v>547</v>
      </c>
      <c r="Y143">
        <v>7</v>
      </c>
      <c r="Z143">
        <v>0</v>
      </c>
      <c r="AA143" t="s">
        <v>78</v>
      </c>
      <c r="AB143">
        <v>0</v>
      </c>
      <c r="AC143" t="s">
        <v>78</v>
      </c>
      <c r="AD143">
        <v>0</v>
      </c>
      <c r="AE143">
        <v>10645215</v>
      </c>
      <c r="AF143" t="s">
        <v>79</v>
      </c>
      <c r="AG143" t="s">
        <v>548</v>
      </c>
    </row>
    <row r="144" spans="1:33" x14ac:dyDescent="0.35">
      <c r="A144" s="18">
        <v>44525.67291666667</v>
      </c>
      <c r="B144">
        <v>2076529</v>
      </c>
      <c r="C144" t="s">
        <v>549</v>
      </c>
      <c r="D144" t="s">
        <v>550</v>
      </c>
      <c r="E144" s="19">
        <v>42164</v>
      </c>
      <c r="F144" t="str">
        <f>"9781443879200"</f>
        <v>9781443879200</v>
      </c>
      <c r="G144" t="str">
        <f>"9781443874564"</f>
        <v>9781443874564</v>
      </c>
      <c r="H144" t="s">
        <v>551</v>
      </c>
      <c r="I144" t="s">
        <v>552</v>
      </c>
      <c r="J144" t="s">
        <v>553</v>
      </c>
      <c r="K144" t="s">
        <v>73</v>
      </c>
      <c r="N144" t="s">
        <v>74</v>
      </c>
      <c r="O144" t="s">
        <v>75</v>
      </c>
      <c r="P144" t="s">
        <v>74</v>
      </c>
      <c r="Q144" t="s">
        <v>76</v>
      </c>
      <c r="R144" t="s">
        <v>73</v>
      </c>
      <c r="S144">
        <v>0</v>
      </c>
      <c r="W144" s="20">
        <v>1.4178240740740741E-2</v>
      </c>
      <c r="X144" t="s">
        <v>554</v>
      </c>
      <c r="Y144">
        <v>27</v>
      </c>
      <c r="Z144">
        <v>0</v>
      </c>
      <c r="AA144" t="s">
        <v>78</v>
      </c>
      <c r="AB144">
        <v>0</v>
      </c>
      <c r="AC144" t="s">
        <v>78</v>
      </c>
      <c r="AD144">
        <v>0</v>
      </c>
      <c r="AE144">
        <v>11069011</v>
      </c>
      <c r="AF144" t="s">
        <v>79</v>
      </c>
      <c r="AG144" t="s">
        <v>260</v>
      </c>
    </row>
    <row r="145" spans="1:33" x14ac:dyDescent="0.35">
      <c r="A145" s="18">
        <v>44525.664583333331</v>
      </c>
      <c r="B145">
        <v>882588</v>
      </c>
      <c r="C145" t="s">
        <v>555</v>
      </c>
      <c r="D145" t="s">
        <v>556</v>
      </c>
      <c r="E145" s="19">
        <v>40981</v>
      </c>
      <c r="F145" t="str">
        <f>"9781137001313"</f>
        <v>9781137001313</v>
      </c>
      <c r="G145" t="str">
        <f>"9780230220614"</f>
        <v>9780230220614</v>
      </c>
      <c r="H145" t="s">
        <v>557</v>
      </c>
      <c r="I145" t="s">
        <v>558</v>
      </c>
      <c r="J145" t="s">
        <v>559</v>
      </c>
      <c r="K145" t="s">
        <v>85</v>
      </c>
      <c r="P145" t="s">
        <v>297</v>
      </c>
      <c r="Q145" t="s">
        <v>76</v>
      </c>
      <c r="R145" t="s">
        <v>73</v>
      </c>
      <c r="S145">
        <v>0</v>
      </c>
      <c r="W145" s="20">
        <v>2.2800925925925927E-3</v>
      </c>
      <c r="X145" t="s">
        <v>560</v>
      </c>
      <c r="Y145">
        <v>8</v>
      </c>
      <c r="Z145">
        <v>0</v>
      </c>
      <c r="AA145" t="s">
        <v>78</v>
      </c>
      <c r="AB145">
        <v>0</v>
      </c>
      <c r="AC145" t="s">
        <v>78</v>
      </c>
      <c r="AD145">
        <v>0</v>
      </c>
      <c r="AE145">
        <v>10546642</v>
      </c>
      <c r="AF145" t="s">
        <v>79</v>
      </c>
      <c r="AG145" t="s">
        <v>260</v>
      </c>
    </row>
    <row r="146" spans="1:33" x14ac:dyDescent="0.35">
      <c r="A146" s="18">
        <v>44525.646527777775</v>
      </c>
      <c r="B146">
        <v>3408517</v>
      </c>
      <c r="C146" t="s">
        <v>516</v>
      </c>
      <c r="D146" t="s">
        <v>517</v>
      </c>
      <c r="E146" s="19">
        <v>38201</v>
      </c>
      <c r="F146" t="str">
        <f>"9780791485040"</f>
        <v>9780791485040</v>
      </c>
      <c r="G146" t="str">
        <f>"9780791460955"</f>
        <v>9780791460955</v>
      </c>
      <c r="H146" t="s">
        <v>308</v>
      </c>
      <c r="I146" t="s">
        <v>518</v>
      </c>
      <c r="J146" t="s">
        <v>519</v>
      </c>
      <c r="K146" t="s">
        <v>73</v>
      </c>
      <c r="N146" t="s">
        <v>74</v>
      </c>
      <c r="O146" t="s">
        <v>75</v>
      </c>
      <c r="P146" t="s">
        <v>74</v>
      </c>
      <c r="Q146" t="s">
        <v>76</v>
      </c>
      <c r="R146" t="s">
        <v>73</v>
      </c>
      <c r="S146">
        <v>0</v>
      </c>
      <c r="W146" s="20">
        <v>2.2650462962962966E-2</v>
      </c>
      <c r="X146" t="s">
        <v>561</v>
      </c>
      <c r="Y146">
        <v>43</v>
      </c>
      <c r="Z146">
        <v>0</v>
      </c>
      <c r="AA146" t="s">
        <v>78</v>
      </c>
      <c r="AB146">
        <v>0</v>
      </c>
      <c r="AC146" t="s">
        <v>562</v>
      </c>
      <c r="AD146">
        <v>2</v>
      </c>
      <c r="AE146">
        <v>10594845</v>
      </c>
      <c r="AF146" t="s">
        <v>79</v>
      </c>
      <c r="AG146" t="s">
        <v>515</v>
      </c>
    </row>
    <row r="147" spans="1:33" x14ac:dyDescent="0.35">
      <c r="A147" s="18">
        <v>44525.638194444444</v>
      </c>
      <c r="B147">
        <v>3443314</v>
      </c>
      <c r="C147" t="s">
        <v>511</v>
      </c>
      <c r="D147" t="s">
        <v>307</v>
      </c>
      <c r="E147" s="19">
        <v>38899</v>
      </c>
      <c r="F147" t="str">
        <f>"9780292795778"</f>
        <v>9780292795778</v>
      </c>
      <c r="G147" t="str">
        <f>"9780292712737"</f>
        <v>9780292712737</v>
      </c>
      <c r="H147" t="s">
        <v>308</v>
      </c>
      <c r="I147" t="s">
        <v>512</v>
      </c>
      <c r="J147" t="s">
        <v>513</v>
      </c>
      <c r="K147" t="s">
        <v>73</v>
      </c>
      <c r="N147" t="s">
        <v>74</v>
      </c>
      <c r="O147" t="s">
        <v>75</v>
      </c>
      <c r="P147" t="s">
        <v>74</v>
      </c>
      <c r="Q147" t="s">
        <v>76</v>
      </c>
      <c r="R147" t="s">
        <v>73</v>
      </c>
      <c r="S147">
        <v>0</v>
      </c>
      <c r="W147" s="20">
        <v>1.8067129629629631E-2</v>
      </c>
      <c r="X147" t="s">
        <v>563</v>
      </c>
      <c r="Y147">
        <v>34</v>
      </c>
      <c r="Z147">
        <v>0</v>
      </c>
      <c r="AA147" t="s">
        <v>78</v>
      </c>
      <c r="AB147">
        <v>0</v>
      </c>
      <c r="AC147" t="s">
        <v>564</v>
      </c>
      <c r="AD147">
        <v>8</v>
      </c>
      <c r="AE147">
        <v>10245802</v>
      </c>
      <c r="AF147" t="s">
        <v>79</v>
      </c>
      <c r="AG147" t="s">
        <v>515</v>
      </c>
    </row>
    <row r="148" spans="1:33" x14ac:dyDescent="0.35">
      <c r="A148" s="18">
        <v>44525.635416666664</v>
      </c>
      <c r="B148">
        <v>1699226</v>
      </c>
      <c r="C148" t="s">
        <v>565</v>
      </c>
      <c r="D148" t="s">
        <v>209</v>
      </c>
      <c r="E148" s="19">
        <v>41780</v>
      </c>
      <c r="F148" t="str">
        <f>"9780739179079"</f>
        <v>9780739179079</v>
      </c>
      <c r="G148" t="str">
        <f>"9780739179062"</f>
        <v>9780739179062</v>
      </c>
      <c r="H148" t="s">
        <v>566</v>
      </c>
      <c r="I148">
        <v>305.48696999999999</v>
      </c>
      <c r="J148" t="s">
        <v>567</v>
      </c>
      <c r="K148" t="s">
        <v>73</v>
      </c>
      <c r="N148" t="s">
        <v>74</v>
      </c>
      <c r="O148" t="s">
        <v>75</v>
      </c>
      <c r="P148" t="s">
        <v>74</v>
      </c>
      <c r="Q148" t="s">
        <v>76</v>
      </c>
      <c r="R148" t="s">
        <v>73</v>
      </c>
      <c r="S148">
        <v>0</v>
      </c>
      <c r="W148" s="20">
        <v>2.9629629629629628E-3</v>
      </c>
      <c r="X148" t="s">
        <v>568</v>
      </c>
      <c r="Y148">
        <v>16</v>
      </c>
      <c r="Z148">
        <v>0</v>
      </c>
      <c r="AA148" t="s">
        <v>78</v>
      </c>
      <c r="AB148">
        <v>0</v>
      </c>
      <c r="AC148" t="s">
        <v>78</v>
      </c>
      <c r="AD148">
        <v>0</v>
      </c>
      <c r="AE148">
        <v>10878893</v>
      </c>
      <c r="AF148" t="s">
        <v>79</v>
      </c>
      <c r="AG148" t="s">
        <v>515</v>
      </c>
    </row>
    <row r="149" spans="1:33" x14ac:dyDescent="0.35">
      <c r="A149" s="18">
        <v>44525.625694444447</v>
      </c>
      <c r="B149">
        <v>2076529</v>
      </c>
      <c r="C149" t="s">
        <v>549</v>
      </c>
      <c r="D149" t="s">
        <v>550</v>
      </c>
      <c r="E149" s="19">
        <v>42164</v>
      </c>
      <c r="F149" t="str">
        <f>"9781443879200"</f>
        <v>9781443879200</v>
      </c>
      <c r="G149" t="str">
        <f>"9781443874564"</f>
        <v>9781443874564</v>
      </c>
      <c r="H149" t="s">
        <v>551</v>
      </c>
      <c r="I149" t="s">
        <v>552</v>
      </c>
      <c r="J149" t="s">
        <v>553</v>
      </c>
      <c r="K149" t="s">
        <v>73</v>
      </c>
      <c r="N149" t="s">
        <v>74</v>
      </c>
      <c r="O149" t="s">
        <v>75</v>
      </c>
      <c r="P149" t="s">
        <v>74</v>
      </c>
      <c r="Q149" t="s">
        <v>76</v>
      </c>
      <c r="R149" t="s">
        <v>73</v>
      </c>
      <c r="S149">
        <v>0</v>
      </c>
      <c r="W149" s="20">
        <v>1.3888888888888889E-3</v>
      </c>
      <c r="X149" t="s">
        <v>569</v>
      </c>
      <c r="Y149">
        <v>10</v>
      </c>
      <c r="Z149">
        <v>0</v>
      </c>
      <c r="AA149" t="s">
        <v>78</v>
      </c>
      <c r="AB149">
        <v>0</v>
      </c>
      <c r="AC149" t="s">
        <v>78</v>
      </c>
      <c r="AD149">
        <v>0</v>
      </c>
      <c r="AE149">
        <v>11069011</v>
      </c>
      <c r="AF149" t="s">
        <v>79</v>
      </c>
      <c r="AG149" t="s">
        <v>260</v>
      </c>
    </row>
    <row r="150" spans="1:33" x14ac:dyDescent="0.35">
      <c r="A150" s="18">
        <v>44525.603472222225</v>
      </c>
      <c r="B150">
        <v>3443015</v>
      </c>
      <c r="C150" t="s">
        <v>570</v>
      </c>
      <c r="D150" t="s">
        <v>307</v>
      </c>
      <c r="E150" s="19">
        <v>38596</v>
      </c>
      <c r="F150" t="str">
        <f>"9780292796614"</f>
        <v>9780292796614</v>
      </c>
      <c r="G150" t="str">
        <f>"9780292706316"</f>
        <v>9780292706316</v>
      </c>
      <c r="H150" t="s">
        <v>128</v>
      </c>
      <c r="I150" t="s">
        <v>571</v>
      </c>
      <c r="J150" t="s">
        <v>572</v>
      </c>
      <c r="K150" t="s">
        <v>73</v>
      </c>
      <c r="N150" t="s">
        <v>74</v>
      </c>
      <c r="O150" t="s">
        <v>75</v>
      </c>
      <c r="P150" t="s">
        <v>74</v>
      </c>
      <c r="Q150" t="s">
        <v>76</v>
      </c>
      <c r="R150" t="s">
        <v>73</v>
      </c>
      <c r="S150">
        <v>0</v>
      </c>
      <c r="W150" s="20">
        <v>1.6782407407407406E-3</v>
      </c>
      <c r="X150" t="s">
        <v>573</v>
      </c>
      <c r="Y150">
        <v>6</v>
      </c>
      <c r="Z150">
        <v>0</v>
      </c>
      <c r="AA150" t="s">
        <v>78</v>
      </c>
      <c r="AB150">
        <v>0</v>
      </c>
      <c r="AC150" t="s">
        <v>78</v>
      </c>
      <c r="AD150">
        <v>0</v>
      </c>
      <c r="AE150">
        <v>10185706</v>
      </c>
      <c r="AF150" t="s">
        <v>79</v>
      </c>
      <c r="AG150" t="s">
        <v>260</v>
      </c>
    </row>
    <row r="151" spans="1:33" x14ac:dyDescent="0.35">
      <c r="A151" s="18">
        <v>44525.571527777778</v>
      </c>
      <c r="B151">
        <v>3443314</v>
      </c>
      <c r="C151" t="s">
        <v>511</v>
      </c>
      <c r="D151" t="s">
        <v>307</v>
      </c>
      <c r="E151" s="19">
        <v>38899</v>
      </c>
      <c r="F151" t="str">
        <f>"9780292795778"</f>
        <v>9780292795778</v>
      </c>
      <c r="G151" t="str">
        <f>"9780292712737"</f>
        <v>9780292712737</v>
      </c>
      <c r="H151" t="s">
        <v>308</v>
      </c>
      <c r="I151" t="s">
        <v>512</v>
      </c>
      <c r="J151" t="s">
        <v>513</v>
      </c>
      <c r="K151" t="s">
        <v>73</v>
      </c>
      <c r="N151" t="s">
        <v>74</v>
      </c>
      <c r="O151" t="s">
        <v>75</v>
      </c>
      <c r="P151" t="s">
        <v>74</v>
      </c>
      <c r="Q151" t="s">
        <v>76</v>
      </c>
      <c r="R151" t="s">
        <v>73</v>
      </c>
      <c r="S151">
        <v>0</v>
      </c>
      <c r="W151" s="20">
        <v>5.7870370370370366E-5</v>
      </c>
      <c r="X151" t="s">
        <v>132</v>
      </c>
      <c r="Y151">
        <v>1</v>
      </c>
      <c r="Z151">
        <v>0</v>
      </c>
      <c r="AA151" t="s">
        <v>78</v>
      </c>
      <c r="AB151">
        <v>0</v>
      </c>
      <c r="AC151" t="s">
        <v>78</v>
      </c>
      <c r="AD151">
        <v>0</v>
      </c>
      <c r="AE151">
        <v>10245802</v>
      </c>
      <c r="AF151" t="s">
        <v>79</v>
      </c>
      <c r="AG151" t="s">
        <v>515</v>
      </c>
    </row>
    <row r="152" spans="1:33" x14ac:dyDescent="0.35">
      <c r="A152" s="18">
        <v>44525.568055555559</v>
      </c>
      <c r="B152">
        <v>1699226</v>
      </c>
      <c r="C152" t="s">
        <v>565</v>
      </c>
      <c r="D152" t="s">
        <v>209</v>
      </c>
      <c r="E152" s="19">
        <v>41780</v>
      </c>
      <c r="F152" t="str">
        <f>"9780739179079"</f>
        <v>9780739179079</v>
      </c>
      <c r="G152" t="str">
        <f>"9780739179062"</f>
        <v>9780739179062</v>
      </c>
      <c r="H152" t="s">
        <v>566</v>
      </c>
      <c r="I152">
        <v>305.48696999999999</v>
      </c>
      <c r="J152" t="s">
        <v>567</v>
      </c>
      <c r="K152" t="s">
        <v>73</v>
      </c>
      <c r="N152" t="s">
        <v>74</v>
      </c>
      <c r="O152" t="s">
        <v>75</v>
      </c>
      <c r="P152" t="s">
        <v>74</v>
      </c>
      <c r="Q152" t="s">
        <v>76</v>
      </c>
      <c r="R152" t="s">
        <v>73</v>
      </c>
      <c r="S152">
        <v>0</v>
      </c>
      <c r="W152" s="20">
        <v>2.8935185185185188E-3</v>
      </c>
      <c r="X152" t="s">
        <v>574</v>
      </c>
      <c r="Y152">
        <v>11</v>
      </c>
      <c r="Z152">
        <v>0</v>
      </c>
      <c r="AA152" t="s">
        <v>78</v>
      </c>
      <c r="AB152">
        <v>0</v>
      </c>
      <c r="AC152" t="s">
        <v>78</v>
      </c>
      <c r="AD152">
        <v>0</v>
      </c>
      <c r="AE152">
        <v>10878893</v>
      </c>
      <c r="AF152" t="s">
        <v>79</v>
      </c>
      <c r="AG152" t="s">
        <v>515</v>
      </c>
    </row>
    <row r="153" spans="1:33" x14ac:dyDescent="0.35">
      <c r="A153" s="18">
        <v>44525.518750000003</v>
      </c>
      <c r="B153">
        <v>2076529</v>
      </c>
      <c r="C153" t="s">
        <v>549</v>
      </c>
      <c r="D153" t="s">
        <v>550</v>
      </c>
      <c r="E153" s="19">
        <v>42164</v>
      </c>
      <c r="F153" t="str">
        <f>"9781443879200"</f>
        <v>9781443879200</v>
      </c>
      <c r="G153" t="str">
        <f>"9781443874564"</f>
        <v>9781443874564</v>
      </c>
      <c r="H153" t="s">
        <v>551</v>
      </c>
      <c r="I153" t="s">
        <v>552</v>
      </c>
      <c r="J153" t="s">
        <v>553</v>
      </c>
      <c r="K153" t="s">
        <v>73</v>
      </c>
      <c r="N153" t="s">
        <v>74</v>
      </c>
      <c r="O153" t="s">
        <v>75</v>
      </c>
      <c r="P153" t="s">
        <v>74</v>
      </c>
      <c r="Q153" t="s">
        <v>76</v>
      </c>
      <c r="R153" t="s">
        <v>73</v>
      </c>
      <c r="S153">
        <v>0</v>
      </c>
      <c r="W153" s="20">
        <v>6.134259259259259E-4</v>
      </c>
      <c r="X153" t="s">
        <v>575</v>
      </c>
      <c r="Y153">
        <v>5</v>
      </c>
      <c r="Z153">
        <v>0</v>
      </c>
      <c r="AA153" t="s">
        <v>78</v>
      </c>
      <c r="AB153">
        <v>0</v>
      </c>
      <c r="AC153" t="s">
        <v>78</v>
      </c>
      <c r="AD153">
        <v>0</v>
      </c>
      <c r="AE153">
        <v>11069011</v>
      </c>
      <c r="AF153" t="s">
        <v>79</v>
      </c>
      <c r="AG153" t="s">
        <v>260</v>
      </c>
    </row>
    <row r="154" spans="1:33" x14ac:dyDescent="0.35">
      <c r="A154" s="18">
        <v>44525.429861111108</v>
      </c>
      <c r="B154">
        <v>2076529</v>
      </c>
      <c r="C154" t="s">
        <v>549</v>
      </c>
      <c r="D154" t="s">
        <v>550</v>
      </c>
      <c r="E154" s="19">
        <v>42164</v>
      </c>
      <c r="F154" t="str">
        <f>"9781443879200"</f>
        <v>9781443879200</v>
      </c>
      <c r="G154" t="str">
        <f>"9781443874564"</f>
        <v>9781443874564</v>
      </c>
      <c r="H154" t="s">
        <v>551</v>
      </c>
      <c r="I154" t="s">
        <v>552</v>
      </c>
      <c r="J154" t="s">
        <v>553</v>
      </c>
      <c r="K154" t="s">
        <v>73</v>
      </c>
      <c r="N154" t="s">
        <v>74</v>
      </c>
      <c r="O154" t="s">
        <v>75</v>
      </c>
      <c r="P154" t="s">
        <v>74</v>
      </c>
      <c r="Q154" t="s">
        <v>76</v>
      </c>
      <c r="R154" t="s">
        <v>73</v>
      </c>
      <c r="S154">
        <v>0</v>
      </c>
      <c r="W154" s="20">
        <v>1.7280092592592593E-2</v>
      </c>
      <c r="X154" t="s">
        <v>576</v>
      </c>
      <c r="Y154">
        <v>13</v>
      </c>
      <c r="Z154">
        <v>0</v>
      </c>
      <c r="AA154" t="s">
        <v>78</v>
      </c>
      <c r="AB154">
        <v>0</v>
      </c>
      <c r="AC154" t="s">
        <v>78</v>
      </c>
      <c r="AD154">
        <v>0</v>
      </c>
      <c r="AE154">
        <v>11069011</v>
      </c>
      <c r="AF154" t="s">
        <v>79</v>
      </c>
      <c r="AG154" t="s">
        <v>260</v>
      </c>
    </row>
    <row r="155" spans="1:33" x14ac:dyDescent="0.35">
      <c r="A155" s="18">
        <v>44525.425000000003</v>
      </c>
      <c r="B155">
        <v>4043907</v>
      </c>
      <c r="C155" t="s">
        <v>577</v>
      </c>
      <c r="D155" t="s">
        <v>70</v>
      </c>
      <c r="E155" s="19">
        <v>40168</v>
      </c>
      <c r="F155" t="str">
        <f>"9781444358988"</f>
        <v>9781444358988</v>
      </c>
      <c r="G155" t="str">
        <f>"9781405180931"</f>
        <v>9781405180931</v>
      </c>
      <c r="H155" t="s">
        <v>308</v>
      </c>
      <c r="I155">
        <v>297.08999999999997</v>
      </c>
      <c r="J155" t="s">
        <v>578</v>
      </c>
      <c r="K155" t="s">
        <v>73</v>
      </c>
      <c r="N155" t="s">
        <v>74</v>
      </c>
      <c r="O155" t="s">
        <v>75</v>
      </c>
      <c r="P155" t="s">
        <v>74</v>
      </c>
      <c r="Q155" t="s">
        <v>76</v>
      </c>
      <c r="R155" t="s">
        <v>73</v>
      </c>
      <c r="S155">
        <v>0</v>
      </c>
      <c r="W155" s="20">
        <v>2.3611111111111111E-3</v>
      </c>
      <c r="X155" t="s">
        <v>579</v>
      </c>
      <c r="Y155">
        <v>5</v>
      </c>
      <c r="Z155">
        <v>0</v>
      </c>
      <c r="AA155" t="s">
        <v>78</v>
      </c>
      <c r="AB155">
        <v>0</v>
      </c>
      <c r="AC155" t="s">
        <v>78</v>
      </c>
      <c r="AD155">
        <v>0</v>
      </c>
      <c r="AE155">
        <v>11115870</v>
      </c>
      <c r="AF155" t="s">
        <v>79</v>
      </c>
      <c r="AG155" t="s">
        <v>260</v>
      </c>
    </row>
    <row r="156" spans="1:33" x14ac:dyDescent="0.35">
      <c r="A156" s="18">
        <v>44525.418055555558</v>
      </c>
      <c r="B156">
        <v>4183001</v>
      </c>
      <c r="C156" t="s">
        <v>580</v>
      </c>
      <c r="D156" t="s">
        <v>70</v>
      </c>
      <c r="E156" s="19">
        <v>42359</v>
      </c>
      <c r="F156" t="str">
        <f>"9781118972311"</f>
        <v>9781118972311</v>
      </c>
      <c r="G156" t="str">
        <f>"9781118972304"</f>
        <v>9781118972304</v>
      </c>
      <c r="H156" t="s">
        <v>308</v>
      </c>
      <c r="I156">
        <v>297</v>
      </c>
      <c r="J156" t="s">
        <v>581</v>
      </c>
      <c r="K156" t="s">
        <v>73</v>
      </c>
      <c r="N156" t="s">
        <v>74</v>
      </c>
      <c r="O156" t="s">
        <v>75</v>
      </c>
      <c r="P156" t="s">
        <v>74</v>
      </c>
      <c r="Q156" t="s">
        <v>76</v>
      </c>
      <c r="R156" t="s">
        <v>73</v>
      </c>
      <c r="S156">
        <v>0</v>
      </c>
      <c r="W156" s="20">
        <v>3.7037037037037035E-4</v>
      </c>
      <c r="X156" t="s">
        <v>582</v>
      </c>
      <c r="Y156">
        <v>3</v>
      </c>
      <c r="Z156">
        <v>0</v>
      </c>
      <c r="AA156" t="s">
        <v>78</v>
      </c>
      <c r="AB156">
        <v>0</v>
      </c>
      <c r="AC156" t="s">
        <v>78</v>
      </c>
      <c r="AD156">
        <v>0</v>
      </c>
      <c r="AE156">
        <v>11124854</v>
      </c>
      <c r="AF156" t="s">
        <v>79</v>
      </c>
      <c r="AG156" t="s">
        <v>260</v>
      </c>
    </row>
    <row r="157" spans="1:33" x14ac:dyDescent="0.35">
      <c r="A157" s="18">
        <v>44525.338888888888</v>
      </c>
      <c r="B157">
        <v>1378788</v>
      </c>
      <c r="C157" t="s">
        <v>583</v>
      </c>
      <c r="D157" t="s">
        <v>70</v>
      </c>
      <c r="E157" s="19">
        <v>41542</v>
      </c>
      <c r="F157" t="str">
        <f>"9781118786031"</f>
        <v>9781118786031</v>
      </c>
      <c r="G157" t="str">
        <f>"9781118784891"</f>
        <v>9781118784891</v>
      </c>
      <c r="H157" t="s">
        <v>584</v>
      </c>
      <c r="I157">
        <v>616.89</v>
      </c>
      <c r="J157" t="s">
        <v>585</v>
      </c>
      <c r="K157" t="s">
        <v>73</v>
      </c>
      <c r="N157" t="s">
        <v>74</v>
      </c>
      <c r="O157" t="s">
        <v>75</v>
      </c>
      <c r="P157" t="s">
        <v>74</v>
      </c>
      <c r="Q157" t="s">
        <v>76</v>
      </c>
      <c r="R157" t="s">
        <v>73</v>
      </c>
      <c r="S157">
        <v>0</v>
      </c>
      <c r="W157" s="20">
        <v>8.1018518518518516E-5</v>
      </c>
      <c r="X157" t="s">
        <v>132</v>
      </c>
      <c r="Y157">
        <v>1</v>
      </c>
      <c r="Z157">
        <v>0</v>
      </c>
      <c r="AA157" t="s">
        <v>78</v>
      </c>
      <c r="AB157">
        <v>0</v>
      </c>
      <c r="AC157" t="s">
        <v>78</v>
      </c>
      <c r="AD157">
        <v>0</v>
      </c>
      <c r="AE157">
        <v>10756826</v>
      </c>
      <c r="AF157" t="s">
        <v>79</v>
      </c>
      <c r="AG157" t="s">
        <v>548</v>
      </c>
    </row>
    <row r="158" spans="1:33" x14ac:dyDescent="0.35">
      <c r="A158" s="18">
        <v>44525.140277777777</v>
      </c>
      <c r="B158">
        <v>201810</v>
      </c>
      <c r="C158" t="s">
        <v>537</v>
      </c>
      <c r="D158" t="s">
        <v>538</v>
      </c>
      <c r="E158" s="19">
        <v>37210</v>
      </c>
      <c r="F158" t="str">
        <f>"9780511155277"</f>
        <v>9780511155277</v>
      </c>
      <c r="G158" t="str">
        <f>"9780521793438"</f>
        <v>9780521793438</v>
      </c>
      <c r="H158" t="s">
        <v>528</v>
      </c>
      <c r="I158">
        <v>181.07</v>
      </c>
      <c r="J158" t="s">
        <v>539</v>
      </c>
      <c r="K158" t="s">
        <v>73</v>
      </c>
      <c r="N158" t="s">
        <v>74</v>
      </c>
      <c r="O158" t="s">
        <v>75</v>
      </c>
      <c r="P158" t="s">
        <v>74</v>
      </c>
      <c r="Q158" t="s">
        <v>76</v>
      </c>
      <c r="R158" t="s">
        <v>73</v>
      </c>
      <c r="S158">
        <v>0</v>
      </c>
      <c r="W158" s="20">
        <v>9.3750000000000007E-4</v>
      </c>
      <c r="X158" t="s">
        <v>586</v>
      </c>
      <c r="Y158">
        <v>3</v>
      </c>
      <c r="Z158">
        <v>0</v>
      </c>
      <c r="AA158" t="s">
        <v>78</v>
      </c>
      <c r="AB158">
        <v>0</v>
      </c>
      <c r="AC158" t="s">
        <v>78</v>
      </c>
      <c r="AD158">
        <v>0</v>
      </c>
      <c r="AE158">
        <v>10064625</v>
      </c>
      <c r="AF158" t="s">
        <v>79</v>
      </c>
      <c r="AG158" t="s">
        <v>242</v>
      </c>
    </row>
    <row r="159" spans="1:33" x14ac:dyDescent="0.35">
      <c r="A159" s="18">
        <v>44525.138194444444</v>
      </c>
      <c r="B159">
        <v>667902</v>
      </c>
      <c r="C159" t="s">
        <v>587</v>
      </c>
      <c r="D159" t="s">
        <v>127</v>
      </c>
      <c r="E159" s="19">
        <v>40555</v>
      </c>
      <c r="F159" t="str">
        <f>"9780203835258"</f>
        <v>9780203835258</v>
      </c>
      <c r="G159" t="str">
        <f>"9780415559270"</f>
        <v>9780415559270</v>
      </c>
      <c r="H159" t="s">
        <v>528</v>
      </c>
      <c r="I159">
        <v>110</v>
      </c>
      <c r="J159" t="s">
        <v>588</v>
      </c>
      <c r="K159" t="s">
        <v>73</v>
      </c>
      <c r="N159" t="s">
        <v>74</v>
      </c>
      <c r="O159" t="s">
        <v>75</v>
      </c>
      <c r="P159" t="s">
        <v>74</v>
      </c>
      <c r="Q159" t="s">
        <v>76</v>
      </c>
      <c r="R159" t="s">
        <v>73</v>
      </c>
      <c r="S159">
        <v>0</v>
      </c>
      <c r="W159" s="20">
        <v>6.9097222222222225E-3</v>
      </c>
      <c r="X159" t="s">
        <v>589</v>
      </c>
      <c r="Y159">
        <v>24</v>
      </c>
      <c r="Z159">
        <v>0</v>
      </c>
      <c r="AA159" t="s">
        <v>78</v>
      </c>
      <c r="AB159">
        <v>0</v>
      </c>
      <c r="AC159" t="s">
        <v>78</v>
      </c>
      <c r="AD159">
        <v>0</v>
      </c>
      <c r="AE159">
        <v>10442732</v>
      </c>
      <c r="AF159" t="s">
        <v>79</v>
      </c>
      <c r="AG159" t="s">
        <v>242</v>
      </c>
    </row>
    <row r="160" spans="1:33" x14ac:dyDescent="0.35">
      <c r="A160" s="18">
        <v>44525.029861111114</v>
      </c>
      <c r="B160">
        <v>2076529</v>
      </c>
      <c r="C160" t="s">
        <v>549</v>
      </c>
      <c r="D160" t="s">
        <v>550</v>
      </c>
      <c r="E160" s="19">
        <v>42164</v>
      </c>
      <c r="F160" t="str">
        <f>"9781443879200"</f>
        <v>9781443879200</v>
      </c>
      <c r="G160" t="str">
        <f>"9781443874564"</f>
        <v>9781443874564</v>
      </c>
      <c r="H160" t="s">
        <v>551</v>
      </c>
      <c r="I160" t="s">
        <v>552</v>
      </c>
      <c r="J160" t="s">
        <v>553</v>
      </c>
      <c r="K160" t="s">
        <v>73</v>
      </c>
      <c r="N160" t="s">
        <v>74</v>
      </c>
      <c r="O160" t="s">
        <v>75</v>
      </c>
      <c r="P160" t="s">
        <v>74</v>
      </c>
      <c r="Q160" t="s">
        <v>76</v>
      </c>
      <c r="R160" t="s">
        <v>73</v>
      </c>
      <c r="S160">
        <v>0</v>
      </c>
      <c r="W160" s="20">
        <v>1.5856481481481479E-3</v>
      </c>
      <c r="X160" t="s">
        <v>590</v>
      </c>
      <c r="Y160">
        <v>7</v>
      </c>
      <c r="Z160">
        <v>0</v>
      </c>
      <c r="AA160" t="s">
        <v>78</v>
      </c>
      <c r="AB160">
        <v>0</v>
      </c>
      <c r="AC160" t="s">
        <v>78</v>
      </c>
      <c r="AD160">
        <v>0</v>
      </c>
      <c r="AE160">
        <v>11069011</v>
      </c>
      <c r="AF160" t="s">
        <v>79</v>
      </c>
      <c r="AG160" t="s">
        <v>260</v>
      </c>
    </row>
    <row r="161" spans="1:33" x14ac:dyDescent="0.35">
      <c r="A161" s="18">
        <v>44525.022916666669</v>
      </c>
      <c r="B161">
        <v>231640</v>
      </c>
      <c r="C161" t="s">
        <v>419</v>
      </c>
      <c r="D161" t="s">
        <v>205</v>
      </c>
      <c r="E161" s="19">
        <v>38472</v>
      </c>
      <c r="F161" t="str">
        <f>"9781580533669"</f>
        <v>9781580533669</v>
      </c>
      <c r="G161" t="str">
        <f>"9781580536103"</f>
        <v>9781580536103</v>
      </c>
      <c r="H161" t="s">
        <v>71</v>
      </c>
      <c r="I161" t="s">
        <v>420</v>
      </c>
      <c r="J161" t="s">
        <v>421</v>
      </c>
      <c r="K161" t="s">
        <v>73</v>
      </c>
      <c r="N161" t="s">
        <v>74</v>
      </c>
      <c r="O161" t="s">
        <v>75</v>
      </c>
      <c r="P161" t="s">
        <v>74</v>
      </c>
      <c r="Q161" t="s">
        <v>76</v>
      </c>
      <c r="R161" t="s">
        <v>73</v>
      </c>
      <c r="S161">
        <v>0</v>
      </c>
      <c r="W161" s="20">
        <v>1.3761574074074074E-2</v>
      </c>
      <c r="X161" t="s">
        <v>591</v>
      </c>
      <c r="Y161">
        <v>12</v>
      </c>
      <c r="Z161">
        <v>0</v>
      </c>
      <c r="AA161" t="s">
        <v>78</v>
      </c>
      <c r="AB161">
        <v>0</v>
      </c>
      <c r="AC161" t="s">
        <v>78</v>
      </c>
      <c r="AD161">
        <v>0</v>
      </c>
      <c r="AE161">
        <v>10081926</v>
      </c>
      <c r="AF161" t="s">
        <v>79</v>
      </c>
      <c r="AG161" t="s">
        <v>260</v>
      </c>
    </row>
    <row r="162" spans="1:33" x14ac:dyDescent="0.35">
      <c r="A162" s="18">
        <v>44524.999305555553</v>
      </c>
      <c r="B162">
        <v>231640</v>
      </c>
      <c r="C162" t="s">
        <v>419</v>
      </c>
      <c r="D162" t="s">
        <v>205</v>
      </c>
      <c r="E162" s="19">
        <v>38472</v>
      </c>
      <c r="F162" t="str">
        <f>"9781580533669"</f>
        <v>9781580533669</v>
      </c>
      <c r="G162" t="str">
        <f>"9781580536103"</f>
        <v>9781580536103</v>
      </c>
      <c r="H162" t="s">
        <v>71</v>
      </c>
      <c r="I162" t="s">
        <v>420</v>
      </c>
      <c r="J162" t="s">
        <v>421</v>
      </c>
      <c r="K162" t="s">
        <v>73</v>
      </c>
      <c r="N162" t="s">
        <v>74</v>
      </c>
      <c r="O162" t="s">
        <v>75</v>
      </c>
      <c r="P162" t="s">
        <v>74</v>
      </c>
      <c r="Q162" t="s">
        <v>76</v>
      </c>
      <c r="R162" t="s">
        <v>73</v>
      </c>
      <c r="S162">
        <v>0</v>
      </c>
      <c r="W162" s="20">
        <v>5.4398148148148144E-4</v>
      </c>
      <c r="X162" t="s">
        <v>592</v>
      </c>
      <c r="Y162">
        <v>6</v>
      </c>
      <c r="Z162">
        <v>0</v>
      </c>
      <c r="AA162" t="s">
        <v>78</v>
      </c>
      <c r="AB162">
        <v>0</v>
      </c>
      <c r="AC162" t="s">
        <v>78</v>
      </c>
      <c r="AD162">
        <v>0</v>
      </c>
      <c r="AE162">
        <v>10081926</v>
      </c>
      <c r="AF162" t="s">
        <v>79</v>
      </c>
      <c r="AG162" t="s">
        <v>260</v>
      </c>
    </row>
    <row r="163" spans="1:33" x14ac:dyDescent="0.35">
      <c r="A163" s="18">
        <v>44524.963888888888</v>
      </c>
      <c r="B163">
        <v>2076529</v>
      </c>
      <c r="C163" t="s">
        <v>549</v>
      </c>
      <c r="D163" t="s">
        <v>550</v>
      </c>
      <c r="E163" s="19">
        <v>42164</v>
      </c>
      <c r="F163" t="str">
        <f>"9781443879200"</f>
        <v>9781443879200</v>
      </c>
      <c r="G163" t="str">
        <f>"9781443874564"</f>
        <v>9781443874564</v>
      </c>
      <c r="H163" t="s">
        <v>551</v>
      </c>
      <c r="I163" t="s">
        <v>552</v>
      </c>
      <c r="J163" t="s">
        <v>553</v>
      </c>
      <c r="K163" t="s">
        <v>73</v>
      </c>
      <c r="N163" t="s">
        <v>74</v>
      </c>
      <c r="O163" t="s">
        <v>75</v>
      </c>
      <c r="P163" t="s">
        <v>74</v>
      </c>
      <c r="Q163" t="s">
        <v>76</v>
      </c>
      <c r="R163" t="s">
        <v>73</v>
      </c>
      <c r="S163">
        <v>0</v>
      </c>
      <c r="W163" s="20">
        <v>3.4722222222222222E-5</v>
      </c>
      <c r="X163" t="s">
        <v>132</v>
      </c>
      <c r="Y163">
        <v>1</v>
      </c>
      <c r="Z163">
        <v>0</v>
      </c>
      <c r="AA163" t="s">
        <v>78</v>
      </c>
      <c r="AB163">
        <v>0</v>
      </c>
      <c r="AC163" t="s">
        <v>78</v>
      </c>
      <c r="AD163">
        <v>0</v>
      </c>
      <c r="AE163">
        <v>11069011</v>
      </c>
      <c r="AF163" t="s">
        <v>79</v>
      </c>
      <c r="AG163" t="s">
        <v>187</v>
      </c>
    </row>
    <row r="164" spans="1:33" x14ac:dyDescent="0.35">
      <c r="A164" s="18">
        <v>44524.960416666669</v>
      </c>
      <c r="B164">
        <v>362202</v>
      </c>
      <c r="C164" t="s">
        <v>593</v>
      </c>
      <c r="D164" t="s">
        <v>594</v>
      </c>
      <c r="E164" s="19">
        <v>36104</v>
      </c>
      <c r="F164" t="str">
        <f>"9781859865200"</f>
        <v>9781859865200</v>
      </c>
      <c r="G164" t="str">
        <f>"9781859861202"</f>
        <v>9781859861202</v>
      </c>
      <c r="H164" t="s">
        <v>595</v>
      </c>
      <c r="I164">
        <v>500</v>
      </c>
      <c r="J164" t="s">
        <v>596</v>
      </c>
      <c r="K164" t="s">
        <v>73</v>
      </c>
      <c r="N164" t="s">
        <v>74</v>
      </c>
      <c r="O164" t="s">
        <v>75</v>
      </c>
      <c r="P164" t="s">
        <v>74</v>
      </c>
      <c r="Q164" t="s">
        <v>76</v>
      </c>
      <c r="R164" t="s">
        <v>73</v>
      </c>
      <c r="S164">
        <v>0</v>
      </c>
      <c r="W164" s="20">
        <v>1.0300925925925926E-3</v>
      </c>
      <c r="X164" t="s">
        <v>597</v>
      </c>
      <c r="Y164">
        <v>16</v>
      </c>
      <c r="Z164">
        <v>0</v>
      </c>
      <c r="AA164" t="s">
        <v>78</v>
      </c>
      <c r="AB164">
        <v>0</v>
      </c>
      <c r="AC164" t="s">
        <v>78</v>
      </c>
      <c r="AD164">
        <v>0</v>
      </c>
      <c r="AE164">
        <v>10236047</v>
      </c>
      <c r="AF164" t="s">
        <v>79</v>
      </c>
      <c r="AG164" t="s">
        <v>260</v>
      </c>
    </row>
    <row r="165" spans="1:33" x14ac:dyDescent="0.35">
      <c r="A165" s="18">
        <v>44524.958333333336</v>
      </c>
      <c r="B165">
        <v>3017676</v>
      </c>
      <c r="C165" t="s">
        <v>598</v>
      </c>
      <c r="D165" t="s">
        <v>226</v>
      </c>
      <c r="E165" s="19">
        <v>41012</v>
      </c>
      <c r="F165" t="str">
        <f>"9781619422407"</f>
        <v>9781619422407</v>
      </c>
      <c r="G165" t="str">
        <f>"9781619422254"</f>
        <v>9781619422254</v>
      </c>
      <c r="H165" t="s">
        <v>599</v>
      </c>
      <c r="I165" t="s">
        <v>600</v>
      </c>
      <c r="J165" t="s">
        <v>601</v>
      </c>
      <c r="K165" t="s">
        <v>73</v>
      </c>
      <c r="N165" t="s">
        <v>74</v>
      </c>
      <c r="O165" t="s">
        <v>75</v>
      </c>
      <c r="P165" t="s">
        <v>230</v>
      </c>
      <c r="Q165" t="s">
        <v>76</v>
      </c>
      <c r="R165" t="s">
        <v>85</v>
      </c>
      <c r="S165">
        <v>0</v>
      </c>
      <c r="W165" s="20">
        <v>1.5162037037037036E-3</v>
      </c>
      <c r="X165" t="s">
        <v>602</v>
      </c>
      <c r="Y165">
        <v>19</v>
      </c>
      <c r="Z165">
        <v>0</v>
      </c>
      <c r="AA165" t="s">
        <v>78</v>
      </c>
      <c r="AB165">
        <v>0</v>
      </c>
      <c r="AC165" t="s">
        <v>78</v>
      </c>
      <c r="AD165">
        <v>0</v>
      </c>
      <c r="AE165">
        <v>10654647</v>
      </c>
      <c r="AF165" t="s">
        <v>79</v>
      </c>
      <c r="AG165" t="s">
        <v>260</v>
      </c>
    </row>
    <row r="166" spans="1:33" x14ac:dyDescent="0.35">
      <c r="A166" s="18">
        <v>44524.950694444444</v>
      </c>
      <c r="B166">
        <v>2076529</v>
      </c>
      <c r="C166" t="s">
        <v>549</v>
      </c>
      <c r="D166" t="s">
        <v>550</v>
      </c>
      <c r="E166" s="19">
        <v>42164</v>
      </c>
      <c r="F166" t="str">
        <f>"9781443879200"</f>
        <v>9781443879200</v>
      </c>
      <c r="G166" t="str">
        <f>"9781443874564"</f>
        <v>9781443874564</v>
      </c>
      <c r="H166" t="s">
        <v>551</v>
      </c>
      <c r="I166" t="s">
        <v>552</v>
      </c>
      <c r="J166" t="s">
        <v>553</v>
      </c>
      <c r="K166" t="s">
        <v>73</v>
      </c>
      <c r="N166" t="s">
        <v>74</v>
      </c>
      <c r="O166" t="s">
        <v>75</v>
      </c>
      <c r="P166" t="s">
        <v>74</v>
      </c>
      <c r="Q166" t="s">
        <v>76</v>
      </c>
      <c r="R166" t="s">
        <v>73</v>
      </c>
      <c r="S166">
        <v>0</v>
      </c>
      <c r="W166" s="20">
        <v>1.8518518518518518E-4</v>
      </c>
      <c r="X166" t="s">
        <v>603</v>
      </c>
      <c r="Y166">
        <v>3</v>
      </c>
      <c r="Z166">
        <v>0</v>
      </c>
      <c r="AA166" t="s">
        <v>78</v>
      </c>
      <c r="AB166">
        <v>0</v>
      </c>
      <c r="AC166" t="s">
        <v>78</v>
      </c>
      <c r="AD166">
        <v>0</v>
      </c>
      <c r="AE166">
        <v>11069011</v>
      </c>
      <c r="AF166" t="s">
        <v>79</v>
      </c>
      <c r="AG166" t="s">
        <v>260</v>
      </c>
    </row>
    <row r="167" spans="1:33" x14ac:dyDescent="0.35">
      <c r="A167" s="18">
        <v>44524.943055555559</v>
      </c>
      <c r="B167">
        <v>4406070</v>
      </c>
      <c r="C167" t="s">
        <v>604</v>
      </c>
      <c r="D167" t="s">
        <v>70</v>
      </c>
      <c r="E167" s="19">
        <v>42485</v>
      </c>
      <c r="F167" t="str">
        <f>"9783527693177"</f>
        <v>9783527693177</v>
      </c>
      <c r="G167" t="str">
        <f>"9783527331604"</f>
        <v>9783527331604</v>
      </c>
      <c r="H167" t="s">
        <v>159</v>
      </c>
      <c r="I167">
        <v>664.5</v>
      </c>
      <c r="J167" t="s">
        <v>605</v>
      </c>
      <c r="K167" t="s">
        <v>73</v>
      </c>
      <c r="N167" t="s">
        <v>74</v>
      </c>
      <c r="O167" t="s">
        <v>75</v>
      </c>
      <c r="P167" t="s">
        <v>74</v>
      </c>
      <c r="Q167" t="s">
        <v>76</v>
      </c>
      <c r="R167" t="s">
        <v>73</v>
      </c>
      <c r="S167">
        <v>0</v>
      </c>
      <c r="W167" s="20">
        <v>7.175925925925927E-4</v>
      </c>
      <c r="X167" t="s">
        <v>606</v>
      </c>
      <c r="Y167">
        <v>4</v>
      </c>
      <c r="Z167">
        <v>0</v>
      </c>
      <c r="AA167" t="s">
        <v>78</v>
      </c>
      <c r="AB167">
        <v>0</v>
      </c>
      <c r="AC167" t="s">
        <v>78</v>
      </c>
      <c r="AD167">
        <v>0</v>
      </c>
      <c r="AE167">
        <v>11156175</v>
      </c>
      <c r="AF167" t="s">
        <v>79</v>
      </c>
      <c r="AG167" t="s">
        <v>260</v>
      </c>
    </row>
    <row r="168" spans="1:33" x14ac:dyDescent="0.35">
      <c r="A168" s="18">
        <v>44524.938194444447</v>
      </c>
      <c r="B168">
        <v>882588</v>
      </c>
      <c r="C168" t="s">
        <v>555</v>
      </c>
      <c r="D168" t="s">
        <v>556</v>
      </c>
      <c r="E168" s="19">
        <v>40981</v>
      </c>
      <c r="F168" t="str">
        <f>"9781137001313"</f>
        <v>9781137001313</v>
      </c>
      <c r="G168" t="str">
        <f>"9780230220614"</f>
        <v>9780230220614</v>
      </c>
      <c r="H168" t="s">
        <v>557</v>
      </c>
      <c r="I168" t="s">
        <v>558</v>
      </c>
      <c r="J168" t="s">
        <v>559</v>
      </c>
      <c r="K168" t="s">
        <v>85</v>
      </c>
      <c r="P168" t="s">
        <v>297</v>
      </c>
      <c r="Q168" t="s">
        <v>76</v>
      </c>
      <c r="R168" t="s">
        <v>73</v>
      </c>
      <c r="S168">
        <v>0</v>
      </c>
      <c r="W168" s="20">
        <v>2.199074074074074E-4</v>
      </c>
      <c r="X168" t="s">
        <v>607</v>
      </c>
      <c r="Y168">
        <v>5</v>
      </c>
      <c r="Z168">
        <v>0</v>
      </c>
      <c r="AA168" t="s">
        <v>78</v>
      </c>
      <c r="AB168">
        <v>0</v>
      </c>
      <c r="AC168" t="s">
        <v>78</v>
      </c>
      <c r="AD168">
        <v>0</v>
      </c>
      <c r="AE168">
        <v>10546642</v>
      </c>
      <c r="AF168" t="s">
        <v>79</v>
      </c>
      <c r="AG168" t="s">
        <v>260</v>
      </c>
    </row>
    <row r="169" spans="1:33" x14ac:dyDescent="0.35">
      <c r="A169" s="18">
        <v>44524.897222222222</v>
      </c>
      <c r="B169">
        <v>4843915</v>
      </c>
      <c r="C169" t="s">
        <v>608</v>
      </c>
      <c r="D169" t="s">
        <v>609</v>
      </c>
      <c r="E169" s="19">
        <v>41913</v>
      </c>
      <c r="F169" t="str">
        <f>"9781601323606"</f>
        <v>9781601323606</v>
      </c>
      <c r="G169" t="str">
        <f>""</f>
        <v/>
      </c>
      <c r="H169" t="s">
        <v>110</v>
      </c>
      <c r="J169" t="s">
        <v>610</v>
      </c>
      <c r="K169" t="s">
        <v>73</v>
      </c>
      <c r="N169" t="s">
        <v>74</v>
      </c>
      <c r="O169" t="s">
        <v>75</v>
      </c>
      <c r="P169" t="s">
        <v>74</v>
      </c>
      <c r="Q169" t="s">
        <v>76</v>
      </c>
      <c r="R169" t="s">
        <v>73</v>
      </c>
      <c r="S169">
        <v>0</v>
      </c>
      <c r="W169" s="20">
        <v>1.4120370370370369E-3</v>
      </c>
      <c r="X169" t="s">
        <v>611</v>
      </c>
      <c r="Y169">
        <v>2</v>
      </c>
      <c r="Z169">
        <v>0</v>
      </c>
      <c r="AA169" t="s">
        <v>78</v>
      </c>
      <c r="AB169">
        <v>0</v>
      </c>
      <c r="AC169" t="s">
        <v>78</v>
      </c>
      <c r="AD169">
        <v>0</v>
      </c>
      <c r="AE169">
        <v>11376229</v>
      </c>
      <c r="AF169" t="s">
        <v>79</v>
      </c>
      <c r="AG169" t="s">
        <v>510</v>
      </c>
    </row>
    <row r="170" spans="1:33" x14ac:dyDescent="0.35">
      <c r="A170" s="18">
        <v>44524.877083333333</v>
      </c>
      <c r="B170">
        <v>4043907</v>
      </c>
      <c r="C170" t="s">
        <v>577</v>
      </c>
      <c r="D170" t="s">
        <v>70</v>
      </c>
      <c r="E170" s="19">
        <v>40168</v>
      </c>
      <c r="F170" t="str">
        <f>"9781444358988"</f>
        <v>9781444358988</v>
      </c>
      <c r="G170" t="str">
        <f>"9781405180931"</f>
        <v>9781405180931</v>
      </c>
      <c r="H170" t="s">
        <v>308</v>
      </c>
      <c r="I170">
        <v>297.08999999999997</v>
      </c>
      <c r="J170" t="s">
        <v>578</v>
      </c>
      <c r="K170" t="s">
        <v>73</v>
      </c>
      <c r="N170" t="s">
        <v>74</v>
      </c>
      <c r="O170" t="s">
        <v>75</v>
      </c>
      <c r="P170" t="s">
        <v>74</v>
      </c>
      <c r="Q170" t="s">
        <v>76</v>
      </c>
      <c r="R170" t="s">
        <v>73</v>
      </c>
      <c r="S170">
        <v>0</v>
      </c>
      <c r="W170" s="20">
        <v>3.0092592592592595E-4</v>
      </c>
      <c r="X170" t="s">
        <v>612</v>
      </c>
      <c r="Y170">
        <v>3</v>
      </c>
      <c r="Z170">
        <v>0</v>
      </c>
      <c r="AA170" t="s">
        <v>78</v>
      </c>
      <c r="AB170">
        <v>0</v>
      </c>
      <c r="AC170" t="s">
        <v>78</v>
      </c>
      <c r="AD170">
        <v>0</v>
      </c>
      <c r="AE170">
        <v>11115870</v>
      </c>
      <c r="AF170" t="s">
        <v>79</v>
      </c>
      <c r="AG170" t="s">
        <v>260</v>
      </c>
    </row>
    <row r="171" spans="1:33" x14ac:dyDescent="0.35">
      <c r="A171" s="18">
        <v>44524.865277777775</v>
      </c>
      <c r="B171">
        <v>2076529</v>
      </c>
      <c r="C171" t="s">
        <v>549</v>
      </c>
      <c r="D171" t="s">
        <v>550</v>
      </c>
      <c r="E171" s="19">
        <v>42164</v>
      </c>
      <c r="F171" t="str">
        <f>"9781443879200"</f>
        <v>9781443879200</v>
      </c>
      <c r="G171" t="str">
        <f>"9781443874564"</f>
        <v>9781443874564</v>
      </c>
      <c r="H171" t="s">
        <v>551</v>
      </c>
      <c r="I171" t="s">
        <v>552</v>
      </c>
      <c r="J171" t="s">
        <v>553</v>
      </c>
      <c r="K171" t="s">
        <v>73</v>
      </c>
      <c r="N171" t="s">
        <v>74</v>
      </c>
      <c r="O171" t="s">
        <v>75</v>
      </c>
      <c r="P171" t="s">
        <v>74</v>
      </c>
      <c r="Q171" t="s">
        <v>76</v>
      </c>
      <c r="R171" t="s">
        <v>73</v>
      </c>
      <c r="S171">
        <v>1</v>
      </c>
      <c r="W171" s="20">
        <v>1.329861111111111E-2</v>
      </c>
      <c r="X171" t="s">
        <v>613</v>
      </c>
      <c r="Y171">
        <v>8</v>
      </c>
      <c r="Z171">
        <v>0</v>
      </c>
      <c r="AA171" t="s">
        <v>78</v>
      </c>
      <c r="AB171">
        <v>0</v>
      </c>
      <c r="AC171" t="s">
        <v>78</v>
      </c>
      <c r="AD171">
        <v>0</v>
      </c>
      <c r="AE171">
        <v>11069011</v>
      </c>
      <c r="AF171" t="s">
        <v>88</v>
      </c>
      <c r="AG171" t="s">
        <v>187</v>
      </c>
    </row>
    <row r="172" spans="1:33" x14ac:dyDescent="0.35">
      <c r="A172" s="18">
        <v>44524.863194444442</v>
      </c>
      <c r="B172">
        <v>2076529</v>
      </c>
      <c r="C172" t="s">
        <v>549</v>
      </c>
      <c r="D172" t="s">
        <v>550</v>
      </c>
      <c r="E172" s="19">
        <v>42164</v>
      </c>
      <c r="F172" t="str">
        <f>"9781443879200"</f>
        <v>9781443879200</v>
      </c>
      <c r="G172" t="str">
        <f>"9781443874564"</f>
        <v>9781443874564</v>
      </c>
      <c r="H172" t="s">
        <v>551</v>
      </c>
      <c r="I172" t="s">
        <v>552</v>
      </c>
      <c r="J172" t="s">
        <v>553</v>
      </c>
      <c r="K172" t="s">
        <v>73</v>
      </c>
      <c r="N172" t="s">
        <v>74</v>
      </c>
      <c r="O172" t="s">
        <v>75</v>
      </c>
      <c r="P172" t="s">
        <v>74</v>
      </c>
      <c r="Q172" t="s">
        <v>76</v>
      </c>
      <c r="R172" t="s">
        <v>73</v>
      </c>
      <c r="S172">
        <v>0</v>
      </c>
      <c r="W172" s="20">
        <v>2.1990740740740742E-3</v>
      </c>
      <c r="X172" t="s">
        <v>614</v>
      </c>
      <c r="Y172">
        <v>7</v>
      </c>
      <c r="Z172">
        <v>1</v>
      </c>
      <c r="AA172" t="s">
        <v>615</v>
      </c>
      <c r="AB172">
        <v>4</v>
      </c>
      <c r="AC172" t="s">
        <v>78</v>
      </c>
      <c r="AD172">
        <v>0</v>
      </c>
      <c r="AE172">
        <v>11069011</v>
      </c>
      <c r="AF172" t="s">
        <v>88</v>
      </c>
      <c r="AG172" t="s">
        <v>187</v>
      </c>
    </row>
    <row r="173" spans="1:33" x14ac:dyDescent="0.35">
      <c r="A173" s="18">
        <v>44524.82708333333</v>
      </c>
      <c r="B173">
        <v>201810</v>
      </c>
      <c r="C173" t="s">
        <v>537</v>
      </c>
      <c r="D173" t="s">
        <v>538</v>
      </c>
      <c r="E173" s="19">
        <v>37210</v>
      </c>
      <c r="F173" t="str">
        <f>"9780511155277"</f>
        <v>9780511155277</v>
      </c>
      <c r="G173" t="str">
        <f>"9780521793438"</f>
        <v>9780521793438</v>
      </c>
      <c r="H173" t="s">
        <v>528</v>
      </c>
      <c r="I173">
        <v>181.07</v>
      </c>
      <c r="J173" t="s">
        <v>539</v>
      </c>
      <c r="K173" t="s">
        <v>73</v>
      </c>
      <c r="N173" t="s">
        <v>74</v>
      </c>
      <c r="O173" t="s">
        <v>75</v>
      </c>
      <c r="P173" t="s">
        <v>74</v>
      </c>
      <c r="Q173" t="s">
        <v>76</v>
      </c>
      <c r="R173" t="s">
        <v>73</v>
      </c>
      <c r="S173">
        <v>0</v>
      </c>
      <c r="W173" s="20">
        <v>0</v>
      </c>
      <c r="X173" t="s">
        <v>78</v>
      </c>
      <c r="Y173">
        <v>0</v>
      </c>
      <c r="Z173">
        <v>0</v>
      </c>
      <c r="AA173" t="s">
        <v>78</v>
      </c>
      <c r="AB173">
        <v>0</v>
      </c>
      <c r="AC173" t="s">
        <v>78</v>
      </c>
      <c r="AD173">
        <v>0</v>
      </c>
      <c r="AE173">
        <v>10064625</v>
      </c>
      <c r="AF173" t="s">
        <v>79</v>
      </c>
      <c r="AG173" t="s">
        <v>242</v>
      </c>
    </row>
    <row r="174" spans="1:33" x14ac:dyDescent="0.35">
      <c r="A174" s="18">
        <v>44524.727083333331</v>
      </c>
      <c r="B174">
        <v>4043907</v>
      </c>
      <c r="C174" t="s">
        <v>577</v>
      </c>
      <c r="D174" t="s">
        <v>70</v>
      </c>
      <c r="E174" s="19">
        <v>40168</v>
      </c>
      <c r="F174" t="str">
        <f>"9781444358988"</f>
        <v>9781444358988</v>
      </c>
      <c r="G174" t="str">
        <f>"9781405180931"</f>
        <v>9781405180931</v>
      </c>
      <c r="H174" t="s">
        <v>308</v>
      </c>
      <c r="I174">
        <v>297.08999999999997</v>
      </c>
      <c r="J174" t="s">
        <v>578</v>
      </c>
      <c r="K174" t="s">
        <v>73</v>
      </c>
      <c r="N174" t="s">
        <v>74</v>
      </c>
      <c r="O174" t="s">
        <v>75</v>
      </c>
      <c r="P174" t="s">
        <v>74</v>
      </c>
      <c r="Q174" t="s">
        <v>76</v>
      </c>
      <c r="R174" t="s">
        <v>73</v>
      </c>
      <c r="S174">
        <v>0</v>
      </c>
      <c r="W174" s="20">
        <v>4.6296296296296294E-5</v>
      </c>
      <c r="X174" t="s">
        <v>132</v>
      </c>
      <c r="Y174">
        <v>1</v>
      </c>
      <c r="Z174">
        <v>0</v>
      </c>
      <c r="AA174" t="s">
        <v>78</v>
      </c>
      <c r="AB174">
        <v>0</v>
      </c>
      <c r="AC174" t="s">
        <v>78</v>
      </c>
      <c r="AD174">
        <v>0</v>
      </c>
      <c r="AE174">
        <v>11115870</v>
      </c>
      <c r="AF174" t="s">
        <v>79</v>
      </c>
      <c r="AG174" t="s">
        <v>260</v>
      </c>
    </row>
    <row r="175" spans="1:33" x14ac:dyDescent="0.35">
      <c r="A175" s="18">
        <v>44524.702777777777</v>
      </c>
      <c r="B175">
        <v>667902</v>
      </c>
      <c r="C175" t="s">
        <v>587</v>
      </c>
      <c r="D175" t="s">
        <v>127</v>
      </c>
      <c r="E175" s="19">
        <v>40555</v>
      </c>
      <c r="F175" t="str">
        <f>"9780203835258"</f>
        <v>9780203835258</v>
      </c>
      <c r="G175" t="str">
        <f>"9780415559270"</f>
        <v>9780415559270</v>
      </c>
      <c r="H175" t="s">
        <v>528</v>
      </c>
      <c r="I175">
        <v>110</v>
      </c>
      <c r="J175" t="s">
        <v>588</v>
      </c>
      <c r="K175" t="s">
        <v>73</v>
      </c>
      <c r="N175" t="s">
        <v>74</v>
      </c>
      <c r="O175" t="s">
        <v>75</v>
      </c>
      <c r="P175" t="s">
        <v>74</v>
      </c>
      <c r="Q175" t="s">
        <v>76</v>
      </c>
      <c r="R175" t="s">
        <v>73</v>
      </c>
      <c r="S175">
        <v>0</v>
      </c>
      <c r="W175" s="20">
        <v>1.2847222222222223E-3</v>
      </c>
      <c r="X175" t="s">
        <v>616</v>
      </c>
      <c r="Y175">
        <v>7</v>
      </c>
      <c r="Z175">
        <v>0</v>
      </c>
      <c r="AA175" t="s">
        <v>78</v>
      </c>
      <c r="AB175">
        <v>0</v>
      </c>
      <c r="AC175" t="s">
        <v>78</v>
      </c>
      <c r="AD175">
        <v>0</v>
      </c>
      <c r="AE175">
        <v>10442732</v>
      </c>
      <c r="AF175" t="s">
        <v>79</v>
      </c>
      <c r="AG175" t="s">
        <v>242</v>
      </c>
    </row>
    <row r="176" spans="1:33" x14ac:dyDescent="0.35">
      <c r="A176" s="18">
        <v>44524.698611111111</v>
      </c>
      <c r="B176">
        <v>827026</v>
      </c>
      <c r="C176" t="s">
        <v>456</v>
      </c>
      <c r="D176" t="s">
        <v>127</v>
      </c>
      <c r="E176" s="19">
        <v>40898</v>
      </c>
      <c r="F176" t="str">
        <f>"9781439846742"</f>
        <v>9781439846742</v>
      </c>
      <c r="G176" t="str">
        <f>"9781439846735"</f>
        <v>9781439846735</v>
      </c>
      <c r="H176" t="s">
        <v>457</v>
      </c>
      <c r="I176">
        <v>664.07</v>
      </c>
      <c r="J176" t="s">
        <v>458</v>
      </c>
      <c r="K176" t="s">
        <v>73</v>
      </c>
      <c r="N176" t="s">
        <v>74</v>
      </c>
      <c r="O176" t="s">
        <v>75</v>
      </c>
      <c r="P176" t="s">
        <v>74</v>
      </c>
      <c r="Q176" t="s">
        <v>76</v>
      </c>
      <c r="R176" t="s">
        <v>73</v>
      </c>
      <c r="S176">
        <v>0</v>
      </c>
      <c r="W176" s="20">
        <v>1.0416666666666667E-4</v>
      </c>
      <c r="X176" t="s">
        <v>132</v>
      </c>
      <c r="Y176">
        <v>1</v>
      </c>
      <c r="Z176">
        <v>0</v>
      </c>
      <c r="AA176" t="s">
        <v>78</v>
      </c>
      <c r="AB176">
        <v>0</v>
      </c>
      <c r="AC176" t="s">
        <v>78</v>
      </c>
      <c r="AD176">
        <v>0</v>
      </c>
      <c r="AE176">
        <v>10521203</v>
      </c>
      <c r="AF176" t="s">
        <v>79</v>
      </c>
      <c r="AG176" t="s">
        <v>260</v>
      </c>
    </row>
    <row r="177" spans="1:33" x14ac:dyDescent="0.35">
      <c r="A177" s="18">
        <v>44524.65</v>
      </c>
      <c r="B177">
        <v>667902</v>
      </c>
      <c r="C177" t="s">
        <v>587</v>
      </c>
      <c r="D177" t="s">
        <v>127</v>
      </c>
      <c r="E177" s="19">
        <v>40555</v>
      </c>
      <c r="F177" t="str">
        <f>"9780203835258"</f>
        <v>9780203835258</v>
      </c>
      <c r="G177" t="str">
        <f>"9780415559270"</f>
        <v>9780415559270</v>
      </c>
      <c r="H177" t="s">
        <v>528</v>
      </c>
      <c r="I177">
        <v>110</v>
      </c>
      <c r="J177" t="s">
        <v>588</v>
      </c>
      <c r="K177" t="s">
        <v>73</v>
      </c>
      <c r="N177" t="s">
        <v>74</v>
      </c>
      <c r="O177" t="s">
        <v>75</v>
      </c>
      <c r="P177" t="s">
        <v>74</v>
      </c>
      <c r="Q177" t="s">
        <v>76</v>
      </c>
      <c r="R177" t="s">
        <v>73</v>
      </c>
      <c r="S177">
        <v>0</v>
      </c>
      <c r="W177" s="20">
        <v>1.1875000000000002E-2</v>
      </c>
      <c r="X177" t="s">
        <v>617</v>
      </c>
      <c r="Y177">
        <v>19</v>
      </c>
      <c r="Z177">
        <v>0</v>
      </c>
      <c r="AA177" t="s">
        <v>78</v>
      </c>
      <c r="AB177">
        <v>0</v>
      </c>
      <c r="AC177" t="s">
        <v>78</v>
      </c>
      <c r="AD177">
        <v>0</v>
      </c>
      <c r="AE177">
        <v>10442732</v>
      </c>
      <c r="AF177" t="s">
        <v>79</v>
      </c>
      <c r="AG177" t="s">
        <v>242</v>
      </c>
    </row>
    <row r="178" spans="1:33" x14ac:dyDescent="0.35">
      <c r="A178" s="18">
        <v>44524.628472222219</v>
      </c>
      <c r="B178">
        <v>425578</v>
      </c>
      <c r="C178" t="s">
        <v>527</v>
      </c>
      <c r="D178" t="s">
        <v>127</v>
      </c>
      <c r="E178" s="19">
        <v>39973</v>
      </c>
      <c r="F178" t="str">
        <f>"9780203879542"</f>
        <v>9780203879542</v>
      </c>
      <c r="G178" t="str">
        <f>"9780415490733"</f>
        <v>9780415490733</v>
      </c>
      <c r="H178" t="s">
        <v>528</v>
      </c>
      <c r="I178" t="s">
        <v>529</v>
      </c>
      <c r="J178" t="s">
        <v>530</v>
      </c>
      <c r="K178" t="s">
        <v>73</v>
      </c>
      <c r="N178" t="s">
        <v>74</v>
      </c>
      <c r="O178" t="s">
        <v>75</v>
      </c>
      <c r="P178" t="s">
        <v>74</v>
      </c>
      <c r="Q178" t="s">
        <v>76</v>
      </c>
      <c r="R178" t="s">
        <v>73</v>
      </c>
      <c r="S178">
        <v>0</v>
      </c>
      <c r="W178" s="20">
        <v>1.7465277777777777E-2</v>
      </c>
      <c r="X178" t="s">
        <v>618</v>
      </c>
      <c r="Y178">
        <v>20</v>
      </c>
      <c r="Z178">
        <v>0</v>
      </c>
      <c r="AA178" t="s">
        <v>78</v>
      </c>
      <c r="AB178">
        <v>0</v>
      </c>
      <c r="AC178" t="s">
        <v>78</v>
      </c>
      <c r="AD178">
        <v>0</v>
      </c>
      <c r="AE178">
        <v>10714796</v>
      </c>
      <c r="AF178" t="s">
        <v>79</v>
      </c>
      <c r="AG178" t="s">
        <v>242</v>
      </c>
    </row>
    <row r="179" spans="1:33" x14ac:dyDescent="0.35">
      <c r="A179" s="18">
        <v>44524.628472222219</v>
      </c>
      <c r="B179">
        <v>201810</v>
      </c>
      <c r="C179" t="s">
        <v>537</v>
      </c>
      <c r="D179" t="s">
        <v>538</v>
      </c>
      <c r="E179" s="19">
        <v>37210</v>
      </c>
      <c r="F179" t="str">
        <f>"9780511155277"</f>
        <v>9780511155277</v>
      </c>
      <c r="G179" t="str">
        <f>"9780521793438"</f>
        <v>9780521793438</v>
      </c>
      <c r="H179" t="s">
        <v>528</v>
      </c>
      <c r="I179">
        <v>181.07</v>
      </c>
      <c r="J179" t="s">
        <v>539</v>
      </c>
      <c r="K179" t="s">
        <v>73</v>
      </c>
      <c r="N179" t="s">
        <v>74</v>
      </c>
      <c r="O179" t="s">
        <v>75</v>
      </c>
      <c r="P179" t="s">
        <v>74</v>
      </c>
      <c r="Q179" t="s">
        <v>76</v>
      </c>
      <c r="R179" t="s">
        <v>73</v>
      </c>
      <c r="S179">
        <v>0</v>
      </c>
      <c r="W179" s="20">
        <v>2.8819444444444444E-3</v>
      </c>
      <c r="X179" t="s">
        <v>619</v>
      </c>
      <c r="Y179">
        <v>9</v>
      </c>
      <c r="Z179">
        <v>0</v>
      </c>
      <c r="AA179" t="s">
        <v>78</v>
      </c>
      <c r="AB179">
        <v>0</v>
      </c>
      <c r="AC179" t="s">
        <v>78</v>
      </c>
      <c r="AD179">
        <v>0</v>
      </c>
      <c r="AE179">
        <v>10064625</v>
      </c>
      <c r="AF179" t="s">
        <v>79</v>
      </c>
      <c r="AG179" t="s">
        <v>242</v>
      </c>
    </row>
    <row r="180" spans="1:33" x14ac:dyDescent="0.35">
      <c r="A180" s="18">
        <v>44524.493750000001</v>
      </c>
      <c r="B180">
        <v>957676</v>
      </c>
      <c r="C180" t="s">
        <v>620</v>
      </c>
      <c r="D180" t="s">
        <v>127</v>
      </c>
      <c r="E180" s="19">
        <v>40575</v>
      </c>
      <c r="F180" t="str">
        <f>"9780203832721"</f>
        <v>9780203832721</v>
      </c>
      <c r="G180" t="str">
        <f>"9780415778480"</f>
        <v>9780415778480</v>
      </c>
      <c r="H180" t="s">
        <v>621</v>
      </c>
      <c r="I180">
        <v>362.1</v>
      </c>
      <c r="J180" t="s">
        <v>622</v>
      </c>
      <c r="K180" t="s">
        <v>73</v>
      </c>
      <c r="N180" t="s">
        <v>74</v>
      </c>
      <c r="O180" t="s">
        <v>75</v>
      </c>
      <c r="P180" t="s">
        <v>74</v>
      </c>
      <c r="Q180" t="s">
        <v>76</v>
      </c>
      <c r="R180" t="s">
        <v>73</v>
      </c>
      <c r="S180">
        <v>0</v>
      </c>
      <c r="W180" s="20">
        <v>0</v>
      </c>
      <c r="X180" t="s">
        <v>78</v>
      </c>
      <c r="Y180">
        <v>0</v>
      </c>
      <c r="Z180">
        <v>2</v>
      </c>
      <c r="AA180" t="s">
        <v>623</v>
      </c>
      <c r="AB180">
        <v>104</v>
      </c>
      <c r="AC180" t="s">
        <v>78</v>
      </c>
      <c r="AD180">
        <v>0</v>
      </c>
      <c r="AE180">
        <v>10452305</v>
      </c>
      <c r="AF180" t="s">
        <v>79</v>
      </c>
      <c r="AG180" t="s">
        <v>382</v>
      </c>
    </row>
    <row r="181" spans="1:33" x14ac:dyDescent="0.35">
      <c r="A181" s="18">
        <v>44524.058333333334</v>
      </c>
      <c r="B181">
        <v>425578</v>
      </c>
      <c r="C181" t="s">
        <v>527</v>
      </c>
      <c r="D181" t="s">
        <v>127</v>
      </c>
      <c r="E181" s="19">
        <v>39973</v>
      </c>
      <c r="F181" t="str">
        <f>"9780203879542"</f>
        <v>9780203879542</v>
      </c>
      <c r="G181" t="str">
        <f>"9780415490733"</f>
        <v>9780415490733</v>
      </c>
      <c r="H181" t="s">
        <v>528</v>
      </c>
      <c r="I181" t="s">
        <v>529</v>
      </c>
      <c r="J181" t="s">
        <v>530</v>
      </c>
      <c r="K181" t="s">
        <v>73</v>
      </c>
      <c r="N181" t="s">
        <v>74</v>
      </c>
      <c r="O181" t="s">
        <v>75</v>
      </c>
      <c r="P181" t="s">
        <v>74</v>
      </c>
      <c r="Q181" t="s">
        <v>76</v>
      </c>
      <c r="R181" t="s">
        <v>73</v>
      </c>
      <c r="S181">
        <v>0</v>
      </c>
      <c r="W181" s="20">
        <v>9.3402777777777772E-3</v>
      </c>
      <c r="X181" t="s">
        <v>624</v>
      </c>
      <c r="Y181">
        <v>12</v>
      </c>
      <c r="Z181">
        <v>0</v>
      </c>
      <c r="AA181" t="s">
        <v>78</v>
      </c>
      <c r="AB181">
        <v>0</v>
      </c>
      <c r="AC181" t="s">
        <v>78</v>
      </c>
      <c r="AD181">
        <v>0</v>
      </c>
      <c r="AE181">
        <v>10714796</v>
      </c>
      <c r="AF181" t="s">
        <v>79</v>
      </c>
      <c r="AG181" t="s">
        <v>242</v>
      </c>
    </row>
    <row r="182" spans="1:33" x14ac:dyDescent="0.35">
      <c r="A182" s="18">
        <v>44524.048611111109</v>
      </c>
      <c r="B182">
        <v>698010</v>
      </c>
      <c r="C182" t="s">
        <v>423</v>
      </c>
      <c r="D182" t="s">
        <v>70</v>
      </c>
      <c r="E182" s="19">
        <v>40770</v>
      </c>
      <c r="F182" t="str">
        <f>"9781119991274"</f>
        <v>9781119991274</v>
      </c>
      <c r="G182" t="str">
        <f>"9780470978047"</f>
        <v>9780470978047</v>
      </c>
      <c r="H182" t="s">
        <v>424</v>
      </c>
      <c r="I182">
        <v>332.10917669999998</v>
      </c>
      <c r="J182" t="s">
        <v>425</v>
      </c>
      <c r="K182" t="s">
        <v>73</v>
      </c>
      <c r="N182" t="s">
        <v>74</v>
      </c>
      <c r="O182" t="s">
        <v>75</v>
      </c>
      <c r="P182" t="s">
        <v>74</v>
      </c>
      <c r="Q182" t="s">
        <v>76</v>
      </c>
      <c r="R182" t="s">
        <v>73</v>
      </c>
      <c r="S182">
        <v>0</v>
      </c>
      <c r="W182" s="20">
        <v>1.1655092592592594E-2</v>
      </c>
      <c r="X182" t="s">
        <v>625</v>
      </c>
      <c r="Y182">
        <v>2</v>
      </c>
      <c r="Z182">
        <v>1</v>
      </c>
      <c r="AA182" t="s">
        <v>626</v>
      </c>
      <c r="AB182">
        <v>12</v>
      </c>
      <c r="AC182" t="s">
        <v>78</v>
      </c>
      <c r="AD182">
        <v>0</v>
      </c>
      <c r="AE182">
        <v>10484708</v>
      </c>
      <c r="AF182" t="s">
        <v>79</v>
      </c>
      <c r="AG182" t="s">
        <v>260</v>
      </c>
    </row>
    <row r="183" spans="1:33" x14ac:dyDescent="0.35">
      <c r="A183" s="18">
        <v>44524.04791666667</v>
      </c>
      <c r="B183">
        <v>201810</v>
      </c>
      <c r="C183" t="s">
        <v>537</v>
      </c>
      <c r="D183" t="s">
        <v>538</v>
      </c>
      <c r="E183" s="19">
        <v>37210</v>
      </c>
      <c r="F183" t="str">
        <f>"9780511155277"</f>
        <v>9780511155277</v>
      </c>
      <c r="G183" t="str">
        <f>"9780521793438"</f>
        <v>9780521793438</v>
      </c>
      <c r="H183" t="s">
        <v>528</v>
      </c>
      <c r="I183">
        <v>181.07</v>
      </c>
      <c r="J183" t="s">
        <v>539</v>
      </c>
      <c r="K183" t="s">
        <v>73</v>
      </c>
      <c r="N183" t="s">
        <v>74</v>
      </c>
      <c r="O183" t="s">
        <v>75</v>
      </c>
      <c r="P183" t="s">
        <v>74</v>
      </c>
      <c r="Q183" t="s">
        <v>76</v>
      </c>
      <c r="R183" t="s">
        <v>73</v>
      </c>
      <c r="S183">
        <v>0</v>
      </c>
      <c r="W183" s="20">
        <v>6.5856481481481469E-3</v>
      </c>
      <c r="X183" t="s">
        <v>627</v>
      </c>
      <c r="Y183">
        <v>6</v>
      </c>
      <c r="Z183">
        <v>0</v>
      </c>
      <c r="AA183" t="s">
        <v>78</v>
      </c>
      <c r="AB183">
        <v>0</v>
      </c>
      <c r="AC183" t="s">
        <v>78</v>
      </c>
      <c r="AD183">
        <v>0</v>
      </c>
      <c r="AE183">
        <v>10064625</v>
      </c>
      <c r="AF183" t="s">
        <v>79</v>
      </c>
      <c r="AG183" t="s">
        <v>242</v>
      </c>
    </row>
    <row r="184" spans="1:33" x14ac:dyDescent="0.35">
      <c r="A184" s="18">
        <v>44523.964583333334</v>
      </c>
      <c r="B184">
        <v>3018790</v>
      </c>
      <c r="C184" t="s">
        <v>628</v>
      </c>
      <c r="D184" t="s">
        <v>226</v>
      </c>
      <c r="E184" s="19">
        <v>40087</v>
      </c>
      <c r="F184" t="str">
        <f>"9781608769209"</f>
        <v>9781608769209</v>
      </c>
      <c r="G184" t="str">
        <f>"9781607410690"</f>
        <v>9781607410690</v>
      </c>
      <c r="H184" t="s">
        <v>217</v>
      </c>
      <c r="I184" t="s">
        <v>629</v>
      </c>
      <c r="J184" t="s">
        <v>630</v>
      </c>
      <c r="K184" t="s">
        <v>73</v>
      </c>
      <c r="N184" t="s">
        <v>74</v>
      </c>
      <c r="O184" t="s">
        <v>75</v>
      </c>
      <c r="P184" t="s">
        <v>74</v>
      </c>
      <c r="Q184" t="s">
        <v>76</v>
      </c>
      <c r="R184" t="s">
        <v>73</v>
      </c>
      <c r="S184">
        <v>0</v>
      </c>
      <c r="W184" s="20">
        <v>0</v>
      </c>
      <c r="X184" t="s">
        <v>78</v>
      </c>
      <c r="Y184">
        <v>0</v>
      </c>
      <c r="Z184">
        <v>1</v>
      </c>
      <c r="AA184" t="s">
        <v>631</v>
      </c>
      <c r="AB184">
        <v>4</v>
      </c>
      <c r="AC184" t="s">
        <v>78</v>
      </c>
      <c r="AD184">
        <v>0</v>
      </c>
      <c r="AE184">
        <v>10661728</v>
      </c>
      <c r="AF184" t="s">
        <v>79</v>
      </c>
      <c r="AG184" t="s">
        <v>260</v>
      </c>
    </row>
    <row r="185" spans="1:33" x14ac:dyDescent="0.35">
      <c r="A185" s="18">
        <v>44523.865972222222</v>
      </c>
      <c r="B185">
        <v>882588</v>
      </c>
      <c r="C185" t="s">
        <v>555</v>
      </c>
      <c r="D185" t="s">
        <v>556</v>
      </c>
      <c r="E185" s="19">
        <v>40981</v>
      </c>
      <c r="F185" t="str">
        <f>"9781137001313"</f>
        <v>9781137001313</v>
      </c>
      <c r="G185" t="str">
        <f>"9780230220614"</f>
        <v>9780230220614</v>
      </c>
      <c r="H185" t="s">
        <v>557</v>
      </c>
      <c r="I185" t="s">
        <v>558</v>
      </c>
      <c r="J185" t="s">
        <v>559</v>
      </c>
      <c r="K185" t="s">
        <v>85</v>
      </c>
      <c r="P185" t="s">
        <v>297</v>
      </c>
      <c r="Q185" t="s">
        <v>76</v>
      </c>
      <c r="R185" t="s">
        <v>73</v>
      </c>
      <c r="S185">
        <v>0</v>
      </c>
      <c r="W185" s="20">
        <v>3.8773148148148143E-3</v>
      </c>
      <c r="X185" t="s">
        <v>632</v>
      </c>
      <c r="Y185">
        <v>24</v>
      </c>
      <c r="Z185">
        <v>0</v>
      </c>
      <c r="AA185" t="s">
        <v>78</v>
      </c>
      <c r="AB185">
        <v>0</v>
      </c>
      <c r="AC185" t="s">
        <v>78</v>
      </c>
      <c r="AD185">
        <v>0</v>
      </c>
      <c r="AE185">
        <v>10546642</v>
      </c>
      <c r="AF185" t="s">
        <v>79</v>
      </c>
      <c r="AG185" t="s">
        <v>260</v>
      </c>
    </row>
    <row r="186" spans="1:33" x14ac:dyDescent="0.35">
      <c r="A186" s="18">
        <v>44523.865277777775</v>
      </c>
      <c r="B186">
        <v>456669</v>
      </c>
      <c r="C186" t="s">
        <v>250</v>
      </c>
      <c r="D186" t="s">
        <v>127</v>
      </c>
      <c r="E186" s="19">
        <v>40108</v>
      </c>
      <c r="F186" t="str">
        <f>"9780203869833"</f>
        <v>9780203869833</v>
      </c>
      <c r="G186" t="str">
        <f>"9780415547376"</f>
        <v>9780415547376</v>
      </c>
      <c r="H186" t="s">
        <v>251</v>
      </c>
      <c r="I186">
        <v>341</v>
      </c>
      <c r="J186" t="s">
        <v>252</v>
      </c>
      <c r="K186" t="s">
        <v>73</v>
      </c>
      <c r="N186" t="s">
        <v>74</v>
      </c>
      <c r="O186" t="s">
        <v>75</v>
      </c>
      <c r="P186" t="s">
        <v>74</v>
      </c>
      <c r="Q186" t="s">
        <v>76</v>
      </c>
      <c r="R186" t="s">
        <v>73</v>
      </c>
      <c r="S186">
        <v>0</v>
      </c>
      <c r="W186" s="20">
        <v>6.6319444444444446E-3</v>
      </c>
      <c r="X186" t="s">
        <v>633</v>
      </c>
      <c r="Y186">
        <v>21</v>
      </c>
      <c r="Z186">
        <v>0</v>
      </c>
      <c r="AA186" t="s">
        <v>78</v>
      </c>
      <c r="AB186">
        <v>0</v>
      </c>
      <c r="AC186" t="s">
        <v>78</v>
      </c>
      <c r="AD186">
        <v>0</v>
      </c>
      <c r="AE186">
        <v>10341955</v>
      </c>
      <c r="AF186" t="s">
        <v>79</v>
      </c>
      <c r="AG186" t="s">
        <v>253</v>
      </c>
    </row>
    <row r="187" spans="1:33" x14ac:dyDescent="0.35">
      <c r="A187" s="18">
        <v>44523.646527777775</v>
      </c>
      <c r="B187">
        <v>4353535</v>
      </c>
      <c r="C187" t="s">
        <v>634</v>
      </c>
      <c r="D187" t="s">
        <v>635</v>
      </c>
      <c r="E187" s="19">
        <v>33526</v>
      </c>
      <c r="F187" t="str">
        <f>"9781504033831"</f>
        <v>9781504033831</v>
      </c>
      <c r="G187" t="str">
        <f>""</f>
        <v/>
      </c>
      <c r="H187" t="s">
        <v>636</v>
      </c>
      <c r="I187" t="s">
        <v>637</v>
      </c>
      <c r="J187" t="s">
        <v>638</v>
      </c>
      <c r="K187" t="s">
        <v>73</v>
      </c>
      <c r="N187" t="s">
        <v>74</v>
      </c>
      <c r="O187" t="s">
        <v>75</v>
      </c>
      <c r="P187" t="s">
        <v>74</v>
      </c>
      <c r="Q187" t="s">
        <v>76</v>
      </c>
      <c r="R187" t="s">
        <v>73</v>
      </c>
      <c r="S187">
        <v>0</v>
      </c>
      <c r="W187" s="20">
        <v>0</v>
      </c>
      <c r="X187" t="s">
        <v>78</v>
      </c>
      <c r="Y187">
        <v>0</v>
      </c>
      <c r="Z187">
        <v>1</v>
      </c>
      <c r="AA187" t="s">
        <v>639</v>
      </c>
      <c r="AB187">
        <v>3</v>
      </c>
      <c r="AC187" t="s">
        <v>78</v>
      </c>
      <c r="AD187">
        <v>0</v>
      </c>
      <c r="AE187">
        <v>11150393</v>
      </c>
      <c r="AF187" t="s">
        <v>79</v>
      </c>
      <c r="AG187" t="s">
        <v>260</v>
      </c>
    </row>
    <row r="188" spans="1:33" x14ac:dyDescent="0.35">
      <c r="A188" s="18">
        <v>44523.55972222222</v>
      </c>
      <c r="B188">
        <v>1073518</v>
      </c>
      <c r="C188" t="s">
        <v>640</v>
      </c>
      <c r="D188" t="s">
        <v>102</v>
      </c>
      <c r="E188" s="19">
        <v>40266</v>
      </c>
      <c r="F188" t="str">
        <f>"9780199700349"</f>
        <v>9780199700349</v>
      </c>
      <c r="G188" t="str">
        <f>"9780195382112"</f>
        <v>9780195382112</v>
      </c>
      <c r="H188" t="s">
        <v>222</v>
      </c>
      <c r="I188" t="s">
        <v>641</v>
      </c>
      <c r="J188" t="s">
        <v>642</v>
      </c>
      <c r="K188" t="s">
        <v>73</v>
      </c>
      <c r="N188" t="s">
        <v>74</v>
      </c>
      <c r="O188" t="s">
        <v>75</v>
      </c>
      <c r="P188" t="s">
        <v>74</v>
      </c>
      <c r="Q188" t="s">
        <v>76</v>
      </c>
      <c r="R188" t="s">
        <v>73</v>
      </c>
      <c r="S188">
        <v>0</v>
      </c>
      <c r="W188" s="20">
        <v>1.5046296296296297E-4</v>
      </c>
      <c r="X188" t="s">
        <v>643</v>
      </c>
      <c r="Y188">
        <v>3</v>
      </c>
      <c r="Z188">
        <v>0</v>
      </c>
      <c r="AA188" t="s">
        <v>78</v>
      </c>
      <c r="AB188">
        <v>0</v>
      </c>
      <c r="AC188" t="s">
        <v>78</v>
      </c>
      <c r="AD188">
        <v>0</v>
      </c>
      <c r="AE188">
        <v>10614399</v>
      </c>
      <c r="AF188" t="s">
        <v>79</v>
      </c>
      <c r="AG188" t="s">
        <v>242</v>
      </c>
    </row>
    <row r="189" spans="1:33" x14ac:dyDescent="0.35">
      <c r="A189" s="18">
        <v>44523.54791666667</v>
      </c>
      <c r="B189">
        <v>3339444</v>
      </c>
      <c r="C189" t="s">
        <v>644</v>
      </c>
      <c r="D189" t="s">
        <v>300</v>
      </c>
      <c r="E189" s="19">
        <v>40410</v>
      </c>
      <c r="F189" t="str">
        <f>"9780262289122"</f>
        <v>9780262289122</v>
      </c>
      <c r="G189" t="str">
        <f>"9780262014625"</f>
        <v>9780262014625</v>
      </c>
      <c r="H189" t="s">
        <v>645</v>
      </c>
      <c r="I189" t="s">
        <v>646</v>
      </c>
      <c r="J189" t="s">
        <v>647</v>
      </c>
      <c r="K189" t="s">
        <v>73</v>
      </c>
      <c r="N189" t="s">
        <v>74</v>
      </c>
      <c r="O189" t="s">
        <v>75</v>
      </c>
      <c r="P189" t="s">
        <v>74</v>
      </c>
      <c r="Q189" t="s">
        <v>76</v>
      </c>
      <c r="R189" t="s">
        <v>73</v>
      </c>
      <c r="S189">
        <v>0</v>
      </c>
      <c r="W189" s="20">
        <v>8.449074074074075E-4</v>
      </c>
      <c r="X189" t="s">
        <v>648</v>
      </c>
      <c r="Y189">
        <v>11</v>
      </c>
      <c r="Z189">
        <v>0</v>
      </c>
      <c r="AA189" t="s">
        <v>78</v>
      </c>
      <c r="AB189">
        <v>0</v>
      </c>
      <c r="AC189" t="s">
        <v>78</v>
      </c>
      <c r="AD189">
        <v>0</v>
      </c>
      <c r="AE189">
        <v>10562042</v>
      </c>
      <c r="AF189" t="s">
        <v>79</v>
      </c>
      <c r="AG189" t="s">
        <v>260</v>
      </c>
    </row>
    <row r="190" spans="1:33" x14ac:dyDescent="0.35">
      <c r="A190" s="18">
        <v>44523.490277777775</v>
      </c>
      <c r="B190">
        <v>739037</v>
      </c>
      <c r="C190" t="s">
        <v>649</v>
      </c>
      <c r="D190" t="s">
        <v>158</v>
      </c>
      <c r="E190" s="19">
        <v>40788</v>
      </c>
      <c r="F190" t="str">
        <f>"9780123850829"</f>
        <v>9780123850829</v>
      </c>
      <c r="G190" t="str">
        <f>"9780123850812"</f>
        <v>9780123850812</v>
      </c>
      <c r="H190" t="s">
        <v>115</v>
      </c>
      <c r="I190">
        <v>518.02855299999999</v>
      </c>
      <c r="J190" t="s">
        <v>650</v>
      </c>
      <c r="K190" t="s">
        <v>73</v>
      </c>
      <c r="N190" t="s">
        <v>74</v>
      </c>
      <c r="O190" t="s">
        <v>75</v>
      </c>
      <c r="P190" t="s">
        <v>74</v>
      </c>
      <c r="Q190" t="s">
        <v>76</v>
      </c>
      <c r="R190" t="s">
        <v>73</v>
      </c>
      <c r="S190">
        <v>0</v>
      </c>
      <c r="W190" s="20">
        <v>5.6365740740740742E-3</v>
      </c>
      <c r="X190" t="s">
        <v>651</v>
      </c>
      <c r="Y190">
        <v>12</v>
      </c>
      <c r="Z190">
        <v>0</v>
      </c>
      <c r="AA190" t="s">
        <v>78</v>
      </c>
      <c r="AB190">
        <v>0</v>
      </c>
      <c r="AC190" t="s">
        <v>78</v>
      </c>
      <c r="AD190">
        <v>0</v>
      </c>
      <c r="AE190">
        <v>10483436</v>
      </c>
      <c r="AF190" t="s">
        <v>79</v>
      </c>
      <c r="AG190" t="s">
        <v>260</v>
      </c>
    </row>
    <row r="191" spans="1:33" x14ac:dyDescent="0.35">
      <c r="A191" s="18">
        <v>44523.490277777775</v>
      </c>
      <c r="B191">
        <v>5754433</v>
      </c>
      <c r="C191" t="s">
        <v>649</v>
      </c>
      <c r="D191" t="s">
        <v>158</v>
      </c>
      <c r="E191" s="19">
        <v>41474</v>
      </c>
      <c r="F191" t="str">
        <f>"9780124058934"</f>
        <v>9780124058934</v>
      </c>
      <c r="G191" t="str">
        <f>"9780124058767"</f>
        <v>9780124058767</v>
      </c>
      <c r="H191" t="s">
        <v>115</v>
      </c>
      <c r="I191">
        <v>518.02855299999999</v>
      </c>
      <c r="J191" t="s">
        <v>652</v>
      </c>
      <c r="K191" t="s">
        <v>73</v>
      </c>
      <c r="N191" t="s">
        <v>74</v>
      </c>
      <c r="O191" t="s">
        <v>75</v>
      </c>
      <c r="P191" t="s">
        <v>74</v>
      </c>
      <c r="Q191" t="s">
        <v>76</v>
      </c>
      <c r="R191" t="s">
        <v>73</v>
      </c>
      <c r="S191">
        <v>0</v>
      </c>
      <c r="W191" s="20">
        <v>2.0497685185185185E-2</v>
      </c>
      <c r="X191" t="s">
        <v>653</v>
      </c>
      <c r="Y191">
        <v>16</v>
      </c>
      <c r="Z191">
        <v>0</v>
      </c>
      <c r="AA191" t="s">
        <v>78</v>
      </c>
      <c r="AB191">
        <v>0</v>
      </c>
      <c r="AC191" t="s">
        <v>654</v>
      </c>
      <c r="AD191">
        <v>1</v>
      </c>
      <c r="AE191">
        <v>-1</v>
      </c>
      <c r="AF191" t="s">
        <v>79</v>
      </c>
      <c r="AG191" t="s">
        <v>260</v>
      </c>
    </row>
    <row r="192" spans="1:33" x14ac:dyDescent="0.35">
      <c r="A192" s="18">
        <v>44523.4375</v>
      </c>
      <c r="B192">
        <v>3339444</v>
      </c>
      <c r="C192" t="s">
        <v>644</v>
      </c>
      <c r="D192" t="s">
        <v>300</v>
      </c>
      <c r="E192" s="19">
        <v>40410</v>
      </c>
      <c r="F192" t="str">
        <f>"9780262289122"</f>
        <v>9780262289122</v>
      </c>
      <c r="G192" t="str">
        <f>"9780262014625"</f>
        <v>9780262014625</v>
      </c>
      <c r="H192" t="s">
        <v>645</v>
      </c>
      <c r="I192" t="s">
        <v>646</v>
      </c>
      <c r="J192" t="s">
        <v>647</v>
      </c>
      <c r="K192" t="s">
        <v>73</v>
      </c>
      <c r="N192" t="s">
        <v>74</v>
      </c>
      <c r="O192" t="s">
        <v>75</v>
      </c>
      <c r="P192" t="s">
        <v>74</v>
      </c>
      <c r="Q192" t="s">
        <v>76</v>
      </c>
      <c r="R192" t="s">
        <v>73</v>
      </c>
      <c r="S192">
        <v>0</v>
      </c>
      <c r="W192" s="20">
        <v>2.0833333333333335E-4</v>
      </c>
      <c r="X192" t="s">
        <v>655</v>
      </c>
      <c r="Y192">
        <v>4</v>
      </c>
      <c r="Z192">
        <v>0</v>
      </c>
      <c r="AA192" t="s">
        <v>78</v>
      </c>
      <c r="AB192">
        <v>0</v>
      </c>
      <c r="AC192" t="s">
        <v>78</v>
      </c>
      <c r="AD192">
        <v>0</v>
      </c>
      <c r="AE192">
        <v>10562042</v>
      </c>
      <c r="AF192" t="s">
        <v>79</v>
      </c>
      <c r="AG192" t="s">
        <v>260</v>
      </c>
    </row>
    <row r="193" spans="1:33" x14ac:dyDescent="0.35">
      <c r="A193" s="18">
        <v>44523.375694444447</v>
      </c>
      <c r="B193">
        <v>3339444</v>
      </c>
      <c r="C193" t="s">
        <v>644</v>
      </c>
      <c r="D193" t="s">
        <v>300</v>
      </c>
      <c r="E193" s="19">
        <v>40410</v>
      </c>
      <c r="F193" t="str">
        <f>"9780262289122"</f>
        <v>9780262289122</v>
      </c>
      <c r="G193" t="str">
        <f>"9780262014625"</f>
        <v>9780262014625</v>
      </c>
      <c r="H193" t="s">
        <v>645</v>
      </c>
      <c r="I193" t="s">
        <v>646</v>
      </c>
      <c r="J193" t="s">
        <v>647</v>
      </c>
      <c r="K193" t="s">
        <v>73</v>
      </c>
      <c r="N193" t="s">
        <v>74</v>
      </c>
      <c r="O193" t="s">
        <v>75</v>
      </c>
      <c r="P193" t="s">
        <v>74</v>
      </c>
      <c r="Q193" t="s">
        <v>76</v>
      </c>
      <c r="R193" t="s">
        <v>73</v>
      </c>
      <c r="S193">
        <v>0</v>
      </c>
      <c r="W193" s="20">
        <v>2.2962962962962966E-2</v>
      </c>
      <c r="X193" t="s">
        <v>656</v>
      </c>
      <c r="Y193">
        <v>21</v>
      </c>
      <c r="Z193">
        <v>0</v>
      </c>
      <c r="AA193" t="s">
        <v>78</v>
      </c>
      <c r="AB193">
        <v>0</v>
      </c>
      <c r="AC193" t="s">
        <v>78</v>
      </c>
      <c r="AD193">
        <v>0</v>
      </c>
      <c r="AE193">
        <v>10562042</v>
      </c>
      <c r="AF193" t="s">
        <v>79</v>
      </c>
      <c r="AG193" t="s">
        <v>657</v>
      </c>
    </row>
    <row r="194" spans="1:33" x14ac:dyDescent="0.35">
      <c r="A194" s="18">
        <v>44523.02847222222</v>
      </c>
      <c r="B194">
        <v>3019625</v>
      </c>
      <c r="C194" t="s">
        <v>658</v>
      </c>
      <c r="D194" t="s">
        <v>226</v>
      </c>
      <c r="E194" s="19">
        <v>39961</v>
      </c>
      <c r="F194" t="str">
        <f>"9781614700593"</f>
        <v>9781614700593</v>
      </c>
      <c r="G194" t="str">
        <f>"9781607411161"</f>
        <v>9781607411161</v>
      </c>
      <c r="H194" t="s">
        <v>135</v>
      </c>
      <c r="I194">
        <v>323.0951</v>
      </c>
      <c r="J194" t="s">
        <v>659</v>
      </c>
      <c r="K194" t="s">
        <v>73</v>
      </c>
      <c r="N194" t="s">
        <v>74</v>
      </c>
      <c r="O194" t="s">
        <v>75</v>
      </c>
      <c r="P194" t="s">
        <v>74</v>
      </c>
      <c r="Q194" t="s">
        <v>76</v>
      </c>
      <c r="R194" t="s">
        <v>73</v>
      </c>
      <c r="S194">
        <v>0</v>
      </c>
      <c r="W194" s="20">
        <v>1.2731481481481483E-3</v>
      </c>
      <c r="X194" t="s">
        <v>660</v>
      </c>
      <c r="Y194">
        <v>5</v>
      </c>
      <c r="Z194">
        <v>0</v>
      </c>
      <c r="AA194" t="s">
        <v>78</v>
      </c>
      <c r="AB194">
        <v>0</v>
      </c>
      <c r="AC194" t="s">
        <v>78</v>
      </c>
      <c r="AD194">
        <v>0</v>
      </c>
      <c r="AE194">
        <v>10671190</v>
      </c>
      <c r="AF194" t="s">
        <v>79</v>
      </c>
      <c r="AG194" t="s">
        <v>260</v>
      </c>
    </row>
    <row r="195" spans="1:33" x14ac:dyDescent="0.35">
      <c r="A195" s="18">
        <v>44523.004861111112</v>
      </c>
      <c r="B195">
        <v>3338995</v>
      </c>
      <c r="C195" t="s">
        <v>661</v>
      </c>
      <c r="D195" t="s">
        <v>300</v>
      </c>
      <c r="E195" s="19">
        <v>39899</v>
      </c>
      <c r="F195" t="str">
        <f>"9780262270373"</f>
        <v>9780262270373</v>
      </c>
      <c r="G195" t="str">
        <f>"9780262033879"</f>
        <v>9780262033879</v>
      </c>
      <c r="H195" t="s">
        <v>662</v>
      </c>
      <c r="I195" t="s">
        <v>663</v>
      </c>
      <c r="J195" t="s">
        <v>664</v>
      </c>
      <c r="K195" t="s">
        <v>73</v>
      </c>
      <c r="N195" t="s">
        <v>74</v>
      </c>
      <c r="O195" t="s">
        <v>75</v>
      </c>
      <c r="P195" t="s">
        <v>74</v>
      </c>
      <c r="Q195" t="s">
        <v>76</v>
      </c>
      <c r="R195" t="s">
        <v>73</v>
      </c>
      <c r="S195">
        <v>0</v>
      </c>
      <c r="W195" s="20">
        <v>1.3611111111111114E-2</v>
      </c>
      <c r="X195" t="s">
        <v>665</v>
      </c>
      <c r="Y195">
        <v>19</v>
      </c>
      <c r="Z195">
        <v>0</v>
      </c>
      <c r="AA195" t="s">
        <v>78</v>
      </c>
      <c r="AB195">
        <v>0</v>
      </c>
      <c r="AC195" t="s">
        <v>78</v>
      </c>
      <c r="AD195">
        <v>0</v>
      </c>
      <c r="AE195">
        <v>10281464</v>
      </c>
      <c r="AF195" t="s">
        <v>79</v>
      </c>
      <c r="AG195" t="s">
        <v>260</v>
      </c>
    </row>
    <row r="196" spans="1:33" x14ac:dyDescent="0.35">
      <c r="A196" s="18">
        <v>44522.82916666667</v>
      </c>
      <c r="B196">
        <v>4043907</v>
      </c>
      <c r="C196" t="s">
        <v>577</v>
      </c>
      <c r="D196" t="s">
        <v>70</v>
      </c>
      <c r="E196" s="19">
        <v>40168</v>
      </c>
      <c r="F196" t="str">
        <f>"9781444358988"</f>
        <v>9781444358988</v>
      </c>
      <c r="G196" t="str">
        <f>"9781405180931"</f>
        <v>9781405180931</v>
      </c>
      <c r="H196" t="s">
        <v>308</v>
      </c>
      <c r="I196">
        <v>297.08999999999997</v>
      </c>
      <c r="J196" t="s">
        <v>578</v>
      </c>
      <c r="K196" t="s">
        <v>73</v>
      </c>
      <c r="N196" t="s">
        <v>74</v>
      </c>
      <c r="O196" t="s">
        <v>75</v>
      </c>
      <c r="P196" t="s">
        <v>74</v>
      </c>
      <c r="Q196" t="s">
        <v>76</v>
      </c>
      <c r="R196" t="s">
        <v>73</v>
      </c>
      <c r="S196">
        <v>0</v>
      </c>
      <c r="W196" s="20">
        <v>0</v>
      </c>
      <c r="X196" t="s">
        <v>78</v>
      </c>
      <c r="Y196">
        <v>0</v>
      </c>
      <c r="Z196">
        <v>0</v>
      </c>
      <c r="AA196" t="s">
        <v>78</v>
      </c>
      <c r="AB196">
        <v>0</v>
      </c>
      <c r="AC196" t="s">
        <v>78</v>
      </c>
      <c r="AD196">
        <v>0</v>
      </c>
      <c r="AE196">
        <v>11115870</v>
      </c>
      <c r="AF196" t="s">
        <v>79</v>
      </c>
      <c r="AG196" t="s">
        <v>260</v>
      </c>
    </row>
    <row r="197" spans="1:33" x14ac:dyDescent="0.35">
      <c r="A197" s="18">
        <v>44522.803472222222</v>
      </c>
      <c r="B197">
        <v>3339244</v>
      </c>
      <c r="C197" t="s">
        <v>666</v>
      </c>
      <c r="D197" t="s">
        <v>300</v>
      </c>
      <c r="E197" s="19">
        <v>40606</v>
      </c>
      <c r="F197" t="str">
        <f>"9780262295383"</f>
        <v>9780262295383</v>
      </c>
      <c r="G197" t="str">
        <f>"9780262015080"</f>
        <v>9780262015080</v>
      </c>
      <c r="H197" t="s">
        <v>143</v>
      </c>
      <c r="I197">
        <v>658.40380000000005</v>
      </c>
      <c r="J197" t="s">
        <v>667</v>
      </c>
      <c r="K197" t="s">
        <v>73</v>
      </c>
      <c r="N197" t="s">
        <v>74</v>
      </c>
      <c r="O197" t="s">
        <v>75</v>
      </c>
      <c r="P197" t="s">
        <v>74</v>
      </c>
      <c r="Q197" t="s">
        <v>76</v>
      </c>
      <c r="R197" t="s">
        <v>73</v>
      </c>
      <c r="S197">
        <v>0</v>
      </c>
      <c r="W197" s="20">
        <v>2.0520833333333332E-2</v>
      </c>
      <c r="X197" t="s">
        <v>668</v>
      </c>
      <c r="Y197">
        <v>7</v>
      </c>
      <c r="Z197">
        <v>1</v>
      </c>
      <c r="AA197" t="s">
        <v>669</v>
      </c>
      <c r="AB197">
        <v>30</v>
      </c>
      <c r="AC197" t="s">
        <v>670</v>
      </c>
      <c r="AD197">
        <v>4</v>
      </c>
      <c r="AE197">
        <v>10476096</v>
      </c>
      <c r="AF197" t="s">
        <v>79</v>
      </c>
      <c r="AG197" t="s">
        <v>671</v>
      </c>
    </row>
    <row r="198" spans="1:33" x14ac:dyDescent="0.35">
      <c r="A198" s="18">
        <v>44522.800694444442</v>
      </c>
      <c r="B198">
        <v>4187157</v>
      </c>
      <c r="C198" t="s">
        <v>672</v>
      </c>
      <c r="D198" t="s">
        <v>70</v>
      </c>
      <c r="E198" s="19">
        <v>42310</v>
      </c>
      <c r="F198" t="str">
        <f>"9781118603581"</f>
        <v>9781118603581</v>
      </c>
      <c r="G198" t="str">
        <f>"9781118505571"</f>
        <v>9781118505571</v>
      </c>
      <c r="H198" t="s">
        <v>673</v>
      </c>
      <c r="I198" t="s">
        <v>674</v>
      </c>
      <c r="J198" t="s">
        <v>675</v>
      </c>
      <c r="K198" t="s">
        <v>73</v>
      </c>
      <c r="N198" t="s">
        <v>74</v>
      </c>
      <c r="O198" t="s">
        <v>75</v>
      </c>
      <c r="P198" t="s">
        <v>74</v>
      </c>
      <c r="Q198" t="s">
        <v>76</v>
      </c>
      <c r="R198" t="s">
        <v>73</v>
      </c>
      <c r="S198">
        <v>0</v>
      </c>
      <c r="W198" s="20">
        <v>4.6296296296296294E-5</v>
      </c>
      <c r="X198" t="s">
        <v>132</v>
      </c>
      <c r="Y198">
        <v>1</v>
      </c>
      <c r="Z198">
        <v>0</v>
      </c>
      <c r="AA198" t="s">
        <v>78</v>
      </c>
      <c r="AB198">
        <v>0</v>
      </c>
      <c r="AC198" t="s">
        <v>78</v>
      </c>
      <c r="AD198">
        <v>0</v>
      </c>
      <c r="AE198">
        <v>11128318</v>
      </c>
      <c r="AF198" t="s">
        <v>79</v>
      </c>
      <c r="AG198" t="s">
        <v>657</v>
      </c>
    </row>
    <row r="199" spans="1:33" x14ac:dyDescent="0.35">
      <c r="A199" s="18">
        <v>44522.783333333333</v>
      </c>
      <c r="B199">
        <v>1876331</v>
      </c>
      <c r="C199" t="s">
        <v>676</v>
      </c>
      <c r="D199" t="s">
        <v>677</v>
      </c>
      <c r="E199" s="19">
        <v>42092</v>
      </c>
      <c r="F199" t="str">
        <f>"9781400866427"</f>
        <v>9781400866427</v>
      </c>
      <c r="G199" t="str">
        <f>"9780691164823"</f>
        <v>9780691164823</v>
      </c>
      <c r="H199" t="s">
        <v>135</v>
      </c>
      <c r="I199" t="s">
        <v>678</v>
      </c>
      <c r="J199" t="s">
        <v>679</v>
      </c>
      <c r="K199" t="s">
        <v>73</v>
      </c>
      <c r="N199" t="s">
        <v>74</v>
      </c>
      <c r="O199" t="s">
        <v>75</v>
      </c>
      <c r="P199" t="s">
        <v>74</v>
      </c>
      <c r="Q199" t="s">
        <v>76</v>
      </c>
      <c r="R199" t="s">
        <v>73</v>
      </c>
      <c r="S199">
        <v>0</v>
      </c>
      <c r="W199" s="20">
        <v>5.2083333333333333E-4</v>
      </c>
      <c r="X199" t="s">
        <v>680</v>
      </c>
      <c r="Y199">
        <v>6</v>
      </c>
      <c r="Z199">
        <v>0</v>
      </c>
      <c r="AA199" t="s">
        <v>78</v>
      </c>
      <c r="AB199">
        <v>0</v>
      </c>
      <c r="AC199" t="s">
        <v>78</v>
      </c>
      <c r="AD199">
        <v>0</v>
      </c>
      <c r="AE199">
        <v>11028404</v>
      </c>
      <c r="AF199" t="s">
        <v>79</v>
      </c>
      <c r="AG199" t="s">
        <v>260</v>
      </c>
    </row>
    <row r="200" spans="1:33" x14ac:dyDescent="0.35">
      <c r="A200" s="18">
        <v>44522.76666666667</v>
      </c>
      <c r="B200">
        <v>4183001</v>
      </c>
      <c r="C200" t="s">
        <v>580</v>
      </c>
      <c r="D200" t="s">
        <v>70</v>
      </c>
      <c r="E200" s="19">
        <v>42359</v>
      </c>
      <c r="F200" t="str">
        <f>"9781118972311"</f>
        <v>9781118972311</v>
      </c>
      <c r="G200" t="str">
        <f>"9781118972304"</f>
        <v>9781118972304</v>
      </c>
      <c r="H200" t="s">
        <v>308</v>
      </c>
      <c r="I200">
        <v>297</v>
      </c>
      <c r="J200" t="s">
        <v>581</v>
      </c>
      <c r="K200" t="s">
        <v>73</v>
      </c>
      <c r="N200" t="s">
        <v>74</v>
      </c>
      <c r="O200" t="s">
        <v>75</v>
      </c>
      <c r="P200" t="s">
        <v>74</v>
      </c>
      <c r="Q200" t="s">
        <v>76</v>
      </c>
      <c r="R200" t="s">
        <v>73</v>
      </c>
      <c r="S200">
        <v>0</v>
      </c>
      <c r="W200" s="20">
        <v>2.1261574074074075E-2</v>
      </c>
      <c r="X200" t="s">
        <v>681</v>
      </c>
      <c r="Y200">
        <v>37</v>
      </c>
      <c r="Z200">
        <v>0</v>
      </c>
      <c r="AA200" t="s">
        <v>78</v>
      </c>
      <c r="AB200">
        <v>0</v>
      </c>
      <c r="AC200" t="s">
        <v>78</v>
      </c>
      <c r="AD200">
        <v>0</v>
      </c>
      <c r="AE200">
        <v>11124854</v>
      </c>
      <c r="AF200" t="s">
        <v>79</v>
      </c>
      <c r="AG200" t="s">
        <v>260</v>
      </c>
    </row>
    <row r="201" spans="1:33" x14ac:dyDescent="0.35">
      <c r="A201" s="18">
        <v>44522.703472222223</v>
      </c>
      <c r="B201">
        <v>6727057</v>
      </c>
      <c r="C201" t="s">
        <v>682</v>
      </c>
      <c r="D201" t="s">
        <v>683</v>
      </c>
      <c r="E201" s="19">
        <v>44490</v>
      </c>
      <c r="F201" t="str">
        <f>"9781838606091"</f>
        <v>9781838606091</v>
      </c>
      <c r="G201" t="str">
        <f>"9781838606084"</f>
        <v>9781838606084</v>
      </c>
      <c r="H201" t="s">
        <v>128</v>
      </c>
      <c r="I201">
        <v>305.80095299999999</v>
      </c>
      <c r="K201" t="s">
        <v>85</v>
      </c>
      <c r="N201" t="s">
        <v>86</v>
      </c>
      <c r="P201" t="s">
        <v>87</v>
      </c>
      <c r="Q201" t="s">
        <v>76</v>
      </c>
      <c r="R201" t="s">
        <v>73</v>
      </c>
      <c r="S201">
        <v>0</v>
      </c>
      <c r="W201" s="20">
        <v>1.273148148148148E-4</v>
      </c>
      <c r="X201" t="s">
        <v>684</v>
      </c>
      <c r="Y201">
        <v>3</v>
      </c>
      <c r="Z201">
        <v>1</v>
      </c>
      <c r="AA201" t="s">
        <v>685</v>
      </c>
      <c r="AB201">
        <v>25</v>
      </c>
      <c r="AC201" t="s">
        <v>78</v>
      </c>
      <c r="AD201">
        <v>0</v>
      </c>
      <c r="AE201">
        <v>-1</v>
      </c>
      <c r="AF201" t="s">
        <v>79</v>
      </c>
      <c r="AG201" t="s">
        <v>260</v>
      </c>
    </row>
    <row r="202" spans="1:33" x14ac:dyDescent="0.35">
      <c r="A202" s="18">
        <v>44522.669444444444</v>
      </c>
      <c r="B202">
        <v>3339444</v>
      </c>
      <c r="C202" t="s">
        <v>644</v>
      </c>
      <c r="D202" t="s">
        <v>300</v>
      </c>
      <c r="E202" s="19">
        <v>40410</v>
      </c>
      <c r="F202" t="str">
        <f>"9780262289122"</f>
        <v>9780262289122</v>
      </c>
      <c r="G202" t="str">
        <f>"9780262014625"</f>
        <v>9780262014625</v>
      </c>
      <c r="H202" t="s">
        <v>645</v>
      </c>
      <c r="I202" t="s">
        <v>646</v>
      </c>
      <c r="J202" t="s">
        <v>647</v>
      </c>
      <c r="K202" t="s">
        <v>73</v>
      </c>
      <c r="N202" t="s">
        <v>74</v>
      </c>
      <c r="O202" t="s">
        <v>75</v>
      </c>
      <c r="P202" t="s">
        <v>74</v>
      </c>
      <c r="Q202" t="s">
        <v>76</v>
      </c>
      <c r="R202" t="s">
        <v>73</v>
      </c>
      <c r="S202">
        <v>0</v>
      </c>
      <c r="W202" s="20">
        <v>3.6620370370370373E-2</v>
      </c>
      <c r="X202" t="s">
        <v>686</v>
      </c>
      <c r="Y202">
        <v>44</v>
      </c>
      <c r="Z202">
        <v>0</v>
      </c>
      <c r="AA202" t="s">
        <v>78</v>
      </c>
      <c r="AB202">
        <v>0</v>
      </c>
      <c r="AC202" t="s">
        <v>78</v>
      </c>
      <c r="AD202">
        <v>0</v>
      </c>
      <c r="AE202">
        <v>10562042</v>
      </c>
      <c r="AF202" t="s">
        <v>79</v>
      </c>
      <c r="AG202" t="s">
        <v>260</v>
      </c>
    </row>
    <row r="203" spans="1:33" x14ac:dyDescent="0.35">
      <c r="A203" s="18">
        <v>44522.620833333334</v>
      </c>
      <c r="B203">
        <v>1137746</v>
      </c>
      <c r="C203" t="s">
        <v>687</v>
      </c>
      <c r="D203" t="s">
        <v>688</v>
      </c>
      <c r="E203" s="19">
        <v>40406</v>
      </c>
      <c r="F203" t="str">
        <f>"9781935295921"</f>
        <v>9781935295921</v>
      </c>
      <c r="G203" t="str">
        <f>"9781935295075"</f>
        <v>9781935295075</v>
      </c>
      <c r="H203" t="s">
        <v>308</v>
      </c>
      <c r="I203">
        <v>297.27</v>
      </c>
      <c r="J203" t="s">
        <v>689</v>
      </c>
      <c r="K203" t="s">
        <v>73</v>
      </c>
      <c r="N203" t="s">
        <v>74</v>
      </c>
      <c r="O203" t="s">
        <v>75</v>
      </c>
      <c r="P203" t="s">
        <v>74</v>
      </c>
      <c r="Q203" t="s">
        <v>76</v>
      </c>
      <c r="R203" t="s">
        <v>73</v>
      </c>
      <c r="S203">
        <v>0</v>
      </c>
      <c r="W203" s="20">
        <v>4.6296296296296294E-5</v>
      </c>
      <c r="X203" t="s">
        <v>132</v>
      </c>
      <c r="Y203">
        <v>1</v>
      </c>
      <c r="Z203">
        <v>0</v>
      </c>
      <c r="AA203" t="s">
        <v>78</v>
      </c>
      <c r="AB203">
        <v>0</v>
      </c>
      <c r="AC203" t="s">
        <v>78</v>
      </c>
      <c r="AD203">
        <v>0</v>
      </c>
      <c r="AE203">
        <v>11144685</v>
      </c>
      <c r="AF203" t="s">
        <v>79</v>
      </c>
      <c r="AG203" t="s">
        <v>260</v>
      </c>
    </row>
    <row r="204" spans="1:33" x14ac:dyDescent="0.35">
      <c r="A204" s="18">
        <v>44522.620833333334</v>
      </c>
      <c r="B204">
        <v>3328984</v>
      </c>
      <c r="C204" t="s">
        <v>690</v>
      </c>
      <c r="D204" t="s">
        <v>691</v>
      </c>
      <c r="E204" s="19">
        <v>39600</v>
      </c>
      <c r="F204" t="str">
        <f>"9781588269881"</f>
        <v>9781588269881</v>
      </c>
      <c r="G204" t="str">
        <f>"9781588265692"</f>
        <v>9781588265692</v>
      </c>
      <c r="H204" t="s">
        <v>308</v>
      </c>
      <c r="I204">
        <v>297.27</v>
      </c>
      <c r="J204" t="s">
        <v>692</v>
      </c>
      <c r="K204" t="s">
        <v>73</v>
      </c>
      <c r="N204" t="s">
        <v>74</v>
      </c>
      <c r="O204" t="s">
        <v>75</v>
      </c>
      <c r="P204" t="s">
        <v>74</v>
      </c>
      <c r="Q204" t="s">
        <v>76</v>
      </c>
      <c r="R204" t="s">
        <v>73</v>
      </c>
      <c r="S204">
        <v>0</v>
      </c>
      <c r="W204" s="20">
        <v>4.6296296296296294E-5</v>
      </c>
      <c r="X204" t="s">
        <v>132</v>
      </c>
      <c r="Y204">
        <v>1</v>
      </c>
      <c r="Z204">
        <v>0</v>
      </c>
      <c r="AA204" t="s">
        <v>78</v>
      </c>
      <c r="AB204">
        <v>0</v>
      </c>
      <c r="AC204" t="s">
        <v>78</v>
      </c>
      <c r="AD204">
        <v>0</v>
      </c>
      <c r="AE204">
        <v>10913602</v>
      </c>
      <c r="AF204" t="s">
        <v>79</v>
      </c>
      <c r="AG204" t="s">
        <v>260</v>
      </c>
    </row>
    <row r="205" spans="1:33" x14ac:dyDescent="0.35">
      <c r="A205" s="18">
        <v>44522.586111111108</v>
      </c>
      <c r="B205">
        <v>698010</v>
      </c>
      <c r="C205" t="s">
        <v>423</v>
      </c>
      <c r="D205" t="s">
        <v>70</v>
      </c>
      <c r="E205" s="19">
        <v>40770</v>
      </c>
      <c r="F205" t="str">
        <f>"9781119991274"</f>
        <v>9781119991274</v>
      </c>
      <c r="G205" t="str">
        <f>"9780470978047"</f>
        <v>9780470978047</v>
      </c>
      <c r="H205" t="s">
        <v>424</v>
      </c>
      <c r="I205">
        <v>332.10917669999998</v>
      </c>
      <c r="J205" t="s">
        <v>425</v>
      </c>
      <c r="K205" t="s">
        <v>73</v>
      </c>
      <c r="N205" t="s">
        <v>74</v>
      </c>
      <c r="O205" t="s">
        <v>75</v>
      </c>
      <c r="P205" t="s">
        <v>74</v>
      </c>
      <c r="Q205" t="s">
        <v>76</v>
      </c>
      <c r="R205" t="s">
        <v>73</v>
      </c>
      <c r="S205">
        <v>0</v>
      </c>
      <c r="W205" s="20">
        <v>1.9756944444444445E-2</v>
      </c>
      <c r="X205" t="s">
        <v>693</v>
      </c>
      <c r="Y205">
        <v>3</v>
      </c>
      <c r="Z205">
        <v>1</v>
      </c>
      <c r="AA205" t="s">
        <v>626</v>
      </c>
      <c r="AB205">
        <v>12</v>
      </c>
      <c r="AC205" t="s">
        <v>78</v>
      </c>
      <c r="AD205">
        <v>0</v>
      </c>
      <c r="AE205">
        <v>10484708</v>
      </c>
      <c r="AF205" t="s">
        <v>79</v>
      </c>
      <c r="AG205" t="s">
        <v>260</v>
      </c>
    </row>
    <row r="206" spans="1:33" x14ac:dyDescent="0.35">
      <c r="A206" s="18">
        <v>44522.584722222222</v>
      </c>
      <c r="B206">
        <v>1137746</v>
      </c>
      <c r="C206" t="s">
        <v>687</v>
      </c>
      <c r="D206" t="s">
        <v>688</v>
      </c>
      <c r="E206" s="19">
        <v>40406</v>
      </c>
      <c r="F206" t="str">
        <f>"9781935295921"</f>
        <v>9781935295921</v>
      </c>
      <c r="G206" t="str">
        <f>"9781935295075"</f>
        <v>9781935295075</v>
      </c>
      <c r="H206" t="s">
        <v>308</v>
      </c>
      <c r="I206">
        <v>297.27</v>
      </c>
      <c r="J206" t="s">
        <v>689</v>
      </c>
      <c r="K206" t="s">
        <v>73</v>
      </c>
      <c r="N206" t="s">
        <v>74</v>
      </c>
      <c r="O206" t="s">
        <v>75</v>
      </c>
      <c r="P206" t="s">
        <v>74</v>
      </c>
      <c r="Q206" t="s">
        <v>76</v>
      </c>
      <c r="R206" t="s">
        <v>73</v>
      </c>
      <c r="S206">
        <v>0</v>
      </c>
      <c r="W206" s="20">
        <v>5.7870370370370366E-5</v>
      </c>
      <c r="X206" t="s">
        <v>132</v>
      </c>
      <c r="Y206">
        <v>1</v>
      </c>
      <c r="Z206">
        <v>0</v>
      </c>
      <c r="AA206" t="s">
        <v>78</v>
      </c>
      <c r="AB206">
        <v>0</v>
      </c>
      <c r="AC206" t="s">
        <v>78</v>
      </c>
      <c r="AD206">
        <v>0</v>
      </c>
      <c r="AE206">
        <v>11144685</v>
      </c>
      <c r="AF206" t="s">
        <v>79</v>
      </c>
      <c r="AG206" t="s">
        <v>260</v>
      </c>
    </row>
    <row r="207" spans="1:33" x14ac:dyDescent="0.35">
      <c r="A207" s="18">
        <v>44522.584027777775</v>
      </c>
      <c r="B207">
        <v>3328984</v>
      </c>
      <c r="C207" t="s">
        <v>690</v>
      </c>
      <c r="D207" t="s">
        <v>691</v>
      </c>
      <c r="E207" s="19">
        <v>39600</v>
      </c>
      <c r="F207" t="str">
        <f>"9781588269881"</f>
        <v>9781588269881</v>
      </c>
      <c r="G207" t="str">
        <f>"9781588265692"</f>
        <v>9781588265692</v>
      </c>
      <c r="H207" t="s">
        <v>308</v>
      </c>
      <c r="I207">
        <v>297.27</v>
      </c>
      <c r="J207" t="s">
        <v>692</v>
      </c>
      <c r="K207" t="s">
        <v>73</v>
      </c>
      <c r="N207" t="s">
        <v>74</v>
      </c>
      <c r="O207" t="s">
        <v>75</v>
      </c>
      <c r="P207" t="s">
        <v>74</v>
      </c>
      <c r="Q207" t="s">
        <v>76</v>
      </c>
      <c r="R207" t="s">
        <v>73</v>
      </c>
      <c r="S207">
        <v>0</v>
      </c>
      <c r="W207" s="20">
        <v>5.7870370370370366E-5</v>
      </c>
      <c r="X207" t="s">
        <v>132</v>
      </c>
      <c r="Y207">
        <v>1</v>
      </c>
      <c r="Z207">
        <v>0</v>
      </c>
      <c r="AA207" t="s">
        <v>78</v>
      </c>
      <c r="AB207">
        <v>0</v>
      </c>
      <c r="AC207" t="s">
        <v>78</v>
      </c>
      <c r="AD207">
        <v>0</v>
      </c>
      <c r="AE207">
        <v>10913602</v>
      </c>
      <c r="AF207" t="s">
        <v>79</v>
      </c>
      <c r="AG207" t="s">
        <v>260</v>
      </c>
    </row>
    <row r="208" spans="1:33" x14ac:dyDescent="0.35">
      <c r="A208" s="18">
        <v>44522.520833333336</v>
      </c>
      <c r="B208">
        <v>6727057</v>
      </c>
      <c r="C208" t="s">
        <v>682</v>
      </c>
      <c r="D208" t="s">
        <v>683</v>
      </c>
      <c r="E208" s="19">
        <v>44490</v>
      </c>
      <c r="F208" t="str">
        <f>"9781838606091"</f>
        <v>9781838606091</v>
      </c>
      <c r="G208" t="str">
        <f>"9781838606084"</f>
        <v>9781838606084</v>
      </c>
      <c r="H208" t="s">
        <v>128</v>
      </c>
      <c r="I208">
        <v>305.80095299999999</v>
      </c>
      <c r="K208" t="s">
        <v>85</v>
      </c>
      <c r="N208" t="s">
        <v>86</v>
      </c>
      <c r="P208" t="s">
        <v>87</v>
      </c>
      <c r="Q208" t="s">
        <v>76</v>
      </c>
      <c r="R208" t="s">
        <v>73</v>
      </c>
      <c r="S208">
        <v>0</v>
      </c>
      <c r="W208" s="20">
        <v>2.1412037037037038E-3</v>
      </c>
      <c r="X208" t="s">
        <v>694</v>
      </c>
      <c r="Y208">
        <v>42</v>
      </c>
      <c r="Z208">
        <v>0</v>
      </c>
      <c r="AA208" t="s">
        <v>78</v>
      </c>
      <c r="AB208">
        <v>0</v>
      </c>
      <c r="AC208" t="s">
        <v>78</v>
      </c>
      <c r="AD208">
        <v>0</v>
      </c>
      <c r="AE208">
        <v>-1</v>
      </c>
      <c r="AF208" t="s">
        <v>79</v>
      </c>
      <c r="AG208" t="s">
        <v>260</v>
      </c>
    </row>
    <row r="209" spans="1:33" x14ac:dyDescent="0.35">
      <c r="A209" s="18">
        <v>44522.494444444441</v>
      </c>
      <c r="B209">
        <v>858659</v>
      </c>
      <c r="C209" t="s">
        <v>157</v>
      </c>
      <c r="D209" t="s">
        <v>158</v>
      </c>
      <c r="E209" s="19">
        <v>40957</v>
      </c>
      <c r="F209" t="str">
        <f>"9780080966601"</f>
        <v>9780080966601</v>
      </c>
      <c r="G209" t="str">
        <f>"9780080966595"</f>
        <v>9780080966595</v>
      </c>
      <c r="H209" t="s">
        <v>159</v>
      </c>
      <c r="I209" t="s">
        <v>160</v>
      </c>
      <c r="J209" t="s">
        <v>161</v>
      </c>
      <c r="K209" t="s">
        <v>73</v>
      </c>
      <c r="N209" t="s">
        <v>74</v>
      </c>
      <c r="O209" t="s">
        <v>75</v>
      </c>
      <c r="P209" t="s">
        <v>74</v>
      </c>
      <c r="Q209" t="s">
        <v>76</v>
      </c>
      <c r="R209" t="s">
        <v>73</v>
      </c>
      <c r="S209">
        <v>0</v>
      </c>
      <c r="W209" s="20">
        <v>2.9050925925925928E-3</v>
      </c>
      <c r="X209" t="s">
        <v>695</v>
      </c>
      <c r="Y209">
        <v>15</v>
      </c>
      <c r="Z209">
        <v>0</v>
      </c>
      <c r="AA209" t="s">
        <v>78</v>
      </c>
      <c r="AB209">
        <v>0</v>
      </c>
      <c r="AC209" t="s">
        <v>78</v>
      </c>
      <c r="AD209">
        <v>0</v>
      </c>
      <c r="AE209">
        <v>10562149</v>
      </c>
      <c r="AF209" t="s">
        <v>79</v>
      </c>
      <c r="AG209" t="s">
        <v>187</v>
      </c>
    </row>
    <row r="210" spans="1:33" x14ac:dyDescent="0.35">
      <c r="A210" s="18">
        <v>44522.474305555559</v>
      </c>
      <c r="B210">
        <v>6727057</v>
      </c>
      <c r="C210" t="s">
        <v>682</v>
      </c>
      <c r="D210" t="s">
        <v>683</v>
      </c>
      <c r="E210" s="19">
        <v>44490</v>
      </c>
      <c r="F210" t="str">
        <f>"9781838606091"</f>
        <v>9781838606091</v>
      </c>
      <c r="G210" t="str">
        <f>"9781838606084"</f>
        <v>9781838606084</v>
      </c>
      <c r="H210" t="s">
        <v>128</v>
      </c>
      <c r="I210">
        <v>305.80095299999999</v>
      </c>
      <c r="K210" t="s">
        <v>85</v>
      </c>
      <c r="N210" t="s">
        <v>86</v>
      </c>
      <c r="P210" t="s">
        <v>87</v>
      </c>
      <c r="Q210" t="s">
        <v>76</v>
      </c>
      <c r="R210" t="s">
        <v>73</v>
      </c>
      <c r="S210">
        <v>0</v>
      </c>
      <c r="W210" s="20">
        <v>2.9629629629629628E-3</v>
      </c>
      <c r="X210" t="s">
        <v>696</v>
      </c>
      <c r="Y210">
        <v>31</v>
      </c>
      <c r="Z210">
        <v>0</v>
      </c>
      <c r="AA210" t="s">
        <v>78</v>
      </c>
      <c r="AB210">
        <v>0</v>
      </c>
      <c r="AC210" t="s">
        <v>78</v>
      </c>
      <c r="AD210">
        <v>0</v>
      </c>
      <c r="AE210">
        <v>-1</v>
      </c>
      <c r="AF210" t="s">
        <v>79</v>
      </c>
      <c r="AG210" t="s">
        <v>260</v>
      </c>
    </row>
    <row r="211" spans="1:33" x14ac:dyDescent="0.35">
      <c r="A211" s="18">
        <v>44522.393055555556</v>
      </c>
      <c r="B211">
        <v>698010</v>
      </c>
      <c r="C211" t="s">
        <v>423</v>
      </c>
      <c r="D211" t="s">
        <v>70</v>
      </c>
      <c r="E211" s="19">
        <v>40770</v>
      </c>
      <c r="F211" t="str">
        <f>"9781119991274"</f>
        <v>9781119991274</v>
      </c>
      <c r="G211" t="str">
        <f>"9780470978047"</f>
        <v>9780470978047</v>
      </c>
      <c r="H211" t="s">
        <v>424</v>
      </c>
      <c r="I211">
        <v>332.10917669999998</v>
      </c>
      <c r="J211" t="s">
        <v>425</v>
      </c>
      <c r="K211" t="s">
        <v>73</v>
      </c>
      <c r="N211" t="s">
        <v>74</v>
      </c>
      <c r="O211" t="s">
        <v>75</v>
      </c>
      <c r="P211" t="s">
        <v>74</v>
      </c>
      <c r="Q211" t="s">
        <v>76</v>
      </c>
      <c r="R211" t="s">
        <v>73</v>
      </c>
      <c r="S211">
        <v>0</v>
      </c>
      <c r="W211" s="20">
        <v>1.3310185185185185E-3</v>
      </c>
      <c r="X211" t="s">
        <v>697</v>
      </c>
      <c r="Y211">
        <v>9</v>
      </c>
      <c r="Z211">
        <v>0</v>
      </c>
      <c r="AA211" t="s">
        <v>78</v>
      </c>
      <c r="AB211">
        <v>0</v>
      </c>
      <c r="AC211" t="s">
        <v>78</v>
      </c>
      <c r="AD211">
        <v>0</v>
      </c>
      <c r="AE211">
        <v>10484708</v>
      </c>
      <c r="AF211" t="s">
        <v>79</v>
      </c>
      <c r="AG211" t="s">
        <v>260</v>
      </c>
    </row>
    <row r="212" spans="1:33" x14ac:dyDescent="0.35">
      <c r="A212" s="18">
        <v>44522.026388888888</v>
      </c>
      <c r="B212">
        <v>3328984</v>
      </c>
      <c r="C212" t="s">
        <v>690</v>
      </c>
      <c r="D212" t="s">
        <v>691</v>
      </c>
      <c r="E212" s="19">
        <v>39600</v>
      </c>
      <c r="F212" t="str">
        <f>"9781588269881"</f>
        <v>9781588269881</v>
      </c>
      <c r="G212" t="str">
        <f>"9781588265692"</f>
        <v>9781588265692</v>
      </c>
      <c r="H212" t="s">
        <v>308</v>
      </c>
      <c r="I212">
        <v>297.27</v>
      </c>
      <c r="J212" t="s">
        <v>692</v>
      </c>
      <c r="K212" t="s">
        <v>73</v>
      </c>
      <c r="N212" t="s">
        <v>74</v>
      </c>
      <c r="O212" t="s">
        <v>75</v>
      </c>
      <c r="P212" t="s">
        <v>74</v>
      </c>
      <c r="Q212" t="s">
        <v>76</v>
      </c>
      <c r="R212" t="s">
        <v>73</v>
      </c>
      <c r="S212">
        <v>0</v>
      </c>
      <c r="W212" s="20">
        <v>2.1527777777777778E-3</v>
      </c>
      <c r="X212" t="s">
        <v>698</v>
      </c>
      <c r="Y212">
        <v>11</v>
      </c>
      <c r="Z212">
        <v>0</v>
      </c>
      <c r="AA212" t="s">
        <v>78</v>
      </c>
      <c r="AB212">
        <v>0</v>
      </c>
      <c r="AC212" t="s">
        <v>699</v>
      </c>
      <c r="AD212">
        <v>3</v>
      </c>
      <c r="AE212">
        <v>10913602</v>
      </c>
      <c r="AF212" t="s">
        <v>79</v>
      </c>
      <c r="AG212" t="s">
        <v>260</v>
      </c>
    </row>
    <row r="213" spans="1:33" x14ac:dyDescent="0.35">
      <c r="A213" s="18">
        <v>44521.920138888891</v>
      </c>
      <c r="B213">
        <v>4187157</v>
      </c>
      <c r="C213" t="s">
        <v>672</v>
      </c>
      <c r="D213" t="s">
        <v>70</v>
      </c>
      <c r="E213" s="19">
        <v>42310</v>
      </c>
      <c r="F213" t="str">
        <f>"9781118603581"</f>
        <v>9781118603581</v>
      </c>
      <c r="G213" t="str">
        <f>"9781118505571"</f>
        <v>9781118505571</v>
      </c>
      <c r="H213" t="s">
        <v>673</v>
      </c>
      <c r="I213" t="s">
        <v>674</v>
      </c>
      <c r="J213" t="s">
        <v>675</v>
      </c>
      <c r="K213" t="s">
        <v>73</v>
      </c>
      <c r="N213" t="s">
        <v>74</v>
      </c>
      <c r="O213" t="s">
        <v>75</v>
      </c>
      <c r="P213" t="s">
        <v>74</v>
      </c>
      <c r="Q213" t="s">
        <v>76</v>
      </c>
      <c r="R213" t="s">
        <v>73</v>
      </c>
      <c r="S213">
        <v>0</v>
      </c>
      <c r="W213" s="20">
        <v>1.4814814814814814E-3</v>
      </c>
      <c r="X213" t="s">
        <v>700</v>
      </c>
      <c r="Y213">
        <v>9</v>
      </c>
      <c r="Z213">
        <v>0</v>
      </c>
      <c r="AA213" t="s">
        <v>78</v>
      </c>
      <c r="AB213">
        <v>0</v>
      </c>
      <c r="AC213" t="s">
        <v>701</v>
      </c>
      <c r="AD213">
        <v>1</v>
      </c>
      <c r="AE213">
        <v>11128318</v>
      </c>
      <c r="AF213" t="s">
        <v>79</v>
      </c>
      <c r="AG213" t="s">
        <v>702</v>
      </c>
    </row>
    <row r="214" spans="1:33" x14ac:dyDescent="0.35">
      <c r="A214" s="18">
        <v>44521.645833333336</v>
      </c>
      <c r="B214">
        <v>270176</v>
      </c>
      <c r="C214" t="s">
        <v>703</v>
      </c>
      <c r="D214" t="s">
        <v>158</v>
      </c>
      <c r="E214" s="19">
        <v>38631</v>
      </c>
      <c r="F214" t="str">
        <f>"9780080459028"</f>
        <v>9780080459028</v>
      </c>
      <c r="G214" t="str">
        <f>"9781493300037"</f>
        <v>9781493300037</v>
      </c>
      <c r="H214" t="s">
        <v>71</v>
      </c>
      <c r="I214">
        <v>621.31700000000001</v>
      </c>
      <c r="J214" t="s">
        <v>704</v>
      </c>
      <c r="K214" t="s">
        <v>73</v>
      </c>
      <c r="N214" t="s">
        <v>74</v>
      </c>
      <c r="O214" t="s">
        <v>75</v>
      </c>
      <c r="P214" t="s">
        <v>74</v>
      </c>
      <c r="Q214" t="s">
        <v>76</v>
      </c>
      <c r="R214" t="s">
        <v>73</v>
      </c>
      <c r="S214">
        <v>1</v>
      </c>
      <c r="W214" s="20">
        <v>0</v>
      </c>
      <c r="X214" t="s">
        <v>78</v>
      </c>
      <c r="Y214">
        <v>0</v>
      </c>
      <c r="Z214">
        <v>0</v>
      </c>
      <c r="AA214" t="s">
        <v>78</v>
      </c>
      <c r="AB214">
        <v>0</v>
      </c>
      <c r="AC214" t="s">
        <v>78</v>
      </c>
      <c r="AD214">
        <v>0</v>
      </c>
      <c r="AE214">
        <v>10138118</v>
      </c>
      <c r="AF214" t="s">
        <v>88</v>
      </c>
      <c r="AG214" t="s">
        <v>260</v>
      </c>
    </row>
    <row r="215" spans="1:33" x14ac:dyDescent="0.35">
      <c r="A215" s="18">
        <v>44521.625</v>
      </c>
      <c r="B215">
        <v>1873192</v>
      </c>
      <c r="C215" t="s">
        <v>705</v>
      </c>
      <c r="D215" t="s">
        <v>70</v>
      </c>
      <c r="E215" s="19">
        <v>42051</v>
      </c>
      <c r="F215" t="str">
        <f>"9781118900185"</f>
        <v>9781118900185</v>
      </c>
      <c r="G215" t="str">
        <f>"9781118900208"</f>
        <v>9781118900208</v>
      </c>
      <c r="H215" t="s">
        <v>97</v>
      </c>
      <c r="I215" t="s">
        <v>706</v>
      </c>
      <c r="J215" t="s">
        <v>707</v>
      </c>
      <c r="K215" t="s">
        <v>73</v>
      </c>
      <c r="N215" t="s">
        <v>74</v>
      </c>
      <c r="O215" t="s">
        <v>75</v>
      </c>
      <c r="P215" t="s">
        <v>74</v>
      </c>
      <c r="Q215" t="s">
        <v>76</v>
      </c>
      <c r="R215" t="s">
        <v>73</v>
      </c>
      <c r="S215">
        <v>0</v>
      </c>
      <c r="W215" s="20">
        <v>6.3657407407407402E-4</v>
      </c>
      <c r="X215" t="s">
        <v>708</v>
      </c>
      <c r="Y215">
        <v>5</v>
      </c>
      <c r="Z215">
        <v>0</v>
      </c>
      <c r="AA215" t="s">
        <v>78</v>
      </c>
      <c r="AB215">
        <v>0</v>
      </c>
      <c r="AC215" t="s">
        <v>78</v>
      </c>
      <c r="AD215">
        <v>0</v>
      </c>
      <c r="AE215">
        <v>10991568</v>
      </c>
      <c r="AF215" t="s">
        <v>79</v>
      </c>
      <c r="AG215" t="s">
        <v>260</v>
      </c>
    </row>
    <row r="216" spans="1:33" x14ac:dyDescent="0.35">
      <c r="A216" s="18">
        <v>44521.571527777778</v>
      </c>
      <c r="B216">
        <v>1137746</v>
      </c>
      <c r="C216" t="s">
        <v>687</v>
      </c>
      <c r="D216" t="s">
        <v>688</v>
      </c>
      <c r="E216" s="19">
        <v>40406</v>
      </c>
      <c r="F216" t="str">
        <f>"9781935295921"</f>
        <v>9781935295921</v>
      </c>
      <c r="G216" t="str">
        <f>"9781935295075"</f>
        <v>9781935295075</v>
      </c>
      <c r="H216" t="s">
        <v>308</v>
      </c>
      <c r="I216">
        <v>297.27</v>
      </c>
      <c r="J216" t="s">
        <v>689</v>
      </c>
      <c r="K216" t="s">
        <v>73</v>
      </c>
      <c r="N216" t="s">
        <v>74</v>
      </c>
      <c r="O216" t="s">
        <v>75</v>
      </c>
      <c r="P216" t="s">
        <v>74</v>
      </c>
      <c r="Q216" t="s">
        <v>76</v>
      </c>
      <c r="R216" t="s">
        <v>73</v>
      </c>
      <c r="S216">
        <v>0</v>
      </c>
      <c r="W216" s="20">
        <v>4.6296296296296294E-5</v>
      </c>
      <c r="X216" t="s">
        <v>132</v>
      </c>
      <c r="Y216">
        <v>1</v>
      </c>
      <c r="Z216">
        <v>0</v>
      </c>
      <c r="AA216" t="s">
        <v>78</v>
      </c>
      <c r="AB216">
        <v>0</v>
      </c>
      <c r="AC216" t="s">
        <v>78</v>
      </c>
      <c r="AD216">
        <v>0</v>
      </c>
      <c r="AE216">
        <v>11144685</v>
      </c>
      <c r="AF216" t="s">
        <v>79</v>
      </c>
      <c r="AG216" t="s">
        <v>260</v>
      </c>
    </row>
    <row r="217" spans="1:33" x14ac:dyDescent="0.35">
      <c r="A217" s="18">
        <v>44521.571527777778</v>
      </c>
      <c r="B217">
        <v>4545066</v>
      </c>
      <c r="C217" t="s">
        <v>709</v>
      </c>
      <c r="D217" t="s">
        <v>710</v>
      </c>
      <c r="E217" s="19">
        <v>41585</v>
      </c>
      <c r="F217" t="str">
        <f>"9780814638477"</f>
        <v>9780814638477</v>
      </c>
      <c r="G217" t="str">
        <f>"9780814638224"</f>
        <v>9780814638224</v>
      </c>
      <c r="H217" t="s">
        <v>308</v>
      </c>
      <c r="I217">
        <v>261.27</v>
      </c>
      <c r="J217" t="s">
        <v>711</v>
      </c>
      <c r="K217" t="s">
        <v>73</v>
      </c>
      <c r="N217" t="s">
        <v>74</v>
      </c>
      <c r="O217" t="s">
        <v>75</v>
      </c>
      <c r="P217" t="s">
        <v>74</v>
      </c>
      <c r="Q217" t="s">
        <v>76</v>
      </c>
      <c r="R217" t="s">
        <v>73</v>
      </c>
      <c r="S217">
        <v>0</v>
      </c>
      <c r="W217" s="20">
        <v>5.7870370370370366E-5</v>
      </c>
      <c r="X217" t="s">
        <v>132</v>
      </c>
      <c r="Y217">
        <v>1</v>
      </c>
      <c r="Z217">
        <v>0</v>
      </c>
      <c r="AA217" t="s">
        <v>78</v>
      </c>
      <c r="AB217">
        <v>0</v>
      </c>
      <c r="AC217" t="s">
        <v>78</v>
      </c>
      <c r="AD217">
        <v>0</v>
      </c>
      <c r="AE217">
        <v>11232073</v>
      </c>
      <c r="AF217" t="s">
        <v>79</v>
      </c>
      <c r="AG217" t="s">
        <v>260</v>
      </c>
    </row>
    <row r="218" spans="1:33" x14ac:dyDescent="0.35">
      <c r="A218" s="18">
        <v>44521.571527777778</v>
      </c>
      <c r="B218">
        <v>3328984</v>
      </c>
      <c r="C218" t="s">
        <v>690</v>
      </c>
      <c r="D218" t="s">
        <v>691</v>
      </c>
      <c r="E218" s="19">
        <v>39600</v>
      </c>
      <c r="F218" t="str">
        <f>"9781588269881"</f>
        <v>9781588269881</v>
      </c>
      <c r="G218" t="str">
        <f>"9781588265692"</f>
        <v>9781588265692</v>
      </c>
      <c r="H218" t="s">
        <v>308</v>
      </c>
      <c r="I218">
        <v>297.27</v>
      </c>
      <c r="J218" t="s">
        <v>692</v>
      </c>
      <c r="K218" t="s">
        <v>73</v>
      </c>
      <c r="N218" t="s">
        <v>74</v>
      </c>
      <c r="O218" t="s">
        <v>75</v>
      </c>
      <c r="P218" t="s">
        <v>74</v>
      </c>
      <c r="Q218" t="s">
        <v>76</v>
      </c>
      <c r="R218" t="s">
        <v>73</v>
      </c>
      <c r="S218">
        <v>0</v>
      </c>
      <c r="W218" s="20">
        <v>4.6296296296296294E-5</v>
      </c>
      <c r="X218" t="s">
        <v>132</v>
      </c>
      <c r="Y218">
        <v>1</v>
      </c>
      <c r="Z218">
        <v>0</v>
      </c>
      <c r="AA218" t="s">
        <v>78</v>
      </c>
      <c r="AB218">
        <v>0</v>
      </c>
      <c r="AC218" t="s">
        <v>78</v>
      </c>
      <c r="AD218">
        <v>0</v>
      </c>
      <c r="AE218">
        <v>10913602</v>
      </c>
      <c r="AF218" t="s">
        <v>79</v>
      </c>
      <c r="AG218" t="s">
        <v>260</v>
      </c>
    </row>
    <row r="219" spans="1:33" x14ac:dyDescent="0.35">
      <c r="A219" s="18">
        <v>44521.378472222219</v>
      </c>
      <c r="B219">
        <v>2076529</v>
      </c>
      <c r="C219" t="s">
        <v>549</v>
      </c>
      <c r="D219" t="s">
        <v>550</v>
      </c>
      <c r="E219" s="19">
        <v>42164</v>
      </c>
      <c r="F219" t="str">
        <f>"9781443879200"</f>
        <v>9781443879200</v>
      </c>
      <c r="G219" t="str">
        <f>"9781443874564"</f>
        <v>9781443874564</v>
      </c>
      <c r="H219" t="s">
        <v>551</v>
      </c>
      <c r="I219" t="s">
        <v>552</v>
      </c>
      <c r="J219" t="s">
        <v>553</v>
      </c>
      <c r="K219" t="s">
        <v>73</v>
      </c>
      <c r="N219" t="s">
        <v>74</v>
      </c>
      <c r="O219" t="s">
        <v>75</v>
      </c>
      <c r="P219" t="s">
        <v>74</v>
      </c>
      <c r="Q219" t="s">
        <v>76</v>
      </c>
      <c r="R219" t="s">
        <v>73</v>
      </c>
      <c r="S219">
        <v>0</v>
      </c>
      <c r="W219" s="20">
        <v>6.8287037037037025E-4</v>
      </c>
      <c r="X219" t="s">
        <v>712</v>
      </c>
      <c r="Y219">
        <v>2</v>
      </c>
      <c r="Z219">
        <v>0</v>
      </c>
      <c r="AA219" t="s">
        <v>78</v>
      </c>
      <c r="AB219">
        <v>0</v>
      </c>
      <c r="AC219" t="s">
        <v>78</v>
      </c>
      <c r="AD219">
        <v>0</v>
      </c>
      <c r="AE219">
        <v>11069011</v>
      </c>
      <c r="AF219" t="s">
        <v>79</v>
      </c>
      <c r="AG219" t="s">
        <v>260</v>
      </c>
    </row>
    <row r="220" spans="1:33" x14ac:dyDescent="0.35">
      <c r="A220" s="18">
        <v>44520.943749999999</v>
      </c>
      <c r="B220">
        <v>4545066</v>
      </c>
      <c r="C220" t="s">
        <v>709</v>
      </c>
      <c r="D220" t="s">
        <v>710</v>
      </c>
      <c r="E220" s="19">
        <v>41585</v>
      </c>
      <c r="F220" t="str">
        <f>"9780814638477"</f>
        <v>9780814638477</v>
      </c>
      <c r="G220" t="str">
        <f>"9780814638224"</f>
        <v>9780814638224</v>
      </c>
      <c r="H220" t="s">
        <v>308</v>
      </c>
      <c r="I220">
        <v>261.27</v>
      </c>
      <c r="J220" t="s">
        <v>711</v>
      </c>
      <c r="K220" t="s">
        <v>73</v>
      </c>
      <c r="N220" t="s">
        <v>74</v>
      </c>
      <c r="O220" t="s">
        <v>75</v>
      </c>
      <c r="P220" t="s">
        <v>74</v>
      </c>
      <c r="Q220" t="s">
        <v>76</v>
      </c>
      <c r="R220" t="s">
        <v>73</v>
      </c>
      <c r="S220">
        <v>0</v>
      </c>
      <c r="W220" s="20">
        <v>3.4872685185185187E-2</v>
      </c>
      <c r="X220" t="s">
        <v>713</v>
      </c>
      <c r="Y220">
        <v>13</v>
      </c>
      <c r="Z220">
        <v>0</v>
      </c>
      <c r="AA220" t="s">
        <v>78</v>
      </c>
      <c r="AB220">
        <v>0</v>
      </c>
      <c r="AC220" t="s">
        <v>78</v>
      </c>
      <c r="AD220">
        <v>0</v>
      </c>
      <c r="AE220">
        <v>11232073</v>
      </c>
      <c r="AF220" t="s">
        <v>79</v>
      </c>
      <c r="AG220" t="s">
        <v>260</v>
      </c>
    </row>
    <row r="221" spans="1:33" x14ac:dyDescent="0.35">
      <c r="A221" s="18">
        <v>44520.943749999999</v>
      </c>
      <c r="B221">
        <v>3328984</v>
      </c>
      <c r="C221" t="s">
        <v>690</v>
      </c>
      <c r="D221" t="s">
        <v>691</v>
      </c>
      <c r="E221" s="19">
        <v>39600</v>
      </c>
      <c r="F221" t="str">
        <f>"9781588269881"</f>
        <v>9781588269881</v>
      </c>
      <c r="G221" t="str">
        <f>"9781588265692"</f>
        <v>9781588265692</v>
      </c>
      <c r="H221" t="s">
        <v>308</v>
      </c>
      <c r="I221">
        <v>297.27</v>
      </c>
      <c r="J221" t="s">
        <v>692</v>
      </c>
      <c r="K221" t="s">
        <v>73</v>
      </c>
      <c r="N221" t="s">
        <v>74</v>
      </c>
      <c r="O221" t="s">
        <v>75</v>
      </c>
      <c r="P221" t="s">
        <v>74</v>
      </c>
      <c r="Q221" t="s">
        <v>76</v>
      </c>
      <c r="R221" t="s">
        <v>73</v>
      </c>
      <c r="S221">
        <v>0</v>
      </c>
      <c r="W221" s="20">
        <v>3.4560185185185187E-2</v>
      </c>
      <c r="X221" t="s">
        <v>714</v>
      </c>
      <c r="Y221">
        <v>26</v>
      </c>
      <c r="Z221">
        <v>0</v>
      </c>
      <c r="AA221" t="s">
        <v>78</v>
      </c>
      <c r="AB221">
        <v>0</v>
      </c>
      <c r="AC221" t="s">
        <v>78</v>
      </c>
      <c r="AD221">
        <v>0</v>
      </c>
      <c r="AE221">
        <v>10913602</v>
      </c>
      <c r="AF221" t="s">
        <v>79</v>
      </c>
      <c r="AG221" t="s">
        <v>260</v>
      </c>
    </row>
    <row r="222" spans="1:33" x14ac:dyDescent="0.35">
      <c r="A222" s="18">
        <v>44520.931250000001</v>
      </c>
      <c r="B222">
        <v>882588</v>
      </c>
      <c r="C222" t="s">
        <v>555</v>
      </c>
      <c r="D222" t="s">
        <v>556</v>
      </c>
      <c r="E222" s="19">
        <v>40981</v>
      </c>
      <c r="F222" t="str">
        <f>"9781137001313"</f>
        <v>9781137001313</v>
      </c>
      <c r="G222" t="str">
        <f>"9780230220614"</f>
        <v>9780230220614</v>
      </c>
      <c r="H222" t="s">
        <v>557</v>
      </c>
      <c r="I222" t="s">
        <v>558</v>
      </c>
      <c r="J222" t="s">
        <v>559</v>
      </c>
      <c r="K222" t="s">
        <v>85</v>
      </c>
      <c r="P222" t="s">
        <v>297</v>
      </c>
      <c r="Q222" t="s">
        <v>76</v>
      </c>
      <c r="R222" t="s">
        <v>73</v>
      </c>
      <c r="S222">
        <v>0</v>
      </c>
      <c r="W222" s="20">
        <v>1.4143518518518519E-2</v>
      </c>
      <c r="X222" t="s">
        <v>715</v>
      </c>
      <c r="Y222">
        <v>5</v>
      </c>
      <c r="Z222">
        <v>0</v>
      </c>
      <c r="AA222" t="s">
        <v>78</v>
      </c>
      <c r="AB222">
        <v>0</v>
      </c>
      <c r="AC222" t="s">
        <v>78</v>
      </c>
      <c r="AD222">
        <v>0</v>
      </c>
      <c r="AE222">
        <v>10546642</v>
      </c>
      <c r="AF222" t="s">
        <v>79</v>
      </c>
      <c r="AG222" t="s">
        <v>260</v>
      </c>
    </row>
    <row r="223" spans="1:33" x14ac:dyDescent="0.35">
      <c r="A223" s="18">
        <v>44520.887499999997</v>
      </c>
      <c r="B223">
        <v>1137746</v>
      </c>
      <c r="C223" t="s">
        <v>687</v>
      </c>
      <c r="D223" t="s">
        <v>688</v>
      </c>
      <c r="E223" s="19">
        <v>40406</v>
      </c>
      <c r="F223" t="str">
        <f>"9781935295921"</f>
        <v>9781935295921</v>
      </c>
      <c r="G223" t="str">
        <f>"9781935295075"</f>
        <v>9781935295075</v>
      </c>
      <c r="H223" t="s">
        <v>308</v>
      </c>
      <c r="I223">
        <v>297.27</v>
      </c>
      <c r="J223" t="s">
        <v>689</v>
      </c>
      <c r="K223" t="s">
        <v>73</v>
      </c>
      <c r="N223" t="s">
        <v>74</v>
      </c>
      <c r="O223" t="s">
        <v>75</v>
      </c>
      <c r="P223" t="s">
        <v>74</v>
      </c>
      <c r="Q223" t="s">
        <v>76</v>
      </c>
      <c r="R223" t="s">
        <v>73</v>
      </c>
      <c r="S223">
        <v>0</v>
      </c>
      <c r="W223" s="20">
        <v>4.6296296296296294E-5</v>
      </c>
      <c r="X223" t="s">
        <v>132</v>
      </c>
      <c r="Y223">
        <v>1</v>
      </c>
      <c r="Z223">
        <v>0</v>
      </c>
      <c r="AA223" t="s">
        <v>78</v>
      </c>
      <c r="AB223">
        <v>0</v>
      </c>
      <c r="AC223" t="s">
        <v>78</v>
      </c>
      <c r="AD223">
        <v>0</v>
      </c>
      <c r="AE223">
        <v>11144685</v>
      </c>
      <c r="AF223" t="s">
        <v>79</v>
      </c>
      <c r="AG223" t="s">
        <v>260</v>
      </c>
    </row>
    <row r="224" spans="1:33" x14ac:dyDescent="0.35">
      <c r="A224" s="18">
        <v>44520.886111111111</v>
      </c>
      <c r="B224">
        <v>3328984</v>
      </c>
      <c r="C224" t="s">
        <v>690</v>
      </c>
      <c r="D224" t="s">
        <v>691</v>
      </c>
      <c r="E224" s="19">
        <v>39600</v>
      </c>
      <c r="F224" t="str">
        <f>"9781588269881"</f>
        <v>9781588269881</v>
      </c>
      <c r="G224" t="str">
        <f>"9781588265692"</f>
        <v>9781588265692</v>
      </c>
      <c r="H224" t="s">
        <v>308</v>
      </c>
      <c r="I224">
        <v>297.27</v>
      </c>
      <c r="J224" t="s">
        <v>692</v>
      </c>
      <c r="K224" t="s">
        <v>73</v>
      </c>
      <c r="N224" t="s">
        <v>74</v>
      </c>
      <c r="O224" t="s">
        <v>75</v>
      </c>
      <c r="P224" t="s">
        <v>74</v>
      </c>
      <c r="Q224" t="s">
        <v>76</v>
      </c>
      <c r="R224" t="s">
        <v>73</v>
      </c>
      <c r="S224">
        <v>0</v>
      </c>
      <c r="W224" s="20">
        <v>2.6388888888888885E-3</v>
      </c>
      <c r="X224" t="s">
        <v>716</v>
      </c>
      <c r="Y224">
        <v>18</v>
      </c>
      <c r="Z224">
        <v>0</v>
      </c>
      <c r="AA224" t="s">
        <v>78</v>
      </c>
      <c r="AB224">
        <v>0</v>
      </c>
      <c r="AC224" t="s">
        <v>78</v>
      </c>
      <c r="AD224">
        <v>0</v>
      </c>
      <c r="AE224">
        <v>10913602</v>
      </c>
      <c r="AF224" t="s">
        <v>79</v>
      </c>
      <c r="AG224" t="s">
        <v>260</v>
      </c>
    </row>
    <row r="225" spans="1:33" x14ac:dyDescent="0.35">
      <c r="A225" s="18">
        <v>44520.885416666664</v>
      </c>
      <c r="B225">
        <v>3328984</v>
      </c>
      <c r="C225" t="s">
        <v>690</v>
      </c>
      <c r="D225" t="s">
        <v>691</v>
      </c>
      <c r="E225" s="19">
        <v>39600</v>
      </c>
      <c r="F225" t="str">
        <f>"9781588269881"</f>
        <v>9781588269881</v>
      </c>
      <c r="G225" t="str">
        <f>"9781588265692"</f>
        <v>9781588265692</v>
      </c>
      <c r="H225" t="s">
        <v>308</v>
      </c>
      <c r="I225">
        <v>297.27</v>
      </c>
      <c r="J225" t="s">
        <v>692</v>
      </c>
      <c r="K225" t="s">
        <v>73</v>
      </c>
      <c r="N225" t="s">
        <v>74</v>
      </c>
      <c r="O225" t="s">
        <v>75</v>
      </c>
      <c r="P225" t="s">
        <v>74</v>
      </c>
      <c r="Q225" t="s">
        <v>76</v>
      </c>
      <c r="R225" t="s">
        <v>73</v>
      </c>
      <c r="S225">
        <v>0</v>
      </c>
      <c r="W225" s="20">
        <v>2.3148148148148146E-4</v>
      </c>
      <c r="X225" t="s">
        <v>717</v>
      </c>
      <c r="Y225">
        <v>3</v>
      </c>
      <c r="Z225">
        <v>0</v>
      </c>
      <c r="AA225" t="s">
        <v>78</v>
      </c>
      <c r="AB225">
        <v>0</v>
      </c>
      <c r="AC225" t="s">
        <v>78</v>
      </c>
      <c r="AD225">
        <v>0</v>
      </c>
      <c r="AE225">
        <v>10913602</v>
      </c>
      <c r="AF225" t="s">
        <v>79</v>
      </c>
      <c r="AG225" t="s">
        <v>260</v>
      </c>
    </row>
    <row r="226" spans="1:33" x14ac:dyDescent="0.35">
      <c r="A226" s="18">
        <v>44520.885416666664</v>
      </c>
      <c r="B226">
        <v>4545066</v>
      </c>
      <c r="C226" t="s">
        <v>709</v>
      </c>
      <c r="D226" t="s">
        <v>710</v>
      </c>
      <c r="E226" s="19">
        <v>41585</v>
      </c>
      <c r="F226" t="str">
        <f>"9780814638477"</f>
        <v>9780814638477</v>
      </c>
      <c r="G226" t="str">
        <f>"9780814638224"</f>
        <v>9780814638224</v>
      </c>
      <c r="H226" t="s">
        <v>308</v>
      </c>
      <c r="I226">
        <v>261.27</v>
      </c>
      <c r="J226" t="s">
        <v>711</v>
      </c>
      <c r="K226" t="s">
        <v>73</v>
      </c>
      <c r="N226" t="s">
        <v>74</v>
      </c>
      <c r="O226" t="s">
        <v>75</v>
      </c>
      <c r="P226" t="s">
        <v>74</v>
      </c>
      <c r="Q226" t="s">
        <v>76</v>
      </c>
      <c r="R226" t="s">
        <v>73</v>
      </c>
      <c r="S226">
        <v>0</v>
      </c>
      <c r="W226" s="20">
        <v>1.0300925925925926E-3</v>
      </c>
      <c r="X226" t="s">
        <v>360</v>
      </c>
      <c r="Y226">
        <v>2</v>
      </c>
      <c r="Z226">
        <v>0</v>
      </c>
      <c r="AA226" t="s">
        <v>78</v>
      </c>
      <c r="AB226">
        <v>0</v>
      </c>
      <c r="AC226" t="s">
        <v>78</v>
      </c>
      <c r="AD226">
        <v>0</v>
      </c>
      <c r="AE226">
        <v>11232073</v>
      </c>
      <c r="AF226" t="s">
        <v>79</v>
      </c>
      <c r="AG226" t="s">
        <v>260</v>
      </c>
    </row>
    <row r="227" spans="1:33" x14ac:dyDescent="0.35">
      <c r="A227" s="18">
        <v>44520.875</v>
      </c>
      <c r="B227">
        <v>882588</v>
      </c>
      <c r="C227" t="s">
        <v>555</v>
      </c>
      <c r="D227" t="s">
        <v>556</v>
      </c>
      <c r="E227" s="19">
        <v>40981</v>
      </c>
      <c r="F227" t="str">
        <f>"9781137001313"</f>
        <v>9781137001313</v>
      </c>
      <c r="G227" t="str">
        <f>"9780230220614"</f>
        <v>9780230220614</v>
      </c>
      <c r="H227" t="s">
        <v>557</v>
      </c>
      <c r="I227" t="s">
        <v>558</v>
      </c>
      <c r="J227" t="s">
        <v>559</v>
      </c>
      <c r="K227" t="s">
        <v>85</v>
      </c>
      <c r="P227" t="s">
        <v>297</v>
      </c>
      <c r="Q227" t="s">
        <v>76</v>
      </c>
      <c r="R227" t="s">
        <v>73</v>
      </c>
      <c r="S227">
        <v>0</v>
      </c>
      <c r="W227" s="20">
        <v>2.5185185185185185E-2</v>
      </c>
      <c r="X227" t="s">
        <v>718</v>
      </c>
      <c r="Y227">
        <v>13</v>
      </c>
      <c r="Z227">
        <v>0</v>
      </c>
      <c r="AA227" t="s">
        <v>78</v>
      </c>
      <c r="AB227">
        <v>0</v>
      </c>
      <c r="AC227" t="s">
        <v>78</v>
      </c>
      <c r="AD227">
        <v>0</v>
      </c>
      <c r="AE227">
        <v>10546642</v>
      </c>
      <c r="AF227" t="s">
        <v>79</v>
      </c>
      <c r="AG227" t="s">
        <v>260</v>
      </c>
    </row>
    <row r="228" spans="1:33" x14ac:dyDescent="0.35">
      <c r="A228" s="18">
        <v>44520.824999999997</v>
      </c>
      <c r="B228">
        <v>882588</v>
      </c>
      <c r="C228" t="s">
        <v>555</v>
      </c>
      <c r="D228" t="s">
        <v>556</v>
      </c>
      <c r="E228" s="19">
        <v>40981</v>
      </c>
      <c r="F228" t="str">
        <f>"9781137001313"</f>
        <v>9781137001313</v>
      </c>
      <c r="G228" t="str">
        <f>"9780230220614"</f>
        <v>9780230220614</v>
      </c>
      <c r="H228" t="s">
        <v>557</v>
      </c>
      <c r="I228" t="s">
        <v>558</v>
      </c>
      <c r="J228" t="s">
        <v>559</v>
      </c>
      <c r="K228" t="s">
        <v>85</v>
      </c>
      <c r="P228" t="s">
        <v>297</v>
      </c>
      <c r="Q228" t="s">
        <v>76</v>
      </c>
      <c r="R228" t="s">
        <v>73</v>
      </c>
      <c r="S228">
        <v>0</v>
      </c>
      <c r="W228" s="20">
        <v>3.005787037037037E-2</v>
      </c>
      <c r="X228" t="s">
        <v>607</v>
      </c>
      <c r="Y228">
        <v>5</v>
      </c>
      <c r="Z228">
        <v>0</v>
      </c>
      <c r="AA228" t="s">
        <v>78</v>
      </c>
      <c r="AB228">
        <v>0</v>
      </c>
      <c r="AC228" t="s">
        <v>719</v>
      </c>
      <c r="AD228">
        <v>1</v>
      </c>
      <c r="AE228">
        <v>10546642</v>
      </c>
      <c r="AF228" t="s">
        <v>79</v>
      </c>
      <c r="AG228" t="s">
        <v>260</v>
      </c>
    </row>
    <row r="229" spans="1:33" x14ac:dyDescent="0.35">
      <c r="A229" s="18">
        <v>44520.820833333331</v>
      </c>
      <c r="B229">
        <v>739037</v>
      </c>
      <c r="C229" t="s">
        <v>649</v>
      </c>
      <c r="D229" t="s">
        <v>158</v>
      </c>
      <c r="E229" s="19">
        <v>40788</v>
      </c>
      <c r="F229" t="str">
        <f>"9780123850829"</f>
        <v>9780123850829</v>
      </c>
      <c r="G229" t="str">
        <f>"9780123850812"</f>
        <v>9780123850812</v>
      </c>
      <c r="H229" t="s">
        <v>115</v>
      </c>
      <c r="I229">
        <v>518.02855299999999</v>
      </c>
      <c r="J229" t="s">
        <v>650</v>
      </c>
      <c r="K229" t="s">
        <v>73</v>
      </c>
      <c r="N229" t="s">
        <v>74</v>
      </c>
      <c r="O229" t="s">
        <v>75</v>
      </c>
      <c r="P229" t="s">
        <v>74</v>
      </c>
      <c r="Q229" t="s">
        <v>76</v>
      </c>
      <c r="R229" t="s">
        <v>73</v>
      </c>
      <c r="S229">
        <v>0</v>
      </c>
      <c r="W229" s="20">
        <v>2.0601851851851853E-3</v>
      </c>
      <c r="X229" t="s">
        <v>720</v>
      </c>
      <c r="Y229">
        <v>10</v>
      </c>
      <c r="Z229">
        <v>0</v>
      </c>
      <c r="AA229" t="s">
        <v>78</v>
      </c>
      <c r="AB229">
        <v>0</v>
      </c>
      <c r="AC229" t="s">
        <v>78</v>
      </c>
      <c r="AD229">
        <v>0</v>
      </c>
      <c r="AE229">
        <v>10483436</v>
      </c>
      <c r="AF229" t="s">
        <v>79</v>
      </c>
      <c r="AG229" t="s">
        <v>721</v>
      </c>
    </row>
    <row r="230" spans="1:33" x14ac:dyDescent="0.35">
      <c r="A230" s="18">
        <v>44520.64166666667</v>
      </c>
      <c r="B230">
        <v>290756</v>
      </c>
      <c r="C230" t="s">
        <v>722</v>
      </c>
      <c r="D230" t="s">
        <v>723</v>
      </c>
      <c r="E230" s="19">
        <v>37371</v>
      </c>
      <c r="F230" t="str">
        <f>"9781846423369"</f>
        <v>9781846423369</v>
      </c>
      <c r="G230" t="str">
        <f>"9781843100768"</f>
        <v>9781843100768</v>
      </c>
      <c r="H230" t="s">
        <v>724</v>
      </c>
      <c r="I230" t="s">
        <v>725</v>
      </c>
      <c r="J230" t="s">
        <v>726</v>
      </c>
      <c r="K230" t="s">
        <v>73</v>
      </c>
      <c r="N230" t="s">
        <v>74</v>
      </c>
      <c r="O230" t="s">
        <v>75</v>
      </c>
      <c r="P230" t="s">
        <v>74</v>
      </c>
      <c r="Q230" t="s">
        <v>76</v>
      </c>
      <c r="R230" t="s">
        <v>73</v>
      </c>
      <c r="S230">
        <v>0</v>
      </c>
      <c r="W230" s="20">
        <v>2.7407407407407408E-2</v>
      </c>
      <c r="X230" t="s">
        <v>727</v>
      </c>
      <c r="Y230">
        <v>9</v>
      </c>
      <c r="Z230">
        <v>0</v>
      </c>
      <c r="AA230" t="s">
        <v>78</v>
      </c>
      <c r="AB230">
        <v>0</v>
      </c>
      <c r="AC230" t="s">
        <v>728</v>
      </c>
      <c r="AD230">
        <v>1</v>
      </c>
      <c r="AE230">
        <v>10064397</v>
      </c>
      <c r="AF230" t="s">
        <v>79</v>
      </c>
      <c r="AG230" t="s">
        <v>657</v>
      </c>
    </row>
    <row r="231" spans="1:33" x14ac:dyDescent="0.35">
      <c r="A231" s="18">
        <v>44520.623611111114</v>
      </c>
      <c r="B231">
        <v>4187157</v>
      </c>
      <c r="C231" t="s">
        <v>672</v>
      </c>
      <c r="D231" t="s">
        <v>70</v>
      </c>
      <c r="E231" s="19">
        <v>42310</v>
      </c>
      <c r="F231" t="str">
        <f>"9781118603581"</f>
        <v>9781118603581</v>
      </c>
      <c r="G231" t="str">
        <f>"9781118505571"</f>
        <v>9781118505571</v>
      </c>
      <c r="H231" t="s">
        <v>673</v>
      </c>
      <c r="I231" t="s">
        <v>674</v>
      </c>
      <c r="J231" t="s">
        <v>675</v>
      </c>
      <c r="K231" t="s">
        <v>73</v>
      </c>
      <c r="N231" t="s">
        <v>74</v>
      </c>
      <c r="O231" t="s">
        <v>75</v>
      </c>
      <c r="P231" t="s">
        <v>74</v>
      </c>
      <c r="Q231" t="s">
        <v>76</v>
      </c>
      <c r="R231" t="s">
        <v>73</v>
      </c>
      <c r="S231">
        <v>0</v>
      </c>
      <c r="W231" s="20">
        <v>1.3888888888888889E-4</v>
      </c>
      <c r="X231" t="s">
        <v>125</v>
      </c>
      <c r="Y231">
        <v>2</v>
      </c>
      <c r="Z231">
        <v>0</v>
      </c>
      <c r="AA231" t="s">
        <v>78</v>
      </c>
      <c r="AB231">
        <v>0</v>
      </c>
      <c r="AC231" t="s">
        <v>78</v>
      </c>
      <c r="AD231">
        <v>0</v>
      </c>
      <c r="AE231">
        <v>11128318</v>
      </c>
      <c r="AF231" t="s">
        <v>79</v>
      </c>
      <c r="AG231" t="s">
        <v>702</v>
      </c>
    </row>
    <row r="232" spans="1:33" x14ac:dyDescent="0.35">
      <c r="A232" s="18">
        <v>44520.459027777775</v>
      </c>
      <c r="B232">
        <v>827026</v>
      </c>
      <c r="C232" t="s">
        <v>456</v>
      </c>
      <c r="D232" t="s">
        <v>127</v>
      </c>
      <c r="E232" s="19">
        <v>40898</v>
      </c>
      <c r="F232" t="str">
        <f>"9781439846742"</f>
        <v>9781439846742</v>
      </c>
      <c r="G232" t="str">
        <f>"9781439846735"</f>
        <v>9781439846735</v>
      </c>
      <c r="H232" t="s">
        <v>457</v>
      </c>
      <c r="I232">
        <v>664.07</v>
      </c>
      <c r="J232" t="s">
        <v>458</v>
      </c>
      <c r="K232" t="s">
        <v>73</v>
      </c>
      <c r="N232" t="s">
        <v>74</v>
      </c>
      <c r="O232" t="s">
        <v>75</v>
      </c>
      <c r="P232" t="s">
        <v>74</v>
      </c>
      <c r="Q232" t="s">
        <v>76</v>
      </c>
      <c r="R232" t="s">
        <v>73</v>
      </c>
      <c r="S232">
        <v>0</v>
      </c>
      <c r="W232" s="20">
        <v>1.0416666666666667E-3</v>
      </c>
      <c r="X232" t="s">
        <v>729</v>
      </c>
      <c r="Y232">
        <v>11</v>
      </c>
      <c r="Z232">
        <v>0</v>
      </c>
      <c r="AA232" t="s">
        <v>78</v>
      </c>
      <c r="AB232">
        <v>0</v>
      </c>
      <c r="AC232" t="s">
        <v>78</v>
      </c>
      <c r="AD232">
        <v>0</v>
      </c>
      <c r="AE232">
        <v>10521203</v>
      </c>
      <c r="AF232" t="s">
        <v>79</v>
      </c>
      <c r="AG232" t="s">
        <v>260</v>
      </c>
    </row>
    <row r="233" spans="1:33" x14ac:dyDescent="0.35">
      <c r="A233" s="18">
        <v>44520.033333333333</v>
      </c>
      <c r="B233">
        <v>4915360</v>
      </c>
      <c r="C233" t="s">
        <v>730</v>
      </c>
      <c r="D233" t="s">
        <v>731</v>
      </c>
      <c r="E233" s="19">
        <v>42346</v>
      </c>
      <c r="F233" t="str">
        <f>"9780760361061"</f>
        <v>9780760361061</v>
      </c>
      <c r="G233" t="str">
        <f>"9780785833529"</f>
        <v>9780785833529</v>
      </c>
      <c r="H233" t="s">
        <v>143</v>
      </c>
      <c r="I233">
        <v>650.1</v>
      </c>
      <c r="J233" t="s">
        <v>732</v>
      </c>
      <c r="K233" t="s">
        <v>73</v>
      </c>
      <c r="N233" t="s">
        <v>74</v>
      </c>
      <c r="O233" t="s">
        <v>75</v>
      </c>
      <c r="P233" t="s">
        <v>74</v>
      </c>
      <c r="Q233" t="s">
        <v>76</v>
      </c>
      <c r="R233" t="s">
        <v>73</v>
      </c>
      <c r="S233">
        <v>1</v>
      </c>
      <c r="W233" s="20">
        <v>5.5671296296296302E-3</v>
      </c>
      <c r="X233" t="s">
        <v>733</v>
      </c>
      <c r="Y233">
        <v>25</v>
      </c>
      <c r="Z233">
        <v>1</v>
      </c>
      <c r="AA233" t="s">
        <v>734</v>
      </c>
      <c r="AB233">
        <v>13</v>
      </c>
      <c r="AC233" t="s">
        <v>78</v>
      </c>
      <c r="AD233">
        <v>0</v>
      </c>
      <c r="AE233">
        <v>11412495</v>
      </c>
      <c r="AF233" t="s">
        <v>88</v>
      </c>
      <c r="AG233" t="s">
        <v>260</v>
      </c>
    </row>
    <row r="234" spans="1:33" x14ac:dyDescent="0.35">
      <c r="A234" s="18">
        <v>44520.032638888886</v>
      </c>
      <c r="B234">
        <v>4915360</v>
      </c>
      <c r="C234" t="s">
        <v>730</v>
      </c>
      <c r="D234" t="s">
        <v>731</v>
      </c>
      <c r="E234" s="19">
        <v>42346</v>
      </c>
      <c r="F234" t="str">
        <f>"9780760361061"</f>
        <v>9780760361061</v>
      </c>
      <c r="G234" t="str">
        <f>"9780785833529"</f>
        <v>9780785833529</v>
      </c>
      <c r="H234" t="s">
        <v>143</v>
      </c>
      <c r="I234">
        <v>650.1</v>
      </c>
      <c r="J234" t="s">
        <v>732</v>
      </c>
      <c r="K234" t="s">
        <v>73</v>
      </c>
      <c r="N234" t="s">
        <v>74</v>
      </c>
      <c r="O234" t="s">
        <v>75</v>
      </c>
      <c r="P234" t="s">
        <v>74</v>
      </c>
      <c r="Q234" t="s">
        <v>76</v>
      </c>
      <c r="R234" t="s">
        <v>73</v>
      </c>
      <c r="S234">
        <v>0</v>
      </c>
      <c r="W234" s="20">
        <v>2.0833333333333335E-4</v>
      </c>
      <c r="X234" t="s">
        <v>735</v>
      </c>
      <c r="Y234">
        <v>4</v>
      </c>
      <c r="Z234">
        <v>0</v>
      </c>
      <c r="AA234" t="s">
        <v>78</v>
      </c>
      <c r="AB234">
        <v>0</v>
      </c>
      <c r="AC234" t="s">
        <v>78</v>
      </c>
      <c r="AD234">
        <v>0</v>
      </c>
      <c r="AE234">
        <v>11412495</v>
      </c>
      <c r="AF234" t="s">
        <v>88</v>
      </c>
      <c r="AG234" t="s">
        <v>260</v>
      </c>
    </row>
    <row r="235" spans="1:33" x14ac:dyDescent="0.35">
      <c r="A235" s="18">
        <v>44520.027777777781</v>
      </c>
      <c r="B235">
        <v>5747155</v>
      </c>
      <c r="C235" t="s">
        <v>736</v>
      </c>
      <c r="D235" t="s">
        <v>737</v>
      </c>
      <c r="E235" s="19">
        <v>43559</v>
      </c>
      <c r="F235" t="str">
        <f>"9782808017244"</f>
        <v>9782808017244</v>
      </c>
      <c r="G235" t="str">
        <f>""</f>
        <v/>
      </c>
      <c r="H235" t="s">
        <v>738</v>
      </c>
      <c r="I235">
        <v>158.1</v>
      </c>
      <c r="J235" t="s">
        <v>739</v>
      </c>
      <c r="K235" t="s">
        <v>85</v>
      </c>
      <c r="N235" t="s">
        <v>86</v>
      </c>
      <c r="P235" t="s">
        <v>87</v>
      </c>
      <c r="Q235" t="s">
        <v>76</v>
      </c>
      <c r="R235" t="s">
        <v>73</v>
      </c>
      <c r="S235">
        <v>1</v>
      </c>
      <c r="T235">
        <v>90</v>
      </c>
      <c r="U235" s="18">
        <v>44520.027777777781</v>
      </c>
      <c r="V235" s="18">
        <v>44610.027777777781</v>
      </c>
      <c r="W235" s="20">
        <v>0</v>
      </c>
      <c r="X235" t="s">
        <v>78</v>
      </c>
      <c r="Y235">
        <v>0</v>
      </c>
      <c r="Z235">
        <v>0</v>
      </c>
      <c r="AA235" t="s">
        <v>78</v>
      </c>
      <c r="AB235">
        <v>0</v>
      </c>
      <c r="AC235" t="s">
        <v>78</v>
      </c>
      <c r="AD235">
        <v>0</v>
      </c>
      <c r="AE235">
        <v>-1</v>
      </c>
      <c r="AF235" t="s">
        <v>88</v>
      </c>
      <c r="AG235" t="s">
        <v>260</v>
      </c>
    </row>
    <row r="236" spans="1:33" x14ac:dyDescent="0.35">
      <c r="A236" s="18">
        <v>44520.023611111108</v>
      </c>
      <c r="B236">
        <v>4877061</v>
      </c>
      <c r="C236" t="s">
        <v>740</v>
      </c>
      <c r="D236" t="s">
        <v>741</v>
      </c>
      <c r="E236" s="19">
        <v>42491</v>
      </c>
      <c r="F236" t="str">
        <f>"9781423231219"</f>
        <v>9781423231219</v>
      </c>
      <c r="G236" t="str">
        <f>"9781423231097"</f>
        <v>9781423231097</v>
      </c>
      <c r="H236" t="s">
        <v>461</v>
      </c>
      <c r="I236">
        <v>355.00202000000002</v>
      </c>
      <c r="J236" t="s">
        <v>742</v>
      </c>
      <c r="K236" t="s">
        <v>73</v>
      </c>
      <c r="N236" t="s">
        <v>74</v>
      </c>
      <c r="O236" t="s">
        <v>75</v>
      </c>
      <c r="P236" t="s">
        <v>74</v>
      </c>
      <c r="Q236" t="s">
        <v>76</v>
      </c>
      <c r="R236" t="s">
        <v>73</v>
      </c>
      <c r="S236">
        <v>0</v>
      </c>
      <c r="W236" s="20">
        <v>9.2592592592592588E-5</v>
      </c>
      <c r="X236" t="s">
        <v>360</v>
      </c>
      <c r="Y236">
        <v>2</v>
      </c>
      <c r="Z236">
        <v>0</v>
      </c>
      <c r="AA236" t="s">
        <v>78</v>
      </c>
      <c r="AB236">
        <v>0</v>
      </c>
      <c r="AC236" t="s">
        <v>78</v>
      </c>
      <c r="AD236">
        <v>0</v>
      </c>
      <c r="AE236">
        <v>11397724</v>
      </c>
      <c r="AF236" t="s">
        <v>79</v>
      </c>
      <c r="AG236" t="s">
        <v>260</v>
      </c>
    </row>
    <row r="237" spans="1:33" x14ac:dyDescent="0.35">
      <c r="A237" s="18">
        <v>44519.963888888888</v>
      </c>
      <c r="B237">
        <v>5754433</v>
      </c>
      <c r="C237" t="s">
        <v>649</v>
      </c>
      <c r="D237" t="s">
        <v>158</v>
      </c>
      <c r="E237" s="19">
        <v>41474</v>
      </c>
      <c r="F237" t="str">
        <f>"9780124058934"</f>
        <v>9780124058934</v>
      </c>
      <c r="G237" t="str">
        <f>"9780124058767"</f>
        <v>9780124058767</v>
      </c>
      <c r="H237" t="s">
        <v>115</v>
      </c>
      <c r="I237">
        <v>518.02855299999999</v>
      </c>
      <c r="J237" t="s">
        <v>652</v>
      </c>
      <c r="K237" t="s">
        <v>73</v>
      </c>
      <c r="N237" t="s">
        <v>74</v>
      </c>
      <c r="O237" t="s">
        <v>75</v>
      </c>
      <c r="P237" t="s">
        <v>74</v>
      </c>
      <c r="Q237" t="s">
        <v>76</v>
      </c>
      <c r="R237" t="s">
        <v>73</v>
      </c>
      <c r="S237">
        <v>0</v>
      </c>
      <c r="W237" s="20">
        <v>4.6296296296296294E-5</v>
      </c>
      <c r="X237" t="s">
        <v>132</v>
      </c>
      <c r="Y237">
        <v>1</v>
      </c>
      <c r="Z237">
        <v>0</v>
      </c>
      <c r="AA237" t="s">
        <v>78</v>
      </c>
      <c r="AB237">
        <v>0</v>
      </c>
      <c r="AC237" t="s">
        <v>78</v>
      </c>
      <c r="AD237">
        <v>0</v>
      </c>
      <c r="AE237">
        <v>-1</v>
      </c>
      <c r="AF237" t="s">
        <v>79</v>
      </c>
      <c r="AG237" t="s">
        <v>721</v>
      </c>
    </row>
    <row r="238" spans="1:33" x14ac:dyDescent="0.35">
      <c r="A238" s="18">
        <v>44519.963888888888</v>
      </c>
      <c r="B238">
        <v>739037</v>
      </c>
      <c r="C238" t="s">
        <v>649</v>
      </c>
      <c r="D238" t="s">
        <v>158</v>
      </c>
      <c r="E238" s="19">
        <v>40788</v>
      </c>
      <c r="F238" t="str">
        <f>"9780123850829"</f>
        <v>9780123850829</v>
      </c>
      <c r="G238" t="str">
        <f>"9780123850812"</f>
        <v>9780123850812</v>
      </c>
      <c r="H238" t="s">
        <v>115</v>
      </c>
      <c r="I238">
        <v>518.02855299999999</v>
      </c>
      <c r="J238" t="s">
        <v>650</v>
      </c>
      <c r="K238" t="s">
        <v>73</v>
      </c>
      <c r="N238" t="s">
        <v>74</v>
      </c>
      <c r="O238" t="s">
        <v>75</v>
      </c>
      <c r="P238" t="s">
        <v>74</v>
      </c>
      <c r="Q238" t="s">
        <v>76</v>
      </c>
      <c r="R238" t="s">
        <v>73</v>
      </c>
      <c r="S238">
        <v>0</v>
      </c>
      <c r="W238" s="20">
        <v>1.5138888888888889E-2</v>
      </c>
      <c r="X238" t="s">
        <v>743</v>
      </c>
      <c r="Y238">
        <v>27</v>
      </c>
      <c r="Z238">
        <v>0</v>
      </c>
      <c r="AA238" t="s">
        <v>78</v>
      </c>
      <c r="AB238">
        <v>0</v>
      </c>
      <c r="AC238" t="s">
        <v>744</v>
      </c>
      <c r="AD238">
        <v>3</v>
      </c>
      <c r="AE238">
        <v>10483436</v>
      </c>
      <c r="AF238" t="s">
        <v>79</v>
      </c>
      <c r="AG238" t="s">
        <v>721</v>
      </c>
    </row>
    <row r="239" spans="1:33" x14ac:dyDescent="0.35">
      <c r="A239" s="18">
        <v>44519.963888888888</v>
      </c>
      <c r="B239">
        <v>3017388</v>
      </c>
      <c r="C239" t="s">
        <v>745</v>
      </c>
      <c r="D239" t="s">
        <v>234</v>
      </c>
      <c r="E239" s="19">
        <v>39783</v>
      </c>
      <c r="F239" t="str">
        <f>"9788122429206"</f>
        <v>9788122429206</v>
      </c>
      <c r="G239" t="str">
        <f>"9788122426984"</f>
        <v>9788122426984</v>
      </c>
      <c r="H239" t="s">
        <v>115</v>
      </c>
      <c r="J239" t="s">
        <v>746</v>
      </c>
      <c r="K239" t="s">
        <v>73</v>
      </c>
      <c r="N239" t="s">
        <v>74</v>
      </c>
      <c r="O239" t="s">
        <v>75</v>
      </c>
      <c r="P239" t="s">
        <v>74</v>
      </c>
      <c r="Q239" t="s">
        <v>76</v>
      </c>
      <c r="R239" t="s">
        <v>73</v>
      </c>
      <c r="S239">
        <v>0</v>
      </c>
      <c r="W239" s="20">
        <v>1.7708333333333332E-3</v>
      </c>
      <c r="X239" t="s">
        <v>747</v>
      </c>
      <c r="Y239">
        <v>12</v>
      </c>
      <c r="Z239">
        <v>0</v>
      </c>
      <c r="AA239" t="s">
        <v>78</v>
      </c>
      <c r="AB239">
        <v>0</v>
      </c>
      <c r="AC239" t="s">
        <v>78</v>
      </c>
      <c r="AD239">
        <v>0</v>
      </c>
      <c r="AE239">
        <v>10355537</v>
      </c>
      <c r="AF239" t="s">
        <v>79</v>
      </c>
      <c r="AG239" t="s">
        <v>721</v>
      </c>
    </row>
    <row r="240" spans="1:33" x14ac:dyDescent="0.35">
      <c r="A240" s="18">
        <v>44519.6875</v>
      </c>
      <c r="B240">
        <v>1124089</v>
      </c>
      <c r="C240" t="s">
        <v>748</v>
      </c>
      <c r="D240" t="s">
        <v>70</v>
      </c>
      <c r="E240" s="19">
        <v>41393</v>
      </c>
      <c r="F240" t="str">
        <f>"9781118535950"</f>
        <v>9781118535950</v>
      </c>
      <c r="G240" t="str">
        <f>"9781444333909"</f>
        <v>9781444333909</v>
      </c>
      <c r="H240" t="s">
        <v>222</v>
      </c>
      <c r="I240">
        <v>616.07539999999995</v>
      </c>
      <c r="J240" t="s">
        <v>749</v>
      </c>
      <c r="K240" t="s">
        <v>73</v>
      </c>
      <c r="N240" t="s">
        <v>74</v>
      </c>
      <c r="O240" t="s">
        <v>75</v>
      </c>
      <c r="P240" t="s">
        <v>74</v>
      </c>
      <c r="Q240" t="s">
        <v>76</v>
      </c>
      <c r="R240" t="s">
        <v>73</v>
      </c>
      <c r="S240">
        <v>0</v>
      </c>
      <c r="W240" s="20">
        <v>1.423611111111111E-3</v>
      </c>
      <c r="X240" t="s">
        <v>750</v>
      </c>
      <c r="Y240">
        <v>18</v>
      </c>
      <c r="Z240">
        <v>0</v>
      </c>
      <c r="AA240" t="s">
        <v>78</v>
      </c>
      <c r="AB240">
        <v>0</v>
      </c>
      <c r="AC240" t="s">
        <v>78</v>
      </c>
      <c r="AD240">
        <v>0</v>
      </c>
      <c r="AE240">
        <v>10658414</v>
      </c>
      <c r="AF240" t="s">
        <v>79</v>
      </c>
      <c r="AG240" t="s">
        <v>721</v>
      </c>
    </row>
    <row r="241" spans="1:33" x14ac:dyDescent="0.35">
      <c r="A241" s="18">
        <v>44519.685416666667</v>
      </c>
      <c r="B241">
        <v>4040525</v>
      </c>
      <c r="C241" t="s">
        <v>751</v>
      </c>
      <c r="D241" t="s">
        <v>70</v>
      </c>
      <c r="E241" s="19">
        <v>42289</v>
      </c>
      <c r="F241" t="str">
        <f>"9781119013037"</f>
        <v>9781119013037</v>
      </c>
      <c r="G241" t="str">
        <f>"9781119013051"</f>
        <v>9781119013051</v>
      </c>
      <c r="H241" t="s">
        <v>222</v>
      </c>
      <c r="I241">
        <v>616.07547999999997</v>
      </c>
      <c r="J241" t="s">
        <v>752</v>
      </c>
      <c r="K241" t="s">
        <v>73</v>
      </c>
      <c r="N241" t="s">
        <v>74</v>
      </c>
      <c r="O241" t="s">
        <v>75</v>
      </c>
      <c r="P241" t="s">
        <v>74</v>
      </c>
      <c r="Q241" t="s">
        <v>76</v>
      </c>
      <c r="R241" t="s">
        <v>73</v>
      </c>
      <c r="S241">
        <v>0</v>
      </c>
      <c r="W241" s="20">
        <v>1.689814814814815E-3</v>
      </c>
      <c r="X241" t="s">
        <v>753</v>
      </c>
      <c r="Y241">
        <v>12</v>
      </c>
      <c r="Z241">
        <v>0</v>
      </c>
      <c r="AA241" t="s">
        <v>78</v>
      </c>
      <c r="AB241">
        <v>0</v>
      </c>
      <c r="AC241" t="s">
        <v>78</v>
      </c>
      <c r="AD241">
        <v>0</v>
      </c>
      <c r="AE241">
        <v>11088048</v>
      </c>
      <c r="AF241" t="s">
        <v>79</v>
      </c>
      <c r="AG241" t="s">
        <v>721</v>
      </c>
    </row>
    <row r="242" spans="1:33" x14ac:dyDescent="0.35">
      <c r="A242" s="18">
        <v>44519.631944444445</v>
      </c>
      <c r="B242">
        <v>882588</v>
      </c>
      <c r="C242" t="s">
        <v>555</v>
      </c>
      <c r="D242" t="s">
        <v>556</v>
      </c>
      <c r="E242" s="19">
        <v>40981</v>
      </c>
      <c r="F242" t="str">
        <f>"9781137001313"</f>
        <v>9781137001313</v>
      </c>
      <c r="G242" t="str">
        <f>"9780230220614"</f>
        <v>9780230220614</v>
      </c>
      <c r="H242" t="s">
        <v>557</v>
      </c>
      <c r="I242" t="s">
        <v>558</v>
      </c>
      <c r="J242" t="s">
        <v>559</v>
      </c>
      <c r="K242" t="s">
        <v>85</v>
      </c>
      <c r="P242" t="s">
        <v>297</v>
      </c>
      <c r="Q242" t="s">
        <v>76</v>
      </c>
      <c r="R242" t="s">
        <v>73</v>
      </c>
      <c r="S242">
        <v>0</v>
      </c>
      <c r="W242" s="20">
        <v>1.9872685185185184E-2</v>
      </c>
      <c r="X242" t="s">
        <v>754</v>
      </c>
      <c r="Y242">
        <v>39</v>
      </c>
      <c r="Z242">
        <v>0</v>
      </c>
      <c r="AA242" t="s">
        <v>78</v>
      </c>
      <c r="AB242">
        <v>0</v>
      </c>
      <c r="AC242" t="s">
        <v>78</v>
      </c>
      <c r="AD242">
        <v>0</v>
      </c>
      <c r="AE242">
        <v>10546642</v>
      </c>
      <c r="AF242" t="s">
        <v>79</v>
      </c>
      <c r="AG242" t="s">
        <v>260</v>
      </c>
    </row>
    <row r="243" spans="1:33" x14ac:dyDescent="0.35">
      <c r="A243" s="18">
        <v>44519.628472222219</v>
      </c>
      <c r="B243">
        <v>1182977</v>
      </c>
      <c r="C243" t="s">
        <v>755</v>
      </c>
      <c r="D243" t="s">
        <v>538</v>
      </c>
      <c r="E243" s="19">
        <v>41365</v>
      </c>
      <c r="F243" t="str">
        <f>"9781107058255"</f>
        <v>9781107058255</v>
      </c>
      <c r="G243" t="str">
        <f>"9781107033634"</f>
        <v>9781107033634</v>
      </c>
      <c r="H243" t="s">
        <v>756</v>
      </c>
      <c r="I243">
        <v>956.01499999999999</v>
      </c>
      <c r="J243" t="s">
        <v>757</v>
      </c>
      <c r="K243" t="s">
        <v>73</v>
      </c>
      <c r="N243" t="s">
        <v>74</v>
      </c>
      <c r="O243" t="s">
        <v>75</v>
      </c>
      <c r="P243" t="s">
        <v>74</v>
      </c>
      <c r="Q243" t="s">
        <v>76</v>
      </c>
      <c r="R243" t="s">
        <v>73</v>
      </c>
      <c r="S243">
        <v>0</v>
      </c>
      <c r="W243" s="20">
        <v>1.5393518518518519E-3</v>
      </c>
      <c r="X243" t="s">
        <v>758</v>
      </c>
      <c r="Y243">
        <v>5</v>
      </c>
      <c r="Z243">
        <v>0</v>
      </c>
      <c r="AA243" t="s">
        <v>78</v>
      </c>
      <c r="AB243">
        <v>0</v>
      </c>
      <c r="AC243" t="s">
        <v>78</v>
      </c>
      <c r="AD243">
        <v>0</v>
      </c>
      <c r="AE243">
        <v>10753008</v>
      </c>
      <c r="AF243" t="s">
        <v>79</v>
      </c>
      <c r="AG243" t="s">
        <v>415</v>
      </c>
    </row>
    <row r="244" spans="1:33" x14ac:dyDescent="0.35">
      <c r="A244" s="18">
        <v>44519.627083333333</v>
      </c>
      <c r="B244">
        <v>253767</v>
      </c>
      <c r="C244" t="s">
        <v>759</v>
      </c>
      <c r="D244" t="s">
        <v>506</v>
      </c>
      <c r="E244" s="19">
        <v>37967</v>
      </c>
      <c r="F244" t="str">
        <f>"9789047400141"</f>
        <v>9789047400141</v>
      </c>
      <c r="G244" t="str">
        <f>"9789004108875"</f>
        <v>9789004108875</v>
      </c>
      <c r="H244" t="s">
        <v>760</v>
      </c>
      <c r="I244" t="s">
        <v>761</v>
      </c>
      <c r="J244" t="s">
        <v>762</v>
      </c>
      <c r="K244" t="s">
        <v>73</v>
      </c>
      <c r="N244" t="s">
        <v>74</v>
      </c>
      <c r="O244" t="s">
        <v>75</v>
      </c>
      <c r="P244" t="s">
        <v>74</v>
      </c>
      <c r="Q244" t="s">
        <v>76</v>
      </c>
      <c r="R244" t="s">
        <v>73</v>
      </c>
      <c r="S244">
        <v>0</v>
      </c>
      <c r="W244" s="20">
        <v>8.449074074074075E-4</v>
      </c>
      <c r="X244" t="s">
        <v>763</v>
      </c>
      <c r="Y244">
        <v>7</v>
      </c>
      <c r="Z244">
        <v>0</v>
      </c>
      <c r="AA244" t="s">
        <v>78</v>
      </c>
      <c r="AB244">
        <v>0</v>
      </c>
      <c r="AC244" t="s">
        <v>78</v>
      </c>
      <c r="AD244">
        <v>0</v>
      </c>
      <c r="AE244">
        <v>10090495</v>
      </c>
      <c r="AF244" t="s">
        <v>79</v>
      </c>
      <c r="AG244" t="s">
        <v>415</v>
      </c>
    </row>
    <row r="245" spans="1:33" x14ac:dyDescent="0.35">
      <c r="A245" s="18">
        <v>44519.593055555553</v>
      </c>
      <c r="B245">
        <v>882588</v>
      </c>
      <c r="C245" t="s">
        <v>555</v>
      </c>
      <c r="D245" t="s">
        <v>556</v>
      </c>
      <c r="E245" s="19">
        <v>40981</v>
      </c>
      <c r="F245" t="str">
        <f>"9781137001313"</f>
        <v>9781137001313</v>
      </c>
      <c r="G245" t="str">
        <f>"9780230220614"</f>
        <v>9780230220614</v>
      </c>
      <c r="H245" t="s">
        <v>557</v>
      </c>
      <c r="I245" t="s">
        <v>558</v>
      </c>
      <c r="J245" t="s">
        <v>559</v>
      </c>
      <c r="K245" t="s">
        <v>85</v>
      </c>
      <c r="P245" t="s">
        <v>297</v>
      </c>
      <c r="Q245" t="s">
        <v>76</v>
      </c>
      <c r="R245" t="s">
        <v>73</v>
      </c>
      <c r="S245">
        <v>0</v>
      </c>
      <c r="W245" s="20">
        <v>8.0787037037037043E-3</v>
      </c>
      <c r="X245" t="s">
        <v>764</v>
      </c>
      <c r="Y245">
        <v>3</v>
      </c>
      <c r="Z245">
        <v>0</v>
      </c>
      <c r="AA245" t="s">
        <v>78</v>
      </c>
      <c r="AB245">
        <v>0</v>
      </c>
      <c r="AC245" t="s">
        <v>765</v>
      </c>
      <c r="AD245">
        <v>1</v>
      </c>
      <c r="AE245">
        <v>10546642</v>
      </c>
      <c r="AF245" t="s">
        <v>79</v>
      </c>
      <c r="AG245" t="s">
        <v>260</v>
      </c>
    </row>
    <row r="246" spans="1:33" x14ac:dyDescent="0.35">
      <c r="A246" s="18">
        <v>44519.335416666669</v>
      </c>
      <c r="B246">
        <v>1986897</v>
      </c>
      <c r="C246" t="s">
        <v>766</v>
      </c>
      <c r="D246" t="s">
        <v>158</v>
      </c>
      <c r="E246" s="19">
        <v>42075</v>
      </c>
      <c r="F246" t="str">
        <f>"9781782421269"</f>
        <v>9781782421269</v>
      </c>
      <c r="G246" t="str">
        <f>"9781782421214"</f>
        <v>9781782421214</v>
      </c>
      <c r="H246" t="s">
        <v>767</v>
      </c>
      <c r="I246">
        <v>628.16740000000004</v>
      </c>
      <c r="J246" t="s">
        <v>768</v>
      </c>
      <c r="K246" t="s">
        <v>73</v>
      </c>
      <c r="N246" t="s">
        <v>74</v>
      </c>
      <c r="O246" t="s">
        <v>75</v>
      </c>
      <c r="P246" t="s">
        <v>74</v>
      </c>
      <c r="Q246" t="s">
        <v>76</v>
      </c>
      <c r="R246" t="s">
        <v>73</v>
      </c>
      <c r="S246">
        <v>0</v>
      </c>
      <c r="W246" s="20">
        <v>1.3425925925925925E-3</v>
      </c>
      <c r="X246" t="s">
        <v>769</v>
      </c>
      <c r="Y246">
        <v>17</v>
      </c>
      <c r="Z246">
        <v>0</v>
      </c>
      <c r="AA246" t="s">
        <v>78</v>
      </c>
      <c r="AB246">
        <v>0</v>
      </c>
      <c r="AC246" t="s">
        <v>78</v>
      </c>
      <c r="AD246">
        <v>0</v>
      </c>
      <c r="AE246">
        <v>11025983</v>
      </c>
      <c r="AF246" t="s">
        <v>79</v>
      </c>
      <c r="AG246" t="s">
        <v>770</v>
      </c>
    </row>
    <row r="247" spans="1:33" x14ac:dyDescent="0.35">
      <c r="A247" s="18">
        <v>44518.956250000003</v>
      </c>
      <c r="B247">
        <v>4545066</v>
      </c>
      <c r="C247" t="s">
        <v>709</v>
      </c>
      <c r="D247" t="s">
        <v>710</v>
      </c>
      <c r="E247" s="19">
        <v>41585</v>
      </c>
      <c r="F247" t="str">
        <f>"9780814638477"</f>
        <v>9780814638477</v>
      </c>
      <c r="G247" t="str">
        <f>"9780814638224"</f>
        <v>9780814638224</v>
      </c>
      <c r="H247" t="s">
        <v>308</v>
      </c>
      <c r="I247">
        <v>261.27</v>
      </c>
      <c r="J247" t="s">
        <v>711</v>
      </c>
      <c r="K247" t="s">
        <v>73</v>
      </c>
      <c r="N247" t="s">
        <v>74</v>
      </c>
      <c r="O247" t="s">
        <v>75</v>
      </c>
      <c r="P247" t="s">
        <v>74</v>
      </c>
      <c r="Q247" t="s">
        <v>76</v>
      </c>
      <c r="R247" t="s">
        <v>73</v>
      </c>
      <c r="S247">
        <v>0</v>
      </c>
      <c r="W247" s="20">
        <v>6.134259259259259E-4</v>
      </c>
      <c r="X247" t="s">
        <v>771</v>
      </c>
      <c r="Y247">
        <v>16</v>
      </c>
      <c r="Z247">
        <v>0</v>
      </c>
      <c r="AA247" t="s">
        <v>78</v>
      </c>
      <c r="AB247">
        <v>0</v>
      </c>
      <c r="AC247" t="s">
        <v>78</v>
      </c>
      <c r="AD247">
        <v>0</v>
      </c>
      <c r="AE247">
        <v>11232073</v>
      </c>
      <c r="AF247" t="s">
        <v>79</v>
      </c>
      <c r="AG247" t="s">
        <v>260</v>
      </c>
    </row>
    <row r="248" spans="1:33" x14ac:dyDescent="0.35">
      <c r="A248" s="18">
        <v>44518.95416666667</v>
      </c>
      <c r="B248">
        <v>1137746</v>
      </c>
      <c r="C248" t="s">
        <v>687</v>
      </c>
      <c r="D248" t="s">
        <v>688</v>
      </c>
      <c r="E248" s="19">
        <v>40406</v>
      </c>
      <c r="F248" t="str">
        <f>"9781935295921"</f>
        <v>9781935295921</v>
      </c>
      <c r="G248" t="str">
        <f>"9781935295075"</f>
        <v>9781935295075</v>
      </c>
      <c r="H248" t="s">
        <v>308</v>
      </c>
      <c r="I248">
        <v>297.27</v>
      </c>
      <c r="J248" t="s">
        <v>689</v>
      </c>
      <c r="K248" t="s">
        <v>73</v>
      </c>
      <c r="N248" t="s">
        <v>74</v>
      </c>
      <c r="O248" t="s">
        <v>75</v>
      </c>
      <c r="P248" t="s">
        <v>74</v>
      </c>
      <c r="Q248" t="s">
        <v>76</v>
      </c>
      <c r="R248" t="s">
        <v>73</v>
      </c>
      <c r="S248">
        <v>0</v>
      </c>
      <c r="W248" s="20">
        <v>3.9351851851851852E-4</v>
      </c>
      <c r="X248" t="s">
        <v>772</v>
      </c>
      <c r="Y248">
        <v>11</v>
      </c>
      <c r="Z248">
        <v>0</v>
      </c>
      <c r="AA248" t="s">
        <v>78</v>
      </c>
      <c r="AB248">
        <v>0</v>
      </c>
      <c r="AC248" t="s">
        <v>78</v>
      </c>
      <c r="AD248">
        <v>0</v>
      </c>
      <c r="AE248">
        <v>11144685</v>
      </c>
      <c r="AF248" t="s">
        <v>79</v>
      </c>
      <c r="AG248" t="s">
        <v>260</v>
      </c>
    </row>
    <row r="249" spans="1:33" x14ac:dyDescent="0.35">
      <c r="A249" s="18">
        <v>44518.95208333333</v>
      </c>
      <c r="B249">
        <v>3328984</v>
      </c>
      <c r="C249" t="s">
        <v>690</v>
      </c>
      <c r="D249" t="s">
        <v>691</v>
      </c>
      <c r="E249" s="19">
        <v>39600</v>
      </c>
      <c r="F249" t="str">
        <f>"9781588269881"</f>
        <v>9781588269881</v>
      </c>
      <c r="G249" t="str">
        <f>"9781588265692"</f>
        <v>9781588265692</v>
      </c>
      <c r="H249" t="s">
        <v>308</v>
      </c>
      <c r="I249">
        <v>297.27</v>
      </c>
      <c r="J249" t="s">
        <v>692</v>
      </c>
      <c r="K249" t="s">
        <v>73</v>
      </c>
      <c r="N249" t="s">
        <v>74</v>
      </c>
      <c r="O249" t="s">
        <v>75</v>
      </c>
      <c r="P249" t="s">
        <v>74</v>
      </c>
      <c r="Q249" t="s">
        <v>76</v>
      </c>
      <c r="R249" t="s">
        <v>73</v>
      </c>
      <c r="S249">
        <v>0</v>
      </c>
      <c r="W249" s="20">
        <v>7.719907407407408E-3</v>
      </c>
      <c r="X249" t="s">
        <v>773</v>
      </c>
      <c r="Y249">
        <v>16</v>
      </c>
      <c r="Z249">
        <v>0</v>
      </c>
      <c r="AA249" t="s">
        <v>78</v>
      </c>
      <c r="AB249">
        <v>0</v>
      </c>
      <c r="AC249" t="s">
        <v>78</v>
      </c>
      <c r="AD249">
        <v>0</v>
      </c>
      <c r="AE249">
        <v>10913602</v>
      </c>
      <c r="AF249" t="s">
        <v>79</v>
      </c>
      <c r="AG249" t="s">
        <v>260</v>
      </c>
    </row>
    <row r="250" spans="1:33" x14ac:dyDescent="0.35">
      <c r="A250" s="18">
        <v>44518.950694444444</v>
      </c>
      <c r="B250">
        <v>3019959</v>
      </c>
      <c r="C250" t="s">
        <v>774</v>
      </c>
      <c r="D250" t="s">
        <v>226</v>
      </c>
      <c r="E250" s="19">
        <v>40360</v>
      </c>
      <c r="F250" t="str">
        <f>"9781616685140"</f>
        <v>9781616685140</v>
      </c>
      <c r="G250" t="str">
        <f>"9781607417019"</f>
        <v>9781607417019</v>
      </c>
      <c r="H250" t="s">
        <v>775</v>
      </c>
      <c r="I250" t="s">
        <v>776</v>
      </c>
      <c r="J250" t="s">
        <v>777</v>
      </c>
      <c r="K250" t="s">
        <v>73</v>
      </c>
      <c r="N250" t="s">
        <v>74</v>
      </c>
      <c r="O250" t="s">
        <v>75</v>
      </c>
      <c r="P250" t="s">
        <v>230</v>
      </c>
      <c r="Q250" t="s">
        <v>76</v>
      </c>
      <c r="R250" t="s">
        <v>85</v>
      </c>
      <c r="S250">
        <v>0</v>
      </c>
      <c r="W250" s="20">
        <v>0</v>
      </c>
      <c r="X250" t="s">
        <v>78</v>
      </c>
      <c r="Y250">
        <v>0</v>
      </c>
      <c r="Z250">
        <v>1</v>
      </c>
      <c r="AA250" t="s">
        <v>778</v>
      </c>
      <c r="AB250">
        <v>20</v>
      </c>
      <c r="AC250" t="s">
        <v>78</v>
      </c>
      <c r="AD250">
        <v>0</v>
      </c>
      <c r="AE250">
        <v>10674967</v>
      </c>
      <c r="AF250" t="s">
        <v>79</v>
      </c>
      <c r="AG250" t="s">
        <v>260</v>
      </c>
    </row>
    <row r="251" spans="1:33" x14ac:dyDescent="0.35">
      <c r="A251" s="18">
        <v>44518.73333333333</v>
      </c>
      <c r="B251">
        <v>5165459</v>
      </c>
      <c r="C251" t="s">
        <v>447</v>
      </c>
      <c r="D251" t="s">
        <v>338</v>
      </c>
      <c r="E251" s="19">
        <v>43061</v>
      </c>
      <c r="F251" t="str">
        <f>"9780081023051"</f>
        <v>9780081023051</v>
      </c>
      <c r="G251" t="str">
        <f>"9781785482298"</f>
        <v>9781785482298</v>
      </c>
      <c r="H251" t="s">
        <v>448</v>
      </c>
      <c r="I251">
        <v>620.11270000000002</v>
      </c>
      <c r="J251" t="s">
        <v>449</v>
      </c>
      <c r="K251" t="s">
        <v>85</v>
      </c>
      <c r="N251" t="s">
        <v>86</v>
      </c>
      <c r="P251" t="s">
        <v>87</v>
      </c>
      <c r="Q251" t="s">
        <v>76</v>
      </c>
      <c r="R251" t="s">
        <v>73</v>
      </c>
      <c r="S251">
        <v>1</v>
      </c>
      <c r="T251">
        <v>90</v>
      </c>
      <c r="U251" s="18">
        <v>44518.73333333333</v>
      </c>
      <c r="V251" s="18">
        <v>44608.73333333333</v>
      </c>
      <c r="W251" s="20">
        <v>0</v>
      </c>
      <c r="X251" t="s">
        <v>78</v>
      </c>
      <c r="Y251">
        <v>0</v>
      </c>
      <c r="Z251">
        <v>0</v>
      </c>
      <c r="AA251" t="s">
        <v>78</v>
      </c>
      <c r="AB251">
        <v>0</v>
      </c>
      <c r="AC251" t="s">
        <v>78</v>
      </c>
      <c r="AD251">
        <v>0</v>
      </c>
      <c r="AE251">
        <v>11475578</v>
      </c>
      <c r="AF251" t="s">
        <v>88</v>
      </c>
      <c r="AG251" t="s">
        <v>721</v>
      </c>
    </row>
    <row r="252" spans="1:33" x14ac:dyDescent="0.35">
      <c r="A252" s="18">
        <v>44518.677777777775</v>
      </c>
      <c r="B252">
        <v>2025588</v>
      </c>
      <c r="C252" t="s">
        <v>779</v>
      </c>
      <c r="D252" t="s">
        <v>780</v>
      </c>
      <c r="E252" s="19">
        <v>42248</v>
      </c>
      <c r="F252" t="str">
        <f>"9780520962491"</f>
        <v>9780520962491</v>
      </c>
      <c r="G252" t="str">
        <f>"9780520287310"</f>
        <v>9780520287310</v>
      </c>
      <c r="H252" t="s">
        <v>308</v>
      </c>
      <c r="I252" t="s">
        <v>781</v>
      </c>
      <c r="J252" t="s">
        <v>782</v>
      </c>
      <c r="K252" t="s">
        <v>73</v>
      </c>
      <c r="N252" t="s">
        <v>74</v>
      </c>
      <c r="O252" t="s">
        <v>75</v>
      </c>
      <c r="P252" t="s">
        <v>230</v>
      </c>
      <c r="Q252" t="s">
        <v>76</v>
      </c>
      <c r="R252" t="s">
        <v>85</v>
      </c>
      <c r="S252">
        <v>0</v>
      </c>
      <c r="W252" s="20">
        <v>6.134259259259259E-4</v>
      </c>
      <c r="X252" t="s">
        <v>783</v>
      </c>
      <c r="Y252">
        <v>10</v>
      </c>
      <c r="Z252">
        <v>0</v>
      </c>
      <c r="AA252" t="s">
        <v>78</v>
      </c>
      <c r="AB252">
        <v>0</v>
      </c>
      <c r="AC252" t="s">
        <v>78</v>
      </c>
      <c r="AD252">
        <v>0</v>
      </c>
      <c r="AE252">
        <v>11085800</v>
      </c>
      <c r="AF252" t="s">
        <v>79</v>
      </c>
      <c r="AG252" t="s">
        <v>415</v>
      </c>
    </row>
    <row r="253" spans="1:33" x14ac:dyDescent="0.35">
      <c r="A253" s="18">
        <v>44518.267361111109</v>
      </c>
      <c r="B253">
        <v>5165459</v>
      </c>
      <c r="C253" t="s">
        <v>447</v>
      </c>
      <c r="D253" t="s">
        <v>338</v>
      </c>
      <c r="E253" s="19">
        <v>43061</v>
      </c>
      <c r="F253" t="str">
        <f>"9780081023051"</f>
        <v>9780081023051</v>
      </c>
      <c r="G253" t="str">
        <f>"9781785482298"</f>
        <v>9781785482298</v>
      </c>
      <c r="H253" t="s">
        <v>448</v>
      </c>
      <c r="I253">
        <v>620.11270000000002</v>
      </c>
      <c r="J253" t="s">
        <v>449</v>
      </c>
      <c r="K253" t="s">
        <v>85</v>
      </c>
      <c r="N253" t="s">
        <v>86</v>
      </c>
      <c r="P253" t="s">
        <v>87</v>
      </c>
      <c r="Q253" t="s">
        <v>76</v>
      </c>
      <c r="R253" t="s">
        <v>73</v>
      </c>
      <c r="S253">
        <v>0</v>
      </c>
      <c r="W253" s="20">
        <v>1.9675925925925926E-4</v>
      </c>
      <c r="X253" t="s">
        <v>784</v>
      </c>
      <c r="Y253">
        <v>2</v>
      </c>
      <c r="Z253">
        <v>0</v>
      </c>
      <c r="AA253" t="s">
        <v>78</v>
      </c>
      <c r="AB253">
        <v>0</v>
      </c>
      <c r="AC253" t="s">
        <v>78</v>
      </c>
      <c r="AD253">
        <v>0</v>
      </c>
      <c r="AE253">
        <v>11475578</v>
      </c>
      <c r="AF253" t="s">
        <v>79</v>
      </c>
      <c r="AG253" t="s">
        <v>721</v>
      </c>
    </row>
    <row r="254" spans="1:33" x14ac:dyDescent="0.35">
      <c r="A254" s="18">
        <v>44518.112500000003</v>
      </c>
      <c r="B254">
        <v>3339036</v>
      </c>
      <c r="C254" t="s">
        <v>785</v>
      </c>
      <c r="D254" t="s">
        <v>300</v>
      </c>
      <c r="E254" s="19">
        <v>39976</v>
      </c>
      <c r="F254" t="str">
        <f>"9780262255387"</f>
        <v>9780262255387</v>
      </c>
      <c r="G254" t="str">
        <f>"9780262012812"</f>
        <v>9780262012812</v>
      </c>
      <c r="H254" t="s">
        <v>194</v>
      </c>
      <c r="I254">
        <v>303.60000000000002</v>
      </c>
      <c r="J254" t="s">
        <v>786</v>
      </c>
      <c r="K254" t="s">
        <v>73</v>
      </c>
      <c r="N254" t="s">
        <v>74</v>
      </c>
      <c r="O254" t="s">
        <v>75</v>
      </c>
      <c r="P254" t="s">
        <v>74</v>
      </c>
      <c r="Q254" t="s">
        <v>76</v>
      </c>
      <c r="R254" t="s">
        <v>73</v>
      </c>
      <c r="S254">
        <v>0</v>
      </c>
      <c r="W254" s="20">
        <v>8.6805555555555551E-4</v>
      </c>
      <c r="X254" t="s">
        <v>787</v>
      </c>
      <c r="Y254">
        <v>14</v>
      </c>
      <c r="Z254">
        <v>0</v>
      </c>
      <c r="AA254" t="s">
        <v>78</v>
      </c>
      <c r="AB254">
        <v>0</v>
      </c>
      <c r="AC254" t="s">
        <v>78</v>
      </c>
      <c r="AD254">
        <v>0</v>
      </c>
      <c r="AE254">
        <v>10315975</v>
      </c>
      <c r="AF254" t="s">
        <v>79</v>
      </c>
      <c r="AG254" t="s">
        <v>260</v>
      </c>
    </row>
    <row r="255" spans="1:33" x14ac:dyDescent="0.35">
      <c r="A255" s="18">
        <v>44517.772916666669</v>
      </c>
      <c r="B255">
        <v>1378788</v>
      </c>
      <c r="C255" t="s">
        <v>583</v>
      </c>
      <c r="D255" t="s">
        <v>70</v>
      </c>
      <c r="E255" s="19">
        <v>41542</v>
      </c>
      <c r="F255" t="str">
        <f>"9781118786031"</f>
        <v>9781118786031</v>
      </c>
      <c r="G255" t="str">
        <f>"9781118784891"</f>
        <v>9781118784891</v>
      </c>
      <c r="H255" t="s">
        <v>584</v>
      </c>
      <c r="I255">
        <v>616.89</v>
      </c>
      <c r="J255" t="s">
        <v>585</v>
      </c>
      <c r="K255" t="s">
        <v>73</v>
      </c>
      <c r="N255" t="s">
        <v>74</v>
      </c>
      <c r="O255" t="s">
        <v>75</v>
      </c>
      <c r="P255" t="s">
        <v>74</v>
      </c>
      <c r="Q255" t="s">
        <v>76</v>
      </c>
      <c r="R255" t="s">
        <v>73</v>
      </c>
      <c r="S255">
        <v>0</v>
      </c>
      <c r="W255" s="20">
        <v>6.7013888888888887E-3</v>
      </c>
      <c r="X255" t="s">
        <v>788</v>
      </c>
      <c r="Y255">
        <v>21</v>
      </c>
      <c r="Z255">
        <v>0</v>
      </c>
      <c r="AA255" t="s">
        <v>78</v>
      </c>
      <c r="AB255">
        <v>0</v>
      </c>
      <c r="AC255" t="s">
        <v>78</v>
      </c>
      <c r="AD255">
        <v>0</v>
      </c>
      <c r="AE255">
        <v>10756826</v>
      </c>
      <c r="AF255" t="s">
        <v>79</v>
      </c>
      <c r="AG255" t="s">
        <v>548</v>
      </c>
    </row>
    <row r="256" spans="1:33" x14ac:dyDescent="0.35">
      <c r="A256" s="18">
        <v>44517.600694444445</v>
      </c>
      <c r="B256">
        <v>1348689</v>
      </c>
      <c r="C256" t="s">
        <v>789</v>
      </c>
      <c r="D256" t="s">
        <v>390</v>
      </c>
      <c r="E256" s="19">
        <v>40529</v>
      </c>
      <c r="F256" t="str">
        <f>"9783486711516"</f>
        <v>9783486711516</v>
      </c>
      <c r="G256" t="str">
        <f>"9783486705263"</f>
        <v>9783486705263</v>
      </c>
      <c r="H256" t="s">
        <v>110</v>
      </c>
      <c r="I256">
        <v>5.8</v>
      </c>
      <c r="J256" t="s">
        <v>790</v>
      </c>
      <c r="K256" t="s">
        <v>73</v>
      </c>
      <c r="N256" t="s">
        <v>74</v>
      </c>
      <c r="O256" t="s">
        <v>75</v>
      </c>
      <c r="P256" t="s">
        <v>74</v>
      </c>
      <c r="Q256" t="s">
        <v>76</v>
      </c>
      <c r="R256" t="s">
        <v>73</v>
      </c>
      <c r="S256">
        <v>1</v>
      </c>
      <c r="W256" s="20">
        <v>0</v>
      </c>
      <c r="X256" t="s">
        <v>78</v>
      </c>
      <c r="Y256">
        <v>0</v>
      </c>
      <c r="Z256">
        <v>0</v>
      </c>
      <c r="AA256" t="s">
        <v>78</v>
      </c>
      <c r="AB256">
        <v>0</v>
      </c>
      <c r="AC256" t="s">
        <v>78</v>
      </c>
      <c r="AD256">
        <v>0</v>
      </c>
      <c r="AE256">
        <v>10883524</v>
      </c>
      <c r="AF256" t="s">
        <v>88</v>
      </c>
      <c r="AG256" t="s">
        <v>721</v>
      </c>
    </row>
    <row r="257" spans="1:33" x14ac:dyDescent="0.35">
      <c r="A257" s="18">
        <v>44517.599999999999</v>
      </c>
      <c r="B257">
        <v>1348689</v>
      </c>
      <c r="C257" t="s">
        <v>789</v>
      </c>
      <c r="D257" t="s">
        <v>390</v>
      </c>
      <c r="E257" s="19">
        <v>40529</v>
      </c>
      <c r="F257" t="str">
        <f>"9783486711516"</f>
        <v>9783486711516</v>
      </c>
      <c r="G257" t="str">
        <f>"9783486705263"</f>
        <v>9783486705263</v>
      </c>
      <c r="H257" t="s">
        <v>110</v>
      </c>
      <c r="I257">
        <v>5.8</v>
      </c>
      <c r="J257" t="s">
        <v>790</v>
      </c>
      <c r="K257" t="s">
        <v>73</v>
      </c>
      <c r="N257" t="s">
        <v>74</v>
      </c>
      <c r="O257" t="s">
        <v>75</v>
      </c>
      <c r="P257" t="s">
        <v>74</v>
      </c>
      <c r="Q257" t="s">
        <v>76</v>
      </c>
      <c r="R257" t="s">
        <v>73</v>
      </c>
      <c r="S257">
        <v>0</v>
      </c>
      <c r="W257" s="20">
        <v>7.0601851851851847E-4</v>
      </c>
      <c r="X257" t="s">
        <v>791</v>
      </c>
      <c r="Y257">
        <v>4</v>
      </c>
      <c r="Z257">
        <v>0</v>
      </c>
      <c r="AA257" t="s">
        <v>78</v>
      </c>
      <c r="AB257">
        <v>0</v>
      </c>
      <c r="AC257" t="s">
        <v>78</v>
      </c>
      <c r="AD257">
        <v>0</v>
      </c>
      <c r="AE257">
        <v>10883524</v>
      </c>
      <c r="AF257" t="s">
        <v>88</v>
      </c>
      <c r="AG257" t="s">
        <v>721</v>
      </c>
    </row>
    <row r="258" spans="1:33" x14ac:dyDescent="0.35">
      <c r="A258" s="18">
        <v>44517.515277777777</v>
      </c>
      <c r="B258">
        <v>1348689</v>
      </c>
      <c r="C258" t="s">
        <v>789</v>
      </c>
      <c r="D258" t="s">
        <v>390</v>
      </c>
      <c r="E258" s="19">
        <v>40529</v>
      </c>
      <c r="F258" t="str">
        <f>"9783486711516"</f>
        <v>9783486711516</v>
      </c>
      <c r="G258" t="str">
        <f>"9783486705263"</f>
        <v>9783486705263</v>
      </c>
      <c r="H258" t="s">
        <v>110</v>
      </c>
      <c r="I258">
        <v>5.8</v>
      </c>
      <c r="J258" t="s">
        <v>790</v>
      </c>
      <c r="K258" t="s">
        <v>73</v>
      </c>
      <c r="N258" t="s">
        <v>74</v>
      </c>
      <c r="O258" t="s">
        <v>75</v>
      </c>
      <c r="P258" t="s">
        <v>74</v>
      </c>
      <c r="Q258" t="s">
        <v>76</v>
      </c>
      <c r="R258" t="s">
        <v>73</v>
      </c>
      <c r="S258">
        <v>0</v>
      </c>
      <c r="W258" s="20">
        <v>6.9444444444444444E-5</v>
      </c>
      <c r="X258" t="s">
        <v>132</v>
      </c>
      <c r="Y258">
        <v>1</v>
      </c>
      <c r="Z258">
        <v>0</v>
      </c>
      <c r="AA258" t="s">
        <v>78</v>
      </c>
      <c r="AB258">
        <v>0</v>
      </c>
      <c r="AC258" t="s">
        <v>78</v>
      </c>
      <c r="AD258">
        <v>0</v>
      </c>
      <c r="AE258">
        <v>10883524</v>
      </c>
      <c r="AF258" t="s">
        <v>79</v>
      </c>
      <c r="AG258" t="s">
        <v>721</v>
      </c>
    </row>
    <row r="259" spans="1:33" x14ac:dyDescent="0.35">
      <c r="A259" s="18">
        <v>44517.388194444444</v>
      </c>
      <c r="B259">
        <v>4497397</v>
      </c>
      <c r="C259" t="s">
        <v>279</v>
      </c>
      <c r="D259" t="s">
        <v>280</v>
      </c>
      <c r="E259" s="19">
        <v>42551</v>
      </c>
      <c r="F259" t="str">
        <f>"9789385059605"</f>
        <v>9789385059605</v>
      </c>
      <c r="G259" t="str">
        <f>"9789385059049"</f>
        <v>9789385059049</v>
      </c>
      <c r="H259" t="s">
        <v>159</v>
      </c>
      <c r="J259" t="s">
        <v>281</v>
      </c>
      <c r="K259" t="s">
        <v>85</v>
      </c>
      <c r="N259" t="s">
        <v>86</v>
      </c>
      <c r="P259" t="s">
        <v>87</v>
      </c>
      <c r="Q259" t="s">
        <v>76</v>
      </c>
      <c r="R259" t="s">
        <v>73</v>
      </c>
      <c r="S259">
        <v>0</v>
      </c>
      <c r="W259" s="20">
        <v>2.3148148148148146E-4</v>
      </c>
      <c r="X259" t="s">
        <v>792</v>
      </c>
      <c r="Y259">
        <v>3</v>
      </c>
      <c r="Z259">
        <v>0</v>
      </c>
      <c r="AA259" t="s">
        <v>78</v>
      </c>
      <c r="AB259">
        <v>0</v>
      </c>
      <c r="AC259" t="s">
        <v>78</v>
      </c>
      <c r="AD259">
        <v>0</v>
      </c>
      <c r="AE259">
        <v>11201119</v>
      </c>
      <c r="AF259" t="s">
        <v>79</v>
      </c>
      <c r="AG259" t="s">
        <v>260</v>
      </c>
    </row>
    <row r="260" spans="1:33" x14ac:dyDescent="0.35">
      <c r="A260" s="18">
        <v>44517.387499999997</v>
      </c>
      <c r="B260">
        <v>4497397</v>
      </c>
      <c r="C260" t="s">
        <v>279</v>
      </c>
      <c r="D260" t="s">
        <v>280</v>
      </c>
      <c r="E260" s="19">
        <v>42551</v>
      </c>
      <c r="F260" t="str">
        <f>"9789385059605"</f>
        <v>9789385059605</v>
      </c>
      <c r="G260" t="str">
        <f>"9789385059049"</f>
        <v>9789385059049</v>
      </c>
      <c r="H260" t="s">
        <v>159</v>
      </c>
      <c r="J260" t="s">
        <v>281</v>
      </c>
      <c r="K260" t="s">
        <v>85</v>
      </c>
      <c r="N260" t="s">
        <v>86</v>
      </c>
      <c r="P260" t="s">
        <v>87</v>
      </c>
      <c r="Q260" t="s">
        <v>76</v>
      </c>
      <c r="R260" t="s">
        <v>73</v>
      </c>
      <c r="S260">
        <v>0</v>
      </c>
      <c r="W260" s="20">
        <v>2.3124999999999996E-2</v>
      </c>
      <c r="X260" t="s">
        <v>793</v>
      </c>
      <c r="Y260">
        <v>15</v>
      </c>
      <c r="Z260">
        <v>0</v>
      </c>
      <c r="AA260" t="s">
        <v>78</v>
      </c>
      <c r="AB260">
        <v>0</v>
      </c>
      <c r="AC260" t="s">
        <v>78</v>
      </c>
      <c r="AD260">
        <v>0</v>
      </c>
      <c r="AE260">
        <v>11201119</v>
      </c>
      <c r="AF260" t="s">
        <v>79</v>
      </c>
      <c r="AG260" t="s">
        <v>415</v>
      </c>
    </row>
    <row r="261" spans="1:33" x14ac:dyDescent="0.35">
      <c r="A261" s="18">
        <v>44516.752083333333</v>
      </c>
      <c r="B261">
        <v>1650868</v>
      </c>
      <c r="C261" t="s">
        <v>794</v>
      </c>
      <c r="D261" t="s">
        <v>70</v>
      </c>
      <c r="E261" s="19">
        <v>41715</v>
      </c>
      <c r="F261" t="str">
        <f>"9781118871881"</f>
        <v>9781118871881</v>
      </c>
      <c r="G261" t="str">
        <f>"9781118674994"</f>
        <v>9781118674994</v>
      </c>
      <c r="H261" t="s">
        <v>143</v>
      </c>
      <c r="I261">
        <v>658.15</v>
      </c>
      <c r="J261" t="s">
        <v>795</v>
      </c>
      <c r="K261" t="s">
        <v>73</v>
      </c>
      <c r="N261" t="s">
        <v>74</v>
      </c>
      <c r="O261" t="s">
        <v>75</v>
      </c>
      <c r="P261" t="s">
        <v>74</v>
      </c>
      <c r="Q261" t="s">
        <v>76</v>
      </c>
      <c r="R261" t="s">
        <v>73</v>
      </c>
      <c r="S261">
        <v>0</v>
      </c>
      <c r="W261" s="20">
        <v>6.9444444444444444E-5</v>
      </c>
      <c r="X261" t="s">
        <v>132</v>
      </c>
      <c r="Y261">
        <v>1</v>
      </c>
      <c r="Z261">
        <v>0</v>
      </c>
      <c r="AA261" t="s">
        <v>78</v>
      </c>
      <c r="AB261">
        <v>0</v>
      </c>
      <c r="AC261" t="s">
        <v>78</v>
      </c>
      <c r="AD261">
        <v>0</v>
      </c>
      <c r="AE261">
        <v>10849244</v>
      </c>
      <c r="AF261" t="s">
        <v>79</v>
      </c>
      <c r="AG261" t="s">
        <v>415</v>
      </c>
    </row>
    <row r="262" spans="1:33" x14ac:dyDescent="0.35">
      <c r="A262" s="18">
        <v>44516.706944444442</v>
      </c>
      <c r="B262">
        <v>1650868</v>
      </c>
      <c r="C262" t="s">
        <v>794</v>
      </c>
      <c r="D262" t="s">
        <v>70</v>
      </c>
      <c r="E262" s="19">
        <v>41715</v>
      </c>
      <c r="F262" t="str">
        <f>"9781118871881"</f>
        <v>9781118871881</v>
      </c>
      <c r="G262" t="str">
        <f>"9781118674994"</f>
        <v>9781118674994</v>
      </c>
      <c r="H262" t="s">
        <v>143</v>
      </c>
      <c r="I262">
        <v>658.15</v>
      </c>
      <c r="J262" t="s">
        <v>795</v>
      </c>
      <c r="K262" t="s">
        <v>73</v>
      </c>
      <c r="N262" t="s">
        <v>74</v>
      </c>
      <c r="O262" t="s">
        <v>75</v>
      </c>
      <c r="P262" t="s">
        <v>74</v>
      </c>
      <c r="Q262" t="s">
        <v>76</v>
      </c>
      <c r="R262" t="s">
        <v>73</v>
      </c>
      <c r="S262">
        <v>0</v>
      </c>
      <c r="W262" s="20">
        <v>1.8425925925925925E-2</v>
      </c>
      <c r="X262" t="s">
        <v>796</v>
      </c>
      <c r="Y262">
        <v>12</v>
      </c>
      <c r="Z262">
        <v>0</v>
      </c>
      <c r="AA262" t="s">
        <v>78</v>
      </c>
      <c r="AB262">
        <v>0</v>
      </c>
      <c r="AC262" t="s">
        <v>78</v>
      </c>
      <c r="AD262">
        <v>0</v>
      </c>
      <c r="AE262">
        <v>10849244</v>
      </c>
      <c r="AF262" t="s">
        <v>79</v>
      </c>
      <c r="AG262" t="s">
        <v>415</v>
      </c>
    </row>
    <row r="263" spans="1:33" x14ac:dyDescent="0.35">
      <c r="A263" s="18">
        <v>44516.700694444444</v>
      </c>
      <c r="B263">
        <v>6154656</v>
      </c>
      <c r="C263" t="s">
        <v>797</v>
      </c>
      <c r="D263" t="s">
        <v>798</v>
      </c>
      <c r="E263" s="19">
        <v>43927</v>
      </c>
      <c r="F263" t="str">
        <f>"9781487531645"</f>
        <v>9781487531645</v>
      </c>
      <c r="G263" t="str">
        <f>"9781487505158"</f>
        <v>9781487505158</v>
      </c>
      <c r="H263" t="s">
        <v>143</v>
      </c>
      <c r="I263">
        <v>658.31399999999906</v>
      </c>
      <c r="J263" t="s">
        <v>799</v>
      </c>
      <c r="K263" t="s">
        <v>85</v>
      </c>
      <c r="N263" t="s">
        <v>186</v>
      </c>
      <c r="P263" t="s">
        <v>297</v>
      </c>
      <c r="Q263" t="s">
        <v>76</v>
      </c>
      <c r="R263" t="s">
        <v>73</v>
      </c>
      <c r="S263">
        <v>1</v>
      </c>
      <c r="T263">
        <v>1</v>
      </c>
      <c r="U263" s="18">
        <v>44516.700694444444</v>
      </c>
      <c r="V263" s="18">
        <v>44517.700694444444</v>
      </c>
      <c r="W263" s="20">
        <v>1.1574074074074073E-5</v>
      </c>
      <c r="X263" t="s">
        <v>78</v>
      </c>
      <c r="Y263">
        <v>0</v>
      </c>
      <c r="Z263">
        <v>0</v>
      </c>
      <c r="AA263" t="s">
        <v>78</v>
      </c>
      <c r="AB263">
        <v>0</v>
      </c>
      <c r="AC263" t="s">
        <v>78</v>
      </c>
      <c r="AD263">
        <v>0</v>
      </c>
      <c r="AE263">
        <v>-1</v>
      </c>
      <c r="AF263" t="s">
        <v>88</v>
      </c>
      <c r="AG263" t="s">
        <v>260</v>
      </c>
    </row>
    <row r="264" spans="1:33" x14ac:dyDescent="0.35">
      <c r="A264" s="18">
        <v>44516.645833333336</v>
      </c>
      <c r="B264">
        <v>583703</v>
      </c>
      <c r="C264" t="s">
        <v>800</v>
      </c>
      <c r="D264" t="s">
        <v>506</v>
      </c>
      <c r="E264" s="19">
        <v>40343</v>
      </c>
      <c r="F264" t="str">
        <f>"9789004190535"</f>
        <v>9789004190535</v>
      </c>
      <c r="G264" t="str">
        <f>"9789004185579"</f>
        <v>9789004185579</v>
      </c>
      <c r="H264" t="s">
        <v>308</v>
      </c>
      <c r="I264" t="s">
        <v>801</v>
      </c>
      <c r="J264" t="s">
        <v>802</v>
      </c>
      <c r="K264" t="s">
        <v>73</v>
      </c>
      <c r="N264" t="s">
        <v>74</v>
      </c>
      <c r="O264" t="s">
        <v>75</v>
      </c>
      <c r="P264" t="s">
        <v>74</v>
      </c>
      <c r="Q264" t="s">
        <v>76</v>
      </c>
      <c r="R264" t="s">
        <v>73</v>
      </c>
      <c r="S264">
        <v>0</v>
      </c>
      <c r="W264" s="20">
        <v>2.6504629629629625E-3</v>
      </c>
      <c r="X264" t="s">
        <v>803</v>
      </c>
      <c r="Y264">
        <v>17</v>
      </c>
      <c r="Z264">
        <v>0</v>
      </c>
      <c r="AA264" t="s">
        <v>78</v>
      </c>
      <c r="AB264">
        <v>0</v>
      </c>
      <c r="AC264" t="s">
        <v>78</v>
      </c>
      <c r="AD264">
        <v>0</v>
      </c>
      <c r="AE264">
        <v>10419845</v>
      </c>
      <c r="AF264" t="s">
        <v>79</v>
      </c>
      <c r="AG264" t="s">
        <v>415</v>
      </c>
    </row>
    <row r="265" spans="1:33" x14ac:dyDescent="0.35">
      <c r="A265" s="18">
        <v>44516.624305555553</v>
      </c>
      <c r="B265">
        <v>2025588</v>
      </c>
      <c r="C265" t="s">
        <v>779</v>
      </c>
      <c r="D265" t="s">
        <v>780</v>
      </c>
      <c r="E265" s="19">
        <v>42248</v>
      </c>
      <c r="F265" t="str">
        <f>"9780520962491"</f>
        <v>9780520962491</v>
      </c>
      <c r="G265" t="str">
        <f>"9780520287310"</f>
        <v>9780520287310</v>
      </c>
      <c r="H265" t="s">
        <v>308</v>
      </c>
      <c r="I265" t="s">
        <v>781</v>
      </c>
      <c r="J265" t="s">
        <v>782</v>
      </c>
      <c r="K265" t="s">
        <v>73</v>
      </c>
      <c r="N265" t="s">
        <v>74</v>
      </c>
      <c r="O265" t="s">
        <v>75</v>
      </c>
      <c r="P265" t="s">
        <v>230</v>
      </c>
      <c r="Q265" t="s">
        <v>76</v>
      </c>
      <c r="R265" t="s">
        <v>85</v>
      </c>
      <c r="S265">
        <v>0</v>
      </c>
      <c r="W265" s="20">
        <v>1.6886574074074075E-2</v>
      </c>
      <c r="X265" t="s">
        <v>804</v>
      </c>
      <c r="Y265">
        <v>11</v>
      </c>
      <c r="Z265">
        <v>2</v>
      </c>
      <c r="AA265" t="s">
        <v>805</v>
      </c>
      <c r="AB265">
        <v>52</v>
      </c>
      <c r="AC265" t="s">
        <v>78</v>
      </c>
      <c r="AD265">
        <v>0</v>
      </c>
      <c r="AE265">
        <v>11085800</v>
      </c>
      <c r="AF265" t="s">
        <v>79</v>
      </c>
      <c r="AG265" t="s">
        <v>806</v>
      </c>
    </row>
    <row r="266" spans="1:33" x14ac:dyDescent="0.35">
      <c r="A266" s="18">
        <v>44516.556944444441</v>
      </c>
      <c r="B266">
        <v>6154656</v>
      </c>
      <c r="C266" t="s">
        <v>797</v>
      </c>
      <c r="D266" t="s">
        <v>798</v>
      </c>
      <c r="E266" s="19">
        <v>43927</v>
      </c>
      <c r="F266" t="str">
        <f>"9781487531645"</f>
        <v>9781487531645</v>
      </c>
      <c r="G266" t="str">
        <f>"9781487505158"</f>
        <v>9781487505158</v>
      </c>
      <c r="H266" t="s">
        <v>143</v>
      </c>
      <c r="I266">
        <v>658.31399999999906</v>
      </c>
      <c r="J266" t="s">
        <v>799</v>
      </c>
      <c r="K266" t="s">
        <v>85</v>
      </c>
      <c r="N266" t="s">
        <v>186</v>
      </c>
      <c r="P266" t="s">
        <v>297</v>
      </c>
      <c r="Q266" t="s">
        <v>76</v>
      </c>
      <c r="R266" t="s">
        <v>73</v>
      </c>
      <c r="S266">
        <v>0</v>
      </c>
      <c r="W266" s="20">
        <v>6.9444444444444444E-5</v>
      </c>
      <c r="X266" t="s">
        <v>807</v>
      </c>
      <c r="Y266">
        <v>1</v>
      </c>
      <c r="Z266">
        <v>0</v>
      </c>
      <c r="AA266" t="s">
        <v>78</v>
      </c>
      <c r="AB266">
        <v>0</v>
      </c>
      <c r="AC266" t="s">
        <v>78</v>
      </c>
      <c r="AD266">
        <v>0</v>
      </c>
      <c r="AE266">
        <v>-1</v>
      </c>
      <c r="AF266" t="s">
        <v>79</v>
      </c>
      <c r="AG266" t="s">
        <v>808</v>
      </c>
    </row>
    <row r="267" spans="1:33" x14ac:dyDescent="0.35">
      <c r="A267" s="18">
        <v>44516.502083333333</v>
      </c>
      <c r="B267">
        <v>3572113</v>
      </c>
      <c r="C267" t="s">
        <v>809</v>
      </c>
      <c r="D267" t="s">
        <v>189</v>
      </c>
      <c r="E267" s="19">
        <v>42143</v>
      </c>
      <c r="F267" t="str">
        <f>"9783110336443"</f>
        <v>9783110336443</v>
      </c>
      <c r="G267" t="str">
        <f>"9783110336436"</f>
        <v>9783110336436</v>
      </c>
      <c r="H267" t="s">
        <v>391</v>
      </c>
      <c r="I267">
        <v>660</v>
      </c>
      <c r="J267" t="s">
        <v>810</v>
      </c>
      <c r="K267" t="s">
        <v>73</v>
      </c>
      <c r="N267" t="s">
        <v>74</v>
      </c>
      <c r="O267" t="s">
        <v>75</v>
      </c>
      <c r="P267" t="s">
        <v>74</v>
      </c>
      <c r="Q267" t="s">
        <v>76</v>
      </c>
      <c r="R267" t="s">
        <v>73</v>
      </c>
      <c r="S267">
        <v>0</v>
      </c>
      <c r="W267" s="20">
        <v>1.7476851851851852E-3</v>
      </c>
      <c r="X267" t="s">
        <v>811</v>
      </c>
      <c r="Y267">
        <v>12</v>
      </c>
      <c r="Z267">
        <v>0</v>
      </c>
      <c r="AA267" t="s">
        <v>78</v>
      </c>
      <c r="AB267">
        <v>0</v>
      </c>
      <c r="AC267" t="s">
        <v>78</v>
      </c>
      <c r="AD267">
        <v>0</v>
      </c>
      <c r="AE267">
        <v>11059884</v>
      </c>
      <c r="AF267" t="s">
        <v>79</v>
      </c>
      <c r="AG267" t="s">
        <v>260</v>
      </c>
    </row>
    <row r="268" spans="1:33" x14ac:dyDescent="0.35">
      <c r="A268" s="18">
        <v>44516.482638888891</v>
      </c>
      <c r="B268">
        <v>662361</v>
      </c>
      <c r="C268" t="s">
        <v>812</v>
      </c>
      <c r="D268" t="s">
        <v>677</v>
      </c>
      <c r="E268" s="19">
        <v>35918</v>
      </c>
      <c r="F268" t="str">
        <f>"9781400822539"</f>
        <v>9781400822539</v>
      </c>
      <c r="G268" t="str">
        <f>"9780691032443"</f>
        <v>9780691032443</v>
      </c>
      <c r="H268" t="s">
        <v>143</v>
      </c>
      <c r="I268" t="s">
        <v>813</v>
      </c>
      <c r="J268" t="s">
        <v>814</v>
      </c>
      <c r="K268" t="s">
        <v>73</v>
      </c>
      <c r="N268" t="s">
        <v>74</v>
      </c>
      <c r="O268" t="s">
        <v>75</v>
      </c>
      <c r="P268" t="s">
        <v>74</v>
      </c>
      <c r="Q268" t="s">
        <v>76</v>
      </c>
      <c r="R268" t="s">
        <v>73</v>
      </c>
      <c r="S268">
        <v>0</v>
      </c>
      <c r="W268" s="20">
        <v>5.4398148148148144E-4</v>
      </c>
      <c r="X268" t="s">
        <v>815</v>
      </c>
      <c r="Y268">
        <v>7</v>
      </c>
      <c r="Z268">
        <v>0</v>
      </c>
      <c r="AA268" t="s">
        <v>78</v>
      </c>
      <c r="AB268">
        <v>0</v>
      </c>
      <c r="AC268" t="s">
        <v>78</v>
      </c>
      <c r="AD268">
        <v>0</v>
      </c>
      <c r="AE268">
        <v>10031987</v>
      </c>
      <c r="AF268" t="s">
        <v>79</v>
      </c>
      <c r="AG268" t="s">
        <v>415</v>
      </c>
    </row>
    <row r="269" spans="1:33" x14ac:dyDescent="0.35">
      <c r="A269" s="18">
        <v>44516.451388888891</v>
      </c>
      <c r="B269">
        <v>455756</v>
      </c>
      <c r="C269" t="s">
        <v>283</v>
      </c>
      <c r="D269" t="s">
        <v>284</v>
      </c>
      <c r="E269" s="19">
        <v>39448</v>
      </c>
      <c r="F269" t="str">
        <f>"9781845936204"</f>
        <v>9781845936204</v>
      </c>
      <c r="G269" t="str">
        <f>"9781845934583"</f>
        <v>9781845934583</v>
      </c>
      <c r="H269" t="s">
        <v>285</v>
      </c>
      <c r="I269" t="s">
        <v>286</v>
      </c>
      <c r="J269" t="s">
        <v>287</v>
      </c>
      <c r="K269" t="s">
        <v>73</v>
      </c>
      <c r="N269" t="s">
        <v>74</v>
      </c>
      <c r="O269" t="s">
        <v>75</v>
      </c>
      <c r="P269" t="s">
        <v>230</v>
      </c>
      <c r="Q269" t="s">
        <v>76</v>
      </c>
      <c r="R269" t="s">
        <v>85</v>
      </c>
      <c r="S269">
        <v>0</v>
      </c>
      <c r="W269" s="20">
        <v>1.2337962962962962E-2</v>
      </c>
      <c r="X269" t="s">
        <v>816</v>
      </c>
      <c r="Y269">
        <v>13</v>
      </c>
      <c r="Z269">
        <v>0</v>
      </c>
      <c r="AA269" t="s">
        <v>78</v>
      </c>
      <c r="AB269">
        <v>0</v>
      </c>
      <c r="AC269" t="s">
        <v>78</v>
      </c>
      <c r="AD269">
        <v>0</v>
      </c>
      <c r="AE269">
        <v>10320511</v>
      </c>
      <c r="AF269" t="s">
        <v>79</v>
      </c>
      <c r="AG269" t="s">
        <v>415</v>
      </c>
    </row>
    <row r="270" spans="1:33" x14ac:dyDescent="0.35">
      <c r="A270" s="18">
        <v>44516.051388888889</v>
      </c>
      <c r="B270">
        <v>299551</v>
      </c>
      <c r="C270" t="s">
        <v>817</v>
      </c>
      <c r="D270" t="s">
        <v>314</v>
      </c>
      <c r="E270" s="19">
        <v>39213</v>
      </c>
      <c r="F270" t="str">
        <f>"9780748629275"</f>
        <v>9780748629275</v>
      </c>
      <c r="G270" t="str">
        <f>"9780748622160"</f>
        <v>9780748622160</v>
      </c>
      <c r="H270" t="s">
        <v>528</v>
      </c>
      <c r="I270">
        <v>181.0703</v>
      </c>
      <c r="J270" t="s">
        <v>818</v>
      </c>
      <c r="K270" t="s">
        <v>73</v>
      </c>
      <c r="N270" t="s">
        <v>74</v>
      </c>
      <c r="O270" t="s">
        <v>75</v>
      </c>
      <c r="P270" t="s">
        <v>74</v>
      </c>
      <c r="Q270" t="s">
        <v>76</v>
      </c>
      <c r="R270" t="s">
        <v>73</v>
      </c>
      <c r="S270">
        <v>0</v>
      </c>
      <c r="W270" s="20">
        <v>2.4305555555555556E-3</v>
      </c>
      <c r="X270" t="s">
        <v>819</v>
      </c>
      <c r="Y270">
        <v>18</v>
      </c>
      <c r="Z270">
        <v>0</v>
      </c>
      <c r="AA270" t="s">
        <v>78</v>
      </c>
      <c r="AB270">
        <v>0</v>
      </c>
      <c r="AC270" t="s">
        <v>78</v>
      </c>
      <c r="AD270">
        <v>0</v>
      </c>
      <c r="AE270">
        <v>10435314</v>
      </c>
      <c r="AF270" t="s">
        <v>79</v>
      </c>
      <c r="AG270" t="s">
        <v>242</v>
      </c>
    </row>
    <row r="271" spans="1:33" x14ac:dyDescent="0.35">
      <c r="A271" s="18">
        <v>44515.918749999997</v>
      </c>
      <c r="B271">
        <v>3037869</v>
      </c>
      <c r="C271" t="s">
        <v>820</v>
      </c>
      <c r="D271" t="s">
        <v>821</v>
      </c>
      <c r="E271" s="19">
        <v>39083</v>
      </c>
      <c r="F271" t="str">
        <f>"9781603445030"</f>
        <v>9781603445030</v>
      </c>
      <c r="G271" t="str">
        <f>"9781585445806"</f>
        <v>9781585445806</v>
      </c>
      <c r="H271" t="s">
        <v>822</v>
      </c>
      <c r="I271" t="s">
        <v>823</v>
      </c>
      <c r="J271" t="s">
        <v>824</v>
      </c>
      <c r="K271" t="s">
        <v>73</v>
      </c>
      <c r="N271" t="s">
        <v>74</v>
      </c>
      <c r="O271" t="s">
        <v>75</v>
      </c>
      <c r="P271" t="s">
        <v>74</v>
      </c>
      <c r="Q271" t="s">
        <v>76</v>
      </c>
      <c r="R271" t="s">
        <v>73</v>
      </c>
      <c r="S271">
        <v>0</v>
      </c>
      <c r="W271" s="20">
        <v>1.3425925925925925E-3</v>
      </c>
      <c r="X271" t="s">
        <v>825</v>
      </c>
      <c r="Y271">
        <v>7</v>
      </c>
      <c r="Z271">
        <v>0</v>
      </c>
      <c r="AA271" t="s">
        <v>78</v>
      </c>
      <c r="AB271">
        <v>0</v>
      </c>
      <c r="AC271" t="s">
        <v>78</v>
      </c>
      <c r="AD271">
        <v>0</v>
      </c>
      <c r="AE271">
        <v>10447184</v>
      </c>
      <c r="AF271" t="s">
        <v>79</v>
      </c>
      <c r="AG271" t="s">
        <v>272</v>
      </c>
    </row>
    <row r="272" spans="1:33" x14ac:dyDescent="0.35">
      <c r="A272" s="18">
        <v>44515.830555555556</v>
      </c>
      <c r="B272">
        <v>3420994</v>
      </c>
      <c r="C272" t="s">
        <v>826</v>
      </c>
      <c r="D272" t="s">
        <v>827</v>
      </c>
      <c r="E272" s="19">
        <v>40316</v>
      </c>
      <c r="F272" t="str">
        <f>"9780300159141"</f>
        <v>9780300159141</v>
      </c>
      <c r="G272" t="str">
        <f>"9780300159110"</f>
        <v>9780300159110</v>
      </c>
      <c r="H272" t="s">
        <v>308</v>
      </c>
      <c r="I272" t="s">
        <v>828</v>
      </c>
      <c r="J272" t="s">
        <v>829</v>
      </c>
      <c r="K272" t="s">
        <v>73</v>
      </c>
      <c r="N272" t="s">
        <v>74</v>
      </c>
      <c r="O272" t="s">
        <v>75</v>
      </c>
      <c r="P272" t="s">
        <v>74</v>
      </c>
      <c r="Q272" t="s">
        <v>76</v>
      </c>
      <c r="R272" t="s">
        <v>73</v>
      </c>
      <c r="S272">
        <v>0</v>
      </c>
      <c r="W272" s="20">
        <v>6.7245370370370367E-3</v>
      </c>
      <c r="X272" t="s">
        <v>830</v>
      </c>
      <c r="Y272">
        <v>14</v>
      </c>
      <c r="Z272">
        <v>0</v>
      </c>
      <c r="AA272" t="s">
        <v>78</v>
      </c>
      <c r="AB272">
        <v>0</v>
      </c>
      <c r="AC272" t="s">
        <v>78</v>
      </c>
      <c r="AD272">
        <v>0</v>
      </c>
      <c r="AE272">
        <v>10579393</v>
      </c>
      <c r="AF272" t="s">
        <v>79</v>
      </c>
      <c r="AG272" t="s">
        <v>415</v>
      </c>
    </row>
    <row r="273" spans="1:33" x14ac:dyDescent="0.35">
      <c r="A273" s="18">
        <v>44515.822222222225</v>
      </c>
      <c r="B273">
        <v>1962254</v>
      </c>
      <c r="C273" t="s">
        <v>831</v>
      </c>
      <c r="D273" t="s">
        <v>314</v>
      </c>
      <c r="E273" s="19">
        <v>40289</v>
      </c>
      <c r="F273" t="str">
        <f>"9780748642199"</f>
        <v>9780748642199</v>
      </c>
      <c r="G273" t="str">
        <f>"9780748637386"</f>
        <v>9780748637386</v>
      </c>
      <c r="H273" t="s">
        <v>308</v>
      </c>
      <c r="I273">
        <v>297.08999999999997</v>
      </c>
      <c r="J273" t="s">
        <v>832</v>
      </c>
      <c r="K273" t="s">
        <v>73</v>
      </c>
      <c r="N273" t="s">
        <v>74</v>
      </c>
      <c r="O273" t="s">
        <v>75</v>
      </c>
      <c r="P273" t="s">
        <v>74</v>
      </c>
      <c r="Q273" t="s">
        <v>76</v>
      </c>
      <c r="R273" t="s">
        <v>73</v>
      </c>
      <c r="S273">
        <v>0</v>
      </c>
      <c r="W273" s="20">
        <v>6.3078703703703708E-3</v>
      </c>
      <c r="X273" t="s">
        <v>833</v>
      </c>
      <c r="Y273">
        <v>11</v>
      </c>
      <c r="Z273">
        <v>0</v>
      </c>
      <c r="AA273" t="s">
        <v>78</v>
      </c>
      <c r="AB273">
        <v>0</v>
      </c>
      <c r="AC273" t="s">
        <v>78</v>
      </c>
      <c r="AD273">
        <v>0</v>
      </c>
      <c r="AE273">
        <v>10433750</v>
      </c>
      <c r="AF273" t="s">
        <v>79</v>
      </c>
      <c r="AG273" t="s">
        <v>415</v>
      </c>
    </row>
    <row r="274" spans="1:33" x14ac:dyDescent="0.35">
      <c r="A274" s="18">
        <v>44515.777083333334</v>
      </c>
      <c r="B274">
        <v>1658801</v>
      </c>
      <c r="C274" t="s">
        <v>834</v>
      </c>
      <c r="D274" t="s">
        <v>70</v>
      </c>
      <c r="E274" s="19">
        <v>41793</v>
      </c>
      <c r="F274" t="str">
        <f>"9781118291771"</f>
        <v>9781118291771</v>
      </c>
      <c r="G274" t="str">
        <f>"9781118291795"</f>
        <v>9781118291795</v>
      </c>
      <c r="H274" t="s">
        <v>251</v>
      </c>
      <c r="I274">
        <v>343.07862399999999</v>
      </c>
      <c r="J274" t="s">
        <v>835</v>
      </c>
      <c r="K274" t="s">
        <v>73</v>
      </c>
      <c r="N274" t="s">
        <v>74</v>
      </c>
      <c r="O274" t="s">
        <v>75</v>
      </c>
      <c r="P274" t="s">
        <v>74</v>
      </c>
      <c r="Q274" t="s">
        <v>76</v>
      </c>
      <c r="R274" t="s">
        <v>73</v>
      </c>
      <c r="S274">
        <v>0</v>
      </c>
      <c r="W274" s="20">
        <v>3.1250000000000001E-4</v>
      </c>
      <c r="X274" t="s">
        <v>836</v>
      </c>
      <c r="Y274">
        <v>5</v>
      </c>
      <c r="Z274">
        <v>0</v>
      </c>
      <c r="AA274" t="s">
        <v>78</v>
      </c>
      <c r="AB274">
        <v>0</v>
      </c>
      <c r="AC274" t="s">
        <v>78</v>
      </c>
      <c r="AD274">
        <v>0</v>
      </c>
      <c r="AE274">
        <v>10855745</v>
      </c>
      <c r="AF274" t="s">
        <v>79</v>
      </c>
      <c r="AG274" t="s">
        <v>415</v>
      </c>
    </row>
    <row r="275" spans="1:33" x14ac:dyDescent="0.35">
      <c r="A275" s="18">
        <v>44515.756944444445</v>
      </c>
      <c r="B275">
        <v>169524</v>
      </c>
      <c r="C275" t="s">
        <v>837</v>
      </c>
      <c r="D275" t="s">
        <v>127</v>
      </c>
      <c r="E275" s="19">
        <v>28778</v>
      </c>
      <c r="F275" t="str">
        <f>"9780203199763"</f>
        <v>9780203199763</v>
      </c>
      <c r="G275" t="str">
        <f>"9780415059145"</f>
        <v>9780415059145</v>
      </c>
      <c r="H275" t="s">
        <v>838</v>
      </c>
      <c r="I275">
        <v>909.09767099999999</v>
      </c>
      <c r="J275" t="s">
        <v>839</v>
      </c>
      <c r="K275" t="s">
        <v>73</v>
      </c>
      <c r="N275" t="s">
        <v>74</v>
      </c>
      <c r="O275" t="s">
        <v>75</v>
      </c>
      <c r="P275" t="s">
        <v>74</v>
      </c>
      <c r="Q275" t="s">
        <v>76</v>
      </c>
      <c r="R275" t="s">
        <v>73</v>
      </c>
      <c r="S275">
        <v>0</v>
      </c>
      <c r="W275" s="20">
        <v>1.4386574074074072E-2</v>
      </c>
      <c r="X275" t="s">
        <v>840</v>
      </c>
      <c r="Y275">
        <v>35</v>
      </c>
      <c r="Z275">
        <v>0</v>
      </c>
      <c r="AA275" t="s">
        <v>78</v>
      </c>
      <c r="AB275">
        <v>0</v>
      </c>
      <c r="AC275" t="s">
        <v>78</v>
      </c>
      <c r="AD275">
        <v>0</v>
      </c>
      <c r="AE275">
        <v>10060831</v>
      </c>
      <c r="AF275" t="s">
        <v>79</v>
      </c>
      <c r="AG275" t="s">
        <v>415</v>
      </c>
    </row>
    <row r="276" spans="1:33" x14ac:dyDescent="0.35">
      <c r="A276" s="18">
        <v>44515.745833333334</v>
      </c>
      <c r="B276">
        <v>4043907</v>
      </c>
      <c r="C276" t="s">
        <v>577</v>
      </c>
      <c r="D276" t="s">
        <v>70</v>
      </c>
      <c r="E276" s="19">
        <v>40168</v>
      </c>
      <c r="F276" t="str">
        <f>"9781444358988"</f>
        <v>9781444358988</v>
      </c>
      <c r="G276" t="str">
        <f>"9781405180931"</f>
        <v>9781405180931</v>
      </c>
      <c r="H276" t="s">
        <v>308</v>
      </c>
      <c r="I276">
        <v>297.08999999999997</v>
      </c>
      <c r="J276" t="s">
        <v>578</v>
      </c>
      <c r="K276" t="s">
        <v>73</v>
      </c>
      <c r="N276" t="s">
        <v>74</v>
      </c>
      <c r="O276" t="s">
        <v>75</v>
      </c>
      <c r="P276" t="s">
        <v>74</v>
      </c>
      <c r="Q276" t="s">
        <v>76</v>
      </c>
      <c r="R276" t="s">
        <v>73</v>
      </c>
      <c r="S276">
        <v>0</v>
      </c>
      <c r="W276" s="20">
        <v>1.0185185185185184E-2</v>
      </c>
      <c r="X276" t="s">
        <v>841</v>
      </c>
      <c r="Y276">
        <v>20</v>
      </c>
      <c r="Z276">
        <v>0</v>
      </c>
      <c r="AA276" t="s">
        <v>78</v>
      </c>
      <c r="AB276">
        <v>0</v>
      </c>
      <c r="AC276" t="s">
        <v>78</v>
      </c>
      <c r="AD276">
        <v>0</v>
      </c>
      <c r="AE276">
        <v>11115870</v>
      </c>
      <c r="AF276" t="s">
        <v>79</v>
      </c>
      <c r="AG276" t="s">
        <v>415</v>
      </c>
    </row>
    <row r="277" spans="1:33" x14ac:dyDescent="0.35">
      <c r="A277" s="18">
        <v>44515.734027777777</v>
      </c>
      <c r="B277">
        <v>4183001</v>
      </c>
      <c r="C277" t="s">
        <v>580</v>
      </c>
      <c r="D277" t="s">
        <v>70</v>
      </c>
      <c r="E277" s="19">
        <v>42359</v>
      </c>
      <c r="F277" t="str">
        <f>"9781118972311"</f>
        <v>9781118972311</v>
      </c>
      <c r="G277" t="str">
        <f>"9781118972304"</f>
        <v>9781118972304</v>
      </c>
      <c r="H277" t="s">
        <v>308</v>
      </c>
      <c r="I277">
        <v>297</v>
      </c>
      <c r="J277" t="s">
        <v>581</v>
      </c>
      <c r="K277" t="s">
        <v>73</v>
      </c>
      <c r="N277" t="s">
        <v>74</v>
      </c>
      <c r="O277" t="s">
        <v>75</v>
      </c>
      <c r="P277" t="s">
        <v>74</v>
      </c>
      <c r="Q277" t="s">
        <v>76</v>
      </c>
      <c r="R277" t="s">
        <v>73</v>
      </c>
      <c r="S277">
        <v>0</v>
      </c>
      <c r="W277" s="20">
        <v>1.1180555555555556E-2</v>
      </c>
      <c r="X277" t="s">
        <v>842</v>
      </c>
      <c r="Y277">
        <v>28</v>
      </c>
      <c r="Z277">
        <v>0</v>
      </c>
      <c r="AA277" t="s">
        <v>78</v>
      </c>
      <c r="AB277">
        <v>0</v>
      </c>
      <c r="AC277" t="s">
        <v>78</v>
      </c>
      <c r="AD277">
        <v>0</v>
      </c>
      <c r="AE277">
        <v>11124854</v>
      </c>
      <c r="AF277" t="s">
        <v>79</v>
      </c>
      <c r="AG277" t="s">
        <v>415</v>
      </c>
    </row>
    <row r="278" spans="1:33" x14ac:dyDescent="0.35">
      <c r="A278" s="18">
        <v>44515.602777777778</v>
      </c>
      <c r="B278">
        <v>537802</v>
      </c>
      <c r="C278" t="s">
        <v>843</v>
      </c>
      <c r="D278" t="s">
        <v>844</v>
      </c>
      <c r="E278" s="19">
        <v>36062</v>
      </c>
      <c r="F278" t="str">
        <f>"9780857026279"</f>
        <v>9780857026279</v>
      </c>
      <c r="G278" t="str">
        <f>"9780761957317"</f>
        <v>9780761957317</v>
      </c>
      <c r="H278" t="s">
        <v>398</v>
      </c>
      <c r="I278">
        <v>301.02856320000001</v>
      </c>
      <c r="J278" t="s">
        <v>845</v>
      </c>
      <c r="K278" t="s">
        <v>73</v>
      </c>
      <c r="N278" t="s">
        <v>74</v>
      </c>
      <c r="O278" t="s">
        <v>75</v>
      </c>
      <c r="P278" t="s">
        <v>74</v>
      </c>
      <c r="Q278" t="s">
        <v>76</v>
      </c>
      <c r="R278" t="s">
        <v>73</v>
      </c>
      <c r="S278">
        <v>0</v>
      </c>
      <c r="W278" s="20">
        <v>9.6064814814814808E-4</v>
      </c>
      <c r="X278" t="s">
        <v>846</v>
      </c>
      <c r="Y278">
        <v>10</v>
      </c>
      <c r="Z278">
        <v>0</v>
      </c>
      <c r="AA278" t="s">
        <v>78</v>
      </c>
      <c r="AB278">
        <v>0</v>
      </c>
      <c r="AC278" t="s">
        <v>78</v>
      </c>
      <c r="AD278">
        <v>0</v>
      </c>
      <c r="AE278">
        <v>10392743</v>
      </c>
      <c r="AF278" t="s">
        <v>79</v>
      </c>
      <c r="AG278" t="s">
        <v>382</v>
      </c>
    </row>
    <row r="279" spans="1:33" x14ac:dyDescent="0.35">
      <c r="A279" s="18">
        <v>44515.558333333334</v>
      </c>
      <c r="B279">
        <v>1186512</v>
      </c>
      <c r="C279" t="s">
        <v>847</v>
      </c>
      <c r="D279" t="s">
        <v>127</v>
      </c>
      <c r="E279" s="19">
        <v>41389</v>
      </c>
      <c r="F279" t="str">
        <f>"9781466555440"</f>
        <v>9781466555440</v>
      </c>
      <c r="G279" t="str">
        <f>"9781466555433"</f>
        <v>9781466555433</v>
      </c>
      <c r="H279" t="s">
        <v>848</v>
      </c>
      <c r="I279">
        <v>543.65</v>
      </c>
      <c r="J279" t="s">
        <v>849</v>
      </c>
      <c r="K279" t="s">
        <v>73</v>
      </c>
      <c r="N279" t="s">
        <v>74</v>
      </c>
      <c r="O279" t="s">
        <v>75</v>
      </c>
      <c r="P279" t="s">
        <v>74</v>
      </c>
      <c r="Q279" t="s">
        <v>76</v>
      </c>
      <c r="R279" t="s">
        <v>73</v>
      </c>
      <c r="S279">
        <v>8</v>
      </c>
      <c r="W279" s="20">
        <v>1.3726851851851851E-2</v>
      </c>
      <c r="X279" t="s">
        <v>850</v>
      </c>
      <c r="Y279">
        <v>69</v>
      </c>
      <c r="Z279">
        <v>1</v>
      </c>
      <c r="AA279" t="s">
        <v>851</v>
      </c>
      <c r="AB279">
        <v>8</v>
      </c>
      <c r="AC279" t="s">
        <v>78</v>
      </c>
      <c r="AD279">
        <v>0</v>
      </c>
      <c r="AE279">
        <v>10700006</v>
      </c>
      <c r="AF279" t="s">
        <v>88</v>
      </c>
      <c r="AG279" t="s">
        <v>415</v>
      </c>
    </row>
    <row r="280" spans="1:33" x14ac:dyDescent="0.35">
      <c r="A280" s="18">
        <v>44515.554166666669</v>
      </c>
      <c r="B280">
        <v>1186512</v>
      </c>
      <c r="C280" t="s">
        <v>847</v>
      </c>
      <c r="D280" t="s">
        <v>127</v>
      </c>
      <c r="E280" s="19">
        <v>41389</v>
      </c>
      <c r="F280" t="str">
        <f>"9781466555440"</f>
        <v>9781466555440</v>
      </c>
      <c r="G280" t="str">
        <f>"9781466555433"</f>
        <v>9781466555433</v>
      </c>
      <c r="H280" t="s">
        <v>848</v>
      </c>
      <c r="I280">
        <v>543.65</v>
      </c>
      <c r="J280" t="s">
        <v>849</v>
      </c>
      <c r="K280" t="s">
        <v>73</v>
      </c>
      <c r="N280" t="s">
        <v>74</v>
      </c>
      <c r="O280" t="s">
        <v>75</v>
      </c>
      <c r="P280" t="s">
        <v>74</v>
      </c>
      <c r="Q280" t="s">
        <v>76</v>
      </c>
      <c r="R280" t="s">
        <v>73</v>
      </c>
      <c r="S280">
        <v>0</v>
      </c>
      <c r="W280" s="20">
        <v>4.5486111111111109E-3</v>
      </c>
      <c r="X280" t="s">
        <v>852</v>
      </c>
      <c r="Y280">
        <v>16</v>
      </c>
      <c r="Z280">
        <v>0</v>
      </c>
      <c r="AA280" t="s">
        <v>78</v>
      </c>
      <c r="AB280">
        <v>0</v>
      </c>
      <c r="AC280" t="s">
        <v>78</v>
      </c>
      <c r="AD280">
        <v>0</v>
      </c>
      <c r="AE280">
        <v>10700006</v>
      </c>
      <c r="AF280" t="s">
        <v>88</v>
      </c>
      <c r="AG280" t="s">
        <v>415</v>
      </c>
    </row>
    <row r="281" spans="1:33" x14ac:dyDescent="0.35">
      <c r="A281" s="18">
        <v>44515.479166666664</v>
      </c>
      <c r="B281">
        <v>5754433</v>
      </c>
      <c r="C281" t="s">
        <v>649</v>
      </c>
      <c r="D281" t="s">
        <v>158</v>
      </c>
      <c r="E281" s="19">
        <v>41474</v>
      </c>
      <c r="F281" t="str">
        <f>"9780124058934"</f>
        <v>9780124058934</v>
      </c>
      <c r="G281" t="str">
        <f>"9780124058767"</f>
        <v>9780124058767</v>
      </c>
      <c r="H281" t="s">
        <v>115</v>
      </c>
      <c r="I281">
        <v>518.02855299999999</v>
      </c>
      <c r="J281" t="s">
        <v>652</v>
      </c>
      <c r="K281" t="s">
        <v>73</v>
      </c>
      <c r="N281" t="s">
        <v>74</v>
      </c>
      <c r="O281" t="s">
        <v>75</v>
      </c>
      <c r="P281" t="s">
        <v>74</v>
      </c>
      <c r="Q281" t="s">
        <v>76</v>
      </c>
      <c r="R281" t="s">
        <v>73</v>
      </c>
      <c r="S281">
        <v>0</v>
      </c>
      <c r="W281" s="20">
        <v>1.3310185185185185E-3</v>
      </c>
      <c r="X281" t="s">
        <v>853</v>
      </c>
      <c r="Y281">
        <v>7</v>
      </c>
      <c r="Z281">
        <v>0</v>
      </c>
      <c r="AA281" t="s">
        <v>78</v>
      </c>
      <c r="AB281">
        <v>0</v>
      </c>
      <c r="AC281" t="s">
        <v>854</v>
      </c>
      <c r="AD281">
        <v>1</v>
      </c>
      <c r="AE281">
        <v>-1</v>
      </c>
      <c r="AF281" t="s">
        <v>79</v>
      </c>
      <c r="AG281" t="s">
        <v>272</v>
      </c>
    </row>
    <row r="282" spans="1:33" x14ac:dyDescent="0.35">
      <c r="A282" s="18">
        <v>44515.479166666664</v>
      </c>
      <c r="B282">
        <v>739037</v>
      </c>
      <c r="C282" t="s">
        <v>649</v>
      </c>
      <c r="D282" t="s">
        <v>158</v>
      </c>
      <c r="E282" s="19">
        <v>40788</v>
      </c>
      <c r="F282" t="str">
        <f>"9780123850829"</f>
        <v>9780123850829</v>
      </c>
      <c r="G282" t="str">
        <f>"9780123850812"</f>
        <v>9780123850812</v>
      </c>
      <c r="H282" t="s">
        <v>115</v>
      </c>
      <c r="I282">
        <v>518.02855299999999</v>
      </c>
      <c r="J282" t="s">
        <v>650</v>
      </c>
      <c r="K282" t="s">
        <v>73</v>
      </c>
      <c r="N282" t="s">
        <v>74</v>
      </c>
      <c r="O282" t="s">
        <v>75</v>
      </c>
      <c r="P282" t="s">
        <v>74</v>
      </c>
      <c r="Q282" t="s">
        <v>76</v>
      </c>
      <c r="R282" t="s">
        <v>73</v>
      </c>
      <c r="S282">
        <v>0</v>
      </c>
      <c r="W282" s="20">
        <v>6.9444444444444444E-5</v>
      </c>
      <c r="X282" t="s">
        <v>132</v>
      </c>
      <c r="Y282">
        <v>1</v>
      </c>
      <c r="Z282">
        <v>0</v>
      </c>
      <c r="AA282" t="s">
        <v>78</v>
      </c>
      <c r="AB282">
        <v>0</v>
      </c>
      <c r="AC282" t="s">
        <v>78</v>
      </c>
      <c r="AD282">
        <v>0</v>
      </c>
      <c r="AE282">
        <v>10483436</v>
      </c>
      <c r="AF282" t="s">
        <v>79</v>
      </c>
      <c r="AG282" t="s">
        <v>272</v>
      </c>
    </row>
    <row r="283" spans="1:33" x14ac:dyDescent="0.35">
      <c r="A283" s="18">
        <v>44514.954861111109</v>
      </c>
      <c r="B283">
        <v>1636035</v>
      </c>
      <c r="C283" t="s">
        <v>855</v>
      </c>
      <c r="D283" t="s">
        <v>158</v>
      </c>
      <c r="E283" s="19">
        <v>41739</v>
      </c>
      <c r="F283" t="str">
        <f>"9780123977922"</f>
        <v>9780123977922</v>
      </c>
      <c r="G283" t="str">
        <f>"9780123971951"</f>
        <v>9780123971951</v>
      </c>
      <c r="H283" t="s">
        <v>856</v>
      </c>
      <c r="I283">
        <v>621.40219999999999</v>
      </c>
      <c r="J283" t="s">
        <v>857</v>
      </c>
      <c r="K283" t="s">
        <v>73</v>
      </c>
      <c r="N283" t="s">
        <v>74</v>
      </c>
      <c r="O283" t="s">
        <v>75</v>
      </c>
      <c r="P283" t="s">
        <v>74</v>
      </c>
      <c r="Q283" t="s">
        <v>76</v>
      </c>
      <c r="R283" t="s">
        <v>73</v>
      </c>
      <c r="S283">
        <v>0</v>
      </c>
      <c r="W283" s="20">
        <v>1.1111111111111111E-3</v>
      </c>
      <c r="X283" t="s">
        <v>858</v>
      </c>
      <c r="Y283">
        <v>15</v>
      </c>
      <c r="Z283">
        <v>0</v>
      </c>
      <c r="AA283" t="s">
        <v>78</v>
      </c>
      <c r="AB283">
        <v>0</v>
      </c>
      <c r="AC283" t="s">
        <v>78</v>
      </c>
      <c r="AD283">
        <v>0</v>
      </c>
      <c r="AE283">
        <v>10839260</v>
      </c>
      <c r="AF283" t="s">
        <v>79</v>
      </c>
      <c r="AG283" t="s">
        <v>415</v>
      </c>
    </row>
    <row r="284" spans="1:33" x14ac:dyDescent="0.35">
      <c r="A284" s="18">
        <v>44514.901388888888</v>
      </c>
      <c r="B284">
        <v>5158279</v>
      </c>
      <c r="C284" t="s">
        <v>859</v>
      </c>
      <c r="D284" t="s">
        <v>390</v>
      </c>
      <c r="E284" s="19">
        <v>43087</v>
      </c>
      <c r="F284" t="str">
        <f>"9783110450293"</f>
        <v>9783110450293</v>
      </c>
      <c r="G284" t="str">
        <f>"9783110449624"</f>
        <v>9783110449624</v>
      </c>
      <c r="H284" t="s">
        <v>110</v>
      </c>
      <c r="I284">
        <v>6.32</v>
      </c>
      <c r="J284" t="s">
        <v>860</v>
      </c>
      <c r="K284" t="s">
        <v>73</v>
      </c>
      <c r="N284" t="s">
        <v>74</v>
      </c>
      <c r="O284" t="s">
        <v>75</v>
      </c>
      <c r="P284" t="s">
        <v>74</v>
      </c>
      <c r="Q284" t="s">
        <v>76</v>
      </c>
      <c r="R284" t="s">
        <v>73</v>
      </c>
      <c r="S284">
        <v>0</v>
      </c>
      <c r="W284" s="20">
        <v>3.7187499999999998E-2</v>
      </c>
      <c r="X284" t="s">
        <v>861</v>
      </c>
      <c r="Y284">
        <v>40</v>
      </c>
      <c r="Z284">
        <v>0</v>
      </c>
      <c r="AA284" t="s">
        <v>78</v>
      </c>
      <c r="AB284">
        <v>0</v>
      </c>
      <c r="AC284" t="s">
        <v>78</v>
      </c>
      <c r="AD284">
        <v>0</v>
      </c>
      <c r="AE284">
        <v>11497598</v>
      </c>
      <c r="AF284" t="s">
        <v>79</v>
      </c>
      <c r="AG284" t="s">
        <v>862</v>
      </c>
    </row>
    <row r="285" spans="1:33" x14ac:dyDescent="0.35">
      <c r="A285" s="18">
        <v>44514.899305555555</v>
      </c>
      <c r="B285">
        <v>3017889</v>
      </c>
      <c r="C285" t="s">
        <v>863</v>
      </c>
      <c r="D285" t="s">
        <v>226</v>
      </c>
      <c r="E285" s="19">
        <v>40603</v>
      </c>
      <c r="F285" t="str">
        <f>"9781619421004"</f>
        <v>9781619421004</v>
      </c>
      <c r="G285" t="str">
        <f>"9781613242858"</f>
        <v>9781613242858</v>
      </c>
      <c r="H285" t="s">
        <v>110</v>
      </c>
      <c r="I285" t="s">
        <v>864</v>
      </c>
      <c r="J285" t="s">
        <v>865</v>
      </c>
      <c r="K285" t="s">
        <v>73</v>
      </c>
      <c r="N285" t="s">
        <v>74</v>
      </c>
      <c r="O285" t="s">
        <v>75</v>
      </c>
      <c r="P285" t="s">
        <v>230</v>
      </c>
      <c r="Q285" t="s">
        <v>76</v>
      </c>
      <c r="R285" t="s">
        <v>85</v>
      </c>
      <c r="S285">
        <v>0</v>
      </c>
      <c r="W285" s="20">
        <v>2.8935185185185189E-4</v>
      </c>
      <c r="X285" t="s">
        <v>866</v>
      </c>
      <c r="Y285">
        <v>5</v>
      </c>
      <c r="Z285">
        <v>0</v>
      </c>
      <c r="AA285" t="s">
        <v>78</v>
      </c>
      <c r="AB285">
        <v>0</v>
      </c>
      <c r="AC285" t="s">
        <v>78</v>
      </c>
      <c r="AD285">
        <v>0</v>
      </c>
      <c r="AE285">
        <v>10654860</v>
      </c>
      <c r="AF285" t="s">
        <v>79</v>
      </c>
      <c r="AG285" t="s">
        <v>862</v>
      </c>
    </row>
    <row r="286" spans="1:33" x14ac:dyDescent="0.35">
      <c r="A286" s="18">
        <v>44514.890972222223</v>
      </c>
      <c r="B286">
        <v>1517435</v>
      </c>
      <c r="C286" t="s">
        <v>867</v>
      </c>
      <c r="D286" t="s">
        <v>158</v>
      </c>
      <c r="E286" s="19">
        <v>41605</v>
      </c>
      <c r="F286" t="str">
        <f>"9780123838377"</f>
        <v>9780123838377</v>
      </c>
      <c r="G286" t="str">
        <f>"9780123838360"</f>
        <v>9780123838360</v>
      </c>
      <c r="H286" t="s">
        <v>868</v>
      </c>
      <c r="I286">
        <v>612.79999999999995</v>
      </c>
      <c r="J286" t="s">
        <v>869</v>
      </c>
      <c r="K286" t="s">
        <v>73</v>
      </c>
      <c r="N286" t="s">
        <v>74</v>
      </c>
      <c r="O286" t="s">
        <v>75</v>
      </c>
      <c r="P286" t="s">
        <v>74</v>
      </c>
      <c r="Q286" t="s">
        <v>76</v>
      </c>
      <c r="R286" t="s">
        <v>73</v>
      </c>
      <c r="S286">
        <v>0</v>
      </c>
      <c r="W286" s="20">
        <v>8.6805555555555551E-4</v>
      </c>
      <c r="X286" t="s">
        <v>870</v>
      </c>
      <c r="Y286">
        <v>13</v>
      </c>
      <c r="Z286">
        <v>0</v>
      </c>
      <c r="AA286" t="s">
        <v>78</v>
      </c>
      <c r="AB286">
        <v>0</v>
      </c>
      <c r="AC286" t="s">
        <v>78</v>
      </c>
      <c r="AD286">
        <v>0</v>
      </c>
      <c r="AE286">
        <v>10791987</v>
      </c>
      <c r="AF286" t="s">
        <v>79</v>
      </c>
      <c r="AG286" t="s">
        <v>415</v>
      </c>
    </row>
    <row r="287" spans="1:33" x14ac:dyDescent="0.35">
      <c r="A287" s="18">
        <v>44514.878472222219</v>
      </c>
      <c r="B287">
        <v>3017388</v>
      </c>
      <c r="C287" t="s">
        <v>745</v>
      </c>
      <c r="D287" t="s">
        <v>234</v>
      </c>
      <c r="E287" s="19">
        <v>39783</v>
      </c>
      <c r="F287" t="str">
        <f>"9788122429206"</f>
        <v>9788122429206</v>
      </c>
      <c r="G287" t="str">
        <f>"9788122426984"</f>
        <v>9788122426984</v>
      </c>
      <c r="H287" t="s">
        <v>115</v>
      </c>
      <c r="J287" t="s">
        <v>746</v>
      </c>
      <c r="K287" t="s">
        <v>73</v>
      </c>
      <c r="N287" t="s">
        <v>74</v>
      </c>
      <c r="O287" t="s">
        <v>75</v>
      </c>
      <c r="P287" t="s">
        <v>74</v>
      </c>
      <c r="Q287" t="s">
        <v>76</v>
      </c>
      <c r="R287" t="s">
        <v>73</v>
      </c>
      <c r="S287">
        <v>0</v>
      </c>
      <c r="W287" s="20">
        <v>1.1469907407407408E-2</v>
      </c>
      <c r="X287" t="s">
        <v>871</v>
      </c>
      <c r="Y287">
        <v>10</v>
      </c>
      <c r="Z287">
        <v>0</v>
      </c>
      <c r="AA287" t="s">
        <v>78</v>
      </c>
      <c r="AB287">
        <v>0</v>
      </c>
      <c r="AC287" t="s">
        <v>78</v>
      </c>
      <c r="AD287">
        <v>0</v>
      </c>
      <c r="AE287">
        <v>10355537</v>
      </c>
      <c r="AF287" t="s">
        <v>79</v>
      </c>
      <c r="AG287" t="s">
        <v>415</v>
      </c>
    </row>
    <row r="288" spans="1:33" x14ac:dyDescent="0.35">
      <c r="A288" s="18">
        <v>44514.878472222219</v>
      </c>
      <c r="B288">
        <v>739037</v>
      </c>
      <c r="C288" t="s">
        <v>649</v>
      </c>
      <c r="D288" t="s">
        <v>158</v>
      </c>
      <c r="E288" s="19">
        <v>40788</v>
      </c>
      <c r="F288" t="str">
        <f>"9780123850829"</f>
        <v>9780123850829</v>
      </c>
      <c r="G288" t="str">
        <f>"9780123850812"</f>
        <v>9780123850812</v>
      </c>
      <c r="H288" t="s">
        <v>115</v>
      </c>
      <c r="I288">
        <v>518.02855299999999</v>
      </c>
      <c r="J288" t="s">
        <v>650</v>
      </c>
      <c r="K288" t="s">
        <v>73</v>
      </c>
      <c r="N288" t="s">
        <v>74</v>
      </c>
      <c r="O288" t="s">
        <v>75</v>
      </c>
      <c r="P288" t="s">
        <v>74</v>
      </c>
      <c r="Q288" t="s">
        <v>76</v>
      </c>
      <c r="R288" t="s">
        <v>73</v>
      </c>
      <c r="S288">
        <v>0</v>
      </c>
      <c r="W288" s="20">
        <v>9.8842592592592576E-3</v>
      </c>
      <c r="X288" t="s">
        <v>872</v>
      </c>
      <c r="Y288">
        <v>4</v>
      </c>
      <c r="Z288">
        <v>0</v>
      </c>
      <c r="AA288" t="s">
        <v>78</v>
      </c>
      <c r="AB288">
        <v>0</v>
      </c>
      <c r="AC288" t="s">
        <v>78</v>
      </c>
      <c r="AD288">
        <v>0</v>
      </c>
      <c r="AE288">
        <v>10483436</v>
      </c>
      <c r="AF288" t="s">
        <v>79</v>
      </c>
      <c r="AG288" t="s">
        <v>415</v>
      </c>
    </row>
    <row r="289" spans="1:33" x14ac:dyDescent="0.35">
      <c r="A289" s="18">
        <v>44514.878472222219</v>
      </c>
      <c r="B289">
        <v>5754433</v>
      </c>
      <c r="C289" t="s">
        <v>649</v>
      </c>
      <c r="D289" t="s">
        <v>158</v>
      </c>
      <c r="E289" s="19">
        <v>41474</v>
      </c>
      <c r="F289" t="str">
        <f>"9780124058934"</f>
        <v>9780124058934</v>
      </c>
      <c r="G289" t="str">
        <f>"9780124058767"</f>
        <v>9780124058767</v>
      </c>
      <c r="H289" t="s">
        <v>115</v>
      </c>
      <c r="I289">
        <v>518.02855299999999</v>
      </c>
      <c r="J289" t="s">
        <v>652</v>
      </c>
      <c r="K289" t="s">
        <v>73</v>
      </c>
      <c r="N289" t="s">
        <v>74</v>
      </c>
      <c r="O289" t="s">
        <v>75</v>
      </c>
      <c r="P289" t="s">
        <v>74</v>
      </c>
      <c r="Q289" t="s">
        <v>76</v>
      </c>
      <c r="R289" t="s">
        <v>73</v>
      </c>
      <c r="S289">
        <v>0</v>
      </c>
      <c r="W289" s="20">
        <v>7.8009259259259256E-3</v>
      </c>
      <c r="X289" t="s">
        <v>873</v>
      </c>
      <c r="Y289">
        <v>29</v>
      </c>
      <c r="Z289">
        <v>0</v>
      </c>
      <c r="AA289" t="s">
        <v>78</v>
      </c>
      <c r="AB289">
        <v>0</v>
      </c>
      <c r="AC289" t="s">
        <v>78</v>
      </c>
      <c r="AD289">
        <v>0</v>
      </c>
      <c r="AE289">
        <v>-1</v>
      </c>
      <c r="AF289" t="s">
        <v>79</v>
      </c>
      <c r="AG289" t="s">
        <v>415</v>
      </c>
    </row>
    <row r="290" spans="1:33" x14ac:dyDescent="0.35">
      <c r="A290" s="18">
        <v>44514.878472222219</v>
      </c>
      <c r="B290">
        <v>1069051</v>
      </c>
      <c r="C290" t="s">
        <v>874</v>
      </c>
      <c r="D290" t="s">
        <v>875</v>
      </c>
      <c r="E290" s="19">
        <v>39661</v>
      </c>
      <c r="F290" t="str">
        <f>"9780815797166"</f>
        <v>9780815797166</v>
      </c>
      <c r="G290" t="str">
        <f>"9780815797159"</f>
        <v>9780815797159</v>
      </c>
      <c r="H290" t="s">
        <v>876</v>
      </c>
      <c r="I290">
        <v>363.738</v>
      </c>
      <c r="J290" t="s">
        <v>877</v>
      </c>
      <c r="K290" t="s">
        <v>73</v>
      </c>
      <c r="N290" t="s">
        <v>74</v>
      </c>
      <c r="O290" t="s">
        <v>75</v>
      </c>
      <c r="P290" t="s">
        <v>74</v>
      </c>
      <c r="Q290" t="s">
        <v>76</v>
      </c>
      <c r="R290" t="s">
        <v>73</v>
      </c>
      <c r="S290">
        <v>0</v>
      </c>
      <c r="W290" s="20">
        <v>7.7546296296296304E-4</v>
      </c>
      <c r="X290" t="s">
        <v>878</v>
      </c>
      <c r="Y290">
        <v>13</v>
      </c>
      <c r="Z290">
        <v>0</v>
      </c>
      <c r="AA290" t="s">
        <v>78</v>
      </c>
      <c r="AB290">
        <v>0</v>
      </c>
      <c r="AC290" t="s">
        <v>78</v>
      </c>
      <c r="AD290">
        <v>0</v>
      </c>
      <c r="AE290">
        <v>10224510</v>
      </c>
      <c r="AF290" t="s">
        <v>79</v>
      </c>
      <c r="AG290" t="s">
        <v>879</v>
      </c>
    </row>
    <row r="291" spans="1:33" x14ac:dyDescent="0.35">
      <c r="A291" s="18">
        <v>44514.87777777778</v>
      </c>
      <c r="B291">
        <v>879441</v>
      </c>
      <c r="C291" t="s">
        <v>880</v>
      </c>
      <c r="D291" t="s">
        <v>881</v>
      </c>
      <c r="E291" s="19">
        <v>40422</v>
      </c>
      <c r="F291" t="str">
        <f>"9781908759054"</f>
        <v>9781908759054</v>
      </c>
      <c r="G291" t="str">
        <f>"9781907184512"</f>
        <v>9781907184512</v>
      </c>
      <c r="H291" t="s">
        <v>882</v>
      </c>
      <c r="I291" t="s">
        <v>883</v>
      </c>
      <c r="J291" t="s">
        <v>884</v>
      </c>
      <c r="K291" t="s">
        <v>73</v>
      </c>
      <c r="N291" t="s">
        <v>74</v>
      </c>
      <c r="O291" t="s">
        <v>75</v>
      </c>
      <c r="P291" t="s">
        <v>74</v>
      </c>
      <c r="Q291" t="s">
        <v>76</v>
      </c>
      <c r="R291" t="s">
        <v>73</v>
      </c>
      <c r="S291">
        <v>0</v>
      </c>
      <c r="W291" s="20">
        <v>4.6296296296296293E-4</v>
      </c>
      <c r="X291" t="s">
        <v>885</v>
      </c>
      <c r="Y291">
        <v>8</v>
      </c>
      <c r="Z291">
        <v>0</v>
      </c>
      <c r="AA291" t="s">
        <v>78</v>
      </c>
      <c r="AB291">
        <v>0</v>
      </c>
      <c r="AC291" t="s">
        <v>78</v>
      </c>
      <c r="AD291">
        <v>0</v>
      </c>
      <c r="AE291">
        <v>10539092</v>
      </c>
      <c r="AF291" t="s">
        <v>79</v>
      </c>
      <c r="AG291" t="s">
        <v>879</v>
      </c>
    </row>
    <row r="292" spans="1:33" x14ac:dyDescent="0.35">
      <c r="A292" s="18">
        <v>44514.865277777775</v>
      </c>
      <c r="B292">
        <v>3407075</v>
      </c>
      <c r="C292" t="s">
        <v>531</v>
      </c>
      <c r="D292" t="s">
        <v>517</v>
      </c>
      <c r="E292" s="19">
        <v>40817</v>
      </c>
      <c r="F292" t="str">
        <f>"9781438437446"</f>
        <v>9781438437446</v>
      </c>
      <c r="G292" t="str">
        <f>"9781438437439"</f>
        <v>9781438437439</v>
      </c>
      <c r="H292" t="s">
        <v>528</v>
      </c>
      <c r="I292" t="s">
        <v>532</v>
      </c>
      <c r="J292" t="s">
        <v>533</v>
      </c>
      <c r="K292" t="s">
        <v>73</v>
      </c>
      <c r="N292" t="s">
        <v>74</v>
      </c>
      <c r="O292" t="s">
        <v>75</v>
      </c>
      <c r="P292" t="s">
        <v>74</v>
      </c>
      <c r="Q292" t="s">
        <v>76</v>
      </c>
      <c r="R292" t="s">
        <v>73</v>
      </c>
      <c r="S292">
        <v>0</v>
      </c>
      <c r="W292" s="20">
        <v>3.605324074074074E-2</v>
      </c>
      <c r="X292" t="s">
        <v>886</v>
      </c>
      <c r="Y292">
        <v>21</v>
      </c>
      <c r="Z292">
        <v>0</v>
      </c>
      <c r="AA292" t="s">
        <v>78</v>
      </c>
      <c r="AB292">
        <v>0</v>
      </c>
      <c r="AC292" t="s">
        <v>78</v>
      </c>
      <c r="AD292">
        <v>0</v>
      </c>
      <c r="AE292">
        <v>10573936</v>
      </c>
      <c r="AF292" t="s">
        <v>79</v>
      </c>
      <c r="AG292" t="s">
        <v>242</v>
      </c>
    </row>
    <row r="293" spans="1:33" x14ac:dyDescent="0.35">
      <c r="A293" s="18">
        <v>44514.859722222223</v>
      </c>
      <c r="B293">
        <v>1582236</v>
      </c>
      <c r="C293" t="s">
        <v>887</v>
      </c>
      <c r="D293" t="s">
        <v>506</v>
      </c>
      <c r="E293" s="19">
        <v>41603</v>
      </c>
      <c r="F293" t="str">
        <f>"9789004255371"</f>
        <v>9789004255371</v>
      </c>
      <c r="G293" t="str">
        <f>"9789004255364"</f>
        <v>9789004255364</v>
      </c>
      <c r="H293" t="s">
        <v>308</v>
      </c>
      <c r="I293">
        <v>297.409468</v>
      </c>
      <c r="J293" t="s">
        <v>888</v>
      </c>
      <c r="K293" t="s">
        <v>73</v>
      </c>
      <c r="N293" t="s">
        <v>74</v>
      </c>
      <c r="O293" t="s">
        <v>75</v>
      </c>
      <c r="P293" t="s">
        <v>74</v>
      </c>
      <c r="Q293" t="s">
        <v>76</v>
      </c>
      <c r="R293" t="s">
        <v>73</v>
      </c>
      <c r="S293">
        <v>0</v>
      </c>
      <c r="W293" s="20">
        <v>1.7708333333333332E-3</v>
      </c>
      <c r="X293" t="s">
        <v>889</v>
      </c>
      <c r="Y293">
        <v>8</v>
      </c>
      <c r="Z293">
        <v>0</v>
      </c>
      <c r="AA293" t="s">
        <v>78</v>
      </c>
      <c r="AB293">
        <v>0</v>
      </c>
      <c r="AC293" t="s">
        <v>78</v>
      </c>
      <c r="AD293">
        <v>0</v>
      </c>
      <c r="AE293">
        <v>10820837</v>
      </c>
      <c r="AF293" t="s">
        <v>79</v>
      </c>
      <c r="AG293" t="s">
        <v>242</v>
      </c>
    </row>
    <row r="294" spans="1:33" x14ac:dyDescent="0.35">
      <c r="A294" s="18">
        <v>44514.856249999997</v>
      </c>
      <c r="B294">
        <v>894046</v>
      </c>
      <c r="C294" t="s">
        <v>890</v>
      </c>
      <c r="D294" t="s">
        <v>189</v>
      </c>
      <c r="E294" s="19">
        <v>41505</v>
      </c>
      <c r="F294" t="str">
        <f>"9783110285406"</f>
        <v>9783110285406</v>
      </c>
      <c r="G294" t="str">
        <f>"9783110285345"</f>
        <v>9783110285345</v>
      </c>
      <c r="H294" t="s">
        <v>891</v>
      </c>
      <c r="I294">
        <v>181</v>
      </c>
      <c r="J294" t="s">
        <v>892</v>
      </c>
      <c r="K294" t="s">
        <v>73</v>
      </c>
      <c r="N294" t="s">
        <v>74</v>
      </c>
      <c r="O294" t="s">
        <v>75</v>
      </c>
      <c r="P294" t="s">
        <v>74</v>
      </c>
      <c r="Q294" t="s">
        <v>76</v>
      </c>
      <c r="R294" t="s">
        <v>73</v>
      </c>
      <c r="S294">
        <v>0</v>
      </c>
      <c r="W294" s="20">
        <v>5.7060185185185191E-3</v>
      </c>
      <c r="X294" t="s">
        <v>893</v>
      </c>
      <c r="Y294">
        <v>11</v>
      </c>
      <c r="Z294">
        <v>0</v>
      </c>
      <c r="AA294" t="s">
        <v>78</v>
      </c>
      <c r="AB294">
        <v>0</v>
      </c>
      <c r="AC294" t="s">
        <v>78</v>
      </c>
      <c r="AD294">
        <v>0</v>
      </c>
      <c r="AE294">
        <v>10786176</v>
      </c>
      <c r="AF294" t="s">
        <v>79</v>
      </c>
      <c r="AG294" t="s">
        <v>242</v>
      </c>
    </row>
    <row r="295" spans="1:33" x14ac:dyDescent="0.35">
      <c r="A295" s="18">
        <v>44514.74722222222</v>
      </c>
      <c r="B295">
        <v>1186512</v>
      </c>
      <c r="C295" t="s">
        <v>847</v>
      </c>
      <c r="D295" t="s">
        <v>127</v>
      </c>
      <c r="E295" s="19">
        <v>41389</v>
      </c>
      <c r="F295" t="str">
        <f>"9781466555440"</f>
        <v>9781466555440</v>
      </c>
      <c r="G295" t="str">
        <f>"9781466555433"</f>
        <v>9781466555433</v>
      </c>
      <c r="H295" t="s">
        <v>848</v>
      </c>
      <c r="I295">
        <v>543.65</v>
      </c>
      <c r="J295" t="s">
        <v>849</v>
      </c>
      <c r="K295" t="s">
        <v>73</v>
      </c>
      <c r="N295" t="s">
        <v>74</v>
      </c>
      <c r="O295" t="s">
        <v>75</v>
      </c>
      <c r="P295" t="s">
        <v>74</v>
      </c>
      <c r="Q295" t="s">
        <v>76</v>
      </c>
      <c r="R295" t="s">
        <v>73</v>
      </c>
      <c r="S295">
        <v>0</v>
      </c>
      <c r="W295" s="20">
        <v>1.3657407407407409E-3</v>
      </c>
      <c r="X295" t="s">
        <v>894</v>
      </c>
      <c r="Y295">
        <v>12</v>
      </c>
      <c r="Z295">
        <v>0</v>
      </c>
      <c r="AA295" t="s">
        <v>78</v>
      </c>
      <c r="AB295">
        <v>0</v>
      </c>
      <c r="AC295" t="s">
        <v>78</v>
      </c>
      <c r="AD295">
        <v>0</v>
      </c>
      <c r="AE295">
        <v>10700006</v>
      </c>
      <c r="AF295" t="s">
        <v>79</v>
      </c>
      <c r="AG295" t="s">
        <v>415</v>
      </c>
    </row>
    <row r="296" spans="1:33" x14ac:dyDescent="0.35">
      <c r="A296" s="18">
        <v>44514.695138888892</v>
      </c>
      <c r="B296">
        <v>3020018</v>
      </c>
      <c r="C296" t="s">
        <v>895</v>
      </c>
      <c r="D296" t="s">
        <v>226</v>
      </c>
      <c r="E296" s="19">
        <v>40360</v>
      </c>
      <c r="F296" t="str">
        <f>"9781616688141"</f>
        <v>9781616688141</v>
      </c>
      <c r="G296" t="str">
        <f>"9781616684181"</f>
        <v>9781616684181</v>
      </c>
      <c r="H296" t="s">
        <v>896</v>
      </c>
      <c r="I296" t="s">
        <v>897</v>
      </c>
      <c r="J296" t="s">
        <v>898</v>
      </c>
      <c r="K296" t="s">
        <v>73</v>
      </c>
      <c r="N296" t="s">
        <v>74</v>
      </c>
      <c r="O296" t="s">
        <v>75</v>
      </c>
      <c r="P296" t="s">
        <v>230</v>
      </c>
      <c r="Q296" t="s">
        <v>76</v>
      </c>
      <c r="R296" t="s">
        <v>85</v>
      </c>
      <c r="S296">
        <v>0</v>
      </c>
      <c r="W296" s="20">
        <v>0</v>
      </c>
      <c r="X296" t="s">
        <v>78</v>
      </c>
      <c r="Y296">
        <v>0</v>
      </c>
      <c r="Z296">
        <v>0</v>
      </c>
      <c r="AA296" t="s">
        <v>78</v>
      </c>
      <c r="AB296">
        <v>0</v>
      </c>
      <c r="AC296" t="s">
        <v>78</v>
      </c>
      <c r="AD296">
        <v>0</v>
      </c>
      <c r="AE296">
        <v>10675026</v>
      </c>
      <c r="AF296" t="s">
        <v>79</v>
      </c>
      <c r="AG296" t="s">
        <v>415</v>
      </c>
    </row>
    <row r="297" spans="1:33" x14ac:dyDescent="0.35">
      <c r="A297" s="18">
        <v>44514.693749999999</v>
      </c>
      <c r="B297">
        <v>976630</v>
      </c>
      <c r="C297" t="s">
        <v>899</v>
      </c>
      <c r="D297" t="s">
        <v>900</v>
      </c>
      <c r="E297" s="19">
        <v>40660</v>
      </c>
      <c r="F297" t="str">
        <f>"9781608053490"</f>
        <v>9781608053490</v>
      </c>
      <c r="G297" t="str">
        <f>"9781608055968"</f>
        <v>9781608055968</v>
      </c>
      <c r="H297" t="s">
        <v>901</v>
      </c>
      <c r="I297">
        <v>500</v>
      </c>
      <c r="J297" t="s">
        <v>902</v>
      </c>
      <c r="K297" t="s">
        <v>73</v>
      </c>
      <c r="N297" t="s">
        <v>74</v>
      </c>
      <c r="O297" t="s">
        <v>75</v>
      </c>
      <c r="P297" t="s">
        <v>74</v>
      </c>
      <c r="Q297" t="s">
        <v>76</v>
      </c>
      <c r="R297" t="s">
        <v>73</v>
      </c>
      <c r="S297">
        <v>0</v>
      </c>
      <c r="W297" s="20">
        <v>1.2361111111111113E-2</v>
      </c>
      <c r="X297" t="s">
        <v>903</v>
      </c>
      <c r="Y297">
        <v>27</v>
      </c>
      <c r="Z297">
        <v>0</v>
      </c>
      <c r="AA297" t="s">
        <v>78</v>
      </c>
      <c r="AB297">
        <v>0</v>
      </c>
      <c r="AC297" t="s">
        <v>78</v>
      </c>
      <c r="AD297">
        <v>0</v>
      </c>
      <c r="AE297">
        <v>10570976</v>
      </c>
      <c r="AF297" t="s">
        <v>79</v>
      </c>
      <c r="AG297" t="s">
        <v>862</v>
      </c>
    </row>
    <row r="298" spans="1:33" x14ac:dyDescent="0.35">
      <c r="A298" s="18">
        <v>44514.629861111112</v>
      </c>
      <c r="B298">
        <v>4183001</v>
      </c>
      <c r="C298" t="s">
        <v>580</v>
      </c>
      <c r="D298" t="s">
        <v>70</v>
      </c>
      <c r="E298" s="19">
        <v>42359</v>
      </c>
      <c r="F298" t="str">
        <f>"9781118972311"</f>
        <v>9781118972311</v>
      </c>
      <c r="G298" t="str">
        <f>"9781118972304"</f>
        <v>9781118972304</v>
      </c>
      <c r="H298" t="s">
        <v>308</v>
      </c>
      <c r="I298">
        <v>297</v>
      </c>
      <c r="J298" t="s">
        <v>581</v>
      </c>
      <c r="K298" t="s">
        <v>73</v>
      </c>
      <c r="N298" t="s">
        <v>74</v>
      </c>
      <c r="O298" t="s">
        <v>75</v>
      </c>
      <c r="P298" t="s">
        <v>74</v>
      </c>
      <c r="Q298" t="s">
        <v>76</v>
      </c>
      <c r="R298" t="s">
        <v>73</v>
      </c>
      <c r="S298">
        <v>0</v>
      </c>
      <c r="W298" s="20">
        <v>4.5370370370370365E-3</v>
      </c>
      <c r="X298" t="s">
        <v>904</v>
      </c>
      <c r="Y298">
        <v>18</v>
      </c>
      <c r="Z298">
        <v>0</v>
      </c>
      <c r="AA298" t="s">
        <v>78</v>
      </c>
      <c r="AB298">
        <v>0</v>
      </c>
      <c r="AC298" t="s">
        <v>78</v>
      </c>
      <c r="AD298">
        <v>0</v>
      </c>
      <c r="AE298">
        <v>11124854</v>
      </c>
      <c r="AF298" t="s">
        <v>79</v>
      </c>
      <c r="AG298" t="s">
        <v>415</v>
      </c>
    </row>
    <row r="299" spans="1:33" x14ac:dyDescent="0.35">
      <c r="A299" s="18">
        <v>44514.623611111114</v>
      </c>
      <c r="B299">
        <v>1209554</v>
      </c>
      <c r="C299" t="s">
        <v>905</v>
      </c>
      <c r="D299" t="s">
        <v>127</v>
      </c>
      <c r="E299" s="19">
        <v>41425</v>
      </c>
      <c r="F299" t="str">
        <f>"9781134609987"</f>
        <v>9781134609987</v>
      </c>
      <c r="G299" t="str">
        <f>"9780415830812"</f>
        <v>9780415830812</v>
      </c>
      <c r="H299" t="s">
        <v>251</v>
      </c>
      <c r="I299">
        <v>340.59</v>
      </c>
      <c r="J299" t="s">
        <v>906</v>
      </c>
      <c r="K299" t="s">
        <v>73</v>
      </c>
      <c r="N299" t="s">
        <v>74</v>
      </c>
      <c r="O299" t="s">
        <v>75</v>
      </c>
      <c r="P299" t="s">
        <v>74</v>
      </c>
      <c r="Q299" t="s">
        <v>76</v>
      </c>
      <c r="R299" t="s">
        <v>73</v>
      </c>
      <c r="S299">
        <v>0</v>
      </c>
      <c r="W299" s="20">
        <v>5.0115740740740737E-3</v>
      </c>
      <c r="X299" t="s">
        <v>907</v>
      </c>
      <c r="Y299">
        <v>24</v>
      </c>
      <c r="Z299">
        <v>0</v>
      </c>
      <c r="AA299" t="s">
        <v>78</v>
      </c>
      <c r="AB299">
        <v>0</v>
      </c>
      <c r="AC299" t="s">
        <v>78</v>
      </c>
      <c r="AD299">
        <v>0</v>
      </c>
      <c r="AE299">
        <v>10716357</v>
      </c>
      <c r="AF299" t="s">
        <v>79</v>
      </c>
      <c r="AG299" t="s">
        <v>415</v>
      </c>
    </row>
    <row r="300" spans="1:33" x14ac:dyDescent="0.35">
      <c r="A300" s="18">
        <v>44514.572222222225</v>
      </c>
      <c r="B300">
        <v>976630</v>
      </c>
      <c r="C300" t="s">
        <v>899</v>
      </c>
      <c r="D300" t="s">
        <v>900</v>
      </c>
      <c r="E300" s="19">
        <v>40660</v>
      </c>
      <c r="F300" t="str">
        <f>"9781608053490"</f>
        <v>9781608053490</v>
      </c>
      <c r="G300" t="str">
        <f>"9781608055968"</f>
        <v>9781608055968</v>
      </c>
      <c r="H300" t="s">
        <v>901</v>
      </c>
      <c r="I300">
        <v>500</v>
      </c>
      <c r="J300" t="s">
        <v>902</v>
      </c>
      <c r="K300" t="s">
        <v>73</v>
      </c>
      <c r="N300" t="s">
        <v>74</v>
      </c>
      <c r="O300" t="s">
        <v>75</v>
      </c>
      <c r="P300" t="s">
        <v>74</v>
      </c>
      <c r="Q300" t="s">
        <v>76</v>
      </c>
      <c r="R300" t="s">
        <v>73</v>
      </c>
      <c r="S300">
        <v>0</v>
      </c>
      <c r="W300" s="20">
        <v>1.7326388888888888E-2</v>
      </c>
      <c r="X300" t="s">
        <v>908</v>
      </c>
      <c r="Y300">
        <v>3</v>
      </c>
      <c r="Z300">
        <v>0</v>
      </c>
      <c r="AA300" t="s">
        <v>78</v>
      </c>
      <c r="AB300">
        <v>0</v>
      </c>
      <c r="AC300" t="s">
        <v>78</v>
      </c>
      <c r="AD300">
        <v>0</v>
      </c>
      <c r="AE300">
        <v>10570976</v>
      </c>
      <c r="AF300" t="s">
        <v>79</v>
      </c>
      <c r="AG300" t="s">
        <v>862</v>
      </c>
    </row>
    <row r="301" spans="1:33" x14ac:dyDescent="0.35">
      <c r="A301" s="18">
        <v>44514.563888888886</v>
      </c>
      <c r="B301">
        <v>6123275</v>
      </c>
      <c r="C301" t="s">
        <v>909</v>
      </c>
      <c r="D301" t="s">
        <v>70</v>
      </c>
      <c r="E301" s="19">
        <v>43914</v>
      </c>
      <c r="F301" t="str">
        <f>"9781119540311"</f>
        <v>9781119540311</v>
      </c>
      <c r="G301" t="str">
        <f>"9781119540281"</f>
        <v>9781119540281</v>
      </c>
      <c r="H301" t="s">
        <v>83</v>
      </c>
      <c r="I301">
        <v>621.47</v>
      </c>
      <c r="J301" t="s">
        <v>910</v>
      </c>
      <c r="K301" t="s">
        <v>85</v>
      </c>
      <c r="N301" t="s">
        <v>86</v>
      </c>
      <c r="P301" t="s">
        <v>297</v>
      </c>
      <c r="Q301" t="s">
        <v>76</v>
      </c>
      <c r="R301" t="s">
        <v>73</v>
      </c>
      <c r="S301">
        <v>0</v>
      </c>
      <c r="W301" s="20">
        <v>4.521990740740741E-2</v>
      </c>
      <c r="X301" t="s">
        <v>911</v>
      </c>
      <c r="Y301">
        <v>128</v>
      </c>
      <c r="Z301">
        <v>0</v>
      </c>
      <c r="AA301" t="s">
        <v>78</v>
      </c>
      <c r="AB301">
        <v>0</v>
      </c>
      <c r="AC301" t="s">
        <v>912</v>
      </c>
      <c r="AD301">
        <v>2</v>
      </c>
      <c r="AE301">
        <v>-1</v>
      </c>
      <c r="AF301" t="s">
        <v>79</v>
      </c>
      <c r="AG301" t="s">
        <v>415</v>
      </c>
    </row>
    <row r="302" spans="1:33" x14ac:dyDescent="0.35">
      <c r="A302" s="18">
        <v>44513.986805555556</v>
      </c>
      <c r="B302">
        <v>3020018</v>
      </c>
      <c r="C302" t="s">
        <v>895</v>
      </c>
      <c r="D302" t="s">
        <v>226</v>
      </c>
      <c r="E302" s="19">
        <v>40360</v>
      </c>
      <c r="F302" t="str">
        <f>"9781616688141"</f>
        <v>9781616688141</v>
      </c>
      <c r="G302" t="str">
        <f>"9781616684181"</f>
        <v>9781616684181</v>
      </c>
      <c r="H302" t="s">
        <v>896</v>
      </c>
      <c r="I302" t="s">
        <v>897</v>
      </c>
      <c r="J302" t="s">
        <v>898</v>
      </c>
      <c r="K302" t="s">
        <v>73</v>
      </c>
      <c r="N302" t="s">
        <v>74</v>
      </c>
      <c r="O302" t="s">
        <v>75</v>
      </c>
      <c r="P302" t="s">
        <v>230</v>
      </c>
      <c r="Q302" t="s">
        <v>76</v>
      </c>
      <c r="R302" t="s">
        <v>85</v>
      </c>
      <c r="S302">
        <v>0</v>
      </c>
      <c r="W302" s="20">
        <v>7.1643518518518514E-3</v>
      </c>
      <c r="X302" t="s">
        <v>913</v>
      </c>
      <c r="Y302">
        <v>5</v>
      </c>
      <c r="Z302">
        <v>1</v>
      </c>
      <c r="AA302" t="s">
        <v>914</v>
      </c>
      <c r="AB302">
        <v>8</v>
      </c>
      <c r="AC302" t="s">
        <v>78</v>
      </c>
      <c r="AD302">
        <v>0</v>
      </c>
      <c r="AE302">
        <v>10675026</v>
      </c>
      <c r="AF302" t="s">
        <v>79</v>
      </c>
      <c r="AG302" t="s">
        <v>415</v>
      </c>
    </row>
    <row r="303" spans="1:33" x14ac:dyDescent="0.35">
      <c r="A303" s="18">
        <v>44513.961111111108</v>
      </c>
      <c r="B303">
        <v>2025588</v>
      </c>
      <c r="C303" t="s">
        <v>779</v>
      </c>
      <c r="D303" t="s">
        <v>780</v>
      </c>
      <c r="E303" s="19">
        <v>42248</v>
      </c>
      <c r="F303" t="str">
        <f>"9780520962491"</f>
        <v>9780520962491</v>
      </c>
      <c r="G303" t="str">
        <f>"9780520287310"</f>
        <v>9780520287310</v>
      </c>
      <c r="H303" t="s">
        <v>308</v>
      </c>
      <c r="I303" t="s">
        <v>781</v>
      </c>
      <c r="J303" t="s">
        <v>782</v>
      </c>
      <c r="K303" t="s">
        <v>73</v>
      </c>
      <c r="N303" t="s">
        <v>74</v>
      </c>
      <c r="O303" t="s">
        <v>75</v>
      </c>
      <c r="P303" t="s">
        <v>230</v>
      </c>
      <c r="Q303" t="s">
        <v>76</v>
      </c>
      <c r="R303" t="s">
        <v>85</v>
      </c>
      <c r="S303">
        <v>0</v>
      </c>
      <c r="W303" s="20">
        <v>1.1226851851851851E-3</v>
      </c>
      <c r="X303" t="s">
        <v>915</v>
      </c>
      <c r="Y303">
        <v>4</v>
      </c>
      <c r="Z303">
        <v>2</v>
      </c>
      <c r="AA303" t="s">
        <v>916</v>
      </c>
      <c r="AB303">
        <v>6</v>
      </c>
      <c r="AC303" t="s">
        <v>78</v>
      </c>
      <c r="AD303">
        <v>0</v>
      </c>
      <c r="AE303">
        <v>11085800</v>
      </c>
      <c r="AF303" t="s">
        <v>79</v>
      </c>
      <c r="AG303" t="s">
        <v>806</v>
      </c>
    </row>
    <row r="304" spans="1:33" x14ac:dyDescent="0.35">
      <c r="A304" s="18">
        <v>44513.943749999999</v>
      </c>
      <c r="B304">
        <v>537802</v>
      </c>
      <c r="C304" t="s">
        <v>843</v>
      </c>
      <c r="D304" t="s">
        <v>844</v>
      </c>
      <c r="E304" s="19">
        <v>36062</v>
      </c>
      <c r="F304" t="str">
        <f>"9780857026279"</f>
        <v>9780857026279</v>
      </c>
      <c r="G304" t="str">
        <f>"9780761957317"</f>
        <v>9780761957317</v>
      </c>
      <c r="H304" t="s">
        <v>398</v>
      </c>
      <c r="I304">
        <v>301.02856320000001</v>
      </c>
      <c r="J304" t="s">
        <v>845</v>
      </c>
      <c r="K304" t="s">
        <v>73</v>
      </c>
      <c r="N304" t="s">
        <v>74</v>
      </c>
      <c r="O304" t="s">
        <v>75</v>
      </c>
      <c r="P304" t="s">
        <v>74</v>
      </c>
      <c r="Q304" t="s">
        <v>76</v>
      </c>
      <c r="R304" t="s">
        <v>73</v>
      </c>
      <c r="S304">
        <v>0</v>
      </c>
      <c r="W304" s="20">
        <v>1.0729166666666666E-2</v>
      </c>
      <c r="X304" t="s">
        <v>917</v>
      </c>
      <c r="Y304">
        <v>13</v>
      </c>
      <c r="Z304">
        <v>0</v>
      </c>
      <c r="AA304" t="s">
        <v>78</v>
      </c>
      <c r="AB304">
        <v>0</v>
      </c>
      <c r="AC304" t="s">
        <v>918</v>
      </c>
      <c r="AD304">
        <v>2</v>
      </c>
      <c r="AE304">
        <v>10392743</v>
      </c>
      <c r="AF304" t="s">
        <v>79</v>
      </c>
      <c r="AG304" t="s">
        <v>381</v>
      </c>
    </row>
    <row r="305" spans="1:33" x14ac:dyDescent="0.35">
      <c r="A305" s="18">
        <v>44513.767361111109</v>
      </c>
      <c r="B305">
        <v>3004137</v>
      </c>
      <c r="C305" t="s">
        <v>919</v>
      </c>
      <c r="D305" t="s">
        <v>506</v>
      </c>
      <c r="E305" s="19">
        <v>39017</v>
      </c>
      <c r="F305" t="str">
        <f>"9789047410416"</f>
        <v>9789047410416</v>
      </c>
      <c r="G305" t="str">
        <f>"9789004152687"</f>
        <v>9789004152687</v>
      </c>
      <c r="H305" t="s">
        <v>227</v>
      </c>
      <c r="I305" t="s">
        <v>920</v>
      </c>
      <c r="J305" t="s">
        <v>921</v>
      </c>
      <c r="K305" t="s">
        <v>73</v>
      </c>
      <c r="N305" t="s">
        <v>74</v>
      </c>
      <c r="O305" t="s">
        <v>75</v>
      </c>
      <c r="P305" t="s">
        <v>74</v>
      </c>
      <c r="Q305" t="s">
        <v>76</v>
      </c>
      <c r="R305" t="s">
        <v>73</v>
      </c>
      <c r="S305">
        <v>0</v>
      </c>
      <c r="W305" s="20">
        <v>6.2500000000000001E-4</v>
      </c>
      <c r="X305" t="s">
        <v>922</v>
      </c>
      <c r="Y305">
        <v>11</v>
      </c>
      <c r="Z305">
        <v>0</v>
      </c>
      <c r="AA305" t="s">
        <v>78</v>
      </c>
      <c r="AB305">
        <v>0</v>
      </c>
      <c r="AC305" t="s">
        <v>78</v>
      </c>
      <c r="AD305">
        <v>0</v>
      </c>
      <c r="AE305">
        <v>10234866</v>
      </c>
      <c r="AF305" t="s">
        <v>79</v>
      </c>
      <c r="AG305" t="s">
        <v>923</v>
      </c>
    </row>
    <row r="306" spans="1:33" x14ac:dyDescent="0.35">
      <c r="A306" s="18">
        <v>44513.643055555556</v>
      </c>
      <c r="B306">
        <v>3420994</v>
      </c>
      <c r="C306" t="s">
        <v>826</v>
      </c>
      <c r="D306" t="s">
        <v>827</v>
      </c>
      <c r="E306" s="19">
        <v>40316</v>
      </c>
      <c r="F306" t="str">
        <f>"9780300159141"</f>
        <v>9780300159141</v>
      </c>
      <c r="G306" t="str">
        <f>"9780300159110"</f>
        <v>9780300159110</v>
      </c>
      <c r="H306" t="s">
        <v>308</v>
      </c>
      <c r="I306" t="s">
        <v>828</v>
      </c>
      <c r="J306" t="s">
        <v>829</v>
      </c>
      <c r="K306" t="s">
        <v>73</v>
      </c>
      <c r="N306" t="s">
        <v>74</v>
      </c>
      <c r="O306" t="s">
        <v>75</v>
      </c>
      <c r="P306" t="s">
        <v>74</v>
      </c>
      <c r="Q306" t="s">
        <v>76</v>
      </c>
      <c r="R306" t="s">
        <v>73</v>
      </c>
      <c r="S306">
        <v>0</v>
      </c>
      <c r="W306" s="20">
        <v>7.9745370370370369E-3</v>
      </c>
      <c r="X306" t="s">
        <v>924</v>
      </c>
      <c r="Y306">
        <v>12</v>
      </c>
      <c r="Z306">
        <v>0</v>
      </c>
      <c r="AA306" t="s">
        <v>78</v>
      </c>
      <c r="AB306">
        <v>0</v>
      </c>
      <c r="AC306" t="s">
        <v>925</v>
      </c>
      <c r="AD306">
        <v>4</v>
      </c>
      <c r="AE306">
        <v>10579393</v>
      </c>
      <c r="AF306" t="s">
        <v>79</v>
      </c>
      <c r="AG306" t="s">
        <v>415</v>
      </c>
    </row>
    <row r="307" spans="1:33" x14ac:dyDescent="0.35">
      <c r="A307" s="18">
        <v>44513.614583333336</v>
      </c>
      <c r="B307">
        <v>5158279</v>
      </c>
      <c r="C307" t="s">
        <v>859</v>
      </c>
      <c r="D307" t="s">
        <v>390</v>
      </c>
      <c r="E307" s="19">
        <v>43087</v>
      </c>
      <c r="F307" t="str">
        <f>"9783110450293"</f>
        <v>9783110450293</v>
      </c>
      <c r="G307" t="str">
        <f>"9783110449624"</f>
        <v>9783110449624</v>
      </c>
      <c r="H307" t="s">
        <v>110</v>
      </c>
      <c r="I307">
        <v>6.32</v>
      </c>
      <c r="J307" t="s">
        <v>860</v>
      </c>
      <c r="K307" t="s">
        <v>73</v>
      </c>
      <c r="N307" t="s">
        <v>74</v>
      </c>
      <c r="O307" t="s">
        <v>75</v>
      </c>
      <c r="P307" t="s">
        <v>74</v>
      </c>
      <c r="Q307" t="s">
        <v>76</v>
      </c>
      <c r="R307" t="s">
        <v>73</v>
      </c>
      <c r="S307">
        <v>0</v>
      </c>
      <c r="W307" s="20">
        <v>1.1574074074074073E-5</v>
      </c>
      <c r="X307" t="s">
        <v>132</v>
      </c>
      <c r="Y307">
        <v>1</v>
      </c>
      <c r="Z307">
        <v>0</v>
      </c>
      <c r="AA307" t="s">
        <v>78</v>
      </c>
      <c r="AB307">
        <v>0</v>
      </c>
      <c r="AC307" t="s">
        <v>78</v>
      </c>
      <c r="AD307">
        <v>0</v>
      </c>
      <c r="AE307">
        <v>11497598</v>
      </c>
      <c r="AF307" t="s">
        <v>79</v>
      </c>
      <c r="AG307" t="s">
        <v>381</v>
      </c>
    </row>
    <row r="308" spans="1:33" x14ac:dyDescent="0.35">
      <c r="A308" s="18">
        <v>44513.614583333336</v>
      </c>
      <c r="B308">
        <v>537802</v>
      </c>
      <c r="C308" t="s">
        <v>843</v>
      </c>
      <c r="D308" t="s">
        <v>844</v>
      </c>
      <c r="E308" s="19">
        <v>36062</v>
      </c>
      <c r="F308" t="str">
        <f>"9780857026279"</f>
        <v>9780857026279</v>
      </c>
      <c r="G308" t="str">
        <f>"9780761957317"</f>
        <v>9780761957317</v>
      </c>
      <c r="H308" t="s">
        <v>398</v>
      </c>
      <c r="I308">
        <v>301.02856320000001</v>
      </c>
      <c r="J308" t="s">
        <v>845</v>
      </c>
      <c r="K308" t="s">
        <v>73</v>
      </c>
      <c r="N308" t="s">
        <v>74</v>
      </c>
      <c r="O308" t="s">
        <v>75</v>
      </c>
      <c r="P308" t="s">
        <v>74</v>
      </c>
      <c r="Q308" t="s">
        <v>76</v>
      </c>
      <c r="R308" t="s">
        <v>73</v>
      </c>
      <c r="S308">
        <v>0</v>
      </c>
      <c r="W308" s="20">
        <v>5.7870370370370366E-5</v>
      </c>
      <c r="X308" t="s">
        <v>132</v>
      </c>
      <c r="Y308">
        <v>1</v>
      </c>
      <c r="Z308">
        <v>0</v>
      </c>
      <c r="AA308" t="s">
        <v>78</v>
      </c>
      <c r="AB308">
        <v>0</v>
      </c>
      <c r="AC308" t="s">
        <v>78</v>
      </c>
      <c r="AD308">
        <v>0</v>
      </c>
      <c r="AE308">
        <v>10392743</v>
      </c>
      <c r="AF308" t="s">
        <v>79</v>
      </c>
      <c r="AG308" t="s">
        <v>381</v>
      </c>
    </row>
    <row r="309" spans="1:33" x14ac:dyDescent="0.35">
      <c r="A309" s="18">
        <v>44513.599999999999</v>
      </c>
      <c r="B309">
        <v>3420994</v>
      </c>
      <c r="C309" t="s">
        <v>826</v>
      </c>
      <c r="D309" t="s">
        <v>827</v>
      </c>
      <c r="E309" s="19">
        <v>40316</v>
      </c>
      <c r="F309" t="str">
        <f>"9780300159141"</f>
        <v>9780300159141</v>
      </c>
      <c r="G309" t="str">
        <f>"9780300159110"</f>
        <v>9780300159110</v>
      </c>
      <c r="H309" t="s">
        <v>308</v>
      </c>
      <c r="I309" t="s">
        <v>828</v>
      </c>
      <c r="J309" t="s">
        <v>829</v>
      </c>
      <c r="K309" t="s">
        <v>73</v>
      </c>
      <c r="N309" t="s">
        <v>74</v>
      </c>
      <c r="O309" t="s">
        <v>75</v>
      </c>
      <c r="P309" t="s">
        <v>74</v>
      </c>
      <c r="Q309" t="s">
        <v>76</v>
      </c>
      <c r="R309" t="s">
        <v>73</v>
      </c>
      <c r="S309">
        <v>0</v>
      </c>
      <c r="W309" s="20">
        <v>5.7870370370370366E-5</v>
      </c>
      <c r="X309" t="s">
        <v>132</v>
      </c>
      <c r="Y309">
        <v>1</v>
      </c>
      <c r="Z309">
        <v>0</v>
      </c>
      <c r="AA309" t="s">
        <v>78</v>
      </c>
      <c r="AB309">
        <v>0</v>
      </c>
      <c r="AC309" t="s">
        <v>78</v>
      </c>
      <c r="AD309">
        <v>0</v>
      </c>
      <c r="AE309">
        <v>10579393</v>
      </c>
      <c r="AF309" t="s">
        <v>79</v>
      </c>
      <c r="AG309" t="s">
        <v>415</v>
      </c>
    </row>
    <row r="310" spans="1:33" x14ac:dyDescent="0.35">
      <c r="A310" s="18">
        <v>44513.006944444445</v>
      </c>
      <c r="B310">
        <v>5158279</v>
      </c>
      <c r="C310" t="s">
        <v>859</v>
      </c>
      <c r="D310" t="s">
        <v>390</v>
      </c>
      <c r="E310" s="19">
        <v>43087</v>
      </c>
      <c r="F310" t="str">
        <f>"9783110450293"</f>
        <v>9783110450293</v>
      </c>
      <c r="G310" t="str">
        <f>"9783110449624"</f>
        <v>9783110449624</v>
      </c>
      <c r="H310" t="s">
        <v>110</v>
      </c>
      <c r="I310">
        <v>6.32</v>
      </c>
      <c r="J310" t="s">
        <v>860</v>
      </c>
      <c r="K310" t="s">
        <v>73</v>
      </c>
      <c r="N310" t="s">
        <v>74</v>
      </c>
      <c r="O310" t="s">
        <v>75</v>
      </c>
      <c r="P310" t="s">
        <v>74</v>
      </c>
      <c r="Q310" t="s">
        <v>76</v>
      </c>
      <c r="R310" t="s">
        <v>73</v>
      </c>
      <c r="S310">
        <v>0</v>
      </c>
      <c r="W310" s="20">
        <v>1.8518518518518518E-4</v>
      </c>
      <c r="X310" t="s">
        <v>926</v>
      </c>
      <c r="Y310">
        <v>2</v>
      </c>
      <c r="Z310">
        <v>0</v>
      </c>
      <c r="AA310" t="s">
        <v>78</v>
      </c>
      <c r="AB310">
        <v>0</v>
      </c>
      <c r="AC310" t="s">
        <v>78</v>
      </c>
      <c r="AD310">
        <v>0</v>
      </c>
      <c r="AE310">
        <v>11497598</v>
      </c>
      <c r="AF310" t="s">
        <v>79</v>
      </c>
      <c r="AG310" t="s">
        <v>381</v>
      </c>
    </row>
    <row r="311" spans="1:33" x14ac:dyDescent="0.35">
      <c r="A311" s="18">
        <v>44513.006249999999</v>
      </c>
      <c r="B311">
        <v>537802</v>
      </c>
      <c r="C311" t="s">
        <v>843</v>
      </c>
      <c r="D311" t="s">
        <v>844</v>
      </c>
      <c r="E311" s="19">
        <v>36062</v>
      </c>
      <c r="F311" t="str">
        <f>"9780857026279"</f>
        <v>9780857026279</v>
      </c>
      <c r="G311" t="str">
        <f>"9780761957317"</f>
        <v>9780761957317</v>
      </c>
      <c r="H311" t="s">
        <v>398</v>
      </c>
      <c r="I311">
        <v>301.02856320000001</v>
      </c>
      <c r="J311" t="s">
        <v>845</v>
      </c>
      <c r="K311" t="s">
        <v>73</v>
      </c>
      <c r="N311" t="s">
        <v>74</v>
      </c>
      <c r="O311" t="s">
        <v>75</v>
      </c>
      <c r="P311" t="s">
        <v>74</v>
      </c>
      <c r="Q311" t="s">
        <v>76</v>
      </c>
      <c r="R311" t="s">
        <v>73</v>
      </c>
      <c r="S311">
        <v>0</v>
      </c>
      <c r="W311" s="20">
        <v>1.8090277777777778E-2</v>
      </c>
      <c r="X311" t="s">
        <v>927</v>
      </c>
      <c r="Y311">
        <v>3</v>
      </c>
      <c r="Z311">
        <v>0</v>
      </c>
      <c r="AA311" t="s">
        <v>78</v>
      </c>
      <c r="AB311">
        <v>0</v>
      </c>
      <c r="AC311" t="s">
        <v>928</v>
      </c>
      <c r="AD311">
        <v>1</v>
      </c>
      <c r="AE311">
        <v>10392743</v>
      </c>
      <c r="AF311" t="s">
        <v>79</v>
      </c>
      <c r="AG311" t="s">
        <v>381</v>
      </c>
    </row>
    <row r="312" spans="1:33" x14ac:dyDescent="0.35">
      <c r="A312" s="18">
        <v>44512.987500000003</v>
      </c>
      <c r="B312">
        <v>231741</v>
      </c>
      <c r="C312" t="s">
        <v>929</v>
      </c>
      <c r="D312" t="s">
        <v>70</v>
      </c>
      <c r="E312" s="19">
        <v>38370</v>
      </c>
      <c r="F312" t="str">
        <f>"9780471478393"</f>
        <v>9780471478393</v>
      </c>
      <c r="G312" t="str">
        <f>"9780471467403"</f>
        <v>9780471467403</v>
      </c>
      <c r="H312" t="s">
        <v>110</v>
      </c>
      <c r="I312" t="s">
        <v>930</v>
      </c>
      <c r="J312" t="s">
        <v>931</v>
      </c>
      <c r="K312" t="s">
        <v>73</v>
      </c>
      <c r="N312" t="s">
        <v>74</v>
      </c>
      <c r="O312" t="s">
        <v>75</v>
      </c>
      <c r="P312" t="s">
        <v>74</v>
      </c>
      <c r="Q312" t="s">
        <v>76</v>
      </c>
      <c r="R312" t="s">
        <v>73</v>
      </c>
      <c r="S312">
        <v>1</v>
      </c>
      <c r="W312" s="20">
        <v>0</v>
      </c>
      <c r="X312" t="s">
        <v>78</v>
      </c>
      <c r="Y312">
        <v>0</v>
      </c>
      <c r="Z312">
        <v>0</v>
      </c>
      <c r="AA312" t="s">
        <v>78</v>
      </c>
      <c r="AB312">
        <v>0</v>
      </c>
      <c r="AC312" t="s">
        <v>78</v>
      </c>
      <c r="AD312">
        <v>0</v>
      </c>
      <c r="AE312">
        <v>10114055</v>
      </c>
      <c r="AF312" t="s">
        <v>88</v>
      </c>
      <c r="AG312" t="s">
        <v>415</v>
      </c>
    </row>
    <row r="313" spans="1:33" x14ac:dyDescent="0.35">
      <c r="A313" s="18">
        <v>44512.98541666667</v>
      </c>
      <c r="B313">
        <v>231741</v>
      </c>
      <c r="C313" t="s">
        <v>929</v>
      </c>
      <c r="D313" t="s">
        <v>70</v>
      </c>
      <c r="E313" s="19">
        <v>38370</v>
      </c>
      <c r="F313" t="str">
        <f>"9780471478393"</f>
        <v>9780471478393</v>
      </c>
      <c r="G313" t="str">
        <f>"9780471467403"</f>
        <v>9780471467403</v>
      </c>
      <c r="H313" t="s">
        <v>110</v>
      </c>
      <c r="I313" t="s">
        <v>930</v>
      </c>
      <c r="J313" t="s">
        <v>931</v>
      </c>
      <c r="K313" t="s">
        <v>73</v>
      </c>
      <c r="N313" t="s">
        <v>74</v>
      </c>
      <c r="O313" t="s">
        <v>75</v>
      </c>
      <c r="P313" t="s">
        <v>74</v>
      </c>
      <c r="Q313" t="s">
        <v>76</v>
      </c>
      <c r="R313" t="s">
        <v>73</v>
      </c>
      <c r="S313">
        <v>0</v>
      </c>
      <c r="W313" s="20">
        <v>1.6435185185185183E-3</v>
      </c>
      <c r="X313" t="s">
        <v>932</v>
      </c>
      <c r="Y313">
        <v>12</v>
      </c>
      <c r="Z313">
        <v>0</v>
      </c>
      <c r="AA313" t="s">
        <v>78</v>
      </c>
      <c r="AB313">
        <v>0</v>
      </c>
      <c r="AC313" t="s">
        <v>78</v>
      </c>
      <c r="AD313">
        <v>0</v>
      </c>
      <c r="AE313">
        <v>10114055</v>
      </c>
      <c r="AF313" t="s">
        <v>88</v>
      </c>
      <c r="AG313" t="s">
        <v>415</v>
      </c>
    </row>
    <row r="314" spans="1:33" x14ac:dyDescent="0.35">
      <c r="A314" s="18">
        <v>44512.976388888892</v>
      </c>
      <c r="B314">
        <v>231740</v>
      </c>
      <c r="C314" t="s">
        <v>933</v>
      </c>
      <c r="D314" t="s">
        <v>70</v>
      </c>
      <c r="E314" s="19">
        <v>38324</v>
      </c>
      <c r="F314" t="str">
        <f>"9780471478331"</f>
        <v>9780471478331</v>
      </c>
      <c r="G314" t="str">
        <f>"9780471467410"</f>
        <v>9780471467410</v>
      </c>
      <c r="H314" t="s">
        <v>110</v>
      </c>
      <c r="I314" t="s">
        <v>934</v>
      </c>
      <c r="J314" t="s">
        <v>935</v>
      </c>
      <c r="K314" t="s">
        <v>73</v>
      </c>
      <c r="N314" t="s">
        <v>74</v>
      </c>
      <c r="O314" t="s">
        <v>75</v>
      </c>
      <c r="P314" t="s">
        <v>74</v>
      </c>
      <c r="Q314" t="s">
        <v>76</v>
      </c>
      <c r="R314" t="s">
        <v>73</v>
      </c>
      <c r="S314">
        <v>1</v>
      </c>
      <c r="W314" s="20">
        <v>6.9560185185185185E-3</v>
      </c>
      <c r="X314" t="s">
        <v>936</v>
      </c>
      <c r="Y314">
        <v>13</v>
      </c>
      <c r="Z314">
        <v>0</v>
      </c>
      <c r="AA314" t="s">
        <v>78</v>
      </c>
      <c r="AB314">
        <v>0</v>
      </c>
      <c r="AC314" t="s">
        <v>78</v>
      </c>
      <c r="AD314">
        <v>0</v>
      </c>
      <c r="AE314">
        <v>10114035</v>
      </c>
      <c r="AF314" t="s">
        <v>88</v>
      </c>
      <c r="AG314" t="s">
        <v>415</v>
      </c>
    </row>
    <row r="315" spans="1:33" x14ac:dyDescent="0.35">
      <c r="A315" s="18">
        <v>44512.974305555559</v>
      </c>
      <c r="B315">
        <v>231740</v>
      </c>
      <c r="C315" t="s">
        <v>933</v>
      </c>
      <c r="D315" t="s">
        <v>70</v>
      </c>
      <c r="E315" s="19">
        <v>38324</v>
      </c>
      <c r="F315" t="str">
        <f>"9780471478331"</f>
        <v>9780471478331</v>
      </c>
      <c r="G315" t="str">
        <f>"9780471467410"</f>
        <v>9780471467410</v>
      </c>
      <c r="H315" t="s">
        <v>110</v>
      </c>
      <c r="I315" t="s">
        <v>934</v>
      </c>
      <c r="J315" t="s">
        <v>935</v>
      </c>
      <c r="K315" t="s">
        <v>73</v>
      </c>
      <c r="N315" t="s">
        <v>74</v>
      </c>
      <c r="O315" t="s">
        <v>75</v>
      </c>
      <c r="P315" t="s">
        <v>74</v>
      </c>
      <c r="Q315" t="s">
        <v>76</v>
      </c>
      <c r="R315" t="s">
        <v>73</v>
      </c>
      <c r="S315">
        <v>0</v>
      </c>
      <c r="W315" s="20">
        <v>3.0092592592592595E-4</v>
      </c>
      <c r="X315" t="s">
        <v>937</v>
      </c>
      <c r="Y315">
        <v>5</v>
      </c>
      <c r="Z315">
        <v>0</v>
      </c>
      <c r="AA315" t="s">
        <v>78</v>
      </c>
      <c r="AB315">
        <v>0</v>
      </c>
      <c r="AC315" t="s">
        <v>78</v>
      </c>
      <c r="AD315">
        <v>0</v>
      </c>
      <c r="AE315">
        <v>10114035</v>
      </c>
      <c r="AF315" t="s">
        <v>79</v>
      </c>
      <c r="AG315" t="s">
        <v>415</v>
      </c>
    </row>
    <row r="316" spans="1:33" x14ac:dyDescent="0.35">
      <c r="A316" s="18">
        <v>44512.009027777778</v>
      </c>
      <c r="B316">
        <v>537802</v>
      </c>
      <c r="C316" t="s">
        <v>843</v>
      </c>
      <c r="D316" t="s">
        <v>844</v>
      </c>
      <c r="E316" s="19">
        <v>36062</v>
      </c>
      <c r="F316" t="str">
        <f>"9780857026279"</f>
        <v>9780857026279</v>
      </c>
      <c r="G316" t="str">
        <f>"9780761957317"</f>
        <v>9780761957317</v>
      </c>
      <c r="H316" t="s">
        <v>398</v>
      </c>
      <c r="I316">
        <v>301.02856320000001</v>
      </c>
      <c r="J316" t="s">
        <v>845</v>
      </c>
      <c r="K316" t="s">
        <v>73</v>
      </c>
      <c r="N316" t="s">
        <v>74</v>
      </c>
      <c r="O316" t="s">
        <v>75</v>
      </c>
      <c r="P316" t="s">
        <v>74</v>
      </c>
      <c r="Q316" t="s">
        <v>76</v>
      </c>
      <c r="R316" t="s">
        <v>73</v>
      </c>
      <c r="S316">
        <v>0</v>
      </c>
      <c r="W316" s="20">
        <v>3.1712962962962958E-3</v>
      </c>
      <c r="X316" t="s">
        <v>938</v>
      </c>
      <c r="Y316">
        <v>2</v>
      </c>
      <c r="Z316">
        <v>0</v>
      </c>
      <c r="AA316" t="s">
        <v>78</v>
      </c>
      <c r="AB316">
        <v>0</v>
      </c>
      <c r="AC316" t="s">
        <v>928</v>
      </c>
      <c r="AD316">
        <v>1</v>
      </c>
      <c r="AE316">
        <v>10392743</v>
      </c>
      <c r="AF316" t="s">
        <v>79</v>
      </c>
      <c r="AG316" t="s">
        <v>381</v>
      </c>
    </row>
    <row r="317" spans="1:33" x14ac:dyDescent="0.35">
      <c r="A317" s="18">
        <v>44512.006944444445</v>
      </c>
      <c r="B317">
        <v>5158279</v>
      </c>
      <c r="C317" t="s">
        <v>859</v>
      </c>
      <c r="D317" t="s">
        <v>390</v>
      </c>
      <c r="E317" s="19">
        <v>43087</v>
      </c>
      <c r="F317" t="str">
        <f>"9783110450293"</f>
        <v>9783110450293</v>
      </c>
      <c r="G317" t="str">
        <f>"9783110449624"</f>
        <v>9783110449624</v>
      </c>
      <c r="H317" t="s">
        <v>110</v>
      </c>
      <c r="I317">
        <v>6.32</v>
      </c>
      <c r="J317" t="s">
        <v>860</v>
      </c>
      <c r="K317" t="s">
        <v>73</v>
      </c>
      <c r="N317" t="s">
        <v>74</v>
      </c>
      <c r="O317" t="s">
        <v>75</v>
      </c>
      <c r="P317" t="s">
        <v>74</v>
      </c>
      <c r="Q317" t="s">
        <v>76</v>
      </c>
      <c r="R317" t="s">
        <v>73</v>
      </c>
      <c r="S317">
        <v>0</v>
      </c>
      <c r="W317" s="20">
        <v>8.9583333333333338E-3</v>
      </c>
      <c r="X317" t="s">
        <v>939</v>
      </c>
      <c r="Y317">
        <v>12</v>
      </c>
      <c r="Z317">
        <v>0</v>
      </c>
      <c r="AA317" t="s">
        <v>78</v>
      </c>
      <c r="AB317">
        <v>0</v>
      </c>
      <c r="AC317" t="s">
        <v>78</v>
      </c>
      <c r="AD317">
        <v>0</v>
      </c>
      <c r="AE317">
        <v>11497598</v>
      </c>
      <c r="AF317" t="s">
        <v>79</v>
      </c>
      <c r="AG317" t="s">
        <v>381</v>
      </c>
    </row>
    <row r="318" spans="1:33" x14ac:dyDescent="0.35">
      <c r="A318" s="18">
        <v>44511.977777777778</v>
      </c>
      <c r="B318">
        <v>5158279</v>
      </c>
      <c r="C318" t="s">
        <v>859</v>
      </c>
      <c r="D318" t="s">
        <v>390</v>
      </c>
      <c r="E318" s="19">
        <v>43087</v>
      </c>
      <c r="F318" t="str">
        <f>"9783110450293"</f>
        <v>9783110450293</v>
      </c>
      <c r="G318" t="str">
        <f>"9783110449624"</f>
        <v>9783110449624</v>
      </c>
      <c r="H318" t="s">
        <v>110</v>
      </c>
      <c r="I318">
        <v>6.32</v>
      </c>
      <c r="J318" t="s">
        <v>860</v>
      </c>
      <c r="K318" t="s">
        <v>73</v>
      </c>
      <c r="N318" t="s">
        <v>74</v>
      </c>
      <c r="O318" t="s">
        <v>75</v>
      </c>
      <c r="P318" t="s">
        <v>74</v>
      </c>
      <c r="Q318" t="s">
        <v>76</v>
      </c>
      <c r="R318" t="s">
        <v>73</v>
      </c>
      <c r="S318">
        <v>0</v>
      </c>
      <c r="W318" s="20">
        <v>4.6296296296296294E-5</v>
      </c>
      <c r="X318" t="s">
        <v>132</v>
      </c>
      <c r="Y318">
        <v>1</v>
      </c>
      <c r="Z318">
        <v>0</v>
      </c>
      <c r="AA318" t="s">
        <v>78</v>
      </c>
      <c r="AB318">
        <v>0</v>
      </c>
      <c r="AC318" t="s">
        <v>78</v>
      </c>
      <c r="AD318">
        <v>0</v>
      </c>
      <c r="AE318">
        <v>11497598</v>
      </c>
      <c r="AF318" t="s">
        <v>79</v>
      </c>
      <c r="AG318" t="s">
        <v>381</v>
      </c>
    </row>
    <row r="319" spans="1:33" x14ac:dyDescent="0.35">
      <c r="A319" s="18">
        <v>44511.947222222225</v>
      </c>
      <c r="B319">
        <v>537802</v>
      </c>
      <c r="C319" t="s">
        <v>843</v>
      </c>
      <c r="D319" t="s">
        <v>844</v>
      </c>
      <c r="E319" s="19">
        <v>36062</v>
      </c>
      <c r="F319" t="str">
        <f>"9780857026279"</f>
        <v>9780857026279</v>
      </c>
      <c r="G319" t="str">
        <f>"9780761957317"</f>
        <v>9780761957317</v>
      </c>
      <c r="H319" t="s">
        <v>398</v>
      </c>
      <c r="I319">
        <v>301.02856320000001</v>
      </c>
      <c r="J319" t="s">
        <v>845</v>
      </c>
      <c r="K319" t="s">
        <v>73</v>
      </c>
      <c r="N319" t="s">
        <v>74</v>
      </c>
      <c r="O319" t="s">
        <v>75</v>
      </c>
      <c r="P319" t="s">
        <v>74</v>
      </c>
      <c r="Q319" t="s">
        <v>76</v>
      </c>
      <c r="R319" t="s">
        <v>73</v>
      </c>
      <c r="S319">
        <v>0</v>
      </c>
      <c r="W319" s="20">
        <v>2.9421296296296296E-2</v>
      </c>
      <c r="X319" t="s">
        <v>940</v>
      </c>
      <c r="Y319">
        <v>9</v>
      </c>
      <c r="Z319">
        <v>0</v>
      </c>
      <c r="AA319" t="s">
        <v>78</v>
      </c>
      <c r="AB319">
        <v>0</v>
      </c>
      <c r="AC319" t="s">
        <v>928</v>
      </c>
      <c r="AD319">
        <v>1</v>
      </c>
      <c r="AE319">
        <v>10392743</v>
      </c>
      <c r="AF319" t="s">
        <v>79</v>
      </c>
      <c r="AG319" t="s">
        <v>381</v>
      </c>
    </row>
    <row r="320" spans="1:33" x14ac:dyDescent="0.35">
      <c r="A320" s="18">
        <v>44511.915972222225</v>
      </c>
      <c r="B320">
        <v>1741657</v>
      </c>
      <c r="C320" t="s">
        <v>941</v>
      </c>
      <c r="D320" t="s">
        <v>127</v>
      </c>
      <c r="E320" s="19">
        <v>42935</v>
      </c>
      <c r="F320" t="str">
        <f>"9781909493346"</f>
        <v>9781909493346</v>
      </c>
      <c r="G320" t="str">
        <f>"9781874719687"</f>
        <v>9781874719687</v>
      </c>
      <c r="H320" t="s">
        <v>942</v>
      </c>
      <c r="I320">
        <v>658.40830000000005</v>
      </c>
      <c r="J320" t="s">
        <v>943</v>
      </c>
      <c r="K320" t="s">
        <v>73</v>
      </c>
      <c r="N320" t="s">
        <v>74</v>
      </c>
      <c r="O320" t="s">
        <v>75</v>
      </c>
      <c r="P320" t="s">
        <v>74</v>
      </c>
      <c r="Q320" t="s">
        <v>76</v>
      </c>
      <c r="R320" t="s">
        <v>73</v>
      </c>
      <c r="S320">
        <v>0</v>
      </c>
      <c r="W320" s="20">
        <v>2.508101851851852E-2</v>
      </c>
      <c r="X320" t="s">
        <v>944</v>
      </c>
      <c r="Y320">
        <v>40</v>
      </c>
      <c r="Z320">
        <v>0</v>
      </c>
      <c r="AA320" t="s">
        <v>78</v>
      </c>
      <c r="AB320">
        <v>0</v>
      </c>
      <c r="AC320" t="s">
        <v>78</v>
      </c>
      <c r="AD320">
        <v>0</v>
      </c>
      <c r="AE320">
        <v>10650049</v>
      </c>
      <c r="AF320" t="s">
        <v>79</v>
      </c>
      <c r="AG320" t="s">
        <v>945</v>
      </c>
    </row>
    <row r="321" spans="1:33" x14ac:dyDescent="0.35">
      <c r="A321" s="18">
        <v>44511.913888888892</v>
      </c>
      <c r="B321">
        <v>1741657</v>
      </c>
      <c r="C321" t="s">
        <v>941</v>
      </c>
      <c r="D321" t="s">
        <v>127</v>
      </c>
      <c r="E321" s="19">
        <v>42935</v>
      </c>
      <c r="F321" t="str">
        <f>"9781909493346"</f>
        <v>9781909493346</v>
      </c>
      <c r="G321" t="str">
        <f>"9781874719687"</f>
        <v>9781874719687</v>
      </c>
      <c r="H321" t="s">
        <v>942</v>
      </c>
      <c r="I321">
        <v>658.40830000000005</v>
      </c>
      <c r="J321" t="s">
        <v>943</v>
      </c>
      <c r="K321" t="s">
        <v>73</v>
      </c>
      <c r="N321" t="s">
        <v>74</v>
      </c>
      <c r="O321" t="s">
        <v>75</v>
      </c>
      <c r="P321" t="s">
        <v>74</v>
      </c>
      <c r="Q321" t="s">
        <v>76</v>
      </c>
      <c r="R321" t="s">
        <v>73</v>
      </c>
      <c r="S321">
        <v>0</v>
      </c>
      <c r="W321" s="20">
        <v>1.8171296296296297E-3</v>
      </c>
      <c r="X321" t="s">
        <v>946</v>
      </c>
      <c r="Y321">
        <v>18</v>
      </c>
      <c r="Z321">
        <v>0</v>
      </c>
      <c r="AA321" t="s">
        <v>78</v>
      </c>
      <c r="AB321">
        <v>0</v>
      </c>
      <c r="AC321" t="s">
        <v>78</v>
      </c>
      <c r="AD321">
        <v>0</v>
      </c>
      <c r="AE321">
        <v>10650049</v>
      </c>
      <c r="AF321" t="s">
        <v>79</v>
      </c>
      <c r="AG321" t="s">
        <v>947</v>
      </c>
    </row>
    <row r="322" spans="1:33" x14ac:dyDescent="0.35">
      <c r="A322" s="18">
        <v>44511.82708333333</v>
      </c>
      <c r="B322">
        <v>646753</v>
      </c>
      <c r="C322" t="s">
        <v>948</v>
      </c>
      <c r="D322" t="s">
        <v>677</v>
      </c>
      <c r="E322" s="19">
        <v>39831</v>
      </c>
      <c r="F322" t="str">
        <f>"9781400833177"</f>
        <v>9781400833177</v>
      </c>
      <c r="G322" t="str">
        <f>"9780691139005"</f>
        <v>9780691139005</v>
      </c>
      <c r="H322" t="s">
        <v>528</v>
      </c>
      <c r="I322">
        <v>128.33000000000001</v>
      </c>
      <c r="J322" t="s">
        <v>949</v>
      </c>
      <c r="K322" t="s">
        <v>73</v>
      </c>
      <c r="N322" t="s">
        <v>74</v>
      </c>
      <c r="O322" t="s">
        <v>75</v>
      </c>
      <c r="P322" t="s">
        <v>74</v>
      </c>
      <c r="Q322" t="s">
        <v>76</v>
      </c>
      <c r="R322" t="s">
        <v>73</v>
      </c>
      <c r="S322">
        <v>0</v>
      </c>
      <c r="W322" s="20">
        <v>6.2847222222222228E-3</v>
      </c>
      <c r="X322" t="s">
        <v>950</v>
      </c>
      <c r="Y322">
        <v>35</v>
      </c>
      <c r="Z322">
        <v>1</v>
      </c>
      <c r="AA322" t="s">
        <v>951</v>
      </c>
      <c r="AB322">
        <v>5</v>
      </c>
      <c r="AC322" t="s">
        <v>78</v>
      </c>
      <c r="AD322">
        <v>0</v>
      </c>
      <c r="AE322">
        <v>10442065</v>
      </c>
      <c r="AF322" t="s">
        <v>79</v>
      </c>
      <c r="AG322" t="s">
        <v>952</v>
      </c>
    </row>
    <row r="323" spans="1:33" x14ac:dyDescent="0.35">
      <c r="A323" s="18">
        <v>44511.715277777781</v>
      </c>
      <c r="B323">
        <v>646753</v>
      </c>
      <c r="C323" t="s">
        <v>948</v>
      </c>
      <c r="D323" t="s">
        <v>677</v>
      </c>
      <c r="E323" s="19">
        <v>39831</v>
      </c>
      <c r="F323" t="str">
        <f>"9781400833177"</f>
        <v>9781400833177</v>
      </c>
      <c r="G323" t="str">
        <f>"9780691139005"</f>
        <v>9780691139005</v>
      </c>
      <c r="H323" t="s">
        <v>528</v>
      </c>
      <c r="I323">
        <v>128.33000000000001</v>
      </c>
      <c r="J323" t="s">
        <v>949</v>
      </c>
      <c r="K323" t="s">
        <v>73</v>
      </c>
      <c r="N323" t="s">
        <v>74</v>
      </c>
      <c r="O323" t="s">
        <v>75</v>
      </c>
      <c r="P323" t="s">
        <v>74</v>
      </c>
      <c r="Q323" t="s">
        <v>76</v>
      </c>
      <c r="R323" t="s">
        <v>73</v>
      </c>
      <c r="S323">
        <v>0</v>
      </c>
      <c r="W323" s="20">
        <v>5.7870370370370366E-5</v>
      </c>
      <c r="X323" t="s">
        <v>132</v>
      </c>
      <c r="Y323">
        <v>1</v>
      </c>
      <c r="Z323">
        <v>0</v>
      </c>
      <c r="AA323" t="s">
        <v>78</v>
      </c>
      <c r="AB323">
        <v>0</v>
      </c>
      <c r="AC323" t="s">
        <v>78</v>
      </c>
      <c r="AD323">
        <v>0</v>
      </c>
      <c r="AE323">
        <v>10442065</v>
      </c>
      <c r="AF323" t="s">
        <v>79</v>
      </c>
      <c r="AG323" t="s">
        <v>952</v>
      </c>
    </row>
    <row r="324" spans="1:33" x14ac:dyDescent="0.35">
      <c r="A324" s="18">
        <v>44511.681944444441</v>
      </c>
      <c r="B324">
        <v>1741657</v>
      </c>
      <c r="C324" t="s">
        <v>941</v>
      </c>
      <c r="D324" t="s">
        <v>127</v>
      </c>
      <c r="E324" s="19">
        <v>42935</v>
      </c>
      <c r="F324" t="str">
        <f>"9781909493346"</f>
        <v>9781909493346</v>
      </c>
      <c r="G324" t="str">
        <f>"9781874719687"</f>
        <v>9781874719687</v>
      </c>
      <c r="H324" t="s">
        <v>942</v>
      </c>
      <c r="I324">
        <v>658.40830000000005</v>
      </c>
      <c r="J324" t="s">
        <v>943</v>
      </c>
      <c r="K324" t="s">
        <v>73</v>
      </c>
      <c r="N324" t="s">
        <v>74</v>
      </c>
      <c r="O324" t="s">
        <v>75</v>
      </c>
      <c r="P324" t="s">
        <v>74</v>
      </c>
      <c r="Q324" t="s">
        <v>76</v>
      </c>
      <c r="R324" t="s">
        <v>73</v>
      </c>
      <c r="S324">
        <v>0</v>
      </c>
      <c r="W324" s="20">
        <v>6.9444444444444444E-5</v>
      </c>
      <c r="X324" t="s">
        <v>360</v>
      </c>
      <c r="Y324">
        <v>2</v>
      </c>
      <c r="Z324">
        <v>0</v>
      </c>
      <c r="AA324" t="s">
        <v>78</v>
      </c>
      <c r="AB324">
        <v>0</v>
      </c>
      <c r="AC324" t="s">
        <v>78</v>
      </c>
      <c r="AD324">
        <v>0</v>
      </c>
      <c r="AE324">
        <v>10650049</v>
      </c>
      <c r="AF324" t="s">
        <v>79</v>
      </c>
      <c r="AG324" t="s">
        <v>953</v>
      </c>
    </row>
    <row r="325" spans="1:33" x14ac:dyDescent="0.35">
      <c r="A325" s="18">
        <v>44511.511805555558</v>
      </c>
      <c r="B325">
        <v>646753</v>
      </c>
      <c r="C325" t="s">
        <v>948</v>
      </c>
      <c r="D325" t="s">
        <v>677</v>
      </c>
      <c r="E325" s="19">
        <v>39831</v>
      </c>
      <c r="F325" t="str">
        <f>"9781400833177"</f>
        <v>9781400833177</v>
      </c>
      <c r="G325" t="str">
        <f>"9780691139005"</f>
        <v>9780691139005</v>
      </c>
      <c r="H325" t="s">
        <v>528</v>
      </c>
      <c r="I325">
        <v>128.33000000000001</v>
      </c>
      <c r="J325" t="s">
        <v>949</v>
      </c>
      <c r="K325" t="s">
        <v>73</v>
      </c>
      <c r="N325" t="s">
        <v>74</v>
      </c>
      <c r="O325" t="s">
        <v>75</v>
      </c>
      <c r="P325" t="s">
        <v>74</v>
      </c>
      <c r="Q325" t="s">
        <v>76</v>
      </c>
      <c r="R325" t="s">
        <v>73</v>
      </c>
      <c r="S325">
        <v>0</v>
      </c>
      <c r="W325" s="20">
        <v>4.6296296296296293E-4</v>
      </c>
      <c r="X325" t="s">
        <v>954</v>
      </c>
      <c r="Y325">
        <v>14</v>
      </c>
      <c r="Z325">
        <v>0</v>
      </c>
      <c r="AA325" t="s">
        <v>78</v>
      </c>
      <c r="AB325">
        <v>0</v>
      </c>
      <c r="AC325" t="s">
        <v>78</v>
      </c>
      <c r="AD325">
        <v>0</v>
      </c>
      <c r="AE325">
        <v>10442065</v>
      </c>
      <c r="AF325" t="s">
        <v>79</v>
      </c>
      <c r="AG325" t="s">
        <v>952</v>
      </c>
    </row>
    <row r="326" spans="1:33" x14ac:dyDescent="0.35">
      <c r="A326" s="18">
        <v>44511.438888888886</v>
      </c>
      <c r="B326">
        <v>3018174</v>
      </c>
      <c r="C326" t="s">
        <v>955</v>
      </c>
      <c r="D326" t="s">
        <v>226</v>
      </c>
      <c r="E326" s="19">
        <v>40360</v>
      </c>
      <c r="F326" t="str">
        <f>"9781611226324"</f>
        <v>9781611226324</v>
      </c>
      <c r="G326" t="str">
        <f>"9781608762729"</f>
        <v>9781608762729</v>
      </c>
      <c r="H326" t="s">
        <v>469</v>
      </c>
      <c r="I326" t="s">
        <v>956</v>
      </c>
      <c r="J326" t="s">
        <v>957</v>
      </c>
      <c r="K326" t="s">
        <v>73</v>
      </c>
      <c r="N326" t="s">
        <v>74</v>
      </c>
      <c r="O326" t="s">
        <v>75</v>
      </c>
      <c r="P326" t="s">
        <v>230</v>
      </c>
      <c r="Q326" t="s">
        <v>76</v>
      </c>
      <c r="R326" t="s">
        <v>85</v>
      </c>
      <c r="S326">
        <v>0</v>
      </c>
      <c r="W326" s="20">
        <v>2.5462962962962961E-4</v>
      </c>
      <c r="X326" t="s">
        <v>639</v>
      </c>
      <c r="Y326">
        <v>3</v>
      </c>
      <c r="Z326">
        <v>0</v>
      </c>
      <c r="AA326" t="s">
        <v>78</v>
      </c>
      <c r="AB326">
        <v>0</v>
      </c>
      <c r="AC326" t="s">
        <v>78</v>
      </c>
      <c r="AD326">
        <v>0</v>
      </c>
      <c r="AE326">
        <v>10659096</v>
      </c>
      <c r="AF326" t="s">
        <v>79</v>
      </c>
      <c r="AG326" t="s">
        <v>958</v>
      </c>
    </row>
    <row r="327" spans="1:33" x14ac:dyDescent="0.35">
      <c r="A327" s="18">
        <v>44510.862500000003</v>
      </c>
      <c r="B327">
        <v>3420994</v>
      </c>
      <c r="C327" t="s">
        <v>826</v>
      </c>
      <c r="D327" t="s">
        <v>827</v>
      </c>
      <c r="E327" s="19">
        <v>40316</v>
      </c>
      <c r="F327" t="str">
        <f>"9780300159141"</f>
        <v>9780300159141</v>
      </c>
      <c r="G327" t="str">
        <f>"9780300159110"</f>
        <v>9780300159110</v>
      </c>
      <c r="H327" t="s">
        <v>308</v>
      </c>
      <c r="I327" t="s">
        <v>828</v>
      </c>
      <c r="J327" t="s">
        <v>829</v>
      </c>
      <c r="K327" t="s">
        <v>73</v>
      </c>
      <c r="N327" t="s">
        <v>74</v>
      </c>
      <c r="O327" t="s">
        <v>75</v>
      </c>
      <c r="P327" t="s">
        <v>74</v>
      </c>
      <c r="Q327" t="s">
        <v>76</v>
      </c>
      <c r="R327" t="s">
        <v>73</v>
      </c>
      <c r="S327">
        <v>0</v>
      </c>
      <c r="W327" s="20">
        <v>2.7893518518518519E-3</v>
      </c>
      <c r="X327" t="s">
        <v>959</v>
      </c>
      <c r="Y327">
        <v>8</v>
      </c>
      <c r="Z327">
        <v>0</v>
      </c>
      <c r="AA327" t="s">
        <v>78</v>
      </c>
      <c r="AB327">
        <v>0</v>
      </c>
      <c r="AC327" t="s">
        <v>960</v>
      </c>
      <c r="AD327">
        <v>1</v>
      </c>
      <c r="AE327">
        <v>10579393</v>
      </c>
      <c r="AF327" t="s">
        <v>79</v>
      </c>
      <c r="AG327" t="s">
        <v>415</v>
      </c>
    </row>
    <row r="328" spans="1:33" x14ac:dyDescent="0.35">
      <c r="A328" s="18">
        <v>44510.820138888892</v>
      </c>
      <c r="B328">
        <v>3420994</v>
      </c>
      <c r="C328" t="s">
        <v>826</v>
      </c>
      <c r="D328" t="s">
        <v>827</v>
      </c>
      <c r="E328" s="19">
        <v>40316</v>
      </c>
      <c r="F328" t="str">
        <f>"9780300159141"</f>
        <v>9780300159141</v>
      </c>
      <c r="G328" t="str">
        <f>"9780300159110"</f>
        <v>9780300159110</v>
      </c>
      <c r="H328" t="s">
        <v>308</v>
      </c>
      <c r="I328" t="s">
        <v>828</v>
      </c>
      <c r="J328" t="s">
        <v>829</v>
      </c>
      <c r="K328" t="s">
        <v>73</v>
      </c>
      <c r="N328" t="s">
        <v>74</v>
      </c>
      <c r="O328" t="s">
        <v>75</v>
      </c>
      <c r="P328" t="s">
        <v>74</v>
      </c>
      <c r="Q328" t="s">
        <v>76</v>
      </c>
      <c r="R328" t="s">
        <v>73</v>
      </c>
      <c r="S328">
        <v>0</v>
      </c>
      <c r="W328" s="20">
        <v>4.9189814814814816E-3</v>
      </c>
      <c r="X328" t="s">
        <v>961</v>
      </c>
      <c r="Y328">
        <v>13</v>
      </c>
      <c r="Z328">
        <v>0</v>
      </c>
      <c r="AA328" t="s">
        <v>78</v>
      </c>
      <c r="AB328">
        <v>0</v>
      </c>
      <c r="AC328" t="s">
        <v>962</v>
      </c>
      <c r="AD328">
        <v>3</v>
      </c>
      <c r="AE328">
        <v>10579393</v>
      </c>
      <c r="AF328" t="s">
        <v>79</v>
      </c>
      <c r="AG328" t="s">
        <v>415</v>
      </c>
    </row>
    <row r="329" spans="1:33" x14ac:dyDescent="0.35">
      <c r="A329" s="18">
        <v>44510.698611111111</v>
      </c>
      <c r="B329">
        <v>1411616</v>
      </c>
      <c r="C329" t="s">
        <v>963</v>
      </c>
      <c r="D329" t="s">
        <v>70</v>
      </c>
      <c r="E329" s="19">
        <v>41561</v>
      </c>
      <c r="F329" t="str">
        <f>"9781118419199"</f>
        <v>9781118419199</v>
      </c>
      <c r="G329" t="str">
        <f>"9781118138915"</f>
        <v>9781118138915</v>
      </c>
      <c r="H329" t="s">
        <v>964</v>
      </c>
      <c r="I329">
        <v>690</v>
      </c>
      <c r="J329" t="s">
        <v>965</v>
      </c>
      <c r="K329" t="s">
        <v>73</v>
      </c>
      <c r="N329" t="s">
        <v>74</v>
      </c>
      <c r="O329" t="s">
        <v>75</v>
      </c>
      <c r="P329" t="s">
        <v>74</v>
      </c>
      <c r="Q329" t="s">
        <v>76</v>
      </c>
      <c r="R329" t="s">
        <v>73</v>
      </c>
      <c r="S329">
        <v>0</v>
      </c>
      <c r="W329" s="20">
        <v>0</v>
      </c>
      <c r="X329" t="s">
        <v>78</v>
      </c>
      <c r="Y329">
        <v>0</v>
      </c>
      <c r="Z329">
        <v>2</v>
      </c>
      <c r="AA329" t="s">
        <v>966</v>
      </c>
      <c r="AB329">
        <v>56</v>
      </c>
      <c r="AC329" t="s">
        <v>78</v>
      </c>
      <c r="AD329">
        <v>0</v>
      </c>
      <c r="AE329">
        <v>10768991</v>
      </c>
      <c r="AF329" t="s">
        <v>79</v>
      </c>
      <c r="AG329" t="s">
        <v>415</v>
      </c>
    </row>
    <row r="330" spans="1:33" x14ac:dyDescent="0.35">
      <c r="A330" s="18">
        <v>44510.643750000003</v>
      </c>
      <c r="B330">
        <v>1834780</v>
      </c>
      <c r="C330" t="s">
        <v>967</v>
      </c>
      <c r="D330" t="s">
        <v>70</v>
      </c>
      <c r="E330" s="19">
        <v>41953</v>
      </c>
      <c r="F330" t="str">
        <f>"9781118771150"</f>
        <v>9781118771150</v>
      </c>
      <c r="G330" t="str">
        <f>"9781118770962"</f>
        <v>9781118770962</v>
      </c>
      <c r="H330" t="s">
        <v>968</v>
      </c>
      <c r="I330" t="s">
        <v>969</v>
      </c>
      <c r="J330" t="s">
        <v>970</v>
      </c>
      <c r="K330" t="s">
        <v>73</v>
      </c>
      <c r="N330" t="s">
        <v>74</v>
      </c>
      <c r="O330" t="s">
        <v>75</v>
      </c>
      <c r="P330" t="s">
        <v>74</v>
      </c>
      <c r="Q330" t="s">
        <v>76</v>
      </c>
      <c r="R330" t="s">
        <v>73</v>
      </c>
      <c r="S330">
        <v>0</v>
      </c>
      <c r="W330" s="20">
        <v>0</v>
      </c>
      <c r="X330" t="s">
        <v>78</v>
      </c>
      <c r="Y330">
        <v>0</v>
      </c>
      <c r="Z330">
        <v>2</v>
      </c>
      <c r="AA330" t="s">
        <v>971</v>
      </c>
      <c r="AB330">
        <v>28</v>
      </c>
      <c r="AC330" t="s">
        <v>78</v>
      </c>
      <c r="AD330">
        <v>0</v>
      </c>
      <c r="AE330">
        <v>10976516</v>
      </c>
      <c r="AF330" t="s">
        <v>79</v>
      </c>
      <c r="AG330" t="s">
        <v>415</v>
      </c>
    </row>
    <row r="331" spans="1:33" x14ac:dyDescent="0.35">
      <c r="A331" s="18">
        <v>44510.589583333334</v>
      </c>
      <c r="B331">
        <v>1872933</v>
      </c>
      <c r="C331" t="s">
        <v>972</v>
      </c>
      <c r="D331" t="s">
        <v>973</v>
      </c>
      <c r="E331" s="19">
        <v>41306</v>
      </c>
      <c r="F331" t="str">
        <f>"9783908158875"</f>
        <v>9783908158875</v>
      </c>
      <c r="G331" t="str">
        <f>"9783908158653"</f>
        <v>9783908158653</v>
      </c>
      <c r="H331" t="s">
        <v>974</v>
      </c>
      <c r="I331">
        <v>620.19200000000001</v>
      </c>
      <c r="J331" t="s">
        <v>975</v>
      </c>
      <c r="K331" t="s">
        <v>73</v>
      </c>
      <c r="N331" t="s">
        <v>74</v>
      </c>
      <c r="O331" t="s">
        <v>75</v>
      </c>
      <c r="P331" t="s">
        <v>74</v>
      </c>
      <c r="Q331" t="s">
        <v>76</v>
      </c>
      <c r="R331" t="s">
        <v>73</v>
      </c>
      <c r="S331">
        <v>0</v>
      </c>
      <c r="W331" s="20">
        <v>1.7708333333333332E-3</v>
      </c>
      <c r="X331" t="s">
        <v>976</v>
      </c>
      <c r="Y331">
        <v>14</v>
      </c>
      <c r="Z331">
        <v>0</v>
      </c>
      <c r="AA331" t="s">
        <v>78</v>
      </c>
      <c r="AB331">
        <v>0</v>
      </c>
      <c r="AC331" t="s">
        <v>78</v>
      </c>
      <c r="AD331">
        <v>0</v>
      </c>
      <c r="AE331">
        <v>10777699</v>
      </c>
      <c r="AF331" t="s">
        <v>79</v>
      </c>
      <c r="AG331" t="s">
        <v>415</v>
      </c>
    </row>
    <row r="332" spans="1:33" x14ac:dyDescent="0.35">
      <c r="A332" s="18">
        <v>44510.568055555559</v>
      </c>
      <c r="B332">
        <v>1872933</v>
      </c>
      <c r="C332" t="s">
        <v>972</v>
      </c>
      <c r="D332" t="s">
        <v>973</v>
      </c>
      <c r="E332" s="19">
        <v>41306</v>
      </c>
      <c r="F332" t="str">
        <f>"9783908158875"</f>
        <v>9783908158875</v>
      </c>
      <c r="G332" t="str">
        <f>"9783908158653"</f>
        <v>9783908158653</v>
      </c>
      <c r="H332" t="s">
        <v>974</v>
      </c>
      <c r="I332">
        <v>620.19200000000001</v>
      </c>
      <c r="J332" t="s">
        <v>975</v>
      </c>
      <c r="K332" t="s">
        <v>73</v>
      </c>
      <c r="N332" t="s">
        <v>74</v>
      </c>
      <c r="O332" t="s">
        <v>75</v>
      </c>
      <c r="P332" t="s">
        <v>74</v>
      </c>
      <c r="Q332" t="s">
        <v>76</v>
      </c>
      <c r="R332" t="s">
        <v>73</v>
      </c>
      <c r="S332">
        <v>0</v>
      </c>
      <c r="W332" s="20">
        <v>9.2592592592592588E-5</v>
      </c>
      <c r="X332" t="s">
        <v>132</v>
      </c>
      <c r="Y332">
        <v>1</v>
      </c>
      <c r="Z332">
        <v>0</v>
      </c>
      <c r="AA332" t="s">
        <v>78</v>
      </c>
      <c r="AB332">
        <v>0</v>
      </c>
      <c r="AC332" t="s">
        <v>78</v>
      </c>
      <c r="AD332">
        <v>0</v>
      </c>
      <c r="AE332">
        <v>10777699</v>
      </c>
      <c r="AF332" t="s">
        <v>79</v>
      </c>
      <c r="AG332" t="s">
        <v>415</v>
      </c>
    </row>
    <row r="333" spans="1:33" x14ac:dyDescent="0.35">
      <c r="A333" s="18">
        <v>44510.534722222219</v>
      </c>
      <c r="B333">
        <v>372732</v>
      </c>
      <c r="C333" t="s">
        <v>977</v>
      </c>
      <c r="D333" t="s">
        <v>978</v>
      </c>
      <c r="E333" s="19">
        <v>39631</v>
      </c>
      <c r="F333" t="str">
        <f>"9780387476858"</f>
        <v>9780387476858</v>
      </c>
      <c r="G333" t="str">
        <f>"9780387476841"</f>
        <v>9780387476841</v>
      </c>
      <c r="H333" t="s">
        <v>979</v>
      </c>
      <c r="I333">
        <v>620.16319999999996</v>
      </c>
      <c r="J333" t="s">
        <v>980</v>
      </c>
      <c r="K333" t="s">
        <v>85</v>
      </c>
      <c r="P333" t="s">
        <v>297</v>
      </c>
      <c r="Q333" t="s">
        <v>76</v>
      </c>
      <c r="R333" t="s">
        <v>73</v>
      </c>
      <c r="S333">
        <v>0</v>
      </c>
      <c r="W333" s="20">
        <v>1.9097222222222222E-3</v>
      </c>
      <c r="X333" t="s">
        <v>981</v>
      </c>
      <c r="Y333">
        <v>21</v>
      </c>
      <c r="Z333">
        <v>0</v>
      </c>
      <c r="AA333" t="s">
        <v>78</v>
      </c>
      <c r="AB333">
        <v>0</v>
      </c>
      <c r="AC333" t="s">
        <v>78</v>
      </c>
      <c r="AD333">
        <v>0</v>
      </c>
      <c r="AE333">
        <v>10284712</v>
      </c>
      <c r="AF333" t="s">
        <v>79</v>
      </c>
      <c r="AG333" t="s">
        <v>982</v>
      </c>
    </row>
    <row r="334" spans="1:33" x14ac:dyDescent="0.35">
      <c r="A334" s="18">
        <v>44510.531944444447</v>
      </c>
      <c r="B334">
        <v>2008333</v>
      </c>
      <c r="C334" t="s">
        <v>983</v>
      </c>
      <c r="D334" t="s">
        <v>973</v>
      </c>
      <c r="E334" s="19">
        <v>42036</v>
      </c>
      <c r="F334" t="str">
        <f>"9783038267423"</f>
        <v>9783038267423</v>
      </c>
      <c r="G334" t="str">
        <f>"9783038353577"</f>
        <v>9783038353577</v>
      </c>
      <c r="H334" t="s">
        <v>974</v>
      </c>
      <c r="I334">
        <v>620.16499999999996</v>
      </c>
      <c r="J334" t="s">
        <v>984</v>
      </c>
      <c r="K334" t="s">
        <v>73</v>
      </c>
      <c r="N334" t="s">
        <v>74</v>
      </c>
      <c r="O334" t="s">
        <v>75</v>
      </c>
      <c r="P334" t="s">
        <v>74</v>
      </c>
      <c r="Q334" t="s">
        <v>76</v>
      </c>
      <c r="R334" t="s">
        <v>73</v>
      </c>
      <c r="S334">
        <v>0</v>
      </c>
      <c r="W334" s="20">
        <v>2.2222222222222222E-3</v>
      </c>
      <c r="X334" t="s">
        <v>985</v>
      </c>
      <c r="Y334">
        <v>25</v>
      </c>
      <c r="Z334">
        <v>0</v>
      </c>
      <c r="AA334" t="s">
        <v>78</v>
      </c>
      <c r="AB334">
        <v>0</v>
      </c>
      <c r="AC334" t="s">
        <v>78</v>
      </c>
      <c r="AD334">
        <v>0</v>
      </c>
      <c r="AE334">
        <v>11042420</v>
      </c>
      <c r="AF334" t="s">
        <v>79</v>
      </c>
      <c r="AG334" t="s">
        <v>982</v>
      </c>
    </row>
    <row r="335" spans="1:33" x14ac:dyDescent="0.35">
      <c r="A335" s="18">
        <v>44510.441666666666</v>
      </c>
      <c r="B335">
        <v>1741657</v>
      </c>
      <c r="C335" t="s">
        <v>941</v>
      </c>
      <c r="D335" t="s">
        <v>127</v>
      </c>
      <c r="E335" s="19">
        <v>42935</v>
      </c>
      <c r="F335" t="str">
        <f>"9781909493346"</f>
        <v>9781909493346</v>
      </c>
      <c r="G335" t="str">
        <f>"9781874719687"</f>
        <v>9781874719687</v>
      </c>
      <c r="H335" t="s">
        <v>942</v>
      </c>
      <c r="I335">
        <v>658.40830000000005</v>
      </c>
      <c r="J335" t="s">
        <v>943</v>
      </c>
      <c r="K335" t="s">
        <v>73</v>
      </c>
      <c r="N335" t="s">
        <v>74</v>
      </c>
      <c r="O335" t="s">
        <v>75</v>
      </c>
      <c r="P335" t="s">
        <v>74</v>
      </c>
      <c r="Q335" t="s">
        <v>76</v>
      </c>
      <c r="R335" t="s">
        <v>73</v>
      </c>
      <c r="S335">
        <v>0</v>
      </c>
      <c r="W335" s="20">
        <v>4.9421296296296288E-3</v>
      </c>
      <c r="X335" t="s">
        <v>986</v>
      </c>
      <c r="Y335">
        <v>8</v>
      </c>
      <c r="Z335">
        <v>0</v>
      </c>
      <c r="AA335" t="s">
        <v>78</v>
      </c>
      <c r="AB335">
        <v>0</v>
      </c>
      <c r="AC335" t="s">
        <v>987</v>
      </c>
      <c r="AD335">
        <v>2</v>
      </c>
      <c r="AE335">
        <v>10650049</v>
      </c>
      <c r="AF335" t="s">
        <v>79</v>
      </c>
      <c r="AG335" t="s">
        <v>415</v>
      </c>
    </row>
    <row r="336" spans="1:33" x14ac:dyDescent="0.35">
      <c r="A336" s="18">
        <v>44510.299305555556</v>
      </c>
      <c r="B336">
        <v>646753</v>
      </c>
      <c r="C336" t="s">
        <v>948</v>
      </c>
      <c r="D336" t="s">
        <v>677</v>
      </c>
      <c r="E336" s="19">
        <v>39831</v>
      </c>
      <c r="F336" t="str">
        <f>"9781400833177"</f>
        <v>9781400833177</v>
      </c>
      <c r="G336" t="str">
        <f>"9780691139005"</f>
        <v>9780691139005</v>
      </c>
      <c r="H336" t="s">
        <v>528</v>
      </c>
      <c r="I336">
        <v>128.33000000000001</v>
      </c>
      <c r="J336" t="s">
        <v>949</v>
      </c>
      <c r="K336" t="s">
        <v>73</v>
      </c>
      <c r="N336" t="s">
        <v>74</v>
      </c>
      <c r="O336" t="s">
        <v>75</v>
      </c>
      <c r="P336" t="s">
        <v>74</v>
      </c>
      <c r="Q336" t="s">
        <v>76</v>
      </c>
      <c r="R336" t="s">
        <v>73</v>
      </c>
      <c r="S336">
        <v>0</v>
      </c>
      <c r="W336" s="20">
        <v>2.417824074074074E-2</v>
      </c>
      <c r="X336" t="s">
        <v>988</v>
      </c>
      <c r="Y336">
        <v>17</v>
      </c>
      <c r="Z336">
        <v>0</v>
      </c>
      <c r="AA336" t="s">
        <v>78</v>
      </c>
      <c r="AB336">
        <v>0</v>
      </c>
      <c r="AC336" t="s">
        <v>78</v>
      </c>
      <c r="AD336">
        <v>0</v>
      </c>
      <c r="AE336">
        <v>10442065</v>
      </c>
      <c r="AF336" t="s">
        <v>79</v>
      </c>
      <c r="AG336" t="s">
        <v>952</v>
      </c>
    </row>
    <row r="337" spans="1:33" x14ac:dyDescent="0.35">
      <c r="A337" s="18">
        <v>44509.97152777778</v>
      </c>
      <c r="B337">
        <v>680067</v>
      </c>
      <c r="C337" t="s">
        <v>989</v>
      </c>
      <c r="D337" t="s">
        <v>990</v>
      </c>
      <c r="E337" s="19">
        <v>40632</v>
      </c>
      <c r="F337" t="str">
        <f>"9780199792375"</f>
        <v>9780199792375</v>
      </c>
      <c r="G337" t="str">
        <f>"9780199753642"</f>
        <v>9780199753642</v>
      </c>
      <c r="H337" t="s">
        <v>308</v>
      </c>
      <c r="I337" t="s">
        <v>991</v>
      </c>
      <c r="J337" t="s">
        <v>992</v>
      </c>
      <c r="K337" t="s">
        <v>73</v>
      </c>
      <c r="N337" t="s">
        <v>74</v>
      </c>
      <c r="O337" t="s">
        <v>75</v>
      </c>
      <c r="P337" t="s">
        <v>74</v>
      </c>
      <c r="Q337" t="s">
        <v>76</v>
      </c>
      <c r="R337" t="s">
        <v>73</v>
      </c>
      <c r="S337">
        <v>2</v>
      </c>
      <c r="W337" s="20">
        <v>0</v>
      </c>
      <c r="X337" t="s">
        <v>78</v>
      </c>
      <c r="Y337">
        <v>0</v>
      </c>
      <c r="Z337">
        <v>0</v>
      </c>
      <c r="AA337" t="s">
        <v>78</v>
      </c>
      <c r="AB337">
        <v>0</v>
      </c>
      <c r="AC337" t="s">
        <v>78</v>
      </c>
      <c r="AD337">
        <v>0</v>
      </c>
      <c r="AE337">
        <v>10457970</v>
      </c>
      <c r="AF337" t="s">
        <v>88</v>
      </c>
      <c r="AG337" t="s">
        <v>272</v>
      </c>
    </row>
    <row r="338" spans="1:33" x14ac:dyDescent="0.35">
      <c r="A338" s="18">
        <v>44509.965277777781</v>
      </c>
      <c r="B338">
        <v>680067</v>
      </c>
      <c r="C338" t="s">
        <v>989</v>
      </c>
      <c r="D338" t="s">
        <v>990</v>
      </c>
      <c r="E338" s="19">
        <v>40632</v>
      </c>
      <c r="F338" t="str">
        <f>"9780199792375"</f>
        <v>9780199792375</v>
      </c>
      <c r="G338" t="str">
        <f>"9780199753642"</f>
        <v>9780199753642</v>
      </c>
      <c r="H338" t="s">
        <v>308</v>
      </c>
      <c r="I338" t="s">
        <v>991</v>
      </c>
      <c r="J338" t="s">
        <v>992</v>
      </c>
      <c r="K338" t="s">
        <v>73</v>
      </c>
      <c r="N338" t="s">
        <v>74</v>
      </c>
      <c r="O338" t="s">
        <v>75</v>
      </c>
      <c r="P338" t="s">
        <v>74</v>
      </c>
      <c r="Q338" t="s">
        <v>76</v>
      </c>
      <c r="R338" t="s">
        <v>73</v>
      </c>
      <c r="S338">
        <v>0</v>
      </c>
      <c r="W338" s="20">
        <v>5.7870370370370366E-5</v>
      </c>
      <c r="X338" t="s">
        <v>132</v>
      </c>
      <c r="Y338">
        <v>1</v>
      </c>
      <c r="Z338">
        <v>0</v>
      </c>
      <c r="AA338" t="s">
        <v>78</v>
      </c>
      <c r="AB338">
        <v>0</v>
      </c>
      <c r="AC338" t="s">
        <v>78</v>
      </c>
      <c r="AD338">
        <v>0</v>
      </c>
      <c r="AE338">
        <v>10457970</v>
      </c>
      <c r="AF338" t="s">
        <v>79</v>
      </c>
      <c r="AG338" t="s">
        <v>272</v>
      </c>
    </row>
    <row r="339" spans="1:33" x14ac:dyDescent="0.35">
      <c r="A339" s="18">
        <v>44509.84652777778</v>
      </c>
      <c r="B339">
        <v>1274268</v>
      </c>
      <c r="C339" t="s">
        <v>993</v>
      </c>
      <c r="D339" t="s">
        <v>102</v>
      </c>
      <c r="E339" s="19">
        <v>41526</v>
      </c>
      <c r="F339" t="str">
        <f>"9780199896233"</f>
        <v>9780199896233</v>
      </c>
      <c r="G339" t="str">
        <f>"9780199896226"</f>
        <v>9780199896226</v>
      </c>
      <c r="H339" t="s">
        <v>251</v>
      </c>
      <c r="I339" t="s">
        <v>994</v>
      </c>
      <c r="J339" t="s">
        <v>995</v>
      </c>
      <c r="K339" t="s">
        <v>73</v>
      </c>
      <c r="N339" t="s">
        <v>74</v>
      </c>
      <c r="O339" t="s">
        <v>75</v>
      </c>
      <c r="P339" t="s">
        <v>74</v>
      </c>
      <c r="Q339" t="s">
        <v>76</v>
      </c>
      <c r="R339" t="s">
        <v>73</v>
      </c>
      <c r="S339">
        <v>0</v>
      </c>
      <c r="W339" s="20">
        <v>4.0277777777777777E-3</v>
      </c>
      <c r="X339" t="s">
        <v>996</v>
      </c>
      <c r="Y339">
        <v>15</v>
      </c>
      <c r="Z339">
        <v>0</v>
      </c>
      <c r="AA339" t="s">
        <v>78</v>
      </c>
      <c r="AB339">
        <v>0</v>
      </c>
      <c r="AC339" t="s">
        <v>78</v>
      </c>
      <c r="AD339">
        <v>0</v>
      </c>
      <c r="AE339">
        <v>10728472</v>
      </c>
      <c r="AF339" t="s">
        <v>79</v>
      </c>
      <c r="AG339" t="s">
        <v>952</v>
      </c>
    </row>
    <row r="340" spans="1:33" x14ac:dyDescent="0.35">
      <c r="A340" s="18">
        <v>44509.758333333331</v>
      </c>
      <c r="B340">
        <v>3318673</v>
      </c>
      <c r="C340" t="s">
        <v>997</v>
      </c>
      <c r="D340" t="s">
        <v>998</v>
      </c>
      <c r="E340" s="19">
        <v>41302</v>
      </c>
      <c r="F340" t="str">
        <f>"9781421411118"</f>
        <v>9781421411118</v>
      </c>
      <c r="G340" t="str">
        <f>"9781421411101"</f>
        <v>9781421411101</v>
      </c>
      <c r="H340" t="s">
        <v>128</v>
      </c>
      <c r="I340">
        <v>363.33097299999997</v>
      </c>
      <c r="J340" t="s">
        <v>999</v>
      </c>
      <c r="K340" t="s">
        <v>73</v>
      </c>
      <c r="N340" t="s">
        <v>74</v>
      </c>
      <c r="O340" t="s">
        <v>75</v>
      </c>
      <c r="P340" t="s">
        <v>74</v>
      </c>
      <c r="Q340" t="s">
        <v>76</v>
      </c>
      <c r="R340" t="s">
        <v>73</v>
      </c>
      <c r="S340">
        <v>0</v>
      </c>
      <c r="W340" s="20">
        <v>6.9444444444444444E-5</v>
      </c>
      <c r="X340" t="s">
        <v>132</v>
      </c>
      <c r="Y340">
        <v>1</v>
      </c>
      <c r="Z340">
        <v>0</v>
      </c>
      <c r="AA340" t="s">
        <v>78</v>
      </c>
      <c r="AB340">
        <v>0</v>
      </c>
      <c r="AC340" t="s">
        <v>78</v>
      </c>
      <c r="AD340">
        <v>0</v>
      </c>
      <c r="AE340">
        <v>10654392</v>
      </c>
      <c r="AF340" t="s">
        <v>79</v>
      </c>
      <c r="AG340" t="s">
        <v>415</v>
      </c>
    </row>
    <row r="341" spans="1:33" x14ac:dyDescent="0.35">
      <c r="A341" s="18">
        <v>44509.756249999999</v>
      </c>
      <c r="B341">
        <v>1741657</v>
      </c>
      <c r="C341" t="s">
        <v>941</v>
      </c>
      <c r="D341" t="s">
        <v>127</v>
      </c>
      <c r="E341" s="19">
        <v>42935</v>
      </c>
      <c r="F341" t="str">
        <f>"9781909493346"</f>
        <v>9781909493346</v>
      </c>
      <c r="G341" t="str">
        <f>"9781874719687"</f>
        <v>9781874719687</v>
      </c>
      <c r="H341" t="s">
        <v>942</v>
      </c>
      <c r="I341">
        <v>658.40830000000005</v>
      </c>
      <c r="J341" t="s">
        <v>943</v>
      </c>
      <c r="K341" t="s">
        <v>73</v>
      </c>
      <c r="N341" t="s">
        <v>74</v>
      </c>
      <c r="O341" t="s">
        <v>75</v>
      </c>
      <c r="P341" t="s">
        <v>74</v>
      </c>
      <c r="Q341" t="s">
        <v>76</v>
      </c>
      <c r="R341" t="s">
        <v>73</v>
      </c>
      <c r="S341">
        <v>0</v>
      </c>
      <c r="W341" s="20">
        <v>6.145833333333333E-3</v>
      </c>
      <c r="X341" t="s">
        <v>1000</v>
      </c>
      <c r="Y341">
        <v>7</v>
      </c>
      <c r="Z341">
        <v>0</v>
      </c>
      <c r="AA341" t="s">
        <v>78</v>
      </c>
      <c r="AB341">
        <v>0</v>
      </c>
      <c r="AC341" t="s">
        <v>78</v>
      </c>
      <c r="AD341">
        <v>0</v>
      </c>
      <c r="AE341">
        <v>10650049</v>
      </c>
      <c r="AF341" t="s">
        <v>79</v>
      </c>
      <c r="AG341" t="s">
        <v>953</v>
      </c>
    </row>
    <row r="342" spans="1:33" x14ac:dyDescent="0.35">
      <c r="A342" s="18">
        <v>44509.728472222225</v>
      </c>
      <c r="B342">
        <v>829962</v>
      </c>
      <c r="C342" t="s">
        <v>1001</v>
      </c>
      <c r="D342" t="s">
        <v>338</v>
      </c>
      <c r="E342" s="19">
        <v>40889</v>
      </c>
      <c r="F342" t="str">
        <f>"9780123851437"</f>
        <v>9780123851437</v>
      </c>
      <c r="G342" t="str">
        <f>"9780123851420"</f>
        <v>9780123851420</v>
      </c>
      <c r="H342" t="s">
        <v>1002</v>
      </c>
      <c r="I342" t="s">
        <v>256</v>
      </c>
      <c r="J342" t="s">
        <v>1003</v>
      </c>
      <c r="K342" t="s">
        <v>73</v>
      </c>
      <c r="N342" t="s">
        <v>74</v>
      </c>
      <c r="O342" t="s">
        <v>75</v>
      </c>
      <c r="P342" t="s">
        <v>74</v>
      </c>
      <c r="Q342" t="s">
        <v>76</v>
      </c>
      <c r="R342" t="s">
        <v>73</v>
      </c>
      <c r="S342">
        <v>0</v>
      </c>
      <c r="W342" s="20">
        <v>4.4733796296296292E-2</v>
      </c>
      <c r="X342" t="s">
        <v>1004</v>
      </c>
      <c r="Y342">
        <v>83</v>
      </c>
      <c r="Z342">
        <v>1</v>
      </c>
      <c r="AA342" t="s">
        <v>1005</v>
      </c>
      <c r="AB342">
        <v>80</v>
      </c>
      <c r="AC342" t="s">
        <v>1006</v>
      </c>
      <c r="AD342">
        <v>4</v>
      </c>
      <c r="AE342">
        <v>10521166</v>
      </c>
      <c r="AF342" t="s">
        <v>79</v>
      </c>
      <c r="AG342" t="s">
        <v>1007</v>
      </c>
    </row>
    <row r="343" spans="1:33" x14ac:dyDescent="0.35">
      <c r="A343" s="18">
        <v>44509.683333333334</v>
      </c>
      <c r="B343">
        <v>2076529</v>
      </c>
      <c r="C343" t="s">
        <v>549</v>
      </c>
      <c r="D343" t="s">
        <v>550</v>
      </c>
      <c r="E343" s="19">
        <v>42164</v>
      </c>
      <c r="F343" t="str">
        <f>"9781443879200"</f>
        <v>9781443879200</v>
      </c>
      <c r="G343" t="str">
        <f>"9781443874564"</f>
        <v>9781443874564</v>
      </c>
      <c r="H343" t="s">
        <v>551</v>
      </c>
      <c r="I343" t="s">
        <v>552</v>
      </c>
      <c r="J343" t="s">
        <v>553</v>
      </c>
      <c r="K343" t="s">
        <v>73</v>
      </c>
      <c r="N343" t="s">
        <v>74</v>
      </c>
      <c r="O343" t="s">
        <v>75</v>
      </c>
      <c r="P343" t="s">
        <v>74</v>
      </c>
      <c r="Q343" t="s">
        <v>76</v>
      </c>
      <c r="R343" t="s">
        <v>73</v>
      </c>
      <c r="S343">
        <v>0</v>
      </c>
      <c r="W343" s="20">
        <v>3.1261574074074074E-2</v>
      </c>
      <c r="X343" t="s">
        <v>1008</v>
      </c>
      <c r="Y343">
        <v>16</v>
      </c>
      <c r="Z343">
        <v>0</v>
      </c>
      <c r="AA343" t="s">
        <v>78</v>
      </c>
      <c r="AB343">
        <v>0</v>
      </c>
      <c r="AC343" t="s">
        <v>78</v>
      </c>
      <c r="AD343">
        <v>0</v>
      </c>
      <c r="AE343">
        <v>11069011</v>
      </c>
      <c r="AF343" t="s">
        <v>79</v>
      </c>
      <c r="AG343" t="s">
        <v>1009</v>
      </c>
    </row>
    <row r="344" spans="1:33" x14ac:dyDescent="0.35">
      <c r="A344" s="18">
        <v>44509.643055555556</v>
      </c>
      <c r="B344">
        <v>793264</v>
      </c>
      <c r="C344" t="s">
        <v>1010</v>
      </c>
      <c r="D344" t="s">
        <v>506</v>
      </c>
      <c r="E344" s="19">
        <v>40830</v>
      </c>
      <c r="F344" t="str">
        <f>"9789004212084"</f>
        <v>9789004212084</v>
      </c>
      <c r="G344" t="str">
        <f>"9789004211315"</f>
        <v>9789004211315</v>
      </c>
      <c r="H344" t="s">
        <v>756</v>
      </c>
      <c r="I344">
        <v>953.30399999999997</v>
      </c>
      <c r="J344" t="s">
        <v>1011</v>
      </c>
      <c r="K344" t="s">
        <v>73</v>
      </c>
      <c r="N344" t="s">
        <v>74</v>
      </c>
      <c r="O344" t="s">
        <v>75</v>
      </c>
      <c r="P344" t="s">
        <v>74</v>
      </c>
      <c r="Q344" t="s">
        <v>76</v>
      </c>
      <c r="R344" t="s">
        <v>73</v>
      </c>
      <c r="S344">
        <v>1</v>
      </c>
      <c r="W344" s="20">
        <v>0</v>
      </c>
      <c r="X344" t="s">
        <v>78</v>
      </c>
      <c r="Y344">
        <v>0</v>
      </c>
      <c r="Z344">
        <v>0</v>
      </c>
      <c r="AA344" t="s">
        <v>78</v>
      </c>
      <c r="AB344">
        <v>0</v>
      </c>
      <c r="AC344" t="s">
        <v>78</v>
      </c>
      <c r="AD344">
        <v>0</v>
      </c>
      <c r="AE344">
        <v>10506433</v>
      </c>
      <c r="AF344" t="s">
        <v>88</v>
      </c>
      <c r="AG344" t="s">
        <v>1012</v>
      </c>
    </row>
    <row r="345" spans="1:33" x14ac:dyDescent="0.35">
      <c r="A345" s="18">
        <v>44509.56527777778</v>
      </c>
      <c r="B345">
        <v>1741657</v>
      </c>
      <c r="C345" t="s">
        <v>941</v>
      </c>
      <c r="D345" t="s">
        <v>127</v>
      </c>
      <c r="E345" s="19">
        <v>42935</v>
      </c>
      <c r="F345" t="str">
        <f>"9781909493346"</f>
        <v>9781909493346</v>
      </c>
      <c r="G345" t="str">
        <f>"9781874719687"</f>
        <v>9781874719687</v>
      </c>
      <c r="H345" t="s">
        <v>942</v>
      </c>
      <c r="I345">
        <v>658.40830000000005</v>
      </c>
      <c r="J345" t="s">
        <v>943</v>
      </c>
      <c r="K345" t="s">
        <v>73</v>
      </c>
      <c r="N345" t="s">
        <v>74</v>
      </c>
      <c r="O345" t="s">
        <v>75</v>
      </c>
      <c r="P345" t="s">
        <v>74</v>
      </c>
      <c r="Q345" t="s">
        <v>76</v>
      </c>
      <c r="R345" t="s">
        <v>73</v>
      </c>
      <c r="S345">
        <v>0</v>
      </c>
      <c r="W345" s="20">
        <v>2.6504629629629625E-3</v>
      </c>
      <c r="X345" t="s">
        <v>1013</v>
      </c>
      <c r="Y345">
        <v>21</v>
      </c>
      <c r="Z345">
        <v>0</v>
      </c>
      <c r="AA345" t="s">
        <v>78</v>
      </c>
      <c r="AB345">
        <v>0</v>
      </c>
      <c r="AC345" t="s">
        <v>78</v>
      </c>
      <c r="AD345">
        <v>0</v>
      </c>
      <c r="AE345">
        <v>10650049</v>
      </c>
      <c r="AF345" t="s">
        <v>79</v>
      </c>
      <c r="AG345" t="s">
        <v>415</v>
      </c>
    </row>
    <row r="346" spans="1:33" x14ac:dyDescent="0.35">
      <c r="A346" s="18">
        <v>44509.548611111109</v>
      </c>
      <c r="B346">
        <v>3375907</v>
      </c>
      <c r="C346" t="s">
        <v>1014</v>
      </c>
      <c r="D346" t="s">
        <v>351</v>
      </c>
      <c r="E346" s="19">
        <v>37031</v>
      </c>
      <c r="F346" t="str">
        <f>"9780309513029"</f>
        <v>9780309513029</v>
      </c>
      <c r="G346" t="str">
        <f>"9780309074179"</f>
        <v>9780309074179</v>
      </c>
      <c r="H346" t="s">
        <v>595</v>
      </c>
      <c r="I346" t="s">
        <v>1015</v>
      </c>
      <c r="J346" t="s">
        <v>1016</v>
      </c>
      <c r="K346" t="s">
        <v>73</v>
      </c>
      <c r="N346" t="s">
        <v>74</v>
      </c>
      <c r="O346" t="s">
        <v>75</v>
      </c>
      <c r="P346" t="s">
        <v>230</v>
      </c>
      <c r="Q346" t="s">
        <v>76</v>
      </c>
      <c r="R346" t="s">
        <v>85</v>
      </c>
      <c r="S346">
        <v>0</v>
      </c>
      <c r="W346" s="20">
        <v>4.3981481481481481E-4</v>
      </c>
      <c r="X346" t="s">
        <v>1017</v>
      </c>
      <c r="Y346">
        <v>5</v>
      </c>
      <c r="Z346">
        <v>0</v>
      </c>
      <c r="AA346" t="s">
        <v>78</v>
      </c>
      <c r="AB346">
        <v>0</v>
      </c>
      <c r="AC346" t="s">
        <v>78</v>
      </c>
      <c r="AD346">
        <v>0</v>
      </c>
      <c r="AE346">
        <v>10051572</v>
      </c>
      <c r="AF346" t="s">
        <v>79</v>
      </c>
      <c r="AG346" t="s">
        <v>242</v>
      </c>
    </row>
    <row r="347" spans="1:33" x14ac:dyDescent="0.35">
      <c r="A347" s="18">
        <v>44509.539583333331</v>
      </c>
      <c r="B347">
        <v>793264</v>
      </c>
      <c r="C347" t="s">
        <v>1010</v>
      </c>
      <c r="D347" t="s">
        <v>506</v>
      </c>
      <c r="E347" s="19">
        <v>40830</v>
      </c>
      <c r="F347" t="str">
        <f>"9789004212084"</f>
        <v>9789004212084</v>
      </c>
      <c r="G347" t="str">
        <f>"9789004211315"</f>
        <v>9789004211315</v>
      </c>
      <c r="H347" t="s">
        <v>756</v>
      </c>
      <c r="I347">
        <v>953.30399999999997</v>
      </c>
      <c r="J347" t="s">
        <v>1011</v>
      </c>
      <c r="K347" t="s">
        <v>73</v>
      </c>
      <c r="N347" t="s">
        <v>74</v>
      </c>
      <c r="O347" t="s">
        <v>75</v>
      </c>
      <c r="P347" t="s">
        <v>74</v>
      </c>
      <c r="Q347" t="s">
        <v>76</v>
      </c>
      <c r="R347" t="s">
        <v>73</v>
      </c>
      <c r="S347">
        <v>0</v>
      </c>
      <c r="W347" s="20">
        <v>1.1574074074074073E-5</v>
      </c>
      <c r="X347" t="s">
        <v>78</v>
      </c>
      <c r="Y347">
        <v>0</v>
      </c>
      <c r="Z347">
        <v>3</v>
      </c>
      <c r="AA347" t="s">
        <v>1018</v>
      </c>
      <c r="AB347">
        <v>90</v>
      </c>
      <c r="AC347" t="s">
        <v>78</v>
      </c>
      <c r="AD347">
        <v>0</v>
      </c>
      <c r="AE347">
        <v>10506433</v>
      </c>
      <c r="AF347" t="s">
        <v>88</v>
      </c>
      <c r="AG347" t="s">
        <v>415</v>
      </c>
    </row>
    <row r="348" spans="1:33" x14ac:dyDescent="0.35">
      <c r="A348" s="18">
        <v>44509.506249999999</v>
      </c>
      <c r="B348">
        <v>1162079</v>
      </c>
      <c r="C348" t="s">
        <v>1019</v>
      </c>
      <c r="D348" t="s">
        <v>70</v>
      </c>
      <c r="E348" s="19">
        <v>41379</v>
      </c>
      <c r="F348" t="str">
        <f>"9781118418123"</f>
        <v>9781118418123</v>
      </c>
      <c r="G348" t="str">
        <f>"9780470873663"</f>
        <v>9780470873663</v>
      </c>
      <c r="H348" t="s">
        <v>217</v>
      </c>
      <c r="I348">
        <v>621.47</v>
      </c>
      <c r="J348" t="s">
        <v>1020</v>
      </c>
      <c r="K348" t="s">
        <v>73</v>
      </c>
      <c r="N348" t="s">
        <v>74</v>
      </c>
      <c r="O348" t="s">
        <v>75</v>
      </c>
      <c r="P348" t="s">
        <v>74</v>
      </c>
      <c r="Q348" t="s">
        <v>76</v>
      </c>
      <c r="R348" t="s">
        <v>73</v>
      </c>
      <c r="S348">
        <v>0</v>
      </c>
      <c r="W348" s="20">
        <v>4.1666666666666669E-4</v>
      </c>
      <c r="X348" t="s">
        <v>1021</v>
      </c>
      <c r="Y348">
        <v>5</v>
      </c>
      <c r="Z348">
        <v>0</v>
      </c>
      <c r="AA348" t="s">
        <v>78</v>
      </c>
      <c r="AB348">
        <v>0</v>
      </c>
      <c r="AC348" t="s">
        <v>78</v>
      </c>
      <c r="AD348">
        <v>0</v>
      </c>
      <c r="AE348">
        <v>10683270</v>
      </c>
      <c r="AF348" t="s">
        <v>79</v>
      </c>
      <c r="AG348" t="s">
        <v>415</v>
      </c>
    </row>
    <row r="349" spans="1:33" x14ac:dyDescent="0.35">
      <c r="A349" s="18">
        <v>44509.388194444444</v>
      </c>
      <c r="B349">
        <v>1162079</v>
      </c>
      <c r="C349" t="s">
        <v>1019</v>
      </c>
      <c r="D349" t="s">
        <v>70</v>
      </c>
      <c r="E349" s="19">
        <v>41379</v>
      </c>
      <c r="F349" t="str">
        <f>"9781118418123"</f>
        <v>9781118418123</v>
      </c>
      <c r="G349" t="str">
        <f>"9780470873663"</f>
        <v>9780470873663</v>
      </c>
      <c r="H349" t="s">
        <v>217</v>
      </c>
      <c r="I349">
        <v>621.47</v>
      </c>
      <c r="J349" t="s">
        <v>1020</v>
      </c>
      <c r="K349" t="s">
        <v>73</v>
      </c>
      <c r="N349" t="s">
        <v>74</v>
      </c>
      <c r="O349" t="s">
        <v>75</v>
      </c>
      <c r="P349" t="s">
        <v>74</v>
      </c>
      <c r="Q349" t="s">
        <v>76</v>
      </c>
      <c r="R349" t="s">
        <v>73</v>
      </c>
      <c r="S349">
        <v>0</v>
      </c>
      <c r="W349" s="20">
        <v>2.3148148148148146E-4</v>
      </c>
      <c r="X349" t="s">
        <v>1022</v>
      </c>
      <c r="Y349">
        <v>3</v>
      </c>
      <c r="Z349">
        <v>0</v>
      </c>
      <c r="AA349" t="s">
        <v>78</v>
      </c>
      <c r="AB349">
        <v>0</v>
      </c>
      <c r="AC349" t="s">
        <v>78</v>
      </c>
      <c r="AD349">
        <v>0</v>
      </c>
      <c r="AE349">
        <v>10683270</v>
      </c>
      <c r="AF349" t="s">
        <v>79</v>
      </c>
      <c r="AG349" t="s">
        <v>272</v>
      </c>
    </row>
    <row r="350" spans="1:33" x14ac:dyDescent="0.35">
      <c r="A350" s="18">
        <v>44509.326388888891</v>
      </c>
      <c r="B350">
        <v>1162079</v>
      </c>
      <c r="C350" t="s">
        <v>1019</v>
      </c>
      <c r="D350" t="s">
        <v>70</v>
      </c>
      <c r="E350" s="19">
        <v>41379</v>
      </c>
      <c r="F350" t="str">
        <f>"9781118418123"</f>
        <v>9781118418123</v>
      </c>
      <c r="G350" t="str">
        <f>"9780470873663"</f>
        <v>9780470873663</v>
      </c>
      <c r="H350" t="s">
        <v>217</v>
      </c>
      <c r="I350">
        <v>621.47</v>
      </c>
      <c r="J350" t="s">
        <v>1020</v>
      </c>
      <c r="K350" t="s">
        <v>73</v>
      </c>
      <c r="N350" t="s">
        <v>74</v>
      </c>
      <c r="O350" t="s">
        <v>75</v>
      </c>
      <c r="P350" t="s">
        <v>74</v>
      </c>
      <c r="Q350" t="s">
        <v>76</v>
      </c>
      <c r="R350" t="s">
        <v>73</v>
      </c>
      <c r="S350">
        <v>0</v>
      </c>
      <c r="W350" s="20">
        <v>5.7870370370370366E-5</v>
      </c>
      <c r="X350" t="s">
        <v>360</v>
      </c>
      <c r="Y350">
        <v>2</v>
      </c>
      <c r="Z350">
        <v>0</v>
      </c>
      <c r="AA350" t="s">
        <v>78</v>
      </c>
      <c r="AB350">
        <v>0</v>
      </c>
      <c r="AC350" t="s">
        <v>78</v>
      </c>
      <c r="AD350">
        <v>0</v>
      </c>
      <c r="AE350">
        <v>10683270</v>
      </c>
      <c r="AF350" t="s">
        <v>79</v>
      </c>
      <c r="AG350" t="s">
        <v>272</v>
      </c>
    </row>
    <row r="351" spans="1:33" x14ac:dyDescent="0.35">
      <c r="A351" s="18">
        <v>44509.323611111111</v>
      </c>
      <c r="B351">
        <v>1162079</v>
      </c>
      <c r="C351" t="s">
        <v>1019</v>
      </c>
      <c r="D351" t="s">
        <v>70</v>
      </c>
      <c r="E351" s="19">
        <v>41379</v>
      </c>
      <c r="F351" t="str">
        <f>"9781118418123"</f>
        <v>9781118418123</v>
      </c>
      <c r="G351" t="str">
        <f>"9780470873663"</f>
        <v>9780470873663</v>
      </c>
      <c r="H351" t="s">
        <v>217</v>
      </c>
      <c r="I351">
        <v>621.47</v>
      </c>
      <c r="J351" t="s">
        <v>1020</v>
      </c>
      <c r="K351" t="s">
        <v>73</v>
      </c>
      <c r="N351" t="s">
        <v>74</v>
      </c>
      <c r="O351" t="s">
        <v>75</v>
      </c>
      <c r="P351" t="s">
        <v>74</v>
      </c>
      <c r="Q351" t="s">
        <v>76</v>
      </c>
      <c r="R351" t="s">
        <v>73</v>
      </c>
      <c r="S351">
        <v>0</v>
      </c>
      <c r="W351" s="20">
        <v>4.4444444444444444E-3</v>
      </c>
      <c r="X351" t="s">
        <v>1023</v>
      </c>
      <c r="Y351">
        <v>8</v>
      </c>
      <c r="Z351">
        <v>0</v>
      </c>
      <c r="AA351" t="s">
        <v>78</v>
      </c>
      <c r="AB351">
        <v>0</v>
      </c>
      <c r="AC351" t="s">
        <v>78</v>
      </c>
      <c r="AD351">
        <v>0</v>
      </c>
      <c r="AE351">
        <v>10683270</v>
      </c>
      <c r="AF351" t="s">
        <v>79</v>
      </c>
      <c r="AG351" t="s">
        <v>415</v>
      </c>
    </row>
    <row r="352" spans="1:33" x14ac:dyDescent="0.35">
      <c r="A352" s="18">
        <v>44508.865277777775</v>
      </c>
      <c r="B352">
        <v>318258</v>
      </c>
      <c r="C352" t="s">
        <v>1024</v>
      </c>
      <c r="D352" t="s">
        <v>158</v>
      </c>
      <c r="E352" s="19">
        <v>36724</v>
      </c>
      <c r="F352" t="str">
        <f>"9780080508092"</f>
        <v>9780080508092</v>
      </c>
      <c r="G352" t="str">
        <f>"9780750636346"</f>
        <v>9780750636346</v>
      </c>
      <c r="H352" t="s">
        <v>466</v>
      </c>
      <c r="I352">
        <v>621.30999999999995</v>
      </c>
      <c r="J352" t="s">
        <v>1025</v>
      </c>
      <c r="K352" t="s">
        <v>73</v>
      </c>
      <c r="N352" t="s">
        <v>74</v>
      </c>
      <c r="O352" t="s">
        <v>75</v>
      </c>
      <c r="P352" t="s">
        <v>74</v>
      </c>
      <c r="Q352" t="s">
        <v>76</v>
      </c>
      <c r="R352" t="s">
        <v>73</v>
      </c>
      <c r="S352">
        <v>1</v>
      </c>
      <c r="W352" s="20">
        <v>1.1574074074074073E-5</v>
      </c>
      <c r="X352" t="s">
        <v>78</v>
      </c>
      <c r="Y352">
        <v>0</v>
      </c>
      <c r="Z352">
        <v>0</v>
      </c>
      <c r="AA352" t="s">
        <v>78</v>
      </c>
      <c r="AB352">
        <v>0</v>
      </c>
      <c r="AC352" t="s">
        <v>78</v>
      </c>
      <c r="AD352">
        <v>0</v>
      </c>
      <c r="AE352">
        <v>10203527</v>
      </c>
      <c r="AF352" t="s">
        <v>88</v>
      </c>
      <c r="AG352" t="s">
        <v>415</v>
      </c>
    </row>
    <row r="353" spans="1:33" x14ac:dyDescent="0.35">
      <c r="A353" s="18">
        <v>44508.70208333333</v>
      </c>
      <c r="B353">
        <v>858659</v>
      </c>
      <c r="C353" t="s">
        <v>157</v>
      </c>
      <c r="D353" t="s">
        <v>158</v>
      </c>
      <c r="E353" s="19">
        <v>40957</v>
      </c>
      <c r="F353" t="str">
        <f>"9780080966601"</f>
        <v>9780080966601</v>
      </c>
      <c r="G353" t="str">
        <f>"9780080966595"</f>
        <v>9780080966595</v>
      </c>
      <c r="H353" t="s">
        <v>159</v>
      </c>
      <c r="I353" t="s">
        <v>160</v>
      </c>
      <c r="J353" t="s">
        <v>161</v>
      </c>
      <c r="K353" t="s">
        <v>73</v>
      </c>
      <c r="N353" t="s">
        <v>74</v>
      </c>
      <c r="O353" t="s">
        <v>75</v>
      </c>
      <c r="P353" t="s">
        <v>74</v>
      </c>
      <c r="Q353" t="s">
        <v>76</v>
      </c>
      <c r="R353" t="s">
        <v>73</v>
      </c>
      <c r="S353">
        <v>0</v>
      </c>
      <c r="W353" s="20">
        <v>6.9444444444444444E-5</v>
      </c>
      <c r="X353" t="s">
        <v>132</v>
      </c>
      <c r="Y353">
        <v>1</v>
      </c>
      <c r="Z353">
        <v>0</v>
      </c>
      <c r="AA353" t="s">
        <v>78</v>
      </c>
      <c r="AB353">
        <v>0</v>
      </c>
      <c r="AC353" t="s">
        <v>78</v>
      </c>
      <c r="AD353">
        <v>0</v>
      </c>
      <c r="AE353">
        <v>10562149</v>
      </c>
      <c r="AF353" t="s">
        <v>79</v>
      </c>
      <c r="AG353" t="s">
        <v>657</v>
      </c>
    </row>
    <row r="354" spans="1:33" x14ac:dyDescent="0.35">
      <c r="A354" s="18">
        <v>44508.701388888891</v>
      </c>
      <c r="B354">
        <v>413413</v>
      </c>
      <c r="C354" t="s">
        <v>1026</v>
      </c>
      <c r="D354" t="s">
        <v>1027</v>
      </c>
      <c r="E354" s="19">
        <v>38748</v>
      </c>
      <c r="F354" t="str">
        <f>"9780807876985"</f>
        <v>9780807876985</v>
      </c>
      <c r="G354" t="str">
        <f>"9780807856574"</f>
        <v>9780807856574</v>
      </c>
      <c r="H354" t="s">
        <v>756</v>
      </c>
      <c r="I354" t="s">
        <v>1028</v>
      </c>
      <c r="J354" t="s">
        <v>1029</v>
      </c>
      <c r="K354" t="s">
        <v>73</v>
      </c>
      <c r="N354" t="s">
        <v>74</v>
      </c>
      <c r="O354" t="s">
        <v>75</v>
      </c>
      <c r="P354" t="s">
        <v>230</v>
      </c>
      <c r="Q354" t="s">
        <v>76</v>
      </c>
      <c r="R354" t="s">
        <v>85</v>
      </c>
      <c r="S354">
        <v>0</v>
      </c>
      <c r="W354" s="20">
        <v>4.4212962962962956E-3</v>
      </c>
      <c r="X354" t="s">
        <v>1030</v>
      </c>
      <c r="Y354">
        <v>10</v>
      </c>
      <c r="Z354">
        <v>0</v>
      </c>
      <c r="AA354" t="s">
        <v>78</v>
      </c>
      <c r="AB354">
        <v>0</v>
      </c>
      <c r="AC354" t="s">
        <v>78</v>
      </c>
      <c r="AD354">
        <v>0</v>
      </c>
      <c r="AE354">
        <v>10273394</v>
      </c>
      <c r="AF354" t="s">
        <v>79</v>
      </c>
      <c r="AG354" t="s">
        <v>415</v>
      </c>
    </row>
    <row r="355" spans="1:33" x14ac:dyDescent="0.35">
      <c r="A355" s="18">
        <v>44508.600694444445</v>
      </c>
      <c r="B355">
        <v>351289</v>
      </c>
      <c r="C355" t="s">
        <v>1031</v>
      </c>
      <c r="D355" t="s">
        <v>70</v>
      </c>
      <c r="E355" s="19">
        <v>37019</v>
      </c>
      <c r="F355" t="str">
        <f>"9780470999462"</f>
        <v>9780470999462</v>
      </c>
      <c r="G355" t="str">
        <f>"9780632055593"</f>
        <v>9780632055593</v>
      </c>
      <c r="H355" t="s">
        <v>159</v>
      </c>
      <c r="I355" t="s">
        <v>1032</v>
      </c>
      <c r="J355" t="s">
        <v>1033</v>
      </c>
      <c r="K355" t="s">
        <v>73</v>
      </c>
      <c r="N355" t="s">
        <v>74</v>
      </c>
      <c r="O355" t="s">
        <v>75</v>
      </c>
      <c r="P355" t="s">
        <v>74</v>
      </c>
      <c r="Q355" t="s">
        <v>76</v>
      </c>
      <c r="R355" t="s">
        <v>73</v>
      </c>
      <c r="S355">
        <v>0</v>
      </c>
      <c r="W355" s="20">
        <v>2.6620370370370374E-3</v>
      </c>
      <c r="X355" t="s">
        <v>1034</v>
      </c>
      <c r="Y355">
        <v>14</v>
      </c>
      <c r="Z355">
        <v>0</v>
      </c>
      <c r="AA355" t="s">
        <v>78</v>
      </c>
      <c r="AB355">
        <v>0</v>
      </c>
      <c r="AC355" t="s">
        <v>78</v>
      </c>
      <c r="AD355">
        <v>0</v>
      </c>
      <c r="AE355">
        <v>10240507</v>
      </c>
      <c r="AF355" t="s">
        <v>79</v>
      </c>
      <c r="AG355" t="s">
        <v>415</v>
      </c>
    </row>
    <row r="356" spans="1:33" x14ac:dyDescent="0.35">
      <c r="A356" s="18">
        <v>44508.513888888891</v>
      </c>
      <c r="B356">
        <v>1741657</v>
      </c>
      <c r="C356" t="s">
        <v>941</v>
      </c>
      <c r="D356" t="s">
        <v>127</v>
      </c>
      <c r="E356" s="19">
        <v>42935</v>
      </c>
      <c r="F356" t="str">
        <f>"9781909493346"</f>
        <v>9781909493346</v>
      </c>
      <c r="G356" t="str">
        <f>"9781874719687"</f>
        <v>9781874719687</v>
      </c>
      <c r="H356" t="s">
        <v>942</v>
      </c>
      <c r="I356">
        <v>658.40830000000005</v>
      </c>
      <c r="J356" t="s">
        <v>943</v>
      </c>
      <c r="K356" t="s">
        <v>73</v>
      </c>
      <c r="N356" t="s">
        <v>74</v>
      </c>
      <c r="O356" t="s">
        <v>75</v>
      </c>
      <c r="P356" t="s">
        <v>74</v>
      </c>
      <c r="Q356" t="s">
        <v>76</v>
      </c>
      <c r="R356" t="s">
        <v>73</v>
      </c>
      <c r="S356">
        <v>0</v>
      </c>
      <c r="W356" s="20">
        <v>4.0624999999999993E-3</v>
      </c>
      <c r="X356" t="s">
        <v>1035</v>
      </c>
      <c r="Y356">
        <v>8</v>
      </c>
      <c r="Z356">
        <v>0</v>
      </c>
      <c r="AA356" t="s">
        <v>78</v>
      </c>
      <c r="AB356">
        <v>0</v>
      </c>
      <c r="AC356" t="s">
        <v>1036</v>
      </c>
      <c r="AD356">
        <v>2</v>
      </c>
      <c r="AE356">
        <v>10650049</v>
      </c>
      <c r="AF356" t="s">
        <v>79</v>
      </c>
      <c r="AG356" t="s">
        <v>415</v>
      </c>
    </row>
    <row r="357" spans="1:33" x14ac:dyDescent="0.35">
      <c r="A357" s="18">
        <v>44508.511111111111</v>
      </c>
      <c r="B357">
        <v>1026862</v>
      </c>
      <c r="C357" t="s">
        <v>1037</v>
      </c>
      <c r="D357" t="s">
        <v>127</v>
      </c>
      <c r="E357" s="19">
        <v>41150</v>
      </c>
      <c r="F357" t="str">
        <f>"9781439880159"</f>
        <v>9781439880159</v>
      </c>
      <c r="G357" t="str">
        <f>"9781439880142"</f>
        <v>9781439880142</v>
      </c>
      <c r="H357" t="s">
        <v>374</v>
      </c>
      <c r="I357" t="s">
        <v>1038</v>
      </c>
      <c r="J357" t="s">
        <v>1039</v>
      </c>
      <c r="K357" t="s">
        <v>85</v>
      </c>
      <c r="N357" t="s">
        <v>86</v>
      </c>
      <c r="P357" t="s">
        <v>87</v>
      </c>
      <c r="Q357" t="s">
        <v>76</v>
      </c>
      <c r="R357" t="s">
        <v>73</v>
      </c>
      <c r="S357">
        <v>0</v>
      </c>
      <c r="W357" s="20">
        <v>2.1064814814814813E-3</v>
      </c>
      <c r="X357" t="s">
        <v>1040</v>
      </c>
      <c r="Y357">
        <v>9</v>
      </c>
      <c r="Z357">
        <v>0</v>
      </c>
      <c r="AA357" t="s">
        <v>78</v>
      </c>
      <c r="AB357">
        <v>0</v>
      </c>
      <c r="AC357" t="s">
        <v>78</v>
      </c>
      <c r="AD357">
        <v>0</v>
      </c>
      <c r="AE357">
        <v>10603119</v>
      </c>
      <c r="AF357" t="s">
        <v>79</v>
      </c>
      <c r="AG357" t="s">
        <v>415</v>
      </c>
    </row>
    <row r="358" spans="1:33" x14ac:dyDescent="0.35">
      <c r="A358" s="18">
        <v>44508.503472222219</v>
      </c>
      <c r="B358">
        <v>1741657</v>
      </c>
      <c r="C358" t="s">
        <v>941</v>
      </c>
      <c r="D358" t="s">
        <v>127</v>
      </c>
      <c r="E358" s="19">
        <v>42935</v>
      </c>
      <c r="F358" t="str">
        <f>"9781909493346"</f>
        <v>9781909493346</v>
      </c>
      <c r="G358" t="str">
        <f>"9781874719687"</f>
        <v>9781874719687</v>
      </c>
      <c r="H358" t="s">
        <v>942</v>
      </c>
      <c r="I358">
        <v>658.40830000000005</v>
      </c>
      <c r="J358" t="s">
        <v>943</v>
      </c>
      <c r="K358" t="s">
        <v>73</v>
      </c>
      <c r="N358" t="s">
        <v>74</v>
      </c>
      <c r="O358" t="s">
        <v>75</v>
      </c>
      <c r="P358" t="s">
        <v>74</v>
      </c>
      <c r="Q358" t="s">
        <v>76</v>
      </c>
      <c r="R358" t="s">
        <v>73</v>
      </c>
      <c r="S358">
        <v>0</v>
      </c>
      <c r="W358" s="20">
        <v>2.8935185185185189E-4</v>
      </c>
      <c r="X358" t="s">
        <v>1041</v>
      </c>
      <c r="Y358">
        <v>3</v>
      </c>
      <c r="Z358">
        <v>0</v>
      </c>
      <c r="AA358" t="s">
        <v>78</v>
      </c>
      <c r="AB358">
        <v>0</v>
      </c>
      <c r="AC358" t="s">
        <v>1042</v>
      </c>
      <c r="AD358">
        <v>1</v>
      </c>
      <c r="AE358">
        <v>10650049</v>
      </c>
      <c r="AF358" t="s">
        <v>79</v>
      </c>
      <c r="AG358" t="s">
        <v>953</v>
      </c>
    </row>
    <row r="359" spans="1:33" x14ac:dyDescent="0.35">
      <c r="A359" s="18">
        <v>44508.476388888892</v>
      </c>
      <c r="B359">
        <v>1741657</v>
      </c>
      <c r="C359" t="s">
        <v>941</v>
      </c>
      <c r="D359" t="s">
        <v>127</v>
      </c>
      <c r="E359" s="19">
        <v>42935</v>
      </c>
      <c r="F359" t="str">
        <f>"9781909493346"</f>
        <v>9781909493346</v>
      </c>
      <c r="G359" t="str">
        <f>"9781874719687"</f>
        <v>9781874719687</v>
      </c>
      <c r="H359" t="s">
        <v>942</v>
      </c>
      <c r="I359">
        <v>658.40830000000005</v>
      </c>
      <c r="J359" t="s">
        <v>943</v>
      </c>
      <c r="K359" t="s">
        <v>73</v>
      </c>
      <c r="N359" t="s">
        <v>74</v>
      </c>
      <c r="O359" t="s">
        <v>75</v>
      </c>
      <c r="P359" t="s">
        <v>74</v>
      </c>
      <c r="Q359" t="s">
        <v>76</v>
      </c>
      <c r="R359" t="s">
        <v>73</v>
      </c>
      <c r="S359">
        <v>0</v>
      </c>
      <c r="W359" s="20">
        <v>5.1736111111111115E-3</v>
      </c>
      <c r="X359" t="s">
        <v>1043</v>
      </c>
      <c r="Y359">
        <v>13</v>
      </c>
      <c r="Z359">
        <v>0</v>
      </c>
      <c r="AA359" t="s">
        <v>78</v>
      </c>
      <c r="AB359">
        <v>0</v>
      </c>
      <c r="AC359" t="s">
        <v>78</v>
      </c>
      <c r="AD359">
        <v>0</v>
      </c>
      <c r="AE359">
        <v>10650049</v>
      </c>
      <c r="AF359" t="s">
        <v>79</v>
      </c>
      <c r="AG359" t="s">
        <v>953</v>
      </c>
    </row>
    <row r="360" spans="1:33" x14ac:dyDescent="0.35">
      <c r="A360" s="18">
        <v>44508.47152777778</v>
      </c>
      <c r="B360">
        <v>1741657</v>
      </c>
      <c r="C360" t="s">
        <v>941</v>
      </c>
      <c r="D360" t="s">
        <v>127</v>
      </c>
      <c r="E360" s="19">
        <v>42935</v>
      </c>
      <c r="F360" t="str">
        <f>"9781909493346"</f>
        <v>9781909493346</v>
      </c>
      <c r="G360" t="str">
        <f>"9781874719687"</f>
        <v>9781874719687</v>
      </c>
      <c r="H360" t="s">
        <v>942</v>
      </c>
      <c r="I360">
        <v>658.40830000000005</v>
      </c>
      <c r="J360" t="s">
        <v>943</v>
      </c>
      <c r="K360" t="s">
        <v>73</v>
      </c>
      <c r="N360" t="s">
        <v>74</v>
      </c>
      <c r="O360" t="s">
        <v>75</v>
      </c>
      <c r="P360" t="s">
        <v>74</v>
      </c>
      <c r="Q360" t="s">
        <v>76</v>
      </c>
      <c r="R360" t="s">
        <v>73</v>
      </c>
      <c r="S360">
        <v>0</v>
      </c>
      <c r="W360" s="20">
        <v>8.0787037037037043E-3</v>
      </c>
      <c r="X360" t="s">
        <v>1044</v>
      </c>
      <c r="Y360">
        <v>45</v>
      </c>
      <c r="Z360">
        <v>0</v>
      </c>
      <c r="AA360" t="s">
        <v>78</v>
      </c>
      <c r="AB360">
        <v>0</v>
      </c>
      <c r="AC360" t="s">
        <v>78</v>
      </c>
      <c r="AD360">
        <v>0</v>
      </c>
      <c r="AE360">
        <v>10650049</v>
      </c>
      <c r="AF360" t="s">
        <v>79</v>
      </c>
      <c r="AG360" t="s">
        <v>415</v>
      </c>
    </row>
    <row r="361" spans="1:33" x14ac:dyDescent="0.35">
      <c r="A361" s="18">
        <v>44508.457638888889</v>
      </c>
      <c r="B361">
        <v>1026862</v>
      </c>
      <c r="C361" t="s">
        <v>1037</v>
      </c>
      <c r="D361" t="s">
        <v>127</v>
      </c>
      <c r="E361" s="19">
        <v>41150</v>
      </c>
      <c r="F361" t="str">
        <f>"9781439880159"</f>
        <v>9781439880159</v>
      </c>
      <c r="G361" t="str">
        <f>"9781439880142"</f>
        <v>9781439880142</v>
      </c>
      <c r="H361" t="s">
        <v>374</v>
      </c>
      <c r="I361" t="s">
        <v>1038</v>
      </c>
      <c r="J361" t="s">
        <v>1039</v>
      </c>
      <c r="K361" t="s">
        <v>85</v>
      </c>
      <c r="N361" t="s">
        <v>86</v>
      </c>
      <c r="P361" t="s">
        <v>87</v>
      </c>
      <c r="Q361" t="s">
        <v>76</v>
      </c>
      <c r="R361" t="s">
        <v>73</v>
      </c>
      <c r="S361">
        <v>1</v>
      </c>
      <c r="T361">
        <v>90</v>
      </c>
      <c r="U361" s="18">
        <v>44508.457638888889</v>
      </c>
      <c r="V361" s="18">
        <v>44598.457638888889</v>
      </c>
      <c r="W361" s="20">
        <v>0</v>
      </c>
      <c r="X361" t="s">
        <v>78</v>
      </c>
      <c r="Y361">
        <v>0</v>
      </c>
      <c r="Z361">
        <v>0</v>
      </c>
      <c r="AA361" t="s">
        <v>78</v>
      </c>
      <c r="AB361">
        <v>0</v>
      </c>
      <c r="AC361" t="s">
        <v>78</v>
      </c>
      <c r="AD361">
        <v>0</v>
      </c>
      <c r="AE361">
        <v>10603119</v>
      </c>
      <c r="AF361" t="s">
        <v>88</v>
      </c>
      <c r="AG361" t="s">
        <v>415</v>
      </c>
    </row>
    <row r="362" spans="1:33" x14ac:dyDescent="0.35">
      <c r="A362" s="18">
        <v>44507.974305555559</v>
      </c>
      <c r="B362">
        <v>2189767</v>
      </c>
      <c r="C362" t="s">
        <v>1045</v>
      </c>
      <c r="D362" t="s">
        <v>1046</v>
      </c>
      <c r="E362" s="19">
        <v>42248</v>
      </c>
      <c r="F362" t="str">
        <f>"9781452945729"</f>
        <v>9781452945729</v>
      </c>
      <c r="G362" t="str">
        <f>"9780816698776"</f>
        <v>9780816698776</v>
      </c>
      <c r="H362" t="s">
        <v>756</v>
      </c>
      <c r="I362">
        <v>951.9</v>
      </c>
      <c r="J362" t="s">
        <v>1047</v>
      </c>
      <c r="K362" t="s">
        <v>73</v>
      </c>
      <c r="N362" t="s">
        <v>74</v>
      </c>
      <c r="O362" t="s">
        <v>75</v>
      </c>
      <c r="P362" t="s">
        <v>74</v>
      </c>
      <c r="Q362" t="s">
        <v>76</v>
      </c>
      <c r="R362" t="s">
        <v>73</v>
      </c>
      <c r="S362">
        <v>0</v>
      </c>
      <c r="W362" s="20">
        <v>6.9444444444444444E-5</v>
      </c>
      <c r="X362" t="s">
        <v>132</v>
      </c>
      <c r="Y362">
        <v>1</v>
      </c>
      <c r="Z362">
        <v>0</v>
      </c>
      <c r="AA362" t="s">
        <v>78</v>
      </c>
      <c r="AB362">
        <v>0</v>
      </c>
      <c r="AC362" t="s">
        <v>78</v>
      </c>
      <c r="AD362">
        <v>0</v>
      </c>
      <c r="AE362">
        <v>11092776</v>
      </c>
      <c r="AF362" t="s">
        <v>79</v>
      </c>
      <c r="AG362" t="s">
        <v>415</v>
      </c>
    </row>
    <row r="363" spans="1:33" x14ac:dyDescent="0.35">
      <c r="A363" s="18">
        <v>44507.879166666666</v>
      </c>
      <c r="B363">
        <v>4038783</v>
      </c>
      <c r="C363" t="s">
        <v>1048</v>
      </c>
      <c r="D363" t="s">
        <v>70</v>
      </c>
      <c r="E363" s="19">
        <v>42219</v>
      </c>
      <c r="F363" t="str">
        <f>"9781118799529"</f>
        <v>9781118799529</v>
      </c>
      <c r="G363" t="str">
        <f>"9781118799543"</f>
        <v>9781118799543</v>
      </c>
      <c r="H363" t="s">
        <v>1049</v>
      </c>
      <c r="I363">
        <v>615.1</v>
      </c>
      <c r="J363" t="s">
        <v>1050</v>
      </c>
      <c r="K363" t="s">
        <v>73</v>
      </c>
      <c r="N363" t="s">
        <v>74</v>
      </c>
      <c r="O363" t="s">
        <v>75</v>
      </c>
      <c r="P363" t="s">
        <v>74</v>
      </c>
      <c r="Q363" t="s">
        <v>76</v>
      </c>
      <c r="R363" t="s">
        <v>73</v>
      </c>
      <c r="S363">
        <v>0</v>
      </c>
      <c r="W363" s="20">
        <v>8.7962962962962962E-4</v>
      </c>
      <c r="X363" t="s">
        <v>1051</v>
      </c>
      <c r="Y363">
        <v>17</v>
      </c>
      <c r="Z363">
        <v>0</v>
      </c>
      <c r="AA363" t="s">
        <v>78</v>
      </c>
      <c r="AB363">
        <v>0</v>
      </c>
      <c r="AC363" t="s">
        <v>78</v>
      </c>
      <c r="AD363">
        <v>0</v>
      </c>
      <c r="AE363">
        <v>11112583</v>
      </c>
      <c r="AF363" t="s">
        <v>79</v>
      </c>
      <c r="AG363" t="s">
        <v>333</v>
      </c>
    </row>
    <row r="364" spans="1:33" x14ac:dyDescent="0.35">
      <c r="A364" s="18">
        <v>44507.874305555553</v>
      </c>
      <c r="B364">
        <v>1365054</v>
      </c>
      <c r="C364" t="s">
        <v>1052</v>
      </c>
      <c r="D364" t="s">
        <v>70</v>
      </c>
      <c r="E364" s="19">
        <v>41582</v>
      </c>
      <c r="F364" t="str">
        <f>"9781118662830"</f>
        <v>9781118662830</v>
      </c>
      <c r="G364" t="str">
        <f>"9781118022665"</f>
        <v>9781118022665</v>
      </c>
      <c r="H364" t="s">
        <v>1053</v>
      </c>
      <c r="I364">
        <v>615.1</v>
      </c>
      <c r="J364" t="s">
        <v>1054</v>
      </c>
      <c r="K364" t="s">
        <v>73</v>
      </c>
      <c r="N364" t="s">
        <v>74</v>
      </c>
      <c r="O364" t="s">
        <v>75</v>
      </c>
      <c r="P364" t="s">
        <v>74</v>
      </c>
      <c r="Q364" t="s">
        <v>76</v>
      </c>
      <c r="R364" t="s">
        <v>73</v>
      </c>
      <c r="S364">
        <v>0</v>
      </c>
      <c r="W364" s="20">
        <v>4.5138888888888893E-3</v>
      </c>
      <c r="X364" t="s">
        <v>1055</v>
      </c>
      <c r="Y364">
        <v>14</v>
      </c>
      <c r="Z364">
        <v>0</v>
      </c>
      <c r="AA364" t="s">
        <v>78</v>
      </c>
      <c r="AB364">
        <v>0</v>
      </c>
      <c r="AC364" t="s">
        <v>78</v>
      </c>
      <c r="AD364">
        <v>0</v>
      </c>
      <c r="AE364">
        <v>10763024</v>
      </c>
      <c r="AF364" t="s">
        <v>79</v>
      </c>
      <c r="AG364" t="s">
        <v>333</v>
      </c>
    </row>
    <row r="365" spans="1:33" x14ac:dyDescent="0.35">
      <c r="A365" s="18">
        <v>44507.826388888891</v>
      </c>
      <c r="B365">
        <v>945474</v>
      </c>
      <c r="C365" t="s">
        <v>1056</v>
      </c>
      <c r="D365" t="s">
        <v>127</v>
      </c>
      <c r="E365" s="19">
        <v>41095</v>
      </c>
      <c r="F365" t="str">
        <f>"9781439860458"</f>
        <v>9781439860458</v>
      </c>
      <c r="G365" t="str">
        <f>"9781439860441"</f>
        <v>9781439860441</v>
      </c>
      <c r="H365" t="s">
        <v>374</v>
      </c>
      <c r="I365">
        <v>628.29999999999995</v>
      </c>
      <c r="J365" t="s">
        <v>1057</v>
      </c>
      <c r="K365" t="s">
        <v>73</v>
      </c>
      <c r="N365" t="s">
        <v>74</v>
      </c>
      <c r="O365" t="s">
        <v>75</v>
      </c>
      <c r="P365" t="s">
        <v>74</v>
      </c>
      <c r="Q365" t="s">
        <v>76</v>
      </c>
      <c r="R365" t="s">
        <v>73</v>
      </c>
      <c r="S365">
        <v>0</v>
      </c>
      <c r="W365" s="20">
        <v>4.6296296296296302E-3</v>
      </c>
      <c r="X365" t="s">
        <v>1058</v>
      </c>
      <c r="Y365">
        <v>14</v>
      </c>
      <c r="Z365">
        <v>0</v>
      </c>
      <c r="AA365" t="s">
        <v>78</v>
      </c>
      <c r="AB365">
        <v>0</v>
      </c>
      <c r="AC365" t="s">
        <v>78</v>
      </c>
      <c r="AD365">
        <v>0</v>
      </c>
      <c r="AE365">
        <v>10572528</v>
      </c>
      <c r="AF365" t="s">
        <v>79</v>
      </c>
      <c r="AG365" t="s">
        <v>657</v>
      </c>
    </row>
    <row r="366" spans="1:33" x14ac:dyDescent="0.35">
      <c r="A366" s="18">
        <v>44507.820138888892</v>
      </c>
      <c r="B366">
        <v>938872</v>
      </c>
      <c r="C366" t="s">
        <v>1059</v>
      </c>
      <c r="D366" t="s">
        <v>70</v>
      </c>
      <c r="E366" s="19">
        <v>41156</v>
      </c>
      <c r="F366" t="str">
        <f>"9781118345337"</f>
        <v>9781118345337</v>
      </c>
      <c r="G366" t="str">
        <f>"9781118345313"</f>
        <v>9781118345313</v>
      </c>
      <c r="H366" t="s">
        <v>1060</v>
      </c>
      <c r="I366">
        <v>615.37199999999996</v>
      </c>
      <c r="J366" t="s">
        <v>1061</v>
      </c>
      <c r="K366" t="s">
        <v>73</v>
      </c>
      <c r="N366" t="s">
        <v>74</v>
      </c>
      <c r="O366" t="s">
        <v>75</v>
      </c>
      <c r="P366" t="s">
        <v>74</v>
      </c>
      <c r="Q366" t="s">
        <v>76</v>
      </c>
      <c r="R366" t="s">
        <v>73</v>
      </c>
      <c r="S366">
        <v>0</v>
      </c>
      <c r="W366" s="20">
        <v>4.1666666666666669E-4</v>
      </c>
      <c r="X366" t="s">
        <v>1062</v>
      </c>
      <c r="Y366">
        <v>6</v>
      </c>
      <c r="Z366">
        <v>0</v>
      </c>
      <c r="AA366" t="s">
        <v>78</v>
      </c>
      <c r="AB366">
        <v>0</v>
      </c>
      <c r="AC366" t="s">
        <v>78</v>
      </c>
      <c r="AD366">
        <v>0</v>
      </c>
      <c r="AE366">
        <v>10580247</v>
      </c>
      <c r="AF366" t="s">
        <v>79</v>
      </c>
      <c r="AG366" t="s">
        <v>415</v>
      </c>
    </row>
    <row r="367" spans="1:33" x14ac:dyDescent="0.35">
      <c r="A367" s="18">
        <v>44507.815972222219</v>
      </c>
      <c r="B367">
        <v>697480</v>
      </c>
      <c r="C367" t="s">
        <v>1063</v>
      </c>
      <c r="D367" t="s">
        <v>70</v>
      </c>
      <c r="E367" s="19">
        <v>40778</v>
      </c>
      <c r="F367" t="str">
        <f>"9781118023624"</f>
        <v>9781118023624</v>
      </c>
      <c r="G367" t="str">
        <f>"9780470256374"</f>
        <v>9780470256374</v>
      </c>
      <c r="H367" t="s">
        <v>1064</v>
      </c>
      <c r="I367" t="s">
        <v>1065</v>
      </c>
      <c r="J367" t="s">
        <v>1066</v>
      </c>
      <c r="K367" t="s">
        <v>73</v>
      </c>
      <c r="N367" t="s">
        <v>74</v>
      </c>
      <c r="O367" t="s">
        <v>75</v>
      </c>
      <c r="P367" t="s">
        <v>74</v>
      </c>
      <c r="Q367" t="s">
        <v>76</v>
      </c>
      <c r="R367" t="s">
        <v>73</v>
      </c>
      <c r="S367">
        <v>0</v>
      </c>
      <c r="W367" s="20">
        <v>4.0509259259259257E-3</v>
      </c>
      <c r="X367" t="s">
        <v>1067</v>
      </c>
      <c r="Y367">
        <v>6</v>
      </c>
      <c r="Z367">
        <v>0</v>
      </c>
      <c r="AA367" t="s">
        <v>78</v>
      </c>
      <c r="AB367">
        <v>0</v>
      </c>
      <c r="AC367" t="s">
        <v>78</v>
      </c>
      <c r="AD367">
        <v>0</v>
      </c>
      <c r="AE367">
        <v>10484637</v>
      </c>
      <c r="AF367" t="s">
        <v>79</v>
      </c>
      <c r="AG367" t="s">
        <v>415</v>
      </c>
    </row>
    <row r="368" spans="1:33" x14ac:dyDescent="0.35">
      <c r="A368" s="18">
        <v>44507.800694444442</v>
      </c>
      <c r="B368">
        <v>1741657</v>
      </c>
      <c r="C368" t="s">
        <v>941</v>
      </c>
      <c r="D368" t="s">
        <v>127</v>
      </c>
      <c r="E368" s="19">
        <v>42935</v>
      </c>
      <c r="F368" t="str">
        <f>"9781909493346"</f>
        <v>9781909493346</v>
      </c>
      <c r="G368" t="str">
        <f>"9781874719687"</f>
        <v>9781874719687</v>
      </c>
      <c r="H368" t="s">
        <v>942</v>
      </c>
      <c r="I368">
        <v>658.40830000000005</v>
      </c>
      <c r="J368" t="s">
        <v>943</v>
      </c>
      <c r="K368" t="s">
        <v>73</v>
      </c>
      <c r="N368" t="s">
        <v>74</v>
      </c>
      <c r="O368" t="s">
        <v>75</v>
      </c>
      <c r="P368" t="s">
        <v>74</v>
      </c>
      <c r="Q368" t="s">
        <v>76</v>
      </c>
      <c r="R368" t="s">
        <v>73</v>
      </c>
      <c r="S368">
        <v>0</v>
      </c>
      <c r="W368" s="20">
        <v>1.3171296296296294E-2</v>
      </c>
      <c r="X368" t="s">
        <v>1068</v>
      </c>
      <c r="Y368">
        <v>51</v>
      </c>
      <c r="Z368">
        <v>0</v>
      </c>
      <c r="AA368" t="s">
        <v>78</v>
      </c>
      <c r="AB368">
        <v>0</v>
      </c>
      <c r="AC368" t="s">
        <v>1042</v>
      </c>
      <c r="AD368">
        <v>1</v>
      </c>
      <c r="AE368">
        <v>10650049</v>
      </c>
      <c r="AF368" t="s">
        <v>79</v>
      </c>
      <c r="AG368" t="s">
        <v>953</v>
      </c>
    </row>
    <row r="369" spans="1:33" x14ac:dyDescent="0.35">
      <c r="A369" s="18">
        <v>44507.666666666664</v>
      </c>
      <c r="B369">
        <v>822111</v>
      </c>
      <c r="C369" t="s">
        <v>1069</v>
      </c>
      <c r="D369" t="s">
        <v>70</v>
      </c>
      <c r="E369" s="19">
        <v>41022</v>
      </c>
      <c r="F369" t="str">
        <f>"9781444356922"</f>
        <v>9781444356922</v>
      </c>
      <c r="G369" t="str">
        <f>"9781444334807"</f>
        <v>9781444334807</v>
      </c>
      <c r="H369" t="s">
        <v>128</v>
      </c>
      <c r="I369">
        <v>302.34300000000002</v>
      </c>
      <c r="J369" t="s">
        <v>1070</v>
      </c>
      <c r="K369" t="s">
        <v>73</v>
      </c>
      <c r="N369" t="s">
        <v>74</v>
      </c>
      <c r="O369" t="s">
        <v>75</v>
      </c>
      <c r="P369" t="s">
        <v>74</v>
      </c>
      <c r="Q369" t="s">
        <v>76</v>
      </c>
      <c r="R369" t="s">
        <v>73</v>
      </c>
      <c r="S369">
        <v>0</v>
      </c>
      <c r="W369" s="20">
        <v>1.877314814814815E-2</v>
      </c>
      <c r="X369" t="s">
        <v>1071</v>
      </c>
      <c r="Y369">
        <v>27</v>
      </c>
      <c r="Z369">
        <v>0</v>
      </c>
      <c r="AA369" t="s">
        <v>78</v>
      </c>
      <c r="AB369">
        <v>0</v>
      </c>
      <c r="AC369" t="s">
        <v>78</v>
      </c>
      <c r="AD369">
        <v>0</v>
      </c>
      <c r="AE369">
        <v>10538695</v>
      </c>
      <c r="AF369" t="s">
        <v>79</v>
      </c>
      <c r="AG369" t="s">
        <v>657</v>
      </c>
    </row>
    <row r="370" spans="1:33" x14ac:dyDescent="0.35">
      <c r="A370" s="18">
        <v>44507.627083333333</v>
      </c>
      <c r="B370">
        <v>1323306</v>
      </c>
      <c r="C370" t="s">
        <v>1072</v>
      </c>
      <c r="D370" t="s">
        <v>127</v>
      </c>
      <c r="E370" s="19">
        <v>41411</v>
      </c>
      <c r="F370" t="str">
        <f>"9781134609420"</f>
        <v>9781134609420</v>
      </c>
      <c r="G370" t="str">
        <f>"9780415830799"</f>
        <v>9780415830799</v>
      </c>
      <c r="H370" t="s">
        <v>308</v>
      </c>
      <c r="I370">
        <v>297.27300000000002</v>
      </c>
      <c r="J370" t="s">
        <v>1073</v>
      </c>
      <c r="K370" t="s">
        <v>73</v>
      </c>
      <c r="N370" t="s">
        <v>74</v>
      </c>
      <c r="O370" t="s">
        <v>75</v>
      </c>
      <c r="P370" t="s">
        <v>74</v>
      </c>
      <c r="Q370" t="s">
        <v>76</v>
      </c>
      <c r="R370" t="s">
        <v>73</v>
      </c>
      <c r="S370">
        <v>0</v>
      </c>
      <c r="W370" s="20">
        <v>3.1944444444444442E-3</v>
      </c>
      <c r="X370" t="s">
        <v>1074</v>
      </c>
      <c r="Y370">
        <v>24</v>
      </c>
      <c r="Z370">
        <v>0</v>
      </c>
      <c r="AA370" t="s">
        <v>78</v>
      </c>
      <c r="AB370">
        <v>0</v>
      </c>
      <c r="AC370" t="s">
        <v>78</v>
      </c>
      <c r="AD370">
        <v>0</v>
      </c>
      <c r="AE370">
        <v>10737879</v>
      </c>
      <c r="AF370" t="s">
        <v>79</v>
      </c>
      <c r="AG370" t="s">
        <v>415</v>
      </c>
    </row>
    <row r="371" spans="1:33" x14ac:dyDescent="0.35">
      <c r="A371" s="18">
        <v>44507.59375</v>
      </c>
      <c r="B371">
        <v>3377258</v>
      </c>
      <c r="C371" t="s">
        <v>1075</v>
      </c>
      <c r="D371" t="s">
        <v>351</v>
      </c>
      <c r="E371" s="19">
        <v>36946</v>
      </c>
      <c r="F371" t="str">
        <f>"9780309564922"</f>
        <v>9780309564922</v>
      </c>
      <c r="G371" t="str">
        <f>"9780309072595"</f>
        <v>9780309072595</v>
      </c>
      <c r="H371" t="s">
        <v>1076</v>
      </c>
      <c r="I371">
        <v>363.7</v>
      </c>
      <c r="J371" t="s">
        <v>1077</v>
      </c>
      <c r="K371" t="s">
        <v>73</v>
      </c>
      <c r="N371" t="s">
        <v>74</v>
      </c>
      <c r="O371" t="s">
        <v>75</v>
      </c>
      <c r="P371" t="s">
        <v>230</v>
      </c>
      <c r="Q371" t="s">
        <v>76</v>
      </c>
      <c r="R371" t="s">
        <v>85</v>
      </c>
      <c r="S371">
        <v>0</v>
      </c>
      <c r="W371" s="20">
        <v>2.0150462962962964E-2</v>
      </c>
      <c r="X371" t="s">
        <v>1078</v>
      </c>
      <c r="Y371">
        <v>23</v>
      </c>
      <c r="Z371">
        <v>0</v>
      </c>
      <c r="AA371" t="s">
        <v>78</v>
      </c>
      <c r="AB371">
        <v>0</v>
      </c>
      <c r="AC371" t="s">
        <v>78</v>
      </c>
      <c r="AD371">
        <v>0</v>
      </c>
      <c r="AE371">
        <v>10068505</v>
      </c>
      <c r="AF371" t="s">
        <v>79</v>
      </c>
      <c r="AG371" t="s">
        <v>515</v>
      </c>
    </row>
    <row r="372" spans="1:33" x14ac:dyDescent="0.35">
      <c r="A372" s="18">
        <v>44507.542361111111</v>
      </c>
      <c r="B372">
        <v>4357199</v>
      </c>
      <c r="C372" t="s">
        <v>1079</v>
      </c>
      <c r="D372" t="s">
        <v>1080</v>
      </c>
      <c r="E372" s="19">
        <v>38108</v>
      </c>
      <c r="F372" t="str">
        <f>"9781783107308"</f>
        <v>9781783107308</v>
      </c>
      <c r="G372" t="str">
        <f>"9781859958193"</f>
        <v>9781859958193</v>
      </c>
      <c r="H372" t="s">
        <v>822</v>
      </c>
      <c r="I372">
        <v>779.28</v>
      </c>
      <c r="J372" t="s">
        <v>1081</v>
      </c>
      <c r="K372" t="s">
        <v>73</v>
      </c>
      <c r="N372" t="s">
        <v>74</v>
      </c>
      <c r="O372" t="s">
        <v>75</v>
      </c>
      <c r="P372" t="s">
        <v>230</v>
      </c>
      <c r="Q372" t="s">
        <v>76</v>
      </c>
      <c r="R372" t="s">
        <v>85</v>
      </c>
      <c r="S372">
        <v>0</v>
      </c>
      <c r="W372" s="20">
        <v>5.6944444444444438E-3</v>
      </c>
      <c r="X372" t="s">
        <v>1082</v>
      </c>
      <c r="Y372">
        <v>46</v>
      </c>
      <c r="Z372">
        <v>0</v>
      </c>
      <c r="AA372" t="s">
        <v>78</v>
      </c>
      <c r="AB372">
        <v>0</v>
      </c>
      <c r="AC372" t="s">
        <v>78</v>
      </c>
      <c r="AD372">
        <v>0</v>
      </c>
      <c r="AE372">
        <v>11168531</v>
      </c>
      <c r="AF372" t="s">
        <v>79</v>
      </c>
      <c r="AG372" t="s">
        <v>415</v>
      </c>
    </row>
    <row r="373" spans="1:33" x14ac:dyDescent="0.35">
      <c r="A373" s="18">
        <v>44507.443055555559</v>
      </c>
      <c r="B373">
        <v>6382607</v>
      </c>
      <c r="C373" t="s">
        <v>1083</v>
      </c>
      <c r="D373" t="s">
        <v>226</v>
      </c>
      <c r="E373" s="19">
        <v>44232</v>
      </c>
      <c r="F373" t="str">
        <f>"9781536188851"</f>
        <v>9781536188851</v>
      </c>
      <c r="G373" t="str">
        <f>"9781536188578"</f>
        <v>9781536188578</v>
      </c>
      <c r="H373" t="s">
        <v>1084</v>
      </c>
      <c r="I373">
        <v>614.59241399999996</v>
      </c>
      <c r="J373" t="s">
        <v>1085</v>
      </c>
      <c r="K373" t="s">
        <v>85</v>
      </c>
      <c r="Q373" t="s">
        <v>76</v>
      </c>
      <c r="R373" t="s">
        <v>73</v>
      </c>
      <c r="S373">
        <v>0</v>
      </c>
      <c r="W373" s="20">
        <v>4.0277777777777777E-3</v>
      </c>
      <c r="X373" t="s">
        <v>1086</v>
      </c>
      <c r="Y373">
        <v>21</v>
      </c>
      <c r="Z373">
        <v>0</v>
      </c>
      <c r="AA373" t="s">
        <v>78</v>
      </c>
      <c r="AB373">
        <v>0</v>
      </c>
      <c r="AC373" t="s">
        <v>78</v>
      </c>
      <c r="AD373">
        <v>0</v>
      </c>
      <c r="AE373">
        <v>-1</v>
      </c>
      <c r="AF373" t="s">
        <v>79</v>
      </c>
      <c r="AG373" t="s">
        <v>415</v>
      </c>
    </row>
    <row r="374" spans="1:33" x14ac:dyDescent="0.35">
      <c r="A374" s="18">
        <v>44507.29583333333</v>
      </c>
      <c r="B374">
        <v>952418</v>
      </c>
      <c r="C374" t="s">
        <v>1087</v>
      </c>
      <c r="D374" t="s">
        <v>70</v>
      </c>
      <c r="E374" s="19">
        <v>41169</v>
      </c>
      <c r="F374" t="str">
        <f>"9781118361139"</f>
        <v>9781118361139</v>
      </c>
      <c r="G374" t="str">
        <f>"9781119942733"</f>
        <v>9781119942733</v>
      </c>
      <c r="H374" t="s">
        <v>1088</v>
      </c>
      <c r="I374" t="s">
        <v>1089</v>
      </c>
      <c r="J374" t="s">
        <v>1090</v>
      </c>
      <c r="K374" t="s">
        <v>73</v>
      </c>
      <c r="N374" t="s">
        <v>74</v>
      </c>
      <c r="O374" t="s">
        <v>75</v>
      </c>
      <c r="P374" t="s">
        <v>74</v>
      </c>
      <c r="Q374" t="s">
        <v>76</v>
      </c>
      <c r="R374" t="s">
        <v>73</v>
      </c>
      <c r="S374">
        <v>0</v>
      </c>
      <c r="W374" s="20">
        <v>5.7870370370370366E-5</v>
      </c>
      <c r="X374" t="s">
        <v>132</v>
      </c>
      <c r="Y374">
        <v>1</v>
      </c>
      <c r="Z374">
        <v>0</v>
      </c>
      <c r="AA374" t="s">
        <v>78</v>
      </c>
      <c r="AB374">
        <v>0</v>
      </c>
      <c r="AC374" t="s">
        <v>78</v>
      </c>
      <c r="AD374">
        <v>0</v>
      </c>
      <c r="AE374">
        <v>10579519</v>
      </c>
      <c r="AF374" t="s">
        <v>79</v>
      </c>
      <c r="AG374" t="s">
        <v>415</v>
      </c>
    </row>
    <row r="375" spans="1:33" x14ac:dyDescent="0.35">
      <c r="A375" s="18">
        <v>44507.079861111109</v>
      </c>
      <c r="B375">
        <v>952418</v>
      </c>
      <c r="C375" t="s">
        <v>1087</v>
      </c>
      <c r="D375" t="s">
        <v>70</v>
      </c>
      <c r="E375" s="19">
        <v>41169</v>
      </c>
      <c r="F375" t="str">
        <f>"9781118361139"</f>
        <v>9781118361139</v>
      </c>
      <c r="G375" t="str">
        <f>"9781119942733"</f>
        <v>9781119942733</v>
      </c>
      <c r="H375" t="s">
        <v>1088</v>
      </c>
      <c r="I375" t="s">
        <v>1089</v>
      </c>
      <c r="J375" t="s">
        <v>1090</v>
      </c>
      <c r="K375" t="s">
        <v>73</v>
      </c>
      <c r="N375" t="s">
        <v>74</v>
      </c>
      <c r="O375" t="s">
        <v>75</v>
      </c>
      <c r="P375" t="s">
        <v>74</v>
      </c>
      <c r="Q375" t="s">
        <v>76</v>
      </c>
      <c r="R375" t="s">
        <v>73</v>
      </c>
      <c r="S375">
        <v>0</v>
      </c>
      <c r="W375" s="20">
        <v>9.1435185185185185E-4</v>
      </c>
      <c r="X375" t="s">
        <v>1091</v>
      </c>
      <c r="Y375">
        <v>14</v>
      </c>
      <c r="Z375">
        <v>0</v>
      </c>
      <c r="AA375" t="s">
        <v>78</v>
      </c>
      <c r="AB375">
        <v>0</v>
      </c>
      <c r="AC375" t="s">
        <v>78</v>
      </c>
      <c r="AD375">
        <v>0</v>
      </c>
      <c r="AE375">
        <v>10579519</v>
      </c>
      <c r="AF375" t="s">
        <v>79</v>
      </c>
      <c r="AG375" t="s">
        <v>415</v>
      </c>
    </row>
    <row r="376" spans="1:33" x14ac:dyDescent="0.35">
      <c r="A376" s="18">
        <v>44506.944444444445</v>
      </c>
      <c r="B376">
        <v>1872933</v>
      </c>
      <c r="C376" t="s">
        <v>972</v>
      </c>
      <c r="D376" t="s">
        <v>973</v>
      </c>
      <c r="E376" s="19">
        <v>41306</v>
      </c>
      <c r="F376" t="str">
        <f>"9783908158875"</f>
        <v>9783908158875</v>
      </c>
      <c r="G376" t="str">
        <f>"9783908158653"</f>
        <v>9783908158653</v>
      </c>
      <c r="H376" t="s">
        <v>974</v>
      </c>
      <c r="I376">
        <v>620.19200000000001</v>
      </c>
      <c r="J376" t="s">
        <v>975</v>
      </c>
      <c r="K376" t="s">
        <v>73</v>
      </c>
      <c r="N376" t="s">
        <v>74</v>
      </c>
      <c r="O376" t="s">
        <v>75</v>
      </c>
      <c r="P376" t="s">
        <v>74</v>
      </c>
      <c r="Q376" t="s">
        <v>76</v>
      </c>
      <c r="R376" t="s">
        <v>73</v>
      </c>
      <c r="S376">
        <v>0</v>
      </c>
      <c r="W376" s="20">
        <v>7.175925925925927E-4</v>
      </c>
      <c r="X376" t="s">
        <v>1092</v>
      </c>
      <c r="Y376">
        <v>9</v>
      </c>
      <c r="Z376">
        <v>0</v>
      </c>
      <c r="AA376" t="s">
        <v>78</v>
      </c>
      <c r="AB376">
        <v>0</v>
      </c>
      <c r="AC376" t="s">
        <v>78</v>
      </c>
      <c r="AD376">
        <v>0</v>
      </c>
      <c r="AE376">
        <v>10777699</v>
      </c>
      <c r="AF376" t="s">
        <v>79</v>
      </c>
      <c r="AG376" t="s">
        <v>415</v>
      </c>
    </row>
    <row r="377" spans="1:33" x14ac:dyDescent="0.35">
      <c r="A377" s="18">
        <v>44506.867361111108</v>
      </c>
      <c r="B377">
        <v>294957</v>
      </c>
      <c r="C377" t="s">
        <v>1093</v>
      </c>
      <c r="D377" t="s">
        <v>1094</v>
      </c>
      <c r="E377" s="19">
        <v>37257</v>
      </c>
      <c r="F377" t="str">
        <f>"9780826121110"</f>
        <v>9780826121110</v>
      </c>
      <c r="G377" t="str">
        <f>"9780826120915"</f>
        <v>9780826120915</v>
      </c>
      <c r="H377" t="s">
        <v>584</v>
      </c>
      <c r="I377" t="s">
        <v>1095</v>
      </c>
      <c r="J377" t="s">
        <v>1096</v>
      </c>
      <c r="K377" t="s">
        <v>73</v>
      </c>
      <c r="N377" t="s">
        <v>74</v>
      </c>
      <c r="O377" t="s">
        <v>75</v>
      </c>
      <c r="P377" t="s">
        <v>74</v>
      </c>
      <c r="Q377" t="s">
        <v>76</v>
      </c>
      <c r="R377" t="s">
        <v>73</v>
      </c>
      <c r="S377">
        <v>0</v>
      </c>
      <c r="W377" s="20">
        <v>7.291666666666667E-4</v>
      </c>
      <c r="X377" t="s">
        <v>1097</v>
      </c>
      <c r="Y377">
        <v>6</v>
      </c>
      <c r="Z377">
        <v>0</v>
      </c>
      <c r="AA377" t="s">
        <v>78</v>
      </c>
      <c r="AB377">
        <v>0</v>
      </c>
      <c r="AC377" t="s">
        <v>78</v>
      </c>
      <c r="AD377">
        <v>0</v>
      </c>
      <c r="AE377">
        <v>10176162</v>
      </c>
      <c r="AF377" t="s">
        <v>79</v>
      </c>
      <c r="AG377" t="s">
        <v>415</v>
      </c>
    </row>
    <row r="378" spans="1:33" x14ac:dyDescent="0.35">
      <c r="A378" s="18">
        <v>44506.866666666669</v>
      </c>
      <c r="B378">
        <v>1323691</v>
      </c>
      <c r="C378" t="s">
        <v>1098</v>
      </c>
      <c r="D378" t="s">
        <v>1099</v>
      </c>
      <c r="E378" s="19">
        <v>41518</v>
      </c>
      <c r="F378" t="str">
        <f>"9781608826704"</f>
        <v>9781608826704</v>
      </c>
      <c r="G378" t="str">
        <f>"9781608826698"</f>
        <v>9781608826698</v>
      </c>
      <c r="H378" t="s">
        <v>584</v>
      </c>
      <c r="I378" t="s">
        <v>1100</v>
      </c>
      <c r="J378" t="s">
        <v>1101</v>
      </c>
      <c r="K378" t="s">
        <v>73</v>
      </c>
      <c r="N378" t="s">
        <v>74</v>
      </c>
      <c r="O378" t="s">
        <v>75</v>
      </c>
      <c r="P378" t="s">
        <v>74</v>
      </c>
      <c r="Q378" t="s">
        <v>76</v>
      </c>
      <c r="R378" t="s">
        <v>73</v>
      </c>
      <c r="S378">
        <v>0</v>
      </c>
      <c r="W378" s="20">
        <v>2.2916666666666667E-3</v>
      </c>
      <c r="X378" t="s">
        <v>1102</v>
      </c>
      <c r="Y378">
        <v>4</v>
      </c>
      <c r="Z378">
        <v>0</v>
      </c>
      <c r="AA378" t="s">
        <v>78</v>
      </c>
      <c r="AB378">
        <v>0</v>
      </c>
      <c r="AC378" t="s">
        <v>78</v>
      </c>
      <c r="AD378">
        <v>0</v>
      </c>
      <c r="AE378">
        <v>10739625</v>
      </c>
      <c r="AF378" t="s">
        <v>79</v>
      </c>
      <c r="AG378" t="s">
        <v>415</v>
      </c>
    </row>
    <row r="379" spans="1:33" x14ac:dyDescent="0.35">
      <c r="A379" s="18">
        <v>44506.854861111111</v>
      </c>
      <c r="B379">
        <v>952418</v>
      </c>
      <c r="C379" t="s">
        <v>1087</v>
      </c>
      <c r="D379" t="s">
        <v>70</v>
      </c>
      <c r="E379" s="19">
        <v>41169</v>
      </c>
      <c r="F379" t="str">
        <f>"9781118361139"</f>
        <v>9781118361139</v>
      </c>
      <c r="G379" t="str">
        <f>"9781119942733"</f>
        <v>9781119942733</v>
      </c>
      <c r="H379" t="s">
        <v>1088</v>
      </c>
      <c r="I379" t="s">
        <v>1089</v>
      </c>
      <c r="J379" t="s">
        <v>1090</v>
      </c>
      <c r="K379" t="s">
        <v>73</v>
      </c>
      <c r="N379" t="s">
        <v>74</v>
      </c>
      <c r="O379" t="s">
        <v>75</v>
      </c>
      <c r="P379" t="s">
        <v>74</v>
      </c>
      <c r="Q379" t="s">
        <v>76</v>
      </c>
      <c r="R379" t="s">
        <v>73</v>
      </c>
      <c r="S379">
        <v>0</v>
      </c>
      <c r="W379" s="20">
        <v>5.7870370370370366E-5</v>
      </c>
      <c r="X379" t="s">
        <v>132</v>
      </c>
      <c r="Y379">
        <v>1</v>
      </c>
      <c r="Z379">
        <v>0</v>
      </c>
      <c r="AA379" t="s">
        <v>78</v>
      </c>
      <c r="AB379">
        <v>0</v>
      </c>
      <c r="AC379" t="s">
        <v>78</v>
      </c>
      <c r="AD379">
        <v>0</v>
      </c>
      <c r="AE379">
        <v>10579519</v>
      </c>
      <c r="AF379" t="s">
        <v>79</v>
      </c>
      <c r="AG379" t="s">
        <v>415</v>
      </c>
    </row>
    <row r="380" spans="1:33" x14ac:dyDescent="0.35">
      <c r="A380" s="18">
        <v>44506.841666666667</v>
      </c>
      <c r="B380">
        <v>616240</v>
      </c>
      <c r="C380" t="s">
        <v>1103</v>
      </c>
      <c r="D380" t="s">
        <v>134</v>
      </c>
      <c r="E380" s="19">
        <v>40163</v>
      </c>
      <c r="F380" t="str">
        <f>"9780742565111"</f>
        <v>9780742565111</v>
      </c>
      <c r="G380" t="str">
        <f>"9780742565098"</f>
        <v>9780742565098</v>
      </c>
      <c r="H380" t="s">
        <v>128</v>
      </c>
      <c r="I380">
        <v>364.01</v>
      </c>
      <c r="J380" t="s">
        <v>1104</v>
      </c>
      <c r="K380" t="s">
        <v>73</v>
      </c>
      <c r="N380" t="s">
        <v>74</v>
      </c>
      <c r="O380" t="s">
        <v>75</v>
      </c>
      <c r="P380" t="s">
        <v>74</v>
      </c>
      <c r="Q380" t="s">
        <v>76</v>
      </c>
      <c r="R380" t="s">
        <v>73</v>
      </c>
      <c r="S380">
        <v>1</v>
      </c>
      <c r="W380" s="20">
        <v>0</v>
      </c>
      <c r="X380" t="s">
        <v>132</v>
      </c>
      <c r="Y380">
        <v>1</v>
      </c>
      <c r="Z380">
        <v>0</v>
      </c>
      <c r="AA380" t="s">
        <v>78</v>
      </c>
      <c r="AB380">
        <v>0</v>
      </c>
      <c r="AC380" t="s">
        <v>78</v>
      </c>
      <c r="AD380">
        <v>0</v>
      </c>
      <c r="AE380">
        <v>10389629</v>
      </c>
      <c r="AF380" t="s">
        <v>88</v>
      </c>
      <c r="AG380" t="s">
        <v>657</v>
      </c>
    </row>
    <row r="381" spans="1:33" x14ac:dyDescent="0.35">
      <c r="A381" s="18">
        <v>44506.84097222222</v>
      </c>
      <c r="B381">
        <v>616240</v>
      </c>
      <c r="C381" t="s">
        <v>1103</v>
      </c>
      <c r="D381" t="s">
        <v>134</v>
      </c>
      <c r="E381" s="19">
        <v>40163</v>
      </c>
      <c r="F381" t="str">
        <f>"9780742565111"</f>
        <v>9780742565111</v>
      </c>
      <c r="G381" t="str">
        <f>"9780742565098"</f>
        <v>9780742565098</v>
      </c>
      <c r="H381" t="s">
        <v>128</v>
      </c>
      <c r="I381">
        <v>364.01</v>
      </c>
      <c r="J381" t="s">
        <v>1104</v>
      </c>
      <c r="K381" t="s">
        <v>73</v>
      </c>
      <c r="N381" t="s">
        <v>74</v>
      </c>
      <c r="O381" t="s">
        <v>75</v>
      </c>
      <c r="P381" t="s">
        <v>74</v>
      </c>
      <c r="Q381" t="s">
        <v>76</v>
      </c>
      <c r="R381" t="s">
        <v>73</v>
      </c>
      <c r="S381">
        <v>0</v>
      </c>
      <c r="W381" s="20">
        <v>7.175925925925927E-4</v>
      </c>
      <c r="X381" t="s">
        <v>1105</v>
      </c>
      <c r="Y381">
        <v>5</v>
      </c>
      <c r="Z381">
        <v>0</v>
      </c>
      <c r="AA381" t="s">
        <v>78</v>
      </c>
      <c r="AB381">
        <v>0</v>
      </c>
      <c r="AC381" t="s">
        <v>78</v>
      </c>
      <c r="AD381">
        <v>0</v>
      </c>
      <c r="AE381">
        <v>10389629</v>
      </c>
      <c r="AF381" t="s">
        <v>88</v>
      </c>
      <c r="AG381" t="s">
        <v>657</v>
      </c>
    </row>
    <row r="382" spans="1:33" x14ac:dyDescent="0.35">
      <c r="A382" s="18">
        <v>44506.777083333334</v>
      </c>
      <c r="B382">
        <v>3018317</v>
      </c>
      <c r="C382" t="s">
        <v>1106</v>
      </c>
      <c r="D382" t="s">
        <v>226</v>
      </c>
      <c r="E382" s="19">
        <v>39539</v>
      </c>
      <c r="F382" t="str">
        <f>"9781608766963"</f>
        <v>9781608766963</v>
      </c>
      <c r="G382" t="str">
        <f>"9781604561029"</f>
        <v>9781604561029</v>
      </c>
      <c r="H382" t="s">
        <v>115</v>
      </c>
      <c r="I382" t="s">
        <v>1107</v>
      </c>
      <c r="J382" t="s">
        <v>1108</v>
      </c>
      <c r="K382" t="s">
        <v>73</v>
      </c>
      <c r="N382" t="s">
        <v>74</v>
      </c>
      <c r="O382" t="s">
        <v>75</v>
      </c>
      <c r="P382" t="s">
        <v>230</v>
      </c>
      <c r="Q382" t="s">
        <v>76</v>
      </c>
      <c r="R382" t="s">
        <v>85</v>
      </c>
      <c r="S382">
        <v>0</v>
      </c>
      <c r="W382" s="20">
        <v>3.8194444444444446E-4</v>
      </c>
      <c r="X382" t="s">
        <v>1109</v>
      </c>
      <c r="Y382">
        <v>3</v>
      </c>
      <c r="Z382">
        <v>0</v>
      </c>
      <c r="AA382" t="s">
        <v>78</v>
      </c>
      <c r="AB382">
        <v>0</v>
      </c>
      <c r="AC382" t="s">
        <v>78</v>
      </c>
      <c r="AD382">
        <v>0</v>
      </c>
      <c r="AE382">
        <v>10660178</v>
      </c>
      <c r="AF382" t="s">
        <v>79</v>
      </c>
      <c r="AG382" t="s">
        <v>657</v>
      </c>
    </row>
    <row r="383" spans="1:33" x14ac:dyDescent="0.35">
      <c r="A383" s="18">
        <v>44506.734722222223</v>
      </c>
      <c r="B383">
        <v>4497397</v>
      </c>
      <c r="C383" t="s">
        <v>279</v>
      </c>
      <c r="D383" t="s">
        <v>280</v>
      </c>
      <c r="E383" s="19">
        <v>42551</v>
      </c>
      <c r="F383" t="str">
        <f>"9789385059605"</f>
        <v>9789385059605</v>
      </c>
      <c r="G383" t="str">
        <f>"9789385059049"</f>
        <v>9789385059049</v>
      </c>
      <c r="H383" t="s">
        <v>159</v>
      </c>
      <c r="J383" t="s">
        <v>281</v>
      </c>
      <c r="K383" t="s">
        <v>85</v>
      </c>
      <c r="N383" t="s">
        <v>86</v>
      </c>
      <c r="P383" t="s">
        <v>87</v>
      </c>
      <c r="Q383" t="s">
        <v>76</v>
      </c>
      <c r="R383" t="s">
        <v>73</v>
      </c>
      <c r="S383">
        <v>0</v>
      </c>
      <c r="W383" s="20">
        <v>1.3888888888888889E-4</v>
      </c>
      <c r="X383" t="s">
        <v>132</v>
      </c>
      <c r="Y383">
        <v>1</v>
      </c>
      <c r="Z383">
        <v>0</v>
      </c>
      <c r="AA383" t="s">
        <v>78</v>
      </c>
      <c r="AB383">
        <v>0</v>
      </c>
      <c r="AC383" t="s">
        <v>78</v>
      </c>
      <c r="AD383">
        <v>0</v>
      </c>
      <c r="AE383">
        <v>11201119</v>
      </c>
      <c r="AF383" t="s">
        <v>79</v>
      </c>
      <c r="AG383" t="s">
        <v>415</v>
      </c>
    </row>
    <row r="384" spans="1:33" x14ac:dyDescent="0.35">
      <c r="A384" s="18">
        <v>44506.727083333331</v>
      </c>
      <c r="B384">
        <v>1630578</v>
      </c>
      <c r="C384" t="s">
        <v>1110</v>
      </c>
      <c r="D384" t="s">
        <v>102</v>
      </c>
      <c r="E384" s="19">
        <v>41716</v>
      </c>
      <c r="F384" t="str">
        <f>"9780199331543"</f>
        <v>9780199331543</v>
      </c>
      <c r="G384" t="str">
        <f>"9780199331536"</f>
        <v>9780199331536</v>
      </c>
      <c r="H384" t="s">
        <v>222</v>
      </c>
      <c r="I384" t="s">
        <v>1111</v>
      </c>
      <c r="J384" t="s">
        <v>1112</v>
      </c>
      <c r="K384" t="s">
        <v>73</v>
      </c>
      <c r="N384" t="s">
        <v>74</v>
      </c>
      <c r="O384" t="s">
        <v>75</v>
      </c>
      <c r="P384" t="s">
        <v>74</v>
      </c>
      <c r="Q384" t="s">
        <v>76</v>
      </c>
      <c r="R384" t="s">
        <v>73</v>
      </c>
      <c r="S384">
        <v>0</v>
      </c>
      <c r="W384" s="20">
        <v>0</v>
      </c>
      <c r="X384" t="s">
        <v>78</v>
      </c>
      <c r="Y384">
        <v>0</v>
      </c>
      <c r="Z384">
        <v>1</v>
      </c>
      <c r="AA384" t="s">
        <v>615</v>
      </c>
      <c r="AB384">
        <v>4</v>
      </c>
      <c r="AC384" t="s">
        <v>78</v>
      </c>
      <c r="AD384">
        <v>0</v>
      </c>
      <c r="AE384">
        <v>10835198</v>
      </c>
      <c r="AF384" t="s">
        <v>79</v>
      </c>
      <c r="AG384" t="s">
        <v>415</v>
      </c>
    </row>
    <row r="385" spans="1:33" x14ac:dyDescent="0.35">
      <c r="A385" s="18">
        <v>44506.674305555556</v>
      </c>
      <c r="B385">
        <v>4497397</v>
      </c>
      <c r="C385" t="s">
        <v>279</v>
      </c>
      <c r="D385" t="s">
        <v>280</v>
      </c>
      <c r="E385" s="19">
        <v>42551</v>
      </c>
      <c r="F385" t="str">
        <f>"9789385059605"</f>
        <v>9789385059605</v>
      </c>
      <c r="G385" t="str">
        <f>"9789385059049"</f>
        <v>9789385059049</v>
      </c>
      <c r="H385" t="s">
        <v>159</v>
      </c>
      <c r="J385" t="s">
        <v>281</v>
      </c>
      <c r="K385" t="s">
        <v>85</v>
      </c>
      <c r="N385" t="s">
        <v>86</v>
      </c>
      <c r="P385" t="s">
        <v>87</v>
      </c>
      <c r="Q385" t="s">
        <v>76</v>
      </c>
      <c r="R385" t="s">
        <v>73</v>
      </c>
      <c r="S385">
        <v>0</v>
      </c>
      <c r="W385" s="20">
        <v>2.1226851851851854E-2</v>
      </c>
      <c r="X385" t="s">
        <v>1113</v>
      </c>
      <c r="Y385">
        <v>8</v>
      </c>
      <c r="Z385">
        <v>0</v>
      </c>
      <c r="AA385" t="s">
        <v>78</v>
      </c>
      <c r="AB385">
        <v>0</v>
      </c>
      <c r="AC385" t="s">
        <v>78</v>
      </c>
      <c r="AD385">
        <v>0</v>
      </c>
      <c r="AE385">
        <v>11201119</v>
      </c>
      <c r="AF385" t="s">
        <v>79</v>
      </c>
      <c r="AG385" t="s">
        <v>415</v>
      </c>
    </row>
    <row r="386" spans="1:33" x14ac:dyDescent="0.35">
      <c r="A386" s="18">
        <v>44506.664583333331</v>
      </c>
      <c r="B386">
        <v>6123275</v>
      </c>
      <c r="C386" t="s">
        <v>909</v>
      </c>
      <c r="D386" t="s">
        <v>70</v>
      </c>
      <c r="E386" s="19">
        <v>43914</v>
      </c>
      <c r="F386" t="str">
        <f>"9781119540311"</f>
        <v>9781119540311</v>
      </c>
      <c r="G386" t="str">
        <f>"9781119540281"</f>
        <v>9781119540281</v>
      </c>
      <c r="H386" t="s">
        <v>83</v>
      </c>
      <c r="I386">
        <v>621.47</v>
      </c>
      <c r="J386" t="s">
        <v>910</v>
      </c>
      <c r="K386" t="s">
        <v>85</v>
      </c>
      <c r="N386" t="s">
        <v>86</v>
      </c>
      <c r="P386" t="s">
        <v>297</v>
      </c>
      <c r="Q386" t="s">
        <v>76</v>
      </c>
      <c r="R386" t="s">
        <v>73</v>
      </c>
      <c r="S386">
        <v>0</v>
      </c>
      <c r="W386" s="20">
        <v>5.5324074074074069E-3</v>
      </c>
      <c r="X386" t="s">
        <v>1114</v>
      </c>
      <c r="Y386">
        <v>37</v>
      </c>
      <c r="Z386">
        <v>0</v>
      </c>
      <c r="AA386" t="s">
        <v>78</v>
      </c>
      <c r="AB386">
        <v>0</v>
      </c>
      <c r="AC386" t="s">
        <v>78</v>
      </c>
      <c r="AD386">
        <v>0</v>
      </c>
      <c r="AE386">
        <v>-1</v>
      </c>
      <c r="AF386" t="s">
        <v>79</v>
      </c>
      <c r="AG386" t="s">
        <v>415</v>
      </c>
    </row>
    <row r="387" spans="1:33" x14ac:dyDescent="0.35">
      <c r="A387" s="18">
        <v>44506.645138888889</v>
      </c>
      <c r="B387">
        <v>4497397</v>
      </c>
      <c r="C387" t="s">
        <v>279</v>
      </c>
      <c r="D387" t="s">
        <v>280</v>
      </c>
      <c r="E387" s="19">
        <v>42551</v>
      </c>
      <c r="F387" t="str">
        <f>"9789385059605"</f>
        <v>9789385059605</v>
      </c>
      <c r="G387" t="str">
        <f>"9789385059049"</f>
        <v>9789385059049</v>
      </c>
      <c r="H387" t="s">
        <v>159</v>
      </c>
      <c r="J387" t="s">
        <v>281</v>
      </c>
      <c r="K387" t="s">
        <v>85</v>
      </c>
      <c r="N387" t="s">
        <v>86</v>
      </c>
      <c r="P387" t="s">
        <v>87</v>
      </c>
      <c r="Q387" t="s">
        <v>76</v>
      </c>
      <c r="R387" t="s">
        <v>73</v>
      </c>
      <c r="S387">
        <v>0</v>
      </c>
      <c r="W387" s="20">
        <v>2.4305555555555552E-4</v>
      </c>
      <c r="X387" t="s">
        <v>712</v>
      </c>
      <c r="Y387">
        <v>2</v>
      </c>
      <c r="Z387">
        <v>0</v>
      </c>
      <c r="AA387" t="s">
        <v>78</v>
      </c>
      <c r="AB387">
        <v>0</v>
      </c>
      <c r="AC387" t="s">
        <v>78</v>
      </c>
      <c r="AD387">
        <v>0</v>
      </c>
      <c r="AE387">
        <v>11201119</v>
      </c>
      <c r="AF387" t="s">
        <v>79</v>
      </c>
      <c r="AG387" t="s">
        <v>415</v>
      </c>
    </row>
    <row r="388" spans="1:33" x14ac:dyDescent="0.35">
      <c r="A388" s="18">
        <v>44506.615277777775</v>
      </c>
      <c r="B388">
        <v>4497397</v>
      </c>
      <c r="C388" t="s">
        <v>279</v>
      </c>
      <c r="D388" t="s">
        <v>280</v>
      </c>
      <c r="E388" s="19">
        <v>42551</v>
      </c>
      <c r="F388" t="str">
        <f>"9789385059605"</f>
        <v>9789385059605</v>
      </c>
      <c r="G388" t="str">
        <f>"9789385059049"</f>
        <v>9789385059049</v>
      </c>
      <c r="H388" t="s">
        <v>159</v>
      </c>
      <c r="J388" t="s">
        <v>281</v>
      </c>
      <c r="K388" t="s">
        <v>85</v>
      </c>
      <c r="N388" t="s">
        <v>86</v>
      </c>
      <c r="P388" t="s">
        <v>87</v>
      </c>
      <c r="Q388" t="s">
        <v>76</v>
      </c>
      <c r="R388" t="s">
        <v>73</v>
      </c>
      <c r="S388">
        <v>0</v>
      </c>
      <c r="W388" s="20">
        <v>5.7870370370370366E-5</v>
      </c>
      <c r="X388" t="s">
        <v>132</v>
      </c>
      <c r="Y388">
        <v>1</v>
      </c>
      <c r="Z388">
        <v>0</v>
      </c>
      <c r="AA388" t="s">
        <v>78</v>
      </c>
      <c r="AB388">
        <v>0</v>
      </c>
      <c r="AC388" t="s">
        <v>78</v>
      </c>
      <c r="AD388">
        <v>0</v>
      </c>
      <c r="AE388">
        <v>11201119</v>
      </c>
      <c r="AF388" t="s">
        <v>79</v>
      </c>
      <c r="AG388" t="s">
        <v>415</v>
      </c>
    </row>
    <row r="389" spans="1:33" x14ac:dyDescent="0.35">
      <c r="A389" s="18">
        <v>44506.544444444444</v>
      </c>
      <c r="B389">
        <v>4497397</v>
      </c>
      <c r="C389" t="s">
        <v>279</v>
      </c>
      <c r="D389" t="s">
        <v>280</v>
      </c>
      <c r="E389" s="19">
        <v>42551</v>
      </c>
      <c r="F389" t="str">
        <f>"9789385059605"</f>
        <v>9789385059605</v>
      </c>
      <c r="G389" t="str">
        <f>"9789385059049"</f>
        <v>9789385059049</v>
      </c>
      <c r="H389" t="s">
        <v>159</v>
      </c>
      <c r="J389" t="s">
        <v>281</v>
      </c>
      <c r="K389" t="s">
        <v>85</v>
      </c>
      <c r="N389" t="s">
        <v>86</v>
      </c>
      <c r="P389" t="s">
        <v>87</v>
      </c>
      <c r="Q389" t="s">
        <v>76</v>
      </c>
      <c r="R389" t="s">
        <v>73</v>
      </c>
      <c r="S389">
        <v>0</v>
      </c>
      <c r="W389" s="20">
        <v>3.9004629629629632E-3</v>
      </c>
      <c r="X389" t="s">
        <v>1115</v>
      </c>
      <c r="Y389">
        <v>17</v>
      </c>
      <c r="Z389">
        <v>0</v>
      </c>
      <c r="AA389" t="s">
        <v>78</v>
      </c>
      <c r="AB389">
        <v>0</v>
      </c>
      <c r="AC389" t="s">
        <v>78</v>
      </c>
      <c r="AD389">
        <v>0</v>
      </c>
      <c r="AE389">
        <v>11201119</v>
      </c>
      <c r="AF389" t="s">
        <v>79</v>
      </c>
      <c r="AG389" t="s">
        <v>415</v>
      </c>
    </row>
    <row r="390" spans="1:33" x14ac:dyDescent="0.35">
      <c r="A390" s="18">
        <v>44506.304861111108</v>
      </c>
      <c r="B390">
        <v>3111491</v>
      </c>
      <c r="C390" t="s">
        <v>1116</v>
      </c>
      <c r="D390" t="s">
        <v>1117</v>
      </c>
      <c r="E390" s="19">
        <v>35796</v>
      </c>
      <c r="F390" t="str">
        <f>"9781600864292"</f>
        <v>9781600864292</v>
      </c>
      <c r="G390" t="str">
        <f>"9781563472565"</f>
        <v>9781563472565</v>
      </c>
      <c r="H390" t="s">
        <v>217</v>
      </c>
      <c r="I390" t="s">
        <v>1118</v>
      </c>
      <c r="J390" t="s">
        <v>1119</v>
      </c>
      <c r="K390" t="s">
        <v>73</v>
      </c>
      <c r="N390" t="s">
        <v>74</v>
      </c>
      <c r="O390" t="s">
        <v>75</v>
      </c>
      <c r="P390" t="s">
        <v>74</v>
      </c>
      <c r="Q390" t="s">
        <v>76</v>
      </c>
      <c r="R390" t="s">
        <v>73</v>
      </c>
      <c r="S390">
        <v>1</v>
      </c>
      <c r="W390" s="20">
        <v>1.1574074074074073E-5</v>
      </c>
      <c r="X390" t="s">
        <v>78</v>
      </c>
      <c r="Y390">
        <v>0</v>
      </c>
      <c r="Z390">
        <v>2</v>
      </c>
      <c r="AA390" t="s">
        <v>1120</v>
      </c>
      <c r="AB390">
        <v>36</v>
      </c>
      <c r="AC390" t="s">
        <v>78</v>
      </c>
      <c r="AD390">
        <v>0</v>
      </c>
      <c r="AE390">
        <v>10516589</v>
      </c>
      <c r="AF390" t="s">
        <v>88</v>
      </c>
      <c r="AG390" t="s">
        <v>952</v>
      </c>
    </row>
    <row r="391" spans="1:33" x14ac:dyDescent="0.35">
      <c r="A391" s="18">
        <v>44506.298611111109</v>
      </c>
      <c r="B391">
        <v>3111674</v>
      </c>
      <c r="C391" t="s">
        <v>1121</v>
      </c>
      <c r="D391" t="s">
        <v>1117</v>
      </c>
      <c r="E391" s="19">
        <v>36008</v>
      </c>
      <c r="F391" t="str">
        <f>"9781600861154"</f>
        <v>9781600861154</v>
      </c>
      <c r="G391" t="str">
        <f>"9781563472626"</f>
        <v>9781563472626</v>
      </c>
      <c r="H391" t="s">
        <v>1122</v>
      </c>
      <c r="I391" t="s">
        <v>1123</v>
      </c>
      <c r="J391" t="s">
        <v>1124</v>
      </c>
      <c r="K391" t="s">
        <v>73</v>
      </c>
      <c r="N391" t="s">
        <v>74</v>
      </c>
      <c r="O391" t="s">
        <v>75</v>
      </c>
      <c r="P391" t="s">
        <v>74</v>
      </c>
      <c r="Q391" t="s">
        <v>76</v>
      </c>
      <c r="R391" t="s">
        <v>73</v>
      </c>
      <c r="S391">
        <v>0</v>
      </c>
      <c r="W391" s="20">
        <v>3.0671296296296297E-3</v>
      </c>
      <c r="X391" t="s">
        <v>1125</v>
      </c>
      <c r="Y391">
        <v>40</v>
      </c>
      <c r="Z391">
        <v>1</v>
      </c>
      <c r="AA391" t="s">
        <v>1126</v>
      </c>
      <c r="AB391">
        <v>38</v>
      </c>
      <c r="AC391" t="s">
        <v>78</v>
      </c>
      <c r="AD391">
        <v>0</v>
      </c>
      <c r="AE391">
        <v>10516779</v>
      </c>
      <c r="AF391" t="s">
        <v>79</v>
      </c>
      <c r="AG391" t="s">
        <v>952</v>
      </c>
    </row>
    <row r="392" spans="1:33" x14ac:dyDescent="0.35">
      <c r="A392" s="18">
        <v>44506.294444444444</v>
      </c>
      <c r="B392">
        <v>3111532</v>
      </c>
      <c r="C392" t="s">
        <v>1127</v>
      </c>
      <c r="D392" t="s">
        <v>1117</v>
      </c>
      <c r="E392" s="19">
        <v>24108</v>
      </c>
      <c r="F392" t="str">
        <f>"9781600862724"</f>
        <v>9781600862724</v>
      </c>
      <c r="G392" t="str">
        <f>"9781563478666"</f>
        <v>9781563478666</v>
      </c>
      <c r="H392" t="s">
        <v>1128</v>
      </c>
      <c r="I392" t="s">
        <v>1129</v>
      </c>
      <c r="J392" t="s">
        <v>1130</v>
      </c>
      <c r="K392" t="s">
        <v>73</v>
      </c>
      <c r="N392" t="s">
        <v>74</v>
      </c>
      <c r="O392" t="s">
        <v>75</v>
      </c>
      <c r="P392" t="s">
        <v>74</v>
      </c>
      <c r="Q392" t="s">
        <v>76</v>
      </c>
      <c r="R392" t="s">
        <v>73</v>
      </c>
      <c r="S392">
        <v>0</v>
      </c>
      <c r="W392" s="20">
        <v>8.3333333333333339E-4</v>
      </c>
      <c r="X392" t="s">
        <v>1131</v>
      </c>
      <c r="Y392">
        <v>10</v>
      </c>
      <c r="Z392">
        <v>0</v>
      </c>
      <c r="AA392" t="s">
        <v>78</v>
      </c>
      <c r="AB392">
        <v>0</v>
      </c>
      <c r="AC392" t="s">
        <v>78</v>
      </c>
      <c r="AD392">
        <v>0</v>
      </c>
      <c r="AE392">
        <v>10516636</v>
      </c>
      <c r="AF392" t="s">
        <v>79</v>
      </c>
      <c r="AG392" t="s">
        <v>952</v>
      </c>
    </row>
    <row r="393" spans="1:33" x14ac:dyDescent="0.35">
      <c r="A393" s="18">
        <v>44505.979861111111</v>
      </c>
      <c r="B393">
        <v>952418</v>
      </c>
      <c r="C393" t="s">
        <v>1087</v>
      </c>
      <c r="D393" t="s">
        <v>70</v>
      </c>
      <c r="E393" s="19">
        <v>41169</v>
      </c>
      <c r="F393" t="str">
        <f>"9781118361139"</f>
        <v>9781118361139</v>
      </c>
      <c r="G393" t="str">
        <f>"9781119942733"</f>
        <v>9781119942733</v>
      </c>
      <c r="H393" t="s">
        <v>1088</v>
      </c>
      <c r="I393" t="s">
        <v>1089</v>
      </c>
      <c r="J393" t="s">
        <v>1090</v>
      </c>
      <c r="K393" t="s">
        <v>73</v>
      </c>
      <c r="N393" t="s">
        <v>74</v>
      </c>
      <c r="O393" t="s">
        <v>75</v>
      </c>
      <c r="P393" t="s">
        <v>74</v>
      </c>
      <c r="Q393" t="s">
        <v>76</v>
      </c>
      <c r="R393" t="s">
        <v>73</v>
      </c>
      <c r="S393">
        <v>0</v>
      </c>
      <c r="W393" s="20">
        <v>3.5405092592592592E-2</v>
      </c>
      <c r="X393" t="s">
        <v>1132</v>
      </c>
      <c r="Y393">
        <v>8</v>
      </c>
      <c r="Z393">
        <v>0</v>
      </c>
      <c r="AA393" t="s">
        <v>78</v>
      </c>
      <c r="AB393">
        <v>0</v>
      </c>
      <c r="AC393" t="s">
        <v>78</v>
      </c>
      <c r="AD393">
        <v>0</v>
      </c>
      <c r="AE393">
        <v>10579519</v>
      </c>
      <c r="AF393" t="s">
        <v>79</v>
      </c>
      <c r="AG393" t="s">
        <v>415</v>
      </c>
    </row>
    <row r="394" spans="1:33" x14ac:dyDescent="0.35">
      <c r="A394" s="18">
        <v>44505.920138888891</v>
      </c>
      <c r="B394">
        <v>952418</v>
      </c>
      <c r="C394" t="s">
        <v>1087</v>
      </c>
      <c r="D394" t="s">
        <v>70</v>
      </c>
      <c r="E394" s="19">
        <v>41169</v>
      </c>
      <c r="F394" t="str">
        <f>"9781118361139"</f>
        <v>9781118361139</v>
      </c>
      <c r="G394" t="str">
        <f>"9781119942733"</f>
        <v>9781119942733</v>
      </c>
      <c r="H394" t="s">
        <v>1088</v>
      </c>
      <c r="I394" t="s">
        <v>1089</v>
      </c>
      <c r="J394" t="s">
        <v>1090</v>
      </c>
      <c r="K394" t="s">
        <v>73</v>
      </c>
      <c r="N394" t="s">
        <v>74</v>
      </c>
      <c r="O394" t="s">
        <v>75</v>
      </c>
      <c r="P394" t="s">
        <v>74</v>
      </c>
      <c r="Q394" t="s">
        <v>76</v>
      </c>
      <c r="R394" t="s">
        <v>73</v>
      </c>
      <c r="S394">
        <v>0</v>
      </c>
      <c r="W394" s="20">
        <v>3.4722222222222222E-5</v>
      </c>
      <c r="X394" t="s">
        <v>132</v>
      </c>
      <c r="Y394">
        <v>1</v>
      </c>
      <c r="Z394">
        <v>0</v>
      </c>
      <c r="AA394" t="s">
        <v>78</v>
      </c>
      <c r="AB394">
        <v>0</v>
      </c>
      <c r="AC394" t="s">
        <v>78</v>
      </c>
      <c r="AD394">
        <v>0</v>
      </c>
      <c r="AE394">
        <v>10579519</v>
      </c>
      <c r="AF394" t="s">
        <v>79</v>
      </c>
      <c r="AG394" t="s">
        <v>415</v>
      </c>
    </row>
    <row r="395" spans="1:33" x14ac:dyDescent="0.35">
      <c r="A395" s="18">
        <v>44505.884027777778</v>
      </c>
      <c r="B395">
        <v>952418</v>
      </c>
      <c r="C395" t="s">
        <v>1087</v>
      </c>
      <c r="D395" t="s">
        <v>70</v>
      </c>
      <c r="E395" s="19">
        <v>41169</v>
      </c>
      <c r="F395" t="str">
        <f>"9781118361139"</f>
        <v>9781118361139</v>
      </c>
      <c r="G395" t="str">
        <f>"9781119942733"</f>
        <v>9781119942733</v>
      </c>
      <c r="H395" t="s">
        <v>1088</v>
      </c>
      <c r="I395" t="s">
        <v>1089</v>
      </c>
      <c r="J395" t="s">
        <v>1090</v>
      </c>
      <c r="K395" t="s">
        <v>73</v>
      </c>
      <c r="N395" t="s">
        <v>74</v>
      </c>
      <c r="O395" t="s">
        <v>75</v>
      </c>
      <c r="P395" t="s">
        <v>74</v>
      </c>
      <c r="Q395" t="s">
        <v>76</v>
      </c>
      <c r="R395" t="s">
        <v>73</v>
      </c>
      <c r="S395">
        <v>0</v>
      </c>
      <c r="W395" s="20">
        <v>6.7129629629629625E-4</v>
      </c>
      <c r="X395" t="s">
        <v>1133</v>
      </c>
      <c r="Y395">
        <v>7</v>
      </c>
      <c r="Z395">
        <v>0</v>
      </c>
      <c r="AA395" t="s">
        <v>78</v>
      </c>
      <c r="AB395">
        <v>0</v>
      </c>
      <c r="AC395" t="s">
        <v>78</v>
      </c>
      <c r="AD395">
        <v>0</v>
      </c>
      <c r="AE395">
        <v>10579519</v>
      </c>
      <c r="AF395" t="s">
        <v>79</v>
      </c>
      <c r="AG395" t="s">
        <v>415</v>
      </c>
    </row>
    <row r="396" spans="1:33" x14ac:dyDescent="0.35">
      <c r="A396" s="18">
        <v>44505.817361111112</v>
      </c>
      <c r="B396">
        <v>952418</v>
      </c>
      <c r="C396" t="s">
        <v>1087</v>
      </c>
      <c r="D396" t="s">
        <v>70</v>
      </c>
      <c r="E396" s="19">
        <v>41169</v>
      </c>
      <c r="F396" t="str">
        <f>"9781118361139"</f>
        <v>9781118361139</v>
      </c>
      <c r="G396" t="str">
        <f>"9781119942733"</f>
        <v>9781119942733</v>
      </c>
      <c r="H396" t="s">
        <v>1088</v>
      </c>
      <c r="I396" t="s">
        <v>1089</v>
      </c>
      <c r="J396" t="s">
        <v>1090</v>
      </c>
      <c r="K396" t="s">
        <v>73</v>
      </c>
      <c r="N396" t="s">
        <v>74</v>
      </c>
      <c r="O396" t="s">
        <v>75</v>
      </c>
      <c r="P396" t="s">
        <v>74</v>
      </c>
      <c r="Q396" t="s">
        <v>76</v>
      </c>
      <c r="R396" t="s">
        <v>73</v>
      </c>
      <c r="S396">
        <v>0</v>
      </c>
      <c r="W396" s="20">
        <v>2.0833333333333335E-4</v>
      </c>
      <c r="X396" t="s">
        <v>1134</v>
      </c>
      <c r="Y396">
        <v>3</v>
      </c>
      <c r="Z396">
        <v>0</v>
      </c>
      <c r="AA396" t="s">
        <v>78</v>
      </c>
      <c r="AB396">
        <v>0</v>
      </c>
      <c r="AC396" t="s">
        <v>78</v>
      </c>
      <c r="AD396">
        <v>0</v>
      </c>
      <c r="AE396">
        <v>10579519</v>
      </c>
      <c r="AF396" t="s">
        <v>79</v>
      </c>
      <c r="AG396" t="s">
        <v>415</v>
      </c>
    </row>
    <row r="397" spans="1:33" x14ac:dyDescent="0.35">
      <c r="A397" s="18">
        <v>44505.81527777778</v>
      </c>
      <c r="B397">
        <v>6130785</v>
      </c>
      <c r="C397" t="s">
        <v>1135</v>
      </c>
      <c r="D397" t="s">
        <v>127</v>
      </c>
      <c r="E397" s="19">
        <v>43920</v>
      </c>
      <c r="F397" t="str">
        <f>"9781351337540"</f>
        <v>9781351337540</v>
      </c>
      <c r="G397" t="str">
        <f>"9781138569393"</f>
        <v>9781138569393</v>
      </c>
      <c r="H397" t="s">
        <v>1136</v>
      </c>
      <c r="I397">
        <v>363.73939999999999</v>
      </c>
      <c r="J397" t="s">
        <v>1137</v>
      </c>
      <c r="K397" t="s">
        <v>85</v>
      </c>
      <c r="Q397" t="s">
        <v>76</v>
      </c>
      <c r="R397" t="s">
        <v>73</v>
      </c>
      <c r="S397">
        <v>0</v>
      </c>
      <c r="W397" s="20">
        <v>6.9444444444444444E-5</v>
      </c>
      <c r="X397" t="s">
        <v>132</v>
      </c>
      <c r="Y397">
        <v>1</v>
      </c>
      <c r="Z397">
        <v>0</v>
      </c>
      <c r="AA397" t="s">
        <v>78</v>
      </c>
      <c r="AB397">
        <v>0</v>
      </c>
      <c r="AC397" t="s">
        <v>78</v>
      </c>
      <c r="AD397">
        <v>0</v>
      </c>
      <c r="AE397">
        <v>-1</v>
      </c>
      <c r="AF397" t="s">
        <v>79</v>
      </c>
      <c r="AG397" t="s">
        <v>953</v>
      </c>
    </row>
    <row r="398" spans="1:33" x14ac:dyDescent="0.35">
      <c r="A398" s="18">
        <v>44505.654166666667</v>
      </c>
      <c r="B398">
        <v>952418</v>
      </c>
      <c r="C398" t="s">
        <v>1087</v>
      </c>
      <c r="D398" t="s">
        <v>70</v>
      </c>
      <c r="E398" s="19">
        <v>41169</v>
      </c>
      <c r="F398" t="str">
        <f>"9781118361139"</f>
        <v>9781118361139</v>
      </c>
      <c r="G398" t="str">
        <f>"9781119942733"</f>
        <v>9781119942733</v>
      </c>
      <c r="H398" t="s">
        <v>1088</v>
      </c>
      <c r="I398" t="s">
        <v>1089</v>
      </c>
      <c r="J398" t="s">
        <v>1090</v>
      </c>
      <c r="K398" t="s">
        <v>73</v>
      </c>
      <c r="N398" t="s">
        <v>74</v>
      </c>
      <c r="O398" t="s">
        <v>75</v>
      </c>
      <c r="P398" t="s">
        <v>74</v>
      </c>
      <c r="Q398" t="s">
        <v>76</v>
      </c>
      <c r="R398" t="s">
        <v>73</v>
      </c>
      <c r="S398">
        <v>0</v>
      </c>
      <c r="W398" s="20">
        <v>3.4918981481481481E-2</v>
      </c>
      <c r="X398" t="s">
        <v>1138</v>
      </c>
      <c r="Y398">
        <v>24</v>
      </c>
      <c r="Z398">
        <v>0</v>
      </c>
      <c r="AA398" t="s">
        <v>78</v>
      </c>
      <c r="AB398">
        <v>0</v>
      </c>
      <c r="AC398" t="s">
        <v>78</v>
      </c>
      <c r="AD398">
        <v>0</v>
      </c>
      <c r="AE398">
        <v>10579519</v>
      </c>
      <c r="AF398" t="s">
        <v>79</v>
      </c>
      <c r="AG398" t="s">
        <v>415</v>
      </c>
    </row>
    <row r="399" spans="1:33" x14ac:dyDescent="0.35">
      <c r="A399" s="18">
        <v>44505.615972222222</v>
      </c>
      <c r="B399">
        <v>952418</v>
      </c>
      <c r="C399" t="s">
        <v>1087</v>
      </c>
      <c r="D399" t="s">
        <v>70</v>
      </c>
      <c r="E399" s="19">
        <v>41169</v>
      </c>
      <c r="F399" t="str">
        <f>"9781118361139"</f>
        <v>9781118361139</v>
      </c>
      <c r="G399" t="str">
        <f>"9781119942733"</f>
        <v>9781119942733</v>
      </c>
      <c r="H399" t="s">
        <v>1088</v>
      </c>
      <c r="I399" t="s">
        <v>1089</v>
      </c>
      <c r="J399" t="s">
        <v>1090</v>
      </c>
      <c r="K399" t="s">
        <v>73</v>
      </c>
      <c r="N399" t="s">
        <v>74</v>
      </c>
      <c r="O399" t="s">
        <v>75</v>
      </c>
      <c r="P399" t="s">
        <v>74</v>
      </c>
      <c r="Q399" t="s">
        <v>76</v>
      </c>
      <c r="R399" t="s">
        <v>73</v>
      </c>
      <c r="S399">
        <v>0</v>
      </c>
      <c r="W399" s="20">
        <v>4.1203703703703706E-3</v>
      </c>
      <c r="X399" t="s">
        <v>1139</v>
      </c>
      <c r="Y399">
        <v>14</v>
      </c>
      <c r="Z399">
        <v>0</v>
      </c>
      <c r="AA399" t="s">
        <v>78</v>
      </c>
      <c r="AB399">
        <v>0</v>
      </c>
      <c r="AC399" t="s">
        <v>78</v>
      </c>
      <c r="AD399">
        <v>0</v>
      </c>
      <c r="AE399">
        <v>10579519</v>
      </c>
      <c r="AF399" t="s">
        <v>79</v>
      </c>
      <c r="AG399" t="s">
        <v>415</v>
      </c>
    </row>
    <row r="400" spans="1:33" x14ac:dyDescent="0.35">
      <c r="A400" s="18">
        <v>44505.456250000003</v>
      </c>
      <c r="B400">
        <v>697607</v>
      </c>
      <c r="C400" t="s">
        <v>1140</v>
      </c>
      <c r="D400" t="s">
        <v>70</v>
      </c>
      <c r="E400" s="19">
        <v>40770</v>
      </c>
      <c r="F400" t="str">
        <f>"9781119976165"</f>
        <v>9781119976165</v>
      </c>
      <c r="G400" t="str">
        <f>"9781119976172"</f>
        <v>9781119976172</v>
      </c>
      <c r="H400" t="s">
        <v>1141</v>
      </c>
      <c r="I400">
        <v>670.28499999999997</v>
      </c>
      <c r="J400" t="s">
        <v>1142</v>
      </c>
      <c r="K400" t="s">
        <v>73</v>
      </c>
      <c r="N400" t="s">
        <v>74</v>
      </c>
      <c r="O400" t="s">
        <v>75</v>
      </c>
      <c r="P400" t="s">
        <v>74</v>
      </c>
      <c r="Q400" t="s">
        <v>76</v>
      </c>
      <c r="R400" t="s">
        <v>73</v>
      </c>
      <c r="S400">
        <v>0</v>
      </c>
      <c r="W400" s="20">
        <v>3.7962962962962963E-3</v>
      </c>
      <c r="X400" t="s">
        <v>1143</v>
      </c>
      <c r="Y400">
        <v>33</v>
      </c>
      <c r="Z400">
        <v>0</v>
      </c>
      <c r="AA400" t="s">
        <v>78</v>
      </c>
      <c r="AB400">
        <v>0</v>
      </c>
      <c r="AC400" t="s">
        <v>78</v>
      </c>
      <c r="AD400">
        <v>0</v>
      </c>
      <c r="AE400">
        <v>10483232</v>
      </c>
      <c r="AF400" t="s">
        <v>79</v>
      </c>
      <c r="AG400" t="s">
        <v>415</v>
      </c>
    </row>
    <row r="401" spans="1:33" x14ac:dyDescent="0.35">
      <c r="A401" s="18">
        <v>44505.097916666666</v>
      </c>
      <c r="B401">
        <v>848526</v>
      </c>
      <c r="C401" t="s">
        <v>1144</v>
      </c>
      <c r="D401" t="s">
        <v>70</v>
      </c>
      <c r="E401" s="19">
        <v>41212</v>
      </c>
      <c r="F401" t="str">
        <f>"9781118310069"</f>
        <v>9781118310069</v>
      </c>
      <c r="G401" t="str">
        <f>"9780470566671"</f>
        <v>9780470566671</v>
      </c>
      <c r="H401" t="s">
        <v>1145</v>
      </c>
      <c r="I401">
        <v>610.28</v>
      </c>
      <c r="J401" t="s">
        <v>1146</v>
      </c>
      <c r="K401" t="s">
        <v>73</v>
      </c>
      <c r="N401" t="s">
        <v>74</v>
      </c>
      <c r="O401" t="s">
        <v>75</v>
      </c>
      <c r="P401" t="s">
        <v>74</v>
      </c>
      <c r="Q401" t="s">
        <v>76</v>
      </c>
      <c r="R401" t="s">
        <v>73</v>
      </c>
      <c r="S401">
        <v>0</v>
      </c>
      <c r="W401" s="20">
        <v>5.7870370370370366E-5</v>
      </c>
      <c r="X401" t="s">
        <v>1147</v>
      </c>
      <c r="Y401">
        <v>1</v>
      </c>
      <c r="Z401">
        <v>0</v>
      </c>
      <c r="AA401" t="s">
        <v>78</v>
      </c>
      <c r="AB401">
        <v>0</v>
      </c>
      <c r="AC401" t="s">
        <v>78</v>
      </c>
      <c r="AD401">
        <v>0</v>
      </c>
      <c r="AE401">
        <v>10615085</v>
      </c>
      <c r="AF401" t="s">
        <v>79</v>
      </c>
      <c r="AG401" t="s">
        <v>415</v>
      </c>
    </row>
    <row r="402" spans="1:33" x14ac:dyDescent="0.35">
      <c r="A402" s="18">
        <v>44505.003472222219</v>
      </c>
      <c r="B402">
        <v>4497397</v>
      </c>
      <c r="C402" t="s">
        <v>279</v>
      </c>
      <c r="D402" t="s">
        <v>280</v>
      </c>
      <c r="E402" s="19">
        <v>42551</v>
      </c>
      <c r="F402" t="str">
        <f>"9789385059605"</f>
        <v>9789385059605</v>
      </c>
      <c r="G402" t="str">
        <f>"9789385059049"</f>
        <v>9789385059049</v>
      </c>
      <c r="H402" t="s">
        <v>159</v>
      </c>
      <c r="J402" t="s">
        <v>281</v>
      </c>
      <c r="K402" t="s">
        <v>85</v>
      </c>
      <c r="N402" t="s">
        <v>86</v>
      </c>
      <c r="P402" t="s">
        <v>87</v>
      </c>
      <c r="Q402" t="s">
        <v>76</v>
      </c>
      <c r="R402" t="s">
        <v>73</v>
      </c>
      <c r="S402">
        <v>1</v>
      </c>
      <c r="T402">
        <v>60</v>
      </c>
      <c r="U402" s="18">
        <v>44505.003472222219</v>
      </c>
      <c r="V402" s="18">
        <v>44565.003472222219</v>
      </c>
      <c r="W402" s="20">
        <v>8.1018518518518516E-5</v>
      </c>
      <c r="X402" t="s">
        <v>132</v>
      </c>
      <c r="Y402">
        <v>1</v>
      </c>
      <c r="Z402">
        <v>0</v>
      </c>
      <c r="AA402" t="s">
        <v>78</v>
      </c>
      <c r="AB402">
        <v>0</v>
      </c>
      <c r="AC402" t="s">
        <v>78</v>
      </c>
      <c r="AD402">
        <v>0</v>
      </c>
      <c r="AE402">
        <v>11201119</v>
      </c>
      <c r="AF402" t="s">
        <v>88</v>
      </c>
      <c r="AG402" t="s">
        <v>415</v>
      </c>
    </row>
    <row r="403" spans="1:33" x14ac:dyDescent="0.35">
      <c r="A403" s="18">
        <v>44504.831944444442</v>
      </c>
      <c r="B403">
        <v>817311</v>
      </c>
      <c r="C403" t="s">
        <v>1148</v>
      </c>
      <c r="D403" t="s">
        <v>70</v>
      </c>
      <c r="E403" s="19">
        <v>41002</v>
      </c>
      <c r="F403" t="str">
        <f>"9781118103753"</f>
        <v>9781118103753</v>
      </c>
      <c r="G403" t="str">
        <f>"9780470405390"</f>
        <v>9780470405390</v>
      </c>
      <c r="H403" t="s">
        <v>767</v>
      </c>
      <c r="I403" t="s">
        <v>1149</v>
      </c>
      <c r="J403" t="s">
        <v>1150</v>
      </c>
      <c r="K403" t="s">
        <v>73</v>
      </c>
      <c r="N403" t="s">
        <v>74</v>
      </c>
      <c r="O403" t="s">
        <v>75</v>
      </c>
      <c r="P403" t="s">
        <v>74</v>
      </c>
      <c r="Q403" t="s">
        <v>76</v>
      </c>
      <c r="R403" t="s">
        <v>73</v>
      </c>
      <c r="S403">
        <v>0</v>
      </c>
      <c r="W403" s="20">
        <v>1.3310185185185185E-3</v>
      </c>
      <c r="X403" t="s">
        <v>1151</v>
      </c>
      <c r="Y403">
        <v>9</v>
      </c>
      <c r="Z403">
        <v>0</v>
      </c>
      <c r="AA403" t="s">
        <v>78</v>
      </c>
      <c r="AB403">
        <v>0</v>
      </c>
      <c r="AC403" t="s">
        <v>78</v>
      </c>
      <c r="AD403">
        <v>0</v>
      </c>
      <c r="AE403">
        <v>10558088</v>
      </c>
      <c r="AF403" t="s">
        <v>79</v>
      </c>
      <c r="AG403" t="s">
        <v>415</v>
      </c>
    </row>
    <row r="404" spans="1:33" x14ac:dyDescent="0.35">
      <c r="A404" s="18">
        <v>44504.794444444444</v>
      </c>
      <c r="B404">
        <v>3317332</v>
      </c>
      <c r="C404" t="s">
        <v>1152</v>
      </c>
      <c r="D404" t="s">
        <v>1153</v>
      </c>
      <c r="E404" s="19">
        <v>38047</v>
      </c>
      <c r="F404" t="str">
        <f>"9781597266079"</f>
        <v>9781597266079</v>
      </c>
      <c r="G404" t="str">
        <f>"9781559637039"</f>
        <v>9781559637039</v>
      </c>
      <c r="H404" t="s">
        <v>1154</v>
      </c>
      <c r="I404" t="s">
        <v>1155</v>
      </c>
      <c r="J404" t="s">
        <v>1156</v>
      </c>
      <c r="K404" t="s">
        <v>73</v>
      </c>
      <c r="N404" t="s">
        <v>74</v>
      </c>
      <c r="O404" t="s">
        <v>75</v>
      </c>
      <c r="P404" t="s">
        <v>74</v>
      </c>
      <c r="Q404" t="s">
        <v>76</v>
      </c>
      <c r="R404" t="s">
        <v>73</v>
      </c>
      <c r="S404">
        <v>0</v>
      </c>
      <c r="W404" s="20">
        <v>5.7870370370370366E-5</v>
      </c>
      <c r="X404" t="s">
        <v>132</v>
      </c>
      <c r="Y404">
        <v>1</v>
      </c>
      <c r="Z404">
        <v>0</v>
      </c>
      <c r="AA404" t="s">
        <v>78</v>
      </c>
      <c r="AB404">
        <v>0</v>
      </c>
      <c r="AC404" t="s">
        <v>78</v>
      </c>
      <c r="AD404">
        <v>0</v>
      </c>
      <c r="AE404">
        <v>10064678</v>
      </c>
      <c r="AF404" t="s">
        <v>79</v>
      </c>
      <c r="AG404" t="s">
        <v>415</v>
      </c>
    </row>
    <row r="405" spans="1:33" x14ac:dyDescent="0.35">
      <c r="A405" s="18">
        <v>44504.647222222222</v>
      </c>
      <c r="B405">
        <v>201945</v>
      </c>
      <c r="C405" t="s">
        <v>1157</v>
      </c>
      <c r="D405" t="s">
        <v>538</v>
      </c>
      <c r="E405" s="19">
        <v>37130</v>
      </c>
      <c r="F405" t="str">
        <f>"9780511154225"</f>
        <v>9780511154225</v>
      </c>
      <c r="G405" t="str">
        <f>"9780521360326"</f>
        <v>9780521360326</v>
      </c>
      <c r="H405" t="s">
        <v>1158</v>
      </c>
      <c r="I405">
        <v>532.05270151535296</v>
      </c>
      <c r="J405" t="s">
        <v>1159</v>
      </c>
      <c r="K405" t="s">
        <v>73</v>
      </c>
      <c r="N405" t="s">
        <v>74</v>
      </c>
      <c r="O405" t="s">
        <v>75</v>
      </c>
      <c r="P405" t="s">
        <v>74</v>
      </c>
      <c r="Q405" t="s">
        <v>76</v>
      </c>
      <c r="R405" t="s">
        <v>73</v>
      </c>
      <c r="S405">
        <v>0</v>
      </c>
      <c r="W405" s="20">
        <v>5.7754629629629623E-3</v>
      </c>
      <c r="X405" t="s">
        <v>1160</v>
      </c>
      <c r="Y405">
        <v>35</v>
      </c>
      <c r="Z405">
        <v>0</v>
      </c>
      <c r="AA405" t="s">
        <v>78</v>
      </c>
      <c r="AB405">
        <v>0</v>
      </c>
      <c r="AC405" t="s">
        <v>78</v>
      </c>
      <c r="AD405">
        <v>0</v>
      </c>
      <c r="AE405">
        <v>10006796</v>
      </c>
      <c r="AF405" t="s">
        <v>79</v>
      </c>
      <c r="AG405" t="s">
        <v>415</v>
      </c>
    </row>
    <row r="406" spans="1:33" x14ac:dyDescent="0.35">
      <c r="A406" s="18">
        <v>44504.550694444442</v>
      </c>
      <c r="B406">
        <v>3073657</v>
      </c>
      <c r="C406" t="s">
        <v>1161</v>
      </c>
      <c r="D406" t="s">
        <v>1162</v>
      </c>
      <c r="E406" s="19">
        <v>37798</v>
      </c>
      <c r="F406" t="str">
        <f>"9781461200390"</f>
        <v>9781461200390</v>
      </c>
      <c r="G406" t="str">
        <f>"9781461265849"</f>
        <v>9781461265849</v>
      </c>
      <c r="H406" t="s">
        <v>97</v>
      </c>
      <c r="J406" t="s">
        <v>202</v>
      </c>
      <c r="K406" t="s">
        <v>85</v>
      </c>
      <c r="N406" t="s">
        <v>86</v>
      </c>
      <c r="P406" t="s">
        <v>87</v>
      </c>
      <c r="Q406" t="s">
        <v>76</v>
      </c>
      <c r="R406" t="s">
        <v>73</v>
      </c>
      <c r="S406">
        <v>1</v>
      </c>
      <c r="T406">
        <v>1</v>
      </c>
      <c r="U406" s="18">
        <v>44504.550694444442</v>
      </c>
      <c r="V406" s="18">
        <v>44505.550694444442</v>
      </c>
      <c r="W406" s="20">
        <v>0</v>
      </c>
      <c r="X406" t="s">
        <v>78</v>
      </c>
      <c r="Y406">
        <v>0</v>
      </c>
      <c r="Z406">
        <v>0</v>
      </c>
      <c r="AA406" t="s">
        <v>78</v>
      </c>
      <c r="AB406">
        <v>0</v>
      </c>
      <c r="AC406" t="s">
        <v>78</v>
      </c>
      <c r="AD406">
        <v>0</v>
      </c>
      <c r="AE406">
        <v>10916826</v>
      </c>
      <c r="AF406" t="s">
        <v>88</v>
      </c>
      <c r="AG406" t="s">
        <v>415</v>
      </c>
    </row>
    <row r="407" spans="1:33" x14ac:dyDescent="0.35">
      <c r="A407" s="18">
        <v>44504.536111111112</v>
      </c>
      <c r="B407">
        <v>3073657</v>
      </c>
      <c r="C407" t="s">
        <v>1161</v>
      </c>
      <c r="D407" t="s">
        <v>1162</v>
      </c>
      <c r="E407" s="19">
        <v>37798</v>
      </c>
      <c r="F407" t="str">
        <f>"9781461200390"</f>
        <v>9781461200390</v>
      </c>
      <c r="G407" t="str">
        <f>"9781461265849"</f>
        <v>9781461265849</v>
      </c>
      <c r="H407" t="s">
        <v>97</v>
      </c>
      <c r="J407" t="s">
        <v>202</v>
      </c>
      <c r="K407" t="s">
        <v>85</v>
      </c>
      <c r="N407" t="s">
        <v>86</v>
      </c>
      <c r="P407" t="s">
        <v>87</v>
      </c>
      <c r="Q407" t="s">
        <v>76</v>
      </c>
      <c r="R407" t="s">
        <v>73</v>
      </c>
      <c r="S407">
        <v>0</v>
      </c>
      <c r="W407" s="20">
        <v>8.1944444444444452E-3</v>
      </c>
      <c r="X407" t="s">
        <v>1163</v>
      </c>
      <c r="Y407">
        <v>56</v>
      </c>
      <c r="Z407">
        <v>0</v>
      </c>
      <c r="AA407" t="s">
        <v>78</v>
      </c>
      <c r="AB407">
        <v>0</v>
      </c>
      <c r="AC407" t="s">
        <v>78</v>
      </c>
      <c r="AD407">
        <v>0</v>
      </c>
      <c r="AE407">
        <v>10916826</v>
      </c>
      <c r="AF407" t="s">
        <v>79</v>
      </c>
      <c r="AG407" t="s">
        <v>1164</v>
      </c>
    </row>
    <row r="408" spans="1:33" x14ac:dyDescent="0.35">
      <c r="A408" s="18">
        <v>44504.439583333333</v>
      </c>
      <c r="B408">
        <v>286669</v>
      </c>
      <c r="C408" t="s">
        <v>1165</v>
      </c>
      <c r="D408" t="s">
        <v>338</v>
      </c>
      <c r="E408" s="19">
        <v>37869</v>
      </c>
      <c r="F408" t="str">
        <f>"9780080469959"</f>
        <v>9780080469959</v>
      </c>
      <c r="G408" t="str">
        <f>"9780750647090"</f>
        <v>9780750647090</v>
      </c>
      <c r="H408" t="s">
        <v>1166</v>
      </c>
      <c r="I408">
        <v>670.72</v>
      </c>
      <c r="J408" t="s">
        <v>1167</v>
      </c>
      <c r="K408" t="s">
        <v>73</v>
      </c>
      <c r="N408" t="s">
        <v>74</v>
      </c>
      <c r="O408" t="s">
        <v>75</v>
      </c>
      <c r="P408" t="s">
        <v>74</v>
      </c>
      <c r="Q408" t="s">
        <v>76</v>
      </c>
      <c r="R408" t="s">
        <v>73</v>
      </c>
      <c r="S408">
        <v>0</v>
      </c>
      <c r="W408" s="20">
        <v>1.2037037037037038E-3</v>
      </c>
      <c r="X408" t="s">
        <v>1168</v>
      </c>
      <c r="Y408">
        <v>14</v>
      </c>
      <c r="Z408">
        <v>0</v>
      </c>
      <c r="AA408" t="s">
        <v>78</v>
      </c>
      <c r="AB408">
        <v>0</v>
      </c>
      <c r="AC408" t="s">
        <v>78</v>
      </c>
      <c r="AD408">
        <v>0</v>
      </c>
      <c r="AE408">
        <v>10166962</v>
      </c>
      <c r="AF408" t="s">
        <v>79</v>
      </c>
      <c r="AG408" t="s">
        <v>415</v>
      </c>
    </row>
    <row r="409" spans="1:33" x14ac:dyDescent="0.35">
      <c r="A409" s="18">
        <v>44504.40902777778</v>
      </c>
      <c r="B409">
        <v>6154656</v>
      </c>
      <c r="C409" t="s">
        <v>797</v>
      </c>
      <c r="D409" t="s">
        <v>798</v>
      </c>
      <c r="E409" s="19">
        <v>43927</v>
      </c>
      <c r="F409" t="str">
        <f>"9781487531645"</f>
        <v>9781487531645</v>
      </c>
      <c r="G409" t="str">
        <f>"9781487505158"</f>
        <v>9781487505158</v>
      </c>
      <c r="H409" t="s">
        <v>143</v>
      </c>
      <c r="I409">
        <v>658.31399999999906</v>
      </c>
      <c r="J409" t="s">
        <v>799</v>
      </c>
      <c r="K409" t="s">
        <v>85</v>
      </c>
      <c r="Q409" t="s">
        <v>76</v>
      </c>
      <c r="R409" t="s">
        <v>73</v>
      </c>
      <c r="S409">
        <v>0</v>
      </c>
      <c r="W409" s="20">
        <v>1.283564814814815E-2</v>
      </c>
      <c r="X409" t="s">
        <v>1169</v>
      </c>
      <c r="Y409">
        <v>18</v>
      </c>
      <c r="Z409">
        <v>0</v>
      </c>
      <c r="AA409" t="s">
        <v>78</v>
      </c>
      <c r="AB409">
        <v>0</v>
      </c>
      <c r="AC409" t="s">
        <v>78</v>
      </c>
      <c r="AD409">
        <v>0</v>
      </c>
      <c r="AE409">
        <v>-1</v>
      </c>
      <c r="AF409" t="s">
        <v>88</v>
      </c>
      <c r="AG409" t="s">
        <v>415</v>
      </c>
    </row>
    <row r="410" spans="1:33" x14ac:dyDescent="0.35">
      <c r="A410" s="18">
        <v>44504.404861111114</v>
      </c>
      <c r="B410">
        <v>6154656</v>
      </c>
      <c r="C410" t="s">
        <v>797</v>
      </c>
      <c r="D410" t="s">
        <v>798</v>
      </c>
      <c r="E410" s="19">
        <v>43927</v>
      </c>
      <c r="F410" t="str">
        <f>"9781487531645"</f>
        <v>9781487531645</v>
      </c>
      <c r="G410" t="str">
        <f>"9781487505158"</f>
        <v>9781487505158</v>
      </c>
      <c r="H410" t="s">
        <v>143</v>
      </c>
      <c r="I410">
        <v>658.31399999999906</v>
      </c>
      <c r="J410" t="s">
        <v>799</v>
      </c>
      <c r="K410" t="s">
        <v>85</v>
      </c>
      <c r="Q410" t="s">
        <v>76</v>
      </c>
      <c r="R410" t="s">
        <v>73</v>
      </c>
      <c r="S410">
        <v>0</v>
      </c>
      <c r="W410" s="20">
        <v>4.6296296296296294E-5</v>
      </c>
      <c r="X410" t="s">
        <v>360</v>
      </c>
      <c r="Y410">
        <v>2</v>
      </c>
      <c r="Z410">
        <v>0</v>
      </c>
      <c r="AA410" t="s">
        <v>78</v>
      </c>
      <c r="AB410">
        <v>0</v>
      </c>
      <c r="AC410" t="s">
        <v>78</v>
      </c>
      <c r="AD410">
        <v>0</v>
      </c>
      <c r="AE410">
        <v>-1</v>
      </c>
      <c r="AF410" t="s">
        <v>79</v>
      </c>
      <c r="AG410" t="s">
        <v>1170</v>
      </c>
    </row>
    <row r="411" spans="1:33" x14ac:dyDescent="0.35">
      <c r="A411" s="18">
        <v>44504.40347222222</v>
      </c>
      <c r="B411">
        <v>6154656</v>
      </c>
      <c r="C411" t="s">
        <v>797</v>
      </c>
      <c r="D411" t="s">
        <v>798</v>
      </c>
      <c r="E411" s="19">
        <v>43927</v>
      </c>
      <c r="F411" t="str">
        <f>"9781487531645"</f>
        <v>9781487531645</v>
      </c>
      <c r="G411" t="str">
        <f>"9781487505158"</f>
        <v>9781487505158</v>
      </c>
      <c r="H411" t="s">
        <v>143</v>
      </c>
      <c r="I411">
        <v>658.31399999999906</v>
      </c>
      <c r="J411" t="s">
        <v>799</v>
      </c>
      <c r="K411" t="s">
        <v>85</v>
      </c>
      <c r="Q411" t="s">
        <v>76</v>
      </c>
      <c r="R411" t="s">
        <v>73</v>
      </c>
      <c r="S411">
        <v>0</v>
      </c>
      <c r="W411" s="20">
        <v>4.6296296296296293E-4</v>
      </c>
      <c r="X411" t="s">
        <v>1171</v>
      </c>
      <c r="Y411">
        <v>10</v>
      </c>
      <c r="Z411">
        <v>0</v>
      </c>
      <c r="AA411" t="s">
        <v>78</v>
      </c>
      <c r="AB411">
        <v>0</v>
      </c>
      <c r="AC411" t="s">
        <v>78</v>
      </c>
      <c r="AD411">
        <v>0</v>
      </c>
      <c r="AE411">
        <v>-1</v>
      </c>
      <c r="AF411" t="s">
        <v>79</v>
      </c>
      <c r="AG411" t="s">
        <v>415</v>
      </c>
    </row>
    <row r="412" spans="1:33" x14ac:dyDescent="0.35">
      <c r="A412" s="18">
        <v>44504.193055555559</v>
      </c>
      <c r="B412">
        <v>848526</v>
      </c>
      <c r="C412" t="s">
        <v>1144</v>
      </c>
      <c r="D412" t="s">
        <v>70</v>
      </c>
      <c r="E412" s="19">
        <v>41212</v>
      </c>
      <c r="F412" t="str">
        <f>"9781118310069"</f>
        <v>9781118310069</v>
      </c>
      <c r="G412" t="str">
        <f>"9780470566671"</f>
        <v>9780470566671</v>
      </c>
      <c r="H412" t="s">
        <v>1145</v>
      </c>
      <c r="I412">
        <v>610.28</v>
      </c>
      <c r="J412" t="s">
        <v>1146</v>
      </c>
      <c r="K412" t="s">
        <v>73</v>
      </c>
      <c r="N412" t="s">
        <v>74</v>
      </c>
      <c r="O412" t="s">
        <v>75</v>
      </c>
      <c r="P412" t="s">
        <v>74</v>
      </c>
      <c r="Q412" t="s">
        <v>76</v>
      </c>
      <c r="R412" t="s">
        <v>73</v>
      </c>
      <c r="S412">
        <v>0</v>
      </c>
      <c r="W412" s="20">
        <v>2.1759259259259258E-3</v>
      </c>
      <c r="X412" t="s">
        <v>1172</v>
      </c>
      <c r="Y412">
        <v>9</v>
      </c>
      <c r="Z412">
        <v>0</v>
      </c>
      <c r="AA412" t="s">
        <v>78</v>
      </c>
      <c r="AB412">
        <v>0</v>
      </c>
      <c r="AC412" t="s">
        <v>78</v>
      </c>
      <c r="AD412">
        <v>0</v>
      </c>
      <c r="AE412">
        <v>10615085</v>
      </c>
      <c r="AF412" t="s">
        <v>79</v>
      </c>
      <c r="AG412" t="s">
        <v>1173</v>
      </c>
    </row>
    <row r="413" spans="1:33" x14ac:dyDescent="0.35">
      <c r="A413" s="18">
        <v>44504.147222222222</v>
      </c>
      <c r="B413">
        <v>848526</v>
      </c>
      <c r="C413" t="s">
        <v>1144</v>
      </c>
      <c r="D413" t="s">
        <v>70</v>
      </c>
      <c r="E413" s="19">
        <v>41212</v>
      </c>
      <c r="F413" t="str">
        <f>"9781118310069"</f>
        <v>9781118310069</v>
      </c>
      <c r="G413" t="str">
        <f>"9780470566671"</f>
        <v>9780470566671</v>
      </c>
      <c r="H413" t="s">
        <v>1145</v>
      </c>
      <c r="I413">
        <v>610.28</v>
      </c>
      <c r="J413" t="s">
        <v>1146</v>
      </c>
      <c r="K413" t="s">
        <v>73</v>
      </c>
      <c r="N413" t="s">
        <v>74</v>
      </c>
      <c r="O413" t="s">
        <v>75</v>
      </c>
      <c r="P413" t="s">
        <v>74</v>
      </c>
      <c r="Q413" t="s">
        <v>76</v>
      </c>
      <c r="R413" t="s">
        <v>73</v>
      </c>
      <c r="S413">
        <v>0</v>
      </c>
      <c r="W413" s="20">
        <v>2.3379629629629629E-2</v>
      </c>
      <c r="X413" t="s">
        <v>1174</v>
      </c>
      <c r="Y413">
        <v>38</v>
      </c>
      <c r="Z413">
        <v>0</v>
      </c>
      <c r="AA413" t="s">
        <v>78</v>
      </c>
      <c r="AB413">
        <v>0</v>
      </c>
      <c r="AC413" t="s">
        <v>78</v>
      </c>
      <c r="AD413">
        <v>0</v>
      </c>
      <c r="AE413">
        <v>10615085</v>
      </c>
      <c r="AF413" t="s">
        <v>79</v>
      </c>
      <c r="AG413" t="s">
        <v>1173</v>
      </c>
    </row>
    <row r="414" spans="1:33" x14ac:dyDescent="0.35">
      <c r="A414" s="18">
        <v>44504.102777777778</v>
      </c>
      <c r="B414">
        <v>848526</v>
      </c>
      <c r="C414" t="s">
        <v>1144</v>
      </c>
      <c r="D414" t="s">
        <v>70</v>
      </c>
      <c r="E414" s="19">
        <v>41212</v>
      </c>
      <c r="F414" t="str">
        <f>"9781118310069"</f>
        <v>9781118310069</v>
      </c>
      <c r="G414" t="str">
        <f>"9780470566671"</f>
        <v>9780470566671</v>
      </c>
      <c r="H414" t="s">
        <v>1145</v>
      </c>
      <c r="I414">
        <v>610.28</v>
      </c>
      <c r="J414" t="s">
        <v>1146</v>
      </c>
      <c r="K414" t="s">
        <v>73</v>
      </c>
      <c r="N414" t="s">
        <v>74</v>
      </c>
      <c r="O414" t="s">
        <v>75</v>
      </c>
      <c r="P414" t="s">
        <v>74</v>
      </c>
      <c r="Q414" t="s">
        <v>76</v>
      </c>
      <c r="R414" t="s">
        <v>73</v>
      </c>
      <c r="S414">
        <v>0</v>
      </c>
      <c r="W414" s="20">
        <v>2.238425925925926E-2</v>
      </c>
      <c r="X414" t="s">
        <v>1175</v>
      </c>
      <c r="Y414">
        <v>72</v>
      </c>
      <c r="Z414">
        <v>0</v>
      </c>
      <c r="AA414" t="s">
        <v>78</v>
      </c>
      <c r="AB414">
        <v>0</v>
      </c>
      <c r="AC414" t="s">
        <v>78</v>
      </c>
      <c r="AD414">
        <v>0</v>
      </c>
      <c r="AE414">
        <v>10615085</v>
      </c>
      <c r="AF414" t="s">
        <v>79</v>
      </c>
      <c r="AG414" t="s">
        <v>1173</v>
      </c>
    </row>
    <row r="415" spans="1:33" x14ac:dyDescent="0.35">
      <c r="A415" s="18">
        <v>44504.067361111112</v>
      </c>
      <c r="B415">
        <v>848526</v>
      </c>
      <c r="C415" t="s">
        <v>1144</v>
      </c>
      <c r="D415" t="s">
        <v>70</v>
      </c>
      <c r="E415" s="19">
        <v>41212</v>
      </c>
      <c r="F415" t="str">
        <f>"9781118310069"</f>
        <v>9781118310069</v>
      </c>
      <c r="G415" t="str">
        <f>"9780470566671"</f>
        <v>9780470566671</v>
      </c>
      <c r="H415" t="s">
        <v>1145</v>
      </c>
      <c r="I415">
        <v>610.28</v>
      </c>
      <c r="J415" t="s">
        <v>1146</v>
      </c>
      <c r="K415" t="s">
        <v>73</v>
      </c>
      <c r="N415" t="s">
        <v>74</v>
      </c>
      <c r="O415" t="s">
        <v>75</v>
      </c>
      <c r="P415" t="s">
        <v>74</v>
      </c>
      <c r="Q415" t="s">
        <v>76</v>
      </c>
      <c r="R415" t="s">
        <v>73</v>
      </c>
      <c r="S415">
        <v>0</v>
      </c>
      <c r="W415" s="20">
        <v>3.4722222222222222E-5</v>
      </c>
      <c r="X415" t="s">
        <v>132</v>
      </c>
      <c r="Y415">
        <v>1</v>
      </c>
      <c r="Z415">
        <v>0</v>
      </c>
      <c r="AA415" t="s">
        <v>78</v>
      </c>
      <c r="AB415">
        <v>0</v>
      </c>
      <c r="AC415" t="s">
        <v>78</v>
      </c>
      <c r="AD415">
        <v>0</v>
      </c>
      <c r="AE415">
        <v>10615085</v>
      </c>
      <c r="AF415" t="s">
        <v>79</v>
      </c>
      <c r="AG415" t="s">
        <v>415</v>
      </c>
    </row>
    <row r="416" spans="1:33" x14ac:dyDescent="0.35">
      <c r="A416" s="18">
        <v>44504.060416666667</v>
      </c>
      <c r="B416">
        <v>848526</v>
      </c>
      <c r="C416" t="s">
        <v>1144</v>
      </c>
      <c r="D416" t="s">
        <v>70</v>
      </c>
      <c r="E416" s="19">
        <v>41212</v>
      </c>
      <c r="F416" t="str">
        <f>"9781118310069"</f>
        <v>9781118310069</v>
      </c>
      <c r="G416" t="str">
        <f>"9780470566671"</f>
        <v>9780470566671</v>
      </c>
      <c r="H416" t="s">
        <v>1145</v>
      </c>
      <c r="I416">
        <v>610.28</v>
      </c>
      <c r="J416" t="s">
        <v>1146</v>
      </c>
      <c r="K416" t="s">
        <v>73</v>
      </c>
      <c r="N416" t="s">
        <v>74</v>
      </c>
      <c r="O416" t="s">
        <v>75</v>
      </c>
      <c r="P416" t="s">
        <v>74</v>
      </c>
      <c r="Q416" t="s">
        <v>76</v>
      </c>
      <c r="R416" t="s">
        <v>73</v>
      </c>
      <c r="S416">
        <v>0</v>
      </c>
      <c r="W416" s="20">
        <v>1.4201388888888888E-2</v>
      </c>
      <c r="X416" t="s">
        <v>1176</v>
      </c>
      <c r="Y416">
        <v>24</v>
      </c>
      <c r="Z416">
        <v>0</v>
      </c>
      <c r="AA416" t="s">
        <v>78</v>
      </c>
      <c r="AB416">
        <v>0</v>
      </c>
      <c r="AC416" t="s">
        <v>78</v>
      </c>
      <c r="AD416">
        <v>0</v>
      </c>
      <c r="AE416">
        <v>10615085</v>
      </c>
      <c r="AF416" t="s">
        <v>79</v>
      </c>
      <c r="AG416" t="s">
        <v>1173</v>
      </c>
    </row>
    <row r="417" spans="1:33" x14ac:dyDescent="0.35">
      <c r="A417" s="18">
        <v>44503.987500000003</v>
      </c>
      <c r="B417">
        <v>3317687</v>
      </c>
      <c r="C417" t="s">
        <v>1177</v>
      </c>
      <c r="D417" t="s">
        <v>1178</v>
      </c>
      <c r="E417" s="19">
        <v>40483</v>
      </c>
      <c r="F417" t="str">
        <f>"9781564844231"</f>
        <v>9781564844231</v>
      </c>
      <c r="G417" t="str">
        <f>"9781564842718"</f>
        <v>9781564842718</v>
      </c>
      <c r="H417" t="s">
        <v>1179</v>
      </c>
      <c r="I417" t="s">
        <v>1180</v>
      </c>
      <c r="J417" t="s">
        <v>1181</v>
      </c>
      <c r="K417" t="s">
        <v>73</v>
      </c>
      <c r="N417" t="s">
        <v>74</v>
      </c>
      <c r="O417" t="s">
        <v>75</v>
      </c>
      <c r="P417" t="s">
        <v>74</v>
      </c>
      <c r="Q417" t="s">
        <v>76</v>
      </c>
      <c r="R417" t="s">
        <v>73</v>
      </c>
      <c r="S417">
        <v>0</v>
      </c>
      <c r="W417" s="20">
        <v>1.2800925925925926E-2</v>
      </c>
      <c r="X417" t="s">
        <v>1182</v>
      </c>
      <c r="Y417">
        <v>12</v>
      </c>
      <c r="Z417">
        <v>0</v>
      </c>
      <c r="AA417" t="s">
        <v>78</v>
      </c>
      <c r="AB417">
        <v>0</v>
      </c>
      <c r="AC417" t="s">
        <v>78</v>
      </c>
      <c r="AD417">
        <v>0</v>
      </c>
      <c r="AE417">
        <v>10759762</v>
      </c>
      <c r="AF417" t="s">
        <v>79</v>
      </c>
      <c r="AG417" t="s">
        <v>242</v>
      </c>
    </row>
    <row r="418" spans="1:33" x14ac:dyDescent="0.35">
      <c r="A418" s="18">
        <v>44503.93472222222</v>
      </c>
      <c r="B418">
        <v>848526</v>
      </c>
      <c r="C418" t="s">
        <v>1144</v>
      </c>
      <c r="D418" t="s">
        <v>70</v>
      </c>
      <c r="E418" s="19">
        <v>41212</v>
      </c>
      <c r="F418" t="str">
        <f>"9781118310069"</f>
        <v>9781118310069</v>
      </c>
      <c r="G418" t="str">
        <f>"9780470566671"</f>
        <v>9780470566671</v>
      </c>
      <c r="H418" t="s">
        <v>1145</v>
      </c>
      <c r="I418">
        <v>610.28</v>
      </c>
      <c r="J418" t="s">
        <v>1146</v>
      </c>
      <c r="K418" t="s">
        <v>73</v>
      </c>
      <c r="N418" t="s">
        <v>74</v>
      </c>
      <c r="O418" t="s">
        <v>75</v>
      </c>
      <c r="P418" t="s">
        <v>74</v>
      </c>
      <c r="Q418" t="s">
        <v>76</v>
      </c>
      <c r="R418" t="s">
        <v>73</v>
      </c>
      <c r="S418">
        <v>1</v>
      </c>
      <c r="W418" s="20">
        <v>4.8726851851851856E-3</v>
      </c>
      <c r="X418" t="s">
        <v>1183</v>
      </c>
      <c r="Y418">
        <v>4</v>
      </c>
      <c r="Z418">
        <v>0</v>
      </c>
      <c r="AA418" t="s">
        <v>78</v>
      </c>
      <c r="AB418">
        <v>0</v>
      </c>
      <c r="AC418" t="s">
        <v>78</v>
      </c>
      <c r="AD418">
        <v>0</v>
      </c>
      <c r="AE418">
        <v>10615085</v>
      </c>
      <c r="AF418" t="s">
        <v>88</v>
      </c>
      <c r="AG418" t="s">
        <v>415</v>
      </c>
    </row>
    <row r="419" spans="1:33" x14ac:dyDescent="0.35">
      <c r="A419" s="18">
        <v>44503.756249999999</v>
      </c>
      <c r="B419">
        <v>4585271</v>
      </c>
      <c r="C419" t="s">
        <v>377</v>
      </c>
      <c r="D419" t="s">
        <v>70</v>
      </c>
      <c r="E419" s="19">
        <v>42583</v>
      </c>
      <c r="F419" t="str">
        <f>"9781119179597"</f>
        <v>9781119179597</v>
      </c>
      <c r="G419" t="str">
        <f>"9781119179573"</f>
        <v>9781119179573</v>
      </c>
      <c r="H419" t="s">
        <v>378</v>
      </c>
      <c r="I419">
        <v>658.4</v>
      </c>
      <c r="J419" t="s">
        <v>379</v>
      </c>
      <c r="K419" t="s">
        <v>73</v>
      </c>
      <c r="N419" t="s">
        <v>74</v>
      </c>
      <c r="O419" t="s">
        <v>75</v>
      </c>
      <c r="P419" t="s">
        <v>74</v>
      </c>
      <c r="Q419" t="s">
        <v>76</v>
      </c>
      <c r="R419" t="s">
        <v>73</v>
      </c>
      <c r="S419">
        <v>0</v>
      </c>
      <c r="W419" s="20">
        <v>1.1805555555555556E-3</v>
      </c>
      <c r="X419" t="s">
        <v>249</v>
      </c>
      <c r="Y419">
        <v>2</v>
      </c>
      <c r="Z419">
        <v>0</v>
      </c>
      <c r="AA419" t="s">
        <v>78</v>
      </c>
      <c r="AB419">
        <v>0</v>
      </c>
      <c r="AC419" t="s">
        <v>78</v>
      </c>
      <c r="AD419">
        <v>0</v>
      </c>
      <c r="AE419">
        <v>11234254</v>
      </c>
      <c r="AF419" t="s">
        <v>88</v>
      </c>
      <c r="AG419" t="s">
        <v>1184</v>
      </c>
    </row>
    <row r="420" spans="1:33" x14ac:dyDescent="0.35">
      <c r="A420" s="18">
        <v>44503.642361111109</v>
      </c>
      <c r="B420">
        <v>343603</v>
      </c>
      <c r="C420" t="s">
        <v>1185</v>
      </c>
      <c r="D420" t="s">
        <v>158</v>
      </c>
      <c r="E420" s="19">
        <v>39325</v>
      </c>
      <c r="F420" t="str">
        <f>"9780080550497"</f>
        <v>9780080550497</v>
      </c>
      <c r="G420" t="str">
        <f>"9780080447018"</f>
        <v>9780080447018</v>
      </c>
      <c r="H420" t="s">
        <v>584</v>
      </c>
      <c r="I420">
        <v>616.85226999999998</v>
      </c>
      <c r="J420" t="s">
        <v>1186</v>
      </c>
      <c r="K420" t="s">
        <v>73</v>
      </c>
      <c r="N420" t="s">
        <v>74</v>
      </c>
      <c r="O420" t="s">
        <v>75</v>
      </c>
      <c r="P420" t="s">
        <v>74</v>
      </c>
      <c r="Q420" t="s">
        <v>76</v>
      </c>
      <c r="R420" t="s">
        <v>73</v>
      </c>
      <c r="S420">
        <v>0</v>
      </c>
      <c r="W420" s="20">
        <v>8.1018518518518516E-4</v>
      </c>
      <c r="X420" t="s">
        <v>1187</v>
      </c>
      <c r="Y420">
        <v>17</v>
      </c>
      <c r="Z420">
        <v>0</v>
      </c>
      <c r="AA420" t="s">
        <v>78</v>
      </c>
      <c r="AB420">
        <v>0</v>
      </c>
      <c r="AC420" t="s">
        <v>78</v>
      </c>
      <c r="AD420">
        <v>0</v>
      </c>
      <c r="AE420">
        <v>10224997</v>
      </c>
      <c r="AF420" t="s">
        <v>79</v>
      </c>
      <c r="AG420" t="s">
        <v>952</v>
      </c>
    </row>
    <row r="421" spans="1:33" x14ac:dyDescent="0.35">
      <c r="A421" s="18">
        <v>44503.629861111112</v>
      </c>
      <c r="B421">
        <v>3443519</v>
      </c>
      <c r="C421" t="s">
        <v>306</v>
      </c>
      <c r="D421" t="s">
        <v>307</v>
      </c>
      <c r="E421" s="19">
        <v>37622</v>
      </c>
      <c r="F421" t="str">
        <f>"9780292792395"</f>
        <v>9780292792395</v>
      </c>
      <c r="G421" t="str">
        <f>"9780292705159"</f>
        <v>9780292705159</v>
      </c>
      <c r="H421" t="s">
        <v>308</v>
      </c>
      <c r="I421" t="s">
        <v>309</v>
      </c>
      <c r="J421" t="s">
        <v>310</v>
      </c>
      <c r="K421" t="s">
        <v>73</v>
      </c>
      <c r="N421" t="s">
        <v>74</v>
      </c>
      <c r="O421" t="s">
        <v>75</v>
      </c>
      <c r="P421" t="s">
        <v>74</v>
      </c>
      <c r="Q421" t="s">
        <v>76</v>
      </c>
      <c r="R421" t="s">
        <v>73</v>
      </c>
      <c r="S421">
        <v>0</v>
      </c>
      <c r="W421" s="20">
        <v>1.9259259259259261E-2</v>
      </c>
      <c r="X421" t="s">
        <v>1188</v>
      </c>
      <c r="Y421">
        <v>25</v>
      </c>
      <c r="Z421">
        <v>0</v>
      </c>
      <c r="AA421" t="s">
        <v>78</v>
      </c>
      <c r="AB421">
        <v>0</v>
      </c>
      <c r="AC421" t="s">
        <v>1189</v>
      </c>
      <c r="AD421">
        <v>4</v>
      </c>
      <c r="AE421">
        <v>10439445</v>
      </c>
      <c r="AF421" t="s">
        <v>79</v>
      </c>
      <c r="AG421" t="s">
        <v>1190</v>
      </c>
    </row>
    <row r="422" spans="1:33" x14ac:dyDescent="0.35">
      <c r="A422" s="18">
        <v>44503.618750000001</v>
      </c>
      <c r="B422">
        <v>848526</v>
      </c>
      <c r="C422" t="s">
        <v>1144</v>
      </c>
      <c r="D422" t="s">
        <v>70</v>
      </c>
      <c r="E422" s="19">
        <v>41212</v>
      </c>
      <c r="F422" t="str">
        <f>"9781118310069"</f>
        <v>9781118310069</v>
      </c>
      <c r="G422" t="str">
        <f>"9780470566671"</f>
        <v>9780470566671</v>
      </c>
      <c r="H422" t="s">
        <v>1145</v>
      </c>
      <c r="I422">
        <v>610.28</v>
      </c>
      <c r="J422" t="s">
        <v>1146</v>
      </c>
      <c r="K422" t="s">
        <v>73</v>
      </c>
      <c r="N422" t="s">
        <v>74</v>
      </c>
      <c r="O422" t="s">
        <v>75</v>
      </c>
      <c r="P422" t="s">
        <v>74</v>
      </c>
      <c r="Q422" t="s">
        <v>76</v>
      </c>
      <c r="R422" t="s">
        <v>73</v>
      </c>
      <c r="S422">
        <v>0</v>
      </c>
      <c r="W422" s="20">
        <v>1.0995370370370371E-3</v>
      </c>
      <c r="X422" t="s">
        <v>1191</v>
      </c>
      <c r="Y422">
        <v>13</v>
      </c>
      <c r="Z422">
        <v>0</v>
      </c>
      <c r="AA422" t="s">
        <v>78</v>
      </c>
      <c r="AB422">
        <v>0</v>
      </c>
      <c r="AC422" t="s">
        <v>78</v>
      </c>
      <c r="AD422">
        <v>0</v>
      </c>
      <c r="AE422">
        <v>10615085</v>
      </c>
      <c r="AF422" t="s">
        <v>79</v>
      </c>
      <c r="AG422" t="s">
        <v>1173</v>
      </c>
    </row>
    <row r="423" spans="1:33" x14ac:dyDescent="0.35">
      <c r="A423" s="18">
        <v>44503.556944444441</v>
      </c>
      <c r="B423">
        <v>848526</v>
      </c>
      <c r="C423" t="s">
        <v>1144</v>
      </c>
      <c r="D423" t="s">
        <v>70</v>
      </c>
      <c r="E423" s="19">
        <v>41212</v>
      </c>
      <c r="F423" t="str">
        <f>"9781118310069"</f>
        <v>9781118310069</v>
      </c>
      <c r="G423" t="str">
        <f>"9780470566671"</f>
        <v>9780470566671</v>
      </c>
      <c r="H423" t="s">
        <v>1145</v>
      </c>
      <c r="I423">
        <v>610.28</v>
      </c>
      <c r="J423" t="s">
        <v>1146</v>
      </c>
      <c r="K423" t="s">
        <v>73</v>
      </c>
      <c r="N423" t="s">
        <v>74</v>
      </c>
      <c r="O423" t="s">
        <v>75</v>
      </c>
      <c r="P423" t="s">
        <v>74</v>
      </c>
      <c r="Q423" t="s">
        <v>76</v>
      </c>
      <c r="R423" t="s">
        <v>73</v>
      </c>
      <c r="S423">
        <v>0</v>
      </c>
      <c r="W423" s="20">
        <v>3.1712962962962958E-3</v>
      </c>
      <c r="X423" t="s">
        <v>1192</v>
      </c>
      <c r="Y423">
        <v>15</v>
      </c>
      <c r="Z423">
        <v>0</v>
      </c>
      <c r="AA423" t="s">
        <v>78</v>
      </c>
      <c r="AB423">
        <v>0</v>
      </c>
      <c r="AC423" t="s">
        <v>78</v>
      </c>
      <c r="AD423">
        <v>0</v>
      </c>
      <c r="AE423">
        <v>10615085</v>
      </c>
      <c r="AF423" t="s">
        <v>79</v>
      </c>
      <c r="AG423" t="s">
        <v>1173</v>
      </c>
    </row>
    <row r="424" spans="1:33" x14ac:dyDescent="0.35">
      <c r="A424" s="18">
        <v>44503.529166666667</v>
      </c>
      <c r="B424">
        <v>3425859</v>
      </c>
      <c r="C424" t="s">
        <v>1193</v>
      </c>
      <c r="D424" t="s">
        <v>502</v>
      </c>
      <c r="E424" s="19">
        <v>42078</v>
      </c>
      <c r="F424" t="str">
        <f>"9781780405339"</f>
        <v>9781780405339</v>
      </c>
      <c r="G424" t="str">
        <f>"9781780405322"</f>
        <v>9781780405322</v>
      </c>
      <c r="H424" t="s">
        <v>1194</v>
      </c>
      <c r="I424">
        <v>627.4</v>
      </c>
      <c r="J424" t="s">
        <v>1195</v>
      </c>
      <c r="K424" t="s">
        <v>73</v>
      </c>
      <c r="N424" t="s">
        <v>74</v>
      </c>
      <c r="O424" t="s">
        <v>75</v>
      </c>
      <c r="P424" t="s">
        <v>74</v>
      </c>
      <c r="Q424" t="s">
        <v>76</v>
      </c>
      <c r="R424" t="s">
        <v>73</v>
      </c>
      <c r="S424">
        <v>0</v>
      </c>
      <c r="W424" s="20">
        <v>5.7870370370370366E-5</v>
      </c>
      <c r="X424" t="s">
        <v>132</v>
      </c>
      <c r="Y424">
        <v>1</v>
      </c>
      <c r="Z424">
        <v>0</v>
      </c>
      <c r="AA424" t="s">
        <v>78</v>
      </c>
      <c r="AB424">
        <v>0</v>
      </c>
      <c r="AC424" t="s">
        <v>78</v>
      </c>
      <c r="AD424">
        <v>0</v>
      </c>
      <c r="AE424">
        <v>11080167</v>
      </c>
      <c r="AF424" t="s">
        <v>79</v>
      </c>
      <c r="AG424" t="s">
        <v>415</v>
      </c>
    </row>
    <row r="425" spans="1:33" x14ac:dyDescent="0.35">
      <c r="A425" s="18">
        <v>44503.518750000003</v>
      </c>
      <c r="B425">
        <v>848526</v>
      </c>
      <c r="C425" t="s">
        <v>1144</v>
      </c>
      <c r="D425" t="s">
        <v>70</v>
      </c>
      <c r="E425" s="19">
        <v>41212</v>
      </c>
      <c r="F425" t="str">
        <f>"9781118310069"</f>
        <v>9781118310069</v>
      </c>
      <c r="G425" t="str">
        <f>"9780470566671"</f>
        <v>9780470566671</v>
      </c>
      <c r="H425" t="s">
        <v>1145</v>
      </c>
      <c r="I425">
        <v>610.28</v>
      </c>
      <c r="J425" t="s">
        <v>1146</v>
      </c>
      <c r="K425" t="s">
        <v>73</v>
      </c>
      <c r="N425" t="s">
        <v>74</v>
      </c>
      <c r="O425" t="s">
        <v>75</v>
      </c>
      <c r="P425" t="s">
        <v>74</v>
      </c>
      <c r="Q425" t="s">
        <v>76</v>
      </c>
      <c r="R425" t="s">
        <v>73</v>
      </c>
      <c r="S425">
        <v>0</v>
      </c>
      <c r="W425" s="20">
        <v>7.7546296296296304E-4</v>
      </c>
      <c r="X425" t="s">
        <v>1196</v>
      </c>
      <c r="Y425">
        <v>4</v>
      </c>
      <c r="Z425">
        <v>0</v>
      </c>
      <c r="AA425" t="s">
        <v>78</v>
      </c>
      <c r="AB425">
        <v>0</v>
      </c>
      <c r="AC425" t="s">
        <v>78</v>
      </c>
      <c r="AD425">
        <v>0</v>
      </c>
      <c r="AE425">
        <v>10615085</v>
      </c>
      <c r="AF425" t="s">
        <v>79</v>
      </c>
      <c r="AG425" t="s">
        <v>1173</v>
      </c>
    </row>
    <row r="426" spans="1:33" x14ac:dyDescent="0.35">
      <c r="A426" s="18">
        <v>44503.506249999999</v>
      </c>
      <c r="B426">
        <v>6546221</v>
      </c>
      <c r="C426" t="s">
        <v>178</v>
      </c>
      <c r="D426" t="s">
        <v>158</v>
      </c>
      <c r="E426" s="19">
        <v>44299</v>
      </c>
      <c r="F426" t="str">
        <f>"9780128219300"</f>
        <v>9780128219300</v>
      </c>
      <c r="G426" t="str">
        <f>"9780128219294"</f>
        <v>9780128219294</v>
      </c>
      <c r="H426" t="s">
        <v>179</v>
      </c>
      <c r="I426">
        <v>622.33802856310001</v>
      </c>
      <c r="J426" t="s">
        <v>180</v>
      </c>
      <c r="K426" t="s">
        <v>85</v>
      </c>
      <c r="N426" t="s">
        <v>86</v>
      </c>
      <c r="P426" t="s">
        <v>87</v>
      </c>
      <c r="Q426" t="s">
        <v>76</v>
      </c>
      <c r="R426" t="s">
        <v>73</v>
      </c>
      <c r="S426">
        <v>0</v>
      </c>
      <c r="W426" s="20">
        <v>5.7870370370370366E-5</v>
      </c>
      <c r="X426" t="s">
        <v>132</v>
      </c>
      <c r="Y426">
        <v>1</v>
      </c>
      <c r="Z426">
        <v>0</v>
      </c>
      <c r="AA426" t="s">
        <v>78</v>
      </c>
      <c r="AB426">
        <v>0</v>
      </c>
      <c r="AC426" t="s">
        <v>78</v>
      </c>
      <c r="AD426">
        <v>0</v>
      </c>
      <c r="AE426">
        <v>-1</v>
      </c>
      <c r="AF426" t="s">
        <v>79</v>
      </c>
      <c r="AG426" t="s">
        <v>1197</v>
      </c>
    </row>
    <row r="427" spans="1:33" x14ac:dyDescent="0.35">
      <c r="A427" s="18">
        <v>44503.482638888891</v>
      </c>
      <c r="B427">
        <v>3425859</v>
      </c>
      <c r="C427" t="s">
        <v>1193</v>
      </c>
      <c r="D427" t="s">
        <v>502</v>
      </c>
      <c r="E427" s="19">
        <v>42078</v>
      </c>
      <c r="F427" t="str">
        <f>"9781780405339"</f>
        <v>9781780405339</v>
      </c>
      <c r="G427" t="str">
        <f>"9781780405322"</f>
        <v>9781780405322</v>
      </c>
      <c r="H427" t="s">
        <v>1194</v>
      </c>
      <c r="I427">
        <v>627.4</v>
      </c>
      <c r="J427" t="s">
        <v>1195</v>
      </c>
      <c r="K427" t="s">
        <v>73</v>
      </c>
      <c r="N427" t="s">
        <v>74</v>
      </c>
      <c r="O427" t="s">
        <v>75</v>
      </c>
      <c r="P427" t="s">
        <v>74</v>
      </c>
      <c r="Q427" t="s">
        <v>76</v>
      </c>
      <c r="R427" t="s">
        <v>73</v>
      </c>
      <c r="S427">
        <v>0</v>
      </c>
      <c r="W427" s="20">
        <v>2.2222222222222222E-3</v>
      </c>
      <c r="X427" t="s">
        <v>1198</v>
      </c>
      <c r="Y427">
        <v>9</v>
      </c>
      <c r="Z427">
        <v>0</v>
      </c>
      <c r="AA427" t="s">
        <v>78</v>
      </c>
      <c r="AB427">
        <v>0</v>
      </c>
      <c r="AC427" t="s">
        <v>78</v>
      </c>
      <c r="AD427">
        <v>0</v>
      </c>
      <c r="AE427">
        <v>11080167</v>
      </c>
      <c r="AF427" t="s">
        <v>79</v>
      </c>
      <c r="AG427" t="s">
        <v>415</v>
      </c>
    </row>
    <row r="428" spans="1:33" x14ac:dyDescent="0.35">
      <c r="A428" s="18">
        <v>44503.445138888892</v>
      </c>
      <c r="B428">
        <v>6123275</v>
      </c>
      <c r="C428" t="s">
        <v>909</v>
      </c>
      <c r="D428" t="s">
        <v>70</v>
      </c>
      <c r="E428" s="19">
        <v>43914</v>
      </c>
      <c r="F428" t="str">
        <f>"9781119540311"</f>
        <v>9781119540311</v>
      </c>
      <c r="G428" t="str">
        <f>"9781119540281"</f>
        <v>9781119540281</v>
      </c>
      <c r="H428" t="s">
        <v>83</v>
      </c>
      <c r="I428">
        <v>621.47</v>
      </c>
      <c r="J428" t="s">
        <v>910</v>
      </c>
      <c r="K428" t="s">
        <v>85</v>
      </c>
      <c r="N428" t="s">
        <v>86</v>
      </c>
      <c r="P428" t="s">
        <v>297</v>
      </c>
      <c r="Q428" t="s">
        <v>76</v>
      </c>
      <c r="R428" t="s">
        <v>73</v>
      </c>
      <c r="S428">
        <v>2</v>
      </c>
      <c r="T428">
        <v>1</v>
      </c>
      <c r="U428" s="18">
        <v>44503.445138888892</v>
      </c>
      <c r="V428" s="18">
        <v>44504.445138888892</v>
      </c>
      <c r="W428" s="20">
        <v>2.4421296296296296E-3</v>
      </c>
      <c r="X428" t="s">
        <v>1199</v>
      </c>
      <c r="Y428">
        <v>23</v>
      </c>
      <c r="Z428">
        <v>2</v>
      </c>
      <c r="AA428" t="s">
        <v>1200</v>
      </c>
      <c r="AB428">
        <v>168</v>
      </c>
      <c r="AC428" t="s">
        <v>78</v>
      </c>
      <c r="AD428">
        <v>0</v>
      </c>
      <c r="AE428">
        <v>-1</v>
      </c>
      <c r="AF428" t="s">
        <v>88</v>
      </c>
      <c r="AG428" t="s">
        <v>952</v>
      </c>
    </row>
    <row r="429" spans="1:33" x14ac:dyDescent="0.35">
      <c r="A429" s="18">
        <v>44503.439583333333</v>
      </c>
      <c r="B429">
        <v>6123275</v>
      </c>
      <c r="C429" t="s">
        <v>909</v>
      </c>
      <c r="D429" t="s">
        <v>70</v>
      </c>
      <c r="E429" s="19">
        <v>43914</v>
      </c>
      <c r="F429" t="str">
        <f>"9781119540311"</f>
        <v>9781119540311</v>
      </c>
      <c r="G429" t="str">
        <f>"9781119540281"</f>
        <v>9781119540281</v>
      </c>
      <c r="H429" t="s">
        <v>83</v>
      </c>
      <c r="I429">
        <v>621.47</v>
      </c>
      <c r="J429" t="s">
        <v>910</v>
      </c>
      <c r="K429" t="s">
        <v>85</v>
      </c>
      <c r="N429" t="s">
        <v>86</v>
      </c>
      <c r="P429" t="s">
        <v>297</v>
      </c>
      <c r="Q429" t="s">
        <v>76</v>
      </c>
      <c r="R429" t="s">
        <v>73</v>
      </c>
      <c r="S429">
        <v>0</v>
      </c>
      <c r="W429" s="20">
        <v>3.1944444444444442E-3</v>
      </c>
      <c r="X429" t="s">
        <v>1201</v>
      </c>
      <c r="Y429">
        <v>4</v>
      </c>
      <c r="Z429">
        <v>4</v>
      </c>
      <c r="AA429" t="s">
        <v>1202</v>
      </c>
      <c r="AB429">
        <v>183</v>
      </c>
      <c r="AC429" t="s">
        <v>78</v>
      </c>
      <c r="AD429">
        <v>0</v>
      </c>
      <c r="AE429">
        <v>-1</v>
      </c>
      <c r="AF429" t="s">
        <v>88</v>
      </c>
      <c r="AG429" t="s">
        <v>952</v>
      </c>
    </row>
    <row r="430" spans="1:33" x14ac:dyDescent="0.35">
      <c r="A430" s="18">
        <v>44503.366666666669</v>
      </c>
      <c r="B430">
        <v>6735652</v>
      </c>
      <c r="C430" t="s">
        <v>1203</v>
      </c>
      <c r="D430" t="s">
        <v>127</v>
      </c>
      <c r="E430" s="19">
        <v>44470</v>
      </c>
      <c r="F430" t="str">
        <f>"9781000439908"</f>
        <v>9781000439908</v>
      </c>
      <c r="G430" t="str">
        <f>"9780367337230"</f>
        <v>9780367337230</v>
      </c>
      <c r="H430" t="s">
        <v>1204</v>
      </c>
      <c r="I430">
        <v>418.00709999999998</v>
      </c>
      <c r="K430" t="s">
        <v>85</v>
      </c>
      <c r="N430" t="s">
        <v>86</v>
      </c>
      <c r="P430" t="s">
        <v>297</v>
      </c>
      <c r="Q430" t="s">
        <v>76</v>
      </c>
      <c r="R430" t="s">
        <v>73</v>
      </c>
      <c r="S430">
        <v>0</v>
      </c>
      <c r="W430" s="20">
        <v>2.1990740740740742E-3</v>
      </c>
      <c r="X430" t="s">
        <v>1205</v>
      </c>
      <c r="Y430">
        <v>17</v>
      </c>
      <c r="Z430">
        <v>1</v>
      </c>
      <c r="AA430" t="s">
        <v>1206</v>
      </c>
      <c r="AB430">
        <v>25</v>
      </c>
      <c r="AC430" t="s">
        <v>78</v>
      </c>
      <c r="AD430">
        <v>0</v>
      </c>
      <c r="AE430">
        <v>-1</v>
      </c>
      <c r="AF430" t="s">
        <v>79</v>
      </c>
      <c r="AG430" t="s">
        <v>415</v>
      </c>
    </row>
    <row r="431" spans="1:33" x14ac:dyDescent="0.35">
      <c r="A431" s="18">
        <v>44503.121527777781</v>
      </c>
      <c r="B431">
        <v>1666477</v>
      </c>
      <c r="C431" t="s">
        <v>1207</v>
      </c>
      <c r="D431" t="s">
        <v>70</v>
      </c>
      <c r="E431" s="19">
        <v>41813</v>
      </c>
      <c r="F431" t="str">
        <f>"9781118636374"</f>
        <v>9781118636374</v>
      </c>
      <c r="G431" t="str">
        <f>"9781118636459"</f>
        <v>9781118636459</v>
      </c>
      <c r="H431" t="s">
        <v>1208</v>
      </c>
      <c r="I431">
        <v>629.43399999999997</v>
      </c>
      <c r="J431" t="s">
        <v>1209</v>
      </c>
      <c r="K431" t="s">
        <v>73</v>
      </c>
      <c r="N431" t="s">
        <v>74</v>
      </c>
      <c r="O431" t="s">
        <v>75</v>
      </c>
      <c r="P431" t="s">
        <v>74</v>
      </c>
      <c r="Q431" t="s">
        <v>76</v>
      </c>
      <c r="R431" t="s">
        <v>73</v>
      </c>
      <c r="S431">
        <v>1</v>
      </c>
      <c r="W431" s="20">
        <v>1.2962962962962963E-2</v>
      </c>
      <c r="X431" t="s">
        <v>1210</v>
      </c>
      <c r="Y431">
        <v>28</v>
      </c>
      <c r="Z431">
        <v>0</v>
      </c>
      <c r="AA431" t="s">
        <v>78</v>
      </c>
      <c r="AB431">
        <v>0</v>
      </c>
      <c r="AC431" t="s">
        <v>1211</v>
      </c>
      <c r="AD431">
        <v>4</v>
      </c>
      <c r="AE431">
        <v>10862656</v>
      </c>
      <c r="AF431" t="s">
        <v>88</v>
      </c>
      <c r="AG431" t="s">
        <v>1170</v>
      </c>
    </row>
    <row r="432" spans="1:33" x14ac:dyDescent="0.35">
      <c r="A432" s="18">
        <v>44503.119444444441</v>
      </c>
      <c r="B432">
        <v>1666477</v>
      </c>
      <c r="C432" t="s">
        <v>1207</v>
      </c>
      <c r="D432" t="s">
        <v>70</v>
      </c>
      <c r="E432" s="19">
        <v>41813</v>
      </c>
      <c r="F432" t="str">
        <f>"9781118636374"</f>
        <v>9781118636374</v>
      </c>
      <c r="G432" t="str">
        <f>"9781118636459"</f>
        <v>9781118636459</v>
      </c>
      <c r="H432" t="s">
        <v>1208</v>
      </c>
      <c r="I432">
        <v>629.43399999999997</v>
      </c>
      <c r="J432" t="s">
        <v>1209</v>
      </c>
      <c r="K432" t="s">
        <v>73</v>
      </c>
      <c r="N432" t="s">
        <v>74</v>
      </c>
      <c r="O432" t="s">
        <v>75</v>
      </c>
      <c r="P432" t="s">
        <v>74</v>
      </c>
      <c r="Q432" t="s">
        <v>76</v>
      </c>
      <c r="R432" t="s">
        <v>73</v>
      </c>
      <c r="S432">
        <v>0</v>
      </c>
      <c r="W432" s="20">
        <v>1.6666666666666668E-3</v>
      </c>
      <c r="X432" t="s">
        <v>1212</v>
      </c>
      <c r="Y432">
        <v>14</v>
      </c>
      <c r="Z432">
        <v>0</v>
      </c>
      <c r="AA432" t="s">
        <v>78</v>
      </c>
      <c r="AB432">
        <v>0</v>
      </c>
      <c r="AC432" t="s">
        <v>78</v>
      </c>
      <c r="AD432">
        <v>0</v>
      </c>
      <c r="AE432">
        <v>10862656</v>
      </c>
      <c r="AF432" t="s">
        <v>79</v>
      </c>
      <c r="AG432" t="s">
        <v>1170</v>
      </c>
    </row>
    <row r="433" spans="1:33" x14ac:dyDescent="0.35">
      <c r="A433" s="18">
        <v>44503.074999999997</v>
      </c>
      <c r="B433">
        <v>3018174</v>
      </c>
      <c r="C433" t="s">
        <v>955</v>
      </c>
      <c r="D433" t="s">
        <v>226</v>
      </c>
      <c r="E433" s="19">
        <v>40360</v>
      </c>
      <c r="F433" t="str">
        <f>"9781611226324"</f>
        <v>9781611226324</v>
      </c>
      <c r="G433" t="str">
        <f>"9781608762729"</f>
        <v>9781608762729</v>
      </c>
      <c r="H433" t="s">
        <v>469</v>
      </c>
      <c r="I433" t="s">
        <v>956</v>
      </c>
      <c r="J433" t="s">
        <v>957</v>
      </c>
      <c r="K433" t="s">
        <v>73</v>
      </c>
      <c r="N433" t="s">
        <v>74</v>
      </c>
      <c r="O433" t="s">
        <v>75</v>
      </c>
      <c r="P433" t="s">
        <v>230</v>
      </c>
      <c r="Q433" t="s">
        <v>76</v>
      </c>
      <c r="R433" t="s">
        <v>85</v>
      </c>
      <c r="S433">
        <v>0</v>
      </c>
      <c r="W433" s="20">
        <v>1.6608796296296299E-2</v>
      </c>
      <c r="X433" t="s">
        <v>1213</v>
      </c>
      <c r="Y433">
        <v>30</v>
      </c>
      <c r="Z433">
        <v>0</v>
      </c>
      <c r="AA433" t="s">
        <v>78</v>
      </c>
      <c r="AB433">
        <v>0</v>
      </c>
      <c r="AC433" t="s">
        <v>78</v>
      </c>
      <c r="AD433">
        <v>0</v>
      </c>
      <c r="AE433">
        <v>10659096</v>
      </c>
      <c r="AF433" t="s">
        <v>79</v>
      </c>
      <c r="AG433" t="s">
        <v>952</v>
      </c>
    </row>
    <row r="434" spans="1:33" x14ac:dyDescent="0.35">
      <c r="A434" s="18">
        <v>44502.851388888892</v>
      </c>
      <c r="B434">
        <v>3018174</v>
      </c>
      <c r="C434" t="s">
        <v>955</v>
      </c>
      <c r="D434" t="s">
        <v>226</v>
      </c>
      <c r="E434" s="19">
        <v>40360</v>
      </c>
      <c r="F434" t="str">
        <f>"9781611226324"</f>
        <v>9781611226324</v>
      </c>
      <c r="G434" t="str">
        <f>"9781608762729"</f>
        <v>9781608762729</v>
      </c>
      <c r="H434" t="s">
        <v>469</v>
      </c>
      <c r="I434" t="s">
        <v>956</v>
      </c>
      <c r="J434" t="s">
        <v>957</v>
      </c>
      <c r="K434" t="s">
        <v>73</v>
      </c>
      <c r="N434" t="s">
        <v>74</v>
      </c>
      <c r="O434" t="s">
        <v>75</v>
      </c>
      <c r="P434" t="s">
        <v>230</v>
      </c>
      <c r="Q434" t="s">
        <v>76</v>
      </c>
      <c r="R434" t="s">
        <v>85</v>
      </c>
      <c r="S434">
        <v>0</v>
      </c>
      <c r="W434" s="20">
        <v>9.2592592592592588E-5</v>
      </c>
      <c r="X434" t="s">
        <v>1214</v>
      </c>
      <c r="Y434">
        <v>1</v>
      </c>
      <c r="Z434">
        <v>0</v>
      </c>
      <c r="AA434" t="s">
        <v>78</v>
      </c>
      <c r="AB434">
        <v>0</v>
      </c>
      <c r="AC434" t="s">
        <v>78</v>
      </c>
      <c r="AD434">
        <v>0</v>
      </c>
      <c r="AE434">
        <v>10659096</v>
      </c>
      <c r="AF434" t="s">
        <v>79</v>
      </c>
      <c r="AG434" t="s">
        <v>952</v>
      </c>
    </row>
    <row r="435" spans="1:33" x14ac:dyDescent="0.35">
      <c r="A435" s="18">
        <v>44502.845833333333</v>
      </c>
      <c r="B435">
        <v>6694113</v>
      </c>
      <c r="C435" t="s">
        <v>359</v>
      </c>
      <c r="D435" t="s">
        <v>127</v>
      </c>
      <c r="E435" s="19">
        <v>44467</v>
      </c>
      <c r="F435" t="str">
        <f>"9781000460643"</f>
        <v>9781000460643</v>
      </c>
      <c r="G435" t="str">
        <f>"9780367485177"</f>
        <v>9780367485177</v>
      </c>
      <c r="H435" t="s">
        <v>128</v>
      </c>
      <c r="I435">
        <v>307.76095379999998</v>
      </c>
      <c r="K435" t="s">
        <v>85</v>
      </c>
      <c r="N435" t="s">
        <v>86</v>
      </c>
      <c r="P435" t="s">
        <v>87</v>
      </c>
      <c r="Q435" t="s">
        <v>76</v>
      </c>
      <c r="R435" t="s">
        <v>73</v>
      </c>
      <c r="S435">
        <v>0</v>
      </c>
      <c r="W435" s="20">
        <v>5.7870370370370366E-5</v>
      </c>
      <c r="X435" t="s">
        <v>249</v>
      </c>
      <c r="Y435">
        <v>2</v>
      </c>
      <c r="Z435">
        <v>1</v>
      </c>
      <c r="AA435" t="s">
        <v>1215</v>
      </c>
      <c r="AB435">
        <v>38</v>
      </c>
      <c r="AC435" t="s">
        <v>78</v>
      </c>
      <c r="AD435">
        <v>0</v>
      </c>
      <c r="AE435">
        <v>-1</v>
      </c>
      <c r="AF435" t="s">
        <v>79</v>
      </c>
      <c r="AG435" t="s">
        <v>952</v>
      </c>
    </row>
    <row r="436" spans="1:33" x14ac:dyDescent="0.35">
      <c r="A436" s="18">
        <v>44502.835416666669</v>
      </c>
      <c r="B436">
        <v>1135077</v>
      </c>
      <c r="C436" t="s">
        <v>1216</v>
      </c>
      <c r="D436" t="s">
        <v>1217</v>
      </c>
      <c r="E436" s="19">
        <v>40544</v>
      </c>
      <c r="F436" t="str">
        <f>"9782869784345"</f>
        <v>9782869784345</v>
      </c>
      <c r="G436" t="str">
        <f>"9782869783058"</f>
        <v>9782869783058</v>
      </c>
      <c r="H436" t="s">
        <v>1218</v>
      </c>
      <c r="I436">
        <v>320.55091767099998</v>
      </c>
      <c r="J436" t="s">
        <v>1219</v>
      </c>
      <c r="K436" t="s">
        <v>73</v>
      </c>
      <c r="N436" t="s">
        <v>74</v>
      </c>
      <c r="O436" t="s">
        <v>75</v>
      </c>
      <c r="P436" t="s">
        <v>230</v>
      </c>
      <c r="Q436" t="s">
        <v>76</v>
      </c>
      <c r="R436" t="s">
        <v>85</v>
      </c>
      <c r="S436">
        <v>0</v>
      </c>
      <c r="W436" s="20">
        <v>8.7962962962962962E-4</v>
      </c>
      <c r="X436" t="s">
        <v>1220</v>
      </c>
      <c r="Y436">
        <v>8</v>
      </c>
      <c r="Z436">
        <v>0</v>
      </c>
      <c r="AA436" t="s">
        <v>78</v>
      </c>
      <c r="AB436">
        <v>0</v>
      </c>
      <c r="AC436" t="s">
        <v>78</v>
      </c>
      <c r="AD436">
        <v>0</v>
      </c>
      <c r="AE436">
        <v>10470275</v>
      </c>
      <c r="AF436" t="s">
        <v>79</v>
      </c>
      <c r="AG436" t="s">
        <v>242</v>
      </c>
    </row>
    <row r="437" spans="1:33" x14ac:dyDescent="0.35">
      <c r="A437" s="18">
        <v>44502.829861111109</v>
      </c>
      <c r="B437">
        <v>3318673</v>
      </c>
      <c r="C437" t="s">
        <v>997</v>
      </c>
      <c r="D437" t="s">
        <v>998</v>
      </c>
      <c r="E437" s="19">
        <v>41302</v>
      </c>
      <c r="F437" t="str">
        <f>"9781421411118"</f>
        <v>9781421411118</v>
      </c>
      <c r="G437" t="str">
        <f>"9781421411101"</f>
        <v>9781421411101</v>
      </c>
      <c r="H437" t="s">
        <v>128</v>
      </c>
      <c r="I437">
        <v>363.33097299999997</v>
      </c>
      <c r="J437" t="s">
        <v>999</v>
      </c>
      <c r="K437" t="s">
        <v>73</v>
      </c>
      <c r="N437" t="s">
        <v>74</v>
      </c>
      <c r="O437" t="s">
        <v>75</v>
      </c>
      <c r="P437" t="s">
        <v>74</v>
      </c>
      <c r="Q437" t="s">
        <v>76</v>
      </c>
      <c r="R437" t="s">
        <v>73</v>
      </c>
      <c r="S437">
        <v>0</v>
      </c>
      <c r="W437" s="20">
        <v>1.9097222222222222E-3</v>
      </c>
      <c r="X437" t="s">
        <v>1221</v>
      </c>
      <c r="Y437">
        <v>7</v>
      </c>
      <c r="Z437">
        <v>0</v>
      </c>
      <c r="AA437" t="s">
        <v>78</v>
      </c>
      <c r="AB437">
        <v>0</v>
      </c>
      <c r="AC437" t="s">
        <v>78</v>
      </c>
      <c r="AD437">
        <v>0</v>
      </c>
      <c r="AE437">
        <v>10654392</v>
      </c>
      <c r="AF437" t="s">
        <v>79</v>
      </c>
      <c r="AG437" t="s">
        <v>952</v>
      </c>
    </row>
    <row r="438" spans="1:33" x14ac:dyDescent="0.35">
      <c r="A438" s="18">
        <v>44502.724999999999</v>
      </c>
      <c r="B438">
        <v>4548062</v>
      </c>
      <c r="C438" t="s">
        <v>1222</v>
      </c>
      <c r="D438" t="s">
        <v>70</v>
      </c>
      <c r="E438" s="19">
        <v>42352</v>
      </c>
      <c r="F438" t="str">
        <f>"9781118949436"</f>
        <v>9781118949436</v>
      </c>
      <c r="G438" t="str">
        <f>"9781118949443"</f>
        <v>9781118949443</v>
      </c>
      <c r="H438" t="s">
        <v>222</v>
      </c>
      <c r="I438">
        <v>610.71</v>
      </c>
      <c r="J438" t="s">
        <v>1223</v>
      </c>
      <c r="K438" t="s">
        <v>73</v>
      </c>
      <c r="N438" t="s">
        <v>74</v>
      </c>
      <c r="O438" t="s">
        <v>75</v>
      </c>
      <c r="P438" t="s">
        <v>74</v>
      </c>
      <c r="Q438" t="s">
        <v>76</v>
      </c>
      <c r="R438" t="s">
        <v>73</v>
      </c>
      <c r="S438">
        <v>1</v>
      </c>
      <c r="W438" s="20">
        <v>3.1365740740740742E-3</v>
      </c>
      <c r="X438" t="s">
        <v>1224</v>
      </c>
      <c r="Y438">
        <v>4</v>
      </c>
      <c r="Z438">
        <v>2</v>
      </c>
      <c r="AA438" t="s">
        <v>1225</v>
      </c>
      <c r="AB438">
        <v>47</v>
      </c>
      <c r="AC438" t="s">
        <v>78</v>
      </c>
      <c r="AD438">
        <v>0</v>
      </c>
      <c r="AE438">
        <v>11251350</v>
      </c>
      <c r="AF438" t="s">
        <v>88</v>
      </c>
      <c r="AG438" t="s">
        <v>1170</v>
      </c>
    </row>
    <row r="439" spans="1:33" x14ac:dyDescent="0.35">
      <c r="A439" s="18">
        <v>44502.71875</v>
      </c>
      <c r="B439">
        <v>4548062</v>
      </c>
      <c r="C439" t="s">
        <v>1222</v>
      </c>
      <c r="D439" t="s">
        <v>70</v>
      </c>
      <c r="E439" s="19">
        <v>42352</v>
      </c>
      <c r="F439" t="str">
        <f>"9781118949436"</f>
        <v>9781118949436</v>
      </c>
      <c r="G439" t="str">
        <f>"9781118949443"</f>
        <v>9781118949443</v>
      </c>
      <c r="H439" t="s">
        <v>222</v>
      </c>
      <c r="I439">
        <v>610.71</v>
      </c>
      <c r="J439" t="s">
        <v>1223</v>
      </c>
      <c r="K439" t="s">
        <v>73</v>
      </c>
      <c r="N439" t="s">
        <v>74</v>
      </c>
      <c r="O439" t="s">
        <v>75</v>
      </c>
      <c r="P439" t="s">
        <v>74</v>
      </c>
      <c r="Q439" t="s">
        <v>76</v>
      </c>
      <c r="R439" t="s">
        <v>73</v>
      </c>
      <c r="S439">
        <v>0</v>
      </c>
      <c r="W439" s="20">
        <v>1.7013888888888892E-3</v>
      </c>
      <c r="X439" t="s">
        <v>1226</v>
      </c>
      <c r="Y439">
        <v>9</v>
      </c>
      <c r="Z439">
        <v>5</v>
      </c>
      <c r="AA439" t="s">
        <v>1227</v>
      </c>
      <c r="AB439">
        <v>39</v>
      </c>
      <c r="AC439" t="s">
        <v>78</v>
      </c>
      <c r="AD439">
        <v>0</v>
      </c>
      <c r="AE439">
        <v>11251350</v>
      </c>
      <c r="AF439" t="s">
        <v>88</v>
      </c>
      <c r="AG439" t="s">
        <v>1170</v>
      </c>
    </row>
    <row r="440" spans="1:33" x14ac:dyDescent="0.35">
      <c r="A440" s="18">
        <v>44502.716666666667</v>
      </c>
      <c r="B440">
        <v>234357</v>
      </c>
      <c r="C440" t="s">
        <v>1228</v>
      </c>
      <c r="D440" t="s">
        <v>239</v>
      </c>
      <c r="E440" s="19">
        <v>37712</v>
      </c>
      <c r="F440" t="str">
        <f>"9789812564467"</f>
        <v>9789812564467</v>
      </c>
      <c r="G440" t="str">
        <f>"9789812383600"</f>
        <v>9789812383600</v>
      </c>
      <c r="H440" t="s">
        <v>1229</v>
      </c>
      <c r="I440">
        <v>515</v>
      </c>
      <c r="J440" t="s">
        <v>1230</v>
      </c>
      <c r="K440" t="s">
        <v>73</v>
      </c>
      <c r="N440" t="s">
        <v>74</v>
      </c>
      <c r="O440" t="s">
        <v>75</v>
      </c>
      <c r="P440" t="s">
        <v>74</v>
      </c>
      <c r="Q440" t="s">
        <v>76</v>
      </c>
      <c r="R440" t="s">
        <v>73</v>
      </c>
      <c r="S440">
        <v>0</v>
      </c>
      <c r="W440" s="20">
        <v>4.6296296296296294E-5</v>
      </c>
      <c r="X440" t="s">
        <v>132</v>
      </c>
      <c r="Y440">
        <v>1</v>
      </c>
      <c r="Z440">
        <v>0</v>
      </c>
      <c r="AA440" t="s">
        <v>78</v>
      </c>
      <c r="AB440">
        <v>0</v>
      </c>
      <c r="AC440" t="s">
        <v>78</v>
      </c>
      <c r="AD440">
        <v>0</v>
      </c>
      <c r="AE440">
        <v>10083765</v>
      </c>
      <c r="AF440" t="s">
        <v>79</v>
      </c>
      <c r="AG440" t="s">
        <v>1231</v>
      </c>
    </row>
    <row r="441" spans="1:33" x14ac:dyDescent="0.35">
      <c r="A441" s="18">
        <v>44502.481944444444</v>
      </c>
      <c r="B441">
        <v>3115631</v>
      </c>
      <c r="C441" t="s">
        <v>1232</v>
      </c>
      <c r="D441" t="s">
        <v>346</v>
      </c>
      <c r="E441" s="19">
        <v>41244</v>
      </c>
      <c r="F441" t="str">
        <f>"9780784477731"</f>
        <v>9780784477731</v>
      </c>
      <c r="G441" t="str">
        <f>"9780784412671"</f>
        <v>9780784412671</v>
      </c>
      <c r="H441" t="s">
        <v>1233</v>
      </c>
      <c r="I441">
        <v>691.02859999999998</v>
      </c>
      <c r="J441" t="s">
        <v>1234</v>
      </c>
      <c r="K441" t="s">
        <v>73</v>
      </c>
      <c r="N441" t="s">
        <v>74</v>
      </c>
      <c r="O441" t="s">
        <v>75</v>
      </c>
      <c r="P441" t="s">
        <v>74</v>
      </c>
      <c r="Q441" t="s">
        <v>76</v>
      </c>
      <c r="R441" t="s">
        <v>73</v>
      </c>
      <c r="S441">
        <v>0</v>
      </c>
      <c r="W441" s="20">
        <v>5.0925925925925921E-4</v>
      </c>
      <c r="X441" t="s">
        <v>1235</v>
      </c>
      <c r="Y441">
        <v>4</v>
      </c>
      <c r="Z441">
        <v>0</v>
      </c>
      <c r="AA441" t="s">
        <v>78</v>
      </c>
      <c r="AB441">
        <v>0</v>
      </c>
      <c r="AC441" t="s">
        <v>78</v>
      </c>
      <c r="AD441">
        <v>0</v>
      </c>
      <c r="AE441">
        <v>10689556</v>
      </c>
      <c r="AF441" t="s">
        <v>79</v>
      </c>
      <c r="AG441" t="s">
        <v>415</v>
      </c>
    </row>
    <row r="442" spans="1:33" x14ac:dyDescent="0.35">
      <c r="A442" s="18">
        <v>44502.468055555553</v>
      </c>
      <c r="B442">
        <v>234357</v>
      </c>
      <c r="C442" t="s">
        <v>1228</v>
      </c>
      <c r="D442" t="s">
        <v>239</v>
      </c>
      <c r="E442" s="19">
        <v>37712</v>
      </c>
      <c r="F442" t="str">
        <f>"9789812564467"</f>
        <v>9789812564467</v>
      </c>
      <c r="G442" t="str">
        <f>"9789812383600"</f>
        <v>9789812383600</v>
      </c>
      <c r="H442" t="s">
        <v>1229</v>
      </c>
      <c r="I442">
        <v>515</v>
      </c>
      <c r="J442" t="s">
        <v>1230</v>
      </c>
      <c r="K442" t="s">
        <v>73</v>
      </c>
      <c r="N442" t="s">
        <v>74</v>
      </c>
      <c r="O442" t="s">
        <v>75</v>
      </c>
      <c r="P442" t="s">
        <v>74</v>
      </c>
      <c r="Q442" t="s">
        <v>76</v>
      </c>
      <c r="R442" t="s">
        <v>73</v>
      </c>
      <c r="S442">
        <v>0</v>
      </c>
      <c r="W442" s="20">
        <v>1.6319444444444445E-3</v>
      </c>
      <c r="X442" t="s">
        <v>1236</v>
      </c>
      <c r="Y442">
        <v>9</v>
      </c>
      <c r="Z442">
        <v>0</v>
      </c>
      <c r="AA442" t="s">
        <v>78</v>
      </c>
      <c r="AB442">
        <v>0</v>
      </c>
      <c r="AC442" t="s">
        <v>78</v>
      </c>
      <c r="AD442">
        <v>0</v>
      </c>
      <c r="AE442">
        <v>10083765</v>
      </c>
      <c r="AF442" t="s">
        <v>79</v>
      </c>
      <c r="AG442" t="s">
        <v>1231</v>
      </c>
    </row>
    <row r="443" spans="1:33" x14ac:dyDescent="0.35">
      <c r="A443" s="18">
        <v>44502.459027777775</v>
      </c>
      <c r="B443">
        <v>1895935</v>
      </c>
      <c r="C443" t="s">
        <v>1237</v>
      </c>
      <c r="D443" t="s">
        <v>70</v>
      </c>
      <c r="E443" s="19">
        <v>41995</v>
      </c>
      <c r="F443" t="str">
        <f>"9781119021940"</f>
        <v>9781119021940</v>
      </c>
      <c r="G443" t="str">
        <f>"9781119021803"</f>
        <v>9781119021803</v>
      </c>
      <c r="H443" t="s">
        <v>1179</v>
      </c>
      <c r="I443">
        <v>374.18299607300003</v>
      </c>
      <c r="J443" t="s">
        <v>1238</v>
      </c>
      <c r="K443" t="s">
        <v>73</v>
      </c>
      <c r="N443" t="s">
        <v>74</v>
      </c>
      <c r="O443" t="s">
        <v>75</v>
      </c>
      <c r="P443" t="s">
        <v>74</v>
      </c>
      <c r="Q443" t="s">
        <v>76</v>
      </c>
      <c r="R443" t="s">
        <v>73</v>
      </c>
      <c r="S443">
        <v>0</v>
      </c>
      <c r="W443" s="20">
        <v>2.3148148148148146E-4</v>
      </c>
      <c r="X443" t="s">
        <v>639</v>
      </c>
      <c r="Y443">
        <v>3</v>
      </c>
      <c r="Z443">
        <v>0</v>
      </c>
      <c r="AA443" t="s">
        <v>78</v>
      </c>
      <c r="AB443">
        <v>0</v>
      </c>
      <c r="AC443" t="s">
        <v>78</v>
      </c>
      <c r="AD443">
        <v>0</v>
      </c>
      <c r="AE443">
        <v>11005781</v>
      </c>
      <c r="AF443" t="s">
        <v>79</v>
      </c>
      <c r="AG443" t="s">
        <v>415</v>
      </c>
    </row>
    <row r="444" spans="1:33" x14ac:dyDescent="0.35">
      <c r="A444" s="18">
        <v>44502.448611111111</v>
      </c>
      <c r="B444">
        <v>6507721</v>
      </c>
      <c r="C444" t="s">
        <v>1239</v>
      </c>
      <c r="D444" t="s">
        <v>1240</v>
      </c>
      <c r="E444" s="19">
        <v>44322</v>
      </c>
      <c r="F444" t="str">
        <f>"9781350134492"</f>
        <v>9781350134492</v>
      </c>
      <c r="G444" t="str">
        <f>"9781350134485"</f>
        <v>9781350134485</v>
      </c>
      <c r="H444" t="s">
        <v>636</v>
      </c>
      <c r="I444">
        <v>808.84</v>
      </c>
      <c r="J444" t="s">
        <v>1241</v>
      </c>
      <c r="K444" t="s">
        <v>85</v>
      </c>
      <c r="Q444" t="s">
        <v>76</v>
      </c>
      <c r="R444" t="s">
        <v>73</v>
      </c>
      <c r="S444">
        <v>0</v>
      </c>
      <c r="W444" s="20">
        <v>1.0416666666666667E-4</v>
      </c>
      <c r="X444" t="s">
        <v>1242</v>
      </c>
      <c r="Y444">
        <v>2</v>
      </c>
      <c r="Z444">
        <v>0</v>
      </c>
      <c r="AA444" t="s">
        <v>78</v>
      </c>
      <c r="AB444">
        <v>0</v>
      </c>
      <c r="AC444" t="s">
        <v>78</v>
      </c>
      <c r="AD444">
        <v>0</v>
      </c>
      <c r="AE444">
        <v>-1</v>
      </c>
      <c r="AF444" t="s">
        <v>79</v>
      </c>
      <c r="AG444" t="s">
        <v>952</v>
      </c>
    </row>
    <row r="445" spans="1:33" x14ac:dyDescent="0.35">
      <c r="A445" s="18">
        <v>44502.443055555559</v>
      </c>
      <c r="B445">
        <v>848526</v>
      </c>
      <c r="C445" t="s">
        <v>1144</v>
      </c>
      <c r="D445" t="s">
        <v>70</v>
      </c>
      <c r="E445" s="19">
        <v>41212</v>
      </c>
      <c r="F445" t="str">
        <f>"9781118310069"</f>
        <v>9781118310069</v>
      </c>
      <c r="G445" t="str">
        <f>"9780470566671"</f>
        <v>9780470566671</v>
      </c>
      <c r="H445" t="s">
        <v>1145</v>
      </c>
      <c r="I445">
        <v>610.28</v>
      </c>
      <c r="J445" t="s">
        <v>1146</v>
      </c>
      <c r="K445" t="s">
        <v>73</v>
      </c>
      <c r="N445" t="s">
        <v>74</v>
      </c>
      <c r="O445" t="s">
        <v>75</v>
      </c>
      <c r="P445" t="s">
        <v>74</v>
      </c>
      <c r="Q445" t="s">
        <v>76</v>
      </c>
      <c r="R445" t="s">
        <v>73</v>
      </c>
      <c r="S445">
        <v>0</v>
      </c>
      <c r="W445" s="20">
        <v>5.6701388888888891E-2</v>
      </c>
      <c r="X445" t="s">
        <v>1243</v>
      </c>
      <c r="Y445">
        <v>23</v>
      </c>
      <c r="Z445">
        <v>0</v>
      </c>
      <c r="AA445" t="s">
        <v>78</v>
      </c>
      <c r="AB445">
        <v>0</v>
      </c>
      <c r="AC445" t="s">
        <v>1244</v>
      </c>
      <c r="AD445">
        <v>4</v>
      </c>
      <c r="AE445">
        <v>10615085</v>
      </c>
      <c r="AF445" t="s">
        <v>79</v>
      </c>
      <c r="AG445" t="s">
        <v>1170</v>
      </c>
    </row>
    <row r="446" spans="1:33" x14ac:dyDescent="0.35">
      <c r="A446" s="18">
        <v>44502.440972222219</v>
      </c>
      <c r="B446">
        <v>3115631</v>
      </c>
      <c r="C446" t="s">
        <v>1232</v>
      </c>
      <c r="D446" t="s">
        <v>346</v>
      </c>
      <c r="E446" s="19">
        <v>41244</v>
      </c>
      <c r="F446" t="str">
        <f>"9780784477731"</f>
        <v>9780784477731</v>
      </c>
      <c r="G446" t="str">
        <f>"9780784412671"</f>
        <v>9780784412671</v>
      </c>
      <c r="H446" t="s">
        <v>1233</v>
      </c>
      <c r="I446">
        <v>691.02859999999998</v>
      </c>
      <c r="J446" t="s">
        <v>1234</v>
      </c>
      <c r="K446" t="s">
        <v>73</v>
      </c>
      <c r="N446" t="s">
        <v>74</v>
      </c>
      <c r="O446" t="s">
        <v>75</v>
      </c>
      <c r="P446" t="s">
        <v>74</v>
      </c>
      <c r="Q446" t="s">
        <v>76</v>
      </c>
      <c r="R446" t="s">
        <v>73</v>
      </c>
      <c r="S446">
        <v>0</v>
      </c>
      <c r="W446" s="20">
        <v>2.199074074074074E-4</v>
      </c>
      <c r="X446" t="s">
        <v>639</v>
      </c>
      <c r="Y446">
        <v>3</v>
      </c>
      <c r="Z446">
        <v>0</v>
      </c>
      <c r="AA446" t="s">
        <v>78</v>
      </c>
      <c r="AB446">
        <v>0</v>
      </c>
      <c r="AC446" t="s">
        <v>78</v>
      </c>
      <c r="AD446">
        <v>0</v>
      </c>
      <c r="AE446">
        <v>10689556</v>
      </c>
      <c r="AF446" t="s">
        <v>79</v>
      </c>
      <c r="AG446" t="s">
        <v>415</v>
      </c>
    </row>
    <row r="447" spans="1:33" x14ac:dyDescent="0.35">
      <c r="A447" s="18">
        <v>44502.357638888891</v>
      </c>
      <c r="B447">
        <v>5790554</v>
      </c>
      <c r="C447" t="s">
        <v>1245</v>
      </c>
      <c r="D447" t="s">
        <v>338</v>
      </c>
      <c r="E447" s="19">
        <v>43634</v>
      </c>
      <c r="F447" t="str">
        <f>"9780128144596"</f>
        <v>9780128144596</v>
      </c>
      <c r="G447" t="str">
        <f>"9780128144589"</f>
        <v>9780128144589</v>
      </c>
      <c r="H447" t="s">
        <v>1246</v>
      </c>
      <c r="I447">
        <v>551.14</v>
      </c>
      <c r="J447" t="s">
        <v>1247</v>
      </c>
      <c r="K447" t="s">
        <v>85</v>
      </c>
      <c r="N447" t="s">
        <v>186</v>
      </c>
      <c r="P447" t="s">
        <v>87</v>
      </c>
      <c r="Q447" t="s">
        <v>76</v>
      </c>
      <c r="R447" t="s">
        <v>73</v>
      </c>
      <c r="S447">
        <v>1</v>
      </c>
      <c r="T447">
        <v>10</v>
      </c>
      <c r="U447" s="18">
        <v>44502.357638888891</v>
      </c>
      <c r="V447" s="18">
        <v>44512.357638888891</v>
      </c>
      <c r="W447" s="20">
        <v>3.4722222222222222E-5</v>
      </c>
      <c r="X447" t="s">
        <v>1248</v>
      </c>
      <c r="Y447">
        <v>1</v>
      </c>
      <c r="Z447">
        <v>0</v>
      </c>
      <c r="AA447" t="s">
        <v>78</v>
      </c>
      <c r="AB447">
        <v>0</v>
      </c>
      <c r="AC447" t="s">
        <v>78</v>
      </c>
      <c r="AD447">
        <v>0</v>
      </c>
      <c r="AE447">
        <v>-1</v>
      </c>
      <c r="AF447" t="s">
        <v>88</v>
      </c>
      <c r="AG447" t="s">
        <v>293</v>
      </c>
    </row>
    <row r="448" spans="1:33" x14ac:dyDescent="0.35">
      <c r="A448" s="18">
        <v>44502.338194444441</v>
      </c>
      <c r="B448">
        <v>5790554</v>
      </c>
      <c r="C448" t="s">
        <v>1245</v>
      </c>
      <c r="D448" t="s">
        <v>338</v>
      </c>
      <c r="E448" s="19">
        <v>43634</v>
      </c>
      <c r="F448" t="str">
        <f>"9780128144596"</f>
        <v>9780128144596</v>
      </c>
      <c r="G448" t="str">
        <f>"9780128144589"</f>
        <v>9780128144589</v>
      </c>
      <c r="H448" t="s">
        <v>1246</v>
      </c>
      <c r="I448">
        <v>551.14</v>
      </c>
      <c r="J448" t="s">
        <v>1247</v>
      </c>
      <c r="K448" t="s">
        <v>85</v>
      </c>
      <c r="N448" t="s">
        <v>186</v>
      </c>
      <c r="P448" t="s">
        <v>87</v>
      </c>
      <c r="Q448" t="s">
        <v>76</v>
      </c>
      <c r="R448" t="s">
        <v>73</v>
      </c>
      <c r="S448">
        <v>0</v>
      </c>
      <c r="W448" s="20">
        <v>1.9884259259259258E-2</v>
      </c>
      <c r="X448" t="s">
        <v>1249</v>
      </c>
      <c r="Y448">
        <v>31</v>
      </c>
      <c r="Z448">
        <v>1</v>
      </c>
      <c r="AA448" t="s">
        <v>1250</v>
      </c>
      <c r="AB448">
        <v>4</v>
      </c>
      <c r="AC448" t="s">
        <v>78</v>
      </c>
      <c r="AD448">
        <v>0</v>
      </c>
      <c r="AE448">
        <v>-1</v>
      </c>
      <c r="AF448" t="s">
        <v>79</v>
      </c>
      <c r="AG448" t="s">
        <v>293</v>
      </c>
    </row>
    <row r="449" spans="1:33" x14ac:dyDescent="0.35">
      <c r="A449" s="18">
        <v>44502.336805555555</v>
      </c>
      <c r="B449">
        <v>5811712</v>
      </c>
      <c r="C449" t="s">
        <v>1251</v>
      </c>
      <c r="D449" t="s">
        <v>369</v>
      </c>
      <c r="E449" s="19">
        <v>43662</v>
      </c>
      <c r="F449" t="str">
        <f>"9783030203276"</f>
        <v>9783030203276</v>
      </c>
      <c r="G449" t="str">
        <f>"9783030203269"</f>
        <v>9783030203269</v>
      </c>
      <c r="H449" t="s">
        <v>1252</v>
      </c>
      <c r="I449">
        <v>551.50916199999995</v>
      </c>
      <c r="J449" t="s">
        <v>1253</v>
      </c>
      <c r="K449" t="s">
        <v>85</v>
      </c>
      <c r="Q449" t="s">
        <v>76</v>
      </c>
      <c r="R449" t="s">
        <v>73</v>
      </c>
      <c r="S449">
        <v>0</v>
      </c>
      <c r="W449" s="20">
        <v>5.0925925925925921E-4</v>
      </c>
      <c r="X449" t="s">
        <v>1254</v>
      </c>
      <c r="Y449">
        <v>7</v>
      </c>
      <c r="Z449">
        <v>0</v>
      </c>
      <c r="AA449" t="s">
        <v>78</v>
      </c>
      <c r="AB449">
        <v>0</v>
      </c>
      <c r="AC449" t="s">
        <v>78</v>
      </c>
      <c r="AD449">
        <v>0</v>
      </c>
      <c r="AE449">
        <v>-1</v>
      </c>
      <c r="AF449" t="s">
        <v>79</v>
      </c>
      <c r="AG449" t="s">
        <v>293</v>
      </c>
    </row>
    <row r="450" spans="1:33" x14ac:dyDescent="0.35">
      <c r="A450" s="18">
        <v>44502.082638888889</v>
      </c>
      <c r="B450">
        <v>945474</v>
      </c>
      <c r="C450" t="s">
        <v>1056</v>
      </c>
      <c r="D450" t="s">
        <v>127</v>
      </c>
      <c r="E450" s="19">
        <v>41095</v>
      </c>
      <c r="F450" t="str">
        <f>"9781439860458"</f>
        <v>9781439860458</v>
      </c>
      <c r="G450" t="str">
        <f>"9781439860441"</f>
        <v>9781439860441</v>
      </c>
      <c r="H450" t="s">
        <v>374</v>
      </c>
      <c r="I450">
        <v>628.29999999999995</v>
      </c>
      <c r="J450" t="s">
        <v>1057</v>
      </c>
      <c r="K450" t="s">
        <v>73</v>
      </c>
      <c r="N450" t="s">
        <v>74</v>
      </c>
      <c r="O450" t="s">
        <v>75</v>
      </c>
      <c r="P450" t="s">
        <v>74</v>
      </c>
      <c r="Q450" t="s">
        <v>76</v>
      </c>
      <c r="R450" t="s">
        <v>73</v>
      </c>
      <c r="S450">
        <v>0</v>
      </c>
      <c r="W450" s="20">
        <v>4.3981481481481481E-4</v>
      </c>
      <c r="X450" t="s">
        <v>1255</v>
      </c>
      <c r="Y450">
        <v>3</v>
      </c>
      <c r="Z450">
        <v>0</v>
      </c>
      <c r="AA450" t="s">
        <v>78</v>
      </c>
      <c r="AB450">
        <v>0</v>
      </c>
      <c r="AC450" t="s">
        <v>78</v>
      </c>
      <c r="AD450">
        <v>0</v>
      </c>
      <c r="AE450">
        <v>10572528</v>
      </c>
      <c r="AF450" t="s">
        <v>79</v>
      </c>
      <c r="AG450" t="s">
        <v>1256</v>
      </c>
    </row>
    <row r="451" spans="1:33" x14ac:dyDescent="0.35">
      <c r="A451" s="18">
        <v>44502.079861111109</v>
      </c>
      <c r="B451">
        <v>1816350</v>
      </c>
      <c r="C451" t="s">
        <v>1257</v>
      </c>
      <c r="D451" t="s">
        <v>1258</v>
      </c>
      <c r="E451" s="19">
        <v>41913</v>
      </c>
      <c r="F451" t="str">
        <f>"9781606504871"</f>
        <v>9781606504871</v>
      </c>
      <c r="G451" t="str">
        <f>"9781606504864"</f>
        <v>9781606504864</v>
      </c>
      <c r="H451" t="s">
        <v>767</v>
      </c>
      <c r="I451">
        <v>628.29999999999995</v>
      </c>
      <c r="J451" t="s">
        <v>1259</v>
      </c>
      <c r="K451" t="s">
        <v>73</v>
      </c>
      <c r="N451" t="s">
        <v>74</v>
      </c>
      <c r="O451" t="s">
        <v>75</v>
      </c>
      <c r="P451" t="s">
        <v>74</v>
      </c>
      <c r="Q451" t="s">
        <v>76</v>
      </c>
      <c r="R451" t="s">
        <v>73</v>
      </c>
      <c r="S451">
        <v>0</v>
      </c>
      <c r="W451" s="20">
        <v>2.3831018518518519E-2</v>
      </c>
      <c r="X451" t="s">
        <v>1260</v>
      </c>
      <c r="Y451">
        <v>91</v>
      </c>
      <c r="Z451">
        <v>0</v>
      </c>
      <c r="AA451" t="s">
        <v>78</v>
      </c>
      <c r="AB451">
        <v>0</v>
      </c>
      <c r="AC451" t="s">
        <v>78</v>
      </c>
      <c r="AD451">
        <v>0</v>
      </c>
      <c r="AE451">
        <v>10956449</v>
      </c>
      <c r="AF451" t="s">
        <v>79</v>
      </c>
      <c r="AG451" t="s">
        <v>1256</v>
      </c>
    </row>
    <row r="452" spans="1:33" x14ac:dyDescent="0.35">
      <c r="A452" s="18">
        <v>44501.929861111108</v>
      </c>
      <c r="B452">
        <v>3020585</v>
      </c>
      <c r="C452" t="s">
        <v>1261</v>
      </c>
      <c r="D452" t="s">
        <v>226</v>
      </c>
      <c r="E452" s="19">
        <v>39539</v>
      </c>
      <c r="F452" t="str">
        <f>"9781614704836"</f>
        <v>9781614704836</v>
      </c>
      <c r="G452" t="str">
        <f>"9781606925010"</f>
        <v>9781606925010</v>
      </c>
      <c r="H452" t="s">
        <v>775</v>
      </c>
      <c r="I452">
        <v>362.17830973000002</v>
      </c>
      <c r="J452" t="s">
        <v>1262</v>
      </c>
      <c r="K452" t="s">
        <v>73</v>
      </c>
      <c r="N452" t="s">
        <v>74</v>
      </c>
      <c r="O452" t="s">
        <v>75</v>
      </c>
      <c r="P452" t="s">
        <v>74</v>
      </c>
      <c r="Q452" t="s">
        <v>76</v>
      </c>
      <c r="R452" t="s">
        <v>73</v>
      </c>
      <c r="S452">
        <v>0</v>
      </c>
      <c r="W452" s="20">
        <v>6.6782407407407415E-3</v>
      </c>
      <c r="X452" t="s">
        <v>1263</v>
      </c>
      <c r="Y452">
        <v>32</v>
      </c>
      <c r="Z452">
        <v>0</v>
      </c>
      <c r="AA452" t="s">
        <v>78</v>
      </c>
      <c r="AB452">
        <v>0</v>
      </c>
      <c r="AC452" t="s">
        <v>78</v>
      </c>
      <c r="AD452">
        <v>0</v>
      </c>
      <c r="AE452">
        <v>10677981</v>
      </c>
      <c r="AF452" t="s">
        <v>79</v>
      </c>
      <c r="AG452" t="s">
        <v>952</v>
      </c>
    </row>
    <row r="453" spans="1:33" x14ac:dyDescent="0.35">
      <c r="A453" s="18">
        <v>44501.793749999997</v>
      </c>
      <c r="B453">
        <v>1057795</v>
      </c>
      <c r="C453" t="s">
        <v>1264</v>
      </c>
      <c r="D453" t="s">
        <v>1265</v>
      </c>
      <c r="E453" s="19">
        <v>40831</v>
      </c>
      <c r="F453" t="str">
        <f>"9781593326944"</f>
        <v>9781593326944</v>
      </c>
      <c r="G453" t="str">
        <f>"9781593324889"</f>
        <v>9781593324889</v>
      </c>
      <c r="H453" t="s">
        <v>128</v>
      </c>
      <c r="I453" t="s">
        <v>1266</v>
      </c>
      <c r="J453" t="s">
        <v>1267</v>
      </c>
      <c r="K453" t="s">
        <v>73</v>
      </c>
      <c r="N453" t="s">
        <v>74</v>
      </c>
      <c r="O453" t="s">
        <v>75</v>
      </c>
      <c r="P453" t="s">
        <v>230</v>
      </c>
      <c r="Q453" t="s">
        <v>76</v>
      </c>
      <c r="R453" t="s">
        <v>85</v>
      </c>
      <c r="S453">
        <v>0</v>
      </c>
      <c r="W453" s="20">
        <v>4.5138888888888892E-4</v>
      </c>
      <c r="X453" t="s">
        <v>1268</v>
      </c>
      <c r="Y453">
        <v>4</v>
      </c>
      <c r="Z453">
        <v>0</v>
      </c>
      <c r="AA453" t="s">
        <v>78</v>
      </c>
      <c r="AB453">
        <v>0</v>
      </c>
      <c r="AC453" t="s">
        <v>78</v>
      </c>
      <c r="AD453">
        <v>0</v>
      </c>
      <c r="AE453">
        <v>10622787</v>
      </c>
      <c r="AF453" t="s">
        <v>79</v>
      </c>
      <c r="AG453" t="s">
        <v>958</v>
      </c>
    </row>
    <row r="454" spans="1:33" x14ac:dyDescent="0.35">
      <c r="A454" s="18">
        <v>44501.720833333333</v>
      </c>
      <c r="B454">
        <v>1057453</v>
      </c>
      <c r="C454" t="s">
        <v>1269</v>
      </c>
      <c r="D454" t="s">
        <v>538</v>
      </c>
      <c r="E454" s="19">
        <v>41249</v>
      </c>
      <c r="F454" t="str">
        <f>"9781139844345"</f>
        <v>9781139844345</v>
      </c>
      <c r="G454" t="str">
        <f>"9780521195997"</f>
        <v>9780521195997</v>
      </c>
      <c r="H454" t="s">
        <v>227</v>
      </c>
      <c r="I454">
        <v>570.28250000000003</v>
      </c>
      <c r="J454" t="s">
        <v>1270</v>
      </c>
      <c r="K454" t="s">
        <v>73</v>
      </c>
      <c r="N454" t="s">
        <v>74</v>
      </c>
      <c r="O454" t="s">
        <v>75</v>
      </c>
      <c r="P454" t="s">
        <v>74</v>
      </c>
      <c r="Q454" t="s">
        <v>76</v>
      </c>
      <c r="R454" t="s">
        <v>73</v>
      </c>
      <c r="S454">
        <v>0</v>
      </c>
      <c r="W454" s="20">
        <v>4.5949074074074078E-3</v>
      </c>
      <c r="X454" t="s">
        <v>1271</v>
      </c>
      <c r="Y454">
        <v>48</v>
      </c>
      <c r="Z454">
        <v>0</v>
      </c>
      <c r="AA454" t="s">
        <v>78</v>
      </c>
      <c r="AB454">
        <v>0</v>
      </c>
      <c r="AC454" t="s">
        <v>78</v>
      </c>
      <c r="AD454">
        <v>0</v>
      </c>
      <c r="AE454">
        <v>10623117</v>
      </c>
      <c r="AF454" t="s">
        <v>79</v>
      </c>
      <c r="AG454" t="s">
        <v>952</v>
      </c>
    </row>
    <row r="455" spans="1:33" x14ac:dyDescent="0.35">
      <c r="A455" s="18">
        <v>44501.715277777781</v>
      </c>
      <c r="B455">
        <v>3020585</v>
      </c>
      <c r="C455" t="s">
        <v>1261</v>
      </c>
      <c r="D455" t="s">
        <v>226</v>
      </c>
      <c r="E455" s="19">
        <v>39539</v>
      </c>
      <c r="F455" t="str">
        <f>"9781614704836"</f>
        <v>9781614704836</v>
      </c>
      <c r="G455" t="str">
        <f>"9781606925010"</f>
        <v>9781606925010</v>
      </c>
      <c r="H455" t="s">
        <v>775</v>
      </c>
      <c r="I455">
        <v>362.17830973000002</v>
      </c>
      <c r="J455" t="s">
        <v>1262</v>
      </c>
      <c r="K455" t="s">
        <v>73</v>
      </c>
      <c r="N455" t="s">
        <v>74</v>
      </c>
      <c r="O455" t="s">
        <v>75</v>
      </c>
      <c r="P455" t="s">
        <v>74</v>
      </c>
      <c r="Q455" t="s">
        <v>76</v>
      </c>
      <c r="R455" t="s">
        <v>73</v>
      </c>
      <c r="S455">
        <v>0</v>
      </c>
      <c r="W455" s="20">
        <v>1.9907407407407408E-3</v>
      </c>
      <c r="X455" t="s">
        <v>1272</v>
      </c>
      <c r="Y455">
        <v>12</v>
      </c>
      <c r="Z455">
        <v>0</v>
      </c>
      <c r="AA455" t="s">
        <v>78</v>
      </c>
      <c r="AB455">
        <v>0</v>
      </c>
      <c r="AC455" t="s">
        <v>78</v>
      </c>
      <c r="AD455">
        <v>0</v>
      </c>
      <c r="AE455">
        <v>10677981</v>
      </c>
      <c r="AF455" t="s">
        <v>79</v>
      </c>
      <c r="AG455" t="s">
        <v>952</v>
      </c>
    </row>
    <row r="456" spans="1:33" x14ac:dyDescent="0.35">
      <c r="A456" s="18">
        <v>44501.543749999997</v>
      </c>
      <c r="B456">
        <v>4042987</v>
      </c>
      <c r="C456" t="s">
        <v>1273</v>
      </c>
      <c r="D456" t="s">
        <v>70</v>
      </c>
      <c r="E456" s="19">
        <v>42324</v>
      </c>
      <c r="F456" t="str">
        <f>"9781119003229"</f>
        <v>9781119003229</v>
      </c>
      <c r="G456" t="str">
        <f>"9781119003212"</f>
        <v>9781119003212</v>
      </c>
      <c r="H456" t="s">
        <v>466</v>
      </c>
      <c r="I456" t="s">
        <v>1274</v>
      </c>
      <c r="J456" t="s">
        <v>1275</v>
      </c>
      <c r="K456" t="s">
        <v>73</v>
      </c>
      <c r="N456" t="s">
        <v>74</v>
      </c>
      <c r="O456" t="s">
        <v>75</v>
      </c>
      <c r="P456" t="s">
        <v>74</v>
      </c>
      <c r="Q456" t="s">
        <v>76</v>
      </c>
      <c r="R456" t="s">
        <v>73</v>
      </c>
      <c r="S456">
        <v>2</v>
      </c>
      <c r="W456" s="20">
        <v>0</v>
      </c>
      <c r="X456" t="s">
        <v>78</v>
      </c>
      <c r="Y456">
        <v>0</v>
      </c>
      <c r="Z456">
        <v>0</v>
      </c>
      <c r="AA456" t="s">
        <v>78</v>
      </c>
      <c r="AB456">
        <v>0</v>
      </c>
      <c r="AC456" t="s">
        <v>78</v>
      </c>
      <c r="AD456">
        <v>0</v>
      </c>
      <c r="AE456">
        <v>11115166</v>
      </c>
      <c r="AF456" t="s">
        <v>88</v>
      </c>
      <c r="AG456" t="s">
        <v>1276</v>
      </c>
    </row>
    <row r="457" spans="1:33" x14ac:dyDescent="0.35">
      <c r="A457" s="18">
        <v>44501.505555555559</v>
      </c>
      <c r="B457">
        <v>1057453</v>
      </c>
      <c r="C457" t="s">
        <v>1269</v>
      </c>
      <c r="D457" t="s">
        <v>538</v>
      </c>
      <c r="E457" s="19">
        <v>41249</v>
      </c>
      <c r="F457" t="str">
        <f>"9781139844345"</f>
        <v>9781139844345</v>
      </c>
      <c r="G457" t="str">
        <f>"9780521195997"</f>
        <v>9780521195997</v>
      </c>
      <c r="H457" t="s">
        <v>227</v>
      </c>
      <c r="I457">
        <v>570.28250000000003</v>
      </c>
      <c r="J457" t="s">
        <v>1270</v>
      </c>
      <c r="K457" t="s">
        <v>73</v>
      </c>
      <c r="N457" t="s">
        <v>74</v>
      </c>
      <c r="O457" t="s">
        <v>75</v>
      </c>
      <c r="P457" t="s">
        <v>74</v>
      </c>
      <c r="Q457" t="s">
        <v>76</v>
      </c>
      <c r="R457" t="s">
        <v>73</v>
      </c>
      <c r="S457">
        <v>0</v>
      </c>
      <c r="W457" s="20">
        <v>2.0231481481481482E-2</v>
      </c>
      <c r="X457" t="s">
        <v>1277</v>
      </c>
      <c r="Y457">
        <v>29</v>
      </c>
      <c r="Z457">
        <v>0</v>
      </c>
      <c r="AA457" t="s">
        <v>78</v>
      </c>
      <c r="AB457">
        <v>0</v>
      </c>
      <c r="AC457" t="s">
        <v>78</v>
      </c>
      <c r="AD457">
        <v>0</v>
      </c>
      <c r="AE457">
        <v>10623117</v>
      </c>
      <c r="AF457" t="s">
        <v>79</v>
      </c>
      <c r="AG457" t="s">
        <v>952</v>
      </c>
    </row>
    <row r="458" spans="1:33" x14ac:dyDescent="0.35">
      <c r="A458" s="18">
        <v>44501.481944444444</v>
      </c>
      <c r="B458">
        <v>1872933</v>
      </c>
      <c r="C458" t="s">
        <v>972</v>
      </c>
      <c r="D458" t="s">
        <v>973</v>
      </c>
      <c r="E458" s="19">
        <v>41306</v>
      </c>
      <c r="F458" t="str">
        <f>"9783908158875"</f>
        <v>9783908158875</v>
      </c>
      <c r="G458" t="str">
        <f>"9783908158653"</f>
        <v>9783908158653</v>
      </c>
      <c r="H458" t="s">
        <v>974</v>
      </c>
      <c r="I458">
        <v>620.19200000000001</v>
      </c>
      <c r="J458" t="s">
        <v>975</v>
      </c>
      <c r="K458" t="s">
        <v>73</v>
      </c>
      <c r="N458" t="s">
        <v>74</v>
      </c>
      <c r="O458" t="s">
        <v>75</v>
      </c>
      <c r="P458" t="s">
        <v>74</v>
      </c>
      <c r="Q458" t="s">
        <v>76</v>
      </c>
      <c r="R458" t="s">
        <v>73</v>
      </c>
      <c r="S458">
        <v>0</v>
      </c>
      <c r="W458" s="20">
        <v>2.9861111111111113E-3</v>
      </c>
      <c r="X458" t="s">
        <v>1278</v>
      </c>
      <c r="Y458">
        <v>28</v>
      </c>
      <c r="Z458">
        <v>0</v>
      </c>
      <c r="AA458" t="s">
        <v>78</v>
      </c>
      <c r="AB458">
        <v>0</v>
      </c>
      <c r="AC458" t="s">
        <v>78</v>
      </c>
      <c r="AD458">
        <v>0</v>
      </c>
      <c r="AE458">
        <v>10777699</v>
      </c>
      <c r="AF458" t="s">
        <v>79</v>
      </c>
      <c r="AG458" t="s">
        <v>952</v>
      </c>
    </row>
    <row r="459" spans="1:33" x14ac:dyDescent="0.35">
      <c r="A459" s="18">
        <v>44501.468055555553</v>
      </c>
      <c r="B459">
        <v>843664</v>
      </c>
      <c r="C459" t="s">
        <v>274</v>
      </c>
      <c r="D459" t="s">
        <v>70</v>
      </c>
      <c r="E459" s="19">
        <v>41079</v>
      </c>
      <c r="F459" t="str">
        <f>"9781118309520"</f>
        <v>9781118309520</v>
      </c>
      <c r="G459" t="str">
        <f>"9781118137192"</f>
        <v>9781118137192</v>
      </c>
      <c r="H459" t="s">
        <v>275</v>
      </c>
      <c r="I459" t="s">
        <v>276</v>
      </c>
      <c r="J459" t="s">
        <v>277</v>
      </c>
      <c r="K459" t="s">
        <v>73</v>
      </c>
      <c r="N459" t="s">
        <v>74</v>
      </c>
      <c r="O459" t="s">
        <v>75</v>
      </c>
      <c r="P459" t="s">
        <v>74</v>
      </c>
      <c r="Q459" t="s">
        <v>76</v>
      </c>
      <c r="R459" t="s">
        <v>73</v>
      </c>
      <c r="S459">
        <v>0</v>
      </c>
      <c r="W459" s="20">
        <v>7.0601851851851847E-4</v>
      </c>
      <c r="X459" t="s">
        <v>1279</v>
      </c>
      <c r="Y459">
        <v>10</v>
      </c>
      <c r="Z459">
        <v>0</v>
      </c>
      <c r="AA459" t="s">
        <v>78</v>
      </c>
      <c r="AB459">
        <v>0</v>
      </c>
      <c r="AC459" t="s">
        <v>78</v>
      </c>
      <c r="AD459">
        <v>0</v>
      </c>
      <c r="AE459">
        <v>10580167</v>
      </c>
      <c r="AF459" t="s">
        <v>79</v>
      </c>
      <c r="AG459" t="s">
        <v>952</v>
      </c>
    </row>
    <row r="460" spans="1:33" x14ac:dyDescent="0.35">
      <c r="A460" s="18">
        <v>44501.116666666669</v>
      </c>
      <c r="B460">
        <v>4751479</v>
      </c>
      <c r="C460" t="s">
        <v>1280</v>
      </c>
      <c r="D460" t="s">
        <v>70</v>
      </c>
      <c r="E460" s="19">
        <v>42772</v>
      </c>
      <c r="F460" t="str">
        <f>"9781118825983"</f>
        <v>9781118825983</v>
      </c>
      <c r="G460" t="str">
        <f>"9781118825990"</f>
        <v>9781118825990</v>
      </c>
      <c r="H460" t="s">
        <v>848</v>
      </c>
      <c r="I460">
        <v>541.02850000000001</v>
      </c>
      <c r="J460" t="s">
        <v>1281</v>
      </c>
      <c r="K460" t="s">
        <v>73</v>
      </c>
      <c r="N460" t="s">
        <v>74</v>
      </c>
      <c r="O460" t="s">
        <v>75</v>
      </c>
      <c r="P460" t="s">
        <v>74</v>
      </c>
      <c r="Q460" t="s">
        <v>76</v>
      </c>
      <c r="R460" t="s">
        <v>73</v>
      </c>
      <c r="S460">
        <v>1</v>
      </c>
      <c r="W460" s="20">
        <v>0</v>
      </c>
      <c r="X460" t="s">
        <v>78</v>
      </c>
      <c r="Y460">
        <v>0</v>
      </c>
      <c r="Z460">
        <v>0</v>
      </c>
      <c r="AA460" t="s">
        <v>78</v>
      </c>
      <c r="AB460">
        <v>0</v>
      </c>
      <c r="AC460" t="s">
        <v>78</v>
      </c>
      <c r="AD460">
        <v>0</v>
      </c>
      <c r="AE460">
        <v>11307546</v>
      </c>
      <c r="AF460" t="s">
        <v>88</v>
      </c>
      <c r="AG460" t="s">
        <v>1164</v>
      </c>
    </row>
    <row r="461" spans="1:33" x14ac:dyDescent="0.35">
      <c r="A461" s="18">
        <v>44501.100694444445</v>
      </c>
      <c r="B461">
        <v>4751479</v>
      </c>
      <c r="C461" t="s">
        <v>1280</v>
      </c>
      <c r="D461" t="s">
        <v>70</v>
      </c>
      <c r="E461" s="19">
        <v>42772</v>
      </c>
      <c r="F461" t="str">
        <f>"9781118825983"</f>
        <v>9781118825983</v>
      </c>
      <c r="G461" t="str">
        <f>"9781118825990"</f>
        <v>9781118825990</v>
      </c>
      <c r="H461" t="s">
        <v>848</v>
      </c>
      <c r="I461">
        <v>541.02850000000001</v>
      </c>
      <c r="J461" t="s">
        <v>1281</v>
      </c>
      <c r="K461" t="s">
        <v>73</v>
      </c>
      <c r="N461" t="s">
        <v>74</v>
      </c>
      <c r="O461" t="s">
        <v>75</v>
      </c>
      <c r="P461" t="s">
        <v>74</v>
      </c>
      <c r="Q461" t="s">
        <v>76</v>
      </c>
      <c r="R461" t="s">
        <v>73</v>
      </c>
      <c r="S461">
        <v>0</v>
      </c>
      <c r="W461" s="20">
        <v>1.4212962962962962E-2</v>
      </c>
      <c r="X461" t="s">
        <v>1282</v>
      </c>
      <c r="Y461">
        <v>71</v>
      </c>
      <c r="Z461">
        <v>2</v>
      </c>
      <c r="AA461" t="s">
        <v>1283</v>
      </c>
      <c r="AB461">
        <v>66</v>
      </c>
      <c r="AC461" t="s">
        <v>78</v>
      </c>
      <c r="AD461">
        <v>0</v>
      </c>
      <c r="AE461">
        <v>11307546</v>
      </c>
      <c r="AF461" t="s">
        <v>79</v>
      </c>
      <c r="AG461" t="s">
        <v>1164</v>
      </c>
    </row>
    <row r="462" spans="1:33" x14ac:dyDescent="0.35">
      <c r="A462" s="18">
        <v>44501.098611111112</v>
      </c>
      <c r="B462">
        <v>4751479</v>
      </c>
      <c r="C462" t="s">
        <v>1280</v>
      </c>
      <c r="D462" t="s">
        <v>70</v>
      </c>
      <c r="E462" s="19">
        <v>42772</v>
      </c>
      <c r="F462" t="str">
        <f>"9781118825983"</f>
        <v>9781118825983</v>
      </c>
      <c r="G462" t="str">
        <f>"9781118825990"</f>
        <v>9781118825990</v>
      </c>
      <c r="H462" t="s">
        <v>848</v>
      </c>
      <c r="I462">
        <v>541.02850000000001</v>
      </c>
      <c r="J462" t="s">
        <v>1281</v>
      </c>
      <c r="K462" t="s">
        <v>73</v>
      </c>
      <c r="N462" t="s">
        <v>74</v>
      </c>
      <c r="O462" t="s">
        <v>75</v>
      </c>
      <c r="P462" t="s">
        <v>74</v>
      </c>
      <c r="Q462" t="s">
        <v>76</v>
      </c>
      <c r="R462" t="s">
        <v>73</v>
      </c>
      <c r="S462">
        <v>0</v>
      </c>
      <c r="W462" s="20">
        <v>0</v>
      </c>
      <c r="X462" t="s">
        <v>78</v>
      </c>
      <c r="Y462">
        <v>0</v>
      </c>
      <c r="Z462">
        <v>0</v>
      </c>
      <c r="AA462" t="s">
        <v>78</v>
      </c>
      <c r="AB462">
        <v>0</v>
      </c>
      <c r="AC462" t="s">
        <v>78</v>
      </c>
      <c r="AD462">
        <v>0</v>
      </c>
      <c r="AE462">
        <v>11307546</v>
      </c>
      <c r="AF462" t="s">
        <v>79</v>
      </c>
      <c r="AG462" t="s">
        <v>1164</v>
      </c>
    </row>
    <row r="463" spans="1:33" x14ac:dyDescent="0.35">
      <c r="A463" s="18">
        <v>44501.061111111114</v>
      </c>
      <c r="B463">
        <v>3020585</v>
      </c>
      <c r="C463" t="s">
        <v>1261</v>
      </c>
      <c r="D463" t="s">
        <v>226</v>
      </c>
      <c r="E463" s="19">
        <v>39539</v>
      </c>
      <c r="F463" t="str">
        <f>"9781614704836"</f>
        <v>9781614704836</v>
      </c>
      <c r="G463" t="str">
        <f>"9781606925010"</f>
        <v>9781606925010</v>
      </c>
      <c r="H463" t="s">
        <v>775</v>
      </c>
      <c r="I463">
        <v>362.17830973000002</v>
      </c>
      <c r="J463" t="s">
        <v>1262</v>
      </c>
      <c r="K463" t="s">
        <v>73</v>
      </c>
      <c r="N463" t="s">
        <v>74</v>
      </c>
      <c r="O463" t="s">
        <v>75</v>
      </c>
      <c r="P463" t="s">
        <v>74</v>
      </c>
      <c r="Q463" t="s">
        <v>76</v>
      </c>
      <c r="R463" t="s">
        <v>73</v>
      </c>
      <c r="S463">
        <v>0</v>
      </c>
      <c r="W463" s="20">
        <v>1.4560185185185183E-2</v>
      </c>
      <c r="X463" t="s">
        <v>1284</v>
      </c>
      <c r="Y463">
        <v>8</v>
      </c>
      <c r="Z463">
        <v>0</v>
      </c>
      <c r="AA463" t="s">
        <v>78</v>
      </c>
      <c r="AB463">
        <v>0</v>
      </c>
      <c r="AC463" t="s">
        <v>1285</v>
      </c>
      <c r="AD463">
        <v>1</v>
      </c>
      <c r="AE463">
        <v>10677981</v>
      </c>
      <c r="AF463" t="s">
        <v>79</v>
      </c>
      <c r="AG463" t="s">
        <v>952</v>
      </c>
    </row>
    <row r="464" spans="1:33" x14ac:dyDescent="0.35">
      <c r="A464" s="18">
        <v>44500.979861111111</v>
      </c>
      <c r="B464">
        <v>4751479</v>
      </c>
      <c r="C464" t="s">
        <v>1280</v>
      </c>
      <c r="D464" t="s">
        <v>70</v>
      </c>
      <c r="E464" s="19">
        <v>42772</v>
      </c>
      <c r="F464" t="str">
        <f>"9781118825983"</f>
        <v>9781118825983</v>
      </c>
      <c r="G464" t="str">
        <f>"9781118825990"</f>
        <v>9781118825990</v>
      </c>
      <c r="H464" t="s">
        <v>848</v>
      </c>
      <c r="I464">
        <v>541.02850000000001</v>
      </c>
      <c r="J464" t="s">
        <v>1281</v>
      </c>
      <c r="K464" t="s">
        <v>73</v>
      </c>
      <c r="N464" t="s">
        <v>74</v>
      </c>
      <c r="O464" t="s">
        <v>75</v>
      </c>
      <c r="P464" t="s">
        <v>74</v>
      </c>
      <c r="Q464" t="s">
        <v>76</v>
      </c>
      <c r="R464" t="s">
        <v>73</v>
      </c>
      <c r="S464">
        <v>0</v>
      </c>
      <c r="W464" s="20">
        <v>9.2592592592592588E-5</v>
      </c>
      <c r="X464" t="s">
        <v>132</v>
      </c>
      <c r="Y464">
        <v>1</v>
      </c>
      <c r="Z464">
        <v>0</v>
      </c>
      <c r="AA464" t="s">
        <v>78</v>
      </c>
      <c r="AB464">
        <v>0</v>
      </c>
      <c r="AC464" t="s">
        <v>78</v>
      </c>
      <c r="AD464">
        <v>0</v>
      </c>
      <c r="AE464">
        <v>11307546</v>
      </c>
      <c r="AF464" t="s">
        <v>79</v>
      </c>
      <c r="AG464" t="s">
        <v>1164</v>
      </c>
    </row>
    <row r="465" spans="1:33" x14ac:dyDescent="0.35">
      <c r="A465" s="18">
        <v>44500.934027777781</v>
      </c>
      <c r="B465">
        <v>957611</v>
      </c>
      <c r="C465" t="s">
        <v>1286</v>
      </c>
      <c r="D465" t="s">
        <v>127</v>
      </c>
      <c r="E465" s="19">
        <v>40857</v>
      </c>
      <c r="F465" t="str">
        <f>"9780203806982"</f>
        <v>9780203806982</v>
      </c>
      <c r="G465" t="str">
        <f>"9780415782234"</f>
        <v>9780415782234</v>
      </c>
      <c r="H465" t="s">
        <v>308</v>
      </c>
      <c r="I465" t="s">
        <v>1287</v>
      </c>
      <c r="J465" t="s">
        <v>1288</v>
      </c>
      <c r="K465" t="s">
        <v>73</v>
      </c>
      <c r="N465" t="s">
        <v>74</v>
      </c>
      <c r="O465" t="s">
        <v>75</v>
      </c>
      <c r="P465" t="s">
        <v>74</v>
      </c>
      <c r="Q465" t="s">
        <v>76</v>
      </c>
      <c r="R465" t="s">
        <v>73</v>
      </c>
      <c r="S465">
        <v>0</v>
      </c>
      <c r="W465" s="20">
        <v>4.0509259259259258E-4</v>
      </c>
      <c r="X465" t="s">
        <v>1289</v>
      </c>
      <c r="Y465">
        <v>4</v>
      </c>
      <c r="Z465">
        <v>1</v>
      </c>
      <c r="AA465" t="s">
        <v>1290</v>
      </c>
      <c r="AB465">
        <v>25</v>
      </c>
      <c r="AC465" t="s">
        <v>78</v>
      </c>
      <c r="AD465">
        <v>0</v>
      </c>
      <c r="AE465">
        <v>10529223</v>
      </c>
      <c r="AF465" t="s">
        <v>79</v>
      </c>
      <c r="AG465" t="s">
        <v>1291</v>
      </c>
    </row>
    <row r="466" spans="1:33" x14ac:dyDescent="0.35">
      <c r="A466" s="18">
        <v>44500.932638888888</v>
      </c>
      <c r="B466">
        <v>932449</v>
      </c>
      <c r="C466" t="s">
        <v>1292</v>
      </c>
      <c r="D466" t="s">
        <v>314</v>
      </c>
      <c r="E466" s="19">
        <v>39407</v>
      </c>
      <c r="F466" t="str">
        <f>"9780748631346"</f>
        <v>9780748631346</v>
      </c>
      <c r="G466" t="str">
        <f>"9780748626052"</f>
        <v>9780748626052</v>
      </c>
      <c r="H466" t="s">
        <v>308</v>
      </c>
      <c r="I466">
        <v>297.41000000000003</v>
      </c>
      <c r="J466" t="s">
        <v>1293</v>
      </c>
      <c r="K466" t="s">
        <v>73</v>
      </c>
      <c r="N466" t="s">
        <v>74</v>
      </c>
      <c r="O466" t="s">
        <v>75</v>
      </c>
      <c r="P466" t="s">
        <v>74</v>
      </c>
      <c r="Q466" t="s">
        <v>76</v>
      </c>
      <c r="R466" t="s">
        <v>73</v>
      </c>
      <c r="S466">
        <v>0</v>
      </c>
      <c r="W466" s="20">
        <v>1.0416666666666667E-3</v>
      </c>
      <c r="X466" t="s">
        <v>1294</v>
      </c>
      <c r="Y466">
        <v>13</v>
      </c>
      <c r="Z466">
        <v>0</v>
      </c>
      <c r="AA466" t="s">
        <v>78</v>
      </c>
      <c r="AB466">
        <v>0</v>
      </c>
      <c r="AC466" t="s">
        <v>78</v>
      </c>
      <c r="AD466">
        <v>0</v>
      </c>
      <c r="AE466">
        <v>10569454</v>
      </c>
      <c r="AF466" t="s">
        <v>79</v>
      </c>
      <c r="AG466" t="s">
        <v>1291</v>
      </c>
    </row>
    <row r="467" spans="1:33" x14ac:dyDescent="0.35">
      <c r="A467" s="18">
        <v>44500.671527777777</v>
      </c>
      <c r="B467">
        <v>1810506</v>
      </c>
      <c r="C467" t="s">
        <v>1295</v>
      </c>
      <c r="D467" t="s">
        <v>70</v>
      </c>
      <c r="E467" s="19">
        <v>41946</v>
      </c>
      <c r="F467" t="str">
        <f>"9781118634004"</f>
        <v>9781118634004</v>
      </c>
      <c r="G467" t="str">
        <f>"9781118634028"</f>
        <v>9781118634028</v>
      </c>
      <c r="H467" t="s">
        <v>222</v>
      </c>
      <c r="I467" t="s">
        <v>1296</v>
      </c>
      <c r="J467" t="s">
        <v>1297</v>
      </c>
      <c r="K467" t="s">
        <v>73</v>
      </c>
      <c r="N467" t="s">
        <v>74</v>
      </c>
      <c r="O467" t="s">
        <v>75</v>
      </c>
      <c r="P467" t="s">
        <v>74</v>
      </c>
      <c r="Q467" t="s">
        <v>76</v>
      </c>
      <c r="R467" t="s">
        <v>73</v>
      </c>
      <c r="S467">
        <v>0</v>
      </c>
      <c r="W467" s="20">
        <v>7.7546296296296304E-4</v>
      </c>
      <c r="X467" t="s">
        <v>1298</v>
      </c>
      <c r="Y467">
        <v>11</v>
      </c>
      <c r="Z467">
        <v>0</v>
      </c>
      <c r="AA467" t="s">
        <v>78</v>
      </c>
      <c r="AB467">
        <v>0</v>
      </c>
      <c r="AC467" t="s">
        <v>78</v>
      </c>
      <c r="AD467">
        <v>0</v>
      </c>
      <c r="AE467">
        <v>10949726</v>
      </c>
      <c r="AF467" t="s">
        <v>79</v>
      </c>
      <c r="AG467" t="s">
        <v>952</v>
      </c>
    </row>
    <row r="468" spans="1:33" x14ac:dyDescent="0.35">
      <c r="A468" s="18">
        <v>44500.661111111112</v>
      </c>
      <c r="B468">
        <v>3300780</v>
      </c>
      <c r="C468" t="s">
        <v>1299</v>
      </c>
      <c r="D468" t="s">
        <v>1300</v>
      </c>
      <c r="E468" s="19">
        <v>39930</v>
      </c>
      <c r="F468" t="str">
        <f>"9780674053793"</f>
        <v>9780674053793</v>
      </c>
      <c r="G468" t="str">
        <f>"9780674032873"</f>
        <v>9780674032873</v>
      </c>
      <c r="H468" t="s">
        <v>528</v>
      </c>
      <c r="I468">
        <v>170</v>
      </c>
      <c r="J468" t="s">
        <v>1301</v>
      </c>
      <c r="K468" t="s">
        <v>73</v>
      </c>
      <c r="N468" t="s">
        <v>74</v>
      </c>
      <c r="O468" t="s">
        <v>75</v>
      </c>
      <c r="P468" t="s">
        <v>230</v>
      </c>
      <c r="Q468" t="s">
        <v>76</v>
      </c>
      <c r="R468" t="s">
        <v>85</v>
      </c>
      <c r="S468">
        <v>0</v>
      </c>
      <c r="W468" s="20">
        <v>1.0069444444444444E-3</v>
      </c>
      <c r="X468" t="s">
        <v>1302</v>
      </c>
      <c r="Y468">
        <v>8</v>
      </c>
      <c r="Z468">
        <v>0</v>
      </c>
      <c r="AA468" t="s">
        <v>78</v>
      </c>
      <c r="AB468">
        <v>0</v>
      </c>
      <c r="AC468" t="s">
        <v>78</v>
      </c>
      <c r="AD468">
        <v>0</v>
      </c>
      <c r="AE468">
        <v>10399445</v>
      </c>
      <c r="AF468" t="s">
        <v>79</v>
      </c>
      <c r="AG468" t="s">
        <v>770</v>
      </c>
    </row>
    <row r="469" spans="1:33" x14ac:dyDescent="0.35">
      <c r="A469" s="18">
        <v>44500.631944444445</v>
      </c>
      <c r="B469">
        <v>848526</v>
      </c>
      <c r="C469" t="s">
        <v>1144</v>
      </c>
      <c r="D469" t="s">
        <v>70</v>
      </c>
      <c r="E469" s="19">
        <v>41212</v>
      </c>
      <c r="F469" t="str">
        <f>"9781118310069"</f>
        <v>9781118310069</v>
      </c>
      <c r="G469" t="str">
        <f>"9780470566671"</f>
        <v>9780470566671</v>
      </c>
      <c r="H469" t="s">
        <v>1145</v>
      </c>
      <c r="I469">
        <v>610.28</v>
      </c>
      <c r="J469" t="s">
        <v>1146</v>
      </c>
      <c r="K469" t="s">
        <v>73</v>
      </c>
      <c r="N469" t="s">
        <v>74</v>
      </c>
      <c r="O469" t="s">
        <v>75</v>
      </c>
      <c r="P469" t="s">
        <v>74</v>
      </c>
      <c r="Q469" t="s">
        <v>76</v>
      </c>
      <c r="R469" t="s">
        <v>73</v>
      </c>
      <c r="S469">
        <v>0</v>
      </c>
      <c r="W469" s="20">
        <v>2.7662037037037034E-3</v>
      </c>
      <c r="X469" t="s">
        <v>1303</v>
      </c>
      <c r="Y469">
        <v>14</v>
      </c>
      <c r="Z469">
        <v>0</v>
      </c>
      <c r="AA469" t="s">
        <v>78</v>
      </c>
      <c r="AB469">
        <v>0</v>
      </c>
      <c r="AC469" t="s">
        <v>78</v>
      </c>
      <c r="AD469">
        <v>0</v>
      </c>
      <c r="AE469">
        <v>10615085</v>
      </c>
      <c r="AF469" t="s">
        <v>79</v>
      </c>
      <c r="AG469" t="s">
        <v>1304</v>
      </c>
    </row>
    <row r="470" spans="1:33" x14ac:dyDescent="0.35">
      <c r="A470" s="18">
        <v>44500.631944444445</v>
      </c>
      <c r="B470">
        <v>848526</v>
      </c>
      <c r="C470" t="s">
        <v>1144</v>
      </c>
      <c r="D470" t="s">
        <v>70</v>
      </c>
      <c r="E470" s="19">
        <v>41212</v>
      </c>
      <c r="F470" t="str">
        <f>"9781118310069"</f>
        <v>9781118310069</v>
      </c>
      <c r="G470" t="str">
        <f>"9780470566671"</f>
        <v>9780470566671</v>
      </c>
      <c r="H470" t="s">
        <v>1145</v>
      </c>
      <c r="I470">
        <v>610.28</v>
      </c>
      <c r="J470" t="s">
        <v>1146</v>
      </c>
      <c r="K470" t="s">
        <v>73</v>
      </c>
      <c r="N470" t="s">
        <v>74</v>
      </c>
      <c r="O470" t="s">
        <v>75</v>
      </c>
      <c r="P470" t="s">
        <v>74</v>
      </c>
      <c r="Q470" t="s">
        <v>76</v>
      </c>
      <c r="R470" t="s">
        <v>73</v>
      </c>
      <c r="S470">
        <v>0</v>
      </c>
      <c r="W470" s="20">
        <v>0</v>
      </c>
      <c r="X470" t="s">
        <v>78</v>
      </c>
      <c r="Y470">
        <v>0</v>
      </c>
      <c r="Z470">
        <v>0</v>
      </c>
      <c r="AA470" t="s">
        <v>78</v>
      </c>
      <c r="AB470">
        <v>0</v>
      </c>
      <c r="AC470" t="s">
        <v>78</v>
      </c>
      <c r="AD470">
        <v>0</v>
      </c>
      <c r="AE470">
        <v>10615085</v>
      </c>
      <c r="AF470" t="s">
        <v>79</v>
      </c>
      <c r="AG470" t="s">
        <v>1304</v>
      </c>
    </row>
    <row r="471" spans="1:33" x14ac:dyDescent="0.35">
      <c r="A471" s="18">
        <v>44500.592361111114</v>
      </c>
      <c r="B471">
        <v>6694113</v>
      </c>
      <c r="C471" t="s">
        <v>359</v>
      </c>
      <c r="D471" t="s">
        <v>127</v>
      </c>
      <c r="E471" s="19">
        <v>44467</v>
      </c>
      <c r="F471" t="str">
        <f>"9781000460643"</f>
        <v>9781000460643</v>
      </c>
      <c r="G471" t="str">
        <f>"9780367485177"</f>
        <v>9780367485177</v>
      </c>
      <c r="H471" t="s">
        <v>128</v>
      </c>
      <c r="I471">
        <v>307.76095379999998</v>
      </c>
      <c r="K471" t="s">
        <v>85</v>
      </c>
      <c r="N471" t="s">
        <v>86</v>
      </c>
      <c r="P471" t="s">
        <v>87</v>
      </c>
      <c r="Q471" t="s">
        <v>76</v>
      </c>
      <c r="R471" t="s">
        <v>73</v>
      </c>
      <c r="S471">
        <v>0</v>
      </c>
      <c r="W471" s="20">
        <v>1.2268518518518518E-3</v>
      </c>
      <c r="X471" t="s">
        <v>1305</v>
      </c>
      <c r="Y471">
        <v>4</v>
      </c>
      <c r="Z471">
        <v>0</v>
      </c>
      <c r="AA471" t="s">
        <v>78</v>
      </c>
      <c r="AB471">
        <v>0</v>
      </c>
      <c r="AC471" t="s">
        <v>78</v>
      </c>
      <c r="AD471">
        <v>0</v>
      </c>
      <c r="AE471">
        <v>-1</v>
      </c>
      <c r="AF471" t="s">
        <v>79</v>
      </c>
      <c r="AG471" t="s">
        <v>952</v>
      </c>
    </row>
    <row r="472" spans="1:33" x14ac:dyDescent="0.35">
      <c r="A472" s="18">
        <v>44500.470138888886</v>
      </c>
      <c r="B472">
        <v>848526</v>
      </c>
      <c r="C472" t="s">
        <v>1144</v>
      </c>
      <c r="D472" t="s">
        <v>70</v>
      </c>
      <c r="E472" s="19">
        <v>41212</v>
      </c>
      <c r="F472" t="str">
        <f>"9781118310069"</f>
        <v>9781118310069</v>
      </c>
      <c r="G472" t="str">
        <f>"9780470566671"</f>
        <v>9780470566671</v>
      </c>
      <c r="H472" t="s">
        <v>1145</v>
      </c>
      <c r="I472">
        <v>610.28</v>
      </c>
      <c r="J472" t="s">
        <v>1146</v>
      </c>
      <c r="K472" t="s">
        <v>73</v>
      </c>
      <c r="N472" t="s">
        <v>74</v>
      </c>
      <c r="O472" t="s">
        <v>75</v>
      </c>
      <c r="P472" t="s">
        <v>74</v>
      </c>
      <c r="Q472" t="s">
        <v>76</v>
      </c>
      <c r="R472" t="s">
        <v>73</v>
      </c>
      <c r="S472">
        <v>0</v>
      </c>
      <c r="W472" s="20">
        <v>3.4432870370370371E-2</v>
      </c>
      <c r="X472" t="s">
        <v>1306</v>
      </c>
      <c r="Y472">
        <v>16</v>
      </c>
      <c r="Z472">
        <v>0</v>
      </c>
      <c r="AA472" t="s">
        <v>78</v>
      </c>
      <c r="AB472">
        <v>0</v>
      </c>
      <c r="AC472" t="s">
        <v>78</v>
      </c>
      <c r="AD472">
        <v>0</v>
      </c>
      <c r="AE472">
        <v>10615085</v>
      </c>
      <c r="AF472" t="s">
        <v>79</v>
      </c>
      <c r="AG472" t="s">
        <v>1304</v>
      </c>
    </row>
    <row r="473" spans="1:33" x14ac:dyDescent="0.35">
      <c r="A473" s="18">
        <v>44500.415972222225</v>
      </c>
      <c r="B473">
        <v>848526</v>
      </c>
      <c r="C473" t="s">
        <v>1144</v>
      </c>
      <c r="D473" t="s">
        <v>70</v>
      </c>
      <c r="E473" s="19">
        <v>41212</v>
      </c>
      <c r="F473" t="str">
        <f>"9781118310069"</f>
        <v>9781118310069</v>
      </c>
      <c r="G473" t="str">
        <f>"9780470566671"</f>
        <v>9780470566671</v>
      </c>
      <c r="H473" t="s">
        <v>1145</v>
      </c>
      <c r="I473">
        <v>610.28</v>
      </c>
      <c r="J473" t="s">
        <v>1146</v>
      </c>
      <c r="K473" t="s">
        <v>73</v>
      </c>
      <c r="N473" t="s">
        <v>74</v>
      </c>
      <c r="O473" t="s">
        <v>75</v>
      </c>
      <c r="P473" t="s">
        <v>74</v>
      </c>
      <c r="Q473" t="s">
        <v>76</v>
      </c>
      <c r="R473" t="s">
        <v>73</v>
      </c>
      <c r="S473">
        <v>0</v>
      </c>
      <c r="W473" s="20">
        <v>1.577546296296296E-2</v>
      </c>
      <c r="X473" t="s">
        <v>1307</v>
      </c>
      <c r="Y473">
        <v>13</v>
      </c>
      <c r="Z473">
        <v>4</v>
      </c>
      <c r="AA473" t="s">
        <v>1308</v>
      </c>
      <c r="AB473">
        <v>104</v>
      </c>
      <c r="AC473" t="s">
        <v>1309</v>
      </c>
      <c r="AD473">
        <v>1</v>
      </c>
      <c r="AE473">
        <v>10615085</v>
      </c>
      <c r="AF473" t="s">
        <v>79</v>
      </c>
      <c r="AG473" t="s">
        <v>1304</v>
      </c>
    </row>
    <row r="474" spans="1:33" x14ac:dyDescent="0.35">
      <c r="A474" s="18">
        <v>44500.357638888891</v>
      </c>
      <c r="B474">
        <v>1524232</v>
      </c>
      <c r="C474" t="s">
        <v>1310</v>
      </c>
      <c r="D474" t="s">
        <v>1311</v>
      </c>
      <c r="E474" s="19">
        <v>41627</v>
      </c>
      <c r="F474" t="str">
        <f>"9781134581375"</f>
        <v>9781134581375</v>
      </c>
      <c r="G474" t="str">
        <f>"9780415822756"</f>
        <v>9780415822756</v>
      </c>
      <c r="H474" t="s">
        <v>1312</v>
      </c>
      <c r="I474" t="s">
        <v>1313</v>
      </c>
      <c r="J474" t="s">
        <v>1314</v>
      </c>
      <c r="K474" t="s">
        <v>85</v>
      </c>
      <c r="N474" t="s">
        <v>86</v>
      </c>
      <c r="P474" t="s">
        <v>87</v>
      </c>
      <c r="Q474" t="s">
        <v>76</v>
      </c>
      <c r="R474" t="s">
        <v>73</v>
      </c>
      <c r="S474">
        <v>1</v>
      </c>
      <c r="T474">
        <v>65</v>
      </c>
      <c r="U474" s="18">
        <v>44500.354861111111</v>
      </c>
      <c r="V474" s="18">
        <v>44565.354861111111</v>
      </c>
      <c r="W474" s="20">
        <v>0</v>
      </c>
      <c r="X474" t="s">
        <v>78</v>
      </c>
      <c r="Y474">
        <v>0</v>
      </c>
      <c r="Z474">
        <v>0</v>
      </c>
      <c r="AA474" t="s">
        <v>78</v>
      </c>
      <c r="AB474">
        <v>0</v>
      </c>
      <c r="AC474" t="s">
        <v>78</v>
      </c>
      <c r="AD474">
        <v>0</v>
      </c>
      <c r="AE474">
        <v>10792418</v>
      </c>
      <c r="AF474" t="s">
        <v>88</v>
      </c>
      <c r="AG474" t="s">
        <v>952</v>
      </c>
    </row>
    <row r="475" spans="1:33" x14ac:dyDescent="0.35">
      <c r="A475" s="18">
        <v>44500.354861111111</v>
      </c>
      <c r="B475">
        <v>1524232</v>
      </c>
      <c r="C475" t="s">
        <v>1310</v>
      </c>
      <c r="D475" t="s">
        <v>1311</v>
      </c>
      <c r="E475" s="19">
        <v>41627</v>
      </c>
      <c r="F475" t="str">
        <f>"9781134581375"</f>
        <v>9781134581375</v>
      </c>
      <c r="G475" t="str">
        <f>"9780415822756"</f>
        <v>9780415822756</v>
      </c>
      <c r="H475" t="s">
        <v>1312</v>
      </c>
      <c r="I475" t="s">
        <v>1313</v>
      </c>
      <c r="J475" t="s">
        <v>1314</v>
      </c>
      <c r="K475" t="s">
        <v>85</v>
      </c>
      <c r="N475" t="s">
        <v>86</v>
      </c>
      <c r="P475" t="s">
        <v>87</v>
      </c>
      <c r="Q475" t="s">
        <v>76</v>
      </c>
      <c r="R475" t="s">
        <v>73</v>
      </c>
      <c r="S475">
        <v>2</v>
      </c>
      <c r="T475">
        <v>65</v>
      </c>
      <c r="U475" s="18">
        <v>44500.354861111111</v>
      </c>
      <c r="V475" s="18">
        <v>44565.354861111111</v>
      </c>
      <c r="W475" s="20">
        <v>0</v>
      </c>
      <c r="X475" t="s">
        <v>78</v>
      </c>
      <c r="Y475">
        <v>0</v>
      </c>
      <c r="Z475">
        <v>0</v>
      </c>
      <c r="AA475" t="s">
        <v>78</v>
      </c>
      <c r="AB475">
        <v>0</v>
      </c>
      <c r="AC475" t="s">
        <v>78</v>
      </c>
      <c r="AD475">
        <v>0</v>
      </c>
      <c r="AE475">
        <v>10792418</v>
      </c>
      <c r="AF475" t="s">
        <v>88</v>
      </c>
      <c r="AG475" t="s">
        <v>952</v>
      </c>
    </row>
    <row r="476" spans="1:33" x14ac:dyDescent="0.35">
      <c r="A476" s="18">
        <v>44499.994444444441</v>
      </c>
      <c r="B476">
        <v>5429064</v>
      </c>
      <c r="C476" t="s">
        <v>1315</v>
      </c>
      <c r="D476" t="s">
        <v>1316</v>
      </c>
      <c r="E476" s="19">
        <v>42719</v>
      </c>
      <c r="F476" t="str">
        <f>"9780766081406"</f>
        <v>9780766081406</v>
      </c>
      <c r="G476" t="str">
        <f>"9780766081390"</f>
        <v>9780766081390</v>
      </c>
      <c r="H476" t="s">
        <v>621</v>
      </c>
      <c r="J476" t="s">
        <v>1317</v>
      </c>
      <c r="K476" t="s">
        <v>73</v>
      </c>
      <c r="N476" t="s">
        <v>74</v>
      </c>
      <c r="O476" t="s">
        <v>75</v>
      </c>
      <c r="P476" t="s">
        <v>74</v>
      </c>
      <c r="Q476" t="s">
        <v>76</v>
      </c>
      <c r="R476" t="s">
        <v>73</v>
      </c>
      <c r="S476">
        <v>0</v>
      </c>
      <c r="W476" s="20">
        <v>3.2407407407407406E-4</v>
      </c>
      <c r="X476" t="s">
        <v>1318</v>
      </c>
      <c r="Y476">
        <v>3</v>
      </c>
      <c r="Z476">
        <v>0</v>
      </c>
      <c r="AA476" t="s">
        <v>78</v>
      </c>
      <c r="AB476">
        <v>0</v>
      </c>
      <c r="AC476" t="s">
        <v>78</v>
      </c>
      <c r="AD476">
        <v>0</v>
      </c>
      <c r="AE476">
        <v>11581517</v>
      </c>
      <c r="AF476" t="s">
        <v>79</v>
      </c>
      <c r="AG476" t="s">
        <v>1291</v>
      </c>
    </row>
    <row r="477" spans="1:33" x14ac:dyDescent="0.35">
      <c r="A477" s="18">
        <v>44499.870138888888</v>
      </c>
      <c r="B477">
        <v>765859</v>
      </c>
      <c r="C477" t="s">
        <v>1319</v>
      </c>
      <c r="D477" t="s">
        <v>189</v>
      </c>
      <c r="E477" s="19">
        <v>40710</v>
      </c>
      <c r="F477" t="str">
        <f>"9783110223408"</f>
        <v>9783110223408</v>
      </c>
      <c r="G477" t="str">
        <f>"9783110223392"</f>
        <v>9783110223392</v>
      </c>
      <c r="H477" t="s">
        <v>1320</v>
      </c>
      <c r="I477">
        <v>953.57</v>
      </c>
      <c r="J477" t="s">
        <v>1321</v>
      </c>
      <c r="K477" t="s">
        <v>73</v>
      </c>
      <c r="N477" t="s">
        <v>74</v>
      </c>
      <c r="O477" t="s">
        <v>75</v>
      </c>
      <c r="P477" t="s">
        <v>74</v>
      </c>
      <c r="Q477" t="s">
        <v>76</v>
      </c>
      <c r="R477" t="s">
        <v>73</v>
      </c>
      <c r="S477">
        <v>0</v>
      </c>
      <c r="W477" s="20">
        <v>2.3148148148148146E-4</v>
      </c>
      <c r="X477" t="s">
        <v>1322</v>
      </c>
      <c r="Y477">
        <v>3</v>
      </c>
      <c r="Z477">
        <v>0</v>
      </c>
      <c r="AA477" t="s">
        <v>78</v>
      </c>
      <c r="AB477">
        <v>0</v>
      </c>
      <c r="AC477" t="s">
        <v>78</v>
      </c>
      <c r="AD477">
        <v>0</v>
      </c>
      <c r="AE477">
        <v>10502351</v>
      </c>
      <c r="AF477" t="s">
        <v>79</v>
      </c>
      <c r="AG477" t="s">
        <v>671</v>
      </c>
    </row>
    <row r="478" spans="1:33" x14ac:dyDescent="0.35">
      <c r="A478" s="18">
        <v>44499.863194444442</v>
      </c>
      <c r="B478">
        <v>3377940</v>
      </c>
      <c r="C478" t="s">
        <v>1323</v>
      </c>
      <c r="D478" t="s">
        <v>351</v>
      </c>
      <c r="E478" s="19">
        <v>22981</v>
      </c>
      <c r="F478" t="str">
        <f>"9780309593632"</f>
        <v>9780309593632</v>
      </c>
      <c r="G478" t="str">
        <f>""</f>
        <v/>
      </c>
      <c r="H478" t="s">
        <v>143</v>
      </c>
      <c r="J478" t="s">
        <v>1324</v>
      </c>
      <c r="K478" t="s">
        <v>73</v>
      </c>
      <c r="N478" t="s">
        <v>74</v>
      </c>
      <c r="O478" t="s">
        <v>75</v>
      </c>
      <c r="P478" t="s">
        <v>230</v>
      </c>
      <c r="Q478" t="s">
        <v>76</v>
      </c>
      <c r="R478" t="s">
        <v>85</v>
      </c>
      <c r="S478">
        <v>0</v>
      </c>
      <c r="W478" s="20">
        <v>3.2291666666666666E-3</v>
      </c>
      <c r="X478" t="s">
        <v>1325</v>
      </c>
      <c r="Y478">
        <v>12</v>
      </c>
      <c r="Z478">
        <v>0</v>
      </c>
      <c r="AA478" t="s">
        <v>78</v>
      </c>
      <c r="AB478">
        <v>0</v>
      </c>
      <c r="AC478" t="s">
        <v>1285</v>
      </c>
      <c r="AD478">
        <v>1</v>
      </c>
      <c r="AE478">
        <v>10080788</v>
      </c>
      <c r="AF478" t="s">
        <v>79</v>
      </c>
      <c r="AG478" t="s">
        <v>242</v>
      </c>
    </row>
    <row r="479" spans="1:33" x14ac:dyDescent="0.35">
      <c r="A479" s="18">
        <v>44499.799305555556</v>
      </c>
      <c r="B479">
        <v>1569625</v>
      </c>
      <c r="C479" t="s">
        <v>1326</v>
      </c>
      <c r="D479" t="s">
        <v>338</v>
      </c>
      <c r="E479" s="19">
        <v>41607</v>
      </c>
      <c r="F479" t="str">
        <f>"9780444563705"</f>
        <v>9780444563705</v>
      </c>
      <c r="G479" t="str">
        <f>"9780444563651"</f>
        <v>9780444563651</v>
      </c>
      <c r="H479" t="s">
        <v>1327</v>
      </c>
      <c r="I479">
        <v>553.28</v>
      </c>
      <c r="J479" t="s">
        <v>1328</v>
      </c>
      <c r="K479" t="s">
        <v>73</v>
      </c>
      <c r="N479" t="s">
        <v>74</v>
      </c>
      <c r="O479" t="s">
        <v>75</v>
      </c>
      <c r="P479" t="s">
        <v>74</v>
      </c>
      <c r="Q479" t="s">
        <v>76</v>
      </c>
      <c r="R479" t="s">
        <v>73</v>
      </c>
      <c r="S479">
        <v>0</v>
      </c>
      <c r="W479" s="20">
        <v>7.7546296296296304E-4</v>
      </c>
      <c r="X479" t="s">
        <v>1329</v>
      </c>
      <c r="Y479">
        <v>15</v>
      </c>
      <c r="Z479">
        <v>0</v>
      </c>
      <c r="AA479" t="s">
        <v>78</v>
      </c>
      <c r="AB479">
        <v>0</v>
      </c>
      <c r="AC479" t="s">
        <v>78</v>
      </c>
      <c r="AD479">
        <v>0</v>
      </c>
      <c r="AE479">
        <v>10811802</v>
      </c>
      <c r="AF479" t="s">
        <v>79</v>
      </c>
      <c r="AG479" t="s">
        <v>1330</v>
      </c>
    </row>
    <row r="480" spans="1:33" x14ac:dyDescent="0.35">
      <c r="A480" s="18">
        <v>44499.798611111109</v>
      </c>
      <c r="B480">
        <v>3405001</v>
      </c>
      <c r="C480" t="s">
        <v>1331</v>
      </c>
      <c r="D480" t="s">
        <v>1332</v>
      </c>
      <c r="E480" s="19">
        <v>35034</v>
      </c>
      <c r="F480" t="str">
        <f>"9781613991633"</f>
        <v>9781613991633</v>
      </c>
      <c r="G480" t="str">
        <f>"9781555630737"</f>
        <v>9781555630737</v>
      </c>
      <c r="H480" t="s">
        <v>179</v>
      </c>
      <c r="J480" t="s">
        <v>1333</v>
      </c>
      <c r="K480" t="s">
        <v>73</v>
      </c>
      <c r="N480" t="s">
        <v>74</v>
      </c>
      <c r="O480" t="s">
        <v>75</v>
      </c>
      <c r="P480" t="s">
        <v>74</v>
      </c>
      <c r="Q480" t="s">
        <v>76</v>
      </c>
      <c r="R480" t="s">
        <v>73</v>
      </c>
      <c r="S480">
        <v>0</v>
      </c>
      <c r="W480" s="20">
        <v>5.4398148148148144E-4</v>
      </c>
      <c r="X480" t="s">
        <v>1334</v>
      </c>
      <c r="Y480">
        <v>5</v>
      </c>
      <c r="Z480">
        <v>0</v>
      </c>
      <c r="AA480" t="s">
        <v>78</v>
      </c>
      <c r="AB480">
        <v>0</v>
      </c>
      <c r="AC480" t="s">
        <v>78</v>
      </c>
      <c r="AD480">
        <v>0</v>
      </c>
      <c r="AE480">
        <v>10619572</v>
      </c>
      <c r="AF480" t="s">
        <v>79</v>
      </c>
      <c r="AG480" t="s">
        <v>1330</v>
      </c>
    </row>
    <row r="481" spans="1:33" x14ac:dyDescent="0.35">
      <c r="A481" s="18">
        <v>44499.755555555559</v>
      </c>
      <c r="B481">
        <v>1895904</v>
      </c>
      <c r="C481" t="s">
        <v>1335</v>
      </c>
      <c r="D481" t="s">
        <v>70</v>
      </c>
      <c r="E481" s="19">
        <v>42086</v>
      </c>
      <c r="F481" t="str">
        <f>"9781119009382"</f>
        <v>9781119009382</v>
      </c>
      <c r="G481" t="str">
        <f>"9781118312605"</f>
        <v>9781118312605</v>
      </c>
      <c r="H481" t="s">
        <v>374</v>
      </c>
      <c r="I481" t="s">
        <v>1336</v>
      </c>
      <c r="J481" t="s">
        <v>1337</v>
      </c>
      <c r="K481" t="s">
        <v>73</v>
      </c>
      <c r="N481" t="s">
        <v>74</v>
      </c>
      <c r="O481" t="s">
        <v>75</v>
      </c>
      <c r="P481" t="s">
        <v>74</v>
      </c>
      <c r="Q481" t="s">
        <v>76</v>
      </c>
      <c r="R481" t="s">
        <v>73</v>
      </c>
      <c r="S481">
        <v>0</v>
      </c>
      <c r="W481" s="20">
        <v>3.0358796296296297E-2</v>
      </c>
      <c r="X481" t="s">
        <v>1338</v>
      </c>
      <c r="Y481">
        <v>7</v>
      </c>
      <c r="Z481">
        <v>0</v>
      </c>
      <c r="AA481" t="s">
        <v>78</v>
      </c>
      <c r="AB481">
        <v>0</v>
      </c>
      <c r="AC481" t="s">
        <v>78</v>
      </c>
      <c r="AD481">
        <v>0</v>
      </c>
      <c r="AE481">
        <v>11022727</v>
      </c>
      <c r="AF481" t="s">
        <v>79</v>
      </c>
      <c r="AG481" t="s">
        <v>671</v>
      </c>
    </row>
    <row r="482" spans="1:33" x14ac:dyDescent="0.35">
      <c r="A482" s="18">
        <v>44499.701388888891</v>
      </c>
      <c r="B482">
        <v>1895904</v>
      </c>
      <c r="C482" t="s">
        <v>1335</v>
      </c>
      <c r="D482" t="s">
        <v>70</v>
      </c>
      <c r="E482" s="19">
        <v>42086</v>
      </c>
      <c r="F482" t="str">
        <f>"9781119009382"</f>
        <v>9781119009382</v>
      </c>
      <c r="G482" t="str">
        <f>"9781118312605"</f>
        <v>9781118312605</v>
      </c>
      <c r="H482" t="s">
        <v>374</v>
      </c>
      <c r="I482" t="s">
        <v>1336</v>
      </c>
      <c r="J482" t="s">
        <v>1337</v>
      </c>
      <c r="K482" t="s">
        <v>73</v>
      </c>
      <c r="N482" t="s">
        <v>74</v>
      </c>
      <c r="O482" t="s">
        <v>75</v>
      </c>
      <c r="P482" t="s">
        <v>74</v>
      </c>
      <c r="Q482" t="s">
        <v>76</v>
      </c>
      <c r="R482" t="s">
        <v>73</v>
      </c>
      <c r="S482">
        <v>0</v>
      </c>
      <c r="W482" s="20">
        <v>1.6319444444444445E-3</v>
      </c>
      <c r="X482" t="s">
        <v>1339</v>
      </c>
      <c r="Y482">
        <v>7</v>
      </c>
      <c r="Z482">
        <v>0</v>
      </c>
      <c r="AA482" t="s">
        <v>78</v>
      </c>
      <c r="AB482">
        <v>0</v>
      </c>
      <c r="AC482" t="s">
        <v>78</v>
      </c>
      <c r="AD482">
        <v>0</v>
      </c>
      <c r="AE482">
        <v>11022727</v>
      </c>
      <c r="AF482" t="s">
        <v>79</v>
      </c>
      <c r="AG482" t="s">
        <v>671</v>
      </c>
    </row>
    <row r="483" spans="1:33" x14ac:dyDescent="0.35">
      <c r="A483" s="18">
        <v>44499.661805555559</v>
      </c>
      <c r="B483">
        <v>1895904</v>
      </c>
      <c r="C483" t="s">
        <v>1335</v>
      </c>
      <c r="D483" t="s">
        <v>70</v>
      </c>
      <c r="E483" s="19">
        <v>42086</v>
      </c>
      <c r="F483" t="str">
        <f>"9781119009382"</f>
        <v>9781119009382</v>
      </c>
      <c r="G483" t="str">
        <f>"9781118312605"</f>
        <v>9781118312605</v>
      </c>
      <c r="H483" t="s">
        <v>374</v>
      </c>
      <c r="I483" t="s">
        <v>1336</v>
      </c>
      <c r="J483" t="s">
        <v>1337</v>
      </c>
      <c r="K483" t="s">
        <v>73</v>
      </c>
      <c r="N483" t="s">
        <v>74</v>
      </c>
      <c r="O483" t="s">
        <v>75</v>
      </c>
      <c r="P483" t="s">
        <v>74</v>
      </c>
      <c r="Q483" t="s">
        <v>76</v>
      </c>
      <c r="R483" t="s">
        <v>73</v>
      </c>
      <c r="S483">
        <v>0</v>
      </c>
      <c r="W483" s="20">
        <v>1.4351851851851852E-2</v>
      </c>
      <c r="X483" t="s">
        <v>1340</v>
      </c>
      <c r="Y483">
        <v>16</v>
      </c>
      <c r="Z483">
        <v>0</v>
      </c>
      <c r="AA483" t="s">
        <v>78</v>
      </c>
      <c r="AB483">
        <v>0</v>
      </c>
      <c r="AC483" t="s">
        <v>78</v>
      </c>
      <c r="AD483">
        <v>0</v>
      </c>
      <c r="AE483">
        <v>11022727</v>
      </c>
      <c r="AF483" t="s">
        <v>79</v>
      </c>
      <c r="AG483" t="s">
        <v>671</v>
      </c>
    </row>
    <row r="484" spans="1:33" x14ac:dyDescent="0.35">
      <c r="A484" s="18">
        <v>44499.645138888889</v>
      </c>
      <c r="B484">
        <v>6190793</v>
      </c>
      <c r="C484" t="s">
        <v>1341</v>
      </c>
      <c r="D484" t="s">
        <v>70</v>
      </c>
      <c r="E484" s="19">
        <v>43992</v>
      </c>
      <c r="F484" t="str">
        <f>"9781119707905"</f>
        <v>9781119707905</v>
      </c>
      <c r="G484" t="str">
        <f>"9781119707721"</f>
        <v>9781119707721</v>
      </c>
      <c r="H484" t="s">
        <v>391</v>
      </c>
      <c r="I484">
        <v>665.77</v>
      </c>
      <c r="J484" t="s">
        <v>1342</v>
      </c>
      <c r="K484" t="s">
        <v>85</v>
      </c>
      <c r="Q484" t="s">
        <v>76</v>
      </c>
      <c r="R484" t="s">
        <v>73</v>
      </c>
      <c r="S484">
        <v>0</v>
      </c>
      <c r="W484" s="20">
        <v>3.1250000000000001E-4</v>
      </c>
      <c r="X484" t="s">
        <v>1343</v>
      </c>
      <c r="Y484">
        <v>3</v>
      </c>
      <c r="Z484">
        <v>0</v>
      </c>
      <c r="AA484" t="s">
        <v>78</v>
      </c>
      <c r="AB484">
        <v>0</v>
      </c>
      <c r="AC484" t="s">
        <v>78</v>
      </c>
      <c r="AD484">
        <v>0</v>
      </c>
      <c r="AE484">
        <v>-1</v>
      </c>
      <c r="AF484" t="s">
        <v>79</v>
      </c>
      <c r="AG484" t="s">
        <v>1291</v>
      </c>
    </row>
    <row r="485" spans="1:33" x14ac:dyDescent="0.35">
      <c r="A485" s="18">
        <v>44499.61041666667</v>
      </c>
      <c r="B485">
        <v>6351905</v>
      </c>
      <c r="C485" t="s">
        <v>1344</v>
      </c>
      <c r="D485" t="s">
        <v>158</v>
      </c>
      <c r="E485" s="19">
        <v>44092</v>
      </c>
      <c r="F485" t="str">
        <f>"9780128205402"</f>
        <v>9780128205402</v>
      </c>
      <c r="G485" t="str">
        <f>"9780128205396"</f>
        <v>9780128205396</v>
      </c>
      <c r="H485" t="s">
        <v>1345</v>
      </c>
      <c r="I485">
        <v>333.79399999999998</v>
      </c>
      <c r="J485" t="s">
        <v>1346</v>
      </c>
      <c r="K485" t="s">
        <v>85</v>
      </c>
      <c r="Q485" t="s">
        <v>76</v>
      </c>
      <c r="R485" t="s">
        <v>73</v>
      </c>
      <c r="S485">
        <v>0</v>
      </c>
      <c r="W485" s="20">
        <v>6.3657407407407402E-4</v>
      </c>
      <c r="X485" t="s">
        <v>1347</v>
      </c>
      <c r="Y485">
        <v>7</v>
      </c>
      <c r="Z485">
        <v>0</v>
      </c>
      <c r="AA485" t="s">
        <v>78</v>
      </c>
      <c r="AB485">
        <v>0</v>
      </c>
      <c r="AC485" t="s">
        <v>78</v>
      </c>
      <c r="AD485">
        <v>0</v>
      </c>
      <c r="AE485">
        <v>-1</v>
      </c>
      <c r="AF485" t="s">
        <v>79</v>
      </c>
      <c r="AG485" t="s">
        <v>1291</v>
      </c>
    </row>
    <row r="486" spans="1:33" x14ac:dyDescent="0.35">
      <c r="A486" s="18">
        <v>44499.609722222223</v>
      </c>
      <c r="B486">
        <v>6109562</v>
      </c>
      <c r="C486" t="s">
        <v>1348</v>
      </c>
      <c r="D486" t="s">
        <v>369</v>
      </c>
      <c r="E486" s="19">
        <v>43868</v>
      </c>
      <c r="F486" t="str">
        <f>"9783030297145"</f>
        <v>9783030297145</v>
      </c>
      <c r="G486" t="str">
        <f>"9783030297138"</f>
        <v>9783030297138</v>
      </c>
      <c r="H486" t="s">
        <v>1349</v>
      </c>
      <c r="I486">
        <v>620.00919999999905</v>
      </c>
      <c r="J486" t="s">
        <v>1350</v>
      </c>
      <c r="K486" t="s">
        <v>85</v>
      </c>
      <c r="Q486" t="s">
        <v>76</v>
      </c>
      <c r="R486" t="s">
        <v>73</v>
      </c>
      <c r="S486">
        <v>0</v>
      </c>
      <c r="W486" s="20">
        <v>1.5046296296296297E-4</v>
      </c>
      <c r="X486" t="s">
        <v>612</v>
      </c>
      <c r="Y486">
        <v>3</v>
      </c>
      <c r="Z486">
        <v>0</v>
      </c>
      <c r="AA486" t="s">
        <v>78</v>
      </c>
      <c r="AB486">
        <v>0</v>
      </c>
      <c r="AC486" t="s">
        <v>78</v>
      </c>
      <c r="AD486">
        <v>0</v>
      </c>
      <c r="AE486">
        <v>-1</v>
      </c>
      <c r="AF486" t="s">
        <v>79</v>
      </c>
      <c r="AG486" t="s">
        <v>1291</v>
      </c>
    </row>
    <row r="487" spans="1:33" x14ac:dyDescent="0.35">
      <c r="A487" s="18">
        <v>44499.606944444444</v>
      </c>
      <c r="B487">
        <v>6023002</v>
      </c>
      <c r="C487" t="s">
        <v>1351</v>
      </c>
      <c r="D487" t="s">
        <v>369</v>
      </c>
      <c r="E487" s="19">
        <v>43840</v>
      </c>
      <c r="F487" t="str">
        <f>"9783030351069"</f>
        <v>9783030351069</v>
      </c>
      <c r="G487" t="str">
        <f>"9783030351052"</f>
        <v>9783030351052</v>
      </c>
      <c r="H487" t="s">
        <v>1352</v>
      </c>
      <c r="I487">
        <v>660</v>
      </c>
      <c r="J487" t="s">
        <v>980</v>
      </c>
      <c r="K487" t="s">
        <v>85</v>
      </c>
      <c r="Q487" t="s">
        <v>76</v>
      </c>
      <c r="R487" t="s">
        <v>73</v>
      </c>
      <c r="S487">
        <v>0</v>
      </c>
      <c r="W487" s="20">
        <v>2.2685185185185182E-3</v>
      </c>
      <c r="X487" t="s">
        <v>1353</v>
      </c>
      <c r="Y487">
        <v>23</v>
      </c>
      <c r="Z487">
        <v>0</v>
      </c>
      <c r="AA487" t="s">
        <v>78</v>
      </c>
      <c r="AB487">
        <v>0</v>
      </c>
      <c r="AC487" t="s">
        <v>78</v>
      </c>
      <c r="AD487">
        <v>0</v>
      </c>
      <c r="AE487">
        <v>-1</v>
      </c>
      <c r="AF487" t="s">
        <v>79</v>
      </c>
      <c r="AG487" t="s">
        <v>1291</v>
      </c>
    </row>
    <row r="488" spans="1:33" x14ac:dyDescent="0.35">
      <c r="A488" s="18">
        <v>44499.597222222219</v>
      </c>
      <c r="B488">
        <v>6546221</v>
      </c>
      <c r="C488" t="s">
        <v>178</v>
      </c>
      <c r="D488" t="s">
        <v>158</v>
      </c>
      <c r="E488" s="19">
        <v>44299</v>
      </c>
      <c r="F488" t="str">
        <f>"9780128219300"</f>
        <v>9780128219300</v>
      </c>
      <c r="G488" t="str">
        <f>"9780128219294"</f>
        <v>9780128219294</v>
      </c>
      <c r="H488" t="s">
        <v>179</v>
      </c>
      <c r="I488">
        <v>622.33802856310001</v>
      </c>
      <c r="J488" t="s">
        <v>180</v>
      </c>
      <c r="K488" t="s">
        <v>85</v>
      </c>
      <c r="N488" t="s">
        <v>86</v>
      </c>
      <c r="P488" t="s">
        <v>87</v>
      </c>
      <c r="Q488" t="s">
        <v>76</v>
      </c>
      <c r="R488" t="s">
        <v>73</v>
      </c>
      <c r="S488">
        <v>0</v>
      </c>
      <c r="T488">
        <v>90</v>
      </c>
      <c r="U488" s="18">
        <v>44497.768055555556</v>
      </c>
      <c r="V488" s="18">
        <v>44587.768055555556</v>
      </c>
      <c r="W488" s="20">
        <v>1.4583333333333332E-2</v>
      </c>
      <c r="X488" t="s">
        <v>1354</v>
      </c>
      <c r="Y488">
        <v>6</v>
      </c>
      <c r="Z488">
        <v>0</v>
      </c>
      <c r="AA488" t="s">
        <v>78</v>
      </c>
      <c r="AB488">
        <v>0</v>
      </c>
      <c r="AC488" t="s">
        <v>78</v>
      </c>
      <c r="AD488">
        <v>0</v>
      </c>
      <c r="AE488">
        <v>-1</v>
      </c>
      <c r="AF488" t="s">
        <v>88</v>
      </c>
      <c r="AG488" t="s">
        <v>952</v>
      </c>
    </row>
    <row r="489" spans="1:33" x14ac:dyDescent="0.35">
      <c r="A489" s="18">
        <v>44499.59652777778</v>
      </c>
      <c r="B489">
        <v>6546221</v>
      </c>
      <c r="C489" t="s">
        <v>178</v>
      </c>
      <c r="D489" t="s">
        <v>158</v>
      </c>
      <c r="E489" s="19">
        <v>44299</v>
      </c>
      <c r="F489" t="str">
        <f>"9780128219300"</f>
        <v>9780128219300</v>
      </c>
      <c r="G489" t="str">
        <f>"9780128219294"</f>
        <v>9780128219294</v>
      </c>
      <c r="H489" t="s">
        <v>179</v>
      </c>
      <c r="I489">
        <v>622.33802856310001</v>
      </c>
      <c r="J489" t="s">
        <v>180</v>
      </c>
      <c r="K489" t="s">
        <v>85</v>
      </c>
      <c r="N489" t="s">
        <v>86</v>
      </c>
      <c r="P489" t="s">
        <v>87</v>
      </c>
      <c r="Q489" t="s">
        <v>76</v>
      </c>
      <c r="R489" t="s">
        <v>73</v>
      </c>
      <c r="S489">
        <v>0</v>
      </c>
      <c r="W489" s="20">
        <v>2.6620370370370372E-4</v>
      </c>
      <c r="X489" t="s">
        <v>1355</v>
      </c>
      <c r="Y489">
        <v>5</v>
      </c>
      <c r="Z489">
        <v>0</v>
      </c>
      <c r="AA489" t="s">
        <v>78</v>
      </c>
      <c r="AB489">
        <v>0</v>
      </c>
      <c r="AC489" t="s">
        <v>78</v>
      </c>
      <c r="AD489">
        <v>0</v>
      </c>
      <c r="AE489">
        <v>-1</v>
      </c>
      <c r="AF489" t="s">
        <v>79</v>
      </c>
      <c r="AG489" t="s">
        <v>952</v>
      </c>
    </row>
    <row r="490" spans="1:33" x14ac:dyDescent="0.35">
      <c r="A490" s="18">
        <v>44499.588194444441</v>
      </c>
      <c r="B490">
        <v>848526</v>
      </c>
      <c r="C490" t="s">
        <v>1144</v>
      </c>
      <c r="D490" t="s">
        <v>70</v>
      </c>
      <c r="E490" s="19">
        <v>41212</v>
      </c>
      <c r="F490" t="str">
        <f>"9781118310069"</f>
        <v>9781118310069</v>
      </c>
      <c r="G490" t="str">
        <f>"9780470566671"</f>
        <v>9780470566671</v>
      </c>
      <c r="H490" t="s">
        <v>1145</v>
      </c>
      <c r="I490">
        <v>610.28</v>
      </c>
      <c r="J490" t="s">
        <v>1146</v>
      </c>
      <c r="K490" t="s">
        <v>73</v>
      </c>
      <c r="N490" t="s">
        <v>74</v>
      </c>
      <c r="O490" t="s">
        <v>75</v>
      </c>
      <c r="P490" t="s">
        <v>74</v>
      </c>
      <c r="Q490" t="s">
        <v>76</v>
      </c>
      <c r="R490" t="s">
        <v>73</v>
      </c>
      <c r="S490">
        <v>0</v>
      </c>
      <c r="W490" s="20">
        <v>4.3981481481481481E-4</v>
      </c>
      <c r="X490" t="s">
        <v>1356</v>
      </c>
      <c r="Y490">
        <v>17</v>
      </c>
      <c r="Z490">
        <v>0</v>
      </c>
      <c r="AA490" t="s">
        <v>78</v>
      </c>
      <c r="AB490">
        <v>0</v>
      </c>
      <c r="AC490" t="s">
        <v>78</v>
      </c>
      <c r="AD490">
        <v>0</v>
      </c>
      <c r="AE490">
        <v>10615085</v>
      </c>
      <c r="AF490" t="s">
        <v>79</v>
      </c>
      <c r="AG490" t="s">
        <v>1304</v>
      </c>
    </row>
    <row r="491" spans="1:33" x14ac:dyDescent="0.35">
      <c r="A491" s="18">
        <v>44499.45208333333</v>
      </c>
      <c r="B491">
        <v>848526</v>
      </c>
      <c r="C491" t="s">
        <v>1144</v>
      </c>
      <c r="D491" t="s">
        <v>70</v>
      </c>
      <c r="E491" s="19">
        <v>41212</v>
      </c>
      <c r="F491" t="str">
        <f>"9781118310069"</f>
        <v>9781118310069</v>
      </c>
      <c r="G491" t="str">
        <f>"9780470566671"</f>
        <v>9780470566671</v>
      </c>
      <c r="H491" t="s">
        <v>1145</v>
      </c>
      <c r="I491">
        <v>610.28</v>
      </c>
      <c r="J491" t="s">
        <v>1146</v>
      </c>
      <c r="K491" t="s">
        <v>73</v>
      </c>
      <c r="N491" t="s">
        <v>74</v>
      </c>
      <c r="O491" t="s">
        <v>75</v>
      </c>
      <c r="P491" t="s">
        <v>74</v>
      </c>
      <c r="Q491" t="s">
        <v>76</v>
      </c>
      <c r="R491" t="s">
        <v>73</v>
      </c>
      <c r="S491">
        <v>1</v>
      </c>
      <c r="W491" s="20">
        <v>0</v>
      </c>
      <c r="X491" t="s">
        <v>78</v>
      </c>
      <c r="Y491">
        <v>0</v>
      </c>
      <c r="Z491">
        <v>4</v>
      </c>
      <c r="AA491" t="s">
        <v>1357</v>
      </c>
      <c r="AB491">
        <v>104</v>
      </c>
      <c r="AC491" t="s">
        <v>78</v>
      </c>
      <c r="AD491">
        <v>0</v>
      </c>
      <c r="AE491">
        <v>10615085</v>
      </c>
      <c r="AF491" t="s">
        <v>88</v>
      </c>
      <c r="AG491" t="s">
        <v>952</v>
      </c>
    </row>
    <row r="492" spans="1:33" x14ac:dyDescent="0.35">
      <c r="A492" s="18">
        <v>44499.445138888892</v>
      </c>
      <c r="B492">
        <v>848526</v>
      </c>
      <c r="C492" t="s">
        <v>1144</v>
      </c>
      <c r="D492" t="s">
        <v>70</v>
      </c>
      <c r="E492" s="19">
        <v>41212</v>
      </c>
      <c r="F492" t="str">
        <f>"9781118310069"</f>
        <v>9781118310069</v>
      </c>
      <c r="G492" t="str">
        <f>"9780470566671"</f>
        <v>9780470566671</v>
      </c>
      <c r="H492" t="s">
        <v>1145</v>
      </c>
      <c r="I492">
        <v>610.28</v>
      </c>
      <c r="J492" t="s">
        <v>1146</v>
      </c>
      <c r="K492" t="s">
        <v>73</v>
      </c>
      <c r="N492" t="s">
        <v>74</v>
      </c>
      <c r="O492" t="s">
        <v>75</v>
      </c>
      <c r="P492" t="s">
        <v>74</v>
      </c>
      <c r="Q492" t="s">
        <v>76</v>
      </c>
      <c r="R492" t="s">
        <v>73</v>
      </c>
      <c r="S492">
        <v>1</v>
      </c>
      <c r="W492" s="20">
        <v>1.3888888888888889E-4</v>
      </c>
      <c r="X492" t="s">
        <v>125</v>
      </c>
      <c r="Y492">
        <v>2</v>
      </c>
      <c r="Z492">
        <v>0</v>
      </c>
      <c r="AA492" t="s">
        <v>78</v>
      </c>
      <c r="AB492">
        <v>0</v>
      </c>
      <c r="AC492" t="s">
        <v>78</v>
      </c>
      <c r="AD492">
        <v>0</v>
      </c>
      <c r="AE492">
        <v>10615085</v>
      </c>
      <c r="AF492" t="s">
        <v>88</v>
      </c>
      <c r="AG492" t="s">
        <v>952</v>
      </c>
    </row>
    <row r="493" spans="1:33" x14ac:dyDescent="0.35">
      <c r="A493" s="18">
        <v>44499.416666666664</v>
      </c>
      <c r="B493">
        <v>3318673</v>
      </c>
      <c r="C493" t="s">
        <v>997</v>
      </c>
      <c r="D493" t="s">
        <v>998</v>
      </c>
      <c r="E493" s="19">
        <v>41302</v>
      </c>
      <c r="F493" t="str">
        <f>"9781421411118"</f>
        <v>9781421411118</v>
      </c>
      <c r="G493" t="str">
        <f>"9781421411101"</f>
        <v>9781421411101</v>
      </c>
      <c r="H493" t="s">
        <v>128</v>
      </c>
      <c r="I493">
        <v>363.33097299999997</v>
      </c>
      <c r="J493" t="s">
        <v>999</v>
      </c>
      <c r="K493" t="s">
        <v>73</v>
      </c>
      <c r="N493" t="s">
        <v>74</v>
      </c>
      <c r="O493" t="s">
        <v>75</v>
      </c>
      <c r="P493" t="s">
        <v>74</v>
      </c>
      <c r="Q493" t="s">
        <v>76</v>
      </c>
      <c r="R493" t="s">
        <v>73</v>
      </c>
      <c r="S493">
        <v>0</v>
      </c>
      <c r="W493" s="20">
        <v>1.9328703703703704E-3</v>
      </c>
      <c r="X493" t="s">
        <v>1358</v>
      </c>
      <c r="Y493">
        <v>18</v>
      </c>
      <c r="Z493">
        <v>0</v>
      </c>
      <c r="AA493" t="s">
        <v>78</v>
      </c>
      <c r="AB493">
        <v>0</v>
      </c>
      <c r="AC493" t="s">
        <v>78</v>
      </c>
      <c r="AD493">
        <v>0</v>
      </c>
      <c r="AE493">
        <v>10654392</v>
      </c>
      <c r="AF493" t="s">
        <v>79</v>
      </c>
      <c r="AG493" t="s">
        <v>952</v>
      </c>
    </row>
    <row r="494" spans="1:33" x14ac:dyDescent="0.35">
      <c r="A494" s="18">
        <v>44498.972916666666</v>
      </c>
      <c r="B494">
        <v>784223</v>
      </c>
      <c r="C494" t="s">
        <v>1359</v>
      </c>
      <c r="D494" t="s">
        <v>1360</v>
      </c>
      <c r="E494" s="19">
        <v>37407</v>
      </c>
      <c r="F494" t="str">
        <f>"9789027281876"</f>
        <v>9789027281876</v>
      </c>
      <c r="G494" t="str">
        <f>"9789027230638"</f>
        <v>9789027230638</v>
      </c>
      <c r="H494" t="s">
        <v>1204</v>
      </c>
      <c r="I494" t="s">
        <v>1361</v>
      </c>
      <c r="J494" t="s">
        <v>1362</v>
      </c>
      <c r="K494" t="s">
        <v>73</v>
      </c>
      <c r="N494" t="s">
        <v>74</v>
      </c>
      <c r="O494" t="s">
        <v>75</v>
      </c>
      <c r="P494" t="s">
        <v>74</v>
      </c>
      <c r="Q494" t="s">
        <v>76</v>
      </c>
      <c r="R494" t="s">
        <v>73</v>
      </c>
      <c r="S494">
        <v>0</v>
      </c>
      <c r="W494" s="20">
        <v>5.4861111111111117E-3</v>
      </c>
      <c r="X494" t="s">
        <v>1363</v>
      </c>
      <c r="Y494">
        <v>7</v>
      </c>
      <c r="Z494">
        <v>0</v>
      </c>
      <c r="AA494" t="s">
        <v>78</v>
      </c>
      <c r="AB494">
        <v>0</v>
      </c>
      <c r="AC494" t="s">
        <v>78</v>
      </c>
      <c r="AD494">
        <v>0</v>
      </c>
      <c r="AE494">
        <v>10495881</v>
      </c>
      <c r="AF494" t="s">
        <v>79</v>
      </c>
      <c r="AG494" t="s">
        <v>952</v>
      </c>
    </row>
    <row r="495" spans="1:33" x14ac:dyDescent="0.35">
      <c r="A495" s="18">
        <v>44498.917361111111</v>
      </c>
      <c r="B495">
        <v>4460042</v>
      </c>
      <c r="C495" t="s">
        <v>1364</v>
      </c>
      <c r="D495" t="s">
        <v>300</v>
      </c>
      <c r="E495" s="19">
        <v>42342</v>
      </c>
      <c r="F495" t="str">
        <f>"9780262334488"</f>
        <v>9780262334488</v>
      </c>
      <c r="G495" t="str">
        <f>"9780262029391"</f>
        <v>9780262029391</v>
      </c>
      <c r="H495" t="s">
        <v>528</v>
      </c>
      <c r="I495" t="s">
        <v>1365</v>
      </c>
      <c r="J495" t="s">
        <v>1366</v>
      </c>
      <c r="K495" t="s">
        <v>73</v>
      </c>
      <c r="N495" t="s">
        <v>74</v>
      </c>
      <c r="O495" t="s">
        <v>75</v>
      </c>
      <c r="P495" t="s">
        <v>74</v>
      </c>
      <c r="Q495" t="s">
        <v>76</v>
      </c>
      <c r="R495" t="s">
        <v>73</v>
      </c>
      <c r="S495">
        <v>0</v>
      </c>
      <c r="W495" s="20">
        <v>2.0648148148148148E-2</v>
      </c>
      <c r="X495" t="s">
        <v>1367</v>
      </c>
      <c r="Y495">
        <v>36</v>
      </c>
      <c r="Z495">
        <v>0</v>
      </c>
      <c r="AA495" t="s">
        <v>78</v>
      </c>
      <c r="AB495">
        <v>0</v>
      </c>
      <c r="AC495" t="s">
        <v>78</v>
      </c>
      <c r="AD495">
        <v>0</v>
      </c>
      <c r="AE495">
        <v>11187785</v>
      </c>
      <c r="AF495" t="s">
        <v>79</v>
      </c>
      <c r="AG495" t="s">
        <v>952</v>
      </c>
    </row>
    <row r="496" spans="1:33" x14ac:dyDescent="0.35">
      <c r="A496" s="18">
        <v>44498.748611111114</v>
      </c>
      <c r="B496">
        <v>1591556</v>
      </c>
      <c r="C496" t="s">
        <v>1368</v>
      </c>
      <c r="D496" t="s">
        <v>990</v>
      </c>
      <c r="E496" s="19">
        <v>41618</v>
      </c>
      <c r="F496" t="str">
        <f>"9780191649097"</f>
        <v>9780191649097</v>
      </c>
      <c r="G496" t="str">
        <f>"9780199652709"</f>
        <v>9780199652709</v>
      </c>
      <c r="H496" t="s">
        <v>1204</v>
      </c>
      <c r="I496">
        <v>428.2</v>
      </c>
      <c r="J496" t="s">
        <v>1369</v>
      </c>
      <c r="K496" t="s">
        <v>73</v>
      </c>
      <c r="N496" t="s">
        <v>74</v>
      </c>
      <c r="O496" t="s">
        <v>75</v>
      </c>
      <c r="P496" t="s">
        <v>74</v>
      </c>
      <c r="Q496" t="s">
        <v>76</v>
      </c>
      <c r="R496" t="s">
        <v>73</v>
      </c>
      <c r="S496">
        <v>0</v>
      </c>
      <c r="W496" s="20">
        <v>1.4212962962962962E-2</v>
      </c>
      <c r="X496" t="s">
        <v>1370</v>
      </c>
      <c r="Y496">
        <v>90</v>
      </c>
      <c r="Z496">
        <v>0</v>
      </c>
      <c r="AA496" t="s">
        <v>78</v>
      </c>
      <c r="AB496">
        <v>0</v>
      </c>
      <c r="AC496" t="s">
        <v>78</v>
      </c>
      <c r="AD496">
        <v>0</v>
      </c>
      <c r="AE496">
        <v>11304793</v>
      </c>
      <c r="AF496" t="s">
        <v>79</v>
      </c>
      <c r="AG496" t="s">
        <v>958</v>
      </c>
    </row>
    <row r="497" spans="1:33" x14ac:dyDescent="0.35">
      <c r="A497" s="18">
        <v>44498.65902777778</v>
      </c>
      <c r="B497">
        <v>6546221</v>
      </c>
      <c r="C497" t="s">
        <v>178</v>
      </c>
      <c r="D497" t="s">
        <v>158</v>
      </c>
      <c r="E497" s="19">
        <v>44299</v>
      </c>
      <c r="F497" t="str">
        <f>"9780128219300"</f>
        <v>9780128219300</v>
      </c>
      <c r="G497" t="str">
        <f>"9780128219294"</f>
        <v>9780128219294</v>
      </c>
      <c r="H497" t="s">
        <v>179</v>
      </c>
      <c r="I497">
        <v>622.33802856310001</v>
      </c>
      <c r="J497" t="s">
        <v>180</v>
      </c>
      <c r="K497" t="s">
        <v>85</v>
      </c>
      <c r="N497" t="s">
        <v>86</v>
      </c>
      <c r="P497" t="s">
        <v>87</v>
      </c>
      <c r="Q497" t="s">
        <v>76</v>
      </c>
      <c r="R497" t="s">
        <v>73</v>
      </c>
      <c r="S497">
        <v>0</v>
      </c>
      <c r="W497" s="20">
        <v>1.6631944444444446E-2</v>
      </c>
      <c r="X497" t="s">
        <v>1371</v>
      </c>
      <c r="Y497">
        <v>20</v>
      </c>
      <c r="Z497">
        <v>0</v>
      </c>
      <c r="AA497" t="s">
        <v>78</v>
      </c>
      <c r="AB497">
        <v>0</v>
      </c>
      <c r="AC497" t="s">
        <v>78</v>
      </c>
      <c r="AD497">
        <v>0</v>
      </c>
      <c r="AE497">
        <v>-1</v>
      </c>
      <c r="AF497" t="s">
        <v>79</v>
      </c>
      <c r="AG497" t="s">
        <v>952</v>
      </c>
    </row>
    <row r="498" spans="1:33" x14ac:dyDescent="0.35">
      <c r="A498" s="18">
        <v>44498.522916666669</v>
      </c>
      <c r="B498">
        <v>848526</v>
      </c>
      <c r="C498" t="s">
        <v>1144</v>
      </c>
      <c r="D498" t="s">
        <v>70</v>
      </c>
      <c r="E498" s="19">
        <v>41212</v>
      </c>
      <c r="F498" t="str">
        <f>"9781118310069"</f>
        <v>9781118310069</v>
      </c>
      <c r="G498" t="str">
        <f>"9780470566671"</f>
        <v>9780470566671</v>
      </c>
      <c r="H498" t="s">
        <v>1145</v>
      </c>
      <c r="I498">
        <v>610.28</v>
      </c>
      <c r="J498" t="s">
        <v>1146</v>
      </c>
      <c r="K498" t="s">
        <v>73</v>
      </c>
      <c r="N498" t="s">
        <v>74</v>
      </c>
      <c r="O498" t="s">
        <v>75</v>
      </c>
      <c r="P498" t="s">
        <v>74</v>
      </c>
      <c r="Q498" t="s">
        <v>76</v>
      </c>
      <c r="R498" t="s">
        <v>73</v>
      </c>
      <c r="S498">
        <v>0</v>
      </c>
      <c r="W498" s="20">
        <v>1.0185185185185184E-2</v>
      </c>
      <c r="X498" t="s">
        <v>1372</v>
      </c>
      <c r="Y498">
        <v>4</v>
      </c>
      <c r="Z498">
        <v>0</v>
      </c>
      <c r="AA498" t="s">
        <v>78</v>
      </c>
      <c r="AB498">
        <v>0</v>
      </c>
      <c r="AC498" t="s">
        <v>1373</v>
      </c>
      <c r="AD498">
        <v>1</v>
      </c>
      <c r="AE498">
        <v>10615085</v>
      </c>
      <c r="AF498" t="s">
        <v>79</v>
      </c>
      <c r="AG498" t="s">
        <v>952</v>
      </c>
    </row>
    <row r="499" spans="1:33" x14ac:dyDescent="0.35">
      <c r="A499" s="18">
        <v>44498.473611111112</v>
      </c>
      <c r="B499">
        <v>765859</v>
      </c>
      <c r="C499" t="s">
        <v>1319</v>
      </c>
      <c r="D499" t="s">
        <v>189</v>
      </c>
      <c r="E499" s="19">
        <v>40710</v>
      </c>
      <c r="F499" t="str">
        <f>"9783110223408"</f>
        <v>9783110223408</v>
      </c>
      <c r="G499" t="str">
        <f>"9783110223392"</f>
        <v>9783110223392</v>
      </c>
      <c r="H499" t="s">
        <v>1320</v>
      </c>
      <c r="I499">
        <v>953.57</v>
      </c>
      <c r="J499" t="s">
        <v>1321</v>
      </c>
      <c r="K499" t="s">
        <v>73</v>
      </c>
      <c r="N499" t="s">
        <v>74</v>
      </c>
      <c r="O499" t="s">
        <v>75</v>
      </c>
      <c r="P499" t="s">
        <v>74</v>
      </c>
      <c r="Q499" t="s">
        <v>76</v>
      </c>
      <c r="R499" t="s">
        <v>73</v>
      </c>
      <c r="S499">
        <v>0</v>
      </c>
      <c r="W499" s="20">
        <v>5.7870370370370366E-5</v>
      </c>
      <c r="X499" t="s">
        <v>132</v>
      </c>
      <c r="Y499">
        <v>1</v>
      </c>
      <c r="Z499">
        <v>0</v>
      </c>
      <c r="AA499" t="s">
        <v>78</v>
      </c>
      <c r="AB499">
        <v>0</v>
      </c>
      <c r="AC499" t="s">
        <v>78</v>
      </c>
      <c r="AD499">
        <v>0</v>
      </c>
      <c r="AE499">
        <v>10502351</v>
      </c>
      <c r="AF499" t="s">
        <v>79</v>
      </c>
      <c r="AG499" t="s">
        <v>671</v>
      </c>
    </row>
    <row r="500" spans="1:33" x14ac:dyDescent="0.35">
      <c r="A500" s="18">
        <v>44498.47152777778</v>
      </c>
      <c r="B500">
        <v>848526</v>
      </c>
      <c r="C500" t="s">
        <v>1144</v>
      </c>
      <c r="D500" t="s">
        <v>70</v>
      </c>
      <c r="E500" s="19">
        <v>41212</v>
      </c>
      <c r="F500" t="str">
        <f>"9781118310069"</f>
        <v>9781118310069</v>
      </c>
      <c r="G500" t="str">
        <f>"9780470566671"</f>
        <v>9780470566671</v>
      </c>
      <c r="H500" t="s">
        <v>1145</v>
      </c>
      <c r="I500">
        <v>610.28</v>
      </c>
      <c r="J500" t="s">
        <v>1146</v>
      </c>
      <c r="K500" t="s">
        <v>73</v>
      </c>
      <c r="N500" t="s">
        <v>74</v>
      </c>
      <c r="O500" t="s">
        <v>75</v>
      </c>
      <c r="P500" t="s">
        <v>74</v>
      </c>
      <c r="Q500" t="s">
        <v>76</v>
      </c>
      <c r="R500" t="s">
        <v>73</v>
      </c>
      <c r="S500">
        <v>0</v>
      </c>
      <c r="W500" s="20">
        <v>9.4907407407407408E-4</v>
      </c>
      <c r="X500" t="s">
        <v>615</v>
      </c>
      <c r="Y500">
        <v>4</v>
      </c>
      <c r="Z500">
        <v>0</v>
      </c>
      <c r="AA500" t="s">
        <v>78</v>
      </c>
      <c r="AB500">
        <v>0</v>
      </c>
      <c r="AC500" t="s">
        <v>78</v>
      </c>
      <c r="AD500">
        <v>0</v>
      </c>
      <c r="AE500">
        <v>10615085</v>
      </c>
      <c r="AF500" t="s">
        <v>79</v>
      </c>
      <c r="AG500" t="s">
        <v>952</v>
      </c>
    </row>
    <row r="501" spans="1:33" x14ac:dyDescent="0.35">
      <c r="A501" s="18">
        <v>44498.101388888892</v>
      </c>
      <c r="B501">
        <v>199321</v>
      </c>
      <c r="C501" t="s">
        <v>1374</v>
      </c>
      <c r="D501" t="s">
        <v>127</v>
      </c>
      <c r="E501" s="19">
        <v>37858</v>
      </c>
      <c r="F501" t="str">
        <f>"9780203696965"</f>
        <v>9780203696965</v>
      </c>
      <c r="G501" t="str">
        <f>"9780415283038"</f>
        <v>9780415283038</v>
      </c>
      <c r="H501" t="s">
        <v>128</v>
      </c>
      <c r="I501" t="s">
        <v>1375</v>
      </c>
      <c r="J501" t="s">
        <v>1376</v>
      </c>
      <c r="K501" t="s">
        <v>73</v>
      </c>
      <c r="N501" t="s">
        <v>74</v>
      </c>
      <c r="O501" t="s">
        <v>75</v>
      </c>
      <c r="P501" t="s">
        <v>74</v>
      </c>
      <c r="Q501" t="s">
        <v>76</v>
      </c>
      <c r="R501" t="s">
        <v>73</v>
      </c>
      <c r="S501">
        <v>0</v>
      </c>
      <c r="W501" s="20">
        <v>8.1018518518518516E-5</v>
      </c>
      <c r="X501" t="s">
        <v>125</v>
      </c>
      <c r="Y501">
        <v>2</v>
      </c>
      <c r="Z501">
        <v>0</v>
      </c>
      <c r="AA501" t="s">
        <v>78</v>
      </c>
      <c r="AB501">
        <v>0</v>
      </c>
      <c r="AC501" t="s">
        <v>78</v>
      </c>
      <c r="AD501">
        <v>0</v>
      </c>
      <c r="AE501">
        <v>10099796</v>
      </c>
      <c r="AF501" t="s">
        <v>79</v>
      </c>
      <c r="AG501" t="s">
        <v>952</v>
      </c>
    </row>
    <row r="502" spans="1:33" x14ac:dyDescent="0.35">
      <c r="A502" s="18">
        <v>44498.038194444445</v>
      </c>
      <c r="B502">
        <v>6546221</v>
      </c>
      <c r="C502" t="s">
        <v>178</v>
      </c>
      <c r="D502" t="s">
        <v>158</v>
      </c>
      <c r="E502" s="19">
        <v>44299</v>
      </c>
      <c r="F502" t="str">
        <f>"9780128219300"</f>
        <v>9780128219300</v>
      </c>
      <c r="G502" t="str">
        <f>"9780128219294"</f>
        <v>9780128219294</v>
      </c>
      <c r="H502" t="s">
        <v>179</v>
      </c>
      <c r="I502">
        <v>622.33802856310001</v>
      </c>
      <c r="J502" t="s">
        <v>180</v>
      </c>
      <c r="K502" t="s">
        <v>85</v>
      </c>
      <c r="N502" t="s">
        <v>86</v>
      </c>
      <c r="P502" t="s">
        <v>87</v>
      </c>
      <c r="Q502" t="s">
        <v>76</v>
      </c>
      <c r="R502" t="s">
        <v>73</v>
      </c>
      <c r="S502">
        <v>0</v>
      </c>
      <c r="T502">
        <v>90</v>
      </c>
      <c r="U502" s="18">
        <v>44497.768055555556</v>
      </c>
      <c r="V502" s="18">
        <v>44587.768055555556</v>
      </c>
      <c r="W502" s="20">
        <v>1.315972222222222E-2</v>
      </c>
      <c r="X502" t="s">
        <v>1377</v>
      </c>
      <c r="Y502">
        <v>9</v>
      </c>
      <c r="Z502">
        <v>0</v>
      </c>
      <c r="AA502" t="s">
        <v>78</v>
      </c>
      <c r="AB502">
        <v>0</v>
      </c>
      <c r="AC502" t="s">
        <v>78</v>
      </c>
      <c r="AD502">
        <v>0</v>
      </c>
      <c r="AE502">
        <v>-1</v>
      </c>
      <c r="AF502" t="s">
        <v>88</v>
      </c>
      <c r="AG502" t="s">
        <v>952</v>
      </c>
    </row>
    <row r="503" spans="1:33" x14ac:dyDescent="0.35">
      <c r="A503" s="18">
        <v>44498.036111111112</v>
      </c>
      <c r="B503">
        <v>6546221</v>
      </c>
      <c r="C503" t="s">
        <v>178</v>
      </c>
      <c r="D503" t="s">
        <v>158</v>
      </c>
      <c r="E503" s="19">
        <v>44299</v>
      </c>
      <c r="F503" t="str">
        <f>"9780128219300"</f>
        <v>9780128219300</v>
      </c>
      <c r="G503" t="str">
        <f>"9780128219294"</f>
        <v>9780128219294</v>
      </c>
      <c r="H503" t="s">
        <v>179</v>
      </c>
      <c r="I503">
        <v>622.33802856310001</v>
      </c>
      <c r="J503" t="s">
        <v>180</v>
      </c>
      <c r="K503" t="s">
        <v>85</v>
      </c>
      <c r="N503" t="s">
        <v>86</v>
      </c>
      <c r="P503" t="s">
        <v>87</v>
      </c>
      <c r="Q503" t="s">
        <v>76</v>
      </c>
      <c r="R503" t="s">
        <v>73</v>
      </c>
      <c r="S503">
        <v>0</v>
      </c>
      <c r="W503" s="20">
        <v>3.4722222222222224E-4</v>
      </c>
      <c r="X503" t="s">
        <v>1378</v>
      </c>
      <c r="Y503">
        <v>6</v>
      </c>
      <c r="Z503">
        <v>0</v>
      </c>
      <c r="AA503" t="s">
        <v>78</v>
      </c>
      <c r="AB503">
        <v>0</v>
      </c>
      <c r="AC503" t="s">
        <v>78</v>
      </c>
      <c r="AD503">
        <v>0</v>
      </c>
      <c r="AE503">
        <v>-1</v>
      </c>
      <c r="AF503" t="s">
        <v>79</v>
      </c>
      <c r="AG503" t="s">
        <v>952</v>
      </c>
    </row>
    <row r="504" spans="1:33" x14ac:dyDescent="0.35">
      <c r="A504" s="18">
        <v>44498.034722222219</v>
      </c>
      <c r="B504">
        <v>3378471</v>
      </c>
      <c r="C504" t="s">
        <v>1379</v>
      </c>
      <c r="D504" t="s">
        <v>351</v>
      </c>
      <c r="E504" s="19">
        <v>39912</v>
      </c>
      <c r="F504" t="str">
        <f>"9780309128575"</f>
        <v>9780309128575</v>
      </c>
      <c r="G504" t="str">
        <f>"9780309128568"</f>
        <v>9780309128568</v>
      </c>
      <c r="H504" t="s">
        <v>1380</v>
      </c>
      <c r="I504">
        <v>541</v>
      </c>
      <c r="J504" t="s">
        <v>1381</v>
      </c>
      <c r="K504" t="s">
        <v>73</v>
      </c>
      <c r="N504" t="s">
        <v>74</v>
      </c>
      <c r="O504" t="s">
        <v>75</v>
      </c>
      <c r="P504" t="s">
        <v>230</v>
      </c>
      <c r="Q504" t="s">
        <v>76</v>
      </c>
      <c r="R504" t="s">
        <v>85</v>
      </c>
      <c r="S504">
        <v>0</v>
      </c>
      <c r="W504" s="20">
        <v>3.9351851851851852E-4</v>
      </c>
      <c r="X504" t="s">
        <v>1382</v>
      </c>
      <c r="Y504">
        <v>8</v>
      </c>
      <c r="Z504">
        <v>0</v>
      </c>
      <c r="AA504" t="s">
        <v>78</v>
      </c>
      <c r="AB504">
        <v>0</v>
      </c>
      <c r="AC504" t="s">
        <v>78</v>
      </c>
      <c r="AD504">
        <v>0</v>
      </c>
      <c r="AE504">
        <v>10286199</v>
      </c>
      <c r="AF504" t="s">
        <v>79</v>
      </c>
      <c r="AG504" t="s">
        <v>952</v>
      </c>
    </row>
    <row r="505" spans="1:33" x14ac:dyDescent="0.35">
      <c r="A505" s="18">
        <v>44497.946527777778</v>
      </c>
      <c r="B505">
        <v>3020585</v>
      </c>
      <c r="C505" t="s">
        <v>1261</v>
      </c>
      <c r="D505" t="s">
        <v>226</v>
      </c>
      <c r="E505" s="19">
        <v>39539</v>
      </c>
      <c r="F505" t="str">
        <f>"9781614704836"</f>
        <v>9781614704836</v>
      </c>
      <c r="G505" t="str">
        <f>"9781606925010"</f>
        <v>9781606925010</v>
      </c>
      <c r="H505" t="s">
        <v>775</v>
      </c>
      <c r="I505">
        <v>362.17830973000002</v>
      </c>
      <c r="J505" t="s">
        <v>1262</v>
      </c>
      <c r="K505" t="s">
        <v>73</v>
      </c>
      <c r="N505" t="s">
        <v>74</v>
      </c>
      <c r="O505" t="s">
        <v>75</v>
      </c>
      <c r="P505" t="s">
        <v>74</v>
      </c>
      <c r="Q505" t="s">
        <v>76</v>
      </c>
      <c r="R505" t="s">
        <v>73</v>
      </c>
      <c r="S505">
        <v>0</v>
      </c>
      <c r="W505" s="20">
        <v>5.7870370370370366E-5</v>
      </c>
      <c r="X505" t="s">
        <v>132</v>
      </c>
      <c r="Y505">
        <v>1</v>
      </c>
      <c r="Z505">
        <v>0</v>
      </c>
      <c r="AA505" t="s">
        <v>78</v>
      </c>
      <c r="AB505">
        <v>0</v>
      </c>
      <c r="AC505" t="s">
        <v>78</v>
      </c>
      <c r="AD505">
        <v>0</v>
      </c>
      <c r="AE505">
        <v>10677981</v>
      </c>
      <c r="AF505" t="s">
        <v>79</v>
      </c>
      <c r="AG505" t="s">
        <v>1164</v>
      </c>
    </row>
    <row r="506" spans="1:33" x14ac:dyDescent="0.35">
      <c r="A506" s="18">
        <v>44497.926388888889</v>
      </c>
      <c r="B506">
        <v>6546221</v>
      </c>
      <c r="C506" t="s">
        <v>178</v>
      </c>
      <c r="D506" t="s">
        <v>158</v>
      </c>
      <c r="E506" s="19">
        <v>44299</v>
      </c>
      <c r="F506" t="str">
        <f>"9780128219300"</f>
        <v>9780128219300</v>
      </c>
      <c r="G506" t="str">
        <f>"9780128219294"</f>
        <v>9780128219294</v>
      </c>
      <c r="H506" t="s">
        <v>179</v>
      </c>
      <c r="I506">
        <v>622.33802856310001</v>
      </c>
      <c r="J506" t="s">
        <v>180</v>
      </c>
      <c r="K506" t="s">
        <v>85</v>
      </c>
      <c r="N506" t="s">
        <v>86</v>
      </c>
      <c r="P506" t="s">
        <v>87</v>
      </c>
      <c r="Q506" t="s">
        <v>76</v>
      </c>
      <c r="R506" t="s">
        <v>73</v>
      </c>
      <c r="S506">
        <v>0</v>
      </c>
      <c r="T506">
        <v>90</v>
      </c>
      <c r="U506" s="18">
        <v>44497.768055555556</v>
      </c>
      <c r="V506" s="18">
        <v>44587.768055555556</v>
      </c>
      <c r="W506" s="20">
        <v>1.525462962962963E-2</v>
      </c>
      <c r="X506" t="s">
        <v>1383</v>
      </c>
      <c r="Y506">
        <v>5</v>
      </c>
      <c r="Z506">
        <v>0</v>
      </c>
      <c r="AA506" t="s">
        <v>78</v>
      </c>
      <c r="AB506">
        <v>0</v>
      </c>
      <c r="AC506" t="s">
        <v>78</v>
      </c>
      <c r="AD506">
        <v>0</v>
      </c>
      <c r="AE506">
        <v>-1</v>
      </c>
      <c r="AF506" t="s">
        <v>88</v>
      </c>
      <c r="AG506" t="s">
        <v>952</v>
      </c>
    </row>
    <row r="507" spans="1:33" x14ac:dyDescent="0.35">
      <c r="A507" s="18">
        <v>44497.911805555559</v>
      </c>
      <c r="B507">
        <v>1637335</v>
      </c>
      <c r="C507" t="s">
        <v>337</v>
      </c>
      <c r="D507" t="s">
        <v>338</v>
      </c>
      <c r="E507" s="19">
        <v>41690</v>
      </c>
      <c r="F507" t="str">
        <f>"9780124167452"</f>
        <v>9780124167452</v>
      </c>
      <c r="G507" t="str">
        <f>"9780124167438"</f>
        <v>9780124167438</v>
      </c>
      <c r="H507" t="s">
        <v>339</v>
      </c>
      <c r="I507">
        <v>519.6</v>
      </c>
      <c r="J507" t="s">
        <v>340</v>
      </c>
      <c r="K507" t="s">
        <v>73</v>
      </c>
      <c r="N507" t="s">
        <v>74</v>
      </c>
      <c r="O507" t="s">
        <v>75</v>
      </c>
      <c r="P507" t="s">
        <v>74</v>
      </c>
      <c r="Q507" t="s">
        <v>76</v>
      </c>
      <c r="R507" t="s">
        <v>73</v>
      </c>
      <c r="S507">
        <v>0</v>
      </c>
      <c r="W507" s="20">
        <v>0</v>
      </c>
      <c r="X507" t="s">
        <v>78</v>
      </c>
      <c r="Y507">
        <v>0</v>
      </c>
      <c r="Z507">
        <v>1</v>
      </c>
      <c r="AA507" t="s">
        <v>341</v>
      </c>
      <c r="AB507">
        <v>14</v>
      </c>
      <c r="AC507" t="s">
        <v>78</v>
      </c>
      <c r="AD507">
        <v>0</v>
      </c>
      <c r="AE507">
        <v>10839265</v>
      </c>
      <c r="AF507" t="s">
        <v>88</v>
      </c>
      <c r="AG507" t="s">
        <v>958</v>
      </c>
    </row>
    <row r="508" spans="1:33" x14ac:dyDescent="0.35">
      <c r="A508" s="18">
        <v>44497.906944444447</v>
      </c>
      <c r="B508">
        <v>848526</v>
      </c>
      <c r="C508" t="s">
        <v>1144</v>
      </c>
      <c r="D508" t="s">
        <v>70</v>
      </c>
      <c r="E508" s="19">
        <v>41212</v>
      </c>
      <c r="F508" t="str">
        <f>"9781118310069"</f>
        <v>9781118310069</v>
      </c>
      <c r="G508" t="str">
        <f>"9780470566671"</f>
        <v>9780470566671</v>
      </c>
      <c r="H508" t="s">
        <v>1145</v>
      </c>
      <c r="I508">
        <v>610.28</v>
      </c>
      <c r="J508" t="s">
        <v>1146</v>
      </c>
      <c r="K508" t="s">
        <v>73</v>
      </c>
      <c r="N508" t="s">
        <v>74</v>
      </c>
      <c r="O508" t="s">
        <v>75</v>
      </c>
      <c r="P508" t="s">
        <v>74</v>
      </c>
      <c r="Q508" t="s">
        <v>76</v>
      </c>
      <c r="R508" t="s">
        <v>73</v>
      </c>
      <c r="S508">
        <v>1</v>
      </c>
      <c r="W508" s="20">
        <v>3.2499999999999994E-2</v>
      </c>
      <c r="X508" t="s">
        <v>1384</v>
      </c>
      <c r="Y508">
        <v>22</v>
      </c>
      <c r="Z508">
        <v>0</v>
      </c>
      <c r="AA508" t="s">
        <v>78</v>
      </c>
      <c r="AB508">
        <v>0</v>
      </c>
      <c r="AC508" t="s">
        <v>1373</v>
      </c>
      <c r="AD508">
        <v>1</v>
      </c>
      <c r="AE508">
        <v>10615085</v>
      </c>
      <c r="AF508" t="s">
        <v>88</v>
      </c>
      <c r="AG508" t="s">
        <v>952</v>
      </c>
    </row>
    <row r="509" spans="1:33" x14ac:dyDescent="0.35">
      <c r="A509" s="18">
        <v>44497.904166666667</v>
      </c>
      <c r="B509">
        <v>848526</v>
      </c>
      <c r="C509" t="s">
        <v>1144</v>
      </c>
      <c r="D509" t="s">
        <v>70</v>
      </c>
      <c r="E509" s="19">
        <v>41212</v>
      </c>
      <c r="F509" t="str">
        <f>"9781118310069"</f>
        <v>9781118310069</v>
      </c>
      <c r="G509" t="str">
        <f>"9780470566671"</f>
        <v>9780470566671</v>
      </c>
      <c r="H509" t="s">
        <v>1145</v>
      </c>
      <c r="I509">
        <v>610.28</v>
      </c>
      <c r="J509" t="s">
        <v>1146</v>
      </c>
      <c r="K509" t="s">
        <v>73</v>
      </c>
      <c r="N509" t="s">
        <v>74</v>
      </c>
      <c r="O509" t="s">
        <v>75</v>
      </c>
      <c r="P509" t="s">
        <v>74</v>
      </c>
      <c r="Q509" t="s">
        <v>76</v>
      </c>
      <c r="R509" t="s">
        <v>73</v>
      </c>
      <c r="S509">
        <v>0</v>
      </c>
      <c r="W509" s="20">
        <v>3.1018518518518522E-3</v>
      </c>
      <c r="X509" t="s">
        <v>1385</v>
      </c>
      <c r="Y509">
        <v>7</v>
      </c>
      <c r="Z509">
        <v>2</v>
      </c>
      <c r="AA509" t="s">
        <v>1386</v>
      </c>
      <c r="AB509">
        <v>52</v>
      </c>
      <c r="AC509" t="s">
        <v>78</v>
      </c>
      <c r="AD509">
        <v>0</v>
      </c>
      <c r="AE509">
        <v>10615085</v>
      </c>
      <c r="AF509" t="s">
        <v>88</v>
      </c>
      <c r="AG509" t="s">
        <v>952</v>
      </c>
    </row>
    <row r="510" spans="1:33" x14ac:dyDescent="0.35">
      <c r="A510" s="18">
        <v>44497.86041666667</v>
      </c>
      <c r="B510">
        <v>6546221</v>
      </c>
      <c r="C510" t="s">
        <v>178</v>
      </c>
      <c r="D510" t="s">
        <v>158</v>
      </c>
      <c r="E510" s="19">
        <v>44299</v>
      </c>
      <c r="F510" t="str">
        <f>"9780128219300"</f>
        <v>9780128219300</v>
      </c>
      <c r="G510" t="str">
        <f>"9780128219294"</f>
        <v>9780128219294</v>
      </c>
      <c r="H510" t="s">
        <v>179</v>
      </c>
      <c r="I510">
        <v>622.33802856310001</v>
      </c>
      <c r="J510" t="s">
        <v>180</v>
      </c>
      <c r="K510" t="s">
        <v>85</v>
      </c>
      <c r="N510" t="s">
        <v>86</v>
      </c>
      <c r="P510" t="s">
        <v>87</v>
      </c>
      <c r="Q510" t="s">
        <v>76</v>
      </c>
      <c r="R510" t="s">
        <v>73</v>
      </c>
      <c r="S510">
        <v>0</v>
      </c>
      <c r="T510">
        <v>90</v>
      </c>
      <c r="U510" s="18">
        <v>44497.768055555556</v>
      </c>
      <c r="V510" s="18">
        <v>44587.768055555556</v>
      </c>
      <c r="W510" s="20">
        <v>1.1574074074074073E-4</v>
      </c>
      <c r="X510" t="s">
        <v>1387</v>
      </c>
      <c r="Y510">
        <v>2</v>
      </c>
      <c r="Z510">
        <v>0</v>
      </c>
      <c r="AA510" t="s">
        <v>78</v>
      </c>
      <c r="AB510">
        <v>0</v>
      </c>
      <c r="AC510" t="s">
        <v>78</v>
      </c>
      <c r="AD510">
        <v>0</v>
      </c>
      <c r="AE510">
        <v>-1</v>
      </c>
      <c r="AF510" t="s">
        <v>88</v>
      </c>
      <c r="AG510" t="s">
        <v>952</v>
      </c>
    </row>
    <row r="511" spans="1:33" x14ac:dyDescent="0.35">
      <c r="A511" s="18">
        <v>44497.856944444444</v>
      </c>
      <c r="B511">
        <v>6546221</v>
      </c>
      <c r="C511" t="s">
        <v>178</v>
      </c>
      <c r="D511" t="s">
        <v>158</v>
      </c>
      <c r="E511" s="19">
        <v>44299</v>
      </c>
      <c r="F511" t="str">
        <f>"9780128219300"</f>
        <v>9780128219300</v>
      </c>
      <c r="G511" t="str">
        <f>"9780128219294"</f>
        <v>9780128219294</v>
      </c>
      <c r="H511" t="s">
        <v>179</v>
      </c>
      <c r="I511">
        <v>622.33802856310001</v>
      </c>
      <c r="J511" t="s">
        <v>180</v>
      </c>
      <c r="K511" t="s">
        <v>85</v>
      </c>
      <c r="N511" t="s">
        <v>86</v>
      </c>
      <c r="P511" t="s">
        <v>87</v>
      </c>
      <c r="Q511" t="s">
        <v>76</v>
      </c>
      <c r="R511" t="s">
        <v>73</v>
      </c>
      <c r="S511">
        <v>0</v>
      </c>
      <c r="W511" s="20">
        <v>2.8472222222222219E-3</v>
      </c>
      <c r="X511" t="s">
        <v>1388</v>
      </c>
      <c r="Y511">
        <v>3</v>
      </c>
      <c r="Z511">
        <v>0</v>
      </c>
      <c r="AA511" t="s">
        <v>78</v>
      </c>
      <c r="AB511">
        <v>0</v>
      </c>
      <c r="AC511" t="s">
        <v>78</v>
      </c>
      <c r="AD511">
        <v>0</v>
      </c>
      <c r="AE511">
        <v>-1</v>
      </c>
      <c r="AF511" t="s">
        <v>79</v>
      </c>
      <c r="AG511" t="s">
        <v>952</v>
      </c>
    </row>
    <row r="512" spans="1:33" x14ac:dyDescent="0.35">
      <c r="A512" s="18">
        <v>44497.824999999997</v>
      </c>
      <c r="B512">
        <v>6546221</v>
      </c>
      <c r="C512" t="s">
        <v>178</v>
      </c>
      <c r="D512" t="s">
        <v>158</v>
      </c>
      <c r="E512" s="19">
        <v>44299</v>
      </c>
      <c r="F512" t="str">
        <f>"9780128219300"</f>
        <v>9780128219300</v>
      </c>
      <c r="G512" t="str">
        <f>"9780128219294"</f>
        <v>9780128219294</v>
      </c>
      <c r="H512" t="s">
        <v>179</v>
      </c>
      <c r="I512">
        <v>622.33802856310001</v>
      </c>
      <c r="J512" t="s">
        <v>180</v>
      </c>
      <c r="K512" t="s">
        <v>85</v>
      </c>
      <c r="N512" t="s">
        <v>86</v>
      </c>
      <c r="P512" t="s">
        <v>87</v>
      </c>
      <c r="Q512" t="s">
        <v>76</v>
      </c>
      <c r="R512" t="s">
        <v>73</v>
      </c>
      <c r="S512">
        <v>0</v>
      </c>
      <c r="W512" s="20">
        <v>1.1076388888888887E-2</v>
      </c>
      <c r="X512" t="s">
        <v>1389</v>
      </c>
      <c r="Y512">
        <v>9</v>
      </c>
      <c r="Z512">
        <v>0</v>
      </c>
      <c r="AA512" t="s">
        <v>78</v>
      </c>
      <c r="AB512">
        <v>0</v>
      </c>
      <c r="AC512" t="s">
        <v>78</v>
      </c>
      <c r="AD512">
        <v>0</v>
      </c>
      <c r="AE512">
        <v>-1</v>
      </c>
      <c r="AF512" t="s">
        <v>79</v>
      </c>
      <c r="AG512" t="s">
        <v>952</v>
      </c>
    </row>
    <row r="513" spans="1:33" x14ac:dyDescent="0.35">
      <c r="A513" s="18">
        <v>44497.817361111112</v>
      </c>
      <c r="B513">
        <v>6546221</v>
      </c>
      <c r="C513" t="s">
        <v>178</v>
      </c>
      <c r="D513" t="s">
        <v>158</v>
      </c>
      <c r="E513" s="19">
        <v>44299</v>
      </c>
      <c r="F513" t="str">
        <f>"9780128219300"</f>
        <v>9780128219300</v>
      </c>
      <c r="G513" t="str">
        <f>"9780128219294"</f>
        <v>9780128219294</v>
      </c>
      <c r="H513" t="s">
        <v>179</v>
      </c>
      <c r="I513">
        <v>622.33802856310001</v>
      </c>
      <c r="J513" t="s">
        <v>180</v>
      </c>
      <c r="K513" t="s">
        <v>85</v>
      </c>
      <c r="N513" t="s">
        <v>86</v>
      </c>
      <c r="P513" t="s">
        <v>87</v>
      </c>
      <c r="Q513" t="s">
        <v>76</v>
      </c>
      <c r="R513" t="s">
        <v>73</v>
      </c>
      <c r="S513">
        <v>0</v>
      </c>
      <c r="W513" s="20">
        <v>1.7476851851851852E-3</v>
      </c>
      <c r="X513" t="s">
        <v>1390</v>
      </c>
      <c r="Y513">
        <v>12</v>
      </c>
      <c r="Z513">
        <v>0</v>
      </c>
      <c r="AA513" t="s">
        <v>78</v>
      </c>
      <c r="AB513">
        <v>0</v>
      </c>
      <c r="AC513" t="s">
        <v>78</v>
      </c>
      <c r="AD513">
        <v>0</v>
      </c>
      <c r="AE513">
        <v>-1</v>
      </c>
      <c r="AF513" t="s">
        <v>79</v>
      </c>
      <c r="AG513" t="s">
        <v>952</v>
      </c>
    </row>
    <row r="514" spans="1:33" x14ac:dyDescent="0.35">
      <c r="A514" s="18">
        <v>44497.784722222219</v>
      </c>
      <c r="B514">
        <v>199321</v>
      </c>
      <c r="C514" t="s">
        <v>1374</v>
      </c>
      <c r="D514" t="s">
        <v>127</v>
      </c>
      <c r="E514" s="19">
        <v>37858</v>
      </c>
      <c r="F514" t="str">
        <f>"9780203696965"</f>
        <v>9780203696965</v>
      </c>
      <c r="G514" t="str">
        <f>"9780415283038"</f>
        <v>9780415283038</v>
      </c>
      <c r="H514" t="s">
        <v>128</v>
      </c>
      <c r="I514" t="s">
        <v>1375</v>
      </c>
      <c r="J514" t="s">
        <v>1376</v>
      </c>
      <c r="K514" t="s">
        <v>73</v>
      </c>
      <c r="N514" t="s">
        <v>74</v>
      </c>
      <c r="O514" t="s">
        <v>75</v>
      </c>
      <c r="P514" t="s">
        <v>74</v>
      </c>
      <c r="Q514" t="s">
        <v>76</v>
      </c>
      <c r="R514" t="s">
        <v>73</v>
      </c>
      <c r="S514">
        <v>0</v>
      </c>
      <c r="W514" s="20">
        <v>5.0925925925925921E-4</v>
      </c>
      <c r="X514" t="s">
        <v>1387</v>
      </c>
      <c r="Y514">
        <v>2</v>
      </c>
      <c r="Z514">
        <v>0</v>
      </c>
      <c r="AA514" t="s">
        <v>78</v>
      </c>
      <c r="AB514">
        <v>0</v>
      </c>
      <c r="AC514" t="s">
        <v>78</v>
      </c>
      <c r="AD514">
        <v>0</v>
      </c>
      <c r="AE514">
        <v>10099796</v>
      </c>
      <c r="AF514" t="s">
        <v>88</v>
      </c>
      <c r="AG514" t="s">
        <v>671</v>
      </c>
    </row>
    <row r="515" spans="1:33" x14ac:dyDescent="0.35">
      <c r="A515" s="18">
        <v>44497.768055555556</v>
      </c>
      <c r="B515">
        <v>6546221</v>
      </c>
      <c r="C515" t="s">
        <v>178</v>
      </c>
      <c r="D515" t="s">
        <v>158</v>
      </c>
      <c r="E515" s="19">
        <v>44299</v>
      </c>
      <c r="F515" t="str">
        <f>"9780128219300"</f>
        <v>9780128219300</v>
      </c>
      <c r="G515" t="str">
        <f>"9780128219294"</f>
        <v>9780128219294</v>
      </c>
      <c r="H515" t="s">
        <v>179</v>
      </c>
      <c r="I515">
        <v>622.33802856310001</v>
      </c>
      <c r="J515" t="s">
        <v>180</v>
      </c>
      <c r="K515" t="s">
        <v>85</v>
      </c>
      <c r="N515" t="s">
        <v>86</v>
      </c>
      <c r="P515" t="s">
        <v>87</v>
      </c>
      <c r="Q515" t="s">
        <v>76</v>
      </c>
      <c r="R515" t="s">
        <v>73</v>
      </c>
      <c r="S515">
        <v>2</v>
      </c>
      <c r="T515">
        <v>90</v>
      </c>
      <c r="U515" s="18">
        <v>44497.768055555556</v>
      </c>
      <c r="V515" s="18">
        <v>44587.768055555556</v>
      </c>
      <c r="W515" s="20">
        <v>2.0717592592592593E-3</v>
      </c>
      <c r="X515" t="s">
        <v>1391</v>
      </c>
      <c r="Y515">
        <v>19</v>
      </c>
      <c r="Z515">
        <v>1</v>
      </c>
      <c r="AA515" t="s">
        <v>132</v>
      </c>
      <c r="AB515">
        <v>1</v>
      </c>
      <c r="AC515" t="s">
        <v>78</v>
      </c>
      <c r="AD515">
        <v>0</v>
      </c>
      <c r="AE515">
        <v>-1</v>
      </c>
      <c r="AF515" t="s">
        <v>88</v>
      </c>
      <c r="AG515" t="s">
        <v>952</v>
      </c>
    </row>
    <row r="516" spans="1:33" x14ac:dyDescent="0.35">
      <c r="A516" s="18">
        <v>44497.730555555558</v>
      </c>
      <c r="B516">
        <v>622655</v>
      </c>
      <c r="C516" t="s">
        <v>1392</v>
      </c>
      <c r="D516" t="s">
        <v>1360</v>
      </c>
      <c r="E516" s="19">
        <v>38288</v>
      </c>
      <c r="F516" t="str">
        <f>"9789027295071"</f>
        <v>9789027295071</v>
      </c>
      <c r="G516" t="str">
        <f>"9789027245953"</f>
        <v>9789027245953</v>
      </c>
      <c r="H516" t="s">
        <v>1204</v>
      </c>
      <c r="I516">
        <v>401</v>
      </c>
      <c r="J516" t="s">
        <v>1393</v>
      </c>
      <c r="K516" t="s">
        <v>73</v>
      </c>
      <c r="N516" t="s">
        <v>74</v>
      </c>
      <c r="O516" t="s">
        <v>75</v>
      </c>
      <c r="P516" t="s">
        <v>74</v>
      </c>
      <c r="Q516" t="s">
        <v>76</v>
      </c>
      <c r="R516" t="s">
        <v>73</v>
      </c>
      <c r="S516">
        <v>0</v>
      </c>
      <c r="W516" s="20">
        <v>4.6296296296296294E-5</v>
      </c>
      <c r="X516" t="s">
        <v>132</v>
      </c>
      <c r="Y516">
        <v>1</v>
      </c>
      <c r="Z516">
        <v>0</v>
      </c>
      <c r="AA516" t="s">
        <v>78</v>
      </c>
      <c r="AB516">
        <v>0</v>
      </c>
      <c r="AC516" t="s">
        <v>78</v>
      </c>
      <c r="AD516">
        <v>0</v>
      </c>
      <c r="AE516">
        <v>10067168</v>
      </c>
      <c r="AF516" t="s">
        <v>79</v>
      </c>
      <c r="AG516" t="s">
        <v>671</v>
      </c>
    </row>
    <row r="517" spans="1:33" x14ac:dyDescent="0.35">
      <c r="A517" s="18">
        <v>44497.724305555559</v>
      </c>
      <c r="B517">
        <v>765859</v>
      </c>
      <c r="C517" t="s">
        <v>1319</v>
      </c>
      <c r="D517" t="s">
        <v>189</v>
      </c>
      <c r="E517" s="19">
        <v>40710</v>
      </c>
      <c r="F517" t="str">
        <f>"9783110223408"</f>
        <v>9783110223408</v>
      </c>
      <c r="G517" t="str">
        <f>"9783110223392"</f>
        <v>9783110223392</v>
      </c>
      <c r="H517" t="s">
        <v>1320</v>
      </c>
      <c r="I517">
        <v>953.57</v>
      </c>
      <c r="J517" t="s">
        <v>1321</v>
      </c>
      <c r="K517" t="s">
        <v>73</v>
      </c>
      <c r="N517" t="s">
        <v>74</v>
      </c>
      <c r="O517" t="s">
        <v>75</v>
      </c>
      <c r="P517" t="s">
        <v>74</v>
      </c>
      <c r="Q517" t="s">
        <v>76</v>
      </c>
      <c r="R517" t="s">
        <v>73</v>
      </c>
      <c r="S517">
        <v>0</v>
      </c>
      <c r="W517" s="20">
        <v>7.6388888888888893E-4</v>
      </c>
      <c r="X517" t="s">
        <v>1394</v>
      </c>
      <c r="Y517">
        <v>4</v>
      </c>
      <c r="Z517">
        <v>0</v>
      </c>
      <c r="AA517" t="s">
        <v>78</v>
      </c>
      <c r="AB517">
        <v>0</v>
      </c>
      <c r="AC517" t="s">
        <v>78</v>
      </c>
      <c r="AD517">
        <v>0</v>
      </c>
      <c r="AE517">
        <v>10502351</v>
      </c>
      <c r="AF517" t="s">
        <v>79</v>
      </c>
      <c r="AG517" t="s">
        <v>671</v>
      </c>
    </row>
    <row r="518" spans="1:33" x14ac:dyDescent="0.35">
      <c r="A518" s="18">
        <v>44497.706944444442</v>
      </c>
      <c r="B518">
        <v>1594965</v>
      </c>
      <c r="C518" t="s">
        <v>1395</v>
      </c>
      <c r="D518" t="s">
        <v>127</v>
      </c>
      <c r="E518" s="19">
        <v>38512</v>
      </c>
      <c r="F518" t="str">
        <f>"9781136890185"</f>
        <v>9781136890185</v>
      </c>
      <c r="G518" t="str">
        <f>"9780710308573"</f>
        <v>9780710308573</v>
      </c>
      <c r="H518" t="s">
        <v>1204</v>
      </c>
      <c r="I518">
        <v>410</v>
      </c>
      <c r="J518" t="s">
        <v>1396</v>
      </c>
      <c r="K518" t="s">
        <v>73</v>
      </c>
      <c r="N518" t="s">
        <v>74</v>
      </c>
      <c r="O518" t="s">
        <v>75</v>
      </c>
      <c r="P518" t="s">
        <v>74</v>
      </c>
      <c r="Q518" t="s">
        <v>76</v>
      </c>
      <c r="R518" t="s">
        <v>73</v>
      </c>
      <c r="S518">
        <v>0</v>
      </c>
      <c r="W518" s="20">
        <v>9.618055555555555E-3</v>
      </c>
      <c r="X518" t="s">
        <v>1397</v>
      </c>
      <c r="Y518">
        <v>6</v>
      </c>
      <c r="Z518">
        <v>0</v>
      </c>
      <c r="AA518" t="s">
        <v>78</v>
      </c>
      <c r="AB518">
        <v>0</v>
      </c>
      <c r="AC518" t="s">
        <v>78</v>
      </c>
      <c r="AD518">
        <v>0</v>
      </c>
      <c r="AE518">
        <v>10827497</v>
      </c>
      <c r="AF518" t="s">
        <v>79</v>
      </c>
      <c r="AG518" t="s">
        <v>671</v>
      </c>
    </row>
    <row r="519" spans="1:33" x14ac:dyDescent="0.35">
      <c r="A519" s="18">
        <v>44497.688888888886</v>
      </c>
      <c r="B519">
        <v>199321</v>
      </c>
      <c r="C519" t="s">
        <v>1374</v>
      </c>
      <c r="D519" t="s">
        <v>127</v>
      </c>
      <c r="E519" s="19">
        <v>37858</v>
      </c>
      <c r="F519" t="str">
        <f>"9780203696965"</f>
        <v>9780203696965</v>
      </c>
      <c r="G519" t="str">
        <f>"9780415283038"</f>
        <v>9780415283038</v>
      </c>
      <c r="H519" t="s">
        <v>128</v>
      </c>
      <c r="I519" t="s">
        <v>1375</v>
      </c>
      <c r="J519" t="s">
        <v>1376</v>
      </c>
      <c r="K519" t="s">
        <v>73</v>
      </c>
      <c r="N519" t="s">
        <v>74</v>
      </c>
      <c r="O519" t="s">
        <v>75</v>
      </c>
      <c r="P519" t="s">
        <v>74</v>
      </c>
      <c r="Q519" t="s">
        <v>76</v>
      </c>
      <c r="R519" t="s">
        <v>73</v>
      </c>
      <c r="S519">
        <v>0</v>
      </c>
      <c r="W519" s="20">
        <v>7.8703703703703705E-4</v>
      </c>
      <c r="X519" t="s">
        <v>1398</v>
      </c>
      <c r="Y519">
        <v>12</v>
      </c>
      <c r="Z519">
        <v>0</v>
      </c>
      <c r="AA519" t="s">
        <v>78</v>
      </c>
      <c r="AB519">
        <v>0</v>
      </c>
      <c r="AC519" t="s">
        <v>78</v>
      </c>
      <c r="AD519">
        <v>0</v>
      </c>
      <c r="AE519">
        <v>10099796</v>
      </c>
      <c r="AF519" t="s">
        <v>79</v>
      </c>
      <c r="AG519" t="s">
        <v>671</v>
      </c>
    </row>
    <row r="520" spans="1:33" x14ac:dyDescent="0.35">
      <c r="A520" s="18">
        <v>44497.644444444442</v>
      </c>
      <c r="B520">
        <v>838155</v>
      </c>
      <c r="C520" t="s">
        <v>1399</v>
      </c>
      <c r="D520" t="s">
        <v>127</v>
      </c>
      <c r="E520" s="19">
        <v>40795</v>
      </c>
      <c r="F520" t="str">
        <f>"9780203805992"</f>
        <v>9780203805992</v>
      </c>
      <c r="G520" t="str">
        <f>"9780415884983"</f>
        <v>9780415884983</v>
      </c>
      <c r="H520" t="s">
        <v>1400</v>
      </c>
      <c r="I520" t="s">
        <v>1401</v>
      </c>
      <c r="J520" t="s">
        <v>1402</v>
      </c>
      <c r="K520" t="s">
        <v>73</v>
      </c>
      <c r="N520" t="s">
        <v>74</v>
      </c>
      <c r="O520" t="s">
        <v>75</v>
      </c>
      <c r="P520" t="s">
        <v>74</v>
      </c>
      <c r="Q520" t="s">
        <v>76</v>
      </c>
      <c r="R520" t="s">
        <v>73</v>
      </c>
      <c r="S520">
        <v>0</v>
      </c>
      <c r="W520" s="20">
        <v>1.4594907407407405E-2</v>
      </c>
      <c r="X520" t="s">
        <v>1403</v>
      </c>
      <c r="Y520">
        <v>18</v>
      </c>
      <c r="Z520">
        <v>0</v>
      </c>
      <c r="AA520" t="s">
        <v>78</v>
      </c>
      <c r="AB520">
        <v>0</v>
      </c>
      <c r="AC520" t="s">
        <v>78</v>
      </c>
      <c r="AD520">
        <v>0</v>
      </c>
      <c r="AE520">
        <v>10610161</v>
      </c>
      <c r="AF520" t="s">
        <v>79</v>
      </c>
      <c r="AG520" t="s">
        <v>293</v>
      </c>
    </row>
    <row r="521" spans="1:33" x14ac:dyDescent="0.35">
      <c r="A521" s="18">
        <v>44497.640972222223</v>
      </c>
      <c r="B521">
        <v>4658436</v>
      </c>
      <c r="C521" t="s">
        <v>1404</v>
      </c>
      <c r="D521" t="s">
        <v>1405</v>
      </c>
      <c r="E521" s="19">
        <v>40669</v>
      </c>
      <c r="F521" t="str">
        <f>"9780071750325"</f>
        <v>9780071750325</v>
      </c>
      <c r="G521" t="str">
        <f>"9780071750318"</f>
        <v>9780071750318</v>
      </c>
      <c r="H521" t="s">
        <v>143</v>
      </c>
      <c r="I521">
        <v>658.5</v>
      </c>
      <c r="J521" t="s">
        <v>1406</v>
      </c>
      <c r="K521" t="s">
        <v>85</v>
      </c>
      <c r="P521" t="s">
        <v>297</v>
      </c>
      <c r="Q521" t="s">
        <v>76</v>
      </c>
      <c r="R521" t="s">
        <v>73</v>
      </c>
      <c r="S521">
        <v>1</v>
      </c>
      <c r="T521">
        <v>1</v>
      </c>
      <c r="U521" s="18">
        <v>44497.640972222223</v>
      </c>
      <c r="V521" s="18">
        <v>44498.640972222223</v>
      </c>
      <c r="W521" s="20">
        <v>7.175925925925927E-4</v>
      </c>
      <c r="X521" t="s">
        <v>717</v>
      </c>
      <c r="Y521">
        <v>3</v>
      </c>
      <c r="Z521">
        <v>0</v>
      </c>
      <c r="AA521" t="s">
        <v>78</v>
      </c>
      <c r="AB521">
        <v>0</v>
      </c>
      <c r="AC521" t="s">
        <v>78</v>
      </c>
      <c r="AD521">
        <v>0</v>
      </c>
      <c r="AE521">
        <v>10457968</v>
      </c>
      <c r="AF521" t="s">
        <v>88</v>
      </c>
      <c r="AG521" t="s">
        <v>515</v>
      </c>
    </row>
    <row r="522" spans="1:33" x14ac:dyDescent="0.35">
      <c r="A522" s="18">
        <v>44497.611111111109</v>
      </c>
      <c r="B522">
        <v>4516995</v>
      </c>
      <c r="C522" t="s">
        <v>1407</v>
      </c>
      <c r="D522" t="s">
        <v>127</v>
      </c>
      <c r="E522" s="19">
        <v>37554</v>
      </c>
      <c r="F522" t="str">
        <f>"9781134900367"</f>
        <v>9781134900367</v>
      </c>
      <c r="G522" t="str">
        <f>"9780415263702"</f>
        <v>9780415263702</v>
      </c>
      <c r="H522" t="s">
        <v>968</v>
      </c>
      <c r="I522">
        <v>337</v>
      </c>
      <c r="J522" t="s">
        <v>1408</v>
      </c>
      <c r="K522" t="s">
        <v>73</v>
      </c>
      <c r="N522" t="s">
        <v>74</v>
      </c>
      <c r="O522" t="s">
        <v>75</v>
      </c>
      <c r="P522" t="s">
        <v>74</v>
      </c>
      <c r="Q522" t="s">
        <v>76</v>
      </c>
      <c r="R522" t="s">
        <v>73</v>
      </c>
      <c r="S522">
        <v>0</v>
      </c>
      <c r="W522" s="20">
        <v>3.6921296296296298E-3</v>
      </c>
      <c r="X522" t="s">
        <v>1409</v>
      </c>
      <c r="Y522">
        <v>15</v>
      </c>
      <c r="Z522">
        <v>0</v>
      </c>
      <c r="AA522" t="s">
        <v>78</v>
      </c>
      <c r="AB522">
        <v>0</v>
      </c>
      <c r="AC522" t="s">
        <v>78</v>
      </c>
      <c r="AD522">
        <v>0</v>
      </c>
      <c r="AE522">
        <v>11204900</v>
      </c>
      <c r="AF522" t="s">
        <v>79</v>
      </c>
      <c r="AG522" t="s">
        <v>671</v>
      </c>
    </row>
    <row r="523" spans="1:33" x14ac:dyDescent="0.35">
      <c r="A523" s="18">
        <v>44497.581944444442</v>
      </c>
      <c r="B523">
        <v>4516995</v>
      </c>
      <c r="C523" t="s">
        <v>1407</v>
      </c>
      <c r="D523" t="s">
        <v>127</v>
      </c>
      <c r="E523" s="19">
        <v>37554</v>
      </c>
      <c r="F523" t="str">
        <f>"9781134900367"</f>
        <v>9781134900367</v>
      </c>
      <c r="G523" t="str">
        <f>"9780415263702"</f>
        <v>9780415263702</v>
      </c>
      <c r="H523" t="s">
        <v>968</v>
      </c>
      <c r="I523">
        <v>337</v>
      </c>
      <c r="J523" t="s">
        <v>1408</v>
      </c>
      <c r="K523" t="s">
        <v>73</v>
      </c>
      <c r="N523" t="s">
        <v>74</v>
      </c>
      <c r="O523" t="s">
        <v>75</v>
      </c>
      <c r="P523" t="s">
        <v>74</v>
      </c>
      <c r="Q523" t="s">
        <v>76</v>
      </c>
      <c r="R523" t="s">
        <v>73</v>
      </c>
      <c r="S523">
        <v>0</v>
      </c>
      <c r="W523" s="20">
        <v>1.0416666666666667E-4</v>
      </c>
      <c r="X523" t="s">
        <v>125</v>
      </c>
      <c r="Y523">
        <v>2</v>
      </c>
      <c r="Z523">
        <v>0</v>
      </c>
      <c r="AA523" t="s">
        <v>78</v>
      </c>
      <c r="AB523">
        <v>0</v>
      </c>
      <c r="AC523" t="s">
        <v>78</v>
      </c>
      <c r="AD523">
        <v>0</v>
      </c>
      <c r="AE523">
        <v>11204900</v>
      </c>
      <c r="AF523" t="s">
        <v>79</v>
      </c>
      <c r="AG523" t="s">
        <v>671</v>
      </c>
    </row>
    <row r="524" spans="1:33" x14ac:dyDescent="0.35">
      <c r="A524" s="18">
        <v>44497.567361111112</v>
      </c>
      <c r="B524">
        <v>3022022</v>
      </c>
      <c r="C524" t="s">
        <v>1410</v>
      </c>
      <c r="D524" t="s">
        <v>226</v>
      </c>
      <c r="E524" s="19">
        <v>40842</v>
      </c>
      <c r="F524" t="str">
        <f>"9781620819685"</f>
        <v>9781620819685</v>
      </c>
      <c r="G524" t="str">
        <f>"9781613240106"</f>
        <v>9781613240106</v>
      </c>
      <c r="H524" t="s">
        <v>469</v>
      </c>
      <c r="I524" t="s">
        <v>1411</v>
      </c>
      <c r="J524" t="s">
        <v>1412</v>
      </c>
      <c r="K524" t="s">
        <v>73</v>
      </c>
      <c r="N524" t="s">
        <v>74</v>
      </c>
      <c r="O524" t="s">
        <v>75</v>
      </c>
      <c r="P524" t="s">
        <v>230</v>
      </c>
      <c r="Q524" t="s">
        <v>76</v>
      </c>
      <c r="R524" t="s">
        <v>85</v>
      </c>
      <c r="S524">
        <v>0</v>
      </c>
      <c r="W524" s="20">
        <v>3.425925925925926E-3</v>
      </c>
      <c r="X524" t="s">
        <v>1413</v>
      </c>
      <c r="Y524">
        <v>11</v>
      </c>
      <c r="Z524">
        <v>0</v>
      </c>
      <c r="AA524" t="s">
        <v>78</v>
      </c>
      <c r="AB524">
        <v>0</v>
      </c>
      <c r="AC524" t="s">
        <v>78</v>
      </c>
      <c r="AD524">
        <v>0</v>
      </c>
      <c r="AE524">
        <v>10686362</v>
      </c>
      <c r="AF524" t="s">
        <v>79</v>
      </c>
      <c r="AG524" t="s">
        <v>671</v>
      </c>
    </row>
    <row r="525" spans="1:33" x14ac:dyDescent="0.35">
      <c r="A525" s="18">
        <v>44497.552083333336</v>
      </c>
      <c r="B525">
        <v>293220</v>
      </c>
      <c r="C525" t="s">
        <v>1414</v>
      </c>
      <c r="D525" t="s">
        <v>1415</v>
      </c>
      <c r="E525" s="19">
        <v>39184</v>
      </c>
      <c r="F525" t="str">
        <f>"9781853599651"</f>
        <v>9781853599651</v>
      </c>
      <c r="G525" t="str">
        <f>"9781853599644"</f>
        <v>9781853599644</v>
      </c>
      <c r="H525" t="s">
        <v>128</v>
      </c>
      <c r="I525">
        <v>302.23088999999999</v>
      </c>
      <c r="J525" t="s">
        <v>1416</v>
      </c>
      <c r="K525" t="s">
        <v>73</v>
      </c>
      <c r="N525" t="s">
        <v>74</v>
      </c>
      <c r="O525" t="s">
        <v>75</v>
      </c>
      <c r="P525" t="s">
        <v>74</v>
      </c>
      <c r="Q525" t="s">
        <v>76</v>
      </c>
      <c r="R525" t="s">
        <v>73</v>
      </c>
      <c r="S525">
        <v>0</v>
      </c>
      <c r="W525" s="20">
        <v>1.6203703703703703E-4</v>
      </c>
      <c r="X525" t="s">
        <v>615</v>
      </c>
      <c r="Y525">
        <v>4</v>
      </c>
      <c r="Z525">
        <v>0</v>
      </c>
      <c r="AA525" t="s">
        <v>78</v>
      </c>
      <c r="AB525">
        <v>0</v>
      </c>
      <c r="AC525" t="s">
        <v>78</v>
      </c>
      <c r="AD525">
        <v>0</v>
      </c>
      <c r="AE525">
        <v>10170604</v>
      </c>
      <c r="AF525" t="s">
        <v>79</v>
      </c>
      <c r="AG525" t="s">
        <v>952</v>
      </c>
    </row>
    <row r="526" spans="1:33" x14ac:dyDescent="0.35">
      <c r="A526" s="18">
        <v>44497.490277777775</v>
      </c>
      <c r="B526">
        <v>3115823</v>
      </c>
      <c r="C526" t="s">
        <v>1417</v>
      </c>
      <c r="D526" t="s">
        <v>1418</v>
      </c>
      <c r="E526" s="19">
        <v>39630</v>
      </c>
      <c r="F526" t="str">
        <f>"9789054874973"</f>
        <v>9789054874973</v>
      </c>
      <c r="G526" t="str">
        <f>""</f>
        <v/>
      </c>
      <c r="H526" t="s">
        <v>110</v>
      </c>
      <c r="J526" t="s">
        <v>1419</v>
      </c>
      <c r="K526" t="s">
        <v>73</v>
      </c>
      <c r="N526" t="s">
        <v>74</v>
      </c>
      <c r="O526" t="s">
        <v>75</v>
      </c>
      <c r="P526" t="s">
        <v>74</v>
      </c>
      <c r="Q526" t="s">
        <v>76</v>
      </c>
      <c r="R526" t="s">
        <v>73</v>
      </c>
      <c r="S526">
        <v>0</v>
      </c>
      <c r="W526" s="20">
        <v>1.5046296296296297E-4</v>
      </c>
      <c r="X526" t="s">
        <v>1420</v>
      </c>
      <c r="Y526">
        <v>4</v>
      </c>
      <c r="Z526">
        <v>0</v>
      </c>
      <c r="AA526" t="s">
        <v>78</v>
      </c>
      <c r="AB526">
        <v>0</v>
      </c>
      <c r="AC526" t="s">
        <v>78</v>
      </c>
      <c r="AD526">
        <v>0</v>
      </c>
      <c r="AE526">
        <v>10781882</v>
      </c>
      <c r="AF526" t="s">
        <v>79</v>
      </c>
      <c r="AG526" t="s">
        <v>952</v>
      </c>
    </row>
    <row r="527" spans="1:33" x14ac:dyDescent="0.35">
      <c r="A527" s="18">
        <v>44496.665277777778</v>
      </c>
      <c r="B527">
        <v>4751479</v>
      </c>
      <c r="C527" t="s">
        <v>1280</v>
      </c>
      <c r="D527" t="s">
        <v>70</v>
      </c>
      <c r="E527" s="19">
        <v>42772</v>
      </c>
      <c r="F527" t="str">
        <f>"9781118825983"</f>
        <v>9781118825983</v>
      </c>
      <c r="G527" t="str">
        <f>"9781118825990"</f>
        <v>9781118825990</v>
      </c>
      <c r="H527" t="s">
        <v>848</v>
      </c>
      <c r="I527">
        <v>541.02850000000001</v>
      </c>
      <c r="J527" t="s">
        <v>1281</v>
      </c>
      <c r="K527" t="s">
        <v>73</v>
      </c>
      <c r="N527" t="s">
        <v>74</v>
      </c>
      <c r="O527" t="s">
        <v>75</v>
      </c>
      <c r="P527" t="s">
        <v>74</v>
      </c>
      <c r="Q527" t="s">
        <v>76</v>
      </c>
      <c r="R527" t="s">
        <v>73</v>
      </c>
      <c r="S527">
        <v>0</v>
      </c>
      <c r="W527" s="20">
        <v>2.2569444444444447E-3</v>
      </c>
      <c r="X527" t="s">
        <v>1421</v>
      </c>
      <c r="Y527">
        <v>17</v>
      </c>
      <c r="Z527">
        <v>3</v>
      </c>
      <c r="AA527" t="s">
        <v>1422</v>
      </c>
      <c r="AB527">
        <v>99</v>
      </c>
      <c r="AC527" t="s">
        <v>78</v>
      </c>
      <c r="AD527">
        <v>0</v>
      </c>
      <c r="AE527">
        <v>11307546</v>
      </c>
      <c r="AF527" t="s">
        <v>79</v>
      </c>
      <c r="AG527" t="s">
        <v>952</v>
      </c>
    </row>
    <row r="528" spans="1:33" x14ac:dyDescent="0.35">
      <c r="A528" s="18">
        <v>44496.656944444447</v>
      </c>
      <c r="B528">
        <v>848526</v>
      </c>
      <c r="C528" t="s">
        <v>1144</v>
      </c>
      <c r="D528" t="s">
        <v>70</v>
      </c>
      <c r="E528" s="19">
        <v>41212</v>
      </c>
      <c r="F528" t="str">
        <f>"9781118310069"</f>
        <v>9781118310069</v>
      </c>
      <c r="G528" t="str">
        <f>"9780470566671"</f>
        <v>9780470566671</v>
      </c>
      <c r="H528" t="s">
        <v>1145</v>
      </c>
      <c r="I528">
        <v>610.28</v>
      </c>
      <c r="J528" t="s">
        <v>1146</v>
      </c>
      <c r="K528" t="s">
        <v>73</v>
      </c>
      <c r="N528" t="s">
        <v>74</v>
      </c>
      <c r="O528" t="s">
        <v>75</v>
      </c>
      <c r="P528" t="s">
        <v>74</v>
      </c>
      <c r="Q528" t="s">
        <v>76</v>
      </c>
      <c r="R528" t="s">
        <v>73</v>
      </c>
      <c r="S528">
        <v>0</v>
      </c>
      <c r="W528" s="20">
        <v>1.1574074074074073E-4</v>
      </c>
      <c r="X528" t="s">
        <v>132</v>
      </c>
      <c r="Y528">
        <v>1</v>
      </c>
      <c r="Z528">
        <v>0</v>
      </c>
      <c r="AA528" t="s">
        <v>78</v>
      </c>
      <c r="AB528">
        <v>0</v>
      </c>
      <c r="AC528" t="s">
        <v>78</v>
      </c>
      <c r="AD528">
        <v>0</v>
      </c>
      <c r="AE528">
        <v>10615085</v>
      </c>
      <c r="AF528" t="s">
        <v>79</v>
      </c>
      <c r="AG528" t="s">
        <v>952</v>
      </c>
    </row>
    <row r="529" spans="1:33" x14ac:dyDescent="0.35">
      <c r="A529" s="18">
        <v>44496.649305555555</v>
      </c>
      <c r="B529">
        <v>765859</v>
      </c>
      <c r="C529" t="s">
        <v>1319</v>
      </c>
      <c r="D529" t="s">
        <v>189</v>
      </c>
      <c r="E529" s="19">
        <v>40710</v>
      </c>
      <c r="F529" t="str">
        <f>"9783110223408"</f>
        <v>9783110223408</v>
      </c>
      <c r="G529" t="str">
        <f>"9783110223392"</f>
        <v>9783110223392</v>
      </c>
      <c r="H529" t="s">
        <v>1320</v>
      </c>
      <c r="I529">
        <v>953.57</v>
      </c>
      <c r="J529" t="s">
        <v>1321</v>
      </c>
      <c r="K529" t="s">
        <v>73</v>
      </c>
      <c r="N529" t="s">
        <v>74</v>
      </c>
      <c r="O529" t="s">
        <v>75</v>
      </c>
      <c r="P529" t="s">
        <v>74</v>
      </c>
      <c r="Q529" t="s">
        <v>76</v>
      </c>
      <c r="R529" t="s">
        <v>73</v>
      </c>
      <c r="S529">
        <v>0</v>
      </c>
      <c r="W529" s="20">
        <v>1.712962962962963E-2</v>
      </c>
      <c r="X529" t="s">
        <v>1423</v>
      </c>
      <c r="Y529">
        <v>2</v>
      </c>
      <c r="Z529">
        <v>0</v>
      </c>
      <c r="AA529" t="s">
        <v>78</v>
      </c>
      <c r="AB529">
        <v>0</v>
      </c>
      <c r="AC529" t="s">
        <v>78</v>
      </c>
      <c r="AD529">
        <v>0</v>
      </c>
      <c r="AE529">
        <v>10502351</v>
      </c>
      <c r="AF529" t="s">
        <v>79</v>
      </c>
      <c r="AG529" t="s">
        <v>862</v>
      </c>
    </row>
    <row r="530" spans="1:33" x14ac:dyDescent="0.35">
      <c r="A530" s="18">
        <v>44496.607638888891</v>
      </c>
      <c r="B530">
        <v>765859</v>
      </c>
      <c r="C530" t="s">
        <v>1319</v>
      </c>
      <c r="D530" t="s">
        <v>189</v>
      </c>
      <c r="E530" s="19">
        <v>40710</v>
      </c>
      <c r="F530" t="str">
        <f>"9783110223408"</f>
        <v>9783110223408</v>
      </c>
      <c r="G530" t="str">
        <f>"9783110223392"</f>
        <v>9783110223392</v>
      </c>
      <c r="H530" t="s">
        <v>1320</v>
      </c>
      <c r="I530">
        <v>953.57</v>
      </c>
      <c r="J530" t="s">
        <v>1321</v>
      </c>
      <c r="K530" t="s">
        <v>73</v>
      </c>
      <c r="N530" t="s">
        <v>74</v>
      </c>
      <c r="O530" t="s">
        <v>75</v>
      </c>
      <c r="P530" t="s">
        <v>74</v>
      </c>
      <c r="Q530" t="s">
        <v>76</v>
      </c>
      <c r="R530" t="s">
        <v>73</v>
      </c>
      <c r="S530">
        <v>0</v>
      </c>
      <c r="W530" s="20">
        <v>1.2175925925925929E-2</v>
      </c>
      <c r="X530" t="s">
        <v>1424</v>
      </c>
      <c r="Y530">
        <v>36</v>
      </c>
      <c r="Z530">
        <v>0</v>
      </c>
      <c r="AA530" t="s">
        <v>78</v>
      </c>
      <c r="AB530">
        <v>0</v>
      </c>
      <c r="AC530" t="s">
        <v>78</v>
      </c>
      <c r="AD530">
        <v>0</v>
      </c>
      <c r="AE530">
        <v>10502351</v>
      </c>
      <c r="AF530" t="s">
        <v>79</v>
      </c>
      <c r="AG530" t="s">
        <v>862</v>
      </c>
    </row>
    <row r="531" spans="1:33" x14ac:dyDescent="0.35">
      <c r="A531" s="18">
        <v>44496.595833333333</v>
      </c>
      <c r="B531">
        <v>238836</v>
      </c>
      <c r="C531" t="s">
        <v>1425</v>
      </c>
      <c r="D531" t="s">
        <v>1426</v>
      </c>
      <c r="E531" s="19">
        <v>37796</v>
      </c>
      <c r="F531" t="str">
        <f>"9780253110749"</f>
        <v>9780253110749</v>
      </c>
      <c r="G531" t="str">
        <f>"9780253343154"</f>
        <v>9780253343154</v>
      </c>
      <c r="H531" t="s">
        <v>308</v>
      </c>
      <c r="I531">
        <v>297</v>
      </c>
      <c r="J531" t="s">
        <v>1427</v>
      </c>
      <c r="K531" t="s">
        <v>73</v>
      </c>
      <c r="N531" t="s">
        <v>74</v>
      </c>
      <c r="O531" t="s">
        <v>75</v>
      </c>
      <c r="P531" t="s">
        <v>74</v>
      </c>
      <c r="Q531" t="s">
        <v>76</v>
      </c>
      <c r="R531" t="s">
        <v>73</v>
      </c>
      <c r="S531">
        <v>0</v>
      </c>
      <c r="W531" s="20">
        <v>7.407407407407407E-4</v>
      </c>
      <c r="X531" t="s">
        <v>1428</v>
      </c>
      <c r="Y531">
        <v>6</v>
      </c>
      <c r="Z531">
        <v>0</v>
      </c>
      <c r="AA531" t="s">
        <v>78</v>
      </c>
      <c r="AB531">
        <v>0</v>
      </c>
      <c r="AC531" t="s">
        <v>78</v>
      </c>
      <c r="AD531">
        <v>0</v>
      </c>
      <c r="AE531">
        <v>10091288</v>
      </c>
      <c r="AF531" t="s">
        <v>79</v>
      </c>
      <c r="AG531" t="s">
        <v>952</v>
      </c>
    </row>
    <row r="532" spans="1:33" x14ac:dyDescent="0.35">
      <c r="A532" s="18">
        <v>44496.574999999997</v>
      </c>
      <c r="B532">
        <v>472249</v>
      </c>
      <c r="C532" t="s">
        <v>1429</v>
      </c>
      <c r="D532" t="s">
        <v>990</v>
      </c>
      <c r="E532" s="19">
        <v>41365</v>
      </c>
      <c r="F532" t="str">
        <f>"9780199742295"</f>
        <v>9780199742295</v>
      </c>
      <c r="G532" t="str">
        <f>"9780195165210"</f>
        <v>9780195165210</v>
      </c>
      <c r="H532" t="s">
        <v>308</v>
      </c>
      <c r="I532">
        <v>297.09050999999999</v>
      </c>
      <c r="J532" t="s">
        <v>1430</v>
      </c>
      <c r="K532" t="s">
        <v>73</v>
      </c>
      <c r="N532" t="s">
        <v>74</v>
      </c>
      <c r="O532" t="s">
        <v>75</v>
      </c>
      <c r="P532" t="s">
        <v>74</v>
      </c>
      <c r="Q532" t="s">
        <v>76</v>
      </c>
      <c r="R532" t="s">
        <v>73</v>
      </c>
      <c r="S532">
        <v>0</v>
      </c>
      <c r="W532" s="20">
        <v>3.0092592592592595E-4</v>
      </c>
      <c r="X532" t="s">
        <v>1431</v>
      </c>
      <c r="Y532">
        <v>7</v>
      </c>
      <c r="Z532">
        <v>0</v>
      </c>
      <c r="AA532" t="s">
        <v>78</v>
      </c>
      <c r="AB532">
        <v>0</v>
      </c>
      <c r="AC532" t="s">
        <v>78</v>
      </c>
      <c r="AD532">
        <v>0</v>
      </c>
      <c r="AE532">
        <v>10358406</v>
      </c>
      <c r="AF532" t="s">
        <v>79</v>
      </c>
      <c r="AG532" t="s">
        <v>952</v>
      </c>
    </row>
    <row r="533" spans="1:33" x14ac:dyDescent="0.35">
      <c r="A533" s="18">
        <v>44496.573611111111</v>
      </c>
      <c r="B533">
        <v>4417100</v>
      </c>
      <c r="C533" t="s">
        <v>1432</v>
      </c>
      <c r="D533" t="s">
        <v>1433</v>
      </c>
      <c r="E533" s="19">
        <v>40973</v>
      </c>
      <c r="F533" t="str">
        <f>"9781610447812"</f>
        <v>9781610447812</v>
      </c>
      <c r="G533" t="str">
        <f>"9780871544797"</f>
        <v>9780871544797</v>
      </c>
      <c r="H533" t="s">
        <v>128</v>
      </c>
      <c r="I533">
        <v>305.50972999999999</v>
      </c>
      <c r="J533" t="s">
        <v>1434</v>
      </c>
      <c r="K533" t="s">
        <v>73</v>
      </c>
      <c r="N533" t="s">
        <v>74</v>
      </c>
      <c r="O533" t="s">
        <v>75</v>
      </c>
      <c r="P533" t="s">
        <v>74</v>
      </c>
      <c r="Q533" t="s">
        <v>76</v>
      </c>
      <c r="R533" t="s">
        <v>73</v>
      </c>
      <c r="S533">
        <v>0</v>
      </c>
      <c r="W533" s="20">
        <v>7.0601851851851841E-3</v>
      </c>
      <c r="X533" t="s">
        <v>1435</v>
      </c>
      <c r="Y533">
        <v>7</v>
      </c>
      <c r="Z533">
        <v>0</v>
      </c>
      <c r="AA533" t="s">
        <v>78</v>
      </c>
      <c r="AB533">
        <v>0</v>
      </c>
      <c r="AC533" t="s">
        <v>78</v>
      </c>
      <c r="AD533">
        <v>0</v>
      </c>
      <c r="AE533">
        <v>11169258</v>
      </c>
      <c r="AF533" t="s">
        <v>79</v>
      </c>
      <c r="AG533" t="s">
        <v>862</v>
      </c>
    </row>
    <row r="534" spans="1:33" x14ac:dyDescent="0.35">
      <c r="A534" s="18">
        <v>44496.568055555559</v>
      </c>
      <c r="B534">
        <v>1323306</v>
      </c>
      <c r="C534" t="s">
        <v>1072</v>
      </c>
      <c r="D534" t="s">
        <v>127</v>
      </c>
      <c r="E534" s="19">
        <v>41411</v>
      </c>
      <c r="F534" t="str">
        <f>"9781134609420"</f>
        <v>9781134609420</v>
      </c>
      <c r="G534" t="str">
        <f>"9780415830799"</f>
        <v>9780415830799</v>
      </c>
      <c r="H534" t="s">
        <v>308</v>
      </c>
      <c r="I534">
        <v>297.27300000000002</v>
      </c>
      <c r="J534" t="s">
        <v>1073</v>
      </c>
      <c r="K534" t="s">
        <v>73</v>
      </c>
      <c r="N534" t="s">
        <v>74</v>
      </c>
      <c r="O534" t="s">
        <v>75</v>
      </c>
      <c r="P534" t="s">
        <v>74</v>
      </c>
      <c r="Q534" t="s">
        <v>76</v>
      </c>
      <c r="R534" t="s">
        <v>73</v>
      </c>
      <c r="S534">
        <v>0</v>
      </c>
      <c r="W534" s="20">
        <v>1.2731481481481483E-3</v>
      </c>
      <c r="X534" t="s">
        <v>1436</v>
      </c>
      <c r="Y534">
        <v>20</v>
      </c>
      <c r="Z534">
        <v>0</v>
      </c>
      <c r="AA534" t="s">
        <v>78</v>
      </c>
      <c r="AB534">
        <v>0</v>
      </c>
      <c r="AC534" t="s">
        <v>78</v>
      </c>
      <c r="AD534">
        <v>0</v>
      </c>
      <c r="AE534">
        <v>10737879</v>
      </c>
      <c r="AF534" t="s">
        <v>79</v>
      </c>
      <c r="AG534" t="s">
        <v>952</v>
      </c>
    </row>
    <row r="535" spans="1:33" x14ac:dyDescent="0.35">
      <c r="A535" s="18">
        <v>44496.559027777781</v>
      </c>
      <c r="B535">
        <v>345407</v>
      </c>
      <c r="C535" t="s">
        <v>1437</v>
      </c>
      <c r="D535" t="s">
        <v>1046</v>
      </c>
      <c r="E535" s="19">
        <v>25569</v>
      </c>
      <c r="F535" t="str">
        <f>"9780816662968"</f>
        <v>9780816662968</v>
      </c>
      <c r="G535" t="str">
        <f>"9780816605699"</f>
        <v>9780816605699</v>
      </c>
      <c r="H535" t="s">
        <v>838</v>
      </c>
      <c r="I535" t="s">
        <v>1438</v>
      </c>
      <c r="J535" t="s">
        <v>1439</v>
      </c>
      <c r="K535" t="s">
        <v>73</v>
      </c>
      <c r="N535" t="s">
        <v>74</v>
      </c>
      <c r="O535" t="s">
        <v>75</v>
      </c>
      <c r="P535" t="s">
        <v>74</v>
      </c>
      <c r="Q535" t="s">
        <v>76</v>
      </c>
      <c r="R535" t="s">
        <v>73</v>
      </c>
      <c r="S535">
        <v>0</v>
      </c>
      <c r="W535" s="20">
        <v>7.6388888888888893E-4</v>
      </c>
      <c r="X535" t="s">
        <v>1440</v>
      </c>
      <c r="Y535">
        <v>10</v>
      </c>
      <c r="Z535">
        <v>0</v>
      </c>
      <c r="AA535" t="s">
        <v>78</v>
      </c>
      <c r="AB535">
        <v>0</v>
      </c>
      <c r="AC535" t="s">
        <v>78</v>
      </c>
      <c r="AD535">
        <v>0</v>
      </c>
      <c r="AE535">
        <v>10231125</v>
      </c>
      <c r="AF535" t="s">
        <v>79</v>
      </c>
      <c r="AG535" t="s">
        <v>952</v>
      </c>
    </row>
    <row r="536" spans="1:33" x14ac:dyDescent="0.35">
      <c r="A536" s="18">
        <v>44496.555555555555</v>
      </c>
      <c r="B536">
        <v>345407</v>
      </c>
      <c r="C536" t="s">
        <v>1437</v>
      </c>
      <c r="D536" t="s">
        <v>1046</v>
      </c>
      <c r="E536" s="19">
        <v>25569</v>
      </c>
      <c r="F536" t="str">
        <f>"9780816662968"</f>
        <v>9780816662968</v>
      </c>
      <c r="G536" t="str">
        <f>"9780816605699"</f>
        <v>9780816605699</v>
      </c>
      <c r="H536" t="s">
        <v>838</v>
      </c>
      <c r="I536" t="s">
        <v>1438</v>
      </c>
      <c r="J536" t="s">
        <v>1439</v>
      </c>
      <c r="K536" t="s">
        <v>73</v>
      </c>
      <c r="N536" t="s">
        <v>74</v>
      </c>
      <c r="O536" t="s">
        <v>75</v>
      </c>
      <c r="P536" t="s">
        <v>74</v>
      </c>
      <c r="Q536" t="s">
        <v>76</v>
      </c>
      <c r="R536" t="s">
        <v>73</v>
      </c>
      <c r="S536">
        <v>0</v>
      </c>
      <c r="W536" s="20">
        <v>6.3657407407407402E-4</v>
      </c>
      <c r="X536" t="s">
        <v>1441</v>
      </c>
      <c r="Y536">
        <v>9</v>
      </c>
      <c r="Z536">
        <v>0</v>
      </c>
      <c r="AA536" t="s">
        <v>78</v>
      </c>
      <c r="AB536">
        <v>0</v>
      </c>
      <c r="AC536" t="s">
        <v>78</v>
      </c>
      <c r="AD536">
        <v>0</v>
      </c>
      <c r="AE536">
        <v>10231125</v>
      </c>
      <c r="AF536" t="s">
        <v>79</v>
      </c>
      <c r="AG536" t="s">
        <v>671</v>
      </c>
    </row>
    <row r="537" spans="1:33" x14ac:dyDescent="0.35">
      <c r="A537" s="18">
        <v>44496.55</v>
      </c>
      <c r="B537">
        <v>238836</v>
      </c>
      <c r="C537" t="s">
        <v>1425</v>
      </c>
      <c r="D537" t="s">
        <v>1426</v>
      </c>
      <c r="E537" s="19">
        <v>37796</v>
      </c>
      <c r="F537" t="str">
        <f>"9780253110749"</f>
        <v>9780253110749</v>
      </c>
      <c r="G537" t="str">
        <f>"9780253343154"</f>
        <v>9780253343154</v>
      </c>
      <c r="H537" t="s">
        <v>308</v>
      </c>
      <c r="I537">
        <v>297</v>
      </c>
      <c r="J537" t="s">
        <v>1427</v>
      </c>
      <c r="K537" t="s">
        <v>73</v>
      </c>
      <c r="N537" t="s">
        <v>74</v>
      </c>
      <c r="O537" t="s">
        <v>75</v>
      </c>
      <c r="P537" t="s">
        <v>74</v>
      </c>
      <c r="Q537" t="s">
        <v>76</v>
      </c>
      <c r="R537" t="s">
        <v>73</v>
      </c>
      <c r="S537">
        <v>0</v>
      </c>
      <c r="W537" s="20">
        <v>2.6388888888888885E-3</v>
      </c>
      <c r="X537" t="s">
        <v>1442</v>
      </c>
      <c r="Y537">
        <v>18</v>
      </c>
      <c r="Z537">
        <v>0</v>
      </c>
      <c r="AA537" t="s">
        <v>78</v>
      </c>
      <c r="AB537">
        <v>0</v>
      </c>
      <c r="AC537" t="s">
        <v>78</v>
      </c>
      <c r="AD537">
        <v>0</v>
      </c>
      <c r="AE537">
        <v>10091288</v>
      </c>
      <c r="AF537" t="s">
        <v>79</v>
      </c>
      <c r="AG537" t="s">
        <v>671</v>
      </c>
    </row>
    <row r="538" spans="1:33" x14ac:dyDescent="0.35">
      <c r="A538" s="18">
        <v>44496.440972222219</v>
      </c>
      <c r="B538">
        <v>954632</v>
      </c>
      <c r="C538" t="s">
        <v>1443</v>
      </c>
      <c r="D538" t="s">
        <v>1258</v>
      </c>
      <c r="E538" s="19">
        <v>41320</v>
      </c>
      <c r="F538" t="str">
        <f>"9781606503263"</f>
        <v>9781606503263</v>
      </c>
      <c r="G538" t="str">
        <f>"9781606503249"</f>
        <v>9781606503249</v>
      </c>
      <c r="H538" t="s">
        <v>143</v>
      </c>
      <c r="I538">
        <v>658.2</v>
      </c>
      <c r="J538" t="s">
        <v>1444</v>
      </c>
      <c r="K538" t="s">
        <v>73</v>
      </c>
      <c r="N538" t="s">
        <v>74</v>
      </c>
      <c r="O538" t="s">
        <v>75</v>
      </c>
      <c r="P538" t="s">
        <v>74</v>
      </c>
      <c r="Q538" t="s">
        <v>76</v>
      </c>
      <c r="R538" t="s">
        <v>73</v>
      </c>
      <c r="S538">
        <v>0</v>
      </c>
      <c r="W538" s="20">
        <v>0</v>
      </c>
      <c r="X538" t="s">
        <v>78</v>
      </c>
      <c r="Y538">
        <v>0</v>
      </c>
      <c r="Z538">
        <v>0</v>
      </c>
      <c r="AA538" t="s">
        <v>78</v>
      </c>
      <c r="AB538">
        <v>0</v>
      </c>
      <c r="AC538" t="s">
        <v>78</v>
      </c>
      <c r="AD538">
        <v>0</v>
      </c>
      <c r="AE538">
        <v>10661537</v>
      </c>
      <c r="AF538" t="s">
        <v>79</v>
      </c>
      <c r="AG538" t="s">
        <v>952</v>
      </c>
    </row>
    <row r="539" spans="1:33" x14ac:dyDescent="0.35">
      <c r="A539" s="18">
        <v>44496.12222222222</v>
      </c>
      <c r="B539">
        <v>290931</v>
      </c>
      <c r="C539" t="s">
        <v>1445</v>
      </c>
      <c r="D539" t="s">
        <v>723</v>
      </c>
      <c r="E539" s="19">
        <v>38876</v>
      </c>
      <c r="F539" t="str">
        <f>"9781846425189"</f>
        <v>9781846425189</v>
      </c>
      <c r="G539" t="str">
        <f>"9781843104360"</f>
        <v>9781843104360</v>
      </c>
      <c r="H539" t="s">
        <v>1446</v>
      </c>
      <c r="I539" t="s">
        <v>1447</v>
      </c>
      <c r="J539" t="s">
        <v>1448</v>
      </c>
      <c r="K539" t="s">
        <v>73</v>
      </c>
      <c r="N539" t="s">
        <v>74</v>
      </c>
      <c r="O539" t="s">
        <v>75</v>
      </c>
      <c r="P539" t="s">
        <v>74</v>
      </c>
      <c r="Q539" t="s">
        <v>76</v>
      </c>
      <c r="R539" t="s">
        <v>73</v>
      </c>
      <c r="S539">
        <v>0</v>
      </c>
      <c r="W539" s="20">
        <v>6.1921296296296299E-3</v>
      </c>
      <c r="X539" t="s">
        <v>1449</v>
      </c>
      <c r="Y539">
        <v>14</v>
      </c>
      <c r="Z539">
        <v>0</v>
      </c>
      <c r="AA539" t="s">
        <v>78</v>
      </c>
      <c r="AB539">
        <v>0</v>
      </c>
      <c r="AC539" t="s">
        <v>78</v>
      </c>
      <c r="AD539">
        <v>0</v>
      </c>
      <c r="AE539">
        <v>10156059</v>
      </c>
      <c r="AF539" t="s">
        <v>79</v>
      </c>
      <c r="AG539" t="s">
        <v>1164</v>
      </c>
    </row>
    <row r="540" spans="1:33" x14ac:dyDescent="0.35">
      <c r="A540" s="18">
        <v>44495.849305555559</v>
      </c>
      <c r="B540">
        <v>712327</v>
      </c>
      <c r="C540" t="s">
        <v>1450</v>
      </c>
      <c r="D540" t="s">
        <v>1451</v>
      </c>
      <c r="E540" s="19">
        <v>35795</v>
      </c>
      <c r="F540" t="str">
        <f>"9781849402194"</f>
        <v>9781849402194</v>
      </c>
      <c r="G540" t="str">
        <f>"9781855751538"</f>
        <v>9781855751538</v>
      </c>
      <c r="H540" t="s">
        <v>1452</v>
      </c>
      <c r="I540">
        <v>150.19509199999999</v>
      </c>
      <c r="J540" t="s">
        <v>1453</v>
      </c>
      <c r="K540" t="s">
        <v>73</v>
      </c>
      <c r="N540" t="s">
        <v>74</v>
      </c>
      <c r="O540" t="s">
        <v>75</v>
      </c>
      <c r="P540" t="s">
        <v>74</v>
      </c>
      <c r="Q540" t="s">
        <v>76</v>
      </c>
      <c r="R540" t="s">
        <v>73</v>
      </c>
      <c r="S540">
        <v>0</v>
      </c>
      <c r="W540" s="20">
        <v>8.1018518518518516E-5</v>
      </c>
      <c r="X540" t="s">
        <v>132</v>
      </c>
      <c r="Y540">
        <v>1</v>
      </c>
      <c r="Z540">
        <v>0</v>
      </c>
      <c r="AA540" t="s">
        <v>78</v>
      </c>
      <c r="AB540">
        <v>0</v>
      </c>
      <c r="AC540" t="s">
        <v>78</v>
      </c>
      <c r="AD540">
        <v>0</v>
      </c>
      <c r="AE540">
        <v>10477617</v>
      </c>
      <c r="AF540" t="s">
        <v>79</v>
      </c>
      <c r="AG540" t="s">
        <v>952</v>
      </c>
    </row>
    <row r="541" spans="1:33" x14ac:dyDescent="0.35">
      <c r="A541" s="18">
        <v>44495.813888888886</v>
      </c>
      <c r="B541">
        <v>848526</v>
      </c>
      <c r="C541" t="s">
        <v>1144</v>
      </c>
      <c r="D541" t="s">
        <v>70</v>
      </c>
      <c r="E541" s="19">
        <v>41212</v>
      </c>
      <c r="F541" t="str">
        <f>"9781118310069"</f>
        <v>9781118310069</v>
      </c>
      <c r="G541" t="str">
        <f>"9780470566671"</f>
        <v>9780470566671</v>
      </c>
      <c r="H541" t="s">
        <v>1145</v>
      </c>
      <c r="I541">
        <v>610.28</v>
      </c>
      <c r="J541" t="s">
        <v>1146</v>
      </c>
      <c r="K541" t="s">
        <v>73</v>
      </c>
      <c r="N541" t="s">
        <v>74</v>
      </c>
      <c r="O541" t="s">
        <v>75</v>
      </c>
      <c r="P541" t="s">
        <v>74</v>
      </c>
      <c r="Q541" t="s">
        <v>76</v>
      </c>
      <c r="R541" t="s">
        <v>73</v>
      </c>
      <c r="S541">
        <v>0</v>
      </c>
      <c r="W541" s="20">
        <v>6.9791666666666674E-3</v>
      </c>
      <c r="X541" t="s">
        <v>1454</v>
      </c>
      <c r="Y541">
        <v>4</v>
      </c>
      <c r="Z541">
        <v>0</v>
      </c>
      <c r="AA541" t="s">
        <v>78</v>
      </c>
      <c r="AB541">
        <v>0</v>
      </c>
      <c r="AC541" t="s">
        <v>78</v>
      </c>
      <c r="AD541">
        <v>0</v>
      </c>
      <c r="AE541">
        <v>10615085</v>
      </c>
      <c r="AF541" t="s">
        <v>79</v>
      </c>
      <c r="AG541" t="s">
        <v>952</v>
      </c>
    </row>
    <row r="542" spans="1:33" x14ac:dyDescent="0.35">
      <c r="A542" s="18">
        <v>44495.809027777781</v>
      </c>
      <c r="B542">
        <v>267475</v>
      </c>
      <c r="C542" t="s">
        <v>1455</v>
      </c>
      <c r="D542" t="s">
        <v>330</v>
      </c>
      <c r="E542" s="19">
        <v>37782</v>
      </c>
      <c r="F542" t="str">
        <f>"9781601294050"</f>
        <v>9781601294050</v>
      </c>
      <c r="G542" t="str">
        <f>"9781586033569"</f>
        <v>9781586033569</v>
      </c>
      <c r="H542" t="s">
        <v>1179</v>
      </c>
      <c r="I542">
        <v>371.33463</v>
      </c>
      <c r="J542" t="s">
        <v>1456</v>
      </c>
      <c r="K542" t="s">
        <v>73</v>
      </c>
      <c r="N542" t="s">
        <v>74</v>
      </c>
      <c r="O542" t="s">
        <v>75</v>
      </c>
      <c r="P542" t="s">
        <v>230</v>
      </c>
      <c r="Q542" t="s">
        <v>76</v>
      </c>
      <c r="R542" t="s">
        <v>85</v>
      </c>
      <c r="S542">
        <v>0</v>
      </c>
      <c r="W542" s="20">
        <v>1.1342592592592591E-3</v>
      </c>
      <c r="X542" t="s">
        <v>1457</v>
      </c>
      <c r="Y542">
        <v>17</v>
      </c>
      <c r="Z542">
        <v>0</v>
      </c>
      <c r="AA542" t="s">
        <v>78</v>
      </c>
      <c r="AB542">
        <v>0</v>
      </c>
      <c r="AC542" t="s">
        <v>78</v>
      </c>
      <c r="AD542">
        <v>0</v>
      </c>
      <c r="AE542">
        <v>10116448</v>
      </c>
      <c r="AF542" t="s">
        <v>79</v>
      </c>
      <c r="AG542" t="s">
        <v>952</v>
      </c>
    </row>
    <row r="543" spans="1:33" x14ac:dyDescent="0.35">
      <c r="A543" s="18">
        <v>44495.697222222225</v>
      </c>
      <c r="B543">
        <v>199321</v>
      </c>
      <c r="C543" t="s">
        <v>1374</v>
      </c>
      <c r="D543" t="s">
        <v>127</v>
      </c>
      <c r="E543" s="19">
        <v>37858</v>
      </c>
      <c r="F543" t="str">
        <f>"9780203696965"</f>
        <v>9780203696965</v>
      </c>
      <c r="G543" t="str">
        <f>"9780415283038"</f>
        <v>9780415283038</v>
      </c>
      <c r="H543" t="s">
        <v>128</v>
      </c>
      <c r="I543" t="s">
        <v>1375</v>
      </c>
      <c r="J543" t="s">
        <v>1376</v>
      </c>
      <c r="K543" t="s">
        <v>73</v>
      </c>
      <c r="N543" t="s">
        <v>74</v>
      </c>
      <c r="O543" t="s">
        <v>75</v>
      </c>
      <c r="P543" t="s">
        <v>74</v>
      </c>
      <c r="Q543" t="s">
        <v>76</v>
      </c>
      <c r="R543" t="s">
        <v>73</v>
      </c>
      <c r="S543">
        <v>0</v>
      </c>
      <c r="W543" s="20">
        <v>1.3888888888888889E-4</v>
      </c>
      <c r="X543" t="s">
        <v>125</v>
      </c>
      <c r="Y543">
        <v>2</v>
      </c>
      <c r="Z543">
        <v>0</v>
      </c>
      <c r="AA543" t="s">
        <v>78</v>
      </c>
      <c r="AB543">
        <v>0</v>
      </c>
      <c r="AC543" t="s">
        <v>78</v>
      </c>
      <c r="AD543">
        <v>0</v>
      </c>
      <c r="AE543">
        <v>10099796</v>
      </c>
      <c r="AF543" t="s">
        <v>79</v>
      </c>
      <c r="AG543" t="s">
        <v>671</v>
      </c>
    </row>
    <row r="544" spans="1:33" x14ac:dyDescent="0.35">
      <c r="A544" s="18">
        <v>44495.432638888888</v>
      </c>
      <c r="B544">
        <v>848526</v>
      </c>
      <c r="C544" t="s">
        <v>1144</v>
      </c>
      <c r="D544" t="s">
        <v>70</v>
      </c>
      <c r="E544" s="19">
        <v>41212</v>
      </c>
      <c r="F544" t="str">
        <f>"9781118310069"</f>
        <v>9781118310069</v>
      </c>
      <c r="G544" t="str">
        <f>"9780470566671"</f>
        <v>9780470566671</v>
      </c>
      <c r="H544" t="s">
        <v>1145</v>
      </c>
      <c r="I544">
        <v>610.28</v>
      </c>
      <c r="J544" t="s">
        <v>1146</v>
      </c>
      <c r="K544" t="s">
        <v>73</v>
      </c>
      <c r="N544" t="s">
        <v>74</v>
      </c>
      <c r="O544" t="s">
        <v>75</v>
      </c>
      <c r="P544" t="s">
        <v>74</v>
      </c>
      <c r="Q544" t="s">
        <v>76</v>
      </c>
      <c r="R544" t="s">
        <v>73</v>
      </c>
      <c r="S544">
        <v>0</v>
      </c>
      <c r="W544" s="20">
        <v>3.7037037037037035E-4</v>
      </c>
      <c r="X544" t="s">
        <v>1458</v>
      </c>
      <c r="Y544">
        <v>5</v>
      </c>
      <c r="Z544">
        <v>0</v>
      </c>
      <c r="AA544" t="s">
        <v>78</v>
      </c>
      <c r="AB544">
        <v>0</v>
      </c>
      <c r="AC544" t="s">
        <v>78</v>
      </c>
      <c r="AD544">
        <v>0</v>
      </c>
      <c r="AE544">
        <v>10615085</v>
      </c>
      <c r="AF544" t="s">
        <v>79</v>
      </c>
      <c r="AG544" t="s">
        <v>952</v>
      </c>
    </row>
    <row r="545" spans="1:33" x14ac:dyDescent="0.35">
      <c r="A545" s="18">
        <v>44494.918055555558</v>
      </c>
      <c r="B545">
        <v>1040767</v>
      </c>
      <c r="C545" t="s">
        <v>1459</v>
      </c>
      <c r="D545" t="s">
        <v>1460</v>
      </c>
      <c r="E545" s="19">
        <v>41122</v>
      </c>
      <c r="F545" t="str">
        <f>"9780857453303"</f>
        <v>9780857453303</v>
      </c>
      <c r="G545" t="str">
        <f>"9780857453297"</f>
        <v>9780857453297</v>
      </c>
      <c r="H545" t="s">
        <v>1461</v>
      </c>
      <c r="I545" t="s">
        <v>1462</v>
      </c>
      <c r="J545" t="s">
        <v>1463</v>
      </c>
      <c r="K545" t="s">
        <v>73</v>
      </c>
      <c r="N545" t="s">
        <v>74</v>
      </c>
      <c r="O545" t="s">
        <v>75</v>
      </c>
      <c r="P545" t="s">
        <v>230</v>
      </c>
      <c r="Q545" t="s">
        <v>76</v>
      </c>
      <c r="R545" t="s">
        <v>85</v>
      </c>
      <c r="S545">
        <v>0</v>
      </c>
      <c r="W545" s="20">
        <v>2.508101851851852E-2</v>
      </c>
      <c r="X545" t="s">
        <v>1464</v>
      </c>
      <c r="Y545">
        <v>22</v>
      </c>
      <c r="Z545">
        <v>0</v>
      </c>
      <c r="AA545" t="s">
        <v>78</v>
      </c>
      <c r="AB545">
        <v>0</v>
      </c>
      <c r="AC545" t="s">
        <v>78</v>
      </c>
      <c r="AD545">
        <v>0</v>
      </c>
      <c r="AE545">
        <v>10612458</v>
      </c>
      <c r="AF545" t="s">
        <v>79</v>
      </c>
      <c r="AG545" t="s">
        <v>1164</v>
      </c>
    </row>
    <row r="546" spans="1:33" x14ac:dyDescent="0.35">
      <c r="A546" s="18">
        <v>44494.912499999999</v>
      </c>
      <c r="B546">
        <v>1707089</v>
      </c>
      <c r="C546" t="s">
        <v>1465</v>
      </c>
      <c r="D546" t="s">
        <v>70</v>
      </c>
      <c r="E546" s="19">
        <v>41869</v>
      </c>
      <c r="F546" t="str">
        <f>"9781118736791"</f>
        <v>9781118736791</v>
      </c>
      <c r="G546" t="str">
        <f>"9781118736302"</f>
        <v>9781118736302</v>
      </c>
      <c r="H546" t="s">
        <v>1466</v>
      </c>
      <c r="I546" t="s">
        <v>1467</v>
      </c>
      <c r="J546" t="s">
        <v>1468</v>
      </c>
      <c r="K546" t="s">
        <v>73</v>
      </c>
      <c r="N546" t="s">
        <v>74</v>
      </c>
      <c r="O546" t="s">
        <v>75</v>
      </c>
      <c r="P546" t="s">
        <v>74</v>
      </c>
      <c r="Q546" t="s">
        <v>76</v>
      </c>
      <c r="R546" t="s">
        <v>73</v>
      </c>
      <c r="S546">
        <v>0</v>
      </c>
      <c r="W546" s="20">
        <v>5.8333333333333336E-3</v>
      </c>
      <c r="X546" t="s">
        <v>1469</v>
      </c>
      <c r="Y546">
        <v>20</v>
      </c>
      <c r="Z546">
        <v>0</v>
      </c>
      <c r="AA546" t="s">
        <v>78</v>
      </c>
      <c r="AB546">
        <v>0</v>
      </c>
      <c r="AC546" t="s">
        <v>78</v>
      </c>
      <c r="AD546">
        <v>0</v>
      </c>
      <c r="AE546">
        <v>10879747</v>
      </c>
      <c r="AF546" t="s">
        <v>79</v>
      </c>
      <c r="AG546" t="s">
        <v>1164</v>
      </c>
    </row>
    <row r="547" spans="1:33" x14ac:dyDescent="0.35">
      <c r="A547" s="18">
        <v>44494.820833333331</v>
      </c>
      <c r="B547">
        <v>1085197</v>
      </c>
      <c r="C547" t="s">
        <v>1470</v>
      </c>
      <c r="D547" t="s">
        <v>1471</v>
      </c>
      <c r="E547" s="19">
        <v>41153</v>
      </c>
      <c r="F547" t="str">
        <f>"9780875869599"</f>
        <v>9780875869599</v>
      </c>
      <c r="G547" t="str">
        <f>"9780875869575"</f>
        <v>9780875869575</v>
      </c>
      <c r="H547" t="s">
        <v>822</v>
      </c>
      <c r="I547" t="s">
        <v>1472</v>
      </c>
      <c r="J547" t="s">
        <v>1473</v>
      </c>
      <c r="K547" t="s">
        <v>73</v>
      </c>
      <c r="N547" t="s">
        <v>74</v>
      </c>
      <c r="O547" t="s">
        <v>75</v>
      </c>
      <c r="P547" t="s">
        <v>230</v>
      </c>
      <c r="Q547" t="s">
        <v>76</v>
      </c>
      <c r="R547" t="s">
        <v>85</v>
      </c>
      <c r="S547">
        <v>0</v>
      </c>
      <c r="W547" s="20">
        <v>5.2083333333333333E-4</v>
      </c>
      <c r="X547" t="s">
        <v>1474</v>
      </c>
      <c r="Y547">
        <v>2</v>
      </c>
      <c r="Z547">
        <v>0</v>
      </c>
      <c r="AA547" t="s">
        <v>78</v>
      </c>
      <c r="AB547">
        <v>0</v>
      </c>
      <c r="AC547" t="s">
        <v>78</v>
      </c>
      <c r="AD547">
        <v>0</v>
      </c>
      <c r="AE547">
        <v>10632183</v>
      </c>
      <c r="AF547" t="s">
        <v>79</v>
      </c>
      <c r="AG547" t="s">
        <v>1291</v>
      </c>
    </row>
    <row r="548" spans="1:33" x14ac:dyDescent="0.35">
      <c r="A548" s="18">
        <v>44494.772222222222</v>
      </c>
      <c r="B548">
        <v>3318721</v>
      </c>
      <c r="C548" t="s">
        <v>1475</v>
      </c>
      <c r="D548" t="s">
        <v>998</v>
      </c>
      <c r="E548" s="19">
        <v>41579</v>
      </c>
      <c r="F548" t="str">
        <f>"9781421410814"</f>
        <v>9781421410814</v>
      </c>
      <c r="G548" t="str">
        <f>"9781421410807"</f>
        <v>9781421410807</v>
      </c>
      <c r="H548" t="s">
        <v>584</v>
      </c>
      <c r="I548" t="s">
        <v>1100</v>
      </c>
      <c r="J548" t="s">
        <v>1476</v>
      </c>
      <c r="K548" t="s">
        <v>73</v>
      </c>
      <c r="N548" t="s">
        <v>74</v>
      </c>
      <c r="O548" t="s">
        <v>75</v>
      </c>
      <c r="P548" t="s">
        <v>74</v>
      </c>
      <c r="Q548" t="s">
        <v>76</v>
      </c>
      <c r="R548" t="s">
        <v>73</v>
      </c>
      <c r="S548">
        <v>0</v>
      </c>
      <c r="W548" s="20">
        <v>1.423611111111111E-3</v>
      </c>
      <c r="X548" t="s">
        <v>1477</v>
      </c>
      <c r="Y548">
        <v>12</v>
      </c>
      <c r="Z548">
        <v>0</v>
      </c>
      <c r="AA548" t="s">
        <v>78</v>
      </c>
      <c r="AB548">
        <v>0</v>
      </c>
      <c r="AC548" t="s">
        <v>78</v>
      </c>
      <c r="AD548">
        <v>0</v>
      </c>
      <c r="AE548">
        <v>10756845</v>
      </c>
      <c r="AF548" t="s">
        <v>79</v>
      </c>
      <c r="AG548" t="s">
        <v>952</v>
      </c>
    </row>
    <row r="549" spans="1:33" x14ac:dyDescent="0.35">
      <c r="A549" s="18">
        <v>44494.743750000001</v>
      </c>
      <c r="B549">
        <v>879441</v>
      </c>
      <c r="C549" t="s">
        <v>880</v>
      </c>
      <c r="D549" t="s">
        <v>881</v>
      </c>
      <c r="E549" s="19">
        <v>40422</v>
      </c>
      <c r="F549" t="str">
        <f>"9781908759054"</f>
        <v>9781908759054</v>
      </c>
      <c r="G549" t="str">
        <f>"9781907184512"</f>
        <v>9781907184512</v>
      </c>
      <c r="H549" t="s">
        <v>882</v>
      </c>
      <c r="I549" t="s">
        <v>883</v>
      </c>
      <c r="J549" t="s">
        <v>884</v>
      </c>
      <c r="K549" t="s">
        <v>73</v>
      </c>
      <c r="N549" t="s">
        <v>74</v>
      </c>
      <c r="O549" t="s">
        <v>75</v>
      </c>
      <c r="P549" t="s">
        <v>74</v>
      </c>
      <c r="Q549" t="s">
        <v>76</v>
      </c>
      <c r="R549" t="s">
        <v>73</v>
      </c>
      <c r="S549">
        <v>0</v>
      </c>
      <c r="W549" s="20">
        <v>4.6296296296296294E-5</v>
      </c>
      <c r="X549" t="s">
        <v>132</v>
      </c>
      <c r="Y549">
        <v>1</v>
      </c>
      <c r="Z549">
        <v>0</v>
      </c>
      <c r="AA549" t="s">
        <v>78</v>
      </c>
      <c r="AB549">
        <v>0</v>
      </c>
      <c r="AC549" t="s">
        <v>78</v>
      </c>
      <c r="AD549">
        <v>0</v>
      </c>
      <c r="AE549">
        <v>10539092</v>
      </c>
      <c r="AF549" t="s">
        <v>79</v>
      </c>
      <c r="AG549" t="s">
        <v>953</v>
      </c>
    </row>
    <row r="550" spans="1:33" x14ac:dyDescent="0.35">
      <c r="A550" s="18">
        <v>44494.732638888891</v>
      </c>
      <c r="B550">
        <v>3018174</v>
      </c>
      <c r="C550" t="s">
        <v>955</v>
      </c>
      <c r="D550" t="s">
        <v>226</v>
      </c>
      <c r="E550" s="19">
        <v>40360</v>
      </c>
      <c r="F550" t="str">
        <f>"9781611226324"</f>
        <v>9781611226324</v>
      </c>
      <c r="G550" t="str">
        <f>"9781608762729"</f>
        <v>9781608762729</v>
      </c>
      <c r="H550" t="s">
        <v>469</v>
      </c>
      <c r="I550" t="s">
        <v>956</v>
      </c>
      <c r="J550" t="s">
        <v>957</v>
      </c>
      <c r="K550" t="s">
        <v>73</v>
      </c>
      <c r="N550" t="s">
        <v>74</v>
      </c>
      <c r="O550" t="s">
        <v>75</v>
      </c>
      <c r="P550" t="s">
        <v>230</v>
      </c>
      <c r="Q550" t="s">
        <v>76</v>
      </c>
      <c r="R550" t="s">
        <v>85</v>
      </c>
      <c r="S550">
        <v>0</v>
      </c>
      <c r="W550" s="20">
        <v>2.1585648148148145E-2</v>
      </c>
      <c r="X550" t="s">
        <v>1478</v>
      </c>
      <c r="Y550">
        <v>37</v>
      </c>
      <c r="Z550">
        <v>1</v>
      </c>
      <c r="AA550" t="s">
        <v>232</v>
      </c>
      <c r="AB550">
        <v>6</v>
      </c>
      <c r="AC550" t="s">
        <v>1479</v>
      </c>
      <c r="AD550">
        <v>2</v>
      </c>
      <c r="AE550">
        <v>10659096</v>
      </c>
      <c r="AF550" t="s">
        <v>79</v>
      </c>
      <c r="AG550" t="s">
        <v>671</v>
      </c>
    </row>
    <row r="551" spans="1:33" x14ac:dyDescent="0.35">
      <c r="A551" s="18">
        <v>44494.731249999997</v>
      </c>
      <c r="B551">
        <v>3018174</v>
      </c>
      <c r="C551" t="s">
        <v>955</v>
      </c>
      <c r="D551" t="s">
        <v>226</v>
      </c>
      <c r="E551" s="19">
        <v>40360</v>
      </c>
      <c r="F551" t="str">
        <f>"9781611226324"</f>
        <v>9781611226324</v>
      </c>
      <c r="G551" t="str">
        <f>"9781608762729"</f>
        <v>9781608762729</v>
      </c>
      <c r="H551" t="s">
        <v>469</v>
      </c>
      <c r="I551" t="s">
        <v>956</v>
      </c>
      <c r="J551" t="s">
        <v>957</v>
      </c>
      <c r="K551" t="s">
        <v>73</v>
      </c>
      <c r="N551" t="s">
        <v>74</v>
      </c>
      <c r="O551" t="s">
        <v>75</v>
      </c>
      <c r="P551" t="s">
        <v>230</v>
      </c>
      <c r="Q551" t="s">
        <v>76</v>
      </c>
      <c r="R551" t="s">
        <v>85</v>
      </c>
      <c r="S551">
        <v>0</v>
      </c>
      <c r="W551" s="20">
        <v>2.2754629629629628E-2</v>
      </c>
      <c r="X551" t="s">
        <v>1480</v>
      </c>
      <c r="Y551">
        <v>25</v>
      </c>
      <c r="Z551">
        <v>0</v>
      </c>
      <c r="AA551" t="s">
        <v>78</v>
      </c>
      <c r="AB551">
        <v>0</v>
      </c>
      <c r="AC551" t="s">
        <v>78</v>
      </c>
      <c r="AD551">
        <v>0</v>
      </c>
      <c r="AE551">
        <v>10659096</v>
      </c>
      <c r="AF551" t="s">
        <v>79</v>
      </c>
      <c r="AG551" t="s">
        <v>1164</v>
      </c>
    </row>
    <row r="552" spans="1:33" x14ac:dyDescent="0.35">
      <c r="A552" s="18">
        <v>44494.729861111111</v>
      </c>
      <c r="B552">
        <v>3020018</v>
      </c>
      <c r="C552" t="s">
        <v>895</v>
      </c>
      <c r="D552" t="s">
        <v>226</v>
      </c>
      <c r="E552" s="19">
        <v>40360</v>
      </c>
      <c r="F552" t="str">
        <f>"9781616688141"</f>
        <v>9781616688141</v>
      </c>
      <c r="G552" t="str">
        <f>"9781616684181"</f>
        <v>9781616684181</v>
      </c>
      <c r="H552" t="s">
        <v>896</v>
      </c>
      <c r="I552" t="s">
        <v>897</v>
      </c>
      <c r="J552" t="s">
        <v>898</v>
      </c>
      <c r="K552" t="s">
        <v>73</v>
      </c>
      <c r="N552" t="s">
        <v>74</v>
      </c>
      <c r="O552" t="s">
        <v>75</v>
      </c>
      <c r="P552" t="s">
        <v>230</v>
      </c>
      <c r="Q552" t="s">
        <v>76</v>
      </c>
      <c r="R552" t="s">
        <v>85</v>
      </c>
      <c r="S552">
        <v>0</v>
      </c>
      <c r="W552" s="20">
        <v>2.1770833333333336E-2</v>
      </c>
      <c r="X552" t="s">
        <v>1481</v>
      </c>
      <c r="Y552">
        <v>19</v>
      </c>
      <c r="Z552">
        <v>0</v>
      </c>
      <c r="AA552" t="s">
        <v>78</v>
      </c>
      <c r="AB552">
        <v>0</v>
      </c>
      <c r="AC552" t="s">
        <v>78</v>
      </c>
      <c r="AD552">
        <v>0</v>
      </c>
      <c r="AE552">
        <v>10675026</v>
      </c>
      <c r="AF552" t="s">
        <v>79</v>
      </c>
      <c r="AG552" t="s">
        <v>1164</v>
      </c>
    </row>
    <row r="553" spans="1:33" x14ac:dyDescent="0.35">
      <c r="A553" s="18">
        <v>44494.723611111112</v>
      </c>
      <c r="B553">
        <v>848526</v>
      </c>
      <c r="C553" t="s">
        <v>1144</v>
      </c>
      <c r="D553" t="s">
        <v>70</v>
      </c>
      <c r="E553" s="19">
        <v>41212</v>
      </c>
      <c r="F553" t="str">
        <f>"9781118310069"</f>
        <v>9781118310069</v>
      </c>
      <c r="G553" t="str">
        <f>"9780470566671"</f>
        <v>9780470566671</v>
      </c>
      <c r="H553" t="s">
        <v>1145</v>
      </c>
      <c r="I553">
        <v>610.28</v>
      </c>
      <c r="J553" t="s">
        <v>1146</v>
      </c>
      <c r="K553" t="s">
        <v>73</v>
      </c>
      <c r="N553" t="s">
        <v>74</v>
      </c>
      <c r="O553" t="s">
        <v>75</v>
      </c>
      <c r="P553" t="s">
        <v>74</v>
      </c>
      <c r="Q553" t="s">
        <v>76</v>
      </c>
      <c r="R553" t="s">
        <v>73</v>
      </c>
      <c r="S553">
        <v>3</v>
      </c>
      <c r="W553" s="20">
        <v>1.7361111111111112E-4</v>
      </c>
      <c r="X553" t="s">
        <v>1482</v>
      </c>
      <c r="Y553">
        <v>2</v>
      </c>
      <c r="Z553">
        <v>0</v>
      </c>
      <c r="AA553" t="s">
        <v>78</v>
      </c>
      <c r="AB553">
        <v>0</v>
      </c>
      <c r="AC553" t="s">
        <v>78</v>
      </c>
      <c r="AD553">
        <v>0</v>
      </c>
      <c r="AE553">
        <v>10615085</v>
      </c>
      <c r="AF553" t="s">
        <v>88</v>
      </c>
      <c r="AG553" t="s">
        <v>1291</v>
      </c>
    </row>
    <row r="554" spans="1:33" x14ac:dyDescent="0.35">
      <c r="A554" s="18">
        <v>44494.722222222219</v>
      </c>
      <c r="B554">
        <v>848526</v>
      </c>
      <c r="C554" t="s">
        <v>1144</v>
      </c>
      <c r="D554" t="s">
        <v>70</v>
      </c>
      <c r="E554" s="19">
        <v>41212</v>
      </c>
      <c r="F554" t="str">
        <f>"9781118310069"</f>
        <v>9781118310069</v>
      </c>
      <c r="G554" t="str">
        <f>"9780470566671"</f>
        <v>9780470566671</v>
      </c>
      <c r="H554" t="s">
        <v>1145</v>
      </c>
      <c r="I554">
        <v>610.28</v>
      </c>
      <c r="J554" t="s">
        <v>1146</v>
      </c>
      <c r="K554" t="s">
        <v>73</v>
      </c>
      <c r="N554" t="s">
        <v>74</v>
      </c>
      <c r="O554" t="s">
        <v>75</v>
      </c>
      <c r="P554" t="s">
        <v>74</v>
      </c>
      <c r="Q554" t="s">
        <v>76</v>
      </c>
      <c r="R554" t="s">
        <v>73</v>
      </c>
      <c r="S554">
        <v>0</v>
      </c>
      <c r="W554" s="20">
        <v>1.5162037037037036E-3</v>
      </c>
      <c r="X554" t="s">
        <v>1483</v>
      </c>
      <c r="Y554">
        <v>5</v>
      </c>
      <c r="Z554">
        <v>0</v>
      </c>
      <c r="AA554" t="s">
        <v>78</v>
      </c>
      <c r="AB554">
        <v>0</v>
      </c>
      <c r="AC554" t="s">
        <v>78</v>
      </c>
      <c r="AD554">
        <v>0</v>
      </c>
      <c r="AE554">
        <v>10615085</v>
      </c>
      <c r="AF554" t="s">
        <v>88</v>
      </c>
      <c r="AG554" t="s">
        <v>1291</v>
      </c>
    </row>
    <row r="555" spans="1:33" x14ac:dyDescent="0.35">
      <c r="A555" s="18">
        <v>44494.717361111114</v>
      </c>
      <c r="B555">
        <v>4042674</v>
      </c>
      <c r="C555" t="s">
        <v>1484</v>
      </c>
      <c r="D555" t="s">
        <v>158</v>
      </c>
      <c r="E555" s="19">
        <v>42198</v>
      </c>
      <c r="F555" t="str">
        <f>"9780124167247"</f>
        <v>9780124167247</v>
      </c>
      <c r="G555" t="str">
        <f>"9780124167070"</f>
        <v>9780124167070</v>
      </c>
      <c r="H555" t="s">
        <v>1485</v>
      </c>
      <c r="I555">
        <v>669.01130000000001</v>
      </c>
      <c r="J555" t="s">
        <v>1486</v>
      </c>
      <c r="K555" t="s">
        <v>85</v>
      </c>
      <c r="N555" t="s">
        <v>74</v>
      </c>
      <c r="O555" t="s">
        <v>75</v>
      </c>
      <c r="P555" t="s">
        <v>74</v>
      </c>
      <c r="Q555" t="s">
        <v>76</v>
      </c>
      <c r="R555" t="s">
        <v>73</v>
      </c>
      <c r="S555">
        <v>0</v>
      </c>
      <c r="W555" s="20">
        <v>1.9675925925925926E-4</v>
      </c>
      <c r="X555" t="s">
        <v>639</v>
      </c>
      <c r="Y555">
        <v>3</v>
      </c>
      <c r="Z555">
        <v>0</v>
      </c>
      <c r="AA555" t="s">
        <v>78</v>
      </c>
      <c r="AB555">
        <v>0</v>
      </c>
      <c r="AC555" t="s">
        <v>78</v>
      </c>
      <c r="AD555">
        <v>0</v>
      </c>
      <c r="AE555">
        <v>11077956</v>
      </c>
      <c r="AF555" t="s">
        <v>79</v>
      </c>
      <c r="AG555" t="s">
        <v>671</v>
      </c>
    </row>
    <row r="556" spans="1:33" x14ac:dyDescent="0.35">
      <c r="A556" s="18">
        <v>44494.70416666667</v>
      </c>
      <c r="B556">
        <v>848526</v>
      </c>
      <c r="C556" t="s">
        <v>1144</v>
      </c>
      <c r="D556" t="s">
        <v>70</v>
      </c>
      <c r="E556" s="19">
        <v>41212</v>
      </c>
      <c r="F556" t="str">
        <f>"9781118310069"</f>
        <v>9781118310069</v>
      </c>
      <c r="G556" t="str">
        <f>"9780470566671"</f>
        <v>9780470566671</v>
      </c>
      <c r="H556" t="s">
        <v>1145</v>
      </c>
      <c r="I556">
        <v>610.28</v>
      </c>
      <c r="J556" t="s">
        <v>1146</v>
      </c>
      <c r="K556" t="s">
        <v>73</v>
      </c>
      <c r="N556" t="s">
        <v>74</v>
      </c>
      <c r="O556" t="s">
        <v>75</v>
      </c>
      <c r="P556" t="s">
        <v>74</v>
      </c>
      <c r="Q556" t="s">
        <v>76</v>
      </c>
      <c r="R556" t="s">
        <v>73</v>
      </c>
      <c r="S556">
        <v>0</v>
      </c>
      <c r="W556" s="20">
        <v>9.1435185185185185E-4</v>
      </c>
      <c r="X556" t="s">
        <v>1487</v>
      </c>
      <c r="Y556">
        <v>14</v>
      </c>
      <c r="Z556">
        <v>0</v>
      </c>
      <c r="AA556" t="s">
        <v>78</v>
      </c>
      <c r="AB556">
        <v>0</v>
      </c>
      <c r="AC556" t="s">
        <v>78</v>
      </c>
      <c r="AD556">
        <v>0</v>
      </c>
      <c r="AE556">
        <v>10615085</v>
      </c>
      <c r="AF556" t="s">
        <v>79</v>
      </c>
      <c r="AG556" t="s">
        <v>1164</v>
      </c>
    </row>
    <row r="557" spans="1:33" x14ac:dyDescent="0.35">
      <c r="A557" s="18">
        <v>44494.675694444442</v>
      </c>
      <c r="B557">
        <v>1441758</v>
      </c>
      <c r="C557" t="s">
        <v>1488</v>
      </c>
      <c r="D557" t="s">
        <v>70</v>
      </c>
      <c r="E557" s="19">
        <v>41589</v>
      </c>
      <c r="F557" t="str">
        <f>"9781118373767"</f>
        <v>9781118373767</v>
      </c>
      <c r="G557" t="str">
        <f>"9781118373774"</f>
        <v>9781118373774</v>
      </c>
      <c r="H557" t="s">
        <v>1489</v>
      </c>
      <c r="I557">
        <v>611</v>
      </c>
      <c r="J557" t="s">
        <v>1490</v>
      </c>
      <c r="K557" t="s">
        <v>73</v>
      </c>
      <c r="N557" t="s">
        <v>74</v>
      </c>
      <c r="O557" t="s">
        <v>75</v>
      </c>
      <c r="P557" t="s">
        <v>74</v>
      </c>
      <c r="Q557" t="s">
        <v>76</v>
      </c>
      <c r="R557" t="s">
        <v>73</v>
      </c>
      <c r="S557">
        <v>0</v>
      </c>
      <c r="W557" s="20">
        <v>5.6481481481481478E-3</v>
      </c>
      <c r="X557" t="s">
        <v>1491</v>
      </c>
      <c r="Y557">
        <v>30</v>
      </c>
      <c r="Z557">
        <v>0</v>
      </c>
      <c r="AA557" t="s">
        <v>78</v>
      </c>
      <c r="AB557">
        <v>0</v>
      </c>
      <c r="AC557" t="s">
        <v>78</v>
      </c>
      <c r="AD557">
        <v>0</v>
      </c>
      <c r="AE557">
        <v>10747439</v>
      </c>
      <c r="AF557" t="s">
        <v>79</v>
      </c>
      <c r="AG557" t="s">
        <v>1164</v>
      </c>
    </row>
    <row r="558" spans="1:33" x14ac:dyDescent="0.35">
      <c r="A558" s="18">
        <v>44494.663888888892</v>
      </c>
      <c r="B558">
        <v>848526</v>
      </c>
      <c r="C558" t="s">
        <v>1144</v>
      </c>
      <c r="D558" t="s">
        <v>70</v>
      </c>
      <c r="E558" s="19">
        <v>41212</v>
      </c>
      <c r="F558" t="str">
        <f>"9781118310069"</f>
        <v>9781118310069</v>
      </c>
      <c r="G558" t="str">
        <f>"9780470566671"</f>
        <v>9780470566671</v>
      </c>
      <c r="H558" t="s">
        <v>1145</v>
      </c>
      <c r="I558">
        <v>610.28</v>
      </c>
      <c r="J558" t="s">
        <v>1146</v>
      </c>
      <c r="K558" t="s">
        <v>73</v>
      </c>
      <c r="N558" t="s">
        <v>74</v>
      </c>
      <c r="O558" t="s">
        <v>75</v>
      </c>
      <c r="P558" t="s">
        <v>74</v>
      </c>
      <c r="Q558" t="s">
        <v>76</v>
      </c>
      <c r="R558" t="s">
        <v>73</v>
      </c>
      <c r="S558">
        <v>0</v>
      </c>
      <c r="W558" s="20">
        <v>7.5231481481481471E-4</v>
      </c>
      <c r="X558" t="s">
        <v>1492</v>
      </c>
      <c r="Y558">
        <v>2</v>
      </c>
      <c r="Z558">
        <v>0</v>
      </c>
      <c r="AA558" t="s">
        <v>78</v>
      </c>
      <c r="AB558">
        <v>0</v>
      </c>
      <c r="AC558" t="s">
        <v>78</v>
      </c>
      <c r="AD558">
        <v>0</v>
      </c>
      <c r="AE558">
        <v>10615085</v>
      </c>
      <c r="AF558" t="s">
        <v>79</v>
      </c>
      <c r="AG558" t="s">
        <v>1164</v>
      </c>
    </row>
    <row r="559" spans="1:33" x14ac:dyDescent="0.35">
      <c r="A559" s="18">
        <v>44494.634722222225</v>
      </c>
      <c r="B559">
        <v>5571018</v>
      </c>
      <c r="C559" t="s">
        <v>1493</v>
      </c>
      <c r="D559" t="s">
        <v>314</v>
      </c>
      <c r="E559" s="19">
        <v>43040</v>
      </c>
      <c r="F559" t="str">
        <f>"9781474410465"</f>
        <v>9781474410465</v>
      </c>
      <c r="G559" t="str">
        <f>"9781474410458"</f>
        <v>9781474410458</v>
      </c>
      <c r="H559" t="s">
        <v>135</v>
      </c>
      <c r="I559">
        <v>327.12410560000001</v>
      </c>
      <c r="J559" t="s">
        <v>1494</v>
      </c>
      <c r="K559" t="s">
        <v>85</v>
      </c>
      <c r="N559" t="s">
        <v>86</v>
      </c>
      <c r="P559" t="s">
        <v>1495</v>
      </c>
      <c r="Q559" t="s">
        <v>76</v>
      </c>
      <c r="R559" t="s">
        <v>85</v>
      </c>
      <c r="S559">
        <v>1</v>
      </c>
      <c r="T559">
        <v>1</v>
      </c>
      <c r="U559" s="18">
        <v>44494.634722222225</v>
      </c>
      <c r="V559" s="18">
        <v>44495.634722222225</v>
      </c>
      <c r="W559" s="20">
        <v>0</v>
      </c>
      <c r="X559" t="s">
        <v>78</v>
      </c>
      <c r="Y559">
        <v>0</v>
      </c>
      <c r="Z559">
        <v>0</v>
      </c>
      <c r="AA559" t="s">
        <v>78</v>
      </c>
      <c r="AB559">
        <v>0</v>
      </c>
      <c r="AC559" t="s">
        <v>78</v>
      </c>
      <c r="AD559">
        <v>0</v>
      </c>
      <c r="AE559">
        <v>-1</v>
      </c>
      <c r="AF559" t="s">
        <v>88</v>
      </c>
      <c r="AG559" t="s">
        <v>1164</v>
      </c>
    </row>
    <row r="560" spans="1:33" x14ac:dyDescent="0.35">
      <c r="A560" s="18">
        <v>44494.611805555556</v>
      </c>
      <c r="B560">
        <v>848526</v>
      </c>
      <c r="C560" t="s">
        <v>1144</v>
      </c>
      <c r="D560" t="s">
        <v>70</v>
      </c>
      <c r="E560" s="19">
        <v>41212</v>
      </c>
      <c r="F560" t="str">
        <f>"9781118310069"</f>
        <v>9781118310069</v>
      </c>
      <c r="G560" t="str">
        <f>"9780470566671"</f>
        <v>9780470566671</v>
      </c>
      <c r="H560" t="s">
        <v>1145</v>
      </c>
      <c r="I560">
        <v>610.28</v>
      </c>
      <c r="J560" t="s">
        <v>1146</v>
      </c>
      <c r="K560" t="s">
        <v>73</v>
      </c>
      <c r="N560" t="s">
        <v>74</v>
      </c>
      <c r="O560" t="s">
        <v>75</v>
      </c>
      <c r="P560" t="s">
        <v>74</v>
      </c>
      <c r="Q560" t="s">
        <v>76</v>
      </c>
      <c r="R560" t="s">
        <v>73</v>
      </c>
      <c r="S560">
        <v>0</v>
      </c>
      <c r="W560" s="20">
        <v>1.3773148148148147E-3</v>
      </c>
      <c r="X560" t="s">
        <v>1496</v>
      </c>
      <c r="Y560">
        <v>5</v>
      </c>
      <c r="Z560">
        <v>0</v>
      </c>
      <c r="AA560" t="s">
        <v>78</v>
      </c>
      <c r="AB560">
        <v>0</v>
      </c>
      <c r="AC560" t="s">
        <v>78</v>
      </c>
      <c r="AD560">
        <v>0</v>
      </c>
      <c r="AE560">
        <v>10615085</v>
      </c>
      <c r="AF560" t="s">
        <v>79</v>
      </c>
      <c r="AG560" t="s">
        <v>1291</v>
      </c>
    </row>
    <row r="561" spans="1:33" x14ac:dyDescent="0.35">
      <c r="A561" s="18">
        <v>44494.525000000001</v>
      </c>
      <c r="B561">
        <v>848526</v>
      </c>
      <c r="C561" t="s">
        <v>1144</v>
      </c>
      <c r="D561" t="s">
        <v>70</v>
      </c>
      <c r="E561" s="19">
        <v>41212</v>
      </c>
      <c r="F561" t="str">
        <f>"9781118310069"</f>
        <v>9781118310069</v>
      </c>
      <c r="G561" t="str">
        <f>"9780470566671"</f>
        <v>9780470566671</v>
      </c>
      <c r="H561" t="s">
        <v>1145</v>
      </c>
      <c r="I561">
        <v>610.28</v>
      </c>
      <c r="J561" t="s">
        <v>1146</v>
      </c>
      <c r="K561" t="s">
        <v>73</v>
      </c>
      <c r="N561" t="s">
        <v>74</v>
      </c>
      <c r="O561" t="s">
        <v>75</v>
      </c>
      <c r="P561" t="s">
        <v>74</v>
      </c>
      <c r="Q561" t="s">
        <v>76</v>
      </c>
      <c r="R561" t="s">
        <v>73</v>
      </c>
      <c r="S561">
        <v>0</v>
      </c>
      <c r="W561" s="20">
        <v>5.7870370370370376E-3</v>
      </c>
      <c r="X561" t="s">
        <v>1497</v>
      </c>
      <c r="Y561">
        <v>44</v>
      </c>
      <c r="Z561">
        <v>0</v>
      </c>
      <c r="AA561" t="s">
        <v>78</v>
      </c>
      <c r="AB561">
        <v>0</v>
      </c>
      <c r="AC561" t="s">
        <v>78</v>
      </c>
      <c r="AD561">
        <v>0</v>
      </c>
      <c r="AE561">
        <v>10615085</v>
      </c>
      <c r="AF561" t="s">
        <v>79</v>
      </c>
      <c r="AG561" t="s">
        <v>1164</v>
      </c>
    </row>
    <row r="562" spans="1:33" x14ac:dyDescent="0.35">
      <c r="A562" s="18">
        <v>44494.466666666667</v>
      </c>
      <c r="B562">
        <v>1872933</v>
      </c>
      <c r="C562" t="s">
        <v>972</v>
      </c>
      <c r="D562" t="s">
        <v>973</v>
      </c>
      <c r="E562" s="19">
        <v>41306</v>
      </c>
      <c r="F562" t="str">
        <f>"9783908158875"</f>
        <v>9783908158875</v>
      </c>
      <c r="G562" t="str">
        <f>"9783908158653"</f>
        <v>9783908158653</v>
      </c>
      <c r="H562" t="s">
        <v>974</v>
      </c>
      <c r="I562">
        <v>620.19200000000001</v>
      </c>
      <c r="J562" t="s">
        <v>975</v>
      </c>
      <c r="K562" t="s">
        <v>73</v>
      </c>
      <c r="N562" t="s">
        <v>74</v>
      </c>
      <c r="O562" t="s">
        <v>75</v>
      </c>
      <c r="P562" t="s">
        <v>74</v>
      </c>
      <c r="Q562" t="s">
        <v>76</v>
      </c>
      <c r="R562" t="s">
        <v>73</v>
      </c>
      <c r="S562">
        <v>0</v>
      </c>
      <c r="W562" s="20">
        <v>7.1990740740740739E-3</v>
      </c>
      <c r="X562" t="s">
        <v>404</v>
      </c>
      <c r="Y562">
        <v>9</v>
      </c>
      <c r="Z562">
        <v>0</v>
      </c>
      <c r="AA562" t="s">
        <v>78</v>
      </c>
      <c r="AB562">
        <v>0</v>
      </c>
      <c r="AC562" t="s">
        <v>78</v>
      </c>
      <c r="AD562">
        <v>0</v>
      </c>
      <c r="AE562">
        <v>10777699</v>
      </c>
      <c r="AF562" t="s">
        <v>79</v>
      </c>
      <c r="AG562" t="s">
        <v>952</v>
      </c>
    </row>
    <row r="563" spans="1:33" x14ac:dyDescent="0.35">
      <c r="A563" s="18">
        <v>44494.43472222222</v>
      </c>
      <c r="B563">
        <v>6546221</v>
      </c>
      <c r="C563" t="s">
        <v>178</v>
      </c>
      <c r="D563" t="s">
        <v>158</v>
      </c>
      <c r="E563" s="19">
        <v>44299</v>
      </c>
      <c r="F563" t="str">
        <f>"9780128219300"</f>
        <v>9780128219300</v>
      </c>
      <c r="G563" t="str">
        <f>"9780128219294"</f>
        <v>9780128219294</v>
      </c>
      <c r="H563" t="s">
        <v>179</v>
      </c>
      <c r="I563">
        <v>622.33802856310001</v>
      </c>
      <c r="J563" t="s">
        <v>180</v>
      </c>
      <c r="K563" t="s">
        <v>85</v>
      </c>
      <c r="N563" t="s">
        <v>86</v>
      </c>
      <c r="P563" t="s">
        <v>87</v>
      </c>
      <c r="Q563" t="s">
        <v>76</v>
      </c>
      <c r="R563" t="s">
        <v>73</v>
      </c>
      <c r="S563">
        <v>0</v>
      </c>
      <c r="W563" s="20">
        <v>6.9444444444444444E-5</v>
      </c>
      <c r="X563" t="s">
        <v>132</v>
      </c>
      <c r="Y563">
        <v>1</v>
      </c>
      <c r="Z563">
        <v>0</v>
      </c>
      <c r="AA563" t="s">
        <v>78</v>
      </c>
      <c r="AB563">
        <v>0</v>
      </c>
      <c r="AC563" t="s">
        <v>78</v>
      </c>
      <c r="AD563">
        <v>0</v>
      </c>
      <c r="AE563">
        <v>-1</v>
      </c>
      <c r="AF563" t="s">
        <v>79</v>
      </c>
      <c r="AG563" t="s">
        <v>1197</v>
      </c>
    </row>
    <row r="564" spans="1:33" x14ac:dyDescent="0.35">
      <c r="A564" s="18">
        <v>44493.97152777778</v>
      </c>
      <c r="B564">
        <v>3317687</v>
      </c>
      <c r="C564" t="s">
        <v>1177</v>
      </c>
      <c r="D564" t="s">
        <v>1178</v>
      </c>
      <c r="E564" s="19">
        <v>40483</v>
      </c>
      <c r="F564" t="str">
        <f>"9781564844231"</f>
        <v>9781564844231</v>
      </c>
      <c r="G564" t="str">
        <f>"9781564842718"</f>
        <v>9781564842718</v>
      </c>
      <c r="H564" t="s">
        <v>1179</v>
      </c>
      <c r="I564" t="s">
        <v>1180</v>
      </c>
      <c r="J564" t="s">
        <v>1181</v>
      </c>
      <c r="K564" t="s">
        <v>73</v>
      </c>
      <c r="N564" t="s">
        <v>74</v>
      </c>
      <c r="O564" t="s">
        <v>75</v>
      </c>
      <c r="P564" t="s">
        <v>74</v>
      </c>
      <c r="Q564" t="s">
        <v>76</v>
      </c>
      <c r="R564" t="s">
        <v>73</v>
      </c>
      <c r="S564">
        <v>0</v>
      </c>
      <c r="W564" s="20">
        <v>3.3506944444444443E-2</v>
      </c>
      <c r="X564" t="s">
        <v>1498</v>
      </c>
      <c r="Y564">
        <v>29</v>
      </c>
      <c r="Z564">
        <v>0</v>
      </c>
      <c r="AA564" t="s">
        <v>78</v>
      </c>
      <c r="AB564">
        <v>0</v>
      </c>
      <c r="AC564" t="s">
        <v>1499</v>
      </c>
      <c r="AD564">
        <v>1</v>
      </c>
      <c r="AE564">
        <v>10759762</v>
      </c>
      <c r="AF564" t="s">
        <v>79</v>
      </c>
      <c r="AG564" t="s">
        <v>1500</v>
      </c>
    </row>
    <row r="565" spans="1:33" x14ac:dyDescent="0.35">
      <c r="A565" s="18">
        <v>44493.94027777778</v>
      </c>
      <c r="B565">
        <v>3020672</v>
      </c>
      <c r="C565" t="s">
        <v>1501</v>
      </c>
      <c r="D565" t="s">
        <v>226</v>
      </c>
      <c r="E565" s="19">
        <v>39904</v>
      </c>
      <c r="F565" t="str">
        <f>"9781617283901"</f>
        <v>9781617283901</v>
      </c>
      <c r="G565" t="str">
        <f>"9781607411420"</f>
        <v>9781607411420</v>
      </c>
      <c r="H565" t="s">
        <v>1502</v>
      </c>
      <c r="I565">
        <v>629.22929999999997</v>
      </c>
      <c r="J565" t="s">
        <v>1503</v>
      </c>
      <c r="K565" t="s">
        <v>73</v>
      </c>
      <c r="N565" t="s">
        <v>74</v>
      </c>
      <c r="O565" t="s">
        <v>75</v>
      </c>
      <c r="P565" t="s">
        <v>230</v>
      </c>
      <c r="Q565" t="s">
        <v>76</v>
      </c>
      <c r="R565" t="s">
        <v>85</v>
      </c>
      <c r="S565">
        <v>0</v>
      </c>
      <c r="W565" s="20">
        <v>3.7037037037037035E-4</v>
      </c>
      <c r="X565" t="s">
        <v>1504</v>
      </c>
      <c r="Y565">
        <v>5</v>
      </c>
      <c r="Z565">
        <v>0</v>
      </c>
      <c r="AA565" t="s">
        <v>78</v>
      </c>
      <c r="AB565">
        <v>0</v>
      </c>
      <c r="AC565" t="s">
        <v>78</v>
      </c>
      <c r="AD565">
        <v>0</v>
      </c>
      <c r="AE565">
        <v>10680810</v>
      </c>
      <c r="AF565" t="s">
        <v>79</v>
      </c>
      <c r="AG565" t="s">
        <v>952</v>
      </c>
    </row>
    <row r="566" spans="1:33" x14ac:dyDescent="0.35">
      <c r="A566" s="18">
        <v>44493.879166666666</v>
      </c>
      <c r="B566">
        <v>6467764</v>
      </c>
      <c r="C566" t="s">
        <v>1505</v>
      </c>
      <c r="D566" t="s">
        <v>1506</v>
      </c>
      <c r="E566" s="19">
        <v>44225</v>
      </c>
      <c r="F566" t="str">
        <f>"9781613767733"</f>
        <v>9781613767733</v>
      </c>
      <c r="G566" t="str">
        <f>"9781625345233"</f>
        <v>9781625345233</v>
      </c>
      <c r="H566" t="s">
        <v>128</v>
      </c>
      <c r="J566" t="s">
        <v>1507</v>
      </c>
      <c r="K566" t="s">
        <v>85</v>
      </c>
      <c r="Q566" t="s">
        <v>76</v>
      </c>
      <c r="R566" t="s">
        <v>73</v>
      </c>
      <c r="S566">
        <v>0</v>
      </c>
      <c r="W566" s="20">
        <v>2.3148148148148146E-4</v>
      </c>
      <c r="X566" t="s">
        <v>1508</v>
      </c>
      <c r="Y566">
        <v>5</v>
      </c>
      <c r="Z566">
        <v>0</v>
      </c>
      <c r="AA566" t="s">
        <v>78</v>
      </c>
      <c r="AB566">
        <v>0</v>
      </c>
      <c r="AC566" t="s">
        <v>78</v>
      </c>
      <c r="AD566">
        <v>0</v>
      </c>
      <c r="AE566">
        <v>-1</v>
      </c>
      <c r="AF566" t="s">
        <v>79</v>
      </c>
      <c r="AG566" t="s">
        <v>1164</v>
      </c>
    </row>
    <row r="567" spans="1:33" x14ac:dyDescent="0.35">
      <c r="A567" s="18">
        <v>44493.831250000003</v>
      </c>
      <c r="B567">
        <v>4405838</v>
      </c>
      <c r="C567" t="s">
        <v>1509</v>
      </c>
      <c r="D567" t="s">
        <v>70</v>
      </c>
      <c r="E567" s="19">
        <v>42429</v>
      </c>
      <c r="F567" t="str">
        <f>"9781118984741"</f>
        <v>9781118984741</v>
      </c>
      <c r="G567" t="str">
        <f>"9781118984727"</f>
        <v>9781118984727</v>
      </c>
      <c r="H567" t="s">
        <v>738</v>
      </c>
      <c r="I567">
        <v>158.30000000000001</v>
      </c>
      <c r="J567" t="s">
        <v>1510</v>
      </c>
      <c r="K567" t="s">
        <v>73</v>
      </c>
      <c r="N567" t="s">
        <v>74</v>
      </c>
      <c r="O567" t="s">
        <v>75</v>
      </c>
      <c r="P567" t="s">
        <v>74</v>
      </c>
      <c r="Q567" t="s">
        <v>76</v>
      </c>
      <c r="R567" t="s">
        <v>73</v>
      </c>
      <c r="S567">
        <v>0</v>
      </c>
      <c r="W567" s="20">
        <v>4.5138888888888892E-4</v>
      </c>
      <c r="X567" t="s">
        <v>1511</v>
      </c>
      <c r="Y567">
        <v>6</v>
      </c>
      <c r="Z567">
        <v>0</v>
      </c>
      <c r="AA567" t="s">
        <v>78</v>
      </c>
      <c r="AB567">
        <v>0</v>
      </c>
      <c r="AC567" t="s">
        <v>78</v>
      </c>
      <c r="AD567">
        <v>0</v>
      </c>
      <c r="AE567">
        <v>11155984</v>
      </c>
      <c r="AF567" t="s">
        <v>79</v>
      </c>
      <c r="AG567" t="s">
        <v>1512</v>
      </c>
    </row>
    <row r="568" spans="1:33" x14ac:dyDescent="0.35">
      <c r="A568" s="18">
        <v>44493.830555555556</v>
      </c>
      <c r="B568">
        <v>3338829</v>
      </c>
      <c r="C568" t="s">
        <v>1513</v>
      </c>
      <c r="D568" t="s">
        <v>300</v>
      </c>
      <c r="E568" s="19">
        <v>37484</v>
      </c>
      <c r="F568" t="str">
        <f>"9780262274203"</f>
        <v>9780262274203</v>
      </c>
      <c r="G568" t="str">
        <f>"9780262072366"</f>
        <v>9780262072366</v>
      </c>
      <c r="H568" t="s">
        <v>1514</v>
      </c>
      <c r="I568">
        <v>612</v>
      </c>
      <c r="J568" t="s">
        <v>1515</v>
      </c>
      <c r="K568" t="s">
        <v>73</v>
      </c>
      <c r="N568" t="s">
        <v>74</v>
      </c>
      <c r="O568" t="s">
        <v>75</v>
      </c>
      <c r="P568" t="s">
        <v>74</v>
      </c>
      <c r="Q568" t="s">
        <v>76</v>
      </c>
      <c r="R568" t="s">
        <v>73</v>
      </c>
      <c r="S568">
        <v>0</v>
      </c>
      <c r="W568" s="20">
        <v>0</v>
      </c>
      <c r="X568" t="s">
        <v>78</v>
      </c>
      <c r="Y568">
        <v>0</v>
      </c>
      <c r="Z568">
        <v>0</v>
      </c>
      <c r="AA568" t="s">
        <v>78</v>
      </c>
      <c r="AB568">
        <v>0</v>
      </c>
      <c r="AC568" t="s">
        <v>78</v>
      </c>
      <c r="AD568">
        <v>0</v>
      </c>
      <c r="AE568">
        <v>10225283</v>
      </c>
      <c r="AF568" t="s">
        <v>79</v>
      </c>
      <c r="AG568" t="s">
        <v>1512</v>
      </c>
    </row>
    <row r="569" spans="1:33" x14ac:dyDescent="0.35">
      <c r="A569" s="18">
        <v>44493.8</v>
      </c>
      <c r="B569">
        <v>958609</v>
      </c>
      <c r="C569" t="s">
        <v>1516</v>
      </c>
      <c r="D569" t="s">
        <v>127</v>
      </c>
      <c r="E569" s="19">
        <v>40919</v>
      </c>
      <c r="F569" t="str">
        <f>"9780203125755"</f>
        <v>9780203125755</v>
      </c>
      <c r="G569" t="str">
        <f>"9781849714150"</f>
        <v>9781849714150</v>
      </c>
      <c r="H569" t="s">
        <v>1208</v>
      </c>
      <c r="I569">
        <v>629.22929999999997</v>
      </c>
      <c r="J569" t="s">
        <v>1517</v>
      </c>
      <c r="K569" t="s">
        <v>73</v>
      </c>
      <c r="N569" t="s">
        <v>74</v>
      </c>
      <c r="O569" t="s">
        <v>75</v>
      </c>
      <c r="P569" t="s">
        <v>74</v>
      </c>
      <c r="Q569" t="s">
        <v>76</v>
      </c>
      <c r="R569" t="s">
        <v>73</v>
      </c>
      <c r="S569">
        <v>0</v>
      </c>
      <c r="W569" s="20">
        <v>4.6296296296296294E-5</v>
      </c>
      <c r="X569" t="s">
        <v>1214</v>
      </c>
      <c r="Y569">
        <v>1</v>
      </c>
      <c r="Z569">
        <v>0</v>
      </c>
      <c r="AA569" t="s">
        <v>78</v>
      </c>
      <c r="AB569">
        <v>0</v>
      </c>
      <c r="AC569" t="s">
        <v>78</v>
      </c>
      <c r="AD569">
        <v>0</v>
      </c>
      <c r="AE569">
        <v>10542285</v>
      </c>
      <c r="AF569" t="s">
        <v>79</v>
      </c>
      <c r="AG569" t="s">
        <v>952</v>
      </c>
    </row>
    <row r="570" spans="1:33" x14ac:dyDescent="0.35">
      <c r="A570" s="18">
        <v>44493.6875</v>
      </c>
      <c r="B570">
        <v>4497397</v>
      </c>
      <c r="C570" t="s">
        <v>279</v>
      </c>
      <c r="D570" t="s">
        <v>280</v>
      </c>
      <c r="E570" s="19">
        <v>42551</v>
      </c>
      <c r="F570" t="str">
        <f>"9789385059605"</f>
        <v>9789385059605</v>
      </c>
      <c r="G570" t="str">
        <f>"9789385059049"</f>
        <v>9789385059049</v>
      </c>
      <c r="H570" t="s">
        <v>159</v>
      </c>
      <c r="J570" t="s">
        <v>281</v>
      </c>
      <c r="K570" t="s">
        <v>85</v>
      </c>
      <c r="N570" t="s">
        <v>86</v>
      </c>
      <c r="P570" t="s">
        <v>87</v>
      </c>
      <c r="Q570" t="s">
        <v>76</v>
      </c>
      <c r="R570" t="s">
        <v>73</v>
      </c>
      <c r="S570">
        <v>0</v>
      </c>
      <c r="W570" s="20">
        <v>2.6620370370370372E-4</v>
      </c>
      <c r="X570" t="s">
        <v>1518</v>
      </c>
      <c r="Y570">
        <v>6</v>
      </c>
      <c r="Z570">
        <v>0</v>
      </c>
      <c r="AA570" t="s">
        <v>78</v>
      </c>
      <c r="AB570">
        <v>0</v>
      </c>
      <c r="AC570" t="s">
        <v>78</v>
      </c>
      <c r="AD570">
        <v>0</v>
      </c>
      <c r="AE570">
        <v>11201119</v>
      </c>
      <c r="AF570" t="s">
        <v>79</v>
      </c>
      <c r="AG570" t="s">
        <v>1519</v>
      </c>
    </row>
    <row r="571" spans="1:33" x14ac:dyDescent="0.35">
      <c r="A571" s="18">
        <v>44493.670138888891</v>
      </c>
      <c r="B571">
        <v>4497397</v>
      </c>
      <c r="C571" t="s">
        <v>279</v>
      </c>
      <c r="D571" t="s">
        <v>280</v>
      </c>
      <c r="E571" s="19">
        <v>42551</v>
      </c>
      <c r="F571" t="str">
        <f>"9789385059605"</f>
        <v>9789385059605</v>
      </c>
      <c r="G571" t="str">
        <f>"9789385059049"</f>
        <v>9789385059049</v>
      </c>
      <c r="H571" t="s">
        <v>159</v>
      </c>
      <c r="J571" t="s">
        <v>281</v>
      </c>
      <c r="K571" t="s">
        <v>85</v>
      </c>
      <c r="N571" t="s">
        <v>86</v>
      </c>
      <c r="P571" t="s">
        <v>87</v>
      </c>
      <c r="Q571" t="s">
        <v>76</v>
      </c>
      <c r="R571" t="s">
        <v>73</v>
      </c>
      <c r="S571">
        <v>4</v>
      </c>
      <c r="T571">
        <v>90</v>
      </c>
      <c r="U571" s="18">
        <v>44493.670138888891</v>
      </c>
      <c r="V571" s="18">
        <v>44583.670138888891</v>
      </c>
      <c r="W571" s="20">
        <v>1.8819444444444448E-2</v>
      </c>
      <c r="X571" t="s">
        <v>1520</v>
      </c>
      <c r="Y571">
        <v>48</v>
      </c>
      <c r="Z571">
        <v>0</v>
      </c>
      <c r="AA571" t="s">
        <v>78</v>
      </c>
      <c r="AB571">
        <v>0</v>
      </c>
      <c r="AC571" t="s">
        <v>1521</v>
      </c>
      <c r="AD571">
        <v>1</v>
      </c>
      <c r="AE571">
        <v>11201119</v>
      </c>
      <c r="AF571" t="s">
        <v>88</v>
      </c>
      <c r="AG571" t="s">
        <v>952</v>
      </c>
    </row>
    <row r="572" spans="1:33" x14ac:dyDescent="0.35">
      <c r="A572" s="18">
        <v>44493.48333333333</v>
      </c>
      <c r="B572">
        <v>848526</v>
      </c>
      <c r="C572" t="s">
        <v>1144</v>
      </c>
      <c r="D572" t="s">
        <v>70</v>
      </c>
      <c r="E572" s="19">
        <v>41212</v>
      </c>
      <c r="F572" t="str">
        <f>"9781118310069"</f>
        <v>9781118310069</v>
      </c>
      <c r="G572" t="str">
        <f>"9780470566671"</f>
        <v>9780470566671</v>
      </c>
      <c r="H572" t="s">
        <v>1145</v>
      </c>
      <c r="I572">
        <v>610.28</v>
      </c>
      <c r="J572" t="s">
        <v>1146</v>
      </c>
      <c r="K572" t="s">
        <v>73</v>
      </c>
      <c r="N572" t="s">
        <v>74</v>
      </c>
      <c r="O572" t="s">
        <v>75</v>
      </c>
      <c r="P572" t="s">
        <v>74</v>
      </c>
      <c r="Q572" t="s">
        <v>76</v>
      </c>
      <c r="R572" t="s">
        <v>73</v>
      </c>
      <c r="S572">
        <v>0</v>
      </c>
      <c r="W572" s="20">
        <v>2.2222222222222222E-3</v>
      </c>
      <c r="X572" t="s">
        <v>1522</v>
      </c>
      <c r="Y572">
        <v>42</v>
      </c>
      <c r="Z572">
        <v>0</v>
      </c>
      <c r="AA572" t="s">
        <v>78</v>
      </c>
      <c r="AB572">
        <v>0</v>
      </c>
      <c r="AC572" t="s">
        <v>78</v>
      </c>
      <c r="AD572">
        <v>0</v>
      </c>
      <c r="AE572">
        <v>10615085</v>
      </c>
      <c r="AF572" t="s">
        <v>79</v>
      </c>
      <c r="AG572" t="s">
        <v>1164</v>
      </c>
    </row>
    <row r="573" spans="1:33" x14ac:dyDescent="0.35">
      <c r="A573" s="18">
        <v>44493.443749999999</v>
      </c>
      <c r="B573">
        <v>954632</v>
      </c>
      <c r="C573" t="s">
        <v>1443</v>
      </c>
      <c r="D573" t="s">
        <v>1258</v>
      </c>
      <c r="E573" s="19">
        <v>41320</v>
      </c>
      <c r="F573" t="str">
        <f>"9781606503263"</f>
        <v>9781606503263</v>
      </c>
      <c r="G573" t="str">
        <f>"9781606503249"</f>
        <v>9781606503249</v>
      </c>
      <c r="H573" t="s">
        <v>143</v>
      </c>
      <c r="I573">
        <v>658.2</v>
      </c>
      <c r="J573" t="s">
        <v>1444</v>
      </c>
      <c r="K573" t="s">
        <v>73</v>
      </c>
      <c r="N573" t="s">
        <v>74</v>
      </c>
      <c r="O573" t="s">
        <v>75</v>
      </c>
      <c r="P573" t="s">
        <v>74</v>
      </c>
      <c r="Q573" t="s">
        <v>76</v>
      </c>
      <c r="R573" t="s">
        <v>73</v>
      </c>
      <c r="S573">
        <v>0</v>
      </c>
      <c r="W573" s="20">
        <v>0</v>
      </c>
      <c r="X573" t="s">
        <v>78</v>
      </c>
      <c r="Y573">
        <v>0</v>
      </c>
      <c r="Z573">
        <v>0</v>
      </c>
      <c r="AA573" t="s">
        <v>78</v>
      </c>
      <c r="AB573">
        <v>0</v>
      </c>
      <c r="AC573" t="s">
        <v>78</v>
      </c>
      <c r="AD573">
        <v>0</v>
      </c>
      <c r="AE573">
        <v>10661537</v>
      </c>
      <c r="AF573" t="s">
        <v>79</v>
      </c>
      <c r="AG573" t="s">
        <v>1164</v>
      </c>
    </row>
    <row r="574" spans="1:33" x14ac:dyDescent="0.35">
      <c r="A574" s="18">
        <v>44493.40625</v>
      </c>
      <c r="B574">
        <v>954632</v>
      </c>
      <c r="C574" t="s">
        <v>1443</v>
      </c>
      <c r="D574" t="s">
        <v>1258</v>
      </c>
      <c r="E574" s="19">
        <v>41320</v>
      </c>
      <c r="F574" t="str">
        <f>"9781606503263"</f>
        <v>9781606503263</v>
      </c>
      <c r="G574" t="str">
        <f>"9781606503249"</f>
        <v>9781606503249</v>
      </c>
      <c r="H574" t="s">
        <v>143</v>
      </c>
      <c r="I574">
        <v>658.2</v>
      </c>
      <c r="J574" t="s">
        <v>1444</v>
      </c>
      <c r="K574" t="s">
        <v>73</v>
      </c>
      <c r="N574" t="s">
        <v>74</v>
      </c>
      <c r="O574" t="s">
        <v>75</v>
      </c>
      <c r="P574" t="s">
        <v>74</v>
      </c>
      <c r="Q574" t="s">
        <v>76</v>
      </c>
      <c r="R574" t="s">
        <v>73</v>
      </c>
      <c r="S574">
        <v>0</v>
      </c>
      <c r="W574" s="20">
        <v>4.6296296296296294E-5</v>
      </c>
      <c r="X574" t="s">
        <v>1523</v>
      </c>
      <c r="Y574">
        <v>1</v>
      </c>
      <c r="Z574">
        <v>0</v>
      </c>
      <c r="AA574" t="s">
        <v>78</v>
      </c>
      <c r="AB574">
        <v>0</v>
      </c>
      <c r="AC574" t="s">
        <v>78</v>
      </c>
      <c r="AD574">
        <v>0</v>
      </c>
      <c r="AE574">
        <v>10661537</v>
      </c>
      <c r="AF574" t="s">
        <v>79</v>
      </c>
      <c r="AG574" t="s">
        <v>1164</v>
      </c>
    </row>
    <row r="575" spans="1:33" x14ac:dyDescent="0.35">
      <c r="A575" s="18">
        <v>44493.395833333336</v>
      </c>
      <c r="B575">
        <v>848526</v>
      </c>
      <c r="C575" t="s">
        <v>1144</v>
      </c>
      <c r="D575" t="s">
        <v>70</v>
      </c>
      <c r="E575" s="19">
        <v>41212</v>
      </c>
      <c r="F575" t="str">
        <f>"9781118310069"</f>
        <v>9781118310069</v>
      </c>
      <c r="G575" t="str">
        <f>"9780470566671"</f>
        <v>9780470566671</v>
      </c>
      <c r="H575" t="s">
        <v>1145</v>
      </c>
      <c r="I575">
        <v>610.28</v>
      </c>
      <c r="J575" t="s">
        <v>1146</v>
      </c>
      <c r="K575" t="s">
        <v>73</v>
      </c>
      <c r="N575" t="s">
        <v>74</v>
      </c>
      <c r="O575" t="s">
        <v>75</v>
      </c>
      <c r="P575" t="s">
        <v>74</v>
      </c>
      <c r="Q575" t="s">
        <v>76</v>
      </c>
      <c r="R575" t="s">
        <v>73</v>
      </c>
      <c r="S575">
        <v>0</v>
      </c>
      <c r="W575" s="20">
        <v>5.378472222222222E-2</v>
      </c>
      <c r="X575" t="s">
        <v>1524</v>
      </c>
      <c r="Y575">
        <v>32</v>
      </c>
      <c r="Z575">
        <v>0</v>
      </c>
      <c r="AA575" t="s">
        <v>78</v>
      </c>
      <c r="AB575">
        <v>0</v>
      </c>
      <c r="AC575" t="s">
        <v>78</v>
      </c>
      <c r="AD575">
        <v>0</v>
      </c>
      <c r="AE575">
        <v>10615085</v>
      </c>
      <c r="AF575" t="s">
        <v>79</v>
      </c>
      <c r="AG575" t="s">
        <v>1164</v>
      </c>
    </row>
    <row r="576" spans="1:33" x14ac:dyDescent="0.35">
      <c r="A576" s="18">
        <v>44493.254166666666</v>
      </c>
      <c r="B576">
        <v>3019847</v>
      </c>
      <c r="C576" t="s">
        <v>1525</v>
      </c>
      <c r="D576" t="s">
        <v>226</v>
      </c>
      <c r="E576" s="19">
        <v>40118</v>
      </c>
      <c r="F576" t="str">
        <f>"9781613244463"</f>
        <v>9781613244463</v>
      </c>
      <c r="G576" t="str">
        <f>"9781606922262"</f>
        <v>9781606922262</v>
      </c>
      <c r="H576" t="s">
        <v>251</v>
      </c>
      <c r="I576" t="s">
        <v>1526</v>
      </c>
      <c r="J576" t="s">
        <v>1527</v>
      </c>
      <c r="K576" t="s">
        <v>73</v>
      </c>
      <c r="N576" t="s">
        <v>74</v>
      </c>
      <c r="O576" t="s">
        <v>75</v>
      </c>
      <c r="P576" t="s">
        <v>230</v>
      </c>
      <c r="Q576" t="s">
        <v>76</v>
      </c>
      <c r="R576" t="s">
        <v>85</v>
      </c>
      <c r="S576">
        <v>0</v>
      </c>
      <c r="W576" s="20">
        <v>1.1574074074074073E-4</v>
      </c>
      <c r="X576" t="s">
        <v>1492</v>
      </c>
      <c r="Y576">
        <v>2</v>
      </c>
      <c r="Z576">
        <v>0</v>
      </c>
      <c r="AA576" t="s">
        <v>78</v>
      </c>
      <c r="AB576">
        <v>0</v>
      </c>
      <c r="AC576" t="s">
        <v>78</v>
      </c>
      <c r="AD576">
        <v>0</v>
      </c>
      <c r="AE576">
        <v>10671412</v>
      </c>
      <c r="AF576" t="s">
        <v>79</v>
      </c>
      <c r="AG576" t="s">
        <v>1164</v>
      </c>
    </row>
    <row r="577" spans="1:33" x14ac:dyDescent="0.35">
      <c r="A577" s="18">
        <v>44493.165972222225</v>
      </c>
      <c r="B577">
        <v>1214580</v>
      </c>
      <c r="C577" t="s">
        <v>1528</v>
      </c>
      <c r="D577" t="s">
        <v>209</v>
      </c>
      <c r="E577" s="19">
        <v>40238</v>
      </c>
      <c r="F577" t="str">
        <f>"9780739140611"</f>
        <v>9780739140611</v>
      </c>
      <c r="G577" t="str">
        <f>"9780739140598"</f>
        <v>9780739140598</v>
      </c>
      <c r="H577" t="s">
        <v>492</v>
      </c>
      <c r="I577">
        <v>305.56200000000001</v>
      </c>
      <c r="J577" t="s">
        <v>1529</v>
      </c>
      <c r="K577" t="s">
        <v>73</v>
      </c>
      <c r="N577" t="s">
        <v>74</v>
      </c>
      <c r="O577" t="s">
        <v>75</v>
      </c>
      <c r="P577" t="s">
        <v>74</v>
      </c>
      <c r="Q577" t="s">
        <v>76</v>
      </c>
      <c r="R577" t="s">
        <v>73</v>
      </c>
      <c r="S577">
        <v>0</v>
      </c>
      <c r="W577" s="20">
        <v>1.0185185185185184E-2</v>
      </c>
      <c r="X577" t="s">
        <v>1530</v>
      </c>
      <c r="Y577">
        <v>13</v>
      </c>
      <c r="Z577">
        <v>0</v>
      </c>
      <c r="AA577" t="s">
        <v>78</v>
      </c>
      <c r="AB577">
        <v>0</v>
      </c>
      <c r="AC577" t="s">
        <v>78</v>
      </c>
      <c r="AD577">
        <v>0</v>
      </c>
      <c r="AE577">
        <v>10716600</v>
      </c>
      <c r="AF577" t="s">
        <v>79</v>
      </c>
      <c r="AG577" t="s">
        <v>1164</v>
      </c>
    </row>
    <row r="578" spans="1:33" x14ac:dyDescent="0.35">
      <c r="A578" s="18">
        <v>44493.074305555558</v>
      </c>
      <c r="B578">
        <v>1214580</v>
      </c>
      <c r="C578" t="s">
        <v>1528</v>
      </c>
      <c r="D578" t="s">
        <v>209</v>
      </c>
      <c r="E578" s="19">
        <v>40238</v>
      </c>
      <c r="F578" t="str">
        <f>"9780739140611"</f>
        <v>9780739140611</v>
      </c>
      <c r="G578" t="str">
        <f>"9780739140598"</f>
        <v>9780739140598</v>
      </c>
      <c r="H578" t="s">
        <v>492</v>
      </c>
      <c r="I578">
        <v>305.56200000000001</v>
      </c>
      <c r="J578" t="s">
        <v>1529</v>
      </c>
      <c r="K578" t="s">
        <v>73</v>
      </c>
      <c r="N578" t="s">
        <v>74</v>
      </c>
      <c r="O578" t="s">
        <v>75</v>
      </c>
      <c r="P578" t="s">
        <v>74</v>
      </c>
      <c r="Q578" t="s">
        <v>76</v>
      </c>
      <c r="R578" t="s">
        <v>73</v>
      </c>
      <c r="S578">
        <v>0</v>
      </c>
      <c r="W578" s="20">
        <v>4.0509259259259258E-4</v>
      </c>
      <c r="X578" t="s">
        <v>1531</v>
      </c>
      <c r="Y578">
        <v>9</v>
      </c>
      <c r="Z578">
        <v>0</v>
      </c>
      <c r="AA578" t="s">
        <v>78</v>
      </c>
      <c r="AB578">
        <v>0</v>
      </c>
      <c r="AC578" t="s">
        <v>78</v>
      </c>
      <c r="AD578">
        <v>0</v>
      </c>
      <c r="AE578">
        <v>10716600</v>
      </c>
      <c r="AF578" t="s">
        <v>79</v>
      </c>
      <c r="AG578" t="s">
        <v>1164</v>
      </c>
    </row>
    <row r="579" spans="1:33" x14ac:dyDescent="0.35">
      <c r="A579" s="18">
        <v>44493.040972222225</v>
      </c>
      <c r="B579">
        <v>1214580</v>
      </c>
      <c r="C579" t="s">
        <v>1528</v>
      </c>
      <c r="D579" t="s">
        <v>209</v>
      </c>
      <c r="E579" s="19">
        <v>40238</v>
      </c>
      <c r="F579" t="str">
        <f>"9780739140611"</f>
        <v>9780739140611</v>
      </c>
      <c r="G579" t="str">
        <f>"9780739140598"</f>
        <v>9780739140598</v>
      </c>
      <c r="H579" t="s">
        <v>492</v>
      </c>
      <c r="I579">
        <v>305.56200000000001</v>
      </c>
      <c r="J579" t="s">
        <v>1529</v>
      </c>
      <c r="K579" t="s">
        <v>73</v>
      </c>
      <c r="N579" t="s">
        <v>74</v>
      </c>
      <c r="O579" t="s">
        <v>75</v>
      </c>
      <c r="P579" t="s">
        <v>74</v>
      </c>
      <c r="Q579" t="s">
        <v>76</v>
      </c>
      <c r="R579" t="s">
        <v>73</v>
      </c>
      <c r="S579">
        <v>0</v>
      </c>
      <c r="W579" s="20">
        <v>5.7870370370370366E-5</v>
      </c>
      <c r="X579" t="s">
        <v>132</v>
      </c>
      <c r="Y579">
        <v>1</v>
      </c>
      <c r="Z579">
        <v>0</v>
      </c>
      <c r="AA579" t="s">
        <v>78</v>
      </c>
      <c r="AB579">
        <v>0</v>
      </c>
      <c r="AC579" t="s">
        <v>78</v>
      </c>
      <c r="AD579">
        <v>0</v>
      </c>
      <c r="AE579">
        <v>10716600</v>
      </c>
      <c r="AF579" t="s">
        <v>79</v>
      </c>
      <c r="AG579" t="s">
        <v>1164</v>
      </c>
    </row>
    <row r="580" spans="1:33" x14ac:dyDescent="0.35">
      <c r="A580" s="18">
        <v>44492.98541666667</v>
      </c>
      <c r="B580">
        <v>3020585</v>
      </c>
      <c r="C580" t="s">
        <v>1261</v>
      </c>
      <c r="D580" t="s">
        <v>226</v>
      </c>
      <c r="E580" s="19">
        <v>39539</v>
      </c>
      <c r="F580" t="str">
        <f>"9781614704836"</f>
        <v>9781614704836</v>
      </c>
      <c r="G580" t="str">
        <f>"9781606925010"</f>
        <v>9781606925010</v>
      </c>
      <c r="H580" t="s">
        <v>775</v>
      </c>
      <c r="I580">
        <v>362.17830973000002</v>
      </c>
      <c r="J580" t="s">
        <v>1262</v>
      </c>
      <c r="K580" t="s">
        <v>73</v>
      </c>
      <c r="N580" t="s">
        <v>74</v>
      </c>
      <c r="O580" t="s">
        <v>75</v>
      </c>
      <c r="P580" t="s">
        <v>74</v>
      </c>
      <c r="Q580" t="s">
        <v>76</v>
      </c>
      <c r="R580" t="s">
        <v>73</v>
      </c>
      <c r="S580">
        <v>0</v>
      </c>
      <c r="W580" s="20">
        <v>6.2615740740740748E-3</v>
      </c>
      <c r="X580" t="s">
        <v>1532</v>
      </c>
      <c r="Y580">
        <v>8</v>
      </c>
      <c r="Z580">
        <v>0</v>
      </c>
      <c r="AA580" t="s">
        <v>78</v>
      </c>
      <c r="AB580">
        <v>0</v>
      </c>
      <c r="AC580" t="s">
        <v>78</v>
      </c>
      <c r="AD580">
        <v>0</v>
      </c>
      <c r="AE580">
        <v>10677981</v>
      </c>
      <c r="AF580" t="s">
        <v>79</v>
      </c>
      <c r="AG580" t="s">
        <v>1164</v>
      </c>
    </row>
    <row r="581" spans="1:33" x14ac:dyDescent="0.35">
      <c r="A581" s="18">
        <v>44492.95</v>
      </c>
      <c r="B581">
        <v>848526</v>
      </c>
      <c r="C581" t="s">
        <v>1144</v>
      </c>
      <c r="D581" t="s">
        <v>70</v>
      </c>
      <c r="E581" s="19">
        <v>41212</v>
      </c>
      <c r="F581" t="str">
        <f>"9781118310069"</f>
        <v>9781118310069</v>
      </c>
      <c r="G581" t="str">
        <f>"9780470566671"</f>
        <v>9780470566671</v>
      </c>
      <c r="H581" t="s">
        <v>1145</v>
      </c>
      <c r="I581">
        <v>610.28</v>
      </c>
      <c r="J581" t="s">
        <v>1146</v>
      </c>
      <c r="K581" t="s">
        <v>73</v>
      </c>
      <c r="N581" t="s">
        <v>74</v>
      </c>
      <c r="O581" t="s">
        <v>75</v>
      </c>
      <c r="P581" t="s">
        <v>74</v>
      </c>
      <c r="Q581" t="s">
        <v>76</v>
      </c>
      <c r="R581" t="s">
        <v>73</v>
      </c>
      <c r="S581">
        <v>0</v>
      </c>
      <c r="W581" s="20">
        <v>7.3726851851851861E-3</v>
      </c>
      <c r="X581" t="s">
        <v>1533</v>
      </c>
      <c r="Y581">
        <v>3</v>
      </c>
      <c r="Z581">
        <v>0</v>
      </c>
      <c r="AA581" t="s">
        <v>78</v>
      </c>
      <c r="AB581">
        <v>0</v>
      </c>
      <c r="AC581" t="s">
        <v>78</v>
      </c>
      <c r="AD581">
        <v>0</v>
      </c>
      <c r="AE581">
        <v>10615085</v>
      </c>
      <c r="AF581" t="s">
        <v>79</v>
      </c>
      <c r="AG581" t="s">
        <v>1164</v>
      </c>
    </row>
    <row r="582" spans="1:33" x14ac:dyDescent="0.35">
      <c r="A582" s="18">
        <v>44492.940972222219</v>
      </c>
      <c r="B582">
        <v>4585271</v>
      </c>
      <c r="C582" t="s">
        <v>377</v>
      </c>
      <c r="D582" t="s">
        <v>70</v>
      </c>
      <c r="E582" s="19">
        <v>42583</v>
      </c>
      <c r="F582" t="str">
        <f>"9781119179597"</f>
        <v>9781119179597</v>
      </c>
      <c r="G582" t="str">
        <f>"9781119179573"</f>
        <v>9781119179573</v>
      </c>
      <c r="H582" t="s">
        <v>378</v>
      </c>
      <c r="I582">
        <v>658.4</v>
      </c>
      <c r="J582" t="s">
        <v>379</v>
      </c>
      <c r="K582" t="s">
        <v>73</v>
      </c>
      <c r="N582" t="s">
        <v>74</v>
      </c>
      <c r="O582" t="s">
        <v>75</v>
      </c>
      <c r="P582" t="s">
        <v>74</v>
      </c>
      <c r="Q582" t="s">
        <v>76</v>
      </c>
      <c r="R582" t="s">
        <v>73</v>
      </c>
      <c r="S582">
        <v>0</v>
      </c>
      <c r="W582" s="20">
        <v>4.1666666666666669E-4</v>
      </c>
      <c r="X582" t="s">
        <v>1534</v>
      </c>
      <c r="Y582">
        <v>4</v>
      </c>
      <c r="Z582">
        <v>0</v>
      </c>
      <c r="AA582" t="s">
        <v>78</v>
      </c>
      <c r="AB582">
        <v>0</v>
      </c>
      <c r="AC582" t="s">
        <v>137</v>
      </c>
      <c r="AD582">
        <v>1</v>
      </c>
      <c r="AE582">
        <v>11234254</v>
      </c>
      <c r="AF582" t="s">
        <v>79</v>
      </c>
      <c r="AG582" t="s">
        <v>1164</v>
      </c>
    </row>
    <row r="583" spans="1:33" x14ac:dyDescent="0.35">
      <c r="A583" s="18">
        <v>44492.865972222222</v>
      </c>
      <c r="B583">
        <v>3318673</v>
      </c>
      <c r="C583" t="s">
        <v>997</v>
      </c>
      <c r="D583" t="s">
        <v>998</v>
      </c>
      <c r="E583" s="19">
        <v>41302</v>
      </c>
      <c r="F583" t="str">
        <f>"9781421411118"</f>
        <v>9781421411118</v>
      </c>
      <c r="G583" t="str">
        <f>"9781421411101"</f>
        <v>9781421411101</v>
      </c>
      <c r="H583" t="s">
        <v>128</v>
      </c>
      <c r="I583">
        <v>363.33097299999997</v>
      </c>
      <c r="J583" t="s">
        <v>999</v>
      </c>
      <c r="K583" t="s">
        <v>73</v>
      </c>
      <c r="N583" t="s">
        <v>74</v>
      </c>
      <c r="O583" t="s">
        <v>75</v>
      </c>
      <c r="P583" t="s">
        <v>74</v>
      </c>
      <c r="Q583" t="s">
        <v>76</v>
      </c>
      <c r="R583" t="s">
        <v>73</v>
      </c>
      <c r="S583">
        <v>0</v>
      </c>
      <c r="W583" s="20">
        <v>1.5624999999999999E-3</v>
      </c>
      <c r="X583" t="s">
        <v>1535</v>
      </c>
      <c r="Y583">
        <v>16</v>
      </c>
      <c r="Z583">
        <v>0</v>
      </c>
      <c r="AA583" t="s">
        <v>78</v>
      </c>
      <c r="AB583">
        <v>0</v>
      </c>
      <c r="AC583" t="s">
        <v>78</v>
      </c>
      <c r="AD583">
        <v>0</v>
      </c>
      <c r="AE583">
        <v>10654392</v>
      </c>
      <c r="AF583" t="s">
        <v>79</v>
      </c>
      <c r="AG583" t="s">
        <v>1164</v>
      </c>
    </row>
    <row r="584" spans="1:33" x14ac:dyDescent="0.35">
      <c r="A584" s="18">
        <v>44492.840277777781</v>
      </c>
      <c r="B584">
        <v>241408</v>
      </c>
      <c r="C584" t="s">
        <v>1536</v>
      </c>
      <c r="D584" t="s">
        <v>102</v>
      </c>
      <c r="E584" s="19">
        <v>36825</v>
      </c>
      <c r="F584" t="str">
        <f>"9781602564251"</f>
        <v>9781602564251</v>
      </c>
      <c r="G584" t="str">
        <f>"9780195137934"</f>
        <v>9780195137934</v>
      </c>
      <c r="H584" t="s">
        <v>128</v>
      </c>
      <c r="I584" t="s">
        <v>1537</v>
      </c>
      <c r="J584" t="s">
        <v>1538</v>
      </c>
      <c r="K584" t="s">
        <v>73</v>
      </c>
      <c r="N584" t="s">
        <v>74</v>
      </c>
      <c r="O584" t="s">
        <v>75</v>
      </c>
      <c r="P584" t="s">
        <v>74</v>
      </c>
      <c r="Q584" t="s">
        <v>76</v>
      </c>
      <c r="R584" t="s">
        <v>73</v>
      </c>
      <c r="S584">
        <v>0</v>
      </c>
      <c r="W584" s="20">
        <v>2.1064814814814813E-3</v>
      </c>
      <c r="X584" t="s">
        <v>1539</v>
      </c>
      <c r="Y584">
        <v>7</v>
      </c>
      <c r="Z584">
        <v>0</v>
      </c>
      <c r="AA584" t="s">
        <v>78</v>
      </c>
      <c r="AB584">
        <v>0</v>
      </c>
      <c r="AC584" t="s">
        <v>78</v>
      </c>
      <c r="AD584">
        <v>0</v>
      </c>
      <c r="AE584">
        <v>10084856</v>
      </c>
      <c r="AF584" t="s">
        <v>79</v>
      </c>
      <c r="AG584" t="s">
        <v>1164</v>
      </c>
    </row>
    <row r="585" spans="1:33" x14ac:dyDescent="0.35">
      <c r="A585" s="18">
        <v>44492.808333333334</v>
      </c>
      <c r="B585">
        <v>848526</v>
      </c>
      <c r="C585" t="s">
        <v>1144</v>
      </c>
      <c r="D585" t="s">
        <v>70</v>
      </c>
      <c r="E585" s="19">
        <v>41212</v>
      </c>
      <c r="F585" t="str">
        <f>"9781118310069"</f>
        <v>9781118310069</v>
      </c>
      <c r="G585" t="str">
        <f>"9780470566671"</f>
        <v>9780470566671</v>
      </c>
      <c r="H585" t="s">
        <v>1145</v>
      </c>
      <c r="I585">
        <v>610.28</v>
      </c>
      <c r="J585" t="s">
        <v>1146</v>
      </c>
      <c r="K585" t="s">
        <v>73</v>
      </c>
      <c r="N585" t="s">
        <v>74</v>
      </c>
      <c r="O585" t="s">
        <v>75</v>
      </c>
      <c r="P585" t="s">
        <v>74</v>
      </c>
      <c r="Q585" t="s">
        <v>76</v>
      </c>
      <c r="R585" t="s">
        <v>73</v>
      </c>
      <c r="S585">
        <v>0</v>
      </c>
      <c r="W585" s="20">
        <v>2.0370370370370369E-2</v>
      </c>
      <c r="X585" t="s">
        <v>1540</v>
      </c>
      <c r="Y585">
        <v>42</v>
      </c>
      <c r="Z585">
        <v>0</v>
      </c>
      <c r="AA585" t="s">
        <v>78</v>
      </c>
      <c r="AB585">
        <v>0</v>
      </c>
      <c r="AC585" t="s">
        <v>78</v>
      </c>
      <c r="AD585">
        <v>0</v>
      </c>
      <c r="AE585">
        <v>10615085</v>
      </c>
      <c r="AF585" t="s">
        <v>79</v>
      </c>
      <c r="AG585" t="s">
        <v>1164</v>
      </c>
    </row>
    <row r="586" spans="1:33" x14ac:dyDescent="0.35">
      <c r="A586" s="18">
        <v>44492.808333333334</v>
      </c>
      <c r="B586">
        <v>848526</v>
      </c>
      <c r="C586" t="s">
        <v>1144</v>
      </c>
      <c r="D586" t="s">
        <v>70</v>
      </c>
      <c r="E586" s="19">
        <v>41212</v>
      </c>
      <c r="F586" t="str">
        <f>"9781118310069"</f>
        <v>9781118310069</v>
      </c>
      <c r="G586" t="str">
        <f>"9780470566671"</f>
        <v>9780470566671</v>
      </c>
      <c r="H586" t="s">
        <v>1145</v>
      </c>
      <c r="I586">
        <v>610.28</v>
      </c>
      <c r="J586" t="s">
        <v>1146</v>
      </c>
      <c r="K586" t="s">
        <v>73</v>
      </c>
      <c r="N586" t="s">
        <v>74</v>
      </c>
      <c r="O586" t="s">
        <v>75</v>
      </c>
      <c r="P586" t="s">
        <v>74</v>
      </c>
      <c r="Q586" t="s">
        <v>76</v>
      </c>
      <c r="R586" t="s">
        <v>73</v>
      </c>
      <c r="S586">
        <v>0</v>
      </c>
      <c r="W586" s="20">
        <v>0</v>
      </c>
      <c r="X586" t="s">
        <v>78</v>
      </c>
      <c r="Y586">
        <v>0</v>
      </c>
      <c r="Z586">
        <v>0</v>
      </c>
      <c r="AA586" t="s">
        <v>78</v>
      </c>
      <c r="AB586">
        <v>0</v>
      </c>
      <c r="AC586" t="s">
        <v>78</v>
      </c>
      <c r="AD586">
        <v>0</v>
      </c>
      <c r="AE586">
        <v>10615085</v>
      </c>
      <c r="AF586" t="s">
        <v>79</v>
      </c>
      <c r="AG586" t="s">
        <v>1164</v>
      </c>
    </row>
    <row r="587" spans="1:33" x14ac:dyDescent="0.35">
      <c r="A587" s="18">
        <v>44492.779166666667</v>
      </c>
      <c r="B587">
        <v>848526</v>
      </c>
      <c r="C587" t="s">
        <v>1144</v>
      </c>
      <c r="D587" t="s">
        <v>70</v>
      </c>
      <c r="E587" s="19">
        <v>41212</v>
      </c>
      <c r="F587" t="str">
        <f>"9781118310069"</f>
        <v>9781118310069</v>
      </c>
      <c r="G587" t="str">
        <f>"9780470566671"</f>
        <v>9780470566671</v>
      </c>
      <c r="H587" t="s">
        <v>1145</v>
      </c>
      <c r="I587">
        <v>610.28</v>
      </c>
      <c r="J587" t="s">
        <v>1146</v>
      </c>
      <c r="K587" t="s">
        <v>73</v>
      </c>
      <c r="N587" t="s">
        <v>74</v>
      </c>
      <c r="O587" t="s">
        <v>75</v>
      </c>
      <c r="P587" t="s">
        <v>74</v>
      </c>
      <c r="Q587" t="s">
        <v>76</v>
      </c>
      <c r="R587" t="s">
        <v>73</v>
      </c>
      <c r="S587">
        <v>0</v>
      </c>
      <c r="W587" s="20">
        <v>4.7453703703703704E-4</v>
      </c>
      <c r="X587" t="s">
        <v>1541</v>
      </c>
      <c r="Y587">
        <v>5</v>
      </c>
      <c r="Z587">
        <v>0</v>
      </c>
      <c r="AA587" t="s">
        <v>78</v>
      </c>
      <c r="AB587">
        <v>0</v>
      </c>
      <c r="AC587" t="s">
        <v>78</v>
      </c>
      <c r="AD587">
        <v>0</v>
      </c>
      <c r="AE587">
        <v>10615085</v>
      </c>
      <c r="AF587" t="s">
        <v>79</v>
      </c>
      <c r="AG587" t="s">
        <v>1164</v>
      </c>
    </row>
    <row r="588" spans="1:33" x14ac:dyDescent="0.35">
      <c r="A588" s="18">
        <v>44492.76666666667</v>
      </c>
      <c r="B588">
        <v>835145</v>
      </c>
      <c r="C588" t="s">
        <v>1542</v>
      </c>
      <c r="D588" t="s">
        <v>70</v>
      </c>
      <c r="E588" s="19">
        <v>40952</v>
      </c>
      <c r="F588" t="str">
        <f>"9781119977001"</f>
        <v>9781119977001</v>
      </c>
      <c r="G588" t="str">
        <f>"9781119992851"</f>
        <v>9781119992851</v>
      </c>
      <c r="H588" t="s">
        <v>71</v>
      </c>
      <c r="I588">
        <v>621.31244000000004</v>
      </c>
      <c r="J588" t="s">
        <v>1543</v>
      </c>
      <c r="K588" t="s">
        <v>73</v>
      </c>
      <c r="N588" t="s">
        <v>74</v>
      </c>
      <c r="O588" t="s">
        <v>75</v>
      </c>
      <c r="P588" t="s">
        <v>74</v>
      </c>
      <c r="Q588" t="s">
        <v>76</v>
      </c>
      <c r="R588" t="s">
        <v>73</v>
      </c>
      <c r="S588">
        <v>0</v>
      </c>
      <c r="W588" s="20">
        <v>4.6296296296296294E-5</v>
      </c>
      <c r="X588" t="s">
        <v>132</v>
      </c>
      <c r="Y588">
        <v>1</v>
      </c>
      <c r="Z588">
        <v>0</v>
      </c>
      <c r="AA588" t="s">
        <v>78</v>
      </c>
      <c r="AB588">
        <v>0</v>
      </c>
      <c r="AC588" t="s">
        <v>78</v>
      </c>
      <c r="AD588">
        <v>0</v>
      </c>
      <c r="AE588">
        <v>10526535</v>
      </c>
      <c r="AF588" t="s">
        <v>79</v>
      </c>
      <c r="AG588" t="s">
        <v>1164</v>
      </c>
    </row>
    <row r="589" spans="1:33" x14ac:dyDescent="0.35">
      <c r="A589" s="18">
        <v>44492.763194444444</v>
      </c>
      <c r="B589">
        <v>1574357</v>
      </c>
      <c r="C589" t="s">
        <v>1544</v>
      </c>
      <c r="D589" t="s">
        <v>70</v>
      </c>
      <c r="E589" s="19">
        <v>41680</v>
      </c>
      <c r="F589" t="str">
        <f>"9781118703366"</f>
        <v>9781118703366</v>
      </c>
      <c r="G589" t="str">
        <f>"9781118634165"</f>
        <v>9781118634165</v>
      </c>
      <c r="H589" t="s">
        <v>71</v>
      </c>
      <c r="I589">
        <v>621.31244000000004</v>
      </c>
      <c r="J589" t="s">
        <v>1545</v>
      </c>
      <c r="K589" t="s">
        <v>73</v>
      </c>
      <c r="N589" t="s">
        <v>74</v>
      </c>
      <c r="O589" t="s">
        <v>75</v>
      </c>
      <c r="P589" t="s">
        <v>74</v>
      </c>
      <c r="Q589" t="s">
        <v>76</v>
      </c>
      <c r="R589" t="s">
        <v>73</v>
      </c>
      <c r="S589">
        <v>0</v>
      </c>
      <c r="W589" s="20">
        <v>2.1527777777777778E-3</v>
      </c>
      <c r="X589" t="s">
        <v>1546</v>
      </c>
      <c r="Y589">
        <v>3</v>
      </c>
      <c r="Z589">
        <v>0</v>
      </c>
      <c r="AA589" t="s">
        <v>78</v>
      </c>
      <c r="AB589">
        <v>0</v>
      </c>
      <c r="AC589" t="s">
        <v>78</v>
      </c>
      <c r="AD589">
        <v>0</v>
      </c>
      <c r="AE589">
        <v>10814681</v>
      </c>
      <c r="AF589" t="s">
        <v>79</v>
      </c>
      <c r="AG589" t="s">
        <v>1164</v>
      </c>
    </row>
    <row r="590" spans="1:33" x14ac:dyDescent="0.35">
      <c r="A590" s="18">
        <v>44492.720138888886</v>
      </c>
      <c r="B590">
        <v>848526</v>
      </c>
      <c r="C590" t="s">
        <v>1144</v>
      </c>
      <c r="D590" t="s">
        <v>70</v>
      </c>
      <c r="E590" s="19">
        <v>41212</v>
      </c>
      <c r="F590" t="str">
        <f>"9781118310069"</f>
        <v>9781118310069</v>
      </c>
      <c r="G590" t="str">
        <f>"9780470566671"</f>
        <v>9780470566671</v>
      </c>
      <c r="H590" t="s">
        <v>1145</v>
      </c>
      <c r="I590">
        <v>610.28</v>
      </c>
      <c r="J590" t="s">
        <v>1146</v>
      </c>
      <c r="K590" t="s">
        <v>73</v>
      </c>
      <c r="N590" t="s">
        <v>74</v>
      </c>
      <c r="O590" t="s">
        <v>75</v>
      </c>
      <c r="P590" t="s">
        <v>74</v>
      </c>
      <c r="Q590" t="s">
        <v>76</v>
      </c>
      <c r="R590" t="s">
        <v>73</v>
      </c>
      <c r="S590">
        <v>0</v>
      </c>
      <c r="W590" s="20">
        <v>3.4722222222222222E-5</v>
      </c>
      <c r="X590" t="s">
        <v>132</v>
      </c>
      <c r="Y590">
        <v>1</v>
      </c>
      <c r="Z590">
        <v>0</v>
      </c>
      <c r="AA590" t="s">
        <v>78</v>
      </c>
      <c r="AB590">
        <v>0</v>
      </c>
      <c r="AC590" t="s">
        <v>78</v>
      </c>
      <c r="AD590">
        <v>0</v>
      </c>
      <c r="AE590">
        <v>10615085</v>
      </c>
      <c r="AF590" t="s">
        <v>88</v>
      </c>
      <c r="AG590" t="s">
        <v>952</v>
      </c>
    </row>
    <row r="591" spans="1:33" x14ac:dyDescent="0.35">
      <c r="A591" s="18">
        <v>44492.719444444447</v>
      </c>
      <c r="B591">
        <v>848526</v>
      </c>
      <c r="C591" t="s">
        <v>1144</v>
      </c>
      <c r="D591" t="s">
        <v>70</v>
      </c>
      <c r="E591" s="19">
        <v>41212</v>
      </c>
      <c r="F591" t="str">
        <f>"9781118310069"</f>
        <v>9781118310069</v>
      </c>
      <c r="G591" t="str">
        <f>"9780470566671"</f>
        <v>9780470566671</v>
      </c>
      <c r="H591" t="s">
        <v>1145</v>
      </c>
      <c r="I591">
        <v>610.28</v>
      </c>
      <c r="J591" t="s">
        <v>1146</v>
      </c>
      <c r="K591" t="s">
        <v>73</v>
      </c>
      <c r="N591" t="s">
        <v>74</v>
      </c>
      <c r="O591" t="s">
        <v>75</v>
      </c>
      <c r="P591" t="s">
        <v>74</v>
      </c>
      <c r="Q591" t="s">
        <v>76</v>
      </c>
      <c r="R591" t="s">
        <v>73</v>
      </c>
      <c r="S591">
        <v>1</v>
      </c>
      <c r="W591" s="20">
        <v>0</v>
      </c>
      <c r="X591" t="s">
        <v>78</v>
      </c>
      <c r="Y591">
        <v>0</v>
      </c>
      <c r="Z591">
        <v>0</v>
      </c>
      <c r="AA591" t="s">
        <v>78</v>
      </c>
      <c r="AB591">
        <v>0</v>
      </c>
      <c r="AC591" t="s">
        <v>78</v>
      </c>
      <c r="AD591">
        <v>0</v>
      </c>
      <c r="AE591">
        <v>10615085</v>
      </c>
      <c r="AF591" t="s">
        <v>88</v>
      </c>
      <c r="AG591" t="s">
        <v>952</v>
      </c>
    </row>
    <row r="592" spans="1:33" x14ac:dyDescent="0.35">
      <c r="A592" s="18">
        <v>44492.718055555553</v>
      </c>
      <c r="B592">
        <v>848526</v>
      </c>
      <c r="C592" t="s">
        <v>1144</v>
      </c>
      <c r="D592" t="s">
        <v>70</v>
      </c>
      <c r="E592" s="19">
        <v>41212</v>
      </c>
      <c r="F592" t="str">
        <f>"9781118310069"</f>
        <v>9781118310069</v>
      </c>
      <c r="G592" t="str">
        <f>"9780470566671"</f>
        <v>9780470566671</v>
      </c>
      <c r="H592" t="s">
        <v>1145</v>
      </c>
      <c r="I592">
        <v>610.28</v>
      </c>
      <c r="J592" t="s">
        <v>1146</v>
      </c>
      <c r="K592" t="s">
        <v>73</v>
      </c>
      <c r="N592" t="s">
        <v>74</v>
      </c>
      <c r="O592" t="s">
        <v>75</v>
      </c>
      <c r="P592" t="s">
        <v>74</v>
      </c>
      <c r="Q592" t="s">
        <v>76</v>
      </c>
      <c r="R592" t="s">
        <v>73</v>
      </c>
      <c r="S592">
        <v>0</v>
      </c>
      <c r="W592" s="20">
        <v>4.6296296296296294E-5</v>
      </c>
      <c r="X592" t="s">
        <v>132</v>
      </c>
      <c r="Y592">
        <v>1</v>
      </c>
      <c r="Z592">
        <v>0</v>
      </c>
      <c r="AA592" t="s">
        <v>78</v>
      </c>
      <c r="AB592">
        <v>0</v>
      </c>
      <c r="AC592" t="s">
        <v>78</v>
      </c>
      <c r="AD592">
        <v>0</v>
      </c>
      <c r="AE592">
        <v>10615085</v>
      </c>
      <c r="AF592" t="s">
        <v>79</v>
      </c>
      <c r="AG592" t="s">
        <v>952</v>
      </c>
    </row>
    <row r="593" spans="1:33" x14ac:dyDescent="0.35">
      <c r="A593" s="18">
        <v>44492.71597222222</v>
      </c>
      <c r="B593">
        <v>848526</v>
      </c>
      <c r="C593" t="s">
        <v>1144</v>
      </c>
      <c r="D593" t="s">
        <v>70</v>
      </c>
      <c r="E593" s="19">
        <v>41212</v>
      </c>
      <c r="F593" t="str">
        <f>"9781118310069"</f>
        <v>9781118310069</v>
      </c>
      <c r="G593" t="str">
        <f>"9780470566671"</f>
        <v>9780470566671</v>
      </c>
      <c r="H593" t="s">
        <v>1145</v>
      </c>
      <c r="I593">
        <v>610.28</v>
      </c>
      <c r="J593" t="s">
        <v>1146</v>
      </c>
      <c r="K593" t="s">
        <v>73</v>
      </c>
      <c r="N593" t="s">
        <v>74</v>
      </c>
      <c r="O593" t="s">
        <v>75</v>
      </c>
      <c r="P593" t="s">
        <v>74</v>
      </c>
      <c r="Q593" t="s">
        <v>76</v>
      </c>
      <c r="R593" t="s">
        <v>73</v>
      </c>
      <c r="S593">
        <v>0</v>
      </c>
      <c r="W593" s="20">
        <v>1.6273148148148148E-2</v>
      </c>
      <c r="X593" t="s">
        <v>1547</v>
      </c>
      <c r="Y593">
        <v>7</v>
      </c>
      <c r="Z593">
        <v>0</v>
      </c>
      <c r="AA593" t="s">
        <v>78</v>
      </c>
      <c r="AB593">
        <v>0</v>
      </c>
      <c r="AC593" t="s">
        <v>78</v>
      </c>
      <c r="AD593">
        <v>0</v>
      </c>
      <c r="AE593">
        <v>10615085</v>
      </c>
      <c r="AF593" t="s">
        <v>79</v>
      </c>
      <c r="AG593" t="s">
        <v>1164</v>
      </c>
    </row>
    <row r="594" spans="1:33" x14ac:dyDescent="0.35">
      <c r="A594" s="18">
        <v>44492.714583333334</v>
      </c>
      <c r="B594">
        <v>3016857</v>
      </c>
      <c r="C594" t="s">
        <v>1548</v>
      </c>
      <c r="D594" t="s">
        <v>1265</v>
      </c>
      <c r="E594" s="19">
        <v>39600</v>
      </c>
      <c r="F594" t="str">
        <f>"9781593323615"</f>
        <v>9781593323615</v>
      </c>
      <c r="G594" t="str">
        <f>"9781593322670"</f>
        <v>9781593322670</v>
      </c>
      <c r="H594" t="s">
        <v>128</v>
      </c>
      <c r="I594">
        <v>363.33</v>
      </c>
      <c r="J594" t="s">
        <v>1549</v>
      </c>
      <c r="K594" t="s">
        <v>73</v>
      </c>
      <c r="N594" t="s">
        <v>74</v>
      </c>
      <c r="O594" t="s">
        <v>75</v>
      </c>
      <c r="P594" t="s">
        <v>230</v>
      </c>
      <c r="Q594" t="s">
        <v>76</v>
      </c>
      <c r="R594" t="s">
        <v>85</v>
      </c>
      <c r="S594">
        <v>0</v>
      </c>
      <c r="W594" s="20">
        <v>5.1504629629629635E-3</v>
      </c>
      <c r="X594" t="s">
        <v>1550</v>
      </c>
      <c r="Y594">
        <v>16</v>
      </c>
      <c r="Z594">
        <v>0</v>
      </c>
      <c r="AA594" t="s">
        <v>78</v>
      </c>
      <c r="AB594">
        <v>0</v>
      </c>
      <c r="AC594" t="s">
        <v>78</v>
      </c>
      <c r="AD594">
        <v>0</v>
      </c>
      <c r="AE594">
        <v>10256720</v>
      </c>
      <c r="AF594" t="s">
        <v>79</v>
      </c>
      <c r="AG594" t="s">
        <v>1164</v>
      </c>
    </row>
    <row r="595" spans="1:33" x14ac:dyDescent="0.35">
      <c r="A595" s="18">
        <v>44492.709722222222</v>
      </c>
      <c r="B595">
        <v>3019847</v>
      </c>
      <c r="C595" t="s">
        <v>1525</v>
      </c>
      <c r="D595" t="s">
        <v>226</v>
      </c>
      <c r="E595" s="19">
        <v>40118</v>
      </c>
      <c r="F595" t="str">
        <f>"9781613244463"</f>
        <v>9781613244463</v>
      </c>
      <c r="G595" t="str">
        <f>"9781606922262"</f>
        <v>9781606922262</v>
      </c>
      <c r="H595" t="s">
        <v>251</v>
      </c>
      <c r="I595" t="s">
        <v>1526</v>
      </c>
      <c r="J595" t="s">
        <v>1527</v>
      </c>
      <c r="K595" t="s">
        <v>73</v>
      </c>
      <c r="N595" t="s">
        <v>74</v>
      </c>
      <c r="O595" t="s">
        <v>75</v>
      </c>
      <c r="P595" t="s">
        <v>230</v>
      </c>
      <c r="Q595" t="s">
        <v>76</v>
      </c>
      <c r="R595" t="s">
        <v>85</v>
      </c>
      <c r="S595">
        <v>0</v>
      </c>
      <c r="W595" s="20">
        <v>1.4467592592592594E-3</v>
      </c>
      <c r="X595" t="s">
        <v>1551</v>
      </c>
      <c r="Y595">
        <v>10</v>
      </c>
      <c r="Z595">
        <v>0</v>
      </c>
      <c r="AA595" t="s">
        <v>78</v>
      </c>
      <c r="AB595">
        <v>0</v>
      </c>
      <c r="AC595" t="s">
        <v>78</v>
      </c>
      <c r="AD595">
        <v>0</v>
      </c>
      <c r="AE595">
        <v>10671412</v>
      </c>
      <c r="AF595" t="s">
        <v>79</v>
      </c>
      <c r="AG595" t="s">
        <v>1164</v>
      </c>
    </row>
    <row r="596" spans="1:33" x14ac:dyDescent="0.35">
      <c r="A596" s="18">
        <v>44492.697916666664</v>
      </c>
      <c r="B596">
        <v>4585271</v>
      </c>
      <c r="C596" t="s">
        <v>377</v>
      </c>
      <c r="D596" t="s">
        <v>70</v>
      </c>
      <c r="E596" s="19">
        <v>42583</v>
      </c>
      <c r="F596" t="str">
        <f>"9781119179597"</f>
        <v>9781119179597</v>
      </c>
      <c r="G596" t="str">
        <f>"9781119179573"</f>
        <v>9781119179573</v>
      </c>
      <c r="H596" t="s">
        <v>378</v>
      </c>
      <c r="I596">
        <v>658.4</v>
      </c>
      <c r="J596" t="s">
        <v>379</v>
      </c>
      <c r="K596" t="s">
        <v>73</v>
      </c>
      <c r="N596" t="s">
        <v>74</v>
      </c>
      <c r="O596" t="s">
        <v>75</v>
      </c>
      <c r="P596" t="s">
        <v>74</v>
      </c>
      <c r="Q596" t="s">
        <v>76</v>
      </c>
      <c r="R596" t="s">
        <v>73</v>
      </c>
      <c r="S596">
        <v>0</v>
      </c>
      <c r="W596" s="20">
        <v>2.6967592592592594E-3</v>
      </c>
      <c r="X596" t="s">
        <v>1552</v>
      </c>
      <c r="Y596">
        <v>16</v>
      </c>
      <c r="Z596">
        <v>0</v>
      </c>
      <c r="AA596" t="s">
        <v>78</v>
      </c>
      <c r="AB596">
        <v>0</v>
      </c>
      <c r="AC596" t="s">
        <v>78</v>
      </c>
      <c r="AD596">
        <v>0</v>
      </c>
      <c r="AE596">
        <v>11234254</v>
      </c>
      <c r="AF596" t="s">
        <v>79</v>
      </c>
      <c r="AG596" t="s">
        <v>1164</v>
      </c>
    </row>
    <row r="597" spans="1:33" x14ac:dyDescent="0.35">
      <c r="A597" s="18">
        <v>44492.681250000001</v>
      </c>
      <c r="B597">
        <v>3318673</v>
      </c>
      <c r="C597" t="s">
        <v>997</v>
      </c>
      <c r="D597" t="s">
        <v>998</v>
      </c>
      <c r="E597" s="19">
        <v>41302</v>
      </c>
      <c r="F597" t="str">
        <f>"9781421411118"</f>
        <v>9781421411118</v>
      </c>
      <c r="G597" t="str">
        <f>"9781421411101"</f>
        <v>9781421411101</v>
      </c>
      <c r="H597" t="s">
        <v>128</v>
      </c>
      <c r="I597">
        <v>363.33097299999997</v>
      </c>
      <c r="J597" t="s">
        <v>999</v>
      </c>
      <c r="K597" t="s">
        <v>73</v>
      </c>
      <c r="N597" t="s">
        <v>74</v>
      </c>
      <c r="O597" t="s">
        <v>75</v>
      </c>
      <c r="P597" t="s">
        <v>74</v>
      </c>
      <c r="Q597" t="s">
        <v>76</v>
      </c>
      <c r="R597" t="s">
        <v>73</v>
      </c>
      <c r="S597">
        <v>0</v>
      </c>
      <c r="W597" s="20">
        <v>2.3402777777777783E-2</v>
      </c>
      <c r="X597" t="s">
        <v>1553</v>
      </c>
      <c r="Y597">
        <v>14</v>
      </c>
      <c r="Z597">
        <v>0</v>
      </c>
      <c r="AA597" t="s">
        <v>78</v>
      </c>
      <c r="AB597">
        <v>0</v>
      </c>
      <c r="AC597" t="s">
        <v>78</v>
      </c>
      <c r="AD597">
        <v>0</v>
      </c>
      <c r="AE597">
        <v>10654392</v>
      </c>
      <c r="AF597" t="s">
        <v>79</v>
      </c>
      <c r="AG597" t="s">
        <v>1164</v>
      </c>
    </row>
    <row r="598" spans="1:33" x14ac:dyDescent="0.35">
      <c r="A598" s="18">
        <v>44492.67291666667</v>
      </c>
      <c r="B598">
        <v>848526</v>
      </c>
      <c r="C598" t="s">
        <v>1144</v>
      </c>
      <c r="D598" t="s">
        <v>70</v>
      </c>
      <c r="E598" s="19">
        <v>41212</v>
      </c>
      <c r="F598" t="str">
        <f>"9781118310069"</f>
        <v>9781118310069</v>
      </c>
      <c r="G598" t="str">
        <f>"9780470566671"</f>
        <v>9780470566671</v>
      </c>
      <c r="H598" t="s">
        <v>1145</v>
      </c>
      <c r="I598">
        <v>610.28</v>
      </c>
      <c r="J598" t="s">
        <v>1146</v>
      </c>
      <c r="K598" t="s">
        <v>73</v>
      </c>
      <c r="N598" t="s">
        <v>74</v>
      </c>
      <c r="O598" t="s">
        <v>75</v>
      </c>
      <c r="P598" t="s">
        <v>74</v>
      </c>
      <c r="Q598" t="s">
        <v>76</v>
      </c>
      <c r="R598" t="s">
        <v>73</v>
      </c>
      <c r="S598">
        <v>0</v>
      </c>
      <c r="W598" s="20">
        <v>2.8935185185185189E-4</v>
      </c>
      <c r="X598" t="s">
        <v>1554</v>
      </c>
      <c r="Y598">
        <v>5</v>
      </c>
      <c r="Z598">
        <v>0</v>
      </c>
      <c r="AA598" t="s">
        <v>78</v>
      </c>
      <c r="AB598">
        <v>0</v>
      </c>
      <c r="AC598" t="s">
        <v>78</v>
      </c>
      <c r="AD598">
        <v>0</v>
      </c>
      <c r="AE598">
        <v>10615085</v>
      </c>
      <c r="AF598" t="s">
        <v>79</v>
      </c>
      <c r="AG598" t="s">
        <v>1164</v>
      </c>
    </row>
    <row r="599" spans="1:33" x14ac:dyDescent="0.35">
      <c r="A599" s="18">
        <v>44492.630555555559</v>
      </c>
      <c r="B599">
        <v>6265601</v>
      </c>
      <c r="C599" t="s">
        <v>1555</v>
      </c>
      <c r="D599" t="s">
        <v>158</v>
      </c>
      <c r="E599" s="19">
        <v>44032</v>
      </c>
      <c r="F599" t="str">
        <f>"9780128226414"</f>
        <v>9780128226414</v>
      </c>
      <c r="G599" t="str">
        <f>"9780128196106"</f>
        <v>9780128196106</v>
      </c>
      <c r="H599" t="s">
        <v>71</v>
      </c>
      <c r="I599">
        <v>621.31244000000004</v>
      </c>
      <c r="J599" t="s">
        <v>1556</v>
      </c>
      <c r="K599" t="s">
        <v>85</v>
      </c>
      <c r="Q599" t="s">
        <v>76</v>
      </c>
      <c r="R599" t="s">
        <v>73</v>
      </c>
      <c r="S599">
        <v>0</v>
      </c>
      <c r="W599" s="20">
        <v>4.2013888888888891E-3</v>
      </c>
      <c r="X599" t="s">
        <v>1557</v>
      </c>
      <c r="Y599">
        <v>18</v>
      </c>
      <c r="Z599">
        <v>0</v>
      </c>
      <c r="AA599" t="s">
        <v>78</v>
      </c>
      <c r="AB599">
        <v>0</v>
      </c>
      <c r="AC599" t="s">
        <v>78</v>
      </c>
      <c r="AD599">
        <v>0</v>
      </c>
      <c r="AE599">
        <v>-1</v>
      </c>
      <c r="AF599" t="s">
        <v>79</v>
      </c>
      <c r="AG599" t="s">
        <v>1558</v>
      </c>
    </row>
    <row r="600" spans="1:33" x14ac:dyDescent="0.35">
      <c r="A600" s="18">
        <v>44492.625694444447</v>
      </c>
      <c r="B600">
        <v>848526</v>
      </c>
      <c r="C600" t="s">
        <v>1144</v>
      </c>
      <c r="D600" t="s">
        <v>70</v>
      </c>
      <c r="E600" s="19">
        <v>41212</v>
      </c>
      <c r="F600" t="str">
        <f>"9781118310069"</f>
        <v>9781118310069</v>
      </c>
      <c r="G600" t="str">
        <f>"9780470566671"</f>
        <v>9780470566671</v>
      </c>
      <c r="H600" t="s">
        <v>1145</v>
      </c>
      <c r="I600">
        <v>610.28</v>
      </c>
      <c r="J600" t="s">
        <v>1146</v>
      </c>
      <c r="K600" t="s">
        <v>73</v>
      </c>
      <c r="N600" t="s">
        <v>74</v>
      </c>
      <c r="O600" t="s">
        <v>75</v>
      </c>
      <c r="P600" t="s">
        <v>74</v>
      </c>
      <c r="Q600" t="s">
        <v>76</v>
      </c>
      <c r="R600" t="s">
        <v>73</v>
      </c>
      <c r="S600">
        <v>0</v>
      </c>
      <c r="W600" s="20">
        <v>6.782407407407408E-3</v>
      </c>
      <c r="X600" t="s">
        <v>1559</v>
      </c>
      <c r="Y600">
        <v>12</v>
      </c>
      <c r="Z600">
        <v>0</v>
      </c>
      <c r="AA600" t="s">
        <v>78</v>
      </c>
      <c r="AB600">
        <v>0</v>
      </c>
      <c r="AC600" t="s">
        <v>78</v>
      </c>
      <c r="AD600">
        <v>0</v>
      </c>
      <c r="AE600">
        <v>10615085</v>
      </c>
      <c r="AF600" t="s">
        <v>79</v>
      </c>
      <c r="AG600" t="s">
        <v>1164</v>
      </c>
    </row>
    <row r="601" spans="1:33" x14ac:dyDescent="0.35">
      <c r="A601" s="18">
        <v>44492.624305555553</v>
      </c>
      <c r="B601">
        <v>1204633</v>
      </c>
      <c r="C601" t="s">
        <v>1560</v>
      </c>
      <c r="D601" t="s">
        <v>70</v>
      </c>
      <c r="E601" s="19">
        <v>41512</v>
      </c>
      <c r="F601" t="str">
        <f>"9781118450444"</f>
        <v>9781118450444</v>
      </c>
      <c r="G601" t="str">
        <f>"9780470673768"</f>
        <v>9780470673768</v>
      </c>
      <c r="H601" t="s">
        <v>1561</v>
      </c>
      <c r="I601">
        <v>552.5</v>
      </c>
      <c r="J601" t="s">
        <v>1562</v>
      </c>
      <c r="K601" t="s">
        <v>73</v>
      </c>
      <c r="N601" t="s">
        <v>74</v>
      </c>
      <c r="O601" t="s">
        <v>75</v>
      </c>
      <c r="P601" t="s">
        <v>74</v>
      </c>
      <c r="Q601" t="s">
        <v>76</v>
      </c>
      <c r="R601" t="s">
        <v>73</v>
      </c>
      <c r="S601">
        <v>0</v>
      </c>
      <c r="W601" s="20">
        <v>5.3240740740740744E-4</v>
      </c>
      <c r="X601" t="s">
        <v>1563</v>
      </c>
      <c r="Y601">
        <v>5</v>
      </c>
      <c r="Z601">
        <v>0</v>
      </c>
      <c r="AA601" t="s">
        <v>78</v>
      </c>
      <c r="AB601">
        <v>0</v>
      </c>
      <c r="AC601" t="s">
        <v>78</v>
      </c>
      <c r="AD601">
        <v>0</v>
      </c>
      <c r="AE601">
        <v>10713576</v>
      </c>
      <c r="AF601" t="s">
        <v>79</v>
      </c>
      <c r="AG601" t="s">
        <v>1164</v>
      </c>
    </row>
    <row r="602" spans="1:33" x14ac:dyDescent="0.35">
      <c r="A602" s="18">
        <v>44492.520833333336</v>
      </c>
      <c r="B602">
        <v>848526</v>
      </c>
      <c r="C602" t="s">
        <v>1144</v>
      </c>
      <c r="D602" t="s">
        <v>70</v>
      </c>
      <c r="E602" s="19">
        <v>41212</v>
      </c>
      <c r="F602" t="str">
        <f>"9781118310069"</f>
        <v>9781118310069</v>
      </c>
      <c r="G602" t="str">
        <f>"9780470566671"</f>
        <v>9780470566671</v>
      </c>
      <c r="H602" t="s">
        <v>1145</v>
      </c>
      <c r="I602">
        <v>610.28</v>
      </c>
      <c r="J602" t="s">
        <v>1146</v>
      </c>
      <c r="K602" t="s">
        <v>73</v>
      </c>
      <c r="N602" t="s">
        <v>74</v>
      </c>
      <c r="O602" t="s">
        <v>75</v>
      </c>
      <c r="P602" t="s">
        <v>74</v>
      </c>
      <c r="Q602" t="s">
        <v>76</v>
      </c>
      <c r="R602" t="s">
        <v>73</v>
      </c>
      <c r="S602">
        <v>0</v>
      </c>
      <c r="W602" s="20">
        <v>2.9722222222222219E-2</v>
      </c>
      <c r="X602" t="s">
        <v>1564</v>
      </c>
      <c r="Y602">
        <v>9</v>
      </c>
      <c r="Z602">
        <v>0</v>
      </c>
      <c r="AA602" t="s">
        <v>78</v>
      </c>
      <c r="AB602">
        <v>0</v>
      </c>
      <c r="AC602" t="s">
        <v>78</v>
      </c>
      <c r="AD602">
        <v>0</v>
      </c>
      <c r="AE602">
        <v>10615085</v>
      </c>
      <c r="AF602" t="s">
        <v>79</v>
      </c>
      <c r="AG602" t="s">
        <v>1164</v>
      </c>
    </row>
    <row r="603" spans="1:33" x14ac:dyDescent="0.35">
      <c r="A603" s="18">
        <v>44492.501388888886</v>
      </c>
      <c r="B603">
        <v>3318673</v>
      </c>
      <c r="C603" t="s">
        <v>997</v>
      </c>
      <c r="D603" t="s">
        <v>998</v>
      </c>
      <c r="E603" s="19">
        <v>41302</v>
      </c>
      <c r="F603" t="str">
        <f>"9781421411118"</f>
        <v>9781421411118</v>
      </c>
      <c r="G603" t="str">
        <f>"9781421411101"</f>
        <v>9781421411101</v>
      </c>
      <c r="H603" t="s">
        <v>128</v>
      </c>
      <c r="I603">
        <v>363.33097299999997</v>
      </c>
      <c r="J603" t="s">
        <v>999</v>
      </c>
      <c r="K603" t="s">
        <v>73</v>
      </c>
      <c r="N603" t="s">
        <v>74</v>
      </c>
      <c r="O603" t="s">
        <v>75</v>
      </c>
      <c r="P603" t="s">
        <v>74</v>
      </c>
      <c r="Q603" t="s">
        <v>76</v>
      </c>
      <c r="R603" t="s">
        <v>73</v>
      </c>
      <c r="S603">
        <v>0</v>
      </c>
      <c r="W603" s="20">
        <v>2.8240740740740739E-3</v>
      </c>
      <c r="X603" t="s">
        <v>1565</v>
      </c>
      <c r="Y603">
        <v>8</v>
      </c>
      <c r="Z603">
        <v>0</v>
      </c>
      <c r="AA603" t="s">
        <v>78</v>
      </c>
      <c r="AB603">
        <v>0</v>
      </c>
      <c r="AC603" t="s">
        <v>78</v>
      </c>
      <c r="AD603">
        <v>0</v>
      </c>
      <c r="AE603">
        <v>10654392</v>
      </c>
      <c r="AF603" t="s">
        <v>79</v>
      </c>
      <c r="AG603" t="s">
        <v>1164</v>
      </c>
    </row>
    <row r="604" spans="1:33" x14ac:dyDescent="0.35">
      <c r="A604" s="18">
        <v>44492.387499999997</v>
      </c>
      <c r="B604">
        <v>765859</v>
      </c>
      <c r="C604" t="s">
        <v>1319</v>
      </c>
      <c r="D604" t="s">
        <v>189</v>
      </c>
      <c r="E604" s="19">
        <v>40710</v>
      </c>
      <c r="F604" t="str">
        <f>"9783110223408"</f>
        <v>9783110223408</v>
      </c>
      <c r="G604" t="str">
        <f>"9783110223392"</f>
        <v>9783110223392</v>
      </c>
      <c r="H604" t="s">
        <v>1320</v>
      </c>
      <c r="I604">
        <v>953.57</v>
      </c>
      <c r="J604" t="s">
        <v>1321</v>
      </c>
      <c r="K604" t="s">
        <v>73</v>
      </c>
      <c r="N604" t="s">
        <v>74</v>
      </c>
      <c r="O604" t="s">
        <v>75</v>
      </c>
      <c r="P604" t="s">
        <v>74</v>
      </c>
      <c r="Q604" t="s">
        <v>76</v>
      </c>
      <c r="R604" t="s">
        <v>73</v>
      </c>
      <c r="S604">
        <v>0</v>
      </c>
      <c r="W604" s="20">
        <v>5.4745370370370373E-3</v>
      </c>
      <c r="X604" t="s">
        <v>1566</v>
      </c>
      <c r="Y604">
        <v>7</v>
      </c>
      <c r="Z604">
        <v>0</v>
      </c>
      <c r="AA604" t="s">
        <v>78</v>
      </c>
      <c r="AB604">
        <v>0</v>
      </c>
      <c r="AC604" t="s">
        <v>78</v>
      </c>
      <c r="AD604">
        <v>0</v>
      </c>
      <c r="AE604">
        <v>10502351</v>
      </c>
      <c r="AF604" t="s">
        <v>79</v>
      </c>
      <c r="AG604" t="s">
        <v>1567</v>
      </c>
    </row>
    <row r="605" spans="1:33" x14ac:dyDescent="0.35">
      <c r="A605" s="18">
        <v>44492.379861111112</v>
      </c>
      <c r="B605">
        <v>1204633</v>
      </c>
      <c r="C605" t="s">
        <v>1560</v>
      </c>
      <c r="D605" t="s">
        <v>70</v>
      </c>
      <c r="E605" s="19">
        <v>41512</v>
      </c>
      <c r="F605" t="str">
        <f>"9781118450444"</f>
        <v>9781118450444</v>
      </c>
      <c r="G605" t="str">
        <f>"9780470673768"</f>
        <v>9780470673768</v>
      </c>
      <c r="H605" t="s">
        <v>1561</v>
      </c>
      <c r="I605">
        <v>552.5</v>
      </c>
      <c r="J605" t="s">
        <v>1562</v>
      </c>
      <c r="K605" t="s">
        <v>73</v>
      </c>
      <c r="N605" t="s">
        <v>74</v>
      </c>
      <c r="O605" t="s">
        <v>75</v>
      </c>
      <c r="P605" t="s">
        <v>74</v>
      </c>
      <c r="Q605" t="s">
        <v>76</v>
      </c>
      <c r="R605" t="s">
        <v>73</v>
      </c>
      <c r="S605">
        <v>0</v>
      </c>
      <c r="W605" s="20">
        <v>1.6782407407407406E-3</v>
      </c>
      <c r="X605" t="s">
        <v>1568</v>
      </c>
      <c r="Y605">
        <v>4</v>
      </c>
      <c r="Z605">
        <v>1</v>
      </c>
      <c r="AA605" t="s">
        <v>1569</v>
      </c>
      <c r="AB605">
        <v>28</v>
      </c>
      <c r="AC605" t="s">
        <v>78</v>
      </c>
      <c r="AD605">
        <v>0</v>
      </c>
      <c r="AE605">
        <v>10713576</v>
      </c>
      <c r="AF605" t="s">
        <v>79</v>
      </c>
      <c r="AG605" t="s">
        <v>1164</v>
      </c>
    </row>
    <row r="606" spans="1:33" x14ac:dyDescent="0.35">
      <c r="A606" s="18">
        <v>44492.05972222222</v>
      </c>
      <c r="B606">
        <v>3053470</v>
      </c>
      <c r="C606" t="s">
        <v>1570</v>
      </c>
      <c r="D606" t="s">
        <v>102</v>
      </c>
      <c r="E606" s="19">
        <v>38792</v>
      </c>
      <c r="F606" t="str">
        <f>"9780199744916"</f>
        <v>9780199744916</v>
      </c>
      <c r="G606" t="str">
        <f>"9780195170320"</f>
        <v>9780195170320</v>
      </c>
      <c r="H606" t="s">
        <v>222</v>
      </c>
      <c r="I606">
        <v>617.48</v>
      </c>
      <c r="J606" t="s">
        <v>1571</v>
      </c>
      <c r="K606" t="s">
        <v>73</v>
      </c>
      <c r="N606" t="s">
        <v>74</v>
      </c>
      <c r="O606" t="s">
        <v>75</v>
      </c>
      <c r="P606" t="s">
        <v>74</v>
      </c>
      <c r="Q606" t="s">
        <v>76</v>
      </c>
      <c r="R606" t="s">
        <v>73</v>
      </c>
      <c r="S606">
        <v>2</v>
      </c>
      <c r="W606" s="20">
        <v>2.8935185185185188E-3</v>
      </c>
      <c r="X606" t="s">
        <v>1572</v>
      </c>
      <c r="Y606">
        <v>10</v>
      </c>
      <c r="Z606">
        <v>0</v>
      </c>
      <c r="AA606" t="s">
        <v>78</v>
      </c>
      <c r="AB606">
        <v>0</v>
      </c>
      <c r="AC606" t="s">
        <v>78</v>
      </c>
      <c r="AD606">
        <v>0</v>
      </c>
      <c r="AE606">
        <v>10317767</v>
      </c>
      <c r="AF606" t="s">
        <v>88</v>
      </c>
      <c r="AG606" t="s">
        <v>1573</v>
      </c>
    </row>
    <row r="607" spans="1:33" x14ac:dyDescent="0.35">
      <c r="A607" s="18">
        <v>44491.993055555555</v>
      </c>
      <c r="B607">
        <v>848526</v>
      </c>
      <c r="C607" t="s">
        <v>1144</v>
      </c>
      <c r="D607" t="s">
        <v>70</v>
      </c>
      <c r="E607" s="19">
        <v>41212</v>
      </c>
      <c r="F607" t="str">
        <f>"9781118310069"</f>
        <v>9781118310069</v>
      </c>
      <c r="G607" t="str">
        <f>"9780470566671"</f>
        <v>9780470566671</v>
      </c>
      <c r="H607" t="s">
        <v>1145</v>
      </c>
      <c r="I607">
        <v>610.28</v>
      </c>
      <c r="J607" t="s">
        <v>1146</v>
      </c>
      <c r="K607" t="s">
        <v>73</v>
      </c>
      <c r="N607" t="s">
        <v>74</v>
      </c>
      <c r="O607" t="s">
        <v>75</v>
      </c>
      <c r="P607" t="s">
        <v>74</v>
      </c>
      <c r="Q607" t="s">
        <v>76</v>
      </c>
      <c r="R607" t="s">
        <v>73</v>
      </c>
      <c r="S607">
        <v>1</v>
      </c>
      <c r="W607" s="20">
        <v>0</v>
      </c>
      <c r="X607" t="s">
        <v>78</v>
      </c>
      <c r="Y607">
        <v>0</v>
      </c>
      <c r="Z607">
        <v>0</v>
      </c>
      <c r="AA607" t="s">
        <v>78</v>
      </c>
      <c r="AB607">
        <v>0</v>
      </c>
      <c r="AC607" t="s">
        <v>78</v>
      </c>
      <c r="AD607">
        <v>0</v>
      </c>
      <c r="AE607">
        <v>10615085</v>
      </c>
      <c r="AF607" t="s">
        <v>88</v>
      </c>
      <c r="AG607" t="s">
        <v>952</v>
      </c>
    </row>
    <row r="608" spans="1:33" x14ac:dyDescent="0.35">
      <c r="A608" s="18">
        <v>44491.979166666664</v>
      </c>
      <c r="B608">
        <v>3318673</v>
      </c>
      <c r="C608" t="s">
        <v>997</v>
      </c>
      <c r="D608" t="s">
        <v>998</v>
      </c>
      <c r="E608" s="19">
        <v>41302</v>
      </c>
      <c r="F608" t="str">
        <f>"9781421411118"</f>
        <v>9781421411118</v>
      </c>
      <c r="G608" t="str">
        <f>"9781421411101"</f>
        <v>9781421411101</v>
      </c>
      <c r="H608" t="s">
        <v>128</v>
      </c>
      <c r="I608">
        <v>363.33097299999997</v>
      </c>
      <c r="J608" t="s">
        <v>999</v>
      </c>
      <c r="K608" t="s">
        <v>73</v>
      </c>
      <c r="N608" t="s">
        <v>74</v>
      </c>
      <c r="O608" t="s">
        <v>75</v>
      </c>
      <c r="P608" t="s">
        <v>74</v>
      </c>
      <c r="Q608" t="s">
        <v>76</v>
      </c>
      <c r="R608" t="s">
        <v>73</v>
      </c>
      <c r="S608">
        <v>0</v>
      </c>
      <c r="W608" s="20">
        <v>3.1828703703703702E-3</v>
      </c>
      <c r="X608" t="s">
        <v>1574</v>
      </c>
      <c r="Y608">
        <v>18</v>
      </c>
      <c r="Z608">
        <v>0</v>
      </c>
      <c r="AA608" t="s">
        <v>78</v>
      </c>
      <c r="AB608">
        <v>0</v>
      </c>
      <c r="AC608" t="s">
        <v>78</v>
      </c>
      <c r="AD608">
        <v>0</v>
      </c>
      <c r="AE608">
        <v>10654392</v>
      </c>
      <c r="AF608" t="s">
        <v>79</v>
      </c>
      <c r="AG608" t="s">
        <v>1164</v>
      </c>
    </row>
    <row r="609" spans="1:33" x14ac:dyDescent="0.35">
      <c r="A609" s="18">
        <v>44491.977777777778</v>
      </c>
      <c r="B609">
        <v>241408</v>
      </c>
      <c r="C609" t="s">
        <v>1536</v>
      </c>
      <c r="D609" t="s">
        <v>102</v>
      </c>
      <c r="E609" s="19">
        <v>36825</v>
      </c>
      <c r="F609" t="str">
        <f>"9781602564251"</f>
        <v>9781602564251</v>
      </c>
      <c r="G609" t="str">
        <f>"9780195137934"</f>
        <v>9780195137934</v>
      </c>
      <c r="H609" t="s">
        <v>128</v>
      </c>
      <c r="I609" t="s">
        <v>1537</v>
      </c>
      <c r="J609" t="s">
        <v>1538</v>
      </c>
      <c r="K609" t="s">
        <v>73</v>
      </c>
      <c r="N609" t="s">
        <v>74</v>
      </c>
      <c r="O609" t="s">
        <v>75</v>
      </c>
      <c r="P609" t="s">
        <v>74</v>
      </c>
      <c r="Q609" t="s">
        <v>76</v>
      </c>
      <c r="R609" t="s">
        <v>73</v>
      </c>
      <c r="S609">
        <v>0</v>
      </c>
      <c r="W609" s="20">
        <v>7.6388888888888893E-4</v>
      </c>
      <c r="X609" t="s">
        <v>1575</v>
      </c>
      <c r="Y609">
        <v>6</v>
      </c>
      <c r="Z609">
        <v>0</v>
      </c>
      <c r="AA609" t="s">
        <v>78</v>
      </c>
      <c r="AB609">
        <v>0</v>
      </c>
      <c r="AC609" t="s">
        <v>78</v>
      </c>
      <c r="AD609">
        <v>0</v>
      </c>
      <c r="AE609">
        <v>10084856</v>
      </c>
      <c r="AF609" t="s">
        <v>79</v>
      </c>
      <c r="AG609" t="s">
        <v>1164</v>
      </c>
    </row>
    <row r="610" spans="1:33" x14ac:dyDescent="0.35">
      <c r="A610" s="18">
        <v>44491.946527777778</v>
      </c>
      <c r="B610">
        <v>4558133</v>
      </c>
      <c r="C610" t="s">
        <v>1576</v>
      </c>
      <c r="D610" t="s">
        <v>70</v>
      </c>
      <c r="E610" s="19">
        <v>42626</v>
      </c>
      <c r="F610" t="str">
        <f>"9783527693085"</f>
        <v>9783527693085</v>
      </c>
      <c r="G610" t="str">
        <f>"9783527338740"</f>
        <v>9783527338740</v>
      </c>
      <c r="H610" t="s">
        <v>848</v>
      </c>
      <c r="I610">
        <v>547.04999999999995</v>
      </c>
      <c r="J610" t="s">
        <v>1577</v>
      </c>
      <c r="K610" t="s">
        <v>73</v>
      </c>
      <c r="N610" t="s">
        <v>74</v>
      </c>
      <c r="O610" t="s">
        <v>75</v>
      </c>
      <c r="P610" t="s">
        <v>74</v>
      </c>
      <c r="Q610" t="s">
        <v>76</v>
      </c>
      <c r="R610" t="s">
        <v>73</v>
      </c>
      <c r="S610">
        <v>0</v>
      </c>
      <c r="W610" s="20">
        <v>5.5092592592592589E-3</v>
      </c>
      <c r="X610" t="s">
        <v>1578</v>
      </c>
      <c r="Y610">
        <v>9</v>
      </c>
      <c r="Z610">
        <v>0</v>
      </c>
      <c r="AA610" t="s">
        <v>78</v>
      </c>
      <c r="AB610">
        <v>0</v>
      </c>
      <c r="AC610" t="s">
        <v>78</v>
      </c>
      <c r="AD610">
        <v>0</v>
      </c>
      <c r="AE610">
        <v>11223897</v>
      </c>
      <c r="AF610" t="s">
        <v>79</v>
      </c>
      <c r="AG610" t="s">
        <v>1579</v>
      </c>
    </row>
    <row r="611" spans="1:33" x14ac:dyDescent="0.35">
      <c r="A611" s="18">
        <v>44491.938888888886</v>
      </c>
      <c r="B611">
        <v>4585271</v>
      </c>
      <c r="C611" t="s">
        <v>377</v>
      </c>
      <c r="D611" t="s">
        <v>70</v>
      </c>
      <c r="E611" s="19">
        <v>42583</v>
      </c>
      <c r="F611" t="str">
        <f>"9781119179597"</f>
        <v>9781119179597</v>
      </c>
      <c r="G611" t="str">
        <f>"9781119179573"</f>
        <v>9781119179573</v>
      </c>
      <c r="H611" t="s">
        <v>378</v>
      </c>
      <c r="I611">
        <v>658.4</v>
      </c>
      <c r="J611" t="s">
        <v>379</v>
      </c>
      <c r="K611" t="s">
        <v>73</v>
      </c>
      <c r="N611" t="s">
        <v>74</v>
      </c>
      <c r="O611" t="s">
        <v>75</v>
      </c>
      <c r="P611" t="s">
        <v>74</v>
      </c>
      <c r="Q611" t="s">
        <v>76</v>
      </c>
      <c r="R611" t="s">
        <v>73</v>
      </c>
      <c r="S611">
        <v>0</v>
      </c>
      <c r="W611" s="20">
        <v>6.030092592592593E-3</v>
      </c>
      <c r="X611" t="s">
        <v>1580</v>
      </c>
      <c r="Y611">
        <v>45</v>
      </c>
      <c r="Z611">
        <v>0</v>
      </c>
      <c r="AA611" t="s">
        <v>78</v>
      </c>
      <c r="AB611">
        <v>0</v>
      </c>
      <c r="AC611" t="s">
        <v>78</v>
      </c>
      <c r="AD611">
        <v>0</v>
      </c>
      <c r="AE611">
        <v>11234254</v>
      </c>
      <c r="AF611" t="s">
        <v>79</v>
      </c>
      <c r="AG611" t="s">
        <v>1164</v>
      </c>
    </row>
    <row r="612" spans="1:33" x14ac:dyDescent="0.35">
      <c r="A612" s="18">
        <v>44491.919444444444</v>
      </c>
      <c r="B612">
        <v>3138682</v>
      </c>
      <c r="C612" t="s">
        <v>1581</v>
      </c>
      <c r="D612" t="s">
        <v>1582</v>
      </c>
      <c r="E612" s="19">
        <v>41991</v>
      </c>
      <c r="F612" t="str">
        <f>"9780801454691"</f>
        <v>9780801454691</v>
      </c>
      <c r="G612" t="str">
        <f>"9780801453366"</f>
        <v>9780801453366</v>
      </c>
      <c r="H612" t="s">
        <v>1583</v>
      </c>
      <c r="I612">
        <v>330.95357000000001</v>
      </c>
      <c r="J612" t="s">
        <v>1584</v>
      </c>
      <c r="K612" t="s">
        <v>73</v>
      </c>
      <c r="N612" t="s">
        <v>74</v>
      </c>
      <c r="O612" t="s">
        <v>75</v>
      </c>
      <c r="P612" t="s">
        <v>230</v>
      </c>
      <c r="Q612" t="s">
        <v>76</v>
      </c>
      <c r="R612" t="s">
        <v>85</v>
      </c>
      <c r="S612">
        <v>0</v>
      </c>
      <c r="W612" s="20">
        <v>7.175925925925927E-4</v>
      </c>
      <c r="X612" t="s">
        <v>1585</v>
      </c>
      <c r="Y612">
        <v>10</v>
      </c>
      <c r="Z612">
        <v>0</v>
      </c>
      <c r="AA612" t="s">
        <v>78</v>
      </c>
      <c r="AB612">
        <v>0</v>
      </c>
      <c r="AC612" t="s">
        <v>78</v>
      </c>
      <c r="AD612">
        <v>0</v>
      </c>
      <c r="AE612">
        <v>10993838</v>
      </c>
      <c r="AF612" t="s">
        <v>79</v>
      </c>
      <c r="AG612" t="s">
        <v>1567</v>
      </c>
    </row>
    <row r="613" spans="1:33" x14ac:dyDescent="0.35">
      <c r="A613" s="18">
        <v>44491.878472222219</v>
      </c>
      <c r="B613">
        <v>3019847</v>
      </c>
      <c r="C613" t="s">
        <v>1525</v>
      </c>
      <c r="D613" t="s">
        <v>226</v>
      </c>
      <c r="E613" s="19">
        <v>40118</v>
      </c>
      <c r="F613" t="str">
        <f>"9781613244463"</f>
        <v>9781613244463</v>
      </c>
      <c r="G613" t="str">
        <f>"9781606922262"</f>
        <v>9781606922262</v>
      </c>
      <c r="H613" t="s">
        <v>251</v>
      </c>
      <c r="I613" t="s">
        <v>1526</v>
      </c>
      <c r="J613" t="s">
        <v>1527</v>
      </c>
      <c r="K613" t="s">
        <v>73</v>
      </c>
      <c r="N613" t="s">
        <v>74</v>
      </c>
      <c r="O613" t="s">
        <v>75</v>
      </c>
      <c r="P613" t="s">
        <v>230</v>
      </c>
      <c r="Q613" t="s">
        <v>76</v>
      </c>
      <c r="R613" t="s">
        <v>85</v>
      </c>
      <c r="S613">
        <v>0</v>
      </c>
      <c r="W613" s="20">
        <v>2.7777777777777778E-4</v>
      </c>
      <c r="X613" t="s">
        <v>1586</v>
      </c>
      <c r="Y613">
        <v>5</v>
      </c>
      <c r="Z613">
        <v>0</v>
      </c>
      <c r="AA613" t="s">
        <v>78</v>
      </c>
      <c r="AB613">
        <v>0</v>
      </c>
      <c r="AC613" t="s">
        <v>78</v>
      </c>
      <c r="AD613">
        <v>0</v>
      </c>
      <c r="AE613">
        <v>10671412</v>
      </c>
      <c r="AF613" t="s">
        <v>79</v>
      </c>
      <c r="AG613" t="s">
        <v>1164</v>
      </c>
    </row>
    <row r="614" spans="1:33" x14ac:dyDescent="0.35">
      <c r="A614" s="18">
        <v>44491.840277777781</v>
      </c>
      <c r="B614">
        <v>5806449</v>
      </c>
      <c r="C614" t="s">
        <v>1587</v>
      </c>
      <c r="D614" t="s">
        <v>70</v>
      </c>
      <c r="E614" s="19">
        <v>43781</v>
      </c>
      <c r="F614" t="str">
        <f>"9781119119586"</f>
        <v>9781119119586</v>
      </c>
      <c r="G614" t="str">
        <f>"9781119119548"</f>
        <v>9781119119548</v>
      </c>
      <c r="H614" t="s">
        <v>1208</v>
      </c>
      <c r="I614">
        <v>629.79999999999995</v>
      </c>
      <c r="J614" t="s">
        <v>1588</v>
      </c>
      <c r="K614" t="s">
        <v>85</v>
      </c>
      <c r="Q614" t="s">
        <v>76</v>
      </c>
      <c r="R614" t="s">
        <v>73</v>
      </c>
      <c r="S614">
        <v>0</v>
      </c>
      <c r="W614" s="20">
        <v>3.8194444444444443E-3</v>
      </c>
      <c r="X614" t="s">
        <v>1589</v>
      </c>
      <c r="Y614">
        <v>21</v>
      </c>
      <c r="Z614">
        <v>0</v>
      </c>
      <c r="AA614" t="s">
        <v>78</v>
      </c>
      <c r="AB614">
        <v>0</v>
      </c>
      <c r="AC614" t="s">
        <v>78</v>
      </c>
      <c r="AD614">
        <v>0</v>
      </c>
      <c r="AE614">
        <v>-1</v>
      </c>
      <c r="AF614" t="s">
        <v>88</v>
      </c>
      <c r="AG614" t="s">
        <v>1164</v>
      </c>
    </row>
    <row r="615" spans="1:33" x14ac:dyDescent="0.35">
      <c r="A615" s="18">
        <v>44491.73541666667</v>
      </c>
      <c r="B615">
        <v>848526</v>
      </c>
      <c r="C615" t="s">
        <v>1144</v>
      </c>
      <c r="D615" t="s">
        <v>70</v>
      </c>
      <c r="E615" s="19">
        <v>41212</v>
      </c>
      <c r="F615" t="str">
        <f>"9781118310069"</f>
        <v>9781118310069</v>
      </c>
      <c r="G615" t="str">
        <f>"9780470566671"</f>
        <v>9780470566671</v>
      </c>
      <c r="H615" t="s">
        <v>1145</v>
      </c>
      <c r="I615">
        <v>610.28</v>
      </c>
      <c r="J615" t="s">
        <v>1146</v>
      </c>
      <c r="K615" t="s">
        <v>73</v>
      </c>
      <c r="N615" t="s">
        <v>74</v>
      </c>
      <c r="O615" t="s">
        <v>75</v>
      </c>
      <c r="P615" t="s">
        <v>74</v>
      </c>
      <c r="Q615" t="s">
        <v>76</v>
      </c>
      <c r="R615" t="s">
        <v>73</v>
      </c>
      <c r="S615">
        <v>0</v>
      </c>
      <c r="W615" s="20">
        <v>9.3055555555555548E-3</v>
      </c>
      <c r="X615" t="s">
        <v>1590</v>
      </c>
      <c r="Y615">
        <v>18</v>
      </c>
      <c r="Z615">
        <v>0</v>
      </c>
      <c r="AA615" t="s">
        <v>78</v>
      </c>
      <c r="AB615">
        <v>0</v>
      </c>
      <c r="AC615" t="s">
        <v>78</v>
      </c>
      <c r="AD615">
        <v>0</v>
      </c>
      <c r="AE615">
        <v>10615085</v>
      </c>
      <c r="AF615" t="s">
        <v>79</v>
      </c>
      <c r="AG615" t="s">
        <v>1164</v>
      </c>
    </row>
    <row r="616" spans="1:33" x14ac:dyDescent="0.35">
      <c r="A616" s="18">
        <v>44491.648611111108</v>
      </c>
      <c r="B616">
        <v>1214580</v>
      </c>
      <c r="C616" t="s">
        <v>1528</v>
      </c>
      <c r="D616" t="s">
        <v>209</v>
      </c>
      <c r="E616" s="19">
        <v>40238</v>
      </c>
      <c r="F616" t="str">
        <f>"9780739140611"</f>
        <v>9780739140611</v>
      </c>
      <c r="G616" t="str">
        <f>"9780739140598"</f>
        <v>9780739140598</v>
      </c>
      <c r="H616" t="s">
        <v>492</v>
      </c>
      <c r="I616">
        <v>305.56200000000001</v>
      </c>
      <c r="J616" t="s">
        <v>1529</v>
      </c>
      <c r="K616" t="s">
        <v>73</v>
      </c>
      <c r="N616" t="s">
        <v>74</v>
      </c>
      <c r="O616" t="s">
        <v>75</v>
      </c>
      <c r="P616" t="s">
        <v>74</v>
      </c>
      <c r="Q616" t="s">
        <v>76</v>
      </c>
      <c r="R616" t="s">
        <v>73</v>
      </c>
      <c r="S616">
        <v>0</v>
      </c>
      <c r="W616" s="20">
        <v>3.4722222222222222E-5</v>
      </c>
      <c r="X616" t="s">
        <v>132</v>
      </c>
      <c r="Y616">
        <v>1</v>
      </c>
      <c r="Z616">
        <v>0</v>
      </c>
      <c r="AA616" t="s">
        <v>78</v>
      </c>
      <c r="AB616">
        <v>0</v>
      </c>
      <c r="AC616" t="s">
        <v>78</v>
      </c>
      <c r="AD616">
        <v>0</v>
      </c>
      <c r="AE616">
        <v>10716600</v>
      </c>
      <c r="AF616" t="s">
        <v>79</v>
      </c>
      <c r="AG616" t="s">
        <v>1164</v>
      </c>
    </row>
    <row r="617" spans="1:33" x14ac:dyDescent="0.35">
      <c r="A617" s="18">
        <v>44491.602083333331</v>
      </c>
      <c r="B617">
        <v>1214580</v>
      </c>
      <c r="C617" t="s">
        <v>1528</v>
      </c>
      <c r="D617" t="s">
        <v>209</v>
      </c>
      <c r="E617" s="19">
        <v>40238</v>
      </c>
      <c r="F617" t="str">
        <f>"9780739140611"</f>
        <v>9780739140611</v>
      </c>
      <c r="G617" t="str">
        <f>"9780739140598"</f>
        <v>9780739140598</v>
      </c>
      <c r="H617" t="s">
        <v>492</v>
      </c>
      <c r="I617">
        <v>305.56200000000001</v>
      </c>
      <c r="J617" t="s">
        <v>1529</v>
      </c>
      <c r="K617" t="s">
        <v>73</v>
      </c>
      <c r="N617" t="s">
        <v>74</v>
      </c>
      <c r="O617" t="s">
        <v>75</v>
      </c>
      <c r="P617" t="s">
        <v>74</v>
      </c>
      <c r="Q617" t="s">
        <v>76</v>
      </c>
      <c r="R617" t="s">
        <v>73</v>
      </c>
      <c r="S617">
        <v>0</v>
      </c>
      <c r="W617" s="20">
        <v>1.6562500000000001E-2</v>
      </c>
      <c r="X617" t="s">
        <v>1591</v>
      </c>
      <c r="Y617">
        <v>40</v>
      </c>
      <c r="Z617">
        <v>1</v>
      </c>
      <c r="AA617" t="s">
        <v>132</v>
      </c>
      <c r="AB617">
        <v>1</v>
      </c>
      <c r="AC617" t="s">
        <v>78</v>
      </c>
      <c r="AD617">
        <v>0</v>
      </c>
      <c r="AE617">
        <v>10716600</v>
      </c>
      <c r="AF617" t="s">
        <v>79</v>
      </c>
      <c r="AG617" t="s">
        <v>1164</v>
      </c>
    </row>
    <row r="618" spans="1:33" x14ac:dyDescent="0.35">
      <c r="A618" s="18">
        <v>44491.473611111112</v>
      </c>
      <c r="B618">
        <v>5806449</v>
      </c>
      <c r="C618" t="s">
        <v>1587</v>
      </c>
      <c r="D618" t="s">
        <v>70</v>
      </c>
      <c r="E618" s="19">
        <v>43781</v>
      </c>
      <c r="F618" t="str">
        <f>"9781119119586"</f>
        <v>9781119119586</v>
      </c>
      <c r="G618" t="str">
        <f>"9781119119548"</f>
        <v>9781119119548</v>
      </c>
      <c r="H618" t="s">
        <v>1208</v>
      </c>
      <c r="I618">
        <v>629.79999999999995</v>
      </c>
      <c r="J618" t="s">
        <v>1588</v>
      </c>
      <c r="K618" t="s">
        <v>85</v>
      </c>
      <c r="Q618" t="s">
        <v>76</v>
      </c>
      <c r="R618" t="s">
        <v>73</v>
      </c>
      <c r="S618">
        <v>0</v>
      </c>
      <c r="W618" s="20">
        <v>6.4814814814814813E-4</v>
      </c>
      <c r="X618" t="s">
        <v>1592</v>
      </c>
      <c r="Y618">
        <v>9</v>
      </c>
      <c r="Z618">
        <v>0</v>
      </c>
      <c r="AA618" t="s">
        <v>78</v>
      </c>
      <c r="AB618">
        <v>0</v>
      </c>
      <c r="AC618" t="s">
        <v>78</v>
      </c>
      <c r="AD618">
        <v>0</v>
      </c>
      <c r="AE618">
        <v>-1</v>
      </c>
      <c r="AF618" t="s">
        <v>88</v>
      </c>
      <c r="AG618" t="s">
        <v>1164</v>
      </c>
    </row>
    <row r="619" spans="1:33" x14ac:dyDescent="0.35">
      <c r="A619" s="18">
        <v>44491.455555555556</v>
      </c>
      <c r="B619">
        <v>667907</v>
      </c>
      <c r="C619" t="s">
        <v>1593</v>
      </c>
      <c r="D619" t="s">
        <v>127</v>
      </c>
      <c r="E619" s="19">
        <v>40513</v>
      </c>
      <c r="F619" t="str">
        <f>"9780203890400"</f>
        <v>9780203890400</v>
      </c>
      <c r="G619" t="str">
        <f>"9780415994644"</f>
        <v>9780415994644</v>
      </c>
      <c r="H619" t="s">
        <v>662</v>
      </c>
      <c r="I619">
        <v>175</v>
      </c>
      <c r="J619" t="s">
        <v>1594</v>
      </c>
      <c r="K619" t="s">
        <v>73</v>
      </c>
      <c r="N619" t="s">
        <v>74</v>
      </c>
      <c r="O619" t="s">
        <v>75</v>
      </c>
      <c r="P619" t="s">
        <v>74</v>
      </c>
      <c r="Q619" t="s">
        <v>76</v>
      </c>
      <c r="R619" t="s">
        <v>73</v>
      </c>
      <c r="S619">
        <v>0</v>
      </c>
      <c r="W619" s="20">
        <v>3.1249999999999997E-3</v>
      </c>
      <c r="X619" t="s">
        <v>1595</v>
      </c>
      <c r="Y619">
        <v>12</v>
      </c>
      <c r="Z619">
        <v>0</v>
      </c>
      <c r="AA619" t="s">
        <v>78</v>
      </c>
      <c r="AB619">
        <v>0</v>
      </c>
      <c r="AC619" t="s">
        <v>78</v>
      </c>
      <c r="AD619">
        <v>0</v>
      </c>
      <c r="AE619">
        <v>11165084</v>
      </c>
      <c r="AF619" t="s">
        <v>79</v>
      </c>
      <c r="AG619" t="s">
        <v>1164</v>
      </c>
    </row>
    <row r="620" spans="1:33" x14ac:dyDescent="0.35">
      <c r="A620" s="18">
        <v>44491.448611111111</v>
      </c>
      <c r="B620">
        <v>5504961</v>
      </c>
      <c r="C620" t="s">
        <v>1596</v>
      </c>
      <c r="D620" t="s">
        <v>369</v>
      </c>
      <c r="E620" s="19">
        <v>43355</v>
      </c>
      <c r="F620" t="str">
        <f>"9783319774893"</f>
        <v>9783319774893</v>
      </c>
      <c r="G620" t="str">
        <f>"9783319774886"</f>
        <v>9783319774886</v>
      </c>
      <c r="H620" t="s">
        <v>1597</v>
      </c>
      <c r="I620">
        <v>629.79999999999995</v>
      </c>
      <c r="J620" t="s">
        <v>1598</v>
      </c>
      <c r="K620" t="s">
        <v>85</v>
      </c>
      <c r="N620" t="s">
        <v>86</v>
      </c>
      <c r="P620" t="s">
        <v>297</v>
      </c>
      <c r="Q620" t="s">
        <v>76</v>
      </c>
      <c r="R620" t="s">
        <v>73</v>
      </c>
      <c r="S620">
        <v>1</v>
      </c>
      <c r="T620">
        <v>1</v>
      </c>
      <c r="U620" s="18">
        <v>44491.448611111111</v>
      </c>
      <c r="V620" s="18">
        <v>44492.448611111111</v>
      </c>
      <c r="W620" s="20">
        <v>2.2881944444444444E-2</v>
      </c>
      <c r="X620" t="s">
        <v>1599</v>
      </c>
      <c r="Y620">
        <v>124</v>
      </c>
      <c r="Z620">
        <v>0</v>
      </c>
      <c r="AA620" t="s">
        <v>78</v>
      </c>
      <c r="AB620">
        <v>0</v>
      </c>
      <c r="AC620" t="s">
        <v>78</v>
      </c>
      <c r="AD620">
        <v>0</v>
      </c>
      <c r="AE620">
        <v>11604663</v>
      </c>
      <c r="AF620" t="s">
        <v>88</v>
      </c>
      <c r="AG620" t="s">
        <v>1164</v>
      </c>
    </row>
    <row r="621" spans="1:33" x14ac:dyDescent="0.35">
      <c r="A621" s="18">
        <v>44491.390972222223</v>
      </c>
      <c r="B621">
        <v>4585271</v>
      </c>
      <c r="C621" t="s">
        <v>377</v>
      </c>
      <c r="D621" t="s">
        <v>70</v>
      </c>
      <c r="E621" s="19">
        <v>42583</v>
      </c>
      <c r="F621" t="str">
        <f>"9781119179597"</f>
        <v>9781119179597</v>
      </c>
      <c r="G621" t="str">
        <f>"9781119179573"</f>
        <v>9781119179573</v>
      </c>
      <c r="H621" t="s">
        <v>378</v>
      </c>
      <c r="I621">
        <v>658.4</v>
      </c>
      <c r="J621" t="s">
        <v>379</v>
      </c>
      <c r="K621" t="s">
        <v>73</v>
      </c>
      <c r="N621" t="s">
        <v>74</v>
      </c>
      <c r="O621" t="s">
        <v>75</v>
      </c>
      <c r="P621" t="s">
        <v>74</v>
      </c>
      <c r="Q621" t="s">
        <v>76</v>
      </c>
      <c r="R621" t="s">
        <v>73</v>
      </c>
      <c r="S621">
        <v>0</v>
      </c>
      <c r="W621" s="20">
        <v>1.6354166666666666E-2</v>
      </c>
      <c r="X621" t="s">
        <v>1600</v>
      </c>
      <c r="Y621">
        <v>28</v>
      </c>
      <c r="Z621">
        <v>0</v>
      </c>
      <c r="AA621" t="s">
        <v>78</v>
      </c>
      <c r="AB621">
        <v>0</v>
      </c>
      <c r="AC621" t="s">
        <v>1601</v>
      </c>
      <c r="AD621">
        <v>2</v>
      </c>
      <c r="AE621">
        <v>11234254</v>
      </c>
      <c r="AF621" t="s">
        <v>79</v>
      </c>
      <c r="AG621" t="s">
        <v>1164</v>
      </c>
    </row>
    <row r="622" spans="1:33" x14ac:dyDescent="0.35">
      <c r="A622" s="18">
        <v>44490.925694444442</v>
      </c>
      <c r="B622">
        <v>1051846</v>
      </c>
      <c r="C622" t="s">
        <v>1602</v>
      </c>
      <c r="D622" t="s">
        <v>506</v>
      </c>
      <c r="E622" s="19">
        <v>38995</v>
      </c>
      <c r="F622" t="str">
        <f>"9789047418573"</f>
        <v>9789047418573</v>
      </c>
      <c r="G622" t="str">
        <f>"9789004243408"</f>
        <v>9789004243408</v>
      </c>
      <c r="H622" t="s">
        <v>756</v>
      </c>
      <c r="I622">
        <v>955.02599999999995</v>
      </c>
      <c r="J622" t="s">
        <v>1603</v>
      </c>
      <c r="K622" t="s">
        <v>73</v>
      </c>
      <c r="N622" t="s">
        <v>74</v>
      </c>
      <c r="O622" t="s">
        <v>75</v>
      </c>
      <c r="P622" t="s">
        <v>74</v>
      </c>
      <c r="Q622" t="s">
        <v>76</v>
      </c>
      <c r="R622" t="s">
        <v>73</v>
      </c>
      <c r="S622">
        <v>0</v>
      </c>
      <c r="W622" s="20">
        <v>5.7870370370370366E-5</v>
      </c>
      <c r="X622" t="s">
        <v>132</v>
      </c>
      <c r="Y622">
        <v>1</v>
      </c>
      <c r="Z622">
        <v>0</v>
      </c>
      <c r="AA622" t="s">
        <v>78</v>
      </c>
      <c r="AB622">
        <v>0</v>
      </c>
      <c r="AC622" t="s">
        <v>78</v>
      </c>
      <c r="AD622">
        <v>0</v>
      </c>
      <c r="AE622">
        <v>10618916</v>
      </c>
      <c r="AF622" t="s">
        <v>79</v>
      </c>
      <c r="AG622" t="s">
        <v>1164</v>
      </c>
    </row>
    <row r="623" spans="1:33" x14ac:dyDescent="0.35">
      <c r="A623" s="18">
        <v>44490.877083333333</v>
      </c>
      <c r="B623">
        <v>311484</v>
      </c>
      <c r="C623" t="s">
        <v>1604</v>
      </c>
      <c r="D623" t="s">
        <v>158</v>
      </c>
      <c r="E623" s="19">
        <v>37763</v>
      </c>
      <c r="F623" t="str">
        <f>"9780080536651"</f>
        <v>9780080536651</v>
      </c>
      <c r="G623" t="str">
        <f>"9780080436630"</f>
        <v>9780080436630</v>
      </c>
      <c r="H623" t="s">
        <v>1605</v>
      </c>
      <c r="I623">
        <v>363.17989999999998</v>
      </c>
      <c r="J623" t="s">
        <v>1606</v>
      </c>
      <c r="K623" t="s">
        <v>85</v>
      </c>
      <c r="P623" t="s">
        <v>297</v>
      </c>
      <c r="Q623" t="s">
        <v>76</v>
      </c>
      <c r="R623" t="s">
        <v>73</v>
      </c>
      <c r="S623">
        <v>0</v>
      </c>
      <c r="W623" s="20">
        <v>0</v>
      </c>
      <c r="X623" t="s">
        <v>78</v>
      </c>
      <c r="Y623">
        <v>0</v>
      </c>
      <c r="Z623">
        <v>1</v>
      </c>
      <c r="AA623" t="s">
        <v>1607</v>
      </c>
      <c r="AB623">
        <v>42</v>
      </c>
      <c r="AC623" t="s">
        <v>78</v>
      </c>
      <c r="AD623">
        <v>0</v>
      </c>
      <c r="AE623">
        <v>10190240</v>
      </c>
      <c r="AF623" t="s">
        <v>79</v>
      </c>
      <c r="AG623" t="s">
        <v>333</v>
      </c>
    </row>
    <row r="624" spans="1:33" x14ac:dyDescent="0.35">
      <c r="A624" s="18">
        <v>44490.854861111111</v>
      </c>
      <c r="B624">
        <v>1051846</v>
      </c>
      <c r="C624" t="s">
        <v>1602</v>
      </c>
      <c r="D624" t="s">
        <v>506</v>
      </c>
      <c r="E624" s="19">
        <v>38995</v>
      </c>
      <c r="F624" t="str">
        <f>"9789047418573"</f>
        <v>9789047418573</v>
      </c>
      <c r="G624" t="str">
        <f>"9789004243408"</f>
        <v>9789004243408</v>
      </c>
      <c r="H624" t="s">
        <v>756</v>
      </c>
      <c r="I624">
        <v>955.02599999999995</v>
      </c>
      <c r="J624" t="s">
        <v>1603</v>
      </c>
      <c r="K624" t="s">
        <v>73</v>
      </c>
      <c r="N624" t="s">
        <v>74</v>
      </c>
      <c r="O624" t="s">
        <v>75</v>
      </c>
      <c r="P624" t="s">
        <v>74</v>
      </c>
      <c r="Q624" t="s">
        <v>76</v>
      </c>
      <c r="R624" t="s">
        <v>73</v>
      </c>
      <c r="S624">
        <v>0</v>
      </c>
      <c r="W624" s="20">
        <v>6.9444444444444444E-5</v>
      </c>
      <c r="X624" t="s">
        <v>132</v>
      </c>
      <c r="Y624">
        <v>1</v>
      </c>
      <c r="Z624">
        <v>0</v>
      </c>
      <c r="AA624" t="s">
        <v>78</v>
      </c>
      <c r="AB624">
        <v>0</v>
      </c>
      <c r="AC624" t="s">
        <v>78</v>
      </c>
      <c r="AD624">
        <v>0</v>
      </c>
      <c r="AE624">
        <v>10618916</v>
      </c>
      <c r="AF624" t="s">
        <v>79</v>
      </c>
      <c r="AG624" t="s">
        <v>1164</v>
      </c>
    </row>
    <row r="625" spans="1:33" x14ac:dyDescent="0.35">
      <c r="A625" s="18">
        <v>44490.660416666666</v>
      </c>
      <c r="B625">
        <v>848526</v>
      </c>
      <c r="C625" t="s">
        <v>1144</v>
      </c>
      <c r="D625" t="s">
        <v>70</v>
      </c>
      <c r="E625" s="19">
        <v>41212</v>
      </c>
      <c r="F625" t="str">
        <f>"9781118310069"</f>
        <v>9781118310069</v>
      </c>
      <c r="G625" t="str">
        <f>"9780470566671"</f>
        <v>9780470566671</v>
      </c>
      <c r="H625" t="s">
        <v>1145</v>
      </c>
      <c r="I625">
        <v>610.28</v>
      </c>
      <c r="J625" t="s">
        <v>1146</v>
      </c>
      <c r="K625" t="s">
        <v>73</v>
      </c>
      <c r="N625" t="s">
        <v>74</v>
      </c>
      <c r="O625" t="s">
        <v>75</v>
      </c>
      <c r="P625" t="s">
        <v>74</v>
      </c>
      <c r="Q625" t="s">
        <v>76</v>
      </c>
      <c r="R625" t="s">
        <v>73</v>
      </c>
      <c r="S625">
        <v>1</v>
      </c>
      <c r="W625" s="20">
        <v>4.6296296296296293E-4</v>
      </c>
      <c r="X625" t="s">
        <v>1608</v>
      </c>
      <c r="Y625">
        <v>12</v>
      </c>
      <c r="Z625">
        <v>0</v>
      </c>
      <c r="AA625" t="s">
        <v>78</v>
      </c>
      <c r="AB625">
        <v>0</v>
      </c>
      <c r="AC625" t="s">
        <v>78</v>
      </c>
      <c r="AD625">
        <v>0</v>
      </c>
      <c r="AE625">
        <v>10615085</v>
      </c>
      <c r="AF625" t="s">
        <v>88</v>
      </c>
      <c r="AG625" t="s">
        <v>1164</v>
      </c>
    </row>
    <row r="626" spans="1:33" x14ac:dyDescent="0.35">
      <c r="A626" s="18">
        <v>44490.65902777778</v>
      </c>
      <c r="B626">
        <v>848526</v>
      </c>
      <c r="C626" t="s">
        <v>1144</v>
      </c>
      <c r="D626" t="s">
        <v>70</v>
      </c>
      <c r="E626" s="19">
        <v>41212</v>
      </c>
      <c r="F626" t="str">
        <f>"9781118310069"</f>
        <v>9781118310069</v>
      </c>
      <c r="G626" t="str">
        <f>"9780470566671"</f>
        <v>9780470566671</v>
      </c>
      <c r="H626" t="s">
        <v>1145</v>
      </c>
      <c r="I626">
        <v>610.28</v>
      </c>
      <c r="J626" t="s">
        <v>1146</v>
      </c>
      <c r="K626" t="s">
        <v>73</v>
      </c>
      <c r="N626" t="s">
        <v>74</v>
      </c>
      <c r="O626" t="s">
        <v>75</v>
      </c>
      <c r="P626" t="s">
        <v>74</v>
      </c>
      <c r="Q626" t="s">
        <v>76</v>
      </c>
      <c r="R626" t="s">
        <v>73</v>
      </c>
      <c r="S626">
        <v>0</v>
      </c>
      <c r="W626" s="20">
        <v>6.5972222222222213E-4</v>
      </c>
      <c r="X626" t="s">
        <v>932</v>
      </c>
      <c r="Y626">
        <v>12</v>
      </c>
      <c r="Z626">
        <v>1</v>
      </c>
      <c r="AA626" t="s">
        <v>125</v>
      </c>
      <c r="AB626">
        <v>2</v>
      </c>
      <c r="AC626" t="s">
        <v>78</v>
      </c>
      <c r="AD626">
        <v>0</v>
      </c>
      <c r="AE626">
        <v>10615085</v>
      </c>
      <c r="AF626" t="s">
        <v>79</v>
      </c>
      <c r="AG626" t="s">
        <v>1164</v>
      </c>
    </row>
    <row r="627" spans="1:33" x14ac:dyDescent="0.35">
      <c r="A627" s="18">
        <v>44489.945138888892</v>
      </c>
      <c r="B627">
        <v>4526803</v>
      </c>
      <c r="C627" t="s">
        <v>1609</v>
      </c>
      <c r="D627" t="s">
        <v>70</v>
      </c>
      <c r="E627" s="19">
        <v>42521</v>
      </c>
      <c r="F627" t="str">
        <f>"9781119245759"</f>
        <v>9781119245759</v>
      </c>
      <c r="G627" t="str">
        <f>"9781119245513"</f>
        <v>9781119245513</v>
      </c>
      <c r="H627" t="s">
        <v>1466</v>
      </c>
      <c r="I627">
        <v>6.31</v>
      </c>
      <c r="J627" t="s">
        <v>1610</v>
      </c>
      <c r="K627" t="s">
        <v>73</v>
      </c>
      <c r="N627" t="s">
        <v>74</v>
      </c>
      <c r="O627" t="s">
        <v>75</v>
      </c>
      <c r="P627" t="s">
        <v>74</v>
      </c>
      <c r="Q627" t="s">
        <v>76</v>
      </c>
      <c r="R627" t="s">
        <v>73</v>
      </c>
      <c r="S627">
        <v>0</v>
      </c>
      <c r="W627" s="20">
        <v>1.273148148148148E-4</v>
      </c>
      <c r="X627" t="s">
        <v>249</v>
      </c>
      <c r="Y627">
        <v>2</v>
      </c>
      <c r="Z627">
        <v>0</v>
      </c>
      <c r="AA627" t="s">
        <v>78</v>
      </c>
      <c r="AB627">
        <v>0</v>
      </c>
      <c r="AC627" t="s">
        <v>78</v>
      </c>
      <c r="AD627">
        <v>0</v>
      </c>
      <c r="AE627">
        <v>11211391</v>
      </c>
      <c r="AF627" t="s">
        <v>79</v>
      </c>
      <c r="AG627" t="s">
        <v>1611</v>
      </c>
    </row>
    <row r="628" spans="1:33" x14ac:dyDescent="0.35">
      <c r="A628" s="18">
        <v>44489.938888888886</v>
      </c>
      <c r="B628">
        <v>1111317</v>
      </c>
      <c r="C628" t="s">
        <v>479</v>
      </c>
      <c r="D628" t="s">
        <v>127</v>
      </c>
      <c r="E628" s="19">
        <v>37587</v>
      </c>
      <c r="F628" t="str">
        <f>"9781136129223"</f>
        <v>9781136129223</v>
      </c>
      <c r="G628" t="str">
        <f>"9780700716074"</f>
        <v>9780700716074</v>
      </c>
      <c r="H628" t="s">
        <v>308</v>
      </c>
      <c r="I628" t="s">
        <v>480</v>
      </c>
      <c r="J628" t="s">
        <v>481</v>
      </c>
      <c r="K628" t="s">
        <v>73</v>
      </c>
      <c r="N628" t="s">
        <v>74</v>
      </c>
      <c r="O628" t="s">
        <v>75</v>
      </c>
      <c r="P628" t="s">
        <v>74</v>
      </c>
      <c r="Q628" t="s">
        <v>76</v>
      </c>
      <c r="R628" t="s">
        <v>73</v>
      </c>
      <c r="S628">
        <v>0</v>
      </c>
      <c r="W628" s="20">
        <v>3.2685185185185185E-2</v>
      </c>
      <c r="X628" t="s">
        <v>1612</v>
      </c>
      <c r="Y628">
        <v>27</v>
      </c>
      <c r="Z628">
        <v>0</v>
      </c>
      <c r="AA628" t="s">
        <v>78</v>
      </c>
      <c r="AB628">
        <v>0</v>
      </c>
      <c r="AC628" t="s">
        <v>78</v>
      </c>
      <c r="AD628">
        <v>0</v>
      </c>
      <c r="AE628">
        <v>10645721</v>
      </c>
      <c r="AF628" t="s">
        <v>79</v>
      </c>
      <c r="AG628" t="s">
        <v>1613</v>
      </c>
    </row>
    <row r="629" spans="1:33" x14ac:dyDescent="0.35">
      <c r="A629" s="18">
        <v>44489.902083333334</v>
      </c>
      <c r="B629">
        <v>4585770</v>
      </c>
      <c r="C629" t="s">
        <v>1614</v>
      </c>
      <c r="D629" t="s">
        <v>827</v>
      </c>
      <c r="E629" s="19">
        <v>41471</v>
      </c>
      <c r="F629" t="str">
        <f>"9780300195101"</f>
        <v>9780300195101</v>
      </c>
      <c r="G629" t="str">
        <f>"9780300185959"</f>
        <v>9780300185959</v>
      </c>
      <c r="H629" t="s">
        <v>308</v>
      </c>
      <c r="I629">
        <v>297.21100000000001</v>
      </c>
      <c r="J629" t="s">
        <v>1615</v>
      </c>
      <c r="K629" t="s">
        <v>73</v>
      </c>
      <c r="N629" t="s">
        <v>74</v>
      </c>
      <c r="O629" t="s">
        <v>75</v>
      </c>
      <c r="P629" t="s">
        <v>74</v>
      </c>
      <c r="Q629" t="s">
        <v>76</v>
      </c>
      <c r="R629" t="s">
        <v>73</v>
      </c>
      <c r="S629">
        <v>0</v>
      </c>
      <c r="W629" s="20">
        <v>3.6134259259259262E-2</v>
      </c>
      <c r="X629" t="s">
        <v>1616</v>
      </c>
      <c r="Y629">
        <v>15</v>
      </c>
      <c r="Z629">
        <v>0</v>
      </c>
      <c r="AA629" t="s">
        <v>78</v>
      </c>
      <c r="AB629">
        <v>0</v>
      </c>
      <c r="AC629" t="s">
        <v>78</v>
      </c>
      <c r="AD629">
        <v>0</v>
      </c>
      <c r="AE629">
        <v>11234884</v>
      </c>
      <c r="AF629" t="s">
        <v>79</v>
      </c>
      <c r="AG629" t="s">
        <v>1613</v>
      </c>
    </row>
    <row r="630" spans="1:33" x14ac:dyDescent="0.35">
      <c r="A630" s="18">
        <v>44489.856944444444</v>
      </c>
      <c r="B630">
        <v>835145</v>
      </c>
      <c r="C630" t="s">
        <v>1542</v>
      </c>
      <c r="D630" t="s">
        <v>70</v>
      </c>
      <c r="E630" s="19">
        <v>40952</v>
      </c>
      <c r="F630" t="str">
        <f>"9781119977001"</f>
        <v>9781119977001</v>
      </c>
      <c r="G630" t="str">
        <f>"9781119992851"</f>
        <v>9781119992851</v>
      </c>
      <c r="H630" t="s">
        <v>71</v>
      </c>
      <c r="I630">
        <v>621.31244000000004</v>
      </c>
      <c r="J630" t="s">
        <v>1543</v>
      </c>
      <c r="K630" t="s">
        <v>73</v>
      </c>
      <c r="N630" t="s">
        <v>74</v>
      </c>
      <c r="O630" t="s">
        <v>75</v>
      </c>
      <c r="P630" t="s">
        <v>74</v>
      </c>
      <c r="Q630" t="s">
        <v>76</v>
      </c>
      <c r="R630" t="s">
        <v>73</v>
      </c>
      <c r="S630">
        <v>0</v>
      </c>
      <c r="W630" s="20">
        <v>6.9444444444444444E-5</v>
      </c>
      <c r="X630" t="s">
        <v>132</v>
      </c>
      <c r="Y630">
        <v>1</v>
      </c>
      <c r="Z630">
        <v>0</v>
      </c>
      <c r="AA630" t="s">
        <v>78</v>
      </c>
      <c r="AB630">
        <v>0</v>
      </c>
      <c r="AC630" t="s">
        <v>78</v>
      </c>
      <c r="AD630">
        <v>0</v>
      </c>
      <c r="AE630">
        <v>10526535</v>
      </c>
      <c r="AF630" t="s">
        <v>79</v>
      </c>
      <c r="AG630" t="s">
        <v>1164</v>
      </c>
    </row>
    <row r="631" spans="1:33" x14ac:dyDescent="0.35">
      <c r="A631" s="18">
        <v>44489.856944444444</v>
      </c>
      <c r="B631">
        <v>1574357</v>
      </c>
      <c r="C631" t="s">
        <v>1544</v>
      </c>
      <c r="D631" t="s">
        <v>70</v>
      </c>
      <c r="E631" s="19">
        <v>41680</v>
      </c>
      <c r="F631" t="str">
        <f>"9781118703366"</f>
        <v>9781118703366</v>
      </c>
      <c r="G631" t="str">
        <f>"9781118634165"</f>
        <v>9781118634165</v>
      </c>
      <c r="H631" t="s">
        <v>71</v>
      </c>
      <c r="I631">
        <v>621.31244000000004</v>
      </c>
      <c r="J631" t="s">
        <v>1545</v>
      </c>
      <c r="K631" t="s">
        <v>73</v>
      </c>
      <c r="N631" t="s">
        <v>74</v>
      </c>
      <c r="O631" t="s">
        <v>75</v>
      </c>
      <c r="P631" t="s">
        <v>74</v>
      </c>
      <c r="Q631" t="s">
        <v>76</v>
      </c>
      <c r="R631" t="s">
        <v>73</v>
      </c>
      <c r="S631">
        <v>0</v>
      </c>
      <c r="W631" s="20">
        <v>1.1643518518518518E-2</v>
      </c>
      <c r="X631" t="s">
        <v>1617</v>
      </c>
      <c r="Y631">
        <v>3</v>
      </c>
      <c r="Z631">
        <v>0</v>
      </c>
      <c r="AA631" t="s">
        <v>78</v>
      </c>
      <c r="AB631">
        <v>0</v>
      </c>
      <c r="AC631" t="s">
        <v>78</v>
      </c>
      <c r="AD631">
        <v>0</v>
      </c>
      <c r="AE631">
        <v>10814681</v>
      </c>
      <c r="AF631" t="s">
        <v>79</v>
      </c>
      <c r="AG631" t="s">
        <v>1164</v>
      </c>
    </row>
    <row r="632" spans="1:33" x14ac:dyDescent="0.35">
      <c r="A632" s="18">
        <v>44489.674305555556</v>
      </c>
      <c r="B632">
        <v>3002290</v>
      </c>
      <c r="C632" t="s">
        <v>1618</v>
      </c>
      <c r="D632" t="s">
        <v>1619</v>
      </c>
      <c r="E632" s="19">
        <v>40387</v>
      </c>
      <c r="F632" t="str">
        <f>"9781409415374"</f>
        <v>9781409415374</v>
      </c>
      <c r="G632" t="str">
        <f>"9781409412984"</f>
        <v>9781409412984</v>
      </c>
      <c r="H632" t="s">
        <v>1620</v>
      </c>
      <c r="I632">
        <v>910</v>
      </c>
      <c r="J632" t="s">
        <v>1621</v>
      </c>
      <c r="K632" t="s">
        <v>73</v>
      </c>
      <c r="N632" t="s">
        <v>74</v>
      </c>
      <c r="O632" t="s">
        <v>75</v>
      </c>
      <c r="P632" t="s">
        <v>74</v>
      </c>
      <c r="Q632" t="s">
        <v>76</v>
      </c>
      <c r="R632" t="s">
        <v>73</v>
      </c>
      <c r="S632">
        <v>0</v>
      </c>
      <c r="W632" s="20">
        <v>9.2592592592592588E-5</v>
      </c>
      <c r="X632" t="s">
        <v>132</v>
      </c>
      <c r="Y632">
        <v>1</v>
      </c>
      <c r="Z632">
        <v>0</v>
      </c>
      <c r="AA632" t="s">
        <v>78</v>
      </c>
      <c r="AB632">
        <v>0</v>
      </c>
      <c r="AC632" t="s">
        <v>78</v>
      </c>
      <c r="AD632">
        <v>0</v>
      </c>
      <c r="AE632">
        <v>10428193</v>
      </c>
      <c r="AF632" t="s">
        <v>79</v>
      </c>
      <c r="AG632" t="s">
        <v>1164</v>
      </c>
    </row>
    <row r="633" spans="1:33" x14ac:dyDescent="0.35">
      <c r="A633" s="18">
        <v>44489.673611111109</v>
      </c>
      <c r="B633">
        <v>3002290</v>
      </c>
      <c r="C633" t="s">
        <v>1618</v>
      </c>
      <c r="D633" t="s">
        <v>1619</v>
      </c>
      <c r="E633" s="19">
        <v>40387</v>
      </c>
      <c r="F633" t="str">
        <f>"9781409415374"</f>
        <v>9781409415374</v>
      </c>
      <c r="G633" t="str">
        <f>"9781409412984"</f>
        <v>9781409412984</v>
      </c>
      <c r="H633" t="s">
        <v>1620</v>
      </c>
      <c r="I633">
        <v>910</v>
      </c>
      <c r="J633" t="s">
        <v>1621</v>
      </c>
      <c r="K633" t="s">
        <v>73</v>
      </c>
      <c r="N633" t="s">
        <v>74</v>
      </c>
      <c r="O633" t="s">
        <v>75</v>
      </c>
      <c r="P633" t="s">
        <v>74</v>
      </c>
      <c r="Q633" t="s">
        <v>76</v>
      </c>
      <c r="R633" t="s">
        <v>73</v>
      </c>
      <c r="S633">
        <v>0</v>
      </c>
      <c r="W633" s="20">
        <v>0</v>
      </c>
      <c r="X633" t="s">
        <v>78</v>
      </c>
      <c r="Y633">
        <v>0</v>
      </c>
      <c r="Z633">
        <v>0</v>
      </c>
      <c r="AA633" t="s">
        <v>78</v>
      </c>
      <c r="AB633">
        <v>0</v>
      </c>
      <c r="AC633" t="s">
        <v>78</v>
      </c>
      <c r="AD633">
        <v>0</v>
      </c>
      <c r="AE633">
        <v>10428193</v>
      </c>
      <c r="AF633" t="s">
        <v>79</v>
      </c>
      <c r="AG633" t="s">
        <v>1164</v>
      </c>
    </row>
    <row r="634" spans="1:33" x14ac:dyDescent="0.35">
      <c r="A634" s="18">
        <v>44489.67291666667</v>
      </c>
      <c r="B634">
        <v>1161324</v>
      </c>
      <c r="C634" t="s">
        <v>1622</v>
      </c>
      <c r="D634" t="s">
        <v>70</v>
      </c>
      <c r="E634" s="19">
        <v>41422</v>
      </c>
      <c r="F634" t="str">
        <f>"9781118574249"</f>
        <v>9781118574249</v>
      </c>
      <c r="G634" t="str">
        <f>"9781118331521"</f>
        <v>9781118331521</v>
      </c>
      <c r="H634" t="s">
        <v>1623</v>
      </c>
      <c r="I634">
        <v>621.46</v>
      </c>
      <c r="J634" t="s">
        <v>1624</v>
      </c>
      <c r="K634" t="s">
        <v>73</v>
      </c>
      <c r="N634" t="s">
        <v>74</v>
      </c>
      <c r="O634" t="s">
        <v>75</v>
      </c>
      <c r="P634" t="s">
        <v>74</v>
      </c>
      <c r="Q634" t="s">
        <v>76</v>
      </c>
      <c r="R634" t="s">
        <v>73</v>
      </c>
      <c r="S634">
        <v>0</v>
      </c>
      <c r="W634" s="20">
        <v>3.3564814814814812E-4</v>
      </c>
      <c r="X634" t="s">
        <v>1492</v>
      </c>
      <c r="Y634">
        <v>2</v>
      </c>
      <c r="Z634">
        <v>0</v>
      </c>
      <c r="AA634" t="s">
        <v>78</v>
      </c>
      <c r="AB634">
        <v>0</v>
      </c>
      <c r="AC634" t="s">
        <v>78</v>
      </c>
      <c r="AD634">
        <v>0</v>
      </c>
      <c r="AE634">
        <v>10684926</v>
      </c>
      <c r="AF634" t="s">
        <v>79</v>
      </c>
      <c r="AG634" t="s">
        <v>1567</v>
      </c>
    </row>
    <row r="635" spans="1:33" x14ac:dyDescent="0.35">
      <c r="A635" s="18">
        <v>44489.664583333331</v>
      </c>
      <c r="B635">
        <v>2189767</v>
      </c>
      <c r="C635" t="s">
        <v>1045</v>
      </c>
      <c r="D635" t="s">
        <v>1046</v>
      </c>
      <c r="E635" s="19">
        <v>42248</v>
      </c>
      <c r="F635" t="str">
        <f>"9781452945729"</f>
        <v>9781452945729</v>
      </c>
      <c r="G635" t="str">
        <f>"9780816698776"</f>
        <v>9780816698776</v>
      </c>
      <c r="H635" t="s">
        <v>756</v>
      </c>
      <c r="I635">
        <v>951.9</v>
      </c>
      <c r="J635" t="s">
        <v>1047</v>
      </c>
      <c r="K635" t="s">
        <v>73</v>
      </c>
      <c r="N635" t="s">
        <v>74</v>
      </c>
      <c r="O635" t="s">
        <v>75</v>
      </c>
      <c r="P635" t="s">
        <v>74</v>
      </c>
      <c r="Q635" t="s">
        <v>76</v>
      </c>
      <c r="R635" t="s">
        <v>73</v>
      </c>
      <c r="S635">
        <v>0</v>
      </c>
      <c r="W635" s="20">
        <v>1.4930555555555556E-3</v>
      </c>
      <c r="X635" t="s">
        <v>1625</v>
      </c>
      <c r="Y635">
        <v>8</v>
      </c>
      <c r="Z635">
        <v>0</v>
      </c>
      <c r="AA635" t="s">
        <v>78</v>
      </c>
      <c r="AB635">
        <v>0</v>
      </c>
      <c r="AC635" t="s">
        <v>78</v>
      </c>
      <c r="AD635">
        <v>0</v>
      </c>
      <c r="AE635">
        <v>11092776</v>
      </c>
      <c r="AF635" t="s">
        <v>79</v>
      </c>
      <c r="AG635" t="s">
        <v>1164</v>
      </c>
    </row>
    <row r="636" spans="1:33" x14ac:dyDescent="0.35">
      <c r="A636" s="18">
        <v>44489.656944444447</v>
      </c>
      <c r="B636">
        <v>712327</v>
      </c>
      <c r="C636" t="s">
        <v>1450</v>
      </c>
      <c r="D636" t="s">
        <v>1451</v>
      </c>
      <c r="E636" s="19">
        <v>35795</v>
      </c>
      <c r="F636" t="str">
        <f>"9781849402194"</f>
        <v>9781849402194</v>
      </c>
      <c r="G636" t="str">
        <f>"9781855751538"</f>
        <v>9781855751538</v>
      </c>
      <c r="H636" t="s">
        <v>1452</v>
      </c>
      <c r="I636">
        <v>150.19509199999999</v>
      </c>
      <c r="J636" t="s">
        <v>1453</v>
      </c>
      <c r="K636" t="s">
        <v>73</v>
      </c>
      <c r="N636" t="s">
        <v>74</v>
      </c>
      <c r="O636" t="s">
        <v>75</v>
      </c>
      <c r="P636" t="s">
        <v>74</v>
      </c>
      <c r="Q636" t="s">
        <v>76</v>
      </c>
      <c r="R636" t="s">
        <v>73</v>
      </c>
      <c r="S636">
        <v>0</v>
      </c>
      <c r="W636" s="20">
        <v>6.7129629629629622E-3</v>
      </c>
      <c r="X636" t="s">
        <v>1626</v>
      </c>
      <c r="Y636">
        <v>20</v>
      </c>
      <c r="Z636">
        <v>0</v>
      </c>
      <c r="AA636" t="s">
        <v>78</v>
      </c>
      <c r="AB636">
        <v>0</v>
      </c>
      <c r="AC636" t="s">
        <v>78</v>
      </c>
      <c r="AD636">
        <v>0</v>
      </c>
      <c r="AE636">
        <v>10477617</v>
      </c>
      <c r="AF636" t="s">
        <v>79</v>
      </c>
      <c r="AG636" t="s">
        <v>1164</v>
      </c>
    </row>
    <row r="637" spans="1:33" x14ac:dyDescent="0.35">
      <c r="A637" s="18">
        <v>44489.624305555553</v>
      </c>
      <c r="B637">
        <v>954632</v>
      </c>
      <c r="C637" t="s">
        <v>1443</v>
      </c>
      <c r="D637" t="s">
        <v>1258</v>
      </c>
      <c r="E637" s="19">
        <v>41320</v>
      </c>
      <c r="F637" t="str">
        <f>"9781606503263"</f>
        <v>9781606503263</v>
      </c>
      <c r="G637" t="str">
        <f>"9781606503249"</f>
        <v>9781606503249</v>
      </c>
      <c r="H637" t="s">
        <v>143</v>
      </c>
      <c r="I637">
        <v>658.2</v>
      </c>
      <c r="J637" t="s">
        <v>1444</v>
      </c>
      <c r="K637" t="s">
        <v>73</v>
      </c>
      <c r="N637" t="s">
        <v>74</v>
      </c>
      <c r="O637" t="s">
        <v>75</v>
      </c>
      <c r="P637" t="s">
        <v>74</v>
      </c>
      <c r="Q637" t="s">
        <v>76</v>
      </c>
      <c r="R637" t="s">
        <v>73</v>
      </c>
      <c r="S637">
        <v>0</v>
      </c>
      <c r="W637" s="20">
        <v>5.0925925925925921E-4</v>
      </c>
      <c r="X637" t="s">
        <v>1627</v>
      </c>
      <c r="Y637">
        <v>6</v>
      </c>
      <c r="Z637">
        <v>0</v>
      </c>
      <c r="AA637" t="s">
        <v>78</v>
      </c>
      <c r="AB637">
        <v>0</v>
      </c>
      <c r="AC637" t="s">
        <v>78</v>
      </c>
      <c r="AD637">
        <v>0</v>
      </c>
      <c r="AE637">
        <v>10661537</v>
      </c>
      <c r="AF637" t="s">
        <v>79</v>
      </c>
      <c r="AG637" t="s">
        <v>1164</v>
      </c>
    </row>
    <row r="638" spans="1:33" x14ac:dyDescent="0.35">
      <c r="A638" s="18">
        <v>44489.570138888892</v>
      </c>
      <c r="B638">
        <v>1124854</v>
      </c>
      <c r="C638" t="s">
        <v>1628</v>
      </c>
      <c r="D638" t="s">
        <v>70</v>
      </c>
      <c r="E638" s="19">
        <v>41303</v>
      </c>
      <c r="F638" t="str">
        <f>"9783527651153"</f>
        <v>9783527651153</v>
      </c>
      <c r="G638" t="str">
        <f>"9783527332588"</f>
        <v>9783527332588</v>
      </c>
      <c r="H638" t="s">
        <v>154</v>
      </c>
      <c r="I638">
        <v>547.61</v>
      </c>
      <c r="J638" t="s">
        <v>1629</v>
      </c>
      <c r="K638" t="s">
        <v>73</v>
      </c>
      <c r="N638" t="s">
        <v>74</v>
      </c>
      <c r="O638" t="s">
        <v>75</v>
      </c>
      <c r="P638" t="s">
        <v>74</v>
      </c>
      <c r="Q638" t="s">
        <v>76</v>
      </c>
      <c r="R638" t="s">
        <v>73</v>
      </c>
      <c r="S638">
        <v>0</v>
      </c>
      <c r="W638" s="20">
        <v>4.6296296296296294E-5</v>
      </c>
      <c r="X638" t="s">
        <v>132</v>
      </c>
      <c r="Y638">
        <v>1</v>
      </c>
      <c r="Z638">
        <v>0</v>
      </c>
      <c r="AA638" t="s">
        <v>78</v>
      </c>
      <c r="AB638">
        <v>0</v>
      </c>
      <c r="AC638" t="s">
        <v>78</v>
      </c>
      <c r="AD638">
        <v>0</v>
      </c>
      <c r="AE638">
        <v>10660591</v>
      </c>
      <c r="AF638" t="s">
        <v>79</v>
      </c>
      <c r="AG638" t="s">
        <v>1164</v>
      </c>
    </row>
    <row r="639" spans="1:33" x14ac:dyDescent="0.35">
      <c r="A639" s="18">
        <v>44489.53402777778</v>
      </c>
      <c r="B639">
        <v>1181119</v>
      </c>
      <c r="C639" t="s">
        <v>1630</v>
      </c>
      <c r="D639" t="s">
        <v>127</v>
      </c>
      <c r="E639" s="19">
        <v>41115</v>
      </c>
      <c r="F639" t="str">
        <f>"9781136300424"</f>
        <v>9781136300424</v>
      </c>
      <c r="G639" t="str">
        <f>"9780415896962"</f>
        <v>9780415896962</v>
      </c>
      <c r="H639" t="s">
        <v>1631</v>
      </c>
      <c r="I639">
        <v>794.8</v>
      </c>
      <c r="J639" t="s">
        <v>1632</v>
      </c>
      <c r="K639" t="s">
        <v>73</v>
      </c>
      <c r="N639" t="s">
        <v>74</v>
      </c>
      <c r="O639" t="s">
        <v>75</v>
      </c>
      <c r="P639" t="s">
        <v>74</v>
      </c>
      <c r="Q639" t="s">
        <v>76</v>
      </c>
      <c r="R639" t="s">
        <v>73</v>
      </c>
      <c r="S639">
        <v>0</v>
      </c>
      <c r="W639" s="20">
        <v>0</v>
      </c>
      <c r="X639" t="s">
        <v>78</v>
      </c>
      <c r="Y639">
        <v>0</v>
      </c>
      <c r="Z639">
        <v>1</v>
      </c>
      <c r="AA639" t="s">
        <v>1633</v>
      </c>
      <c r="AB639">
        <v>6</v>
      </c>
      <c r="AC639" t="s">
        <v>78</v>
      </c>
      <c r="AD639">
        <v>0</v>
      </c>
      <c r="AE639">
        <v>10691717</v>
      </c>
      <c r="AF639" t="s">
        <v>79</v>
      </c>
      <c r="AG639" t="s">
        <v>1164</v>
      </c>
    </row>
    <row r="640" spans="1:33" x14ac:dyDescent="0.35">
      <c r="A640" s="18">
        <v>44489.532638888886</v>
      </c>
      <c r="B640">
        <v>765859</v>
      </c>
      <c r="C640" t="s">
        <v>1319</v>
      </c>
      <c r="D640" t="s">
        <v>189</v>
      </c>
      <c r="E640" s="19">
        <v>40710</v>
      </c>
      <c r="F640" t="str">
        <f>"9783110223408"</f>
        <v>9783110223408</v>
      </c>
      <c r="G640" t="str">
        <f>"9783110223392"</f>
        <v>9783110223392</v>
      </c>
      <c r="H640" t="s">
        <v>1320</v>
      </c>
      <c r="I640">
        <v>953.57</v>
      </c>
      <c r="J640" t="s">
        <v>1321</v>
      </c>
      <c r="K640" t="s">
        <v>73</v>
      </c>
      <c r="N640" t="s">
        <v>74</v>
      </c>
      <c r="O640" t="s">
        <v>75</v>
      </c>
      <c r="P640" t="s">
        <v>74</v>
      </c>
      <c r="Q640" t="s">
        <v>76</v>
      </c>
      <c r="R640" t="s">
        <v>73</v>
      </c>
      <c r="S640">
        <v>0</v>
      </c>
      <c r="W640" s="20">
        <v>1.1805555555555556E-3</v>
      </c>
      <c r="X640" t="s">
        <v>1634</v>
      </c>
      <c r="Y640">
        <v>7</v>
      </c>
      <c r="Z640">
        <v>1</v>
      </c>
      <c r="AA640" t="s">
        <v>1635</v>
      </c>
      <c r="AB640">
        <v>44</v>
      </c>
      <c r="AC640" t="s">
        <v>78</v>
      </c>
      <c r="AD640">
        <v>0</v>
      </c>
      <c r="AE640">
        <v>10502351</v>
      </c>
      <c r="AF640" t="s">
        <v>88</v>
      </c>
      <c r="AG640" t="s">
        <v>1567</v>
      </c>
    </row>
    <row r="641" spans="1:33" x14ac:dyDescent="0.35">
      <c r="A641" s="18">
        <v>44489.451388888891</v>
      </c>
      <c r="B641">
        <v>1185780</v>
      </c>
      <c r="C641" t="s">
        <v>1636</v>
      </c>
      <c r="D641" t="s">
        <v>1637</v>
      </c>
      <c r="E641" s="19">
        <v>39386</v>
      </c>
      <c r="F641" t="str">
        <f>"9781847557926"</f>
        <v>9781847557926</v>
      </c>
      <c r="G641" t="str">
        <f>"9780854042418"</f>
        <v>9780854042418</v>
      </c>
      <c r="H641" t="s">
        <v>1638</v>
      </c>
      <c r="I641">
        <v>620.5</v>
      </c>
      <c r="J641" t="s">
        <v>1639</v>
      </c>
      <c r="K641" t="s">
        <v>73</v>
      </c>
      <c r="N641" t="s">
        <v>74</v>
      </c>
      <c r="O641" t="s">
        <v>75</v>
      </c>
      <c r="P641" t="s">
        <v>74</v>
      </c>
      <c r="Q641" t="s">
        <v>76</v>
      </c>
      <c r="R641" t="s">
        <v>73</v>
      </c>
      <c r="S641">
        <v>1</v>
      </c>
      <c r="W641" s="20">
        <v>0</v>
      </c>
      <c r="X641" t="s">
        <v>78</v>
      </c>
      <c r="Y641">
        <v>0</v>
      </c>
      <c r="Z641">
        <v>0</v>
      </c>
      <c r="AA641" t="s">
        <v>78</v>
      </c>
      <c r="AB641">
        <v>0</v>
      </c>
      <c r="AC641" t="s">
        <v>78</v>
      </c>
      <c r="AD641">
        <v>0</v>
      </c>
      <c r="AE641">
        <v>10618728</v>
      </c>
      <c r="AF641" t="s">
        <v>88</v>
      </c>
      <c r="AG641" t="s">
        <v>1164</v>
      </c>
    </row>
    <row r="642" spans="1:33" x14ac:dyDescent="0.35">
      <c r="A642" s="18">
        <v>44489.384722222225</v>
      </c>
      <c r="B642">
        <v>3002290</v>
      </c>
      <c r="C642" t="s">
        <v>1618</v>
      </c>
      <c r="D642" t="s">
        <v>1619</v>
      </c>
      <c r="E642" s="19">
        <v>40387</v>
      </c>
      <c r="F642" t="str">
        <f>"9781409415374"</f>
        <v>9781409415374</v>
      </c>
      <c r="G642" t="str">
        <f>"9781409412984"</f>
        <v>9781409412984</v>
      </c>
      <c r="H642" t="s">
        <v>1620</v>
      </c>
      <c r="I642">
        <v>910</v>
      </c>
      <c r="J642" t="s">
        <v>1621</v>
      </c>
      <c r="K642" t="s">
        <v>73</v>
      </c>
      <c r="N642" t="s">
        <v>74</v>
      </c>
      <c r="O642" t="s">
        <v>75</v>
      </c>
      <c r="P642" t="s">
        <v>74</v>
      </c>
      <c r="Q642" t="s">
        <v>76</v>
      </c>
      <c r="R642" t="s">
        <v>73</v>
      </c>
      <c r="S642">
        <v>0</v>
      </c>
      <c r="W642" s="20">
        <v>2.5000000000000001E-3</v>
      </c>
      <c r="X642" t="s">
        <v>1640</v>
      </c>
      <c r="Y642">
        <v>4</v>
      </c>
      <c r="Z642">
        <v>0</v>
      </c>
      <c r="AA642" t="s">
        <v>78</v>
      </c>
      <c r="AB642">
        <v>0</v>
      </c>
      <c r="AC642" t="s">
        <v>78</v>
      </c>
      <c r="AD642">
        <v>0</v>
      </c>
      <c r="AE642">
        <v>10428193</v>
      </c>
      <c r="AF642" t="s">
        <v>79</v>
      </c>
      <c r="AG642" t="s">
        <v>1164</v>
      </c>
    </row>
    <row r="643" spans="1:33" x14ac:dyDescent="0.35">
      <c r="A643" s="18">
        <v>44488.993750000001</v>
      </c>
      <c r="B643">
        <v>1602361</v>
      </c>
      <c r="C643" t="s">
        <v>1641</v>
      </c>
      <c r="D643" t="s">
        <v>1642</v>
      </c>
      <c r="E643" s="19">
        <v>41626</v>
      </c>
      <c r="F643" t="str">
        <f>"9781781905968"</f>
        <v>9781781905968</v>
      </c>
      <c r="G643" t="str">
        <f>"9781781905951"</f>
        <v>9781781905951</v>
      </c>
      <c r="H643" t="s">
        <v>143</v>
      </c>
      <c r="I643">
        <v>387.7</v>
      </c>
      <c r="J643" t="s">
        <v>1643</v>
      </c>
      <c r="K643" t="s">
        <v>73</v>
      </c>
      <c r="N643" t="s">
        <v>74</v>
      </c>
      <c r="O643" t="s">
        <v>75</v>
      </c>
      <c r="P643" t="s">
        <v>74</v>
      </c>
      <c r="Q643" t="s">
        <v>76</v>
      </c>
      <c r="R643" t="s">
        <v>73</v>
      </c>
      <c r="S643">
        <v>0</v>
      </c>
      <c r="W643" s="20">
        <v>2.0833333333333335E-4</v>
      </c>
      <c r="X643" t="s">
        <v>1644</v>
      </c>
      <c r="Y643">
        <v>5</v>
      </c>
      <c r="Z643">
        <v>0</v>
      </c>
      <c r="AA643" t="s">
        <v>78</v>
      </c>
      <c r="AB643">
        <v>0</v>
      </c>
      <c r="AC643" t="s">
        <v>78</v>
      </c>
      <c r="AD643">
        <v>0</v>
      </c>
      <c r="AE643">
        <v>10829873</v>
      </c>
      <c r="AF643" t="s">
        <v>88</v>
      </c>
      <c r="AG643" t="s">
        <v>1164</v>
      </c>
    </row>
    <row r="644" spans="1:33" x14ac:dyDescent="0.35">
      <c r="A644" s="18">
        <v>44488.992361111108</v>
      </c>
      <c r="B644">
        <v>3037713</v>
      </c>
      <c r="C644" t="s">
        <v>1645</v>
      </c>
      <c r="D644" t="s">
        <v>821</v>
      </c>
      <c r="E644" s="19">
        <v>37735</v>
      </c>
      <c r="F644" t="str">
        <f>"9781603446716"</f>
        <v>9781603446716</v>
      </c>
      <c r="G644" t="str">
        <f>"9781585442577"</f>
        <v>9781585442577</v>
      </c>
      <c r="H644" t="s">
        <v>1646</v>
      </c>
      <c r="I644" t="s">
        <v>1647</v>
      </c>
      <c r="J644" t="s">
        <v>1648</v>
      </c>
      <c r="K644" t="s">
        <v>73</v>
      </c>
      <c r="N644" t="s">
        <v>74</v>
      </c>
      <c r="O644" t="s">
        <v>75</v>
      </c>
      <c r="P644" t="s">
        <v>74</v>
      </c>
      <c r="Q644" t="s">
        <v>76</v>
      </c>
      <c r="R644" t="s">
        <v>73</v>
      </c>
      <c r="S644">
        <v>2</v>
      </c>
      <c r="W644" s="20">
        <v>1.1574074074074073E-5</v>
      </c>
      <c r="X644" t="s">
        <v>78</v>
      </c>
      <c r="Y644">
        <v>0</v>
      </c>
      <c r="Z644">
        <v>0</v>
      </c>
      <c r="AA644" t="s">
        <v>78</v>
      </c>
      <c r="AB644">
        <v>0</v>
      </c>
      <c r="AC644" t="s">
        <v>78</v>
      </c>
      <c r="AD644">
        <v>0</v>
      </c>
      <c r="AE644">
        <v>10046098</v>
      </c>
      <c r="AF644" t="s">
        <v>88</v>
      </c>
      <c r="AG644" t="s">
        <v>1164</v>
      </c>
    </row>
    <row r="645" spans="1:33" x14ac:dyDescent="0.35">
      <c r="A645" s="18">
        <v>44488.749305555553</v>
      </c>
      <c r="B645">
        <v>1446430</v>
      </c>
      <c r="C645" t="s">
        <v>1649</v>
      </c>
      <c r="D645" t="s">
        <v>127</v>
      </c>
      <c r="E645" s="19">
        <v>40274</v>
      </c>
      <c r="F645" t="str">
        <f>"9781439882573"</f>
        <v>9781439882573</v>
      </c>
      <c r="G645" t="str">
        <f>"9781420085983"</f>
        <v>9781420085983</v>
      </c>
      <c r="H645" t="s">
        <v>979</v>
      </c>
      <c r="I645" t="s">
        <v>1650</v>
      </c>
      <c r="J645" t="s">
        <v>1651</v>
      </c>
      <c r="K645" t="s">
        <v>73</v>
      </c>
      <c r="N645" t="s">
        <v>74</v>
      </c>
      <c r="O645" t="s">
        <v>75</v>
      </c>
      <c r="P645" t="s">
        <v>74</v>
      </c>
      <c r="Q645" t="s">
        <v>76</v>
      </c>
      <c r="R645" t="s">
        <v>73</v>
      </c>
      <c r="S645">
        <v>0</v>
      </c>
      <c r="W645" s="20">
        <v>1.8761574074074073E-2</v>
      </c>
      <c r="X645" t="s">
        <v>1652</v>
      </c>
      <c r="Y645">
        <v>32</v>
      </c>
      <c r="Z645">
        <v>0</v>
      </c>
      <c r="AA645" t="s">
        <v>78</v>
      </c>
      <c r="AB645">
        <v>0</v>
      </c>
      <c r="AC645" t="s">
        <v>78</v>
      </c>
      <c r="AD645">
        <v>0</v>
      </c>
      <c r="AE645">
        <v>11166018</v>
      </c>
      <c r="AF645" t="s">
        <v>79</v>
      </c>
      <c r="AG645" t="s">
        <v>1164</v>
      </c>
    </row>
    <row r="646" spans="1:33" x14ac:dyDescent="0.35">
      <c r="A646" s="18">
        <v>44488.629861111112</v>
      </c>
      <c r="B646">
        <v>703886</v>
      </c>
      <c r="C646" t="s">
        <v>1653</v>
      </c>
      <c r="D646" t="s">
        <v>70</v>
      </c>
      <c r="E646" s="19">
        <v>39598</v>
      </c>
      <c r="F646" t="str">
        <f>"9780470718131"</f>
        <v>9780470718131</v>
      </c>
      <c r="G646" t="str">
        <f>"9780470663615"</f>
        <v>9780470663615</v>
      </c>
      <c r="H646" t="s">
        <v>1654</v>
      </c>
      <c r="I646" t="s">
        <v>1655</v>
      </c>
      <c r="J646" t="s">
        <v>1656</v>
      </c>
      <c r="K646" t="s">
        <v>73</v>
      </c>
      <c r="N646" t="s">
        <v>74</v>
      </c>
      <c r="O646" t="s">
        <v>75</v>
      </c>
      <c r="P646" t="s">
        <v>74</v>
      </c>
      <c r="Q646" t="s">
        <v>76</v>
      </c>
      <c r="R646" t="s">
        <v>73</v>
      </c>
      <c r="S646">
        <v>0</v>
      </c>
      <c r="W646" s="20">
        <v>2.5810185185185185E-3</v>
      </c>
      <c r="X646" t="s">
        <v>1657</v>
      </c>
      <c r="Y646">
        <v>23</v>
      </c>
      <c r="Z646">
        <v>0</v>
      </c>
      <c r="AA646" t="s">
        <v>78</v>
      </c>
      <c r="AB646">
        <v>0</v>
      </c>
      <c r="AC646" t="s">
        <v>78</v>
      </c>
      <c r="AD646">
        <v>0</v>
      </c>
      <c r="AE646">
        <v>10575500</v>
      </c>
      <c r="AF646" t="s">
        <v>88</v>
      </c>
      <c r="AG646" t="s">
        <v>1197</v>
      </c>
    </row>
    <row r="647" spans="1:33" x14ac:dyDescent="0.35">
      <c r="A647" s="18">
        <v>44488.568749999999</v>
      </c>
      <c r="B647">
        <v>848526</v>
      </c>
      <c r="C647" t="s">
        <v>1144</v>
      </c>
      <c r="D647" t="s">
        <v>70</v>
      </c>
      <c r="E647" s="19">
        <v>41212</v>
      </c>
      <c r="F647" t="str">
        <f>"9781118310069"</f>
        <v>9781118310069</v>
      </c>
      <c r="G647" t="str">
        <f>"9780470566671"</f>
        <v>9780470566671</v>
      </c>
      <c r="H647" t="s">
        <v>1145</v>
      </c>
      <c r="I647">
        <v>610.28</v>
      </c>
      <c r="J647" t="s">
        <v>1146</v>
      </c>
      <c r="K647" t="s">
        <v>73</v>
      </c>
      <c r="N647" t="s">
        <v>74</v>
      </c>
      <c r="O647" t="s">
        <v>75</v>
      </c>
      <c r="P647" t="s">
        <v>74</v>
      </c>
      <c r="Q647" t="s">
        <v>76</v>
      </c>
      <c r="R647" t="s">
        <v>73</v>
      </c>
      <c r="S647">
        <v>0</v>
      </c>
      <c r="W647" s="20">
        <v>0</v>
      </c>
      <c r="X647" t="s">
        <v>78</v>
      </c>
      <c r="Y647">
        <v>0</v>
      </c>
      <c r="Z647">
        <v>3</v>
      </c>
      <c r="AA647" t="s">
        <v>1658</v>
      </c>
      <c r="AB647">
        <v>78</v>
      </c>
      <c r="AC647" t="s">
        <v>78</v>
      </c>
      <c r="AD647">
        <v>0</v>
      </c>
      <c r="AE647">
        <v>10615085</v>
      </c>
      <c r="AF647" t="s">
        <v>79</v>
      </c>
      <c r="AG647" t="s">
        <v>1164</v>
      </c>
    </row>
    <row r="648" spans="1:33" x14ac:dyDescent="0.35">
      <c r="A648" s="18">
        <v>44488.555555555555</v>
      </c>
      <c r="B648">
        <v>3020585</v>
      </c>
      <c r="C648" t="s">
        <v>1261</v>
      </c>
      <c r="D648" t="s">
        <v>226</v>
      </c>
      <c r="E648" s="19">
        <v>39539</v>
      </c>
      <c r="F648" t="str">
        <f>"9781614704836"</f>
        <v>9781614704836</v>
      </c>
      <c r="G648" t="str">
        <f>"9781606925010"</f>
        <v>9781606925010</v>
      </c>
      <c r="H648" t="s">
        <v>775</v>
      </c>
      <c r="I648">
        <v>362.17830973000002</v>
      </c>
      <c r="J648" t="s">
        <v>1262</v>
      </c>
      <c r="K648" t="s">
        <v>73</v>
      </c>
      <c r="N648" t="s">
        <v>74</v>
      </c>
      <c r="O648" t="s">
        <v>75</v>
      </c>
      <c r="P648" t="s">
        <v>74</v>
      </c>
      <c r="Q648" t="s">
        <v>76</v>
      </c>
      <c r="R648" t="s">
        <v>73</v>
      </c>
      <c r="S648">
        <v>0</v>
      </c>
      <c r="W648" s="20">
        <v>4.6296296296296294E-5</v>
      </c>
      <c r="X648" t="s">
        <v>132</v>
      </c>
      <c r="Y648">
        <v>1</v>
      </c>
      <c r="Z648">
        <v>0</v>
      </c>
      <c r="AA648" t="s">
        <v>78</v>
      </c>
      <c r="AB648">
        <v>0</v>
      </c>
      <c r="AC648" t="s">
        <v>78</v>
      </c>
      <c r="AD648">
        <v>0</v>
      </c>
      <c r="AE648">
        <v>10677981</v>
      </c>
      <c r="AF648" t="s">
        <v>79</v>
      </c>
      <c r="AG648" t="s">
        <v>1164</v>
      </c>
    </row>
    <row r="649" spans="1:33" x14ac:dyDescent="0.35">
      <c r="A649" s="18">
        <v>44488.515972222223</v>
      </c>
      <c r="B649">
        <v>848526</v>
      </c>
      <c r="C649" t="s">
        <v>1144</v>
      </c>
      <c r="D649" t="s">
        <v>70</v>
      </c>
      <c r="E649" s="19">
        <v>41212</v>
      </c>
      <c r="F649" t="str">
        <f>"9781118310069"</f>
        <v>9781118310069</v>
      </c>
      <c r="G649" t="str">
        <f>"9780470566671"</f>
        <v>9780470566671</v>
      </c>
      <c r="H649" t="s">
        <v>1145</v>
      </c>
      <c r="I649">
        <v>610.28</v>
      </c>
      <c r="J649" t="s">
        <v>1146</v>
      </c>
      <c r="K649" t="s">
        <v>73</v>
      </c>
      <c r="N649" t="s">
        <v>74</v>
      </c>
      <c r="O649" t="s">
        <v>75</v>
      </c>
      <c r="P649" t="s">
        <v>74</v>
      </c>
      <c r="Q649" t="s">
        <v>76</v>
      </c>
      <c r="R649" t="s">
        <v>73</v>
      </c>
      <c r="S649">
        <v>1</v>
      </c>
      <c r="W649" s="20">
        <v>0</v>
      </c>
      <c r="X649" t="s">
        <v>78</v>
      </c>
      <c r="Y649">
        <v>0</v>
      </c>
      <c r="Z649">
        <v>0</v>
      </c>
      <c r="AA649" t="s">
        <v>78</v>
      </c>
      <c r="AB649">
        <v>0</v>
      </c>
      <c r="AC649" t="s">
        <v>78</v>
      </c>
      <c r="AD649">
        <v>0</v>
      </c>
      <c r="AE649">
        <v>10615085</v>
      </c>
      <c r="AF649" t="s">
        <v>88</v>
      </c>
      <c r="AG649" t="s">
        <v>1164</v>
      </c>
    </row>
    <row r="650" spans="1:33" x14ac:dyDescent="0.35">
      <c r="A650" s="18">
        <v>44488.497916666667</v>
      </c>
      <c r="B650">
        <v>3004400</v>
      </c>
      <c r="C650" t="s">
        <v>1659</v>
      </c>
      <c r="D650" t="s">
        <v>875</v>
      </c>
      <c r="E650" s="19">
        <v>36373</v>
      </c>
      <c r="F650" t="str">
        <f>"9780815753377"</f>
        <v>9780815753377</v>
      </c>
      <c r="G650" t="str">
        <f>"9780815753124"</f>
        <v>9780815753124</v>
      </c>
      <c r="H650" t="s">
        <v>128</v>
      </c>
      <c r="I650" t="s">
        <v>1537</v>
      </c>
      <c r="J650" t="s">
        <v>1660</v>
      </c>
      <c r="K650" t="s">
        <v>73</v>
      </c>
      <c r="N650" t="s">
        <v>74</v>
      </c>
      <c r="O650" t="s">
        <v>75</v>
      </c>
      <c r="P650" t="s">
        <v>74</v>
      </c>
      <c r="Q650" t="s">
        <v>76</v>
      </c>
      <c r="R650" t="s">
        <v>73</v>
      </c>
      <c r="S650">
        <v>0</v>
      </c>
      <c r="W650" s="20">
        <v>1.25E-3</v>
      </c>
      <c r="X650" t="s">
        <v>1661</v>
      </c>
      <c r="Y650">
        <v>4</v>
      </c>
      <c r="Z650">
        <v>0</v>
      </c>
      <c r="AA650" t="s">
        <v>78</v>
      </c>
      <c r="AB650">
        <v>0</v>
      </c>
      <c r="AC650" t="s">
        <v>78</v>
      </c>
      <c r="AD650">
        <v>0</v>
      </c>
      <c r="AE650">
        <v>10063868</v>
      </c>
      <c r="AF650" t="s">
        <v>79</v>
      </c>
      <c r="AG650" t="s">
        <v>1164</v>
      </c>
    </row>
    <row r="651" spans="1:33" x14ac:dyDescent="0.35">
      <c r="A651" s="18">
        <v>44488.440972222219</v>
      </c>
      <c r="B651">
        <v>1711621</v>
      </c>
      <c r="C651" t="s">
        <v>1662</v>
      </c>
      <c r="D651" t="s">
        <v>70</v>
      </c>
      <c r="E651" s="19">
        <v>41848</v>
      </c>
      <c r="F651" t="str">
        <f>"9781118904947"</f>
        <v>9781118904947</v>
      </c>
      <c r="G651" t="str">
        <f>"9781118460207"</f>
        <v>9781118460207</v>
      </c>
      <c r="H651" t="s">
        <v>1663</v>
      </c>
      <c r="I651">
        <v>658.38199999999995</v>
      </c>
      <c r="J651" t="s">
        <v>1664</v>
      </c>
      <c r="K651" t="s">
        <v>73</v>
      </c>
      <c r="N651" t="s">
        <v>74</v>
      </c>
      <c r="O651" t="s">
        <v>75</v>
      </c>
      <c r="P651" t="s">
        <v>74</v>
      </c>
      <c r="Q651" t="s">
        <v>76</v>
      </c>
      <c r="R651" t="s">
        <v>73</v>
      </c>
      <c r="S651">
        <v>0</v>
      </c>
      <c r="W651" s="20">
        <v>1.0995370370370371E-3</v>
      </c>
      <c r="X651" t="s">
        <v>1665</v>
      </c>
      <c r="Y651">
        <v>8</v>
      </c>
      <c r="Z651">
        <v>4</v>
      </c>
      <c r="AA651" t="s">
        <v>1666</v>
      </c>
      <c r="AB651">
        <v>36</v>
      </c>
      <c r="AC651" t="s">
        <v>78</v>
      </c>
      <c r="AD651">
        <v>0</v>
      </c>
      <c r="AE651">
        <v>10883233</v>
      </c>
      <c r="AF651" t="s">
        <v>79</v>
      </c>
      <c r="AG651" t="s">
        <v>1164</v>
      </c>
    </row>
    <row r="652" spans="1:33" x14ac:dyDescent="0.35">
      <c r="A652" s="18">
        <v>44487.961805555555</v>
      </c>
      <c r="B652">
        <v>1718627</v>
      </c>
      <c r="C652" t="s">
        <v>1667</v>
      </c>
      <c r="D652" t="s">
        <v>338</v>
      </c>
      <c r="E652" s="19">
        <v>41837</v>
      </c>
      <c r="F652" t="str">
        <f>"9780444634436"</f>
        <v>9780444634436</v>
      </c>
      <c r="G652" t="str">
        <f>"9780444634344"</f>
        <v>9780444634344</v>
      </c>
      <c r="H652" t="s">
        <v>391</v>
      </c>
      <c r="I652">
        <v>660.28150000000005</v>
      </c>
      <c r="J652" t="s">
        <v>1668</v>
      </c>
      <c r="K652" t="s">
        <v>73</v>
      </c>
      <c r="N652" t="s">
        <v>74</v>
      </c>
      <c r="O652" t="s">
        <v>75</v>
      </c>
      <c r="P652" t="s">
        <v>74</v>
      </c>
      <c r="Q652" t="s">
        <v>76</v>
      </c>
      <c r="R652" t="s">
        <v>73</v>
      </c>
      <c r="S652">
        <v>0</v>
      </c>
      <c r="W652" s="20">
        <v>1.4930555555555556E-3</v>
      </c>
      <c r="X652" t="s">
        <v>1669</v>
      </c>
      <c r="Y652">
        <v>8</v>
      </c>
      <c r="Z652">
        <v>0</v>
      </c>
      <c r="AA652" t="s">
        <v>78</v>
      </c>
      <c r="AB652">
        <v>0</v>
      </c>
      <c r="AC652" t="s">
        <v>78</v>
      </c>
      <c r="AD652">
        <v>0</v>
      </c>
      <c r="AE652">
        <v>10887323</v>
      </c>
      <c r="AF652" t="s">
        <v>79</v>
      </c>
      <c r="AG652" t="s">
        <v>515</v>
      </c>
    </row>
    <row r="653" spans="1:33" x14ac:dyDescent="0.35">
      <c r="A653" s="18">
        <v>44487.959722222222</v>
      </c>
      <c r="B653">
        <v>4003153</v>
      </c>
      <c r="C653" t="s">
        <v>1670</v>
      </c>
      <c r="D653" t="s">
        <v>338</v>
      </c>
      <c r="E653" s="19">
        <v>42151</v>
      </c>
      <c r="F653" t="str">
        <f>"9780444634450"</f>
        <v>9780444634450</v>
      </c>
      <c r="G653" t="str">
        <f>"9780444634290"</f>
        <v>9780444634290</v>
      </c>
      <c r="H653" t="s">
        <v>1671</v>
      </c>
      <c r="I653">
        <v>660.28150000000005</v>
      </c>
      <c r="J653" t="s">
        <v>1672</v>
      </c>
      <c r="K653" t="s">
        <v>73</v>
      </c>
      <c r="N653" t="s">
        <v>74</v>
      </c>
      <c r="O653" t="s">
        <v>75</v>
      </c>
      <c r="P653" t="s">
        <v>74</v>
      </c>
      <c r="Q653" t="s">
        <v>76</v>
      </c>
      <c r="R653" t="s">
        <v>73</v>
      </c>
      <c r="S653">
        <v>0</v>
      </c>
      <c r="W653" s="20">
        <v>1.3194444444444443E-3</v>
      </c>
      <c r="X653" t="s">
        <v>1673</v>
      </c>
      <c r="Y653">
        <v>17</v>
      </c>
      <c r="Z653">
        <v>0</v>
      </c>
      <c r="AA653" t="s">
        <v>78</v>
      </c>
      <c r="AB653">
        <v>0</v>
      </c>
      <c r="AC653" t="s">
        <v>78</v>
      </c>
      <c r="AD653">
        <v>0</v>
      </c>
      <c r="AE653">
        <v>11077951</v>
      </c>
      <c r="AF653" t="s">
        <v>79</v>
      </c>
      <c r="AG653" t="s">
        <v>515</v>
      </c>
    </row>
    <row r="654" spans="1:33" x14ac:dyDescent="0.35">
      <c r="A654" s="18">
        <v>44487.942361111112</v>
      </c>
      <c r="B654">
        <v>166046</v>
      </c>
      <c r="C654" t="s">
        <v>1674</v>
      </c>
      <c r="D654" t="s">
        <v>127</v>
      </c>
      <c r="E654" s="19">
        <v>36832</v>
      </c>
      <c r="F654" t="str">
        <f>"9780203187753"</f>
        <v>9780203187753</v>
      </c>
      <c r="G654" t="str">
        <f>"9780415170864"</f>
        <v>9780415170864</v>
      </c>
      <c r="H654" t="s">
        <v>128</v>
      </c>
      <c r="I654">
        <v>363.330941</v>
      </c>
      <c r="J654" t="s">
        <v>1675</v>
      </c>
      <c r="K654" t="s">
        <v>73</v>
      </c>
      <c r="N654" t="s">
        <v>74</v>
      </c>
      <c r="O654" t="s">
        <v>75</v>
      </c>
      <c r="P654" t="s">
        <v>74</v>
      </c>
      <c r="Q654" t="s">
        <v>76</v>
      </c>
      <c r="R654" t="s">
        <v>73</v>
      </c>
      <c r="S654">
        <v>0</v>
      </c>
      <c r="W654" s="20">
        <v>8.2291666666666659E-3</v>
      </c>
      <c r="X654" t="s">
        <v>1676</v>
      </c>
      <c r="Y654">
        <v>8</v>
      </c>
      <c r="Z654">
        <v>0</v>
      </c>
      <c r="AA654" t="s">
        <v>78</v>
      </c>
      <c r="AB654">
        <v>0</v>
      </c>
      <c r="AC654" t="s">
        <v>78</v>
      </c>
      <c r="AD654">
        <v>0</v>
      </c>
      <c r="AE654">
        <v>5002097</v>
      </c>
      <c r="AF654" t="s">
        <v>79</v>
      </c>
      <c r="AG654" t="s">
        <v>1164</v>
      </c>
    </row>
    <row r="655" spans="1:33" x14ac:dyDescent="0.35">
      <c r="A655" s="18">
        <v>44487.94027777778</v>
      </c>
      <c r="B655">
        <v>3019847</v>
      </c>
      <c r="C655" t="s">
        <v>1525</v>
      </c>
      <c r="D655" t="s">
        <v>226</v>
      </c>
      <c r="E655" s="19">
        <v>40118</v>
      </c>
      <c r="F655" t="str">
        <f>"9781613244463"</f>
        <v>9781613244463</v>
      </c>
      <c r="G655" t="str">
        <f>"9781606922262"</f>
        <v>9781606922262</v>
      </c>
      <c r="H655" t="s">
        <v>251</v>
      </c>
      <c r="I655" t="s">
        <v>1526</v>
      </c>
      <c r="J655" t="s">
        <v>1527</v>
      </c>
      <c r="K655" t="s">
        <v>73</v>
      </c>
      <c r="N655" t="s">
        <v>74</v>
      </c>
      <c r="O655" t="s">
        <v>75</v>
      </c>
      <c r="P655" t="s">
        <v>230</v>
      </c>
      <c r="Q655" t="s">
        <v>76</v>
      </c>
      <c r="R655" t="s">
        <v>85</v>
      </c>
      <c r="S655">
        <v>0</v>
      </c>
      <c r="W655" s="20">
        <v>1.0995370370370371E-3</v>
      </c>
      <c r="X655" t="s">
        <v>1677</v>
      </c>
      <c r="Y655">
        <v>6</v>
      </c>
      <c r="Z655">
        <v>0</v>
      </c>
      <c r="AA655" t="s">
        <v>78</v>
      </c>
      <c r="AB655">
        <v>0</v>
      </c>
      <c r="AC655" t="s">
        <v>78</v>
      </c>
      <c r="AD655">
        <v>0</v>
      </c>
      <c r="AE655">
        <v>10671412</v>
      </c>
      <c r="AF655" t="s">
        <v>79</v>
      </c>
      <c r="AG655" t="s">
        <v>1164</v>
      </c>
    </row>
    <row r="656" spans="1:33" x14ac:dyDescent="0.35">
      <c r="A656" s="18">
        <v>44487.915972222225</v>
      </c>
      <c r="B656">
        <v>241408</v>
      </c>
      <c r="C656" t="s">
        <v>1536</v>
      </c>
      <c r="D656" t="s">
        <v>102</v>
      </c>
      <c r="E656" s="19">
        <v>36825</v>
      </c>
      <c r="F656" t="str">
        <f>"9781602564251"</f>
        <v>9781602564251</v>
      </c>
      <c r="G656" t="str">
        <f>"9780195137934"</f>
        <v>9780195137934</v>
      </c>
      <c r="H656" t="s">
        <v>128</v>
      </c>
      <c r="I656" t="s">
        <v>1537</v>
      </c>
      <c r="J656" t="s">
        <v>1538</v>
      </c>
      <c r="K656" t="s">
        <v>73</v>
      </c>
      <c r="N656" t="s">
        <v>74</v>
      </c>
      <c r="O656" t="s">
        <v>75</v>
      </c>
      <c r="P656" t="s">
        <v>74</v>
      </c>
      <c r="Q656" t="s">
        <v>76</v>
      </c>
      <c r="R656" t="s">
        <v>73</v>
      </c>
      <c r="S656">
        <v>0</v>
      </c>
      <c r="W656" s="20">
        <v>3.0092592592592595E-4</v>
      </c>
      <c r="X656" t="s">
        <v>1678</v>
      </c>
      <c r="Y656">
        <v>6</v>
      </c>
      <c r="Z656">
        <v>0</v>
      </c>
      <c r="AA656" t="s">
        <v>78</v>
      </c>
      <c r="AB656">
        <v>0</v>
      </c>
      <c r="AC656" t="s">
        <v>78</v>
      </c>
      <c r="AD656">
        <v>0</v>
      </c>
      <c r="AE656">
        <v>10084856</v>
      </c>
      <c r="AF656" t="s">
        <v>79</v>
      </c>
      <c r="AG656" t="s">
        <v>1164</v>
      </c>
    </row>
    <row r="657" spans="1:33" x14ac:dyDescent="0.35">
      <c r="A657" s="18">
        <v>44487.84375</v>
      </c>
      <c r="B657">
        <v>537357</v>
      </c>
      <c r="C657" t="s">
        <v>1679</v>
      </c>
      <c r="D657" t="s">
        <v>70</v>
      </c>
      <c r="E657" s="19">
        <v>40399</v>
      </c>
      <c r="F657" t="str">
        <f>"9780470606841"</f>
        <v>9780470606841</v>
      </c>
      <c r="G657" t="str">
        <f>"9780470195567"</f>
        <v>9780470195567</v>
      </c>
      <c r="H657" t="s">
        <v>848</v>
      </c>
      <c r="I657">
        <v>547.0504426</v>
      </c>
      <c r="J657" t="s">
        <v>1680</v>
      </c>
      <c r="K657" t="s">
        <v>73</v>
      </c>
      <c r="N657" t="s">
        <v>74</v>
      </c>
      <c r="O657" t="s">
        <v>75</v>
      </c>
      <c r="P657" t="s">
        <v>74</v>
      </c>
      <c r="Q657" t="s">
        <v>76</v>
      </c>
      <c r="R657" t="s">
        <v>73</v>
      </c>
      <c r="S657">
        <v>0</v>
      </c>
      <c r="W657" s="20">
        <v>7.2685185185185188E-3</v>
      </c>
      <c r="X657" t="s">
        <v>1681</v>
      </c>
      <c r="Y657">
        <v>27</v>
      </c>
      <c r="Z657">
        <v>0</v>
      </c>
      <c r="AA657" t="s">
        <v>78</v>
      </c>
      <c r="AB657">
        <v>0</v>
      </c>
      <c r="AC657" t="s">
        <v>1682</v>
      </c>
      <c r="AD657">
        <v>4</v>
      </c>
      <c r="AE657">
        <v>10389620</v>
      </c>
      <c r="AF657" t="s">
        <v>79</v>
      </c>
      <c r="AG657" t="s">
        <v>1164</v>
      </c>
    </row>
    <row r="658" spans="1:33" x14ac:dyDescent="0.35">
      <c r="A658" s="18">
        <v>44487.811111111114</v>
      </c>
      <c r="B658">
        <v>3339191</v>
      </c>
      <c r="C658" t="s">
        <v>1683</v>
      </c>
      <c r="D658" t="s">
        <v>300</v>
      </c>
      <c r="E658" s="19">
        <v>40592</v>
      </c>
      <c r="F658" t="str">
        <f>"9780262295321"</f>
        <v>9780262295321</v>
      </c>
      <c r="G658" t="str">
        <f>"9780262015356"</f>
        <v>9780262015356</v>
      </c>
      <c r="H658" t="s">
        <v>1122</v>
      </c>
      <c r="I658" t="s">
        <v>1684</v>
      </c>
      <c r="J658" t="s">
        <v>1685</v>
      </c>
      <c r="K658" t="s">
        <v>85</v>
      </c>
      <c r="N658" t="s">
        <v>74</v>
      </c>
      <c r="O658" t="s">
        <v>75</v>
      </c>
      <c r="P658" t="s">
        <v>74</v>
      </c>
      <c r="Q658" t="s">
        <v>76</v>
      </c>
      <c r="R658" t="s">
        <v>73</v>
      </c>
      <c r="S658">
        <v>1</v>
      </c>
      <c r="W658" s="20">
        <v>7.951388888888888E-3</v>
      </c>
      <c r="X658" t="s">
        <v>1686</v>
      </c>
      <c r="Y658">
        <v>52</v>
      </c>
      <c r="Z658">
        <v>0</v>
      </c>
      <c r="AA658" t="s">
        <v>78</v>
      </c>
      <c r="AB658">
        <v>0</v>
      </c>
      <c r="AC658" t="s">
        <v>78</v>
      </c>
      <c r="AD658">
        <v>0</v>
      </c>
      <c r="AE658">
        <v>10453037</v>
      </c>
      <c r="AF658" t="s">
        <v>88</v>
      </c>
      <c r="AG658" t="s">
        <v>1512</v>
      </c>
    </row>
    <row r="659" spans="1:33" x14ac:dyDescent="0.35">
      <c r="A659" s="18">
        <v>44487.810416666667</v>
      </c>
      <c r="B659">
        <v>3339191</v>
      </c>
      <c r="C659" t="s">
        <v>1683</v>
      </c>
      <c r="D659" t="s">
        <v>300</v>
      </c>
      <c r="E659" s="19">
        <v>40592</v>
      </c>
      <c r="F659" t="str">
        <f>"9780262295321"</f>
        <v>9780262295321</v>
      </c>
      <c r="G659" t="str">
        <f>"9780262015356"</f>
        <v>9780262015356</v>
      </c>
      <c r="H659" t="s">
        <v>1122</v>
      </c>
      <c r="I659" t="s">
        <v>1684</v>
      </c>
      <c r="J659" t="s">
        <v>1685</v>
      </c>
      <c r="K659" t="s">
        <v>85</v>
      </c>
      <c r="N659" t="s">
        <v>74</v>
      </c>
      <c r="O659" t="s">
        <v>75</v>
      </c>
      <c r="P659" t="s">
        <v>74</v>
      </c>
      <c r="Q659" t="s">
        <v>76</v>
      </c>
      <c r="R659" t="s">
        <v>73</v>
      </c>
      <c r="S659">
        <v>1</v>
      </c>
      <c r="W659" s="20">
        <v>0</v>
      </c>
      <c r="X659" t="s">
        <v>78</v>
      </c>
      <c r="Y659">
        <v>0</v>
      </c>
      <c r="Z659">
        <v>0</v>
      </c>
      <c r="AA659" t="s">
        <v>78</v>
      </c>
      <c r="AB659">
        <v>0</v>
      </c>
      <c r="AC659" t="s">
        <v>78</v>
      </c>
      <c r="AD659">
        <v>0</v>
      </c>
      <c r="AE659">
        <v>10453037</v>
      </c>
      <c r="AF659" t="s">
        <v>88</v>
      </c>
      <c r="AG659" t="s">
        <v>1512</v>
      </c>
    </row>
    <row r="660" spans="1:33" x14ac:dyDescent="0.35">
      <c r="A660" s="18">
        <v>44487.804166666669</v>
      </c>
      <c r="B660">
        <v>3020585</v>
      </c>
      <c r="C660" t="s">
        <v>1261</v>
      </c>
      <c r="D660" t="s">
        <v>226</v>
      </c>
      <c r="E660" s="19">
        <v>39539</v>
      </c>
      <c r="F660" t="str">
        <f>"9781614704836"</f>
        <v>9781614704836</v>
      </c>
      <c r="G660" t="str">
        <f>"9781606925010"</f>
        <v>9781606925010</v>
      </c>
      <c r="H660" t="s">
        <v>775</v>
      </c>
      <c r="I660">
        <v>362.17830973000002</v>
      </c>
      <c r="J660" t="s">
        <v>1262</v>
      </c>
      <c r="K660" t="s">
        <v>73</v>
      </c>
      <c r="N660" t="s">
        <v>74</v>
      </c>
      <c r="O660" t="s">
        <v>75</v>
      </c>
      <c r="P660" t="s">
        <v>74</v>
      </c>
      <c r="Q660" t="s">
        <v>76</v>
      </c>
      <c r="R660" t="s">
        <v>73</v>
      </c>
      <c r="S660">
        <v>0</v>
      </c>
      <c r="W660" s="20">
        <v>6.7129629629629625E-4</v>
      </c>
      <c r="X660" t="s">
        <v>1687</v>
      </c>
      <c r="Y660">
        <v>5</v>
      </c>
      <c r="Z660">
        <v>0</v>
      </c>
      <c r="AA660" t="s">
        <v>78</v>
      </c>
      <c r="AB660">
        <v>0</v>
      </c>
      <c r="AC660" t="s">
        <v>78</v>
      </c>
      <c r="AD660">
        <v>0</v>
      </c>
      <c r="AE660">
        <v>10677981</v>
      </c>
      <c r="AF660" t="s">
        <v>79</v>
      </c>
      <c r="AG660" t="s">
        <v>1164</v>
      </c>
    </row>
    <row r="661" spans="1:33" x14ac:dyDescent="0.35">
      <c r="A661" s="18">
        <v>44487.792361111111</v>
      </c>
      <c r="B661">
        <v>478635</v>
      </c>
      <c r="C661" t="s">
        <v>1688</v>
      </c>
      <c r="D661" t="s">
        <v>1689</v>
      </c>
      <c r="E661" s="19">
        <v>39387</v>
      </c>
      <c r="F661" t="str">
        <f>"9781551522968"</f>
        <v>9781551522968</v>
      </c>
      <c r="G661" t="str">
        <f>"9781551522289"</f>
        <v>9781551522289</v>
      </c>
      <c r="H661" t="s">
        <v>822</v>
      </c>
      <c r="I661">
        <v>779.2</v>
      </c>
      <c r="J661" t="s">
        <v>1690</v>
      </c>
      <c r="K661" t="s">
        <v>73</v>
      </c>
      <c r="N661" t="s">
        <v>74</v>
      </c>
      <c r="O661" t="s">
        <v>75</v>
      </c>
      <c r="P661" t="s">
        <v>74</v>
      </c>
      <c r="Q661" t="s">
        <v>76</v>
      </c>
      <c r="R661" t="s">
        <v>73</v>
      </c>
      <c r="S661">
        <v>0</v>
      </c>
      <c r="W661" s="20">
        <v>2.4305555555555552E-4</v>
      </c>
      <c r="X661" t="s">
        <v>1691</v>
      </c>
      <c r="Y661">
        <v>7</v>
      </c>
      <c r="Z661">
        <v>0</v>
      </c>
      <c r="AA661" t="s">
        <v>78</v>
      </c>
      <c r="AB661">
        <v>0</v>
      </c>
      <c r="AC661" t="s">
        <v>78</v>
      </c>
      <c r="AD661">
        <v>0</v>
      </c>
      <c r="AE661">
        <v>10298296</v>
      </c>
      <c r="AF661" t="s">
        <v>79</v>
      </c>
      <c r="AG661" t="s">
        <v>1558</v>
      </c>
    </row>
    <row r="662" spans="1:33" x14ac:dyDescent="0.35">
      <c r="A662" s="18">
        <v>44487.790972222225</v>
      </c>
      <c r="B662">
        <v>1886939</v>
      </c>
      <c r="C662" t="s">
        <v>1692</v>
      </c>
      <c r="D662" t="s">
        <v>127</v>
      </c>
      <c r="E662" s="19">
        <v>41872</v>
      </c>
      <c r="F662" t="str">
        <f>"9781317488514"</f>
        <v>9781317488514</v>
      </c>
      <c r="G662" t="str">
        <f>"9781844651573"</f>
        <v>9781844651573</v>
      </c>
      <c r="H662" t="s">
        <v>662</v>
      </c>
      <c r="I662">
        <v>306.39999999999998</v>
      </c>
      <c r="J662" t="s">
        <v>1693</v>
      </c>
      <c r="K662" t="s">
        <v>73</v>
      </c>
      <c r="N662" t="s">
        <v>74</v>
      </c>
      <c r="O662" t="s">
        <v>75</v>
      </c>
      <c r="P662" t="s">
        <v>74</v>
      </c>
      <c r="Q662" t="s">
        <v>76</v>
      </c>
      <c r="R662" t="s">
        <v>73</v>
      </c>
      <c r="S662">
        <v>0</v>
      </c>
      <c r="W662" s="20">
        <v>6.2500000000000001E-4</v>
      </c>
      <c r="X662" t="s">
        <v>1694</v>
      </c>
      <c r="Y662">
        <v>14</v>
      </c>
      <c r="Z662">
        <v>0</v>
      </c>
      <c r="AA662" t="s">
        <v>78</v>
      </c>
      <c r="AB662">
        <v>0</v>
      </c>
      <c r="AC662" t="s">
        <v>78</v>
      </c>
      <c r="AD662">
        <v>0</v>
      </c>
      <c r="AE662">
        <v>10455509</v>
      </c>
      <c r="AF662" t="s">
        <v>79</v>
      </c>
      <c r="AG662" t="s">
        <v>1558</v>
      </c>
    </row>
    <row r="663" spans="1:33" x14ac:dyDescent="0.35">
      <c r="A663" s="18">
        <v>44487.759722222225</v>
      </c>
      <c r="B663">
        <v>4585271</v>
      </c>
      <c r="C663" t="s">
        <v>377</v>
      </c>
      <c r="D663" t="s">
        <v>70</v>
      </c>
      <c r="E663" s="19">
        <v>42583</v>
      </c>
      <c r="F663" t="str">
        <f>"9781119179597"</f>
        <v>9781119179597</v>
      </c>
      <c r="G663" t="str">
        <f>"9781119179573"</f>
        <v>9781119179573</v>
      </c>
      <c r="H663" t="s">
        <v>378</v>
      </c>
      <c r="I663">
        <v>658.4</v>
      </c>
      <c r="J663" t="s">
        <v>379</v>
      </c>
      <c r="K663" t="s">
        <v>73</v>
      </c>
      <c r="N663" t="s">
        <v>74</v>
      </c>
      <c r="O663" t="s">
        <v>75</v>
      </c>
      <c r="P663" t="s">
        <v>74</v>
      </c>
      <c r="Q663" t="s">
        <v>76</v>
      </c>
      <c r="R663" t="s">
        <v>73</v>
      </c>
      <c r="S663">
        <v>0</v>
      </c>
      <c r="W663" s="20">
        <v>4.7453703703703704E-4</v>
      </c>
      <c r="X663" t="s">
        <v>851</v>
      </c>
      <c r="Y663">
        <v>8</v>
      </c>
      <c r="Z663">
        <v>0</v>
      </c>
      <c r="AA663" t="s">
        <v>78</v>
      </c>
      <c r="AB663">
        <v>0</v>
      </c>
      <c r="AC663" t="s">
        <v>78</v>
      </c>
      <c r="AD663">
        <v>0</v>
      </c>
      <c r="AE663">
        <v>11234254</v>
      </c>
      <c r="AF663" t="s">
        <v>79</v>
      </c>
      <c r="AG663" t="s">
        <v>1695</v>
      </c>
    </row>
    <row r="664" spans="1:33" x14ac:dyDescent="0.35">
      <c r="A664" s="18">
        <v>44487.634027777778</v>
      </c>
      <c r="B664">
        <v>954632</v>
      </c>
      <c r="C664" t="s">
        <v>1443</v>
      </c>
      <c r="D664" t="s">
        <v>1258</v>
      </c>
      <c r="E664" s="19">
        <v>41320</v>
      </c>
      <c r="F664" t="str">
        <f>"9781606503263"</f>
        <v>9781606503263</v>
      </c>
      <c r="G664" t="str">
        <f>"9781606503249"</f>
        <v>9781606503249</v>
      </c>
      <c r="H664" t="s">
        <v>143</v>
      </c>
      <c r="I664">
        <v>658.2</v>
      </c>
      <c r="J664" t="s">
        <v>1444</v>
      </c>
      <c r="K664" t="s">
        <v>73</v>
      </c>
      <c r="N664" t="s">
        <v>74</v>
      </c>
      <c r="O664" t="s">
        <v>75</v>
      </c>
      <c r="P664" t="s">
        <v>74</v>
      </c>
      <c r="Q664" t="s">
        <v>76</v>
      </c>
      <c r="R664" t="s">
        <v>73</v>
      </c>
      <c r="S664">
        <v>0</v>
      </c>
      <c r="W664" s="20">
        <v>4.6296296296296294E-5</v>
      </c>
      <c r="X664" t="s">
        <v>1523</v>
      </c>
      <c r="Y664">
        <v>1</v>
      </c>
      <c r="Z664">
        <v>0</v>
      </c>
      <c r="AA664" t="s">
        <v>78</v>
      </c>
      <c r="AB664">
        <v>0</v>
      </c>
      <c r="AC664" t="s">
        <v>78</v>
      </c>
      <c r="AD664">
        <v>0</v>
      </c>
      <c r="AE664">
        <v>10661537</v>
      </c>
      <c r="AF664" t="s">
        <v>79</v>
      </c>
      <c r="AG664" t="s">
        <v>1164</v>
      </c>
    </row>
    <row r="665" spans="1:33" x14ac:dyDescent="0.35">
      <c r="A665" s="18">
        <v>44487.509722222225</v>
      </c>
      <c r="B665">
        <v>848526</v>
      </c>
      <c r="C665" t="s">
        <v>1144</v>
      </c>
      <c r="D665" t="s">
        <v>70</v>
      </c>
      <c r="E665" s="19">
        <v>41212</v>
      </c>
      <c r="F665" t="str">
        <f>"9781118310069"</f>
        <v>9781118310069</v>
      </c>
      <c r="G665" t="str">
        <f>"9780470566671"</f>
        <v>9780470566671</v>
      </c>
      <c r="H665" t="s">
        <v>1145</v>
      </c>
      <c r="I665">
        <v>610.28</v>
      </c>
      <c r="J665" t="s">
        <v>1146</v>
      </c>
      <c r="K665" t="s">
        <v>73</v>
      </c>
      <c r="N665" t="s">
        <v>74</v>
      </c>
      <c r="O665" t="s">
        <v>75</v>
      </c>
      <c r="P665" t="s">
        <v>74</v>
      </c>
      <c r="Q665" t="s">
        <v>76</v>
      </c>
      <c r="R665" t="s">
        <v>73</v>
      </c>
      <c r="S665">
        <v>1</v>
      </c>
      <c r="W665" s="20">
        <v>0</v>
      </c>
      <c r="X665" t="s">
        <v>78</v>
      </c>
      <c r="Y665">
        <v>0</v>
      </c>
      <c r="Z665">
        <v>0</v>
      </c>
      <c r="AA665" t="s">
        <v>78</v>
      </c>
      <c r="AB665">
        <v>0</v>
      </c>
      <c r="AC665" t="s">
        <v>78</v>
      </c>
      <c r="AD665">
        <v>0</v>
      </c>
      <c r="AE665">
        <v>10615085</v>
      </c>
      <c r="AF665" t="s">
        <v>88</v>
      </c>
      <c r="AG665" t="s">
        <v>1164</v>
      </c>
    </row>
    <row r="666" spans="1:33" x14ac:dyDescent="0.35">
      <c r="A666" s="18">
        <v>44487.489583333336</v>
      </c>
      <c r="B666">
        <v>1185780</v>
      </c>
      <c r="C666" t="s">
        <v>1636</v>
      </c>
      <c r="D666" t="s">
        <v>1637</v>
      </c>
      <c r="E666" s="19">
        <v>39386</v>
      </c>
      <c r="F666" t="str">
        <f>"9781847557926"</f>
        <v>9781847557926</v>
      </c>
      <c r="G666" t="str">
        <f>"9780854042418"</f>
        <v>9780854042418</v>
      </c>
      <c r="H666" t="s">
        <v>1638</v>
      </c>
      <c r="I666">
        <v>620.5</v>
      </c>
      <c r="J666" t="s">
        <v>1639</v>
      </c>
      <c r="K666" t="s">
        <v>73</v>
      </c>
      <c r="N666" t="s">
        <v>74</v>
      </c>
      <c r="O666" t="s">
        <v>75</v>
      </c>
      <c r="P666" t="s">
        <v>74</v>
      </c>
      <c r="Q666" t="s">
        <v>76</v>
      </c>
      <c r="R666" t="s">
        <v>73</v>
      </c>
      <c r="S666">
        <v>0</v>
      </c>
      <c r="W666" s="20">
        <v>4.8611111111111104E-4</v>
      </c>
      <c r="X666" t="s">
        <v>1696</v>
      </c>
      <c r="Y666">
        <v>6</v>
      </c>
      <c r="Z666">
        <v>0</v>
      </c>
      <c r="AA666" t="s">
        <v>78</v>
      </c>
      <c r="AB666">
        <v>0</v>
      </c>
      <c r="AC666" t="s">
        <v>78</v>
      </c>
      <c r="AD666">
        <v>0</v>
      </c>
      <c r="AE666">
        <v>10618728</v>
      </c>
      <c r="AF666" t="s">
        <v>88</v>
      </c>
      <c r="AG666" t="s">
        <v>1164</v>
      </c>
    </row>
    <row r="667" spans="1:33" x14ac:dyDescent="0.35">
      <c r="A667" s="18">
        <v>44487.449305555558</v>
      </c>
      <c r="B667">
        <v>1895166</v>
      </c>
      <c r="C667" t="s">
        <v>394</v>
      </c>
      <c r="D667" t="s">
        <v>70</v>
      </c>
      <c r="E667" s="19">
        <v>42100</v>
      </c>
      <c r="F667" t="str">
        <f>"9781118958490"</f>
        <v>9781118958490</v>
      </c>
      <c r="G667" t="str">
        <f>"9781118958476"</f>
        <v>9781118958476</v>
      </c>
      <c r="H667" t="s">
        <v>128</v>
      </c>
      <c r="I667">
        <v>364.16320000000002</v>
      </c>
      <c r="J667" t="s">
        <v>395</v>
      </c>
      <c r="K667" t="s">
        <v>73</v>
      </c>
      <c r="N667" t="s">
        <v>74</v>
      </c>
      <c r="O667" t="s">
        <v>75</v>
      </c>
      <c r="P667" t="s">
        <v>74</v>
      </c>
      <c r="Q667" t="s">
        <v>76</v>
      </c>
      <c r="R667" t="s">
        <v>73</v>
      </c>
      <c r="S667">
        <v>0</v>
      </c>
      <c r="W667" s="20">
        <v>2.1180555555555553E-3</v>
      </c>
      <c r="X667" t="s">
        <v>1697</v>
      </c>
      <c r="Y667">
        <v>8</v>
      </c>
      <c r="Z667">
        <v>0</v>
      </c>
      <c r="AA667" t="s">
        <v>78</v>
      </c>
      <c r="AB667">
        <v>0</v>
      </c>
      <c r="AC667" t="s">
        <v>78</v>
      </c>
      <c r="AD667">
        <v>0</v>
      </c>
      <c r="AE667">
        <v>11034356</v>
      </c>
      <c r="AF667" t="s">
        <v>79</v>
      </c>
      <c r="AG667" t="s">
        <v>333</v>
      </c>
    </row>
    <row r="668" spans="1:33" x14ac:dyDescent="0.35">
      <c r="A668" s="18">
        <v>44487.442361111112</v>
      </c>
      <c r="B668">
        <v>848526</v>
      </c>
      <c r="C668" t="s">
        <v>1144</v>
      </c>
      <c r="D668" t="s">
        <v>70</v>
      </c>
      <c r="E668" s="19">
        <v>41212</v>
      </c>
      <c r="F668" t="str">
        <f>"9781118310069"</f>
        <v>9781118310069</v>
      </c>
      <c r="G668" t="str">
        <f>"9780470566671"</f>
        <v>9780470566671</v>
      </c>
      <c r="H668" t="s">
        <v>1145</v>
      </c>
      <c r="I668">
        <v>610.28</v>
      </c>
      <c r="J668" t="s">
        <v>1146</v>
      </c>
      <c r="K668" t="s">
        <v>73</v>
      </c>
      <c r="N668" t="s">
        <v>74</v>
      </c>
      <c r="O668" t="s">
        <v>75</v>
      </c>
      <c r="P668" t="s">
        <v>74</v>
      </c>
      <c r="Q668" t="s">
        <v>76</v>
      </c>
      <c r="R668" t="s">
        <v>73</v>
      </c>
      <c r="S668">
        <v>0</v>
      </c>
      <c r="W668" s="20">
        <v>1.0960648148148148E-2</v>
      </c>
      <c r="X668" t="s">
        <v>1698</v>
      </c>
      <c r="Y668">
        <v>6</v>
      </c>
      <c r="Z668">
        <v>2</v>
      </c>
      <c r="AA668" t="s">
        <v>1699</v>
      </c>
      <c r="AB668">
        <v>62</v>
      </c>
      <c r="AC668" t="s">
        <v>78</v>
      </c>
      <c r="AD668">
        <v>0</v>
      </c>
      <c r="AE668">
        <v>10615085</v>
      </c>
      <c r="AF668" t="s">
        <v>79</v>
      </c>
      <c r="AG668" t="s">
        <v>293</v>
      </c>
    </row>
    <row r="669" spans="1:33" x14ac:dyDescent="0.35">
      <c r="A669" s="18">
        <v>44487.186805555553</v>
      </c>
      <c r="B669">
        <v>1752714</v>
      </c>
      <c r="C669" t="s">
        <v>1700</v>
      </c>
      <c r="D669" t="s">
        <v>70</v>
      </c>
      <c r="E669" s="19">
        <v>41911</v>
      </c>
      <c r="F669" t="str">
        <f>"9781119002864"</f>
        <v>9781119002864</v>
      </c>
      <c r="G669" t="str">
        <f>"9781848216921"</f>
        <v>9781848216921</v>
      </c>
      <c r="H669" t="s">
        <v>1701</v>
      </c>
      <c r="I669">
        <v>363.73820000000001</v>
      </c>
      <c r="J669" t="s">
        <v>1702</v>
      </c>
      <c r="K669" t="s">
        <v>73</v>
      </c>
      <c r="N669" t="s">
        <v>74</v>
      </c>
      <c r="O669" t="s">
        <v>75</v>
      </c>
      <c r="P669" t="s">
        <v>74</v>
      </c>
      <c r="Q669" t="s">
        <v>76</v>
      </c>
      <c r="R669" t="s">
        <v>73</v>
      </c>
      <c r="S669">
        <v>0</v>
      </c>
      <c r="W669" s="20">
        <v>4.6296296296296294E-5</v>
      </c>
      <c r="X669" t="s">
        <v>132</v>
      </c>
      <c r="Y669">
        <v>1</v>
      </c>
      <c r="Z669">
        <v>0</v>
      </c>
      <c r="AA669" t="s">
        <v>78</v>
      </c>
      <c r="AB669">
        <v>0</v>
      </c>
      <c r="AC669" t="s">
        <v>78</v>
      </c>
      <c r="AD669">
        <v>0</v>
      </c>
      <c r="AE669">
        <v>10899794</v>
      </c>
      <c r="AF669" t="s">
        <v>79</v>
      </c>
      <c r="AG669" t="s">
        <v>1164</v>
      </c>
    </row>
    <row r="670" spans="1:33" x14ac:dyDescent="0.35">
      <c r="A670" s="18">
        <v>44487.181944444441</v>
      </c>
      <c r="B670">
        <v>4045058</v>
      </c>
      <c r="C670" t="s">
        <v>1703</v>
      </c>
      <c r="D670" t="s">
        <v>158</v>
      </c>
      <c r="E670" s="19">
        <v>42317</v>
      </c>
      <c r="F670" t="str">
        <f>"9780444636126"</f>
        <v>9780444636126</v>
      </c>
      <c r="G670" t="str">
        <f>"9780444636072"</f>
        <v>9780444636072</v>
      </c>
      <c r="H670" t="s">
        <v>767</v>
      </c>
      <c r="I670">
        <v>628.21</v>
      </c>
      <c r="J670" t="s">
        <v>1704</v>
      </c>
      <c r="K670" t="s">
        <v>73</v>
      </c>
      <c r="N670" t="s">
        <v>74</v>
      </c>
      <c r="O670" t="s">
        <v>75</v>
      </c>
      <c r="P670" t="s">
        <v>74</v>
      </c>
      <c r="Q670" t="s">
        <v>76</v>
      </c>
      <c r="R670" t="s">
        <v>73</v>
      </c>
      <c r="S670">
        <v>0</v>
      </c>
      <c r="W670" s="20">
        <v>3.5879629629629635E-4</v>
      </c>
      <c r="X670" t="s">
        <v>132</v>
      </c>
      <c r="Y670">
        <v>1</v>
      </c>
      <c r="Z670">
        <v>0</v>
      </c>
      <c r="AA670" t="s">
        <v>78</v>
      </c>
      <c r="AB670">
        <v>0</v>
      </c>
      <c r="AC670" t="s">
        <v>78</v>
      </c>
      <c r="AD670">
        <v>0</v>
      </c>
      <c r="AE670">
        <v>11117257</v>
      </c>
      <c r="AF670" t="s">
        <v>79</v>
      </c>
      <c r="AG670" t="s">
        <v>1164</v>
      </c>
    </row>
    <row r="671" spans="1:33" x14ac:dyDescent="0.35">
      <c r="A671" s="18">
        <v>44486.964583333334</v>
      </c>
      <c r="B671">
        <v>1895166</v>
      </c>
      <c r="C671" t="s">
        <v>394</v>
      </c>
      <c r="D671" t="s">
        <v>70</v>
      </c>
      <c r="E671" s="19">
        <v>42100</v>
      </c>
      <c r="F671" t="str">
        <f>"9781118958490"</f>
        <v>9781118958490</v>
      </c>
      <c r="G671" t="str">
        <f>"9781118958476"</f>
        <v>9781118958476</v>
      </c>
      <c r="H671" t="s">
        <v>128</v>
      </c>
      <c r="I671">
        <v>364.16320000000002</v>
      </c>
      <c r="J671" t="s">
        <v>395</v>
      </c>
      <c r="K671" t="s">
        <v>73</v>
      </c>
      <c r="N671" t="s">
        <v>74</v>
      </c>
      <c r="O671" t="s">
        <v>75</v>
      </c>
      <c r="P671" t="s">
        <v>74</v>
      </c>
      <c r="Q671" t="s">
        <v>76</v>
      </c>
      <c r="R671" t="s">
        <v>73</v>
      </c>
      <c r="S671">
        <v>0</v>
      </c>
      <c r="W671" s="20">
        <v>4.3645833333333335E-2</v>
      </c>
      <c r="X671" t="s">
        <v>1705</v>
      </c>
      <c r="Y671">
        <v>32</v>
      </c>
      <c r="Z671">
        <v>0</v>
      </c>
      <c r="AA671" t="s">
        <v>78</v>
      </c>
      <c r="AB671">
        <v>0</v>
      </c>
      <c r="AC671" t="s">
        <v>78</v>
      </c>
      <c r="AD671">
        <v>0</v>
      </c>
      <c r="AE671">
        <v>11034356</v>
      </c>
      <c r="AF671" t="s">
        <v>79</v>
      </c>
      <c r="AG671" t="s">
        <v>333</v>
      </c>
    </row>
    <row r="672" spans="1:33" x14ac:dyDescent="0.35">
      <c r="A672" s="18">
        <v>44486.85</v>
      </c>
      <c r="B672">
        <v>848526</v>
      </c>
      <c r="C672" t="s">
        <v>1144</v>
      </c>
      <c r="D672" t="s">
        <v>70</v>
      </c>
      <c r="E672" s="19">
        <v>41212</v>
      </c>
      <c r="F672" t="str">
        <f>"9781118310069"</f>
        <v>9781118310069</v>
      </c>
      <c r="G672" t="str">
        <f>"9780470566671"</f>
        <v>9780470566671</v>
      </c>
      <c r="H672" t="s">
        <v>1145</v>
      </c>
      <c r="I672">
        <v>610.28</v>
      </c>
      <c r="J672" t="s">
        <v>1146</v>
      </c>
      <c r="K672" t="s">
        <v>73</v>
      </c>
      <c r="N672" t="s">
        <v>74</v>
      </c>
      <c r="O672" t="s">
        <v>75</v>
      </c>
      <c r="P672" t="s">
        <v>74</v>
      </c>
      <c r="Q672" t="s">
        <v>76</v>
      </c>
      <c r="R672" t="s">
        <v>73</v>
      </c>
      <c r="S672">
        <v>0</v>
      </c>
      <c r="W672" s="20">
        <v>1.4305555555555557E-2</v>
      </c>
      <c r="X672" t="s">
        <v>1706</v>
      </c>
      <c r="Y672">
        <v>5</v>
      </c>
      <c r="Z672">
        <v>1</v>
      </c>
      <c r="AA672" t="s">
        <v>1707</v>
      </c>
      <c r="AB672">
        <v>16</v>
      </c>
      <c r="AC672" t="s">
        <v>78</v>
      </c>
      <c r="AD672">
        <v>0</v>
      </c>
      <c r="AE672">
        <v>10615085</v>
      </c>
      <c r="AF672" t="s">
        <v>79</v>
      </c>
      <c r="AG672" t="s">
        <v>293</v>
      </c>
    </row>
    <row r="673" spans="1:33" x14ac:dyDescent="0.35">
      <c r="A673" s="18">
        <v>44486.815972222219</v>
      </c>
      <c r="B673">
        <v>848526</v>
      </c>
      <c r="C673" t="s">
        <v>1144</v>
      </c>
      <c r="D673" t="s">
        <v>70</v>
      </c>
      <c r="E673" s="19">
        <v>41212</v>
      </c>
      <c r="F673" t="str">
        <f>"9781118310069"</f>
        <v>9781118310069</v>
      </c>
      <c r="G673" t="str">
        <f>"9780470566671"</f>
        <v>9780470566671</v>
      </c>
      <c r="H673" t="s">
        <v>1145</v>
      </c>
      <c r="I673">
        <v>610.28</v>
      </c>
      <c r="J673" t="s">
        <v>1146</v>
      </c>
      <c r="K673" t="s">
        <v>73</v>
      </c>
      <c r="N673" t="s">
        <v>74</v>
      </c>
      <c r="O673" t="s">
        <v>75</v>
      </c>
      <c r="P673" t="s">
        <v>74</v>
      </c>
      <c r="Q673" t="s">
        <v>76</v>
      </c>
      <c r="R673" t="s">
        <v>73</v>
      </c>
      <c r="S673">
        <v>0</v>
      </c>
      <c r="W673" s="20">
        <v>1.4814814814814814E-3</v>
      </c>
      <c r="X673" t="s">
        <v>1708</v>
      </c>
      <c r="Y673">
        <v>7</v>
      </c>
      <c r="Z673">
        <v>0</v>
      </c>
      <c r="AA673" t="s">
        <v>78</v>
      </c>
      <c r="AB673">
        <v>0</v>
      </c>
      <c r="AC673" t="s">
        <v>78</v>
      </c>
      <c r="AD673">
        <v>0</v>
      </c>
      <c r="AE673">
        <v>10615085</v>
      </c>
      <c r="AF673" t="s">
        <v>79</v>
      </c>
      <c r="AG673" t="s">
        <v>293</v>
      </c>
    </row>
    <row r="674" spans="1:33" x14ac:dyDescent="0.35">
      <c r="A674" s="18">
        <v>44486.758333333331</v>
      </c>
      <c r="B674">
        <v>858659</v>
      </c>
      <c r="C674" t="s">
        <v>157</v>
      </c>
      <c r="D674" t="s">
        <v>158</v>
      </c>
      <c r="E674" s="19">
        <v>40957</v>
      </c>
      <c r="F674" t="str">
        <f>"9780080966601"</f>
        <v>9780080966601</v>
      </c>
      <c r="G674" t="str">
        <f>"9780080966595"</f>
        <v>9780080966595</v>
      </c>
      <c r="H674" t="s">
        <v>159</v>
      </c>
      <c r="I674" t="s">
        <v>160</v>
      </c>
      <c r="J674" t="s">
        <v>161</v>
      </c>
      <c r="K674" t="s">
        <v>73</v>
      </c>
      <c r="N674" t="s">
        <v>74</v>
      </c>
      <c r="O674" t="s">
        <v>75</v>
      </c>
      <c r="P674" t="s">
        <v>74</v>
      </c>
      <c r="Q674" t="s">
        <v>76</v>
      </c>
      <c r="R674" t="s">
        <v>73</v>
      </c>
      <c r="S674">
        <v>0</v>
      </c>
      <c r="W674" s="20">
        <v>5.6712962962962956E-4</v>
      </c>
      <c r="X674" t="s">
        <v>1709</v>
      </c>
      <c r="Y674">
        <v>10</v>
      </c>
      <c r="Z674">
        <v>0</v>
      </c>
      <c r="AA674" t="s">
        <v>78</v>
      </c>
      <c r="AB674">
        <v>0</v>
      </c>
      <c r="AC674" t="s">
        <v>78</v>
      </c>
      <c r="AD674">
        <v>0</v>
      </c>
      <c r="AE674">
        <v>10562149</v>
      </c>
      <c r="AF674" t="s">
        <v>79</v>
      </c>
      <c r="AG674" t="s">
        <v>1558</v>
      </c>
    </row>
    <row r="675" spans="1:33" x14ac:dyDescent="0.35">
      <c r="A675" s="18">
        <v>44486.722222222219</v>
      </c>
      <c r="B675">
        <v>4039507</v>
      </c>
      <c r="C675" t="s">
        <v>1710</v>
      </c>
      <c r="D675" t="s">
        <v>1711</v>
      </c>
      <c r="E675" s="19">
        <v>42192</v>
      </c>
      <c r="F675" t="str">
        <f>"9781118877227"</f>
        <v>9781118877227</v>
      </c>
      <c r="G675" t="str">
        <f>"9781118877203"</f>
        <v>9781118877203</v>
      </c>
      <c r="H675" t="s">
        <v>1712</v>
      </c>
      <c r="I675">
        <v>551.41</v>
      </c>
      <c r="J675" t="s">
        <v>1713</v>
      </c>
      <c r="K675" t="s">
        <v>73</v>
      </c>
      <c r="N675" t="s">
        <v>74</v>
      </c>
      <c r="O675" t="s">
        <v>75</v>
      </c>
      <c r="P675" t="s">
        <v>74</v>
      </c>
      <c r="Q675" t="s">
        <v>76</v>
      </c>
      <c r="R675" t="s">
        <v>73</v>
      </c>
      <c r="S675">
        <v>0</v>
      </c>
      <c r="W675" s="20">
        <v>9.3749999999999997E-3</v>
      </c>
      <c r="X675" t="s">
        <v>1714</v>
      </c>
      <c r="Y675">
        <v>18</v>
      </c>
      <c r="Z675">
        <v>0</v>
      </c>
      <c r="AA675" t="s">
        <v>78</v>
      </c>
      <c r="AB675">
        <v>0</v>
      </c>
      <c r="AC675" t="s">
        <v>78</v>
      </c>
      <c r="AD675">
        <v>0</v>
      </c>
      <c r="AE675">
        <v>11113049</v>
      </c>
      <c r="AF675" t="s">
        <v>79</v>
      </c>
      <c r="AG675" t="s">
        <v>1164</v>
      </c>
    </row>
    <row r="676" spans="1:33" x14ac:dyDescent="0.35">
      <c r="A676" s="18">
        <v>44486.648611111108</v>
      </c>
      <c r="B676">
        <v>1204633</v>
      </c>
      <c r="C676" t="s">
        <v>1560</v>
      </c>
      <c r="D676" t="s">
        <v>70</v>
      </c>
      <c r="E676" s="19">
        <v>41512</v>
      </c>
      <c r="F676" t="str">
        <f>"9781118450444"</f>
        <v>9781118450444</v>
      </c>
      <c r="G676" t="str">
        <f>"9780470673768"</f>
        <v>9780470673768</v>
      </c>
      <c r="H676" t="s">
        <v>1561</v>
      </c>
      <c r="I676">
        <v>552.5</v>
      </c>
      <c r="J676" t="s">
        <v>1562</v>
      </c>
      <c r="K676" t="s">
        <v>73</v>
      </c>
      <c r="N676" t="s">
        <v>74</v>
      </c>
      <c r="O676" t="s">
        <v>75</v>
      </c>
      <c r="P676" t="s">
        <v>74</v>
      </c>
      <c r="Q676" t="s">
        <v>76</v>
      </c>
      <c r="R676" t="s">
        <v>73</v>
      </c>
      <c r="S676">
        <v>0</v>
      </c>
      <c r="W676" s="20">
        <v>6.8287037037037025E-4</v>
      </c>
      <c r="X676" t="s">
        <v>1715</v>
      </c>
      <c r="Y676">
        <v>3</v>
      </c>
      <c r="Z676">
        <v>1</v>
      </c>
      <c r="AA676" t="s">
        <v>1716</v>
      </c>
      <c r="AB676">
        <v>17</v>
      </c>
      <c r="AC676" t="s">
        <v>78</v>
      </c>
      <c r="AD676">
        <v>0</v>
      </c>
      <c r="AE676">
        <v>10713576</v>
      </c>
      <c r="AF676" t="s">
        <v>79</v>
      </c>
      <c r="AG676" t="s">
        <v>1164</v>
      </c>
    </row>
    <row r="677" spans="1:33" x14ac:dyDescent="0.35">
      <c r="A677" s="18">
        <v>44486.576388888891</v>
      </c>
      <c r="B677">
        <v>1204633</v>
      </c>
      <c r="C677" t="s">
        <v>1560</v>
      </c>
      <c r="D677" t="s">
        <v>70</v>
      </c>
      <c r="E677" s="19">
        <v>41512</v>
      </c>
      <c r="F677" t="str">
        <f>"9781118450444"</f>
        <v>9781118450444</v>
      </c>
      <c r="G677" t="str">
        <f>"9780470673768"</f>
        <v>9780470673768</v>
      </c>
      <c r="H677" t="s">
        <v>1561</v>
      </c>
      <c r="I677">
        <v>552.5</v>
      </c>
      <c r="J677" t="s">
        <v>1562</v>
      </c>
      <c r="K677" t="s">
        <v>73</v>
      </c>
      <c r="N677" t="s">
        <v>74</v>
      </c>
      <c r="O677" t="s">
        <v>75</v>
      </c>
      <c r="P677" t="s">
        <v>74</v>
      </c>
      <c r="Q677" t="s">
        <v>76</v>
      </c>
      <c r="R677" t="s">
        <v>73</v>
      </c>
      <c r="S677">
        <v>0</v>
      </c>
      <c r="W677" s="20">
        <v>6.9444444444444444E-5</v>
      </c>
      <c r="X677" t="s">
        <v>132</v>
      </c>
      <c r="Y677">
        <v>1</v>
      </c>
      <c r="Z677">
        <v>0</v>
      </c>
      <c r="AA677" t="s">
        <v>78</v>
      </c>
      <c r="AB677">
        <v>0</v>
      </c>
      <c r="AC677" t="s">
        <v>78</v>
      </c>
      <c r="AD677">
        <v>0</v>
      </c>
      <c r="AE677">
        <v>10713576</v>
      </c>
      <c r="AF677" t="s">
        <v>79</v>
      </c>
      <c r="AG677" t="s">
        <v>1164</v>
      </c>
    </row>
    <row r="678" spans="1:33" x14ac:dyDescent="0.35">
      <c r="A678" s="18">
        <v>44486.537499999999</v>
      </c>
      <c r="B678">
        <v>4733881</v>
      </c>
      <c r="C678" t="s">
        <v>1717</v>
      </c>
      <c r="D678" t="s">
        <v>70</v>
      </c>
      <c r="E678" s="19">
        <v>42765</v>
      </c>
      <c r="F678" t="str">
        <f>"9781118979891"</f>
        <v>9781118979891</v>
      </c>
      <c r="G678" t="str">
        <f>"9781118979839"</f>
        <v>9781118979839</v>
      </c>
      <c r="H678" t="s">
        <v>466</v>
      </c>
      <c r="I678" t="s">
        <v>1718</v>
      </c>
      <c r="J678" t="s">
        <v>1719</v>
      </c>
      <c r="K678" t="s">
        <v>73</v>
      </c>
      <c r="N678" t="s">
        <v>74</v>
      </c>
      <c r="O678" t="s">
        <v>75</v>
      </c>
      <c r="P678" t="s">
        <v>74</v>
      </c>
      <c r="Q678" t="s">
        <v>76</v>
      </c>
      <c r="R678" t="s">
        <v>73</v>
      </c>
      <c r="S678">
        <v>1</v>
      </c>
      <c r="W678" s="20">
        <v>1.1574074074074073E-5</v>
      </c>
      <c r="X678" t="s">
        <v>1720</v>
      </c>
      <c r="Y678">
        <v>1</v>
      </c>
      <c r="Z678">
        <v>0</v>
      </c>
      <c r="AA678" t="s">
        <v>78</v>
      </c>
      <c r="AB678">
        <v>0</v>
      </c>
      <c r="AC678" t="s">
        <v>78</v>
      </c>
      <c r="AD678">
        <v>0</v>
      </c>
      <c r="AE678">
        <v>11295065</v>
      </c>
      <c r="AF678" t="s">
        <v>88</v>
      </c>
      <c r="AG678" t="s">
        <v>1009</v>
      </c>
    </row>
    <row r="679" spans="1:33" x14ac:dyDescent="0.35">
      <c r="A679" s="18">
        <v>44486.530555555553</v>
      </c>
      <c r="B679">
        <v>4733881</v>
      </c>
      <c r="C679" t="s">
        <v>1717</v>
      </c>
      <c r="D679" t="s">
        <v>70</v>
      </c>
      <c r="E679" s="19">
        <v>42765</v>
      </c>
      <c r="F679" t="str">
        <f>"9781118979891"</f>
        <v>9781118979891</v>
      </c>
      <c r="G679" t="str">
        <f>"9781118979839"</f>
        <v>9781118979839</v>
      </c>
      <c r="H679" t="s">
        <v>466</v>
      </c>
      <c r="I679" t="s">
        <v>1718</v>
      </c>
      <c r="J679" t="s">
        <v>1719</v>
      </c>
      <c r="K679" t="s">
        <v>73</v>
      </c>
      <c r="N679" t="s">
        <v>74</v>
      </c>
      <c r="O679" t="s">
        <v>75</v>
      </c>
      <c r="P679" t="s">
        <v>74</v>
      </c>
      <c r="Q679" t="s">
        <v>76</v>
      </c>
      <c r="R679" t="s">
        <v>73</v>
      </c>
      <c r="S679">
        <v>0</v>
      </c>
      <c r="W679" s="20">
        <v>7.0486111111111105E-3</v>
      </c>
      <c r="X679" t="s">
        <v>1721</v>
      </c>
      <c r="Y679">
        <v>8</v>
      </c>
      <c r="Z679">
        <v>0</v>
      </c>
      <c r="AA679" t="s">
        <v>78</v>
      </c>
      <c r="AB679">
        <v>0</v>
      </c>
      <c r="AC679" t="s">
        <v>78</v>
      </c>
      <c r="AD679">
        <v>0</v>
      </c>
      <c r="AE679">
        <v>11295065</v>
      </c>
      <c r="AF679" t="s">
        <v>88</v>
      </c>
      <c r="AG679" t="s">
        <v>1009</v>
      </c>
    </row>
    <row r="680" spans="1:33" x14ac:dyDescent="0.35">
      <c r="A680" s="18">
        <v>44486.521527777775</v>
      </c>
      <c r="B680">
        <v>4509478</v>
      </c>
      <c r="C680" t="s">
        <v>1722</v>
      </c>
      <c r="D680" t="s">
        <v>1723</v>
      </c>
      <c r="E680" s="19">
        <v>41890</v>
      </c>
      <c r="F680" t="str">
        <f>"9788793237148"</f>
        <v>9788793237148</v>
      </c>
      <c r="G680" t="str">
        <f>"9788793237131"</f>
        <v>9788793237131</v>
      </c>
      <c r="H680" t="s">
        <v>466</v>
      </c>
      <c r="I680">
        <v>621.38199999999995</v>
      </c>
      <c r="J680" t="s">
        <v>1724</v>
      </c>
      <c r="K680" t="s">
        <v>73</v>
      </c>
      <c r="N680" t="s">
        <v>74</v>
      </c>
      <c r="O680" t="s">
        <v>75</v>
      </c>
      <c r="P680" t="s">
        <v>230</v>
      </c>
      <c r="Q680" t="s">
        <v>76</v>
      </c>
      <c r="R680" t="s">
        <v>85</v>
      </c>
      <c r="S680">
        <v>0</v>
      </c>
      <c r="W680" s="20">
        <v>5.2314814814814819E-3</v>
      </c>
      <c r="X680" t="s">
        <v>1725</v>
      </c>
      <c r="Y680">
        <v>9</v>
      </c>
      <c r="Z680">
        <v>0</v>
      </c>
      <c r="AA680" t="s">
        <v>78</v>
      </c>
      <c r="AB680">
        <v>0</v>
      </c>
      <c r="AC680" t="s">
        <v>78</v>
      </c>
      <c r="AD680">
        <v>0</v>
      </c>
      <c r="AE680">
        <v>11247335</v>
      </c>
      <c r="AF680" t="s">
        <v>79</v>
      </c>
      <c r="AG680" t="s">
        <v>1009</v>
      </c>
    </row>
    <row r="681" spans="1:33" x14ac:dyDescent="0.35">
      <c r="A681" s="18">
        <v>44486.425000000003</v>
      </c>
      <c r="B681">
        <v>954632</v>
      </c>
      <c r="C681" t="s">
        <v>1443</v>
      </c>
      <c r="D681" t="s">
        <v>1258</v>
      </c>
      <c r="E681" s="19">
        <v>41320</v>
      </c>
      <c r="F681" t="str">
        <f>"9781606503263"</f>
        <v>9781606503263</v>
      </c>
      <c r="G681" t="str">
        <f>"9781606503249"</f>
        <v>9781606503249</v>
      </c>
      <c r="H681" t="s">
        <v>143</v>
      </c>
      <c r="I681">
        <v>658.2</v>
      </c>
      <c r="J681" t="s">
        <v>1444</v>
      </c>
      <c r="K681" t="s">
        <v>73</v>
      </c>
      <c r="N681" t="s">
        <v>74</v>
      </c>
      <c r="O681" t="s">
        <v>75</v>
      </c>
      <c r="P681" t="s">
        <v>74</v>
      </c>
      <c r="Q681" t="s">
        <v>76</v>
      </c>
      <c r="R681" t="s">
        <v>73</v>
      </c>
      <c r="S681">
        <v>0</v>
      </c>
      <c r="W681" s="20">
        <v>2.6620370370370372E-4</v>
      </c>
      <c r="X681" t="s">
        <v>1726</v>
      </c>
      <c r="Y681">
        <v>2</v>
      </c>
      <c r="Z681">
        <v>0</v>
      </c>
      <c r="AA681" t="s">
        <v>78</v>
      </c>
      <c r="AB681">
        <v>0</v>
      </c>
      <c r="AC681" t="s">
        <v>78</v>
      </c>
      <c r="AD681">
        <v>0</v>
      </c>
      <c r="AE681">
        <v>10661537</v>
      </c>
      <c r="AF681" t="s">
        <v>79</v>
      </c>
      <c r="AG681" t="s">
        <v>1164</v>
      </c>
    </row>
    <row r="682" spans="1:33" x14ac:dyDescent="0.35">
      <c r="A682" s="18">
        <v>44485.82708333333</v>
      </c>
      <c r="B682">
        <v>4405837</v>
      </c>
      <c r="C682" t="s">
        <v>1727</v>
      </c>
      <c r="D682" t="s">
        <v>70</v>
      </c>
      <c r="E682" s="19">
        <v>42423</v>
      </c>
      <c r="F682" t="str">
        <f>"9781119136774"</f>
        <v>9781119136774</v>
      </c>
      <c r="G682" t="str">
        <f>"9781119136767"</f>
        <v>9781119136767</v>
      </c>
      <c r="H682" t="s">
        <v>1728</v>
      </c>
      <c r="I682">
        <v>388.31028500000002</v>
      </c>
      <c r="J682" t="s">
        <v>1729</v>
      </c>
      <c r="K682" t="s">
        <v>73</v>
      </c>
      <c r="N682" t="s">
        <v>74</v>
      </c>
      <c r="O682" t="s">
        <v>75</v>
      </c>
      <c r="P682" t="s">
        <v>74</v>
      </c>
      <c r="Q682" t="s">
        <v>76</v>
      </c>
      <c r="R682" t="s">
        <v>73</v>
      </c>
      <c r="S682">
        <v>1</v>
      </c>
      <c r="W682" s="20">
        <v>0</v>
      </c>
      <c r="X682" t="s">
        <v>78</v>
      </c>
      <c r="Y682">
        <v>0</v>
      </c>
      <c r="Z682">
        <v>0</v>
      </c>
      <c r="AA682" t="s">
        <v>78</v>
      </c>
      <c r="AB682">
        <v>0</v>
      </c>
      <c r="AC682" t="s">
        <v>78</v>
      </c>
      <c r="AD682">
        <v>0</v>
      </c>
      <c r="AE682">
        <v>11155983</v>
      </c>
      <c r="AF682" t="s">
        <v>88</v>
      </c>
      <c r="AG682" t="s">
        <v>1730</v>
      </c>
    </row>
    <row r="683" spans="1:33" x14ac:dyDescent="0.35">
      <c r="A683" s="18">
        <v>44485.822916666664</v>
      </c>
      <c r="B683">
        <v>4405837</v>
      </c>
      <c r="C683" t="s">
        <v>1727</v>
      </c>
      <c r="D683" t="s">
        <v>70</v>
      </c>
      <c r="E683" s="19">
        <v>42423</v>
      </c>
      <c r="F683" t="str">
        <f>"9781119136774"</f>
        <v>9781119136774</v>
      </c>
      <c r="G683" t="str">
        <f>"9781119136767"</f>
        <v>9781119136767</v>
      </c>
      <c r="H683" t="s">
        <v>1728</v>
      </c>
      <c r="I683">
        <v>388.31028500000002</v>
      </c>
      <c r="J683" t="s">
        <v>1729</v>
      </c>
      <c r="K683" t="s">
        <v>73</v>
      </c>
      <c r="N683" t="s">
        <v>74</v>
      </c>
      <c r="O683" t="s">
        <v>75</v>
      </c>
      <c r="P683" t="s">
        <v>74</v>
      </c>
      <c r="Q683" t="s">
        <v>76</v>
      </c>
      <c r="R683" t="s">
        <v>73</v>
      </c>
      <c r="S683">
        <v>0</v>
      </c>
      <c r="W683" s="20">
        <v>3.5648148148148154E-3</v>
      </c>
      <c r="X683" t="s">
        <v>132</v>
      </c>
      <c r="Y683">
        <v>1</v>
      </c>
      <c r="Z683">
        <v>0</v>
      </c>
      <c r="AA683" t="s">
        <v>78</v>
      </c>
      <c r="AB683">
        <v>0</v>
      </c>
      <c r="AC683" t="s">
        <v>78</v>
      </c>
      <c r="AD683">
        <v>0</v>
      </c>
      <c r="AE683">
        <v>11155983</v>
      </c>
      <c r="AF683" t="s">
        <v>79</v>
      </c>
      <c r="AG683" t="s">
        <v>1730</v>
      </c>
    </row>
    <row r="684" spans="1:33" x14ac:dyDescent="0.35">
      <c r="A684" s="18">
        <v>44485.761805555558</v>
      </c>
      <c r="B684">
        <v>3021846</v>
      </c>
      <c r="C684" t="s">
        <v>1731</v>
      </c>
      <c r="D684" t="s">
        <v>226</v>
      </c>
      <c r="E684" s="19">
        <v>40664</v>
      </c>
      <c r="F684" t="str">
        <f>"9781621001652"</f>
        <v>9781621001652</v>
      </c>
      <c r="G684" t="str">
        <f>"9781611228045"</f>
        <v>9781611228045</v>
      </c>
      <c r="H684" t="s">
        <v>1194</v>
      </c>
      <c r="I684" t="s">
        <v>1732</v>
      </c>
      <c r="J684" t="s">
        <v>1733</v>
      </c>
      <c r="K684" t="s">
        <v>73</v>
      </c>
      <c r="N684" t="s">
        <v>74</v>
      </c>
      <c r="O684" t="s">
        <v>75</v>
      </c>
      <c r="P684" t="s">
        <v>230</v>
      </c>
      <c r="Q684" t="s">
        <v>76</v>
      </c>
      <c r="R684" t="s">
        <v>85</v>
      </c>
      <c r="S684">
        <v>0</v>
      </c>
      <c r="W684" s="20">
        <v>1.0532407407407407E-3</v>
      </c>
      <c r="X684" t="s">
        <v>1734</v>
      </c>
      <c r="Y684">
        <v>9</v>
      </c>
      <c r="Z684">
        <v>3</v>
      </c>
      <c r="AA684" t="s">
        <v>1735</v>
      </c>
      <c r="AB684">
        <v>66</v>
      </c>
      <c r="AC684" t="s">
        <v>78</v>
      </c>
      <c r="AD684">
        <v>0</v>
      </c>
      <c r="AE684">
        <v>10686150</v>
      </c>
      <c r="AF684" t="s">
        <v>79</v>
      </c>
      <c r="AG684" t="s">
        <v>1164</v>
      </c>
    </row>
    <row r="685" spans="1:33" x14ac:dyDescent="0.35">
      <c r="A685" s="18">
        <v>44485.666666666664</v>
      </c>
      <c r="B685">
        <v>171015</v>
      </c>
      <c r="C685" t="s">
        <v>1736</v>
      </c>
      <c r="D685" t="s">
        <v>127</v>
      </c>
      <c r="E685" s="19">
        <v>37603</v>
      </c>
      <c r="F685" t="str">
        <f>"9780203167236"</f>
        <v>9780203167236</v>
      </c>
      <c r="G685" t="str">
        <f>"9780415259248"</f>
        <v>9780415259248</v>
      </c>
      <c r="H685" t="s">
        <v>128</v>
      </c>
      <c r="I685">
        <v>305.23</v>
      </c>
      <c r="J685" t="s">
        <v>1737</v>
      </c>
      <c r="K685" t="s">
        <v>73</v>
      </c>
      <c r="N685" t="s">
        <v>74</v>
      </c>
      <c r="O685" t="s">
        <v>75</v>
      </c>
      <c r="P685" t="s">
        <v>74</v>
      </c>
      <c r="Q685" t="s">
        <v>76</v>
      </c>
      <c r="R685" t="s">
        <v>73</v>
      </c>
      <c r="S685">
        <v>1</v>
      </c>
      <c r="W685" s="20">
        <v>0</v>
      </c>
      <c r="X685" t="s">
        <v>78</v>
      </c>
      <c r="Y685">
        <v>0</v>
      </c>
      <c r="Z685">
        <v>0</v>
      </c>
      <c r="AA685" t="s">
        <v>78</v>
      </c>
      <c r="AB685">
        <v>0</v>
      </c>
      <c r="AC685" t="s">
        <v>78</v>
      </c>
      <c r="AD685">
        <v>0</v>
      </c>
      <c r="AE685">
        <v>10101007</v>
      </c>
      <c r="AF685" t="s">
        <v>88</v>
      </c>
      <c r="AG685" t="s">
        <v>1184</v>
      </c>
    </row>
    <row r="686" spans="1:33" x14ac:dyDescent="0.35">
      <c r="A686" s="18">
        <v>44485.488888888889</v>
      </c>
      <c r="B686">
        <v>536977</v>
      </c>
      <c r="C686" t="s">
        <v>1738</v>
      </c>
      <c r="D686" t="s">
        <v>314</v>
      </c>
      <c r="E686" s="19">
        <v>40043</v>
      </c>
      <c r="F686" t="str">
        <f>"9780748637942"</f>
        <v>9780748637942</v>
      </c>
      <c r="G686" t="str">
        <f>"9780748637928"</f>
        <v>9780748637928</v>
      </c>
      <c r="H686" t="s">
        <v>308</v>
      </c>
      <c r="I686">
        <v>297</v>
      </c>
      <c r="J686" t="s">
        <v>1739</v>
      </c>
      <c r="K686" t="s">
        <v>73</v>
      </c>
      <c r="N686" t="s">
        <v>74</v>
      </c>
      <c r="O686" t="s">
        <v>75</v>
      </c>
      <c r="P686" t="s">
        <v>74</v>
      </c>
      <c r="Q686" t="s">
        <v>76</v>
      </c>
      <c r="R686" t="s">
        <v>73</v>
      </c>
      <c r="S686">
        <v>0</v>
      </c>
      <c r="W686" s="20">
        <v>3.0902777777777782E-3</v>
      </c>
      <c r="X686" t="s">
        <v>1740</v>
      </c>
      <c r="Y686">
        <v>19</v>
      </c>
      <c r="Z686">
        <v>0</v>
      </c>
      <c r="AA686" t="s">
        <v>78</v>
      </c>
      <c r="AB686">
        <v>0</v>
      </c>
      <c r="AC686" t="s">
        <v>78</v>
      </c>
      <c r="AD686">
        <v>0</v>
      </c>
      <c r="AE686">
        <v>10391780</v>
      </c>
      <c r="AF686" t="s">
        <v>79</v>
      </c>
      <c r="AG686" t="s">
        <v>1164</v>
      </c>
    </row>
    <row r="687" spans="1:33" x14ac:dyDescent="0.35">
      <c r="A687" s="18">
        <v>44484.945833333331</v>
      </c>
      <c r="B687">
        <v>858659</v>
      </c>
      <c r="C687" t="s">
        <v>157</v>
      </c>
      <c r="D687" t="s">
        <v>158</v>
      </c>
      <c r="E687" s="19">
        <v>40957</v>
      </c>
      <c r="F687" t="str">
        <f>"9780080966601"</f>
        <v>9780080966601</v>
      </c>
      <c r="G687" t="str">
        <f>"9780080966595"</f>
        <v>9780080966595</v>
      </c>
      <c r="H687" t="s">
        <v>159</v>
      </c>
      <c r="I687" t="s">
        <v>160</v>
      </c>
      <c r="J687" t="s">
        <v>161</v>
      </c>
      <c r="K687" t="s">
        <v>73</v>
      </c>
      <c r="N687" t="s">
        <v>74</v>
      </c>
      <c r="O687" t="s">
        <v>75</v>
      </c>
      <c r="P687" t="s">
        <v>74</v>
      </c>
      <c r="Q687" t="s">
        <v>76</v>
      </c>
      <c r="R687" t="s">
        <v>73</v>
      </c>
      <c r="S687">
        <v>0</v>
      </c>
      <c r="W687" s="20">
        <v>5.6365740740740742E-3</v>
      </c>
      <c r="X687" t="s">
        <v>1741</v>
      </c>
      <c r="Y687">
        <v>64</v>
      </c>
      <c r="Z687">
        <v>0</v>
      </c>
      <c r="AA687" t="s">
        <v>78</v>
      </c>
      <c r="AB687">
        <v>0</v>
      </c>
      <c r="AC687" t="s">
        <v>78</v>
      </c>
      <c r="AD687">
        <v>0</v>
      </c>
      <c r="AE687">
        <v>10562149</v>
      </c>
      <c r="AF687" t="s">
        <v>79</v>
      </c>
      <c r="AG687" t="s">
        <v>1558</v>
      </c>
    </row>
    <row r="688" spans="1:33" x14ac:dyDescent="0.35">
      <c r="A688" s="18">
        <v>44484.70416666667</v>
      </c>
      <c r="B688">
        <v>849025</v>
      </c>
      <c r="C688" t="s">
        <v>1742</v>
      </c>
      <c r="D688" t="s">
        <v>70</v>
      </c>
      <c r="E688" s="19">
        <v>41043</v>
      </c>
      <c r="F688" t="str">
        <f>"9783527649839"</f>
        <v>9783527649839</v>
      </c>
      <c r="G688" t="str">
        <f>"9783527327584"</f>
        <v>9783527327584</v>
      </c>
      <c r="H688" t="s">
        <v>1743</v>
      </c>
      <c r="I688">
        <v>502.82</v>
      </c>
      <c r="J688" t="s">
        <v>1744</v>
      </c>
      <c r="K688" t="s">
        <v>73</v>
      </c>
      <c r="N688" t="s">
        <v>74</v>
      </c>
      <c r="O688" t="s">
        <v>75</v>
      </c>
      <c r="P688" t="s">
        <v>74</v>
      </c>
      <c r="Q688" t="s">
        <v>76</v>
      </c>
      <c r="R688" t="s">
        <v>73</v>
      </c>
      <c r="S688">
        <v>0</v>
      </c>
      <c r="W688" s="20">
        <v>1.5439814814814816E-2</v>
      </c>
      <c r="X688" t="s">
        <v>1745</v>
      </c>
      <c r="Y688">
        <v>31</v>
      </c>
      <c r="Z688">
        <v>0</v>
      </c>
      <c r="AA688" t="s">
        <v>78</v>
      </c>
      <c r="AB688">
        <v>0</v>
      </c>
      <c r="AC688" t="s">
        <v>78</v>
      </c>
      <c r="AD688">
        <v>0</v>
      </c>
      <c r="AE688">
        <v>10529290</v>
      </c>
      <c r="AF688" t="s">
        <v>79</v>
      </c>
      <c r="AG688" t="s">
        <v>1746</v>
      </c>
    </row>
    <row r="689" spans="1:33" x14ac:dyDescent="0.35">
      <c r="A689" s="18">
        <v>44484.696527777778</v>
      </c>
      <c r="B689">
        <v>4388935</v>
      </c>
      <c r="C689" t="s">
        <v>1747</v>
      </c>
      <c r="D689" t="s">
        <v>542</v>
      </c>
      <c r="E689" s="19">
        <v>42830</v>
      </c>
      <c r="F689" t="str">
        <f>"9781631573422"</f>
        <v>9781631573422</v>
      </c>
      <c r="G689" t="str">
        <f>"9781631573415"</f>
        <v>9781631573415</v>
      </c>
      <c r="H689" t="s">
        <v>143</v>
      </c>
      <c r="I689">
        <v>658.56200000000001</v>
      </c>
      <c r="J689" t="s">
        <v>1748</v>
      </c>
      <c r="K689" t="s">
        <v>73</v>
      </c>
      <c r="N689" t="s">
        <v>74</v>
      </c>
      <c r="O689" t="s">
        <v>75</v>
      </c>
      <c r="P689" t="s">
        <v>74</v>
      </c>
      <c r="Q689" t="s">
        <v>76</v>
      </c>
      <c r="R689" t="s">
        <v>73</v>
      </c>
      <c r="S689">
        <v>0</v>
      </c>
      <c r="W689" s="20">
        <v>0</v>
      </c>
      <c r="X689" t="s">
        <v>78</v>
      </c>
      <c r="Y689">
        <v>0</v>
      </c>
      <c r="Z689">
        <v>0</v>
      </c>
      <c r="AA689" t="s">
        <v>78</v>
      </c>
      <c r="AB689">
        <v>0</v>
      </c>
      <c r="AC689" t="s">
        <v>78</v>
      </c>
      <c r="AD689">
        <v>0</v>
      </c>
      <c r="AE689">
        <v>11152350</v>
      </c>
      <c r="AF689" t="s">
        <v>79</v>
      </c>
      <c r="AG689" t="s">
        <v>1164</v>
      </c>
    </row>
    <row r="690" spans="1:33" x14ac:dyDescent="0.35">
      <c r="A690" s="18">
        <v>44484.64166666667</v>
      </c>
      <c r="B690">
        <v>271712</v>
      </c>
      <c r="C690" t="s">
        <v>1749</v>
      </c>
      <c r="D690" t="s">
        <v>990</v>
      </c>
      <c r="E690" s="19">
        <v>34109</v>
      </c>
      <c r="F690" t="str">
        <f>"9780198023562"</f>
        <v>9780198023562</v>
      </c>
      <c r="G690" t="str">
        <f>"9780195071504"</f>
        <v>9780195071504</v>
      </c>
      <c r="H690" t="s">
        <v>1750</v>
      </c>
      <c r="I690">
        <v>502.82</v>
      </c>
      <c r="J690" t="s">
        <v>1751</v>
      </c>
      <c r="K690" t="s">
        <v>73</v>
      </c>
      <c r="N690" t="s">
        <v>74</v>
      </c>
      <c r="O690" t="s">
        <v>75</v>
      </c>
      <c r="P690" t="s">
        <v>74</v>
      </c>
      <c r="Q690" t="s">
        <v>76</v>
      </c>
      <c r="R690" t="s">
        <v>73</v>
      </c>
      <c r="S690">
        <v>0</v>
      </c>
      <c r="W690" s="20">
        <v>2.4305555555555556E-2</v>
      </c>
      <c r="X690" t="s">
        <v>1752</v>
      </c>
      <c r="Y690">
        <v>64</v>
      </c>
      <c r="Z690">
        <v>0</v>
      </c>
      <c r="AA690" t="s">
        <v>78</v>
      </c>
      <c r="AB690">
        <v>0</v>
      </c>
      <c r="AC690" t="s">
        <v>78</v>
      </c>
      <c r="AD690">
        <v>0</v>
      </c>
      <c r="AE690">
        <v>10358534</v>
      </c>
      <c r="AF690" t="s">
        <v>79</v>
      </c>
      <c r="AG690" t="s">
        <v>1746</v>
      </c>
    </row>
    <row r="691" spans="1:33" x14ac:dyDescent="0.35">
      <c r="A691" s="18">
        <v>44484.604861111111</v>
      </c>
      <c r="B691">
        <v>3002290</v>
      </c>
      <c r="C691" t="s">
        <v>1618</v>
      </c>
      <c r="D691" t="s">
        <v>1619</v>
      </c>
      <c r="E691" s="19">
        <v>40387</v>
      </c>
      <c r="F691" t="str">
        <f>"9781409415374"</f>
        <v>9781409415374</v>
      </c>
      <c r="G691" t="str">
        <f>"9781409412984"</f>
        <v>9781409412984</v>
      </c>
      <c r="H691" t="s">
        <v>1620</v>
      </c>
      <c r="I691">
        <v>910</v>
      </c>
      <c r="J691" t="s">
        <v>1621</v>
      </c>
      <c r="K691" t="s">
        <v>73</v>
      </c>
      <c r="N691" t="s">
        <v>74</v>
      </c>
      <c r="O691" t="s">
        <v>75</v>
      </c>
      <c r="P691" t="s">
        <v>74</v>
      </c>
      <c r="Q691" t="s">
        <v>76</v>
      </c>
      <c r="R691" t="s">
        <v>73</v>
      </c>
      <c r="S691">
        <v>0</v>
      </c>
      <c r="W691" s="20">
        <v>2.1273148148148149E-2</v>
      </c>
      <c r="X691" t="s">
        <v>1753</v>
      </c>
      <c r="Y691">
        <v>12</v>
      </c>
      <c r="Z691">
        <v>0</v>
      </c>
      <c r="AA691" t="s">
        <v>78</v>
      </c>
      <c r="AB691">
        <v>0</v>
      </c>
      <c r="AC691" t="s">
        <v>78</v>
      </c>
      <c r="AD691">
        <v>0</v>
      </c>
      <c r="AE691">
        <v>10428193</v>
      </c>
      <c r="AF691" t="s">
        <v>79</v>
      </c>
      <c r="AG691" t="s">
        <v>1754</v>
      </c>
    </row>
    <row r="692" spans="1:33" x14ac:dyDescent="0.35">
      <c r="A692" s="18">
        <v>44483.95</v>
      </c>
      <c r="B692">
        <v>3002290</v>
      </c>
      <c r="C692" t="s">
        <v>1618</v>
      </c>
      <c r="D692" t="s">
        <v>1619</v>
      </c>
      <c r="E692" s="19">
        <v>40387</v>
      </c>
      <c r="F692" t="str">
        <f>"9781409415374"</f>
        <v>9781409415374</v>
      </c>
      <c r="G692" t="str">
        <f>"9781409412984"</f>
        <v>9781409412984</v>
      </c>
      <c r="H692" t="s">
        <v>1620</v>
      </c>
      <c r="I692">
        <v>910</v>
      </c>
      <c r="J692" t="s">
        <v>1621</v>
      </c>
      <c r="K692" t="s">
        <v>73</v>
      </c>
      <c r="N692" t="s">
        <v>74</v>
      </c>
      <c r="O692" t="s">
        <v>75</v>
      </c>
      <c r="P692" t="s">
        <v>74</v>
      </c>
      <c r="Q692" t="s">
        <v>76</v>
      </c>
      <c r="R692" t="s">
        <v>73</v>
      </c>
      <c r="S692">
        <v>0</v>
      </c>
      <c r="W692" s="20">
        <v>6.2650462962962963E-2</v>
      </c>
      <c r="X692" t="s">
        <v>1755</v>
      </c>
      <c r="Y692">
        <v>184</v>
      </c>
      <c r="Z692">
        <v>0</v>
      </c>
      <c r="AA692" t="s">
        <v>78</v>
      </c>
      <c r="AB692">
        <v>0</v>
      </c>
      <c r="AC692" t="s">
        <v>78</v>
      </c>
      <c r="AD692">
        <v>0</v>
      </c>
      <c r="AE692">
        <v>10428193</v>
      </c>
      <c r="AF692" t="s">
        <v>79</v>
      </c>
      <c r="AG692" t="s">
        <v>1611</v>
      </c>
    </row>
    <row r="693" spans="1:33" x14ac:dyDescent="0.35">
      <c r="A693" s="18">
        <v>44483.847222222219</v>
      </c>
      <c r="B693">
        <v>1912649</v>
      </c>
      <c r="C693" t="s">
        <v>1756</v>
      </c>
      <c r="D693" t="s">
        <v>973</v>
      </c>
      <c r="E693" s="19">
        <v>42036</v>
      </c>
      <c r="F693" t="str">
        <f>"9783038267355"</f>
        <v>9783038267355</v>
      </c>
      <c r="G693" t="str">
        <f>"9783038353508"</f>
        <v>9783038353508</v>
      </c>
      <c r="H693" t="s">
        <v>1757</v>
      </c>
      <c r="I693">
        <v>670</v>
      </c>
      <c r="J693" t="s">
        <v>1758</v>
      </c>
      <c r="K693" t="s">
        <v>73</v>
      </c>
      <c r="N693" t="s">
        <v>74</v>
      </c>
      <c r="O693" t="s">
        <v>75</v>
      </c>
      <c r="P693" t="s">
        <v>74</v>
      </c>
      <c r="Q693" t="s">
        <v>76</v>
      </c>
      <c r="R693" t="s">
        <v>73</v>
      </c>
      <c r="S693">
        <v>0</v>
      </c>
      <c r="W693" s="20">
        <v>5.9722222222222225E-3</v>
      </c>
      <c r="X693" t="s">
        <v>1759</v>
      </c>
      <c r="Y693">
        <v>13</v>
      </c>
      <c r="Z693">
        <v>0</v>
      </c>
      <c r="AA693" t="s">
        <v>78</v>
      </c>
      <c r="AB693">
        <v>0</v>
      </c>
      <c r="AC693" t="s">
        <v>78</v>
      </c>
      <c r="AD693">
        <v>0</v>
      </c>
      <c r="AE693">
        <v>11001202</v>
      </c>
      <c r="AF693" t="s">
        <v>79</v>
      </c>
      <c r="AG693" t="s">
        <v>1291</v>
      </c>
    </row>
    <row r="694" spans="1:33" x14ac:dyDescent="0.35">
      <c r="A694" s="18">
        <v>44483.842361111114</v>
      </c>
      <c r="B694">
        <v>1638168</v>
      </c>
      <c r="C694" t="s">
        <v>1760</v>
      </c>
      <c r="D694" t="s">
        <v>70</v>
      </c>
      <c r="E694" s="19">
        <v>41715</v>
      </c>
      <c r="F694" t="str">
        <f>"9781118909010"</f>
        <v>9781118909010</v>
      </c>
      <c r="G694" t="str">
        <f>"9781848216792"</f>
        <v>9781848216792</v>
      </c>
      <c r="H694" t="s">
        <v>115</v>
      </c>
      <c r="I694">
        <v>515</v>
      </c>
      <c r="J694" t="s">
        <v>1761</v>
      </c>
      <c r="K694" t="s">
        <v>73</v>
      </c>
      <c r="N694" t="s">
        <v>74</v>
      </c>
      <c r="O694" t="s">
        <v>75</v>
      </c>
      <c r="P694" t="s">
        <v>74</v>
      </c>
      <c r="Q694" t="s">
        <v>76</v>
      </c>
      <c r="R694" t="s">
        <v>73</v>
      </c>
      <c r="S694">
        <v>0</v>
      </c>
      <c r="W694" s="20">
        <v>4.6296296296296293E-4</v>
      </c>
      <c r="X694" t="s">
        <v>1762</v>
      </c>
      <c r="Y694">
        <v>8</v>
      </c>
      <c r="Z694">
        <v>0</v>
      </c>
      <c r="AA694" t="s">
        <v>78</v>
      </c>
      <c r="AB694">
        <v>0</v>
      </c>
      <c r="AC694" t="s">
        <v>78</v>
      </c>
      <c r="AD694">
        <v>0</v>
      </c>
      <c r="AE694">
        <v>10842298</v>
      </c>
      <c r="AF694" t="s">
        <v>79</v>
      </c>
      <c r="AG694" t="s">
        <v>1164</v>
      </c>
    </row>
    <row r="695" spans="1:33" x14ac:dyDescent="0.35">
      <c r="A695" s="18">
        <v>44483.841666666667</v>
      </c>
      <c r="B695">
        <v>1637656</v>
      </c>
      <c r="C695" t="s">
        <v>1763</v>
      </c>
      <c r="D695" t="s">
        <v>70</v>
      </c>
      <c r="E695" s="19">
        <v>41715</v>
      </c>
      <c r="F695" t="str">
        <f>"9781118577462"</f>
        <v>9781118577462</v>
      </c>
      <c r="G695" t="str">
        <f>"9781848214170"</f>
        <v>9781848214170</v>
      </c>
      <c r="H695" t="s">
        <v>1764</v>
      </c>
      <c r="I695">
        <v>531.01515830000005</v>
      </c>
      <c r="J695" t="s">
        <v>1765</v>
      </c>
      <c r="K695" t="s">
        <v>73</v>
      </c>
      <c r="N695" t="s">
        <v>74</v>
      </c>
      <c r="O695" t="s">
        <v>75</v>
      </c>
      <c r="P695" t="s">
        <v>74</v>
      </c>
      <c r="Q695" t="s">
        <v>76</v>
      </c>
      <c r="R695" t="s">
        <v>73</v>
      </c>
      <c r="S695">
        <v>0</v>
      </c>
      <c r="W695" s="20">
        <v>6.018518518518519E-4</v>
      </c>
      <c r="X695" t="s">
        <v>1766</v>
      </c>
      <c r="Y695">
        <v>8</v>
      </c>
      <c r="Z695">
        <v>0</v>
      </c>
      <c r="AA695" t="s">
        <v>78</v>
      </c>
      <c r="AB695">
        <v>0</v>
      </c>
      <c r="AC695" t="s">
        <v>78</v>
      </c>
      <c r="AD695">
        <v>0</v>
      </c>
      <c r="AE695">
        <v>10843881</v>
      </c>
      <c r="AF695" t="s">
        <v>79</v>
      </c>
      <c r="AG695" t="s">
        <v>1164</v>
      </c>
    </row>
    <row r="696" spans="1:33" x14ac:dyDescent="0.35">
      <c r="A696" s="18">
        <v>44483.823611111111</v>
      </c>
      <c r="B696">
        <v>6362397</v>
      </c>
      <c r="C696" t="s">
        <v>1767</v>
      </c>
      <c r="D696" t="s">
        <v>1768</v>
      </c>
      <c r="E696" s="19">
        <v>44062</v>
      </c>
      <c r="F696" t="str">
        <f>"9781642656961"</f>
        <v>9781642656961</v>
      </c>
      <c r="G696" t="str">
        <f>"9781642656954"</f>
        <v>9781642656954</v>
      </c>
      <c r="H696" t="s">
        <v>1769</v>
      </c>
      <c r="I696">
        <v>4</v>
      </c>
      <c r="J696" t="s">
        <v>1770</v>
      </c>
      <c r="K696" t="s">
        <v>85</v>
      </c>
      <c r="Q696" t="s">
        <v>76</v>
      </c>
      <c r="R696" t="s">
        <v>73</v>
      </c>
      <c r="S696">
        <v>0</v>
      </c>
      <c r="W696" s="20">
        <v>7.0601851851851847E-4</v>
      </c>
      <c r="X696" t="s">
        <v>1771</v>
      </c>
      <c r="Y696">
        <v>6</v>
      </c>
      <c r="Z696">
        <v>0</v>
      </c>
      <c r="AA696" t="s">
        <v>78</v>
      </c>
      <c r="AB696">
        <v>0</v>
      </c>
      <c r="AC696" t="s">
        <v>78</v>
      </c>
      <c r="AD696">
        <v>0</v>
      </c>
      <c r="AE696">
        <v>-1</v>
      </c>
      <c r="AF696" t="s">
        <v>79</v>
      </c>
      <c r="AG696" t="s">
        <v>1772</v>
      </c>
    </row>
    <row r="697" spans="1:33" x14ac:dyDescent="0.35">
      <c r="A697" s="18">
        <v>44483.803472222222</v>
      </c>
      <c r="B697">
        <v>412737</v>
      </c>
      <c r="C697" t="s">
        <v>1773</v>
      </c>
      <c r="D697" t="s">
        <v>538</v>
      </c>
      <c r="E697" s="19">
        <v>39814</v>
      </c>
      <c r="F697" t="str">
        <f>"9780511477591"</f>
        <v>9780511477591</v>
      </c>
      <c r="G697" t="str">
        <f>"9780521898065"</f>
        <v>9780521898065</v>
      </c>
      <c r="H697" t="s">
        <v>115</v>
      </c>
      <c r="I697">
        <v>511.6</v>
      </c>
      <c r="J697" t="s">
        <v>1774</v>
      </c>
      <c r="K697" t="s">
        <v>73</v>
      </c>
      <c r="N697" t="s">
        <v>74</v>
      </c>
      <c r="O697" t="s">
        <v>75</v>
      </c>
      <c r="P697" t="s">
        <v>74</v>
      </c>
      <c r="Q697" t="s">
        <v>76</v>
      </c>
      <c r="R697" t="s">
        <v>73</v>
      </c>
      <c r="S697">
        <v>0</v>
      </c>
      <c r="W697" s="20">
        <v>0</v>
      </c>
      <c r="X697" t="s">
        <v>78</v>
      </c>
      <c r="Y697">
        <v>0</v>
      </c>
      <c r="Z697">
        <v>1</v>
      </c>
      <c r="AA697" t="s">
        <v>125</v>
      </c>
      <c r="AB697">
        <v>2</v>
      </c>
      <c r="AC697" t="s">
        <v>78</v>
      </c>
      <c r="AD697">
        <v>0</v>
      </c>
      <c r="AE697">
        <v>10277515</v>
      </c>
      <c r="AF697" t="s">
        <v>79</v>
      </c>
      <c r="AG697" t="s">
        <v>1772</v>
      </c>
    </row>
    <row r="698" spans="1:33" x14ac:dyDescent="0.35">
      <c r="A698" s="18">
        <v>44483.73541666667</v>
      </c>
      <c r="B698">
        <v>3034789</v>
      </c>
      <c r="C698" t="s">
        <v>1775</v>
      </c>
      <c r="D698" t="s">
        <v>506</v>
      </c>
      <c r="E698" s="19">
        <v>40909</v>
      </c>
      <c r="F698" t="str">
        <f>"9789460918056"</f>
        <v>9789460918056</v>
      </c>
      <c r="G698" t="str">
        <f>"9789460915871"</f>
        <v>9789460915871</v>
      </c>
      <c r="H698" t="s">
        <v>437</v>
      </c>
      <c r="I698">
        <v>833.91200000000003</v>
      </c>
      <c r="J698" t="s">
        <v>1776</v>
      </c>
      <c r="K698" t="s">
        <v>73</v>
      </c>
      <c r="N698" t="s">
        <v>74</v>
      </c>
      <c r="O698" t="s">
        <v>75</v>
      </c>
      <c r="P698" t="s">
        <v>74</v>
      </c>
      <c r="Q698" t="s">
        <v>76</v>
      </c>
      <c r="R698" t="s">
        <v>73</v>
      </c>
      <c r="S698">
        <v>0</v>
      </c>
      <c r="W698" s="20">
        <v>1.7187499999999998E-2</v>
      </c>
      <c r="X698" t="s">
        <v>1777</v>
      </c>
      <c r="Y698">
        <v>24</v>
      </c>
      <c r="Z698">
        <v>0</v>
      </c>
      <c r="AA698" t="s">
        <v>78</v>
      </c>
      <c r="AB698">
        <v>0</v>
      </c>
      <c r="AC698" t="s">
        <v>78</v>
      </c>
      <c r="AD698">
        <v>0</v>
      </c>
      <c r="AE698">
        <v>10652005</v>
      </c>
      <c r="AF698" t="s">
        <v>79</v>
      </c>
      <c r="AG698" t="s">
        <v>1164</v>
      </c>
    </row>
    <row r="699" spans="1:33" x14ac:dyDescent="0.35">
      <c r="A699" s="18">
        <v>44483.725694444445</v>
      </c>
      <c r="B699">
        <v>412737</v>
      </c>
      <c r="C699" t="s">
        <v>1773</v>
      </c>
      <c r="D699" t="s">
        <v>538</v>
      </c>
      <c r="E699" s="19">
        <v>39814</v>
      </c>
      <c r="F699" t="str">
        <f>"9780511477591"</f>
        <v>9780511477591</v>
      </c>
      <c r="G699" t="str">
        <f>"9780521898065"</f>
        <v>9780521898065</v>
      </c>
      <c r="H699" t="s">
        <v>115</v>
      </c>
      <c r="I699">
        <v>511.6</v>
      </c>
      <c r="J699" t="s">
        <v>1774</v>
      </c>
      <c r="K699" t="s">
        <v>73</v>
      </c>
      <c r="N699" t="s">
        <v>74</v>
      </c>
      <c r="O699" t="s">
        <v>75</v>
      </c>
      <c r="P699" t="s">
        <v>74</v>
      </c>
      <c r="Q699" t="s">
        <v>76</v>
      </c>
      <c r="R699" t="s">
        <v>73</v>
      </c>
      <c r="S699">
        <v>0</v>
      </c>
      <c r="W699" s="20">
        <v>2.6226851851851852E-2</v>
      </c>
      <c r="X699" t="s">
        <v>1778</v>
      </c>
      <c r="Y699">
        <v>43</v>
      </c>
      <c r="Z699">
        <v>0</v>
      </c>
      <c r="AA699" t="s">
        <v>78</v>
      </c>
      <c r="AB699">
        <v>0</v>
      </c>
      <c r="AC699" t="s">
        <v>78</v>
      </c>
      <c r="AD699">
        <v>0</v>
      </c>
      <c r="AE699">
        <v>10277515</v>
      </c>
      <c r="AF699" t="s">
        <v>79</v>
      </c>
      <c r="AG699" t="s">
        <v>1772</v>
      </c>
    </row>
    <row r="700" spans="1:33" x14ac:dyDescent="0.35">
      <c r="A700" s="18">
        <v>44483.689583333333</v>
      </c>
      <c r="B700">
        <v>1895918</v>
      </c>
      <c r="C700" t="s">
        <v>1779</v>
      </c>
      <c r="D700" t="s">
        <v>70</v>
      </c>
      <c r="E700" s="19">
        <v>42226</v>
      </c>
      <c r="F700" t="str">
        <f>"9781119015314"</f>
        <v>9781119015314</v>
      </c>
      <c r="G700" t="str">
        <f>"9781119015260"</f>
        <v>9781119015260</v>
      </c>
      <c r="H700" t="s">
        <v>115</v>
      </c>
      <c r="I700">
        <v>515</v>
      </c>
      <c r="J700" t="s">
        <v>1780</v>
      </c>
      <c r="K700" t="s">
        <v>73</v>
      </c>
      <c r="N700" t="s">
        <v>74</v>
      </c>
      <c r="O700" t="s">
        <v>75</v>
      </c>
      <c r="P700" t="s">
        <v>74</v>
      </c>
      <c r="Q700" t="s">
        <v>76</v>
      </c>
      <c r="R700" t="s">
        <v>73</v>
      </c>
      <c r="S700">
        <v>0</v>
      </c>
      <c r="W700" s="20">
        <v>7.291666666666667E-4</v>
      </c>
      <c r="X700" t="s">
        <v>1781</v>
      </c>
      <c r="Y700">
        <v>13</v>
      </c>
      <c r="Z700">
        <v>0</v>
      </c>
      <c r="AA700" t="s">
        <v>78</v>
      </c>
      <c r="AB700">
        <v>0</v>
      </c>
      <c r="AC700" t="s">
        <v>78</v>
      </c>
      <c r="AD700">
        <v>0</v>
      </c>
      <c r="AE700">
        <v>11083272</v>
      </c>
      <c r="AF700" t="s">
        <v>79</v>
      </c>
      <c r="AG700" t="s">
        <v>1164</v>
      </c>
    </row>
    <row r="701" spans="1:33" x14ac:dyDescent="0.35">
      <c r="A701" s="18">
        <v>44483.688888888886</v>
      </c>
      <c r="B701">
        <v>4389029</v>
      </c>
      <c r="C701" t="s">
        <v>1782</v>
      </c>
      <c r="D701" t="s">
        <v>1258</v>
      </c>
      <c r="E701" s="19">
        <v>42292</v>
      </c>
      <c r="F701" t="str">
        <f>"9781606508800"</f>
        <v>9781606508800</v>
      </c>
      <c r="G701" t="str">
        <f>""</f>
        <v/>
      </c>
      <c r="H701" t="s">
        <v>115</v>
      </c>
      <c r="K701" t="s">
        <v>73</v>
      </c>
      <c r="N701" t="s">
        <v>74</v>
      </c>
      <c r="O701" t="s">
        <v>75</v>
      </c>
      <c r="P701" t="s">
        <v>74</v>
      </c>
      <c r="Q701" t="s">
        <v>76</v>
      </c>
      <c r="R701" t="s">
        <v>73</v>
      </c>
      <c r="S701">
        <v>0</v>
      </c>
      <c r="W701" s="20">
        <v>3.9351851851851852E-4</v>
      </c>
      <c r="X701" t="s">
        <v>1783</v>
      </c>
      <c r="Y701">
        <v>7</v>
      </c>
      <c r="Z701">
        <v>0</v>
      </c>
      <c r="AA701" t="s">
        <v>78</v>
      </c>
      <c r="AB701">
        <v>0</v>
      </c>
      <c r="AC701" t="s">
        <v>78</v>
      </c>
      <c r="AD701">
        <v>0</v>
      </c>
      <c r="AE701">
        <v>11152416</v>
      </c>
      <c r="AF701" t="s">
        <v>79</v>
      </c>
      <c r="AG701" t="s">
        <v>1164</v>
      </c>
    </row>
    <row r="702" spans="1:33" x14ac:dyDescent="0.35">
      <c r="A702" s="18">
        <v>44483.617361111108</v>
      </c>
      <c r="B702">
        <v>5497270</v>
      </c>
      <c r="C702" t="s">
        <v>1784</v>
      </c>
      <c r="D702" t="s">
        <v>158</v>
      </c>
      <c r="E702" s="19">
        <v>43335</v>
      </c>
      <c r="F702" t="str">
        <f>"9780081023402"</f>
        <v>9780081023402</v>
      </c>
      <c r="G702" t="str">
        <f>"9780081023396"</f>
        <v>9780081023396</v>
      </c>
      <c r="H702" t="s">
        <v>1785</v>
      </c>
      <c r="I702">
        <v>321.31243999999998</v>
      </c>
      <c r="J702" t="s">
        <v>1786</v>
      </c>
      <c r="K702" t="s">
        <v>85</v>
      </c>
      <c r="N702" t="s">
        <v>86</v>
      </c>
      <c r="P702" t="s">
        <v>87</v>
      </c>
      <c r="Q702" t="s">
        <v>76</v>
      </c>
      <c r="R702" t="s">
        <v>73</v>
      </c>
      <c r="S702">
        <v>1</v>
      </c>
      <c r="T702">
        <v>90</v>
      </c>
      <c r="U702" s="18">
        <v>44483.611111111109</v>
      </c>
      <c r="V702" s="18">
        <v>44573.611111111109</v>
      </c>
      <c r="W702" s="20">
        <v>0</v>
      </c>
      <c r="X702" t="s">
        <v>78</v>
      </c>
      <c r="Y702">
        <v>0</v>
      </c>
      <c r="Z702">
        <v>0</v>
      </c>
      <c r="AA702" t="s">
        <v>78</v>
      </c>
      <c r="AB702">
        <v>0</v>
      </c>
      <c r="AC702" t="s">
        <v>78</v>
      </c>
      <c r="AD702">
        <v>0</v>
      </c>
      <c r="AE702">
        <v>-1</v>
      </c>
      <c r="AF702" t="s">
        <v>88</v>
      </c>
      <c r="AG702" t="s">
        <v>1558</v>
      </c>
    </row>
    <row r="703" spans="1:33" x14ac:dyDescent="0.35">
      <c r="A703" s="18">
        <v>44483.611111111109</v>
      </c>
      <c r="B703">
        <v>5497270</v>
      </c>
      <c r="C703" t="s">
        <v>1784</v>
      </c>
      <c r="D703" t="s">
        <v>158</v>
      </c>
      <c r="E703" s="19">
        <v>43335</v>
      </c>
      <c r="F703" t="str">
        <f>"9780081023402"</f>
        <v>9780081023402</v>
      </c>
      <c r="G703" t="str">
        <f>"9780081023396"</f>
        <v>9780081023396</v>
      </c>
      <c r="H703" t="s">
        <v>1785</v>
      </c>
      <c r="I703">
        <v>321.31243999999998</v>
      </c>
      <c r="J703" t="s">
        <v>1786</v>
      </c>
      <c r="K703" t="s">
        <v>85</v>
      </c>
      <c r="N703" t="s">
        <v>86</v>
      </c>
      <c r="P703" t="s">
        <v>87</v>
      </c>
      <c r="Q703" t="s">
        <v>76</v>
      </c>
      <c r="R703" t="s">
        <v>73</v>
      </c>
      <c r="S703">
        <v>3</v>
      </c>
      <c r="T703">
        <v>90</v>
      </c>
      <c r="U703" s="18">
        <v>44483.611111111109</v>
      </c>
      <c r="V703" s="18">
        <v>44573.611111111109</v>
      </c>
      <c r="W703" s="20">
        <v>5.7870370370370378E-4</v>
      </c>
      <c r="X703" t="s">
        <v>1787</v>
      </c>
      <c r="Y703">
        <v>13</v>
      </c>
      <c r="Z703">
        <v>0</v>
      </c>
      <c r="AA703" t="s">
        <v>78</v>
      </c>
      <c r="AB703">
        <v>0</v>
      </c>
      <c r="AC703" t="s">
        <v>78</v>
      </c>
      <c r="AD703">
        <v>0</v>
      </c>
      <c r="AE703">
        <v>-1</v>
      </c>
      <c r="AF703" t="s">
        <v>88</v>
      </c>
      <c r="AG703" t="s">
        <v>1788</v>
      </c>
    </row>
    <row r="704" spans="1:33" x14ac:dyDescent="0.35">
      <c r="A704" s="18">
        <v>44483.01458333333</v>
      </c>
      <c r="B704">
        <v>1895918</v>
      </c>
      <c r="C704" t="s">
        <v>1779</v>
      </c>
      <c r="D704" t="s">
        <v>70</v>
      </c>
      <c r="E704" s="19">
        <v>42226</v>
      </c>
      <c r="F704" t="str">
        <f>"9781119015314"</f>
        <v>9781119015314</v>
      </c>
      <c r="G704" t="str">
        <f>"9781119015260"</f>
        <v>9781119015260</v>
      </c>
      <c r="H704" t="s">
        <v>115</v>
      </c>
      <c r="I704">
        <v>515</v>
      </c>
      <c r="J704" t="s">
        <v>1780</v>
      </c>
      <c r="K704" t="s">
        <v>73</v>
      </c>
      <c r="N704" t="s">
        <v>74</v>
      </c>
      <c r="O704" t="s">
        <v>75</v>
      </c>
      <c r="P704" t="s">
        <v>74</v>
      </c>
      <c r="Q704" t="s">
        <v>76</v>
      </c>
      <c r="R704" t="s">
        <v>73</v>
      </c>
      <c r="S704">
        <v>0</v>
      </c>
      <c r="W704" s="20">
        <v>1.7013888888888892E-3</v>
      </c>
      <c r="X704" t="s">
        <v>1789</v>
      </c>
      <c r="Y704">
        <v>3</v>
      </c>
      <c r="Z704">
        <v>0</v>
      </c>
      <c r="AA704" t="s">
        <v>78</v>
      </c>
      <c r="AB704">
        <v>0</v>
      </c>
      <c r="AC704" t="s">
        <v>78</v>
      </c>
      <c r="AD704">
        <v>0</v>
      </c>
      <c r="AE704">
        <v>11083272</v>
      </c>
      <c r="AF704" t="s">
        <v>79</v>
      </c>
      <c r="AG704" t="s">
        <v>1164</v>
      </c>
    </row>
    <row r="705" spans="1:33" x14ac:dyDescent="0.35">
      <c r="A705" s="18">
        <v>44482.964583333334</v>
      </c>
      <c r="B705">
        <v>1111317</v>
      </c>
      <c r="C705" t="s">
        <v>479</v>
      </c>
      <c r="D705" t="s">
        <v>127</v>
      </c>
      <c r="E705" s="19">
        <v>37587</v>
      </c>
      <c r="F705" t="str">
        <f>"9781136129223"</f>
        <v>9781136129223</v>
      </c>
      <c r="G705" t="str">
        <f>"9780700716074"</f>
        <v>9780700716074</v>
      </c>
      <c r="H705" t="s">
        <v>308</v>
      </c>
      <c r="I705" t="s">
        <v>480</v>
      </c>
      <c r="J705" t="s">
        <v>481</v>
      </c>
      <c r="K705" t="s">
        <v>73</v>
      </c>
      <c r="N705" t="s">
        <v>74</v>
      </c>
      <c r="O705" t="s">
        <v>75</v>
      </c>
      <c r="P705" t="s">
        <v>74</v>
      </c>
      <c r="Q705" t="s">
        <v>76</v>
      </c>
      <c r="R705" t="s">
        <v>73</v>
      </c>
      <c r="S705">
        <v>0</v>
      </c>
      <c r="W705" s="20">
        <v>4.6296296296296294E-5</v>
      </c>
      <c r="X705" t="s">
        <v>132</v>
      </c>
      <c r="Y705">
        <v>1</v>
      </c>
      <c r="Z705">
        <v>0</v>
      </c>
      <c r="AA705" t="s">
        <v>78</v>
      </c>
      <c r="AB705">
        <v>0</v>
      </c>
      <c r="AC705" t="s">
        <v>78</v>
      </c>
      <c r="AD705">
        <v>0</v>
      </c>
      <c r="AE705">
        <v>10645721</v>
      </c>
      <c r="AF705" t="s">
        <v>79</v>
      </c>
      <c r="AG705" t="s">
        <v>1613</v>
      </c>
    </row>
    <row r="706" spans="1:33" x14ac:dyDescent="0.35">
      <c r="A706" s="18">
        <v>44482.945138888892</v>
      </c>
      <c r="B706">
        <v>1575045</v>
      </c>
      <c r="C706" t="s">
        <v>1790</v>
      </c>
      <c r="D706" t="s">
        <v>158</v>
      </c>
      <c r="E706" s="19">
        <v>41517</v>
      </c>
      <c r="F706" t="str">
        <f>"9780857097316"</f>
        <v>9780857097316</v>
      </c>
      <c r="G706" t="str">
        <f>"9780857095947"</f>
        <v>9780857095947</v>
      </c>
      <c r="H706" t="s">
        <v>1791</v>
      </c>
      <c r="I706">
        <v>621.36</v>
      </c>
      <c r="J706" t="s">
        <v>1792</v>
      </c>
      <c r="K706" t="s">
        <v>73</v>
      </c>
      <c r="N706" t="s">
        <v>74</v>
      </c>
      <c r="O706" t="s">
        <v>75</v>
      </c>
      <c r="P706" t="s">
        <v>74</v>
      </c>
      <c r="Q706" t="s">
        <v>76</v>
      </c>
      <c r="R706" t="s">
        <v>73</v>
      </c>
      <c r="S706">
        <v>0</v>
      </c>
      <c r="W706" s="20">
        <v>1.3541666666666667E-3</v>
      </c>
      <c r="X706" t="s">
        <v>1793</v>
      </c>
      <c r="Y706">
        <v>21</v>
      </c>
      <c r="Z706">
        <v>0</v>
      </c>
      <c r="AA706" t="s">
        <v>78</v>
      </c>
      <c r="AB706">
        <v>0</v>
      </c>
      <c r="AC706" t="s">
        <v>78</v>
      </c>
      <c r="AD706">
        <v>0</v>
      </c>
      <c r="AE706">
        <v>10815576</v>
      </c>
      <c r="AF706" t="s">
        <v>79</v>
      </c>
      <c r="AG706" t="s">
        <v>381</v>
      </c>
    </row>
    <row r="707" spans="1:33" x14ac:dyDescent="0.35">
      <c r="A707" s="18">
        <v>44482.904861111114</v>
      </c>
      <c r="B707">
        <v>4389018</v>
      </c>
      <c r="C707" t="s">
        <v>1794</v>
      </c>
      <c r="D707" t="s">
        <v>1258</v>
      </c>
      <c r="E707" s="19">
        <v>42257</v>
      </c>
      <c r="F707" t="str">
        <f>"9781606508534"</f>
        <v>9781606508534</v>
      </c>
      <c r="G707" t="str">
        <f>""</f>
        <v/>
      </c>
      <c r="H707" t="s">
        <v>115</v>
      </c>
      <c r="K707" t="s">
        <v>73</v>
      </c>
      <c r="N707" t="s">
        <v>74</v>
      </c>
      <c r="O707" t="s">
        <v>75</v>
      </c>
      <c r="P707" t="s">
        <v>74</v>
      </c>
      <c r="Q707" t="s">
        <v>76</v>
      </c>
      <c r="R707" t="s">
        <v>73</v>
      </c>
      <c r="S707">
        <v>0</v>
      </c>
      <c r="W707" s="20">
        <v>4.6296296296296294E-5</v>
      </c>
      <c r="X707" t="s">
        <v>132</v>
      </c>
      <c r="Y707">
        <v>1</v>
      </c>
      <c r="Z707">
        <v>0</v>
      </c>
      <c r="AA707" t="s">
        <v>78</v>
      </c>
      <c r="AB707">
        <v>0</v>
      </c>
      <c r="AC707" t="s">
        <v>78</v>
      </c>
      <c r="AD707">
        <v>0</v>
      </c>
      <c r="AE707">
        <v>11152405</v>
      </c>
      <c r="AF707" t="s">
        <v>79</v>
      </c>
      <c r="AG707" t="s">
        <v>1164</v>
      </c>
    </row>
    <row r="708" spans="1:33" x14ac:dyDescent="0.35">
      <c r="A708" s="18">
        <v>44482.855555555558</v>
      </c>
      <c r="B708">
        <v>6361485</v>
      </c>
      <c r="C708" t="s">
        <v>1795</v>
      </c>
      <c r="D708" t="s">
        <v>1796</v>
      </c>
      <c r="E708" s="19">
        <v>44105</v>
      </c>
      <c r="F708" t="str">
        <f>"9781642873092"</f>
        <v>9781642873092</v>
      </c>
      <c r="G708" t="str">
        <f>""</f>
        <v/>
      </c>
      <c r="H708" t="s">
        <v>1797</v>
      </c>
      <c r="I708">
        <v>628.96</v>
      </c>
      <c r="J708" t="s">
        <v>1798</v>
      </c>
      <c r="K708" t="s">
        <v>85</v>
      </c>
      <c r="Q708" t="s">
        <v>76</v>
      </c>
      <c r="R708" t="s">
        <v>73</v>
      </c>
      <c r="S708">
        <v>0</v>
      </c>
      <c r="W708" s="20">
        <v>7.8703703703703705E-4</v>
      </c>
      <c r="X708" t="s">
        <v>1799</v>
      </c>
      <c r="Y708">
        <v>6</v>
      </c>
      <c r="Z708">
        <v>0</v>
      </c>
      <c r="AA708" t="s">
        <v>78</v>
      </c>
      <c r="AB708">
        <v>0</v>
      </c>
      <c r="AC708" t="s">
        <v>78</v>
      </c>
      <c r="AD708">
        <v>0</v>
      </c>
      <c r="AE708">
        <v>-1</v>
      </c>
      <c r="AF708" t="s">
        <v>79</v>
      </c>
      <c r="AG708" t="s">
        <v>1164</v>
      </c>
    </row>
    <row r="709" spans="1:33" x14ac:dyDescent="0.35">
      <c r="A709" s="18">
        <v>44482.852777777778</v>
      </c>
      <c r="B709">
        <v>618180</v>
      </c>
      <c r="C709" t="s">
        <v>1800</v>
      </c>
      <c r="D709" t="s">
        <v>265</v>
      </c>
      <c r="E709" s="19">
        <v>38718</v>
      </c>
      <c r="F709" t="str">
        <f>"9789350440445"</f>
        <v>9789350440445</v>
      </c>
      <c r="G709" t="str">
        <f>"9788183185042"</f>
        <v>9788183185042</v>
      </c>
      <c r="H709" t="s">
        <v>599</v>
      </c>
      <c r="I709">
        <v>592</v>
      </c>
      <c r="J709" t="s">
        <v>1801</v>
      </c>
      <c r="K709" t="s">
        <v>73</v>
      </c>
      <c r="N709" t="s">
        <v>74</v>
      </c>
      <c r="O709" t="s">
        <v>75</v>
      </c>
      <c r="P709" t="s">
        <v>74</v>
      </c>
      <c r="Q709" t="s">
        <v>76</v>
      </c>
      <c r="R709" t="s">
        <v>73</v>
      </c>
      <c r="S709">
        <v>0</v>
      </c>
      <c r="W709" s="20">
        <v>2.1412037037037038E-3</v>
      </c>
      <c r="X709" t="s">
        <v>1802</v>
      </c>
      <c r="Y709">
        <v>12</v>
      </c>
      <c r="Z709">
        <v>0</v>
      </c>
      <c r="AA709" t="s">
        <v>78</v>
      </c>
      <c r="AB709">
        <v>0</v>
      </c>
      <c r="AC709" t="s">
        <v>78</v>
      </c>
      <c r="AD709">
        <v>0</v>
      </c>
      <c r="AE709">
        <v>10415556</v>
      </c>
      <c r="AF709" t="s">
        <v>79</v>
      </c>
      <c r="AG709" t="s">
        <v>1164</v>
      </c>
    </row>
    <row r="710" spans="1:33" x14ac:dyDescent="0.35">
      <c r="A710" s="18">
        <v>44482.85</v>
      </c>
      <c r="B710">
        <v>3404300</v>
      </c>
      <c r="C710" t="s">
        <v>1803</v>
      </c>
      <c r="D710" t="s">
        <v>127</v>
      </c>
      <c r="E710" s="19">
        <v>38720</v>
      </c>
      <c r="F710" t="str">
        <f>"9781578086580"</f>
        <v>9781578086580</v>
      </c>
      <c r="G710" t="str">
        <f>"9781578083138"</f>
        <v>9781578083138</v>
      </c>
      <c r="H710" t="s">
        <v>1804</v>
      </c>
      <c r="I710" t="s">
        <v>1805</v>
      </c>
      <c r="J710" t="s">
        <v>1806</v>
      </c>
      <c r="K710" t="s">
        <v>73</v>
      </c>
      <c r="N710" t="s">
        <v>74</v>
      </c>
      <c r="O710" t="s">
        <v>75</v>
      </c>
      <c r="P710" t="s">
        <v>74</v>
      </c>
      <c r="Q710" t="s">
        <v>76</v>
      </c>
      <c r="R710" t="s">
        <v>73</v>
      </c>
      <c r="S710">
        <v>0</v>
      </c>
      <c r="W710" s="20">
        <v>1.1655092592592594E-2</v>
      </c>
      <c r="X710" t="s">
        <v>1807</v>
      </c>
      <c r="Y710">
        <v>20</v>
      </c>
      <c r="Z710">
        <v>0</v>
      </c>
      <c r="AA710" t="s">
        <v>78</v>
      </c>
      <c r="AB710">
        <v>0</v>
      </c>
      <c r="AC710" t="s">
        <v>78</v>
      </c>
      <c r="AD710">
        <v>0</v>
      </c>
      <c r="AE710">
        <v>10257794</v>
      </c>
      <c r="AF710" t="s">
        <v>79</v>
      </c>
      <c r="AG710" t="s">
        <v>1164</v>
      </c>
    </row>
    <row r="711" spans="1:33" x14ac:dyDescent="0.35">
      <c r="A711" s="18">
        <v>44482.84652777778</v>
      </c>
      <c r="B711">
        <v>3011142</v>
      </c>
      <c r="C711" t="s">
        <v>1808</v>
      </c>
      <c r="D711" t="s">
        <v>153</v>
      </c>
      <c r="E711" s="19">
        <v>39783</v>
      </c>
      <c r="F711" t="str">
        <f>"9789350431399"</f>
        <v>9789350431399</v>
      </c>
      <c r="G711" t="str">
        <f>"9788184885750"</f>
        <v>9788184885750</v>
      </c>
      <c r="H711" t="s">
        <v>599</v>
      </c>
      <c r="J711" t="s">
        <v>1809</v>
      </c>
      <c r="K711" t="s">
        <v>73</v>
      </c>
      <c r="N711" t="s">
        <v>74</v>
      </c>
      <c r="O711" t="s">
        <v>75</v>
      </c>
      <c r="P711" t="s">
        <v>74</v>
      </c>
      <c r="Q711" t="s">
        <v>76</v>
      </c>
      <c r="R711" t="s">
        <v>73</v>
      </c>
      <c r="S711">
        <v>0</v>
      </c>
      <c r="W711" s="20">
        <v>9.0856481481481483E-3</v>
      </c>
      <c r="X711" t="s">
        <v>1810</v>
      </c>
      <c r="Y711">
        <v>5</v>
      </c>
      <c r="Z711">
        <v>0</v>
      </c>
      <c r="AA711" t="s">
        <v>78</v>
      </c>
      <c r="AB711">
        <v>0</v>
      </c>
      <c r="AC711" t="s">
        <v>78</v>
      </c>
      <c r="AD711">
        <v>0</v>
      </c>
      <c r="AE711">
        <v>10415226</v>
      </c>
      <c r="AF711" t="s">
        <v>79</v>
      </c>
      <c r="AG711" t="s">
        <v>1164</v>
      </c>
    </row>
    <row r="712" spans="1:33" x14ac:dyDescent="0.35">
      <c r="A712" s="18">
        <v>44482.819444444445</v>
      </c>
      <c r="B712">
        <v>1111317</v>
      </c>
      <c r="C712" t="s">
        <v>479</v>
      </c>
      <c r="D712" t="s">
        <v>127</v>
      </c>
      <c r="E712" s="19">
        <v>37587</v>
      </c>
      <c r="F712" t="str">
        <f>"9781136129223"</f>
        <v>9781136129223</v>
      </c>
      <c r="G712" t="str">
        <f>"9780700716074"</f>
        <v>9780700716074</v>
      </c>
      <c r="H712" t="s">
        <v>308</v>
      </c>
      <c r="I712" t="s">
        <v>480</v>
      </c>
      <c r="J712" t="s">
        <v>481</v>
      </c>
      <c r="K712" t="s">
        <v>73</v>
      </c>
      <c r="N712" t="s">
        <v>74</v>
      </c>
      <c r="O712" t="s">
        <v>75</v>
      </c>
      <c r="P712" t="s">
        <v>74</v>
      </c>
      <c r="Q712" t="s">
        <v>76</v>
      </c>
      <c r="R712" t="s">
        <v>73</v>
      </c>
      <c r="S712">
        <v>0</v>
      </c>
      <c r="W712" s="20">
        <v>2.1840277777777778E-2</v>
      </c>
      <c r="X712" t="s">
        <v>1811</v>
      </c>
      <c r="Y712">
        <v>13</v>
      </c>
      <c r="Z712">
        <v>0</v>
      </c>
      <c r="AA712" t="s">
        <v>78</v>
      </c>
      <c r="AB712">
        <v>0</v>
      </c>
      <c r="AC712" t="s">
        <v>78</v>
      </c>
      <c r="AD712">
        <v>0</v>
      </c>
      <c r="AE712">
        <v>10645721</v>
      </c>
      <c r="AF712" t="s">
        <v>79</v>
      </c>
      <c r="AG712" t="s">
        <v>1812</v>
      </c>
    </row>
    <row r="713" spans="1:33" x14ac:dyDescent="0.35">
      <c r="A713" s="18">
        <v>44482.692361111112</v>
      </c>
      <c r="B713">
        <v>3002290</v>
      </c>
      <c r="C713" t="s">
        <v>1618</v>
      </c>
      <c r="D713" t="s">
        <v>1619</v>
      </c>
      <c r="E713" s="19">
        <v>40387</v>
      </c>
      <c r="F713" t="str">
        <f>"9781409415374"</f>
        <v>9781409415374</v>
      </c>
      <c r="G713" t="str">
        <f>"9781409412984"</f>
        <v>9781409412984</v>
      </c>
      <c r="H713" t="s">
        <v>1620</v>
      </c>
      <c r="I713">
        <v>910</v>
      </c>
      <c r="J713" t="s">
        <v>1621</v>
      </c>
      <c r="K713" t="s">
        <v>73</v>
      </c>
      <c r="N713" t="s">
        <v>74</v>
      </c>
      <c r="O713" t="s">
        <v>75</v>
      </c>
      <c r="P713" t="s">
        <v>74</v>
      </c>
      <c r="Q713" t="s">
        <v>76</v>
      </c>
      <c r="R713" t="s">
        <v>73</v>
      </c>
      <c r="S713">
        <v>1</v>
      </c>
      <c r="W713" s="20">
        <v>3.0439814814814821E-3</v>
      </c>
      <c r="X713" t="s">
        <v>1813</v>
      </c>
      <c r="Y713">
        <v>48</v>
      </c>
      <c r="Z713">
        <v>0</v>
      </c>
      <c r="AA713" t="s">
        <v>78</v>
      </c>
      <c r="AB713">
        <v>0</v>
      </c>
      <c r="AC713" t="s">
        <v>78</v>
      </c>
      <c r="AD713">
        <v>0</v>
      </c>
      <c r="AE713">
        <v>10428193</v>
      </c>
      <c r="AF713" t="s">
        <v>88</v>
      </c>
      <c r="AG713" t="s">
        <v>1611</v>
      </c>
    </row>
    <row r="714" spans="1:33" x14ac:dyDescent="0.35">
      <c r="A714" s="18">
        <v>44482.689583333333</v>
      </c>
      <c r="B714">
        <v>3002290</v>
      </c>
      <c r="C714" t="s">
        <v>1618</v>
      </c>
      <c r="D714" t="s">
        <v>1619</v>
      </c>
      <c r="E714" s="19">
        <v>40387</v>
      </c>
      <c r="F714" t="str">
        <f>"9781409415374"</f>
        <v>9781409415374</v>
      </c>
      <c r="G714" t="str">
        <f>"9781409412984"</f>
        <v>9781409412984</v>
      </c>
      <c r="H714" t="s">
        <v>1620</v>
      </c>
      <c r="I714">
        <v>910</v>
      </c>
      <c r="J714" t="s">
        <v>1621</v>
      </c>
      <c r="K714" t="s">
        <v>73</v>
      </c>
      <c r="N714" t="s">
        <v>74</v>
      </c>
      <c r="O714" t="s">
        <v>75</v>
      </c>
      <c r="P714" t="s">
        <v>74</v>
      </c>
      <c r="Q714" t="s">
        <v>76</v>
      </c>
      <c r="R714" t="s">
        <v>73</v>
      </c>
      <c r="S714">
        <v>0</v>
      </c>
      <c r="W714" s="20">
        <v>1.4120370370370369E-3</v>
      </c>
      <c r="X714" t="s">
        <v>1814</v>
      </c>
      <c r="Y714">
        <v>5</v>
      </c>
      <c r="Z714">
        <v>1</v>
      </c>
      <c r="AA714" t="s">
        <v>1815</v>
      </c>
      <c r="AB714">
        <v>11</v>
      </c>
      <c r="AC714" t="s">
        <v>78</v>
      </c>
      <c r="AD714">
        <v>0</v>
      </c>
      <c r="AE714">
        <v>10428193</v>
      </c>
      <c r="AF714" t="s">
        <v>79</v>
      </c>
      <c r="AG714" t="s">
        <v>1611</v>
      </c>
    </row>
    <row r="715" spans="1:33" x14ac:dyDescent="0.35">
      <c r="A715" s="18">
        <v>44482.628472222219</v>
      </c>
      <c r="B715">
        <v>4389018</v>
      </c>
      <c r="C715" t="s">
        <v>1794</v>
      </c>
      <c r="D715" t="s">
        <v>1258</v>
      </c>
      <c r="E715" s="19">
        <v>42257</v>
      </c>
      <c r="F715" t="str">
        <f>"9781606508534"</f>
        <v>9781606508534</v>
      </c>
      <c r="G715" t="str">
        <f>""</f>
        <v/>
      </c>
      <c r="H715" t="s">
        <v>115</v>
      </c>
      <c r="K715" t="s">
        <v>73</v>
      </c>
      <c r="N715" t="s">
        <v>74</v>
      </c>
      <c r="O715" t="s">
        <v>75</v>
      </c>
      <c r="P715" t="s">
        <v>74</v>
      </c>
      <c r="Q715" t="s">
        <v>76</v>
      </c>
      <c r="R715" t="s">
        <v>73</v>
      </c>
      <c r="S715">
        <v>0</v>
      </c>
      <c r="W715" s="20">
        <v>6.4814814814814813E-4</v>
      </c>
      <c r="X715" t="s">
        <v>1816</v>
      </c>
      <c r="Y715">
        <v>10</v>
      </c>
      <c r="Z715">
        <v>0</v>
      </c>
      <c r="AA715" t="s">
        <v>78</v>
      </c>
      <c r="AB715">
        <v>0</v>
      </c>
      <c r="AC715" t="s">
        <v>78</v>
      </c>
      <c r="AD715">
        <v>0</v>
      </c>
      <c r="AE715">
        <v>11152405</v>
      </c>
      <c r="AF715" t="s">
        <v>79</v>
      </c>
      <c r="AG715" t="s">
        <v>1164</v>
      </c>
    </row>
    <row r="716" spans="1:33" x14ac:dyDescent="0.35">
      <c r="A716" s="18">
        <v>44482.62777777778</v>
      </c>
      <c r="B716">
        <v>1895918</v>
      </c>
      <c r="C716" t="s">
        <v>1779</v>
      </c>
      <c r="D716" t="s">
        <v>70</v>
      </c>
      <c r="E716" s="19">
        <v>42226</v>
      </c>
      <c r="F716" t="str">
        <f>"9781119015314"</f>
        <v>9781119015314</v>
      </c>
      <c r="G716" t="str">
        <f>"9781119015260"</f>
        <v>9781119015260</v>
      </c>
      <c r="H716" t="s">
        <v>115</v>
      </c>
      <c r="I716">
        <v>515</v>
      </c>
      <c r="J716" t="s">
        <v>1780</v>
      </c>
      <c r="K716" t="s">
        <v>73</v>
      </c>
      <c r="N716" t="s">
        <v>74</v>
      </c>
      <c r="O716" t="s">
        <v>75</v>
      </c>
      <c r="P716" t="s">
        <v>74</v>
      </c>
      <c r="Q716" t="s">
        <v>76</v>
      </c>
      <c r="R716" t="s">
        <v>73</v>
      </c>
      <c r="S716">
        <v>0</v>
      </c>
      <c r="W716" s="20">
        <v>5.1041666666666666E-3</v>
      </c>
      <c r="X716" t="s">
        <v>1817</v>
      </c>
      <c r="Y716">
        <v>48</v>
      </c>
      <c r="Z716">
        <v>0</v>
      </c>
      <c r="AA716" t="s">
        <v>78</v>
      </c>
      <c r="AB716">
        <v>0</v>
      </c>
      <c r="AC716" t="s">
        <v>78</v>
      </c>
      <c r="AD716">
        <v>0</v>
      </c>
      <c r="AE716">
        <v>11083272</v>
      </c>
      <c r="AF716" t="s">
        <v>79</v>
      </c>
      <c r="AG716" t="s">
        <v>1164</v>
      </c>
    </row>
    <row r="717" spans="1:33" x14ac:dyDescent="0.35">
      <c r="A717" s="18">
        <v>44482.624305555553</v>
      </c>
      <c r="B717">
        <v>4691415</v>
      </c>
      <c r="C717" t="s">
        <v>1818</v>
      </c>
      <c r="D717" t="s">
        <v>390</v>
      </c>
      <c r="E717" s="19">
        <v>42625</v>
      </c>
      <c r="F717" t="str">
        <f>"9783110438222"</f>
        <v>9783110438222</v>
      </c>
      <c r="G717" t="str">
        <f>"9783110438215"</f>
        <v>9783110438215</v>
      </c>
      <c r="H717" t="s">
        <v>115</v>
      </c>
      <c r="I717" t="s">
        <v>1819</v>
      </c>
      <c r="J717" t="s">
        <v>1820</v>
      </c>
      <c r="K717" t="s">
        <v>73</v>
      </c>
      <c r="N717" t="s">
        <v>74</v>
      </c>
      <c r="O717" t="s">
        <v>75</v>
      </c>
      <c r="P717" t="s">
        <v>74</v>
      </c>
      <c r="Q717" t="s">
        <v>76</v>
      </c>
      <c r="R717" t="s">
        <v>73</v>
      </c>
      <c r="S717">
        <v>0</v>
      </c>
      <c r="W717" s="20">
        <v>2.5925925925925925E-3</v>
      </c>
      <c r="X717" t="s">
        <v>1821</v>
      </c>
      <c r="Y717">
        <v>12</v>
      </c>
      <c r="Z717">
        <v>0</v>
      </c>
      <c r="AA717" t="s">
        <v>78</v>
      </c>
      <c r="AB717">
        <v>0</v>
      </c>
      <c r="AC717" t="s">
        <v>78</v>
      </c>
      <c r="AD717">
        <v>0</v>
      </c>
      <c r="AE717">
        <v>11268045</v>
      </c>
      <c r="AF717" t="s">
        <v>79</v>
      </c>
      <c r="AG717" t="s">
        <v>1164</v>
      </c>
    </row>
    <row r="718" spans="1:33" x14ac:dyDescent="0.35">
      <c r="A718" s="18">
        <v>44482.623611111114</v>
      </c>
      <c r="B718">
        <v>2031690</v>
      </c>
      <c r="C718" t="s">
        <v>1822</v>
      </c>
      <c r="D718" t="s">
        <v>1823</v>
      </c>
      <c r="E718" s="19">
        <v>41551</v>
      </c>
      <c r="F718" t="str">
        <f>"9781469878607"</f>
        <v>9781469878607</v>
      </c>
      <c r="G718" t="str">
        <f>"9781451121032"</f>
        <v>9781451121032</v>
      </c>
      <c r="H718" t="s">
        <v>222</v>
      </c>
      <c r="I718" t="s">
        <v>1824</v>
      </c>
      <c r="J718" t="s">
        <v>1825</v>
      </c>
      <c r="K718" t="s">
        <v>73</v>
      </c>
      <c r="N718" t="s">
        <v>74</v>
      </c>
      <c r="O718" t="s">
        <v>75</v>
      </c>
      <c r="P718" t="s">
        <v>74</v>
      </c>
      <c r="Q718" t="s">
        <v>76</v>
      </c>
      <c r="R718" t="s">
        <v>73</v>
      </c>
      <c r="S718">
        <v>0</v>
      </c>
      <c r="W718" s="20">
        <v>4.2824074074074075E-4</v>
      </c>
      <c r="X718" t="s">
        <v>1826</v>
      </c>
      <c r="Y718">
        <v>11</v>
      </c>
      <c r="Z718">
        <v>0</v>
      </c>
      <c r="AA718" t="s">
        <v>78</v>
      </c>
      <c r="AB718">
        <v>0</v>
      </c>
      <c r="AC718" t="s">
        <v>78</v>
      </c>
      <c r="AD718">
        <v>0</v>
      </c>
      <c r="AE718">
        <v>10823446</v>
      </c>
      <c r="AF718" t="s">
        <v>79</v>
      </c>
      <c r="AG718" t="s">
        <v>1164</v>
      </c>
    </row>
    <row r="719" spans="1:33" x14ac:dyDescent="0.35">
      <c r="A719" s="18">
        <v>44482.620138888888</v>
      </c>
      <c r="B719">
        <v>2032467</v>
      </c>
      <c r="C719" t="s">
        <v>1827</v>
      </c>
      <c r="D719" t="s">
        <v>1823</v>
      </c>
      <c r="E719" s="19">
        <v>38600</v>
      </c>
      <c r="F719" t="str">
        <f>"9781469874326"</f>
        <v>9781469874326</v>
      </c>
      <c r="G719" t="str">
        <f>"9780781741903"</f>
        <v>9780781741903</v>
      </c>
      <c r="H719" t="s">
        <v>222</v>
      </c>
      <c r="I719" t="s">
        <v>1828</v>
      </c>
      <c r="J719" t="s">
        <v>1829</v>
      </c>
      <c r="K719" t="s">
        <v>73</v>
      </c>
      <c r="N719" t="s">
        <v>74</v>
      </c>
      <c r="O719" t="s">
        <v>75</v>
      </c>
      <c r="P719" t="s">
        <v>74</v>
      </c>
      <c r="Q719" t="s">
        <v>76</v>
      </c>
      <c r="R719" t="s">
        <v>73</v>
      </c>
      <c r="S719">
        <v>0</v>
      </c>
      <c r="W719" s="20">
        <v>7.6388888888888893E-4</v>
      </c>
      <c r="X719" t="s">
        <v>1830</v>
      </c>
      <c r="Y719">
        <v>11</v>
      </c>
      <c r="Z719">
        <v>0</v>
      </c>
      <c r="AA719" t="s">
        <v>78</v>
      </c>
      <c r="AB719">
        <v>0</v>
      </c>
      <c r="AC719" t="s">
        <v>78</v>
      </c>
      <c r="AD719">
        <v>0</v>
      </c>
      <c r="AE719">
        <v>10825400</v>
      </c>
      <c r="AF719" t="s">
        <v>79</v>
      </c>
      <c r="AG719" t="s">
        <v>1164</v>
      </c>
    </row>
    <row r="720" spans="1:33" x14ac:dyDescent="0.35">
      <c r="A720" s="18">
        <v>44482.511111111111</v>
      </c>
      <c r="B720">
        <v>2032467</v>
      </c>
      <c r="C720" t="s">
        <v>1827</v>
      </c>
      <c r="D720" t="s">
        <v>1823</v>
      </c>
      <c r="E720" s="19">
        <v>38600</v>
      </c>
      <c r="F720" t="str">
        <f>"9781469874326"</f>
        <v>9781469874326</v>
      </c>
      <c r="G720" t="str">
        <f>"9780781741903"</f>
        <v>9780781741903</v>
      </c>
      <c r="H720" t="s">
        <v>222</v>
      </c>
      <c r="I720" t="s">
        <v>1828</v>
      </c>
      <c r="J720" t="s">
        <v>1829</v>
      </c>
      <c r="K720" t="s">
        <v>73</v>
      </c>
      <c r="N720" t="s">
        <v>74</v>
      </c>
      <c r="O720" t="s">
        <v>75</v>
      </c>
      <c r="P720" t="s">
        <v>74</v>
      </c>
      <c r="Q720" t="s">
        <v>76</v>
      </c>
      <c r="R720" t="s">
        <v>73</v>
      </c>
      <c r="S720">
        <v>0</v>
      </c>
      <c r="W720" s="20">
        <v>3.4722222222222222E-5</v>
      </c>
      <c r="X720" t="s">
        <v>132</v>
      </c>
      <c r="Y720">
        <v>1</v>
      </c>
      <c r="Z720">
        <v>7</v>
      </c>
      <c r="AA720" t="s">
        <v>1831</v>
      </c>
      <c r="AB720">
        <v>172</v>
      </c>
      <c r="AC720" t="s">
        <v>78</v>
      </c>
      <c r="AD720">
        <v>0</v>
      </c>
      <c r="AE720">
        <v>10825400</v>
      </c>
      <c r="AF720" t="s">
        <v>79</v>
      </c>
      <c r="AG720" t="s">
        <v>1164</v>
      </c>
    </row>
    <row r="721" spans="1:33" x14ac:dyDescent="0.35">
      <c r="A721" s="18">
        <v>44482.509722222225</v>
      </c>
      <c r="B721">
        <v>2031690</v>
      </c>
      <c r="C721" t="s">
        <v>1822</v>
      </c>
      <c r="D721" t="s">
        <v>1823</v>
      </c>
      <c r="E721" s="19">
        <v>41551</v>
      </c>
      <c r="F721" t="str">
        <f>"9781469878607"</f>
        <v>9781469878607</v>
      </c>
      <c r="G721" t="str">
        <f>"9781451121032"</f>
        <v>9781451121032</v>
      </c>
      <c r="H721" t="s">
        <v>222</v>
      </c>
      <c r="I721" t="s">
        <v>1824</v>
      </c>
      <c r="J721" t="s">
        <v>1825</v>
      </c>
      <c r="K721" t="s">
        <v>73</v>
      </c>
      <c r="N721" t="s">
        <v>74</v>
      </c>
      <c r="O721" t="s">
        <v>75</v>
      </c>
      <c r="P721" t="s">
        <v>74</v>
      </c>
      <c r="Q721" t="s">
        <v>76</v>
      </c>
      <c r="R721" t="s">
        <v>73</v>
      </c>
      <c r="S721">
        <v>0</v>
      </c>
      <c r="W721" s="20">
        <v>6.9444444444444444E-5</v>
      </c>
      <c r="X721" t="s">
        <v>132</v>
      </c>
      <c r="Y721">
        <v>1</v>
      </c>
      <c r="Z721">
        <v>4</v>
      </c>
      <c r="AA721" t="s">
        <v>1832</v>
      </c>
      <c r="AB721">
        <v>163</v>
      </c>
      <c r="AC721" t="s">
        <v>78</v>
      </c>
      <c r="AD721">
        <v>0</v>
      </c>
      <c r="AE721">
        <v>10823446</v>
      </c>
      <c r="AF721" t="s">
        <v>79</v>
      </c>
      <c r="AG721" t="s">
        <v>1164</v>
      </c>
    </row>
    <row r="722" spans="1:33" x14ac:dyDescent="0.35">
      <c r="A722" s="18">
        <v>44482.509027777778</v>
      </c>
      <c r="B722">
        <v>3386909</v>
      </c>
      <c r="C722" t="s">
        <v>1833</v>
      </c>
      <c r="D722" t="s">
        <v>1834</v>
      </c>
      <c r="E722" s="19">
        <v>36526</v>
      </c>
      <c r="F722" t="str">
        <f>"9781607951308"</f>
        <v>9781607951308</v>
      </c>
      <c r="G722" t="str">
        <f>"9781607950233"</f>
        <v>9781607950233</v>
      </c>
      <c r="H722" t="s">
        <v>222</v>
      </c>
      <c r="I722">
        <v>616.10753999999997</v>
      </c>
      <c r="J722" t="s">
        <v>1835</v>
      </c>
      <c r="K722" t="s">
        <v>73</v>
      </c>
      <c r="N722" t="s">
        <v>74</v>
      </c>
      <c r="O722" t="s">
        <v>75</v>
      </c>
      <c r="P722" t="s">
        <v>74</v>
      </c>
      <c r="Q722" t="s">
        <v>76</v>
      </c>
      <c r="R722" t="s">
        <v>73</v>
      </c>
      <c r="S722">
        <v>0</v>
      </c>
      <c r="W722" s="20">
        <v>0</v>
      </c>
      <c r="X722" t="s">
        <v>78</v>
      </c>
      <c r="Y722">
        <v>0</v>
      </c>
      <c r="Z722">
        <v>3</v>
      </c>
      <c r="AA722" t="s">
        <v>1836</v>
      </c>
      <c r="AB722">
        <v>68</v>
      </c>
      <c r="AC722" t="s">
        <v>78</v>
      </c>
      <c r="AD722">
        <v>0</v>
      </c>
      <c r="AE722">
        <v>10409642</v>
      </c>
      <c r="AF722" t="s">
        <v>79</v>
      </c>
      <c r="AG722" t="s">
        <v>1164</v>
      </c>
    </row>
    <row r="723" spans="1:33" x14ac:dyDescent="0.35">
      <c r="A723" s="18">
        <v>44482.453472222223</v>
      </c>
      <c r="B723">
        <v>3386909</v>
      </c>
      <c r="C723" t="s">
        <v>1833</v>
      </c>
      <c r="D723" t="s">
        <v>1834</v>
      </c>
      <c r="E723" s="19">
        <v>36526</v>
      </c>
      <c r="F723" t="str">
        <f>"9781607951308"</f>
        <v>9781607951308</v>
      </c>
      <c r="G723" t="str">
        <f>"9781607950233"</f>
        <v>9781607950233</v>
      </c>
      <c r="H723" t="s">
        <v>222</v>
      </c>
      <c r="I723">
        <v>616.10753999999997</v>
      </c>
      <c r="J723" t="s">
        <v>1835</v>
      </c>
      <c r="K723" t="s">
        <v>73</v>
      </c>
      <c r="N723" t="s">
        <v>74</v>
      </c>
      <c r="O723" t="s">
        <v>75</v>
      </c>
      <c r="P723" t="s">
        <v>74</v>
      </c>
      <c r="Q723" t="s">
        <v>76</v>
      </c>
      <c r="R723" t="s">
        <v>73</v>
      </c>
      <c r="S723">
        <v>0</v>
      </c>
      <c r="W723" s="20">
        <v>0</v>
      </c>
      <c r="X723" t="s">
        <v>78</v>
      </c>
      <c r="Y723">
        <v>0</v>
      </c>
      <c r="Z723">
        <v>1</v>
      </c>
      <c r="AA723" t="s">
        <v>1837</v>
      </c>
      <c r="AB723">
        <v>68</v>
      </c>
      <c r="AC723" t="s">
        <v>78</v>
      </c>
      <c r="AD723">
        <v>0</v>
      </c>
      <c r="AE723">
        <v>10409642</v>
      </c>
      <c r="AF723" t="s">
        <v>88</v>
      </c>
      <c r="AG723" t="s">
        <v>1164</v>
      </c>
    </row>
    <row r="724" spans="1:33" x14ac:dyDescent="0.35">
      <c r="A724" s="18">
        <v>44482.439583333333</v>
      </c>
      <c r="B724">
        <v>1575045</v>
      </c>
      <c r="C724" t="s">
        <v>1790</v>
      </c>
      <c r="D724" t="s">
        <v>158</v>
      </c>
      <c r="E724" s="19">
        <v>41517</v>
      </c>
      <c r="F724" t="str">
        <f>"9780857097316"</f>
        <v>9780857097316</v>
      </c>
      <c r="G724" t="str">
        <f>"9780857095947"</f>
        <v>9780857095947</v>
      </c>
      <c r="H724" t="s">
        <v>1791</v>
      </c>
      <c r="I724">
        <v>621.36</v>
      </c>
      <c r="J724" t="s">
        <v>1792</v>
      </c>
      <c r="K724" t="s">
        <v>73</v>
      </c>
      <c r="N724" t="s">
        <v>74</v>
      </c>
      <c r="O724" t="s">
        <v>75</v>
      </c>
      <c r="P724" t="s">
        <v>74</v>
      </c>
      <c r="Q724" t="s">
        <v>76</v>
      </c>
      <c r="R724" t="s">
        <v>73</v>
      </c>
      <c r="S724">
        <v>0</v>
      </c>
      <c r="W724" s="20">
        <v>1.1851851851851851E-2</v>
      </c>
      <c r="X724" t="s">
        <v>1838</v>
      </c>
      <c r="Y724">
        <v>32</v>
      </c>
      <c r="Z724">
        <v>1</v>
      </c>
      <c r="AA724" t="s">
        <v>1839</v>
      </c>
      <c r="AB724">
        <v>10</v>
      </c>
      <c r="AC724" t="s">
        <v>78</v>
      </c>
      <c r="AD724">
        <v>0</v>
      </c>
      <c r="AE724">
        <v>10815576</v>
      </c>
      <c r="AF724" t="s">
        <v>79</v>
      </c>
      <c r="AG724" t="s">
        <v>381</v>
      </c>
    </row>
    <row r="725" spans="1:33" x14ac:dyDescent="0.35">
      <c r="A725" s="18">
        <v>44481.843055555553</v>
      </c>
      <c r="B725">
        <v>1872946</v>
      </c>
      <c r="C725" t="s">
        <v>1840</v>
      </c>
      <c r="D725" t="s">
        <v>973</v>
      </c>
      <c r="E725" s="19">
        <v>41183</v>
      </c>
      <c r="F725" t="str">
        <f>"9783038136507"</f>
        <v>9783038136507</v>
      </c>
      <c r="G725" t="str">
        <f>""</f>
        <v/>
      </c>
      <c r="H725" t="s">
        <v>1122</v>
      </c>
      <c r="I725">
        <v>620.10400000000004</v>
      </c>
      <c r="J725" t="s">
        <v>1841</v>
      </c>
      <c r="K725" t="s">
        <v>73</v>
      </c>
      <c r="N725" t="s">
        <v>74</v>
      </c>
      <c r="O725" t="s">
        <v>75</v>
      </c>
      <c r="P725" t="s">
        <v>74</v>
      </c>
      <c r="Q725" t="s">
        <v>76</v>
      </c>
      <c r="R725" t="s">
        <v>73</v>
      </c>
      <c r="S725">
        <v>0</v>
      </c>
      <c r="W725" s="20">
        <v>7.9861111111111105E-4</v>
      </c>
      <c r="X725" t="s">
        <v>1842</v>
      </c>
      <c r="Y725">
        <v>8</v>
      </c>
      <c r="Z725">
        <v>0</v>
      </c>
      <c r="AA725" t="s">
        <v>78</v>
      </c>
      <c r="AB725">
        <v>0</v>
      </c>
      <c r="AC725" t="s">
        <v>78</v>
      </c>
      <c r="AD725">
        <v>0</v>
      </c>
      <c r="AE725">
        <v>10778007</v>
      </c>
      <c r="AF725" t="s">
        <v>79</v>
      </c>
      <c r="AG725" t="s">
        <v>1611</v>
      </c>
    </row>
    <row r="726" spans="1:33" x14ac:dyDescent="0.35">
      <c r="A726" s="18">
        <v>44481.842361111114</v>
      </c>
      <c r="B726">
        <v>1366264</v>
      </c>
      <c r="C726" t="s">
        <v>1843</v>
      </c>
      <c r="D726" t="s">
        <v>1258</v>
      </c>
      <c r="E726" s="19">
        <v>41487</v>
      </c>
      <c r="F726" t="str">
        <f>"9781606504451"</f>
        <v>9781606504451</v>
      </c>
      <c r="G726" t="str">
        <f>"9781606504437"</f>
        <v>9781606504437</v>
      </c>
      <c r="H726" t="s">
        <v>83</v>
      </c>
      <c r="I726">
        <v>629.79999999999995</v>
      </c>
      <c r="J726" t="s">
        <v>1844</v>
      </c>
      <c r="K726" t="s">
        <v>73</v>
      </c>
      <c r="N726" t="s">
        <v>74</v>
      </c>
      <c r="O726" t="s">
        <v>75</v>
      </c>
      <c r="P726" t="s">
        <v>74</v>
      </c>
      <c r="Q726" t="s">
        <v>76</v>
      </c>
      <c r="R726" t="s">
        <v>73</v>
      </c>
      <c r="S726">
        <v>0</v>
      </c>
      <c r="W726" s="20">
        <v>4.0509259259259258E-4</v>
      </c>
      <c r="X726" t="s">
        <v>1845</v>
      </c>
      <c r="Y726">
        <v>6</v>
      </c>
      <c r="Z726">
        <v>0</v>
      </c>
      <c r="AA726" t="s">
        <v>78</v>
      </c>
      <c r="AB726">
        <v>0</v>
      </c>
      <c r="AC726" t="s">
        <v>78</v>
      </c>
      <c r="AD726">
        <v>0</v>
      </c>
      <c r="AE726">
        <v>10767925</v>
      </c>
      <c r="AF726" t="s">
        <v>79</v>
      </c>
      <c r="AG726" t="s">
        <v>1611</v>
      </c>
    </row>
    <row r="727" spans="1:33" x14ac:dyDescent="0.35">
      <c r="A727" s="18">
        <v>44481.821527777778</v>
      </c>
      <c r="B727">
        <v>1675964</v>
      </c>
      <c r="C727" t="s">
        <v>1846</v>
      </c>
      <c r="D727" t="s">
        <v>1847</v>
      </c>
      <c r="E727" s="19">
        <v>41745</v>
      </c>
      <c r="F727" t="str">
        <f>"9781317937890"</f>
        <v>9781317937890</v>
      </c>
      <c r="G727" t="str">
        <f>"9780415662802"</f>
        <v>9780415662802</v>
      </c>
      <c r="H727" t="s">
        <v>1848</v>
      </c>
      <c r="I727">
        <v>510.24619999999999</v>
      </c>
      <c r="J727" t="s">
        <v>1849</v>
      </c>
      <c r="K727" t="s">
        <v>85</v>
      </c>
      <c r="N727" t="s">
        <v>86</v>
      </c>
      <c r="P727" t="s">
        <v>1850</v>
      </c>
      <c r="Q727" t="s">
        <v>76</v>
      </c>
      <c r="R727" t="s">
        <v>73</v>
      </c>
      <c r="S727">
        <v>0</v>
      </c>
      <c r="W727" s="20">
        <v>6.4814814814814813E-4</v>
      </c>
      <c r="X727" t="s">
        <v>1851</v>
      </c>
      <c r="Y727">
        <v>14</v>
      </c>
      <c r="Z727">
        <v>0</v>
      </c>
      <c r="AA727" t="s">
        <v>78</v>
      </c>
      <c r="AB727">
        <v>0</v>
      </c>
      <c r="AC727" t="s">
        <v>78</v>
      </c>
      <c r="AD727">
        <v>0</v>
      </c>
      <c r="AE727">
        <v>10860197</v>
      </c>
      <c r="AF727" t="s">
        <v>79</v>
      </c>
      <c r="AG727" t="s">
        <v>1611</v>
      </c>
    </row>
    <row r="728" spans="1:33" x14ac:dyDescent="0.35">
      <c r="A728" s="18">
        <v>44481.818055555559</v>
      </c>
      <c r="B728">
        <v>3035291</v>
      </c>
      <c r="C728" t="s">
        <v>1852</v>
      </c>
      <c r="D728" t="s">
        <v>978</v>
      </c>
      <c r="E728" s="19">
        <v>36434</v>
      </c>
      <c r="F728" t="str">
        <f>"9780387227573"</f>
        <v>9780387227573</v>
      </c>
      <c r="G728" t="str">
        <f>"9780387986982"</f>
        <v>9780387986982</v>
      </c>
      <c r="H728" t="s">
        <v>115</v>
      </c>
      <c r="I728" t="s">
        <v>1853</v>
      </c>
      <c r="J728" t="s">
        <v>1854</v>
      </c>
      <c r="K728" t="s">
        <v>85</v>
      </c>
      <c r="N728" t="s">
        <v>86</v>
      </c>
      <c r="P728" t="s">
        <v>297</v>
      </c>
      <c r="Q728" t="s">
        <v>76</v>
      </c>
      <c r="R728" t="s">
        <v>73</v>
      </c>
      <c r="S728">
        <v>0</v>
      </c>
      <c r="W728" s="20">
        <v>1.2997685185185183E-2</v>
      </c>
      <c r="X728" t="s">
        <v>1855</v>
      </c>
      <c r="Y728">
        <v>43</v>
      </c>
      <c r="Z728">
        <v>0</v>
      </c>
      <c r="AA728" t="s">
        <v>78</v>
      </c>
      <c r="AB728">
        <v>0</v>
      </c>
      <c r="AC728" t="s">
        <v>78</v>
      </c>
      <c r="AD728">
        <v>0</v>
      </c>
      <c r="AE728">
        <v>10003037</v>
      </c>
      <c r="AF728" t="s">
        <v>79</v>
      </c>
      <c r="AG728" t="s">
        <v>1611</v>
      </c>
    </row>
    <row r="729" spans="1:33" x14ac:dyDescent="0.35">
      <c r="A729" s="18">
        <v>44481.783333333333</v>
      </c>
      <c r="B729">
        <v>3035291</v>
      </c>
      <c r="C729" t="s">
        <v>1852</v>
      </c>
      <c r="D729" t="s">
        <v>978</v>
      </c>
      <c r="E729" s="19">
        <v>36434</v>
      </c>
      <c r="F729" t="str">
        <f>"9780387227573"</f>
        <v>9780387227573</v>
      </c>
      <c r="G729" t="str">
        <f>"9780387986982"</f>
        <v>9780387986982</v>
      </c>
      <c r="H729" t="s">
        <v>115</v>
      </c>
      <c r="I729" t="s">
        <v>1853</v>
      </c>
      <c r="J729" t="s">
        <v>1854</v>
      </c>
      <c r="K729" t="s">
        <v>85</v>
      </c>
      <c r="N729" t="s">
        <v>86</v>
      </c>
      <c r="P729" t="s">
        <v>297</v>
      </c>
      <c r="Q729" t="s">
        <v>76</v>
      </c>
      <c r="R729" t="s">
        <v>73</v>
      </c>
      <c r="S729">
        <v>0</v>
      </c>
      <c r="W729" s="20">
        <v>2.4421296296296296E-3</v>
      </c>
      <c r="X729" t="s">
        <v>1856</v>
      </c>
      <c r="Y729">
        <v>20</v>
      </c>
      <c r="Z729">
        <v>0</v>
      </c>
      <c r="AA729" t="s">
        <v>78</v>
      </c>
      <c r="AB729">
        <v>0</v>
      </c>
      <c r="AC729" t="s">
        <v>78</v>
      </c>
      <c r="AD729">
        <v>0</v>
      </c>
      <c r="AE729">
        <v>10003037</v>
      </c>
      <c r="AF729" t="s">
        <v>79</v>
      </c>
      <c r="AG729" t="s">
        <v>1611</v>
      </c>
    </row>
    <row r="730" spans="1:33" x14ac:dyDescent="0.35">
      <c r="A730" s="18">
        <v>44481.751388888886</v>
      </c>
      <c r="B730">
        <v>2070179</v>
      </c>
      <c r="C730" t="s">
        <v>1857</v>
      </c>
      <c r="D730" t="s">
        <v>1642</v>
      </c>
      <c r="E730" s="19">
        <v>42137</v>
      </c>
      <c r="F730" t="str">
        <f>"9781784418045"</f>
        <v>9781784418045</v>
      </c>
      <c r="G730" t="str">
        <f>"9781784418038"</f>
        <v>9781784418038</v>
      </c>
      <c r="H730" t="s">
        <v>466</v>
      </c>
      <c r="I730">
        <v>621.29999999999995</v>
      </c>
      <c r="J730" t="s">
        <v>1858</v>
      </c>
      <c r="K730" t="s">
        <v>73</v>
      </c>
      <c r="N730" t="s">
        <v>74</v>
      </c>
      <c r="O730" t="s">
        <v>75</v>
      </c>
      <c r="P730" t="s">
        <v>74</v>
      </c>
      <c r="Q730" t="s">
        <v>76</v>
      </c>
      <c r="R730" t="s">
        <v>73</v>
      </c>
      <c r="S730">
        <v>0</v>
      </c>
      <c r="W730" s="20">
        <v>6.9444444444444444E-5</v>
      </c>
      <c r="X730" t="s">
        <v>132</v>
      </c>
      <c r="Y730">
        <v>1</v>
      </c>
      <c r="Z730">
        <v>0</v>
      </c>
      <c r="AA730" t="s">
        <v>78</v>
      </c>
      <c r="AB730">
        <v>0</v>
      </c>
      <c r="AC730" t="s">
        <v>78</v>
      </c>
      <c r="AD730">
        <v>0</v>
      </c>
      <c r="AE730">
        <v>11065669</v>
      </c>
      <c r="AF730" t="s">
        <v>79</v>
      </c>
      <c r="AG730" t="s">
        <v>1611</v>
      </c>
    </row>
    <row r="731" spans="1:33" x14ac:dyDescent="0.35">
      <c r="A731" s="18">
        <v>44481.590277777781</v>
      </c>
      <c r="B731">
        <v>3420544</v>
      </c>
      <c r="C731" t="s">
        <v>1859</v>
      </c>
      <c r="D731" t="s">
        <v>827</v>
      </c>
      <c r="E731" s="19">
        <v>39931</v>
      </c>
      <c r="F731" t="str">
        <f>"9780300158854"</f>
        <v>9780300158854</v>
      </c>
      <c r="G731" t="str">
        <f>"9780300139310"</f>
        <v>9780300139310</v>
      </c>
      <c r="H731" t="s">
        <v>1620</v>
      </c>
      <c r="I731" t="s">
        <v>1860</v>
      </c>
      <c r="J731" t="s">
        <v>1861</v>
      </c>
      <c r="K731" t="s">
        <v>73</v>
      </c>
      <c r="N731" t="s">
        <v>74</v>
      </c>
      <c r="O731" t="s">
        <v>75</v>
      </c>
      <c r="P731" t="s">
        <v>74</v>
      </c>
      <c r="Q731" t="s">
        <v>76</v>
      </c>
      <c r="R731" t="s">
        <v>73</v>
      </c>
      <c r="S731">
        <v>0</v>
      </c>
      <c r="W731" s="20">
        <v>3.9930555555555561E-3</v>
      </c>
      <c r="X731" t="s">
        <v>1862</v>
      </c>
      <c r="Y731">
        <v>26</v>
      </c>
      <c r="Z731">
        <v>5</v>
      </c>
      <c r="AA731" t="s">
        <v>1863</v>
      </c>
      <c r="AB731">
        <v>109</v>
      </c>
      <c r="AC731" t="s">
        <v>78</v>
      </c>
      <c r="AD731">
        <v>0</v>
      </c>
      <c r="AE731">
        <v>10348439</v>
      </c>
      <c r="AF731" t="s">
        <v>79</v>
      </c>
      <c r="AG731" t="s">
        <v>1611</v>
      </c>
    </row>
    <row r="732" spans="1:33" x14ac:dyDescent="0.35">
      <c r="A732" s="18">
        <v>44481.547222222223</v>
      </c>
      <c r="B732">
        <v>224819</v>
      </c>
      <c r="C732" t="s">
        <v>1864</v>
      </c>
      <c r="D732" t="s">
        <v>239</v>
      </c>
      <c r="E732" s="19">
        <v>38355</v>
      </c>
      <c r="F732" t="str">
        <f>"9789812563118"</f>
        <v>9789812563118</v>
      </c>
      <c r="G732" t="str">
        <f>"9789812560957"</f>
        <v>9789812560957</v>
      </c>
      <c r="H732" t="s">
        <v>154</v>
      </c>
      <c r="I732">
        <v>546.72</v>
      </c>
      <c r="J732" t="s">
        <v>1865</v>
      </c>
      <c r="K732" t="s">
        <v>73</v>
      </c>
      <c r="N732" t="s">
        <v>74</v>
      </c>
      <c r="O732" t="s">
        <v>75</v>
      </c>
      <c r="P732" t="s">
        <v>74</v>
      </c>
      <c r="Q732" t="s">
        <v>76</v>
      </c>
      <c r="R732" t="s">
        <v>73</v>
      </c>
      <c r="S732">
        <v>0</v>
      </c>
      <c r="W732" s="20">
        <v>0</v>
      </c>
      <c r="X732" t="s">
        <v>78</v>
      </c>
      <c r="Y732">
        <v>0</v>
      </c>
      <c r="Z732">
        <v>1</v>
      </c>
      <c r="AA732" t="s">
        <v>1866</v>
      </c>
      <c r="AB732">
        <v>13</v>
      </c>
      <c r="AC732" t="s">
        <v>78</v>
      </c>
      <c r="AD732">
        <v>0</v>
      </c>
      <c r="AE732">
        <v>10104111</v>
      </c>
      <c r="AF732" t="s">
        <v>79</v>
      </c>
      <c r="AG732" t="s">
        <v>1611</v>
      </c>
    </row>
    <row r="733" spans="1:33" x14ac:dyDescent="0.35">
      <c r="A733" s="18">
        <v>44481.393055555556</v>
      </c>
      <c r="B733">
        <v>244527</v>
      </c>
      <c r="C733" t="s">
        <v>1867</v>
      </c>
      <c r="D733" t="s">
        <v>239</v>
      </c>
      <c r="E733" s="19">
        <v>38313</v>
      </c>
      <c r="F733" t="str">
        <f>"9781860946561"</f>
        <v>9781860946561</v>
      </c>
      <c r="G733" t="str">
        <f>"9781860942105"</f>
        <v>9781860942105</v>
      </c>
      <c r="H733" t="s">
        <v>448</v>
      </c>
      <c r="I733">
        <v>620.11599999999999</v>
      </c>
      <c r="J733" t="s">
        <v>1868</v>
      </c>
      <c r="K733" t="s">
        <v>73</v>
      </c>
      <c r="N733" t="s">
        <v>74</v>
      </c>
      <c r="O733" t="s">
        <v>75</v>
      </c>
      <c r="P733" t="s">
        <v>74</v>
      </c>
      <c r="Q733" t="s">
        <v>76</v>
      </c>
      <c r="R733" t="s">
        <v>73</v>
      </c>
      <c r="S733">
        <v>0</v>
      </c>
      <c r="W733" s="20">
        <v>2.8935185185185189E-4</v>
      </c>
      <c r="X733" t="s">
        <v>1869</v>
      </c>
      <c r="Y733">
        <v>8</v>
      </c>
      <c r="Z733">
        <v>0</v>
      </c>
      <c r="AA733" t="s">
        <v>78</v>
      </c>
      <c r="AB733">
        <v>0</v>
      </c>
      <c r="AC733" t="s">
        <v>78</v>
      </c>
      <c r="AD733">
        <v>0</v>
      </c>
      <c r="AE733">
        <v>10106585</v>
      </c>
      <c r="AF733" t="s">
        <v>79</v>
      </c>
      <c r="AG733" t="s">
        <v>1164</v>
      </c>
    </row>
    <row r="734" spans="1:33" x14ac:dyDescent="0.35">
      <c r="A734" s="18">
        <v>44481.353472222225</v>
      </c>
      <c r="B734">
        <v>244527</v>
      </c>
      <c r="C734" t="s">
        <v>1867</v>
      </c>
      <c r="D734" t="s">
        <v>239</v>
      </c>
      <c r="E734" s="19">
        <v>38313</v>
      </c>
      <c r="F734" t="str">
        <f>"9781860946561"</f>
        <v>9781860946561</v>
      </c>
      <c r="G734" t="str">
        <f>"9781860942105"</f>
        <v>9781860942105</v>
      </c>
      <c r="H734" t="s">
        <v>448</v>
      </c>
      <c r="I734">
        <v>620.11599999999999</v>
      </c>
      <c r="J734" t="s">
        <v>1868</v>
      </c>
      <c r="K734" t="s">
        <v>73</v>
      </c>
      <c r="N734" t="s">
        <v>74</v>
      </c>
      <c r="O734" t="s">
        <v>75</v>
      </c>
      <c r="P734" t="s">
        <v>74</v>
      </c>
      <c r="Q734" t="s">
        <v>76</v>
      </c>
      <c r="R734" t="s">
        <v>73</v>
      </c>
      <c r="S734">
        <v>0</v>
      </c>
      <c r="W734" s="20">
        <v>8.1018518518518516E-4</v>
      </c>
      <c r="X734" t="s">
        <v>1870</v>
      </c>
      <c r="Y734">
        <v>2</v>
      </c>
      <c r="Z734">
        <v>0</v>
      </c>
      <c r="AA734" t="s">
        <v>78</v>
      </c>
      <c r="AB734">
        <v>0</v>
      </c>
      <c r="AC734" t="s">
        <v>78</v>
      </c>
      <c r="AD734">
        <v>0</v>
      </c>
      <c r="AE734">
        <v>10106585</v>
      </c>
      <c r="AF734" t="s">
        <v>79</v>
      </c>
      <c r="AG734" t="s">
        <v>1164</v>
      </c>
    </row>
    <row r="735" spans="1:33" x14ac:dyDescent="0.35">
      <c r="A735" s="18">
        <v>44481.024305555555</v>
      </c>
      <c r="B735">
        <v>1895816</v>
      </c>
      <c r="C735" t="s">
        <v>1871</v>
      </c>
      <c r="D735" t="s">
        <v>70</v>
      </c>
      <c r="E735" s="19">
        <v>42031</v>
      </c>
      <c r="F735" t="str">
        <f>"9781118960523"</f>
        <v>9781118960523</v>
      </c>
      <c r="G735" t="str">
        <f>"9781118881446"</f>
        <v>9781118881446</v>
      </c>
      <c r="H735" t="s">
        <v>1872</v>
      </c>
      <c r="I735" t="s">
        <v>1873</v>
      </c>
      <c r="J735" t="s">
        <v>1874</v>
      </c>
      <c r="K735" t="s">
        <v>73</v>
      </c>
      <c r="N735" t="s">
        <v>74</v>
      </c>
      <c r="O735" t="s">
        <v>75</v>
      </c>
      <c r="P735" t="s">
        <v>74</v>
      </c>
      <c r="Q735" t="s">
        <v>76</v>
      </c>
      <c r="R735" t="s">
        <v>73</v>
      </c>
      <c r="S735">
        <v>0</v>
      </c>
      <c r="W735" s="20">
        <v>3.4722222222222222E-5</v>
      </c>
      <c r="X735" t="s">
        <v>132</v>
      </c>
      <c r="Y735">
        <v>1</v>
      </c>
      <c r="Z735">
        <v>0</v>
      </c>
      <c r="AA735" t="s">
        <v>78</v>
      </c>
      <c r="AB735">
        <v>0</v>
      </c>
      <c r="AC735" t="s">
        <v>78</v>
      </c>
      <c r="AD735">
        <v>0</v>
      </c>
      <c r="AE735">
        <v>11004199</v>
      </c>
      <c r="AF735" t="s">
        <v>79</v>
      </c>
      <c r="AG735" t="s">
        <v>1611</v>
      </c>
    </row>
    <row r="736" spans="1:33" x14ac:dyDescent="0.35">
      <c r="A736" s="18">
        <v>44481.024305555555</v>
      </c>
      <c r="B736">
        <v>5157487</v>
      </c>
      <c r="C736" t="s">
        <v>1875</v>
      </c>
      <c r="D736" t="s">
        <v>390</v>
      </c>
      <c r="E736" s="19">
        <v>43087</v>
      </c>
      <c r="F736" t="str">
        <f>"9783110477597"</f>
        <v>9783110477597</v>
      </c>
      <c r="G736" t="str">
        <f>"9783110476040"</f>
        <v>9783110476040</v>
      </c>
      <c r="H736" t="s">
        <v>110</v>
      </c>
      <c r="I736">
        <v>5.8</v>
      </c>
      <c r="J736" t="s">
        <v>1876</v>
      </c>
      <c r="K736" t="s">
        <v>73</v>
      </c>
      <c r="N736" t="s">
        <v>74</v>
      </c>
      <c r="O736" t="s">
        <v>75</v>
      </c>
      <c r="P736" t="s">
        <v>74</v>
      </c>
      <c r="Q736" t="s">
        <v>76</v>
      </c>
      <c r="R736" t="s">
        <v>73</v>
      </c>
      <c r="S736">
        <v>0</v>
      </c>
      <c r="W736" s="20">
        <v>2.3148148148148147E-5</v>
      </c>
      <c r="X736" t="s">
        <v>132</v>
      </c>
      <c r="Y736">
        <v>1</v>
      </c>
      <c r="Z736">
        <v>0</v>
      </c>
      <c r="AA736" t="s">
        <v>78</v>
      </c>
      <c r="AB736">
        <v>0</v>
      </c>
      <c r="AC736" t="s">
        <v>78</v>
      </c>
      <c r="AD736">
        <v>0</v>
      </c>
      <c r="AE736">
        <v>11497586</v>
      </c>
      <c r="AF736" t="s">
        <v>79</v>
      </c>
      <c r="AG736" t="s">
        <v>1611</v>
      </c>
    </row>
    <row r="737" spans="1:33" x14ac:dyDescent="0.35">
      <c r="A737" s="18">
        <v>44481.022916666669</v>
      </c>
      <c r="B737">
        <v>731277</v>
      </c>
      <c r="C737" t="s">
        <v>1877</v>
      </c>
      <c r="D737" t="s">
        <v>239</v>
      </c>
      <c r="E737" s="19">
        <v>40282</v>
      </c>
      <c r="F737" t="str">
        <f>"9789814289887"</f>
        <v>9789814289887</v>
      </c>
      <c r="G737" t="str">
        <f>"9789814289801"</f>
        <v>9789814289801</v>
      </c>
      <c r="H737" t="s">
        <v>1878</v>
      </c>
      <c r="I737">
        <v>332.6457029</v>
      </c>
      <c r="J737" t="s">
        <v>1879</v>
      </c>
      <c r="K737" t="s">
        <v>73</v>
      </c>
      <c r="N737" t="s">
        <v>74</v>
      </c>
      <c r="O737" t="s">
        <v>75</v>
      </c>
      <c r="P737" t="s">
        <v>74</v>
      </c>
      <c r="Q737" t="s">
        <v>76</v>
      </c>
      <c r="R737" t="s">
        <v>73</v>
      </c>
      <c r="S737">
        <v>0</v>
      </c>
      <c r="W737" s="20">
        <v>1.6203703703703703E-4</v>
      </c>
      <c r="X737" t="s">
        <v>1880</v>
      </c>
      <c r="Y737">
        <v>5</v>
      </c>
      <c r="Z737">
        <v>0</v>
      </c>
      <c r="AA737" t="s">
        <v>78</v>
      </c>
      <c r="AB737">
        <v>0</v>
      </c>
      <c r="AC737" t="s">
        <v>78</v>
      </c>
      <c r="AD737">
        <v>0</v>
      </c>
      <c r="AE737">
        <v>10422649</v>
      </c>
      <c r="AF737" t="s">
        <v>79</v>
      </c>
      <c r="AG737" t="s">
        <v>1611</v>
      </c>
    </row>
    <row r="738" spans="1:33" x14ac:dyDescent="0.35">
      <c r="A738" s="18">
        <v>44481.022222222222</v>
      </c>
      <c r="B738">
        <v>3339715</v>
      </c>
      <c r="C738" t="s">
        <v>1881</v>
      </c>
      <c r="D738" t="s">
        <v>300</v>
      </c>
      <c r="E738" s="19">
        <v>41614</v>
      </c>
      <c r="F738" t="str">
        <f>"9780262318945"</f>
        <v>9780262318945</v>
      </c>
      <c r="G738" t="str">
        <f>"9780262026772"</f>
        <v>9780262026772</v>
      </c>
      <c r="H738" t="s">
        <v>110</v>
      </c>
      <c r="I738">
        <v>4.3600000000000003</v>
      </c>
      <c r="J738" t="s">
        <v>1882</v>
      </c>
      <c r="K738" t="s">
        <v>73</v>
      </c>
      <c r="N738" t="s">
        <v>74</v>
      </c>
      <c r="O738" t="s">
        <v>75</v>
      </c>
      <c r="P738" t="s">
        <v>74</v>
      </c>
      <c r="Q738" t="s">
        <v>76</v>
      </c>
      <c r="R738" t="s">
        <v>73</v>
      </c>
      <c r="S738">
        <v>0</v>
      </c>
      <c r="W738" s="20">
        <v>1.9675925925925926E-4</v>
      </c>
      <c r="X738" t="s">
        <v>639</v>
      </c>
      <c r="Y738">
        <v>3</v>
      </c>
      <c r="Z738">
        <v>0</v>
      </c>
      <c r="AA738" t="s">
        <v>78</v>
      </c>
      <c r="AB738">
        <v>0</v>
      </c>
      <c r="AC738" t="s">
        <v>78</v>
      </c>
      <c r="AD738">
        <v>0</v>
      </c>
      <c r="AE738">
        <v>10819307</v>
      </c>
      <c r="AF738" t="s">
        <v>79</v>
      </c>
      <c r="AG738" t="s">
        <v>1611</v>
      </c>
    </row>
    <row r="739" spans="1:33" x14ac:dyDescent="0.35">
      <c r="A739" s="18">
        <v>44481.021527777775</v>
      </c>
      <c r="B739">
        <v>4841876</v>
      </c>
      <c r="C739" t="s">
        <v>1883</v>
      </c>
      <c r="D739" t="s">
        <v>70</v>
      </c>
      <c r="E739" s="19">
        <v>42849</v>
      </c>
      <c r="F739" t="str">
        <f>"9781119136415"</f>
        <v>9781119136415</v>
      </c>
      <c r="G739" t="str">
        <f>"9781848218048"</f>
        <v>9781848218048</v>
      </c>
      <c r="H739" t="s">
        <v>1884</v>
      </c>
      <c r="I739">
        <v>5.0999999999999996</v>
      </c>
      <c r="J739" t="s">
        <v>1885</v>
      </c>
      <c r="K739" t="s">
        <v>73</v>
      </c>
      <c r="N739" t="s">
        <v>74</v>
      </c>
      <c r="O739" t="s">
        <v>75</v>
      </c>
      <c r="P739" t="s">
        <v>74</v>
      </c>
      <c r="Q739" t="s">
        <v>76</v>
      </c>
      <c r="R739" t="s">
        <v>73</v>
      </c>
      <c r="S739">
        <v>0</v>
      </c>
      <c r="W739" s="20">
        <v>2.3148148148148147E-5</v>
      </c>
      <c r="X739" t="s">
        <v>132</v>
      </c>
      <c r="Y739">
        <v>1</v>
      </c>
      <c r="Z739">
        <v>0</v>
      </c>
      <c r="AA739" t="s">
        <v>78</v>
      </c>
      <c r="AB739">
        <v>0</v>
      </c>
      <c r="AC739" t="s">
        <v>78</v>
      </c>
      <c r="AD739">
        <v>0</v>
      </c>
      <c r="AE739">
        <v>11374188</v>
      </c>
      <c r="AF739" t="s">
        <v>79</v>
      </c>
      <c r="AG739" t="s">
        <v>1611</v>
      </c>
    </row>
    <row r="740" spans="1:33" x14ac:dyDescent="0.35">
      <c r="A740" s="18">
        <v>44481.01666666667</v>
      </c>
      <c r="B740">
        <v>866845</v>
      </c>
      <c r="C740" t="s">
        <v>1886</v>
      </c>
      <c r="D740" t="s">
        <v>538</v>
      </c>
      <c r="E740" s="19">
        <v>41025</v>
      </c>
      <c r="F740" t="str">
        <f>"9781139339742"</f>
        <v>9781139339742</v>
      </c>
      <c r="G740" t="str">
        <f>"9780521691581"</f>
        <v>9780521691581</v>
      </c>
      <c r="H740" t="s">
        <v>222</v>
      </c>
      <c r="I740">
        <v>616.85299999999995</v>
      </c>
      <c r="J740" t="s">
        <v>1887</v>
      </c>
      <c r="K740" t="s">
        <v>73</v>
      </c>
      <c r="N740" t="s">
        <v>74</v>
      </c>
      <c r="O740" t="s">
        <v>75</v>
      </c>
      <c r="P740" t="s">
        <v>74</v>
      </c>
      <c r="Q740" t="s">
        <v>76</v>
      </c>
      <c r="R740" t="s">
        <v>73</v>
      </c>
      <c r="S740">
        <v>0</v>
      </c>
      <c r="W740" s="20">
        <v>5.8263888888888893E-2</v>
      </c>
      <c r="X740" t="s">
        <v>1888</v>
      </c>
      <c r="Y740">
        <v>351</v>
      </c>
      <c r="Z740">
        <v>10</v>
      </c>
      <c r="AA740" t="s">
        <v>1889</v>
      </c>
      <c r="AB740">
        <v>18</v>
      </c>
      <c r="AC740" t="s">
        <v>78</v>
      </c>
      <c r="AD740">
        <v>0</v>
      </c>
      <c r="AE740">
        <v>10578261</v>
      </c>
      <c r="AF740" t="s">
        <v>79</v>
      </c>
      <c r="AG740" t="s">
        <v>1611</v>
      </c>
    </row>
    <row r="741" spans="1:33" x14ac:dyDescent="0.35">
      <c r="A741" s="18">
        <v>44481.01458333333</v>
      </c>
      <c r="B741">
        <v>3339142</v>
      </c>
      <c r="C741" t="s">
        <v>1890</v>
      </c>
      <c r="D741" t="s">
        <v>300</v>
      </c>
      <c r="E741" s="19">
        <v>40025</v>
      </c>
      <c r="F741" t="str">
        <f>"9780262270830"</f>
        <v>9780262270830</v>
      </c>
      <c r="G741" t="str">
        <f>"9780262533058"</f>
        <v>9780262533058</v>
      </c>
      <c r="H741" t="s">
        <v>110</v>
      </c>
      <c r="I741">
        <v>5.0999999999999996</v>
      </c>
      <c r="J741" t="s">
        <v>1891</v>
      </c>
      <c r="K741" t="s">
        <v>73</v>
      </c>
      <c r="N741" t="s">
        <v>74</v>
      </c>
      <c r="O741" t="s">
        <v>75</v>
      </c>
      <c r="P741" t="s">
        <v>74</v>
      </c>
      <c r="Q741" t="s">
        <v>76</v>
      </c>
      <c r="R741" t="s">
        <v>73</v>
      </c>
      <c r="S741">
        <v>0</v>
      </c>
      <c r="W741" s="20">
        <v>1.2037037037037038E-3</v>
      </c>
      <c r="X741" t="s">
        <v>1892</v>
      </c>
      <c r="Y741">
        <v>11</v>
      </c>
      <c r="Z741">
        <v>0</v>
      </c>
      <c r="AA741" t="s">
        <v>78</v>
      </c>
      <c r="AB741">
        <v>0</v>
      </c>
      <c r="AC741" t="s">
        <v>78</v>
      </c>
      <c r="AD741">
        <v>0</v>
      </c>
      <c r="AE741">
        <v>10397652</v>
      </c>
      <c r="AF741" t="s">
        <v>79</v>
      </c>
      <c r="AG741" t="s">
        <v>1611</v>
      </c>
    </row>
    <row r="742" spans="1:33" x14ac:dyDescent="0.35">
      <c r="A742" s="18">
        <v>44481.012499999997</v>
      </c>
      <c r="B742">
        <v>4841876</v>
      </c>
      <c r="C742" t="s">
        <v>1883</v>
      </c>
      <c r="D742" t="s">
        <v>70</v>
      </c>
      <c r="E742" s="19">
        <v>42849</v>
      </c>
      <c r="F742" t="str">
        <f>"9781119136415"</f>
        <v>9781119136415</v>
      </c>
      <c r="G742" t="str">
        <f>"9781848218048"</f>
        <v>9781848218048</v>
      </c>
      <c r="H742" t="s">
        <v>1884</v>
      </c>
      <c r="I742">
        <v>5.0999999999999996</v>
      </c>
      <c r="J742" t="s">
        <v>1885</v>
      </c>
      <c r="K742" t="s">
        <v>73</v>
      </c>
      <c r="N742" t="s">
        <v>74</v>
      </c>
      <c r="O742" t="s">
        <v>75</v>
      </c>
      <c r="P742" t="s">
        <v>74</v>
      </c>
      <c r="Q742" t="s">
        <v>76</v>
      </c>
      <c r="R742" t="s">
        <v>73</v>
      </c>
      <c r="S742">
        <v>0</v>
      </c>
      <c r="W742" s="20">
        <v>1.0300925925925926E-3</v>
      </c>
      <c r="X742" t="s">
        <v>1893</v>
      </c>
      <c r="Y742">
        <v>10</v>
      </c>
      <c r="Z742">
        <v>0</v>
      </c>
      <c r="AA742" t="s">
        <v>78</v>
      </c>
      <c r="AB742">
        <v>0</v>
      </c>
      <c r="AC742" t="s">
        <v>78</v>
      </c>
      <c r="AD742">
        <v>0</v>
      </c>
      <c r="AE742">
        <v>11374188</v>
      </c>
      <c r="AF742" t="s">
        <v>79</v>
      </c>
      <c r="AG742" t="s">
        <v>1611</v>
      </c>
    </row>
    <row r="743" spans="1:33" x14ac:dyDescent="0.35">
      <c r="A743" s="18">
        <v>44480.906944444447</v>
      </c>
      <c r="B743">
        <v>954632</v>
      </c>
      <c r="C743" t="s">
        <v>1443</v>
      </c>
      <c r="D743" t="s">
        <v>1258</v>
      </c>
      <c r="E743" s="19">
        <v>41320</v>
      </c>
      <c r="F743" t="str">
        <f>"9781606503263"</f>
        <v>9781606503263</v>
      </c>
      <c r="G743" t="str">
        <f>"9781606503249"</f>
        <v>9781606503249</v>
      </c>
      <c r="H743" t="s">
        <v>143</v>
      </c>
      <c r="I743">
        <v>658.2</v>
      </c>
      <c r="J743" t="s">
        <v>1444</v>
      </c>
      <c r="K743" t="s">
        <v>73</v>
      </c>
      <c r="N743" t="s">
        <v>74</v>
      </c>
      <c r="O743" t="s">
        <v>75</v>
      </c>
      <c r="P743" t="s">
        <v>74</v>
      </c>
      <c r="Q743" t="s">
        <v>76</v>
      </c>
      <c r="R743" t="s">
        <v>73</v>
      </c>
      <c r="S743">
        <v>0</v>
      </c>
      <c r="W743" s="20">
        <v>8.1018518518518516E-5</v>
      </c>
      <c r="X743" t="s">
        <v>132</v>
      </c>
      <c r="Y743">
        <v>1</v>
      </c>
      <c r="Z743">
        <v>0</v>
      </c>
      <c r="AA743" t="s">
        <v>78</v>
      </c>
      <c r="AB743">
        <v>0</v>
      </c>
      <c r="AC743" t="s">
        <v>78</v>
      </c>
      <c r="AD743">
        <v>0</v>
      </c>
      <c r="AE743">
        <v>10661537</v>
      </c>
      <c r="AF743" t="s">
        <v>79</v>
      </c>
      <c r="AG743" t="s">
        <v>1164</v>
      </c>
    </row>
    <row r="744" spans="1:33" x14ac:dyDescent="0.35">
      <c r="A744" s="18">
        <v>44480.873611111114</v>
      </c>
      <c r="B744">
        <v>954632</v>
      </c>
      <c r="C744" t="s">
        <v>1443</v>
      </c>
      <c r="D744" t="s">
        <v>1258</v>
      </c>
      <c r="E744" s="19">
        <v>41320</v>
      </c>
      <c r="F744" t="str">
        <f>"9781606503263"</f>
        <v>9781606503263</v>
      </c>
      <c r="G744" t="str">
        <f>"9781606503249"</f>
        <v>9781606503249</v>
      </c>
      <c r="H744" t="s">
        <v>143</v>
      </c>
      <c r="I744">
        <v>658.2</v>
      </c>
      <c r="J744" t="s">
        <v>1444</v>
      </c>
      <c r="K744" t="s">
        <v>73</v>
      </c>
      <c r="N744" t="s">
        <v>74</v>
      </c>
      <c r="O744" t="s">
        <v>75</v>
      </c>
      <c r="P744" t="s">
        <v>74</v>
      </c>
      <c r="Q744" t="s">
        <v>76</v>
      </c>
      <c r="R744" t="s">
        <v>73</v>
      </c>
      <c r="S744">
        <v>0</v>
      </c>
      <c r="W744" s="20">
        <v>3.1250000000000001E-4</v>
      </c>
      <c r="X744" t="s">
        <v>1894</v>
      </c>
      <c r="Y744">
        <v>3</v>
      </c>
      <c r="Z744">
        <v>2</v>
      </c>
      <c r="AA744" t="s">
        <v>1895</v>
      </c>
      <c r="AB744">
        <v>11</v>
      </c>
      <c r="AC744" t="s">
        <v>78</v>
      </c>
      <c r="AD744">
        <v>0</v>
      </c>
      <c r="AE744">
        <v>10661537</v>
      </c>
      <c r="AF744" t="s">
        <v>79</v>
      </c>
      <c r="AG744" t="s">
        <v>1164</v>
      </c>
    </row>
    <row r="745" spans="1:33" x14ac:dyDescent="0.35">
      <c r="A745" s="18">
        <v>44480.834722222222</v>
      </c>
      <c r="B745">
        <v>954632</v>
      </c>
      <c r="C745" t="s">
        <v>1443</v>
      </c>
      <c r="D745" t="s">
        <v>1258</v>
      </c>
      <c r="E745" s="19">
        <v>41320</v>
      </c>
      <c r="F745" t="str">
        <f>"9781606503263"</f>
        <v>9781606503263</v>
      </c>
      <c r="G745" t="str">
        <f>"9781606503249"</f>
        <v>9781606503249</v>
      </c>
      <c r="H745" t="s">
        <v>143</v>
      </c>
      <c r="I745">
        <v>658.2</v>
      </c>
      <c r="J745" t="s">
        <v>1444</v>
      </c>
      <c r="K745" t="s">
        <v>73</v>
      </c>
      <c r="N745" t="s">
        <v>74</v>
      </c>
      <c r="O745" t="s">
        <v>75</v>
      </c>
      <c r="P745" t="s">
        <v>74</v>
      </c>
      <c r="Q745" t="s">
        <v>76</v>
      </c>
      <c r="R745" t="s">
        <v>73</v>
      </c>
      <c r="S745">
        <v>0</v>
      </c>
      <c r="W745" s="20">
        <v>8.1018518518518516E-5</v>
      </c>
      <c r="X745" t="s">
        <v>132</v>
      </c>
      <c r="Y745">
        <v>1</v>
      </c>
      <c r="Z745">
        <v>0</v>
      </c>
      <c r="AA745" t="s">
        <v>78</v>
      </c>
      <c r="AB745">
        <v>0</v>
      </c>
      <c r="AC745" t="s">
        <v>78</v>
      </c>
      <c r="AD745">
        <v>0</v>
      </c>
      <c r="AE745">
        <v>10661537</v>
      </c>
      <c r="AF745" t="s">
        <v>79</v>
      </c>
      <c r="AG745" t="s">
        <v>1164</v>
      </c>
    </row>
    <row r="746" spans="1:33" x14ac:dyDescent="0.35">
      <c r="A746" s="18">
        <v>44480.709722222222</v>
      </c>
      <c r="B746">
        <v>6261739</v>
      </c>
      <c r="C746" t="s">
        <v>1896</v>
      </c>
      <c r="D746" t="s">
        <v>844</v>
      </c>
      <c r="E746" s="19">
        <v>41956</v>
      </c>
      <c r="F746" t="str">
        <f>"9781483307985"</f>
        <v>9781483307985</v>
      </c>
      <c r="G746" t="str">
        <f>"9781483308012"</f>
        <v>9781483308012</v>
      </c>
      <c r="H746" t="s">
        <v>1179</v>
      </c>
      <c r="I746">
        <v>370.11709730000001</v>
      </c>
      <c r="J746" t="s">
        <v>1897</v>
      </c>
      <c r="K746" t="s">
        <v>85</v>
      </c>
      <c r="N746" t="s">
        <v>86</v>
      </c>
      <c r="P746" t="s">
        <v>87</v>
      </c>
      <c r="Q746" t="s">
        <v>76</v>
      </c>
      <c r="R746" t="s">
        <v>73</v>
      </c>
      <c r="S746">
        <v>0</v>
      </c>
      <c r="W746" s="20">
        <v>9.3750000000000007E-4</v>
      </c>
      <c r="X746" t="s">
        <v>1898</v>
      </c>
      <c r="Y746">
        <v>4</v>
      </c>
      <c r="Z746">
        <v>0</v>
      </c>
      <c r="AA746" t="s">
        <v>78</v>
      </c>
      <c r="AB746">
        <v>0</v>
      </c>
      <c r="AC746" t="s">
        <v>78</v>
      </c>
      <c r="AD746">
        <v>0</v>
      </c>
      <c r="AE746">
        <v>-1</v>
      </c>
      <c r="AF746" t="s">
        <v>79</v>
      </c>
      <c r="AG746" t="s">
        <v>1899</v>
      </c>
    </row>
    <row r="747" spans="1:33" x14ac:dyDescent="0.35">
      <c r="A747" s="18">
        <v>44480.647222222222</v>
      </c>
      <c r="B747">
        <v>1204633</v>
      </c>
      <c r="C747" t="s">
        <v>1560</v>
      </c>
      <c r="D747" t="s">
        <v>70</v>
      </c>
      <c r="E747" s="19">
        <v>41512</v>
      </c>
      <c r="F747" t="str">
        <f>"9781118450444"</f>
        <v>9781118450444</v>
      </c>
      <c r="G747" t="str">
        <f>"9780470673768"</f>
        <v>9780470673768</v>
      </c>
      <c r="H747" t="s">
        <v>1561</v>
      </c>
      <c r="I747">
        <v>552.5</v>
      </c>
      <c r="J747" t="s">
        <v>1562</v>
      </c>
      <c r="K747" t="s">
        <v>73</v>
      </c>
      <c r="N747" t="s">
        <v>74</v>
      </c>
      <c r="O747" t="s">
        <v>75</v>
      </c>
      <c r="P747" t="s">
        <v>74</v>
      </c>
      <c r="Q747" t="s">
        <v>76</v>
      </c>
      <c r="R747" t="s">
        <v>73</v>
      </c>
      <c r="S747">
        <v>0</v>
      </c>
      <c r="W747" s="20">
        <v>1.9560185185185184E-3</v>
      </c>
      <c r="X747" t="s">
        <v>1900</v>
      </c>
      <c r="Y747">
        <v>5</v>
      </c>
      <c r="Z747">
        <v>1</v>
      </c>
      <c r="AA747" t="s">
        <v>1716</v>
      </c>
      <c r="AB747">
        <v>17</v>
      </c>
      <c r="AC747" t="s">
        <v>78</v>
      </c>
      <c r="AD747">
        <v>0</v>
      </c>
      <c r="AE747">
        <v>10713576</v>
      </c>
      <c r="AF747" t="s">
        <v>79</v>
      </c>
      <c r="AG747" t="s">
        <v>1164</v>
      </c>
    </row>
    <row r="748" spans="1:33" x14ac:dyDescent="0.35">
      <c r="A748" s="18">
        <v>44480.603472222225</v>
      </c>
      <c r="B748">
        <v>6261739</v>
      </c>
      <c r="C748" t="s">
        <v>1896</v>
      </c>
      <c r="D748" t="s">
        <v>844</v>
      </c>
      <c r="E748" s="19">
        <v>41956</v>
      </c>
      <c r="F748" t="str">
        <f>"9781483307985"</f>
        <v>9781483307985</v>
      </c>
      <c r="G748" t="str">
        <f>"9781483308012"</f>
        <v>9781483308012</v>
      </c>
      <c r="H748" t="s">
        <v>1179</v>
      </c>
      <c r="I748">
        <v>370.11709730000001</v>
      </c>
      <c r="J748" t="s">
        <v>1897</v>
      </c>
      <c r="K748" t="s">
        <v>85</v>
      </c>
      <c r="N748" t="s">
        <v>86</v>
      </c>
      <c r="P748" t="s">
        <v>87</v>
      </c>
      <c r="Q748" t="s">
        <v>76</v>
      </c>
      <c r="R748" t="s">
        <v>73</v>
      </c>
      <c r="S748">
        <v>0</v>
      </c>
      <c r="W748" s="20">
        <v>4.7222222222222223E-3</v>
      </c>
      <c r="X748" t="s">
        <v>1901</v>
      </c>
      <c r="Y748">
        <v>28</v>
      </c>
      <c r="Z748">
        <v>4</v>
      </c>
      <c r="AA748" t="s">
        <v>1902</v>
      </c>
      <c r="AB748">
        <v>37</v>
      </c>
      <c r="AC748" t="s">
        <v>1903</v>
      </c>
      <c r="AD748">
        <v>1</v>
      </c>
      <c r="AE748">
        <v>-1</v>
      </c>
      <c r="AF748" t="s">
        <v>79</v>
      </c>
      <c r="AG748" t="s">
        <v>1899</v>
      </c>
    </row>
    <row r="749" spans="1:33" x14ac:dyDescent="0.35">
      <c r="A749" s="18">
        <v>44480.478472222225</v>
      </c>
      <c r="B749">
        <v>1117015</v>
      </c>
      <c r="C749" t="s">
        <v>1904</v>
      </c>
      <c r="D749" t="s">
        <v>70</v>
      </c>
      <c r="E749" s="19">
        <v>41365</v>
      </c>
      <c r="F749" t="str">
        <f>"9781118485255"</f>
        <v>9781118485255</v>
      </c>
      <c r="G749" t="str">
        <f>"9780470656679"</f>
        <v>9780470656679</v>
      </c>
      <c r="H749" t="s">
        <v>1905</v>
      </c>
      <c r="I749">
        <v>551.9</v>
      </c>
      <c r="J749" t="s">
        <v>1906</v>
      </c>
      <c r="K749" t="s">
        <v>73</v>
      </c>
      <c r="N749" t="s">
        <v>74</v>
      </c>
      <c r="O749" t="s">
        <v>75</v>
      </c>
      <c r="P749" t="s">
        <v>74</v>
      </c>
      <c r="Q749" t="s">
        <v>76</v>
      </c>
      <c r="R749" t="s">
        <v>73</v>
      </c>
      <c r="S749">
        <v>0</v>
      </c>
      <c r="W749" s="20">
        <v>2.0833333333333333E-3</v>
      </c>
      <c r="X749" t="s">
        <v>1907</v>
      </c>
      <c r="Y749">
        <v>21</v>
      </c>
      <c r="Z749">
        <v>2</v>
      </c>
      <c r="AA749" t="s">
        <v>1908</v>
      </c>
      <c r="AB749">
        <v>120</v>
      </c>
      <c r="AC749" t="s">
        <v>78</v>
      </c>
      <c r="AD749">
        <v>0</v>
      </c>
      <c r="AE749">
        <v>10650978</v>
      </c>
      <c r="AF749" t="s">
        <v>88</v>
      </c>
      <c r="AG749" t="s">
        <v>1909</v>
      </c>
    </row>
    <row r="750" spans="1:33" x14ac:dyDescent="0.35">
      <c r="A750" s="18">
        <v>44480.477083333331</v>
      </c>
      <c r="B750">
        <v>1673977</v>
      </c>
      <c r="C750" t="s">
        <v>1910</v>
      </c>
      <c r="D750" t="s">
        <v>70</v>
      </c>
      <c r="E750" s="19">
        <v>41786</v>
      </c>
      <c r="F750" t="str">
        <f>"9781118867501"</f>
        <v>9781118867501</v>
      </c>
      <c r="G750" t="str">
        <f>"9781118867358"</f>
        <v>9781118867358</v>
      </c>
      <c r="H750" t="s">
        <v>1561</v>
      </c>
      <c r="I750">
        <v>551.9</v>
      </c>
      <c r="J750" t="s">
        <v>1911</v>
      </c>
      <c r="K750" t="s">
        <v>73</v>
      </c>
      <c r="N750" t="s">
        <v>74</v>
      </c>
      <c r="O750" t="s">
        <v>75</v>
      </c>
      <c r="P750" t="s">
        <v>74</v>
      </c>
      <c r="Q750" t="s">
        <v>76</v>
      </c>
      <c r="R750" t="s">
        <v>73</v>
      </c>
      <c r="S750">
        <v>0</v>
      </c>
      <c r="W750" s="20">
        <v>1.3888888888888889E-4</v>
      </c>
      <c r="X750" t="s">
        <v>125</v>
      </c>
      <c r="Y750">
        <v>2</v>
      </c>
      <c r="Z750">
        <v>0</v>
      </c>
      <c r="AA750" t="s">
        <v>78</v>
      </c>
      <c r="AB750">
        <v>0</v>
      </c>
      <c r="AC750" t="s">
        <v>78</v>
      </c>
      <c r="AD750">
        <v>0</v>
      </c>
      <c r="AE750">
        <v>10858446</v>
      </c>
      <c r="AF750" t="s">
        <v>88</v>
      </c>
      <c r="AG750" t="s">
        <v>1909</v>
      </c>
    </row>
    <row r="751" spans="1:33" x14ac:dyDescent="0.35">
      <c r="A751" s="18">
        <v>44480.425694444442</v>
      </c>
      <c r="B751">
        <v>1075178</v>
      </c>
      <c r="C751" t="s">
        <v>1912</v>
      </c>
      <c r="D751" t="s">
        <v>127</v>
      </c>
      <c r="E751" s="19">
        <v>41183</v>
      </c>
      <c r="F751" t="str">
        <f>"9781136251498"</f>
        <v>9781136251498</v>
      </c>
      <c r="G751" t="str">
        <f>"9780415624077"</f>
        <v>9780415624077</v>
      </c>
      <c r="H751" t="s">
        <v>1913</v>
      </c>
      <c r="I751">
        <v>338.10953999999998</v>
      </c>
      <c r="J751" t="s">
        <v>1914</v>
      </c>
      <c r="K751" t="s">
        <v>73</v>
      </c>
      <c r="N751" t="s">
        <v>74</v>
      </c>
      <c r="O751" t="s">
        <v>75</v>
      </c>
      <c r="P751" t="s">
        <v>74</v>
      </c>
      <c r="Q751" t="s">
        <v>76</v>
      </c>
      <c r="R751" t="s">
        <v>73</v>
      </c>
      <c r="S751">
        <v>0</v>
      </c>
      <c r="W751" s="20">
        <v>2.8124999999999995E-3</v>
      </c>
      <c r="X751" t="s">
        <v>1915</v>
      </c>
      <c r="Y751">
        <v>18</v>
      </c>
      <c r="Z751">
        <v>0</v>
      </c>
      <c r="AA751" t="s">
        <v>78</v>
      </c>
      <c r="AB751">
        <v>0</v>
      </c>
      <c r="AC751" t="s">
        <v>78</v>
      </c>
      <c r="AD751">
        <v>0</v>
      </c>
      <c r="AE751">
        <v>10630943</v>
      </c>
      <c r="AF751" t="s">
        <v>79</v>
      </c>
      <c r="AG751" t="s">
        <v>1695</v>
      </c>
    </row>
    <row r="752" spans="1:33" x14ac:dyDescent="0.35">
      <c r="A752" s="18">
        <v>44480.366666666669</v>
      </c>
      <c r="B752">
        <v>264349</v>
      </c>
      <c r="C752" t="s">
        <v>1916</v>
      </c>
      <c r="D752" t="s">
        <v>127</v>
      </c>
      <c r="E752" s="19">
        <v>38481</v>
      </c>
      <c r="F752" t="str">
        <f>"9781420032109"</f>
        <v>9781420032109</v>
      </c>
      <c r="G752" t="str">
        <f>"9781566706254"</f>
        <v>9781566706254</v>
      </c>
      <c r="H752" t="s">
        <v>1917</v>
      </c>
      <c r="I752" t="s">
        <v>1918</v>
      </c>
      <c r="J752" t="s">
        <v>1919</v>
      </c>
      <c r="K752" t="s">
        <v>85</v>
      </c>
      <c r="N752" t="s">
        <v>86</v>
      </c>
      <c r="P752" t="s">
        <v>87</v>
      </c>
      <c r="Q752" t="s">
        <v>76</v>
      </c>
      <c r="R752" t="s">
        <v>73</v>
      </c>
      <c r="S752">
        <v>0</v>
      </c>
      <c r="W752" s="20">
        <v>0</v>
      </c>
      <c r="X752" t="s">
        <v>78</v>
      </c>
      <c r="Y752">
        <v>0</v>
      </c>
      <c r="Z752">
        <v>1</v>
      </c>
      <c r="AA752" t="s">
        <v>1920</v>
      </c>
      <c r="AB752">
        <v>118</v>
      </c>
      <c r="AC752" t="s">
        <v>78</v>
      </c>
      <c r="AD752">
        <v>0</v>
      </c>
      <c r="AE752">
        <v>10144220</v>
      </c>
      <c r="AF752" t="s">
        <v>79</v>
      </c>
      <c r="AG752" t="s">
        <v>1921</v>
      </c>
    </row>
    <row r="753" spans="1:33" x14ac:dyDescent="0.35">
      <c r="A753" s="18">
        <v>44479.949305555558</v>
      </c>
      <c r="B753">
        <v>1119456</v>
      </c>
      <c r="C753" t="s">
        <v>1922</v>
      </c>
      <c r="D753" t="s">
        <v>70</v>
      </c>
      <c r="E753" s="19">
        <v>41365</v>
      </c>
      <c r="F753" t="str">
        <f>"9781118516515"</f>
        <v>9781118516515</v>
      </c>
      <c r="G753" t="str">
        <f>"9781119953456"</f>
        <v>9781119953456</v>
      </c>
      <c r="H753" t="s">
        <v>1923</v>
      </c>
      <c r="I753">
        <v>621.79999999999995</v>
      </c>
      <c r="J753" t="s">
        <v>1924</v>
      </c>
      <c r="K753" t="s">
        <v>73</v>
      </c>
      <c r="N753" t="s">
        <v>74</v>
      </c>
      <c r="O753" t="s">
        <v>75</v>
      </c>
      <c r="P753" t="s">
        <v>74</v>
      </c>
      <c r="Q753" t="s">
        <v>76</v>
      </c>
      <c r="R753" t="s">
        <v>73</v>
      </c>
      <c r="S753">
        <v>3</v>
      </c>
      <c r="W753" s="20">
        <v>1.6701388888888887E-2</v>
      </c>
      <c r="X753" t="s">
        <v>1925</v>
      </c>
      <c r="Y753">
        <v>107</v>
      </c>
      <c r="Z753">
        <v>0</v>
      </c>
      <c r="AA753" t="s">
        <v>78</v>
      </c>
      <c r="AB753">
        <v>0</v>
      </c>
      <c r="AC753" t="s">
        <v>78</v>
      </c>
      <c r="AD753">
        <v>0</v>
      </c>
      <c r="AE753">
        <v>10653559</v>
      </c>
      <c r="AF753" t="s">
        <v>88</v>
      </c>
      <c r="AG753" t="s">
        <v>1291</v>
      </c>
    </row>
    <row r="754" spans="1:33" x14ac:dyDescent="0.35">
      <c r="A754" s="18">
        <v>44479.945138888892</v>
      </c>
      <c r="B754">
        <v>1119456</v>
      </c>
      <c r="C754" t="s">
        <v>1922</v>
      </c>
      <c r="D754" t="s">
        <v>70</v>
      </c>
      <c r="E754" s="19">
        <v>41365</v>
      </c>
      <c r="F754" t="str">
        <f>"9781118516515"</f>
        <v>9781118516515</v>
      </c>
      <c r="G754" t="str">
        <f>"9781119953456"</f>
        <v>9781119953456</v>
      </c>
      <c r="H754" t="s">
        <v>1923</v>
      </c>
      <c r="I754">
        <v>621.79999999999995</v>
      </c>
      <c r="J754" t="s">
        <v>1924</v>
      </c>
      <c r="K754" t="s">
        <v>73</v>
      </c>
      <c r="N754" t="s">
        <v>74</v>
      </c>
      <c r="O754" t="s">
        <v>75</v>
      </c>
      <c r="P754" t="s">
        <v>74</v>
      </c>
      <c r="Q754" t="s">
        <v>76</v>
      </c>
      <c r="R754" t="s">
        <v>73</v>
      </c>
      <c r="S754">
        <v>0</v>
      </c>
      <c r="W754" s="20">
        <v>3.4953703703703705E-3</v>
      </c>
      <c r="X754" t="s">
        <v>1926</v>
      </c>
      <c r="Y754">
        <v>9</v>
      </c>
      <c r="Z754">
        <v>0</v>
      </c>
      <c r="AA754" t="s">
        <v>78</v>
      </c>
      <c r="AB754">
        <v>0</v>
      </c>
      <c r="AC754" t="s">
        <v>78</v>
      </c>
      <c r="AD754">
        <v>0</v>
      </c>
      <c r="AE754">
        <v>10653559</v>
      </c>
      <c r="AF754" t="s">
        <v>88</v>
      </c>
      <c r="AG754" t="s">
        <v>1291</v>
      </c>
    </row>
    <row r="755" spans="1:33" x14ac:dyDescent="0.35">
      <c r="A755" s="18">
        <v>44479.838888888888</v>
      </c>
      <c r="B755">
        <v>179458</v>
      </c>
      <c r="C755" t="s">
        <v>1927</v>
      </c>
      <c r="D755" t="s">
        <v>127</v>
      </c>
      <c r="E755" s="19">
        <v>34325</v>
      </c>
      <c r="F755" t="str">
        <f>"9780203204818"</f>
        <v>9780203204818</v>
      </c>
      <c r="G755" t="str">
        <f>"9780415100205"</f>
        <v>9780415100205</v>
      </c>
      <c r="H755" t="s">
        <v>756</v>
      </c>
      <c r="I755" t="s">
        <v>1928</v>
      </c>
      <c r="J755" t="s">
        <v>1929</v>
      </c>
      <c r="K755" t="s">
        <v>73</v>
      </c>
      <c r="N755" t="s">
        <v>74</v>
      </c>
      <c r="O755" t="s">
        <v>75</v>
      </c>
      <c r="P755" t="s">
        <v>74</v>
      </c>
      <c r="Q755" t="s">
        <v>76</v>
      </c>
      <c r="R755" t="s">
        <v>73</v>
      </c>
      <c r="S755">
        <v>0</v>
      </c>
      <c r="W755" s="20">
        <v>7.291666666666667E-4</v>
      </c>
      <c r="X755" t="s">
        <v>1930</v>
      </c>
      <c r="Y755">
        <v>5</v>
      </c>
      <c r="Z755">
        <v>0</v>
      </c>
      <c r="AA755" t="s">
        <v>78</v>
      </c>
      <c r="AB755">
        <v>0</v>
      </c>
      <c r="AC755" t="s">
        <v>78</v>
      </c>
      <c r="AD755">
        <v>0</v>
      </c>
      <c r="AE755">
        <v>10100667</v>
      </c>
      <c r="AF755" t="s">
        <v>79</v>
      </c>
      <c r="AG755" t="s">
        <v>1611</v>
      </c>
    </row>
    <row r="756" spans="1:33" x14ac:dyDescent="0.35">
      <c r="A756" s="18">
        <v>44479.838194444441</v>
      </c>
      <c r="B756">
        <v>223219</v>
      </c>
      <c r="C756" t="s">
        <v>1931</v>
      </c>
      <c r="D756" t="s">
        <v>780</v>
      </c>
      <c r="E756" s="19">
        <v>37935</v>
      </c>
      <c r="F756" t="str">
        <f>"9780520929371"</f>
        <v>9780520929371</v>
      </c>
      <c r="G756" t="str">
        <f>"9780520235601"</f>
        <v>9780520235601</v>
      </c>
      <c r="H756" t="s">
        <v>636</v>
      </c>
      <c r="I756" t="s">
        <v>1932</v>
      </c>
      <c r="J756" t="s">
        <v>1933</v>
      </c>
      <c r="K756" t="s">
        <v>73</v>
      </c>
      <c r="N756" t="s">
        <v>74</v>
      </c>
      <c r="O756" t="s">
        <v>75</v>
      </c>
      <c r="P756" t="s">
        <v>230</v>
      </c>
      <c r="Q756" t="s">
        <v>76</v>
      </c>
      <c r="R756" t="s">
        <v>85</v>
      </c>
      <c r="S756">
        <v>0</v>
      </c>
      <c r="W756" s="20">
        <v>6.2500000000000001E-4</v>
      </c>
      <c r="X756" t="s">
        <v>1934</v>
      </c>
      <c r="Y756">
        <v>10</v>
      </c>
      <c r="Z756">
        <v>0</v>
      </c>
      <c r="AA756" t="s">
        <v>78</v>
      </c>
      <c r="AB756">
        <v>0</v>
      </c>
      <c r="AC756" t="s">
        <v>78</v>
      </c>
      <c r="AD756">
        <v>0</v>
      </c>
      <c r="AE756">
        <v>10062301</v>
      </c>
      <c r="AF756" t="s">
        <v>79</v>
      </c>
      <c r="AG756" t="s">
        <v>1611</v>
      </c>
    </row>
    <row r="757" spans="1:33" x14ac:dyDescent="0.35">
      <c r="A757" s="18">
        <v>44479.738888888889</v>
      </c>
      <c r="B757">
        <v>954639</v>
      </c>
      <c r="C757" t="s">
        <v>1935</v>
      </c>
      <c r="D757" t="s">
        <v>1258</v>
      </c>
      <c r="E757" s="19">
        <v>41258</v>
      </c>
      <c r="F757" t="str">
        <f>"9781606500613"</f>
        <v>9781606500613</v>
      </c>
      <c r="G757" t="str">
        <f>"9781606500590"</f>
        <v>9781606500590</v>
      </c>
      <c r="H757" t="s">
        <v>466</v>
      </c>
      <c r="I757">
        <v>621.38153599999998</v>
      </c>
      <c r="J757" t="s">
        <v>1936</v>
      </c>
      <c r="K757" t="s">
        <v>73</v>
      </c>
      <c r="N757" t="s">
        <v>74</v>
      </c>
      <c r="O757" t="s">
        <v>75</v>
      </c>
      <c r="P757" t="s">
        <v>74</v>
      </c>
      <c r="Q757" t="s">
        <v>76</v>
      </c>
      <c r="R757" t="s">
        <v>73</v>
      </c>
      <c r="S757">
        <v>0</v>
      </c>
      <c r="W757" s="20">
        <v>7.175925925925927E-4</v>
      </c>
      <c r="X757" t="s">
        <v>1937</v>
      </c>
      <c r="Y757">
        <v>10</v>
      </c>
      <c r="Z757">
        <v>0</v>
      </c>
      <c r="AA757" t="s">
        <v>78</v>
      </c>
      <c r="AB757">
        <v>0</v>
      </c>
      <c r="AC757" t="s">
        <v>78</v>
      </c>
      <c r="AD757">
        <v>0</v>
      </c>
      <c r="AE757">
        <v>10629653</v>
      </c>
      <c r="AF757" t="s">
        <v>79</v>
      </c>
      <c r="AG757" t="s">
        <v>1611</v>
      </c>
    </row>
    <row r="758" spans="1:33" x14ac:dyDescent="0.35">
      <c r="A758" s="18">
        <v>44479.640277777777</v>
      </c>
      <c r="B758">
        <v>5475665</v>
      </c>
      <c r="C758" t="s">
        <v>1938</v>
      </c>
      <c r="D758" t="s">
        <v>1311</v>
      </c>
      <c r="E758" s="19">
        <v>42943</v>
      </c>
      <c r="F758" t="str">
        <f>"9781498776073"</f>
        <v>9781498776073</v>
      </c>
      <c r="G758" t="str">
        <f>"9781498776066"</f>
        <v>9781498776066</v>
      </c>
      <c r="H758" t="s">
        <v>115</v>
      </c>
      <c r="I758" t="s">
        <v>1939</v>
      </c>
      <c r="J758" t="s">
        <v>1940</v>
      </c>
      <c r="K758" t="s">
        <v>73</v>
      </c>
      <c r="N758" t="s">
        <v>74</v>
      </c>
      <c r="O758" t="s">
        <v>75</v>
      </c>
      <c r="P758" t="s">
        <v>74</v>
      </c>
      <c r="Q758" t="s">
        <v>76</v>
      </c>
      <c r="R758" t="s">
        <v>73</v>
      </c>
      <c r="S758">
        <v>0</v>
      </c>
      <c r="W758" s="20">
        <v>1.6319444444444445E-3</v>
      </c>
      <c r="X758" t="s">
        <v>1941</v>
      </c>
      <c r="Y758">
        <v>21</v>
      </c>
      <c r="Z758">
        <v>0</v>
      </c>
      <c r="AA758" t="s">
        <v>78</v>
      </c>
      <c r="AB758">
        <v>0</v>
      </c>
      <c r="AC758" t="s">
        <v>78</v>
      </c>
      <c r="AD758">
        <v>0</v>
      </c>
      <c r="AE758">
        <v>11595605</v>
      </c>
      <c r="AF758" t="s">
        <v>79</v>
      </c>
      <c r="AG758" t="s">
        <v>293</v>
      </c>
    </row>
    <row r="759" spans="1:33" x14ac:dyDescent="0.35">
      <c r="A759" s="18">
        <v>44479.63958333333</v>
      </c>
      <c r="B759">
        <v>5754433</v>
      </c>
      <c r="C759" t="s">
        <v>649</v>
      </c>
      <c r="D759" t="s">
        <v>158</v>
      </c>
      <c r="E759" s="19">
        <v>41474</v>
      </c>
      <c r="F759" t="str">
        <f>"9780124058934"</f>
        <v>9780124058934</v>
      </c>
      <c r="G759" t="str">
        <f>"9780124058767"</f>
        <v>9780124058767</v>
      </c>
      <c r="H759" t="s">
        <v>115</v>
      </c>
      <c r="I759">
        <v>518.02855299999999</v>
      </c>
      <c r="J759" t="s">
        <v>652</v>
      </c>
      <c r="K759" t="s">
        <v>73</v>
      </c>
      <c r="N759" t="s">
        <v>74</v>
      </c>
      <c r="O759" t="s">
        <v>75</v>
      </c>
      <c r="P759" t="s">
        <v>74</v>
      </c>
      <c r="Q759" t="s">
        <v>76</v>
      </c>
      <c r="R759" t="s">
        <v>73</v>
      </c>
      <c r="S759">
        <v>0</v>
      </c>
      <c r="W759" s="20">
        <v>5.0925925925925921E-4</v>
      </c>
      <c r="X759" t="s">
        <v>1942</v>
      </c>
      <c r="Y759">
        <v>3</v>
      </c>
      <c r="Z759">
        <v>0</v>
      </c>
      <c r="AA759" t="s">
        <v>78</v>
      </c>
      <c r="AB759">
        <v>0</v>
      </c>
      <c r="AC759" t="s">
        <v>78</v>
      </c>
      <c r="AD759">
        <v>0</v>
      </c>
      <c r="AE759">
        <v>-1</v>
      </c>
      <c r="AF759" t="s">
        <v>79</v>
      </c>
      <c r="AG759" t="s">
        <v>293</v>
      </c>
    </row>
    <row r="760" spans="1:33" x14ac:dyDescent="0.35">
      <c r="A760" s="18">
        <v>44479.414583333331</v>
      </c>
      <c r="B760">
        <v>731150</v>
      </c>
      <c r="C760" t="s">
        <v>1943</v>
      </c>
      <c r="D760" t="s">
        <v>239</v>
      </c>
      <c r="E760" s="19">
        <v>40525</v>
      </c>
      <c r="F760" t="str">
        <f>"9789814324779"</f>
        <v>9789814324779</v>
      </c>
      <c r="G760" t="str">
        <f>"9789814324762"</f>
        <v>9789814324762</v>
      </c>
      <c r="H760" t="s">
        <v>1750</v>
      </c>
      <c r="I760">
        <v>502.82</v>
      </c>
      <c r="J760" t="s">
        <v>1944</v>
      </c>
      <c r="K760" t="s">
        <v>73</v>
      </c>
      <c r="N760" t="s">
        <v>74</v>
      </c>
      <c r="O760" t="s">
        <v>75</v>
      </c>
      <c r="P760" t="s">
        <v>74</v>
      </c>
      <c r="Q760" t="s">
        <v>76</v>
      </c>
      <c r="R760" t="s">
        <v>73</v>
      </c>
      <c r="S760">
        <v>1</v>
      </c>
      <c r="W760" s="20">
        <v>9.2592592592592588E-5</v>
      </c>
      <c r="X760" t="s">
        <v>1945</v>
      </c>
      <c r="Y760">
        <v>2</v>
      </c>
      <c r="Z760">
        <v>0</v>
      </c>
      <c r="AA760" t="s">
        <v>78</v>
      </c>
      <c r="AB760">
        <v>0</v>
      </c>
      <c r="AC760" t="s">
        <v>78</v>
      </c>
      <c r="AD760">
        <v>0</v>
      </c>
      <c r="AE760">
        <v>10479780</v>
      </c>
      <c r="AF760" t="s">
        <v>88</v>
      </c>
      <c r="AG760" t="s">
        <v>1611</v>
      </c>
    </row>
    <row r="761" spans="1:33" x14ac:dyDescent="0.35">
      <c r="A761" s="18">
        <v>44479.412499999999</v>
      </c>
      <c r="B761">
        <v>731150</v>
      </c>
      <c r="C761" t="s">
        <v>1943</v>
      </c>
      <c r="D761" t="s">
        <v>239</v>
      </c>
      <c r="E761" s="19">
        <v>40525</v>
      </c>
      <c r="F761" t="str">
        <f>"9789814324779"</f>
        <v>9789814324779</v>
      </c>
      <c r="G761" t="str">
        <f>"9789814324762"</f>
        <v>9789814324762</v>
      </c>
      <c r="H761" t="s">
        <v>1750</v>
      </c>
      <c r="I761">
        <v>502.82</v>
      </c>
      <c r="J761" t="s">
        <v>1944</v>
      </c>
      <c r="K761" t="s">
        <v>73</v>
      </c>
      <c r="N761" t="s">
        <v>74</v>
      </c>
      <c r="O761" t="s">
        <v>75</v>
      </c>
      <c r="P761" t="s">
        <v>74</v>
      </c>
      <c r="Q761" t="s">
        <v>76</v>
      </c>
      <c r="R761" t="s">
        <v>73</v>
      </c>
      <c r="S761">
        <v>0</v>
      </c>
      <c r="W761" s="20">
        <v>1.7824074074074072E-3</v>
      </c>
      <c r="X761" t="s">
        <v>1946</v>
      </c>
      <c r="Y761">
        <v>8</v>
      </c>
      <c r="Z761">
        <v>1</v>
      </c>
      <c r="AA761" t="s">
        <v>951</v>
      </c>
      <c r="AB761">
        <v>5</v>
      </c>
      <c r="AC761" t="s">
        <v>78</v>
      </c>
      <c r="AD761">
        <v>0</v>
      </c>
      <c r="AE761">
        <v>10479780</v>
      </c>
      <c r="AF761" t="s">
        <v>88</v>
      </c>
      <c r="AG761" t="s">
        <v>1611</v>
      </c>
    </row>
    <row r="762" spans="1:33" x14ac:dyDescent="0.35">
      <c r="A762" s="18">
        <v>44479.362500000003</v>
      </c>
      <c r="B762">
        <v>1204633</v>
      </c>
      <c r="C762" t="s">
        <v>1560</v>
      </c>
      <c r="D762" t="s">
        <v>70</v>
      </c>
      <c r="E762" s="19">
        <v>41512</v>
      </c>
      <c r="F762" t="str">
        <f>"9781118450444"</f>
        <v>9781118450444</v>
      </c>
      <c r="G762" t="str">
        <f>"9780470673768"</f>
        <v>9780470673768</v>
      </c>
      <c r="H762" t="s">
        <v>1561</v>
      </c>
      <c r="I762">
        <v>552.5</v>
      </c>
      <c r="J762" t="s">
        <v>1562</v>
      </c>
      <c r="K762" t="s">
        <v>73</v>
      </c>
      <c r="N762" t="s">
        <v>74</v>
      </c>
      <c r="O762" t="s">
        <v>75</v>
      </c>
      <c r="P762" t="s">
        <v>74</v>
      </c>
      <c r="Q762" t="s">
        <v>76</v>
      </c>
      <c r="R762" t="s">
        <v>73</v>
      </c>
      <c r="S762">
        <v>0</v>
      </c>
      <c r="W762" s="20">
        <v>1.9444444444444442E-3</v>
      </c>
      <c r="X762" t="s">
        <v>1947</v>
      </c>
      <c r="Y762">
        <v>4</v>
      </c>
      <c r="Z762">
        <v>2</v>
      </c>
      <c r="AA762" t="s">
        <v>1948</v>
      </c>
      <c r="AB762">
        <v>70</v>
      </c>
      <c r="AC762" t="s">
        <v>78</v>
      </c>
      <c r="AD762">
        <v>0</v>
      </c>
      <c r="AE762">
        <v>10713576</v>
      </c>
      <c r="AF762" t="s">
        <v>79</v>
      </c>
      <c r="AG762" t="s">
        <v>1164</v>
      </c>
    </row>
    <row r="763" spans="1:33" x14ac:dyDescent="0.35">
      <c r="A763" s="18">
        <v>44479.091666666667</v>
      </c>
      <c r="B763">
        <v>1895907</v>
      </c>
      <c r="C763" t="s">
        <v>1949</v>
      </c>
      <c r="D763" t="s">
        <v>70</v>
      </c>
      <c r="E763" s="19">
        <v>42052</v>
      </c>
      <c r="F763" t="str">
        <f>"9781119009696"</f>
        <v>9781119009696</v>
      </c>
      <c r="G763" t="str">
        <f>"9781118225530"</f>
        <v>9781118225530</v>
      </c>
      <c r="H763" t="s">
        <v>1950</v>
      </c>
      <c r="I763">
        <v>621.36500000000001</v>
      </c>
      <c r="J763" t="s">
        <v>1951</v>
      </c>
      <c r="K763" t="s">
        <v>73</v>
      </c>
      <c r="N763" t="s">
        <v>74</v>
      </c>
      <c r="O763" t="s">
        <v>75</v>
      </c>
      <c r="P763" t="s">
        <v>74</v>
      </c>
      <c r="Q763" t="s">
        <v>76</v>
      </c>
      <c r="R763" t="s">
        <v>73</v>
      </c>
      <c r="S763">
        <v>0</v>
      </c>
      <c r="W763" s="20">
        <v>2.4305555555555552E-4</v>
      </c>
      <c r="X763" t="s">
        <v>1952</v>
      </c>
      <c r="Y763">
        <v>6</v>
      </c>
      <c r="Z763">
        <v>0</v>
      </c>
      <c r="AA763" t="s">
        <v>78</v>
      </c>
      <c r="AB763">
        <v>0</v>
      </c>
      <c r="AC763" t="s">
        <v>78</v>
      </c>
      <c r="AD763">
        <v>0</v>
      </c>
      <c r="AE763">
        <v>11011831</v>
      </c>
      <c r="AF763" t="s">
        <v>79</v>
      </c>
      <c r="AG763" t="s">
        <v>1953</v>
      </c>
    </row>
    <row r="764" spans="1:33" x14ac:dyDescent="0.35">
      <c r="A764" s="18">
        <v>44478.98541666667</v>
      </c>
      <c r="B764">
        <v>1985953</v>
      </c>
      <c r="C764" t="s">
        <v>1954</v>
      </c>
      <c r="D764" t="s">
        <v>158</v>
      </c>
      <c r="E764" s="19">
        <v>42073</v>
      </c>
      <c r="F764" t="str">
        <f>"9780124171268"</f>
        <v>9780124171268</v>
      </c>
      <c r="G764" t="str">
        <f>"9780124170438"</f>
        <v>9780124170438</v>
      </c>
      <c r="H764" t="s">
        <v>222</v>
      </c>
      <c r="I764">
        <v>616.85299999999995</v>
      </c>
      <c r="J764" t="s">
        <v>1955</v>
      </c>
      <c r="K764" t="s">
        <v>73</v>
      </c>
      <c r="N764" t="s">
        <v>74</v>
      </c>
      <c r="O764" t="s">
        <v>75</v>
      </c>
      <c r="P764" t="s">
        <v>74</v>
      </c>
      <c r="Q764" t="s">
        <v>76</v>
      </c>
      <c r="R764" t="s">
        <v>73</v>
      </c>
      <c r="S764">
        <v>0</v>
      </c>
      <c r="W764" s="20">
        <v>4.6296296296296294E-5</v>
      </c>
      <c r="X764" t="s">
        <v>132</v>
      </c>
      <c r="Y764">
        <v>1</v>
      </c>
      <c r="Z764">
        <v>0</v>
      </c>
      <c r="AA764" t="s">
        <v>78</v>
      </c>
      <c r="AB764">
        <v>0</v>
      </c>
      <c r="AC764" t="s">
        <v>78</v>
      </c>
      <c r="AD764">
        <v>0</v>
      </c>
      <c r="AE764">
        <v>11031193</v>
      </c>
      <c r="AF764" t="s">
        <v>79</v>
      </c>
      <c r="AG764" t="s">
        <v>1611</v>
      </c>
    </row>
    <row r="765" spans="1:33" x14ac:dyDescent="0.35">
      <c r="A765" s="18">
        <v>44478.98541666667</v>
      </c>
      <c r="B765">
        <v>866845</v>
      </c>
      <c r="C765" t="s">
        <v>1886</v>
      </c>
      <c r="D765" t="s">
        <v>538</v>
      </c>
      <c r="E765" s="19">
        <v>41025</v>
      </c>
      <c r="F765" t="str">
        <f>"9781139339742"</f>
        <v>9781139339742</v>
      </c>
      <c r="G765" t="str">
        <f>"9780521691581"</f>
        <v>9780521691581</v>
      </c>
      <c r="H765" t="s">
        <v>222</v>
      </c>
      <c r="I765">
        <v>616.85299999999995</v>
      </c>
      <c r="J765" t="s">
        <v>1887</v>
      </c>
      <c r="K765" t="s">
        <v>73</v>
      </c>
      <c r="N765" t="s">
        <v>74</v>
      </c>
      <c r="O765" t="s">
        <v>75</v>
      </c>
      <c r="P765" t="s">
        <v>74</v>
      </c>
      <c r="Q765" t="s">
        <v>76</v>
      </c>
      <c r="R765" t="s">
        <v>73</v>
      </c>
      <c r="S765">
        <v>0</v>
      </c>
      <c r="W765" s="20">
        <v>5.7870370370370366E-5</v>
      </c>
      <c r="X765" t="s">
        <v>132</v>
      </c>
      <c r="Y765">
        <v>1</v>
      </c>
      <c r="Z765">
        <v>0</v>
      </c>
      <c r="AA765" t="s">
        <v>78</v>
      </c>
      <c r="AB765">
        <v>0</v>
      </c>
      <c r="AC765" t="s">
        <v>78</v>
      </c>
      <c r="AD765">
        <v>0</v>
      </c>
      <c r="AE765">
        <v>10578261</v>
      </c>
      <c r="AF765" t="s">
        <v>79</v>
      </c>
      <c r="AG765" t="s">
        <v>1611</v>
      </c>
    </row>
    <row r="766" spans="1:33" x14ac:dyDescent="0.35">
      <c r="A766" s="18">
        <v>44478.779166666667</v>
      </c>
      <c r="B766">
        <v>5784324</v>
      </c>
      <c r="C766" t="s">
        <v>1956</v>
      </c>
      <c r="D766" t="s">
        <v>127</v>
      </c>
      <c r="E766" s="19">
        <v>43633</v>
      </c>
      <c r="F766" t="str">
        <f>"9781351042574"</f>
        <v>9781351042574</v>
      </c>
      <c r="G766" t="str">
        <f>"9781138487666"</f>
        <v>9781138487666</v>
      </c>
      <c r="H766" t="s">
        <v>1204</v>
      </c>
      <c r="I766">
        <v>427</v>
      </c>
      <c r="J766" t="s">
        <v>1957</v>
      </c>
      <c r="K766" t="s">
        <v>85</v>
      </c>
      <c r="Q766" t="s">
        <v>76</v>
      </c>
      <c r="R766" t="s">
        <v>73</v>
      </c>
      <c r="S766">
        <v>0</v>
      </c>
      <c r="W766" s="20">
        <v>1.9675925925925926E-4</v>
      </c>
      <c r="X766" t="s">
        <v>181</v>
      </c>
      <c r="Y766">
        <v>3</v>
      </c>
      <c r="Z766">
        <v>0</v>
      </c>
      <c r="AA766" t="s">
        <v>78</v>
      </c>
      <c r="AB766">
        <v>0</v>
      </c>
      <c r="AC766" t="s">
        <v>78</v>
      </c>
      <c r="AD766">
        <v>0</v>
      </c>
      <c r="AE766">
        <v>-1</v>
      </c>
      <c r="AF766" t="s">
        <v>79</v>
      </c>
      <c r="AG766" t="s">
        <v>1611</v>
      </c>
    </row>
    <row r="767" spans="1:33" x14ac:dyDescent="0.35">
      <c r="A767" s="18">
        <v>44478.777777777781</v>
      </c>
      <c r="B767">
        <v>4526412</v>
      </c>
      <c r="C767" t="s">
        <v>1958</v>
      </c>
      <c r="D767" t="s">
        <v>1360</v>
      </c>
      <c r="E767" s="19">
        <v>42515</v>
      </c>
      <c r="F767" t="str">
        <f>"9789027267061"</f>
        <v>9789027267061</v>
      </c>
      <c r="G767" t="str">
        <f>"9789027249173"</f>
        <v>9789027249173</v>
      </c>
      <c r="H767" t="s">
        <v>1204</v>
      </c>
      <c r="I767">
        <v>427</v>
      </c>
      <c r="J767" t="s">
        <v>1959</v>
      </c>
      <c r="K767" t="s">
        <v>73</v>
      </c>
      <c r="N767" t="s">
        <v>74</v>
      </c>
      <c r="O767" t="s">
        <v>75</v>
      </c>
      <c r="P767" t="s">
        <v>74</v>
      </c>
      <c r="Q767" t="s">
        <v>76</v>
      </c>
      <c r="R767" t="s">
        <v>73</v>
      </c>
      <c r="S767">
        <v>0</v>
      </c>
      <c r="W767" s="20">
        <v>1.1574074074074073E-4</v>
      </c>
      <c r="X767" t="s">
        <v>360</v>
      </c>
      <c r="Y767">
        <v>2</v>
      </c>
      <c r="Z767">
        <v>0</v>
      </c>
      <c r="AA767" t="s">
        <v>78</v>
      </c>
      <c r="AB767">
        <v>0</v>
      </c>
      <c r="AC767" t="s">
        <v>78</v>
      </c>
      <c r="AD767">
        <v>0</v>
      </c>
      <c r="AE767">
        <v>11296788</v>
      </c>
      <c r="AF767" t="s">
        <v>79</v>
      </c>
      <c r="AG767" t="s">
        <v>1611</v>
      </c>
    </row>
    <row r="768" spans="1:33" x14ac:dyDescent="0.35">
      <c r="A768" s="18">
        <v>44478.720138888886</v>
      </c>
      <c r="B768">
        <v>6240746</v>
      </c>
      <c r="C768" t="s">
        <v>1960</v>
      </c>
      <c r="D768" t="s">
        <v>369</v>
      </c>
      <c r="E768" s="19">
        <v>44010</v>
      </c>
      <c r="F768" t="str">
        <f>"9783030472184"</f>
        <v>9783030472184</v>
      </c>
      <c r="G768" t="str">
        <f>"9783030472177"</f>
        <v>9783030472177</v>
      </c>
      <c r="H768" t="s">
        <v>1961</v>
      </c>
      <c r="I768">
        <v>5.8</v>
      </c>
      <c r="J768" t="s">
        <v>202</v>
      </c>
      <c r="K768" t="s">
        <v>85</v>
      </c>
      <c r="Q768" t="s">
        <v>76</v>
      </c>
      <c r="R768" t="s">
        <v>73</v>
      </c>
      <c r="S768">
        <v>0</v>
      </c>
      <c r="W768" s="20">
        <v>7.5347222222222213E-3</v>
      </c>
      <c r="X768" t="s">
        <v>1962</v>
      </c>
      <c r="Y768">
        <v>14</v>
      </c>
      <c r="Z768">
        <v>0</v>
      </c>
      <c r="AA768" t="s">
        <v>78</v>
      </c>
      <c r="AB768">
        <v>0</v>
      </c>
      <c r="AC768" t="s">
        <v>78</v>
      </c>
      <c r="AD768">
        <v>0</v>
      </c>
      <c r="AE768">
        <v>-1</v>
      </c>
      <c r="AF768" t="s">
        <v>79</v>
      </c>
      <c r="AG768" t="s">
        <v>1963</v>
      </c>
    </row>
    <row r="769" spans="1:33" x14ac:dyDescent="0.35">
      <c r="A769" s="18">
        <v>44478.710416666669</v>
      </c>
      <c r="B769">
        <v>866845</v>
      </c>
      <c r="C769" t="s">
        <v>1886</v>
      </c>
      <c r="D769" t="s">
        <v>538</v>
      </c>
      <c r="E769" s="19">
        <v>41025</v>
      </c>
      <c r="F769" t="str">
        <f>"9781139339742"</f>
        <v>9781139339742</v>
      </c>
      <c r="G769" t="str">
        <f>"9780521691581"</f>
        <v>9780521691581</v>
      </c>
      <c r="H769" t="s">
        <v>222</v>
      </c>
      <c r="I769">
        <v>616.85299999999995</v>
      </c>
      <c r="J769" t="s">
        <v>1887</v>
      </c>
      <c r="K769" t="s">
        <v>73</v>
      </c>
      <c r="N769" t="s">
        <v>74</v>
      </c>
      <c r="O769" t="s">
        <v>75</v>
      </c>
      <c r="P769" t="s">
        <v>74</v>
      </c>
      <c r="Q769" t="s">
        <v>76</v>
      </c>
      <c r="R769" t="s">
        <v>73</v>
      </c>
      <c r="S769">
        <v>0</v>
      </c>
      <c r="W769" s="20">
        <v>5.7175925925925927E-3</v>
      </c>
      <c r="X769" t="s">
        <v>1964</v>
      </c>
      <c r="Y769">
        <v>12</v>
      </c>
      <c r="Z769">
        <v>3</v>
      </c>
      <c r="AA769" t="s">
        <v>1965</v>
      </c>
      <c r="AB769">
        <v>4</v>
      </c>
      <c r="AC769" t="s">
        <v>78</v>
      </c>
      <c r="AD769">
        <v>0</v>
      </c>
      <c r="AE769">
        <v>10578261</v>
      </c>
      <c r="AF769" t="s">
        <v>79</v>
      </c>
      <c r="AG769" t="s">
        <v>1611</v>
      </c>
    </row>
    <row r="770" spans="1:33" x14ac:dyDescent="0.35">
      <c r="A770" s="18">
        <v>44478.658333333333</v>
      </c>
      <c r="B770">
        <v>1985953</v>
      </c>
      <c r="C770" t="s">
        <v>1954</v>
      </c>
      <c r="D770" t="s">
        <v>158</v>
      </c>
      <c r="E770" s="19">
        <v>42073</v>
      </c>
      <c r="F770" t="str">
        <f>"9780124171268"</f>
        <v>9780124171268</v>
      </c>
      <c r="G770" t="str">
        <f>"9780124170438"</f>
        <v>9780124170438</v>
      </c>
      <c r="H770" t="s">
        <v>222</v>
      </c>
      <c r="I770">
        <v>616.85299999999995</v>
      </c>
      <c r="J770" t="s">
        <v>1955</v>
      </c>
      <c r="K770" t="s">
        <v>73</v>
      </c>
      <c r="N770" t="s">
        <v>74</v>
      </c>
      <c r="O770" t="s">
        <v>75</v>
      </c>
      <c r="P770" t="s">
        <v>74</v>
      </c>
      <c r="Q770" t="s">
        <v>76</v>
      </c>
      <c r="R770" t="s">
        <v>73</v>
      </c>
      <c r="S770">
        <v>0</v>
      </c>
      <c r="W770" s="20">
        <v>8.9467592592592585E-3</v>
      </c>
      <c r="X770" t="s">
        <v>1966</v>
      </c>
      <c r="Y770">
        <v>8</v>
      </c>
      <c r="Z770">
        <v>1</v>
      </c>
      <c r="AA770" t="s">
        <v>1967</v>
      </c>
      <c r="AB770">
        <v>6</v>
      </c>
      <c r="AC770" t="s">
        <v>78</v>
      </c>
      <c r="AD770">
        <v>0</v>
      </c>
      <c r="AE770">
        <v>11031193</v>
      </c>
      <c r="AF770" t="s">
        <v>79</v>
      </c>
      <c r="AG770" t="s">
        <v>1611</v>
      </c>
    </row>
    <row r="771" spans="1:33" x14ac:dyDescent="0.35">
      <c r="A771" s="18">
        <v>44478.613194444442</v>
      </c>
      <c r="B771">
        <v>3039368</v>
      </c>
      <c r="C771" t="s">
        <v>1968</v>
      </c>
      <c r="D771" t="s">
        <v>1969</v>
      </c>
      <c r="E771" s="19">
        <v>40148</v>
      </c>
      <c r="F771" t="str">
        <f>"9780827611238"</f>
        <v>9780827611238</v>
      </c>
      <c r="G771" t="str">
        <f>"9780827609068"</f>
        <v>9780827609068</v>
      </c>
      <c r="H771" t="s">
        <v>528</v>
      </c>
      <c r="J771" t="s">
        <v>1970</v>
      </c>
      <c r="K771" t="s">
        <v>73</v>
      </c>
      <c r="N771" t="s">
        <v>74</v>
      </c>
      <c r="O771" t="s">
        <v>75</v>
      </c>
      <c r="P771" t="s">
        <v>230</v>
      </c>
      <c r="Q771" t="s">
        <v>76</v>
      </c>
      <c r="R771" t="s">
        <v>85</v>
      </c>
      <c r="S771">
        <v>0</v>
      </c>
      <c r="W771" s="20">
        <v>3.1666666666666669E-2</v>
      </c>
      <c r="X771" t="s">
        <v>1971</v>
      </c>
      <c r="Y771">
        <v>17</v>
      </c>
      <c r="Z771">
        <v>0</v>
      </c>
      <c r="AA771" t="s">
        <v>78</v>
      </c>
      <c r="AB771">
        <v>0</v>
      </c>
      <c r="AC771" t="s">
        <v>78</v>
      </c>
      <c r="AD771">
        <v>0</v>
      </c>
      <c r="AE771">
        <v>10400832</v>
      </c>
      <c r="AF771" t="s">
        <v>79</v>
      </c>
      <c r="AG771" t="s">
        <v>333</v>
      </c>
    </row>
    <row r="772" spans="1:33" x14ac:dyDescent="0.35">
      <c r="A772" s="18">
        <v>44478.611111111109</v>
      </c>
      <c r="B772">
        <v>1656997</v>
      </c>
      <c r="C772" t="s">
        <v>1972</v>
      </c>
      <c r="D772" t="s">
        <v>183</v>
      </c>
      <c r="E772" s="19">
        <v>41759</v>
      </c>
      <c r="F772" t="str">
        <f>"9780804791571"</f>
        <v>9780804791571</v>
      </c>
      <c r="G772" t="str">
        <f>"9780804790666"</f>
        <v>9780804790666</v>
      </c>
      <c r="H772" t="s">
        <v>461</v>
      </c>
      <c r="I772" t="s">
        <v>1973</v>
      </c>
      <c r="J772" t="s">
        <v>1974</v>
      </c>
      <c r="K772" t="s">
        <v>73</v>
      </c>
      <c r="N772" t="s">
        <v>74</v>
      </c>
      <c r="O772" t="s">
        <v>75</v>
      </c>
      <c r="P772" t="s">
        <v>74</v>
      </c>
      <c r="Q772" t="s">
        <v>76</v>
      </c>
      <c r="R772" t="s">
        <v>73</v>
      </c>
      <c r="S772">
        <v>0</v>
      </c>
      <c r="W772" s="20">
        <v>2.9456018518518517E-2</v>
      </c>
      <c r="X772" t="s">
        <v>1975</v>
      </c>
      <c r="Y772">
        <v>20</v>
      </c>
      <c r="Z772">
        <v>0</v>
      </c>
      <c r="AA772" t="s">
        <v>78</v>
      </c>
      <c r="AB772">
        <v>0</v>
      </c>
      <c r="AC772" t="s">
        <v>78</v>
      </c>
      <c r="AD772">
        <v>0</v>
      </c>
      <c r="AE772">
        <v>10852492</v>
      </c>
      <c r="AF772" t="s">
        <v>79</v>
      </c>
      <c r="AG772" t="s">
        <v>333</v>
      </c>
    </row>
    <row r="773" spans="1:33" x14ac:dyDescent="0.35">
      <c r="A773" s="18">
        <v>44477.622916666667</v>
      </c>
      <c r="B773">
        <v>4562449</v>
      </c>
      <c r="C773" t="s">
        <v>1976</v>
      </c>
      <c r="D773" t="s">
        <v>70</v>
      </c>
      <c r="E773" s="19">
        <v>42611</v>
      </c>
      <c r="F773" t="str">
        <f>"9781119130932"</f>
        <v>9781119130932</v>
      </c>
      <c r="G773" t="str">
        <f>"9781119302735"</f>
        <v>9781119302735</v>
      </c>
      <c r="H773" t="s">
        <v>1977</v>
      </c>
      <c r="I773">
        <v>658.40129999999999</v>
      </c>
      <c r="J773" t="s">
        <v>1978</v>
      </c>
      <c r="K773" t="s">
        <v>73</v>
      </c>
      <c r="N773" t="s">
        <v>74</v>
      </c>
      <c r="O773" t="s">
        <v>75</v>
      </c>
      <c r="P773" t="s">
        <v>74</v>
      </c>
      <c r="Q773" t="s">
        <v>76</v>
      </c>
      <c r="R773" t="s">
        <v>73</v>
      </c>
      <c r="S773">
        <v>0</v>
      </c>
      <c r="W773" s="20">
        <v>2.3148148148148146E-4</v>
      </c>
      <c r="X773" t="s">
        <v>1979</v>
      </c>
      <c r="Y773">
        <v>4</v>
      </c>
      <c r="Z773">
        <v>0</v>
      </c>
      <c r="AA773" t="s">
        <v>78</v>
      </c>
      <c r="AB773">
        <v>0</v>
      </c>
      <c r="AC773" t="s">
        <v>78</v>
      </c>
      <c r="AD773">
        <v>0</v>
      </c>
      <c r="AE773">
        <v>11228720</v>
      </c>
      <c r="AF773" t="s">
        <v>79</v>
      </c>
      <c r="AG773" t="s">
        <v>1611</v>
      </c>
    </row>
    <row r="774" spans="1:33" x14ac:dyDescent="0.35">
      <c r="A774" s="18">
        <v>44477.614583333336</v>
      </c>
      <c r="B774">
        <v>1185542</v>
      </c>
      <c r="C774" t="s">
        <v>1980</v>
      </c>
      <c r="D774" t="s">
        <v>1637</v>
      </c>
      <c r="E774" s="19">
        <v>37903</v>
      </c>
      <c r="F774" t="str">
        <f>"9781847550019"</f>
        <v>9781847550019</v>
      </c>
      <c r="G774" t="str">
        <f>"9780854046812"</f>
        <v>9780854046812</v>
      </c>
      <c r="H774" t="s">
        <v>848</v>
      </c>
      <c r="I774">
        <v>547.71</v>
      </c>
      <c r="J774" t="s">
        <v>1981</v>
      </c>
      <c r="K774" t="s">
        <v>73</v>
      </c>
      <c r="N774" t="s">
        <v>74</v>
      </c>
      <c r="O774" t="s">
        <v>75</v>
      </c>
      <c r="P774" t="s">
        <v>74</v>
      </c>
      <c r="Q774" t="s">
        <v>76</v>
      </c>
      <c r="R774" t="s">
        <v>73</v>
      </c>
      <c r="S774">
        <v>0</v>
      </c>
      <c r="W774" s="20">
        <v>2.9513888888888888E-3</v>
      </c>
      <c r="X774" t="s">
        <v>1982</v>
      </c>
      <c r="Y774">
        <v>20</v>
      </c>
      <c r="Z774">
        <v>0</v>
      </c>
      <c r="AA774" t="s">
        <v>78</v>
      </c>
      <c r="AB774">
        <v>0</v>
      </c>
      <c r="AC774" t="s">
        <v>78</v>
      </c>
      <c r="AD774">
        <v>0</v>
      </c>
      <c r="AE774">
        <v>10621154</v>
      </c>
      <c r="AF774" t="s">
        <v>88</v>
      </c>
      <c r="AG774" t="s">
        <v>1611</v>
      </c>
    </row>
    <row r="775" spans="1:33" x14ac:dyDescent="0.35">
      <c r="A775" s="18">
        <v>44477.61041666667</v>
      </c>
      <c r="B775">
        <v>424094</v>
      </c>
      <c r="C775" t="s">
        <v>1983</v>
      </c>
      <c r="D775" t="s">
        <v>234</v>
      </c>
      <c r="E775" s="19">
        <v>39448</v>
      </c>
      <c r="F775" t="str">
        <f>"9788122426472"</f>
        <v>9788122426472</v>
      </c>
      <c r="G775" t="str">
        <f>"9788122421354"</f>
        <v>9788122421354</v>
      </c>
      <c r="H775" t="s">
        <v>848</v>
      </c>
      <c r="I775">
        <v>547</v>
      </c>
      <c r="J775" t="s">
        <v>1984</v>
      </c>
      <c r="K775" t="s">
        <v>73</v>
      </c>
      <c r="N775" t="s">
        <v>74</v>
      </c>
      <c r="O775" t="s">
        <v>75</v>
      </c>
      <c r="P775" t="s">
        <v>74</v>
      </c>
      <c r="Q775" t="s">
        <v>76</v>
      </c>
      <c r="R775" t="s">
        <v>73</v>
      </c>
      <c r="S775">
        <v>0</v>
      </c>
      <c r="W775" s="20">
        <v>1.7013888888888892E-3</v>
      </c>
      <c r="X775" t="s">
        <v>1985</v>
      </c>
      <c r="Y775">
        <v>31</v>
      </c>
      <c r="Z775">
        <v>0</v>
      </c>
      <c r="AA775" t="s">
        <v>78</v>
      </c>
      <c r="AB775">
        <v>0</v>
      </c>
      <c r="AC775" t="s">
        <v>78</v>
      </c>
      <c r="AD775">
        <v>0</v>
      </c>
      <c r="AE775">
        <v>10318720</v>
      </c>
      <c r="AF775" t="s">
        <v>88</v>
      </c>
      <c r="AG775" t="s">
        <v>1611</v>
      </c>
    </row>
    <row r="776" spans="1:33" x14ac:dyDescent="0.35">
      <c r="A776" s="18">
        <v>44477.61041666667</v>
      </c>
      <c r="B776">
        <v>4877068</v>
      </c>
      <c r="C776" t="s">
        <v>1986</v>
      </c>
      <c r="D776" t="s">
        <v>741</v>
      </c>
      <c r="E776" s="19">
        <v>42369</v>
      </c>
      <c r="F776" t="str">
        <f>"9781423229216"</f>
        <v>9781423229216</v>
      </c>
      <c r="G776" t="str">
        <f>"9781423228189"</f>
        <v>9781423228189</v>
      </c>
      <c r="H776" t="s">
        <v>154</v>
      </c>
      <c r="I776">
        <v>547</v>
      </c>
      <c r="J776" t="s">
        <v>1987</v>
      </c>
      <c r="K776" t="s">
        <v>73</v>
      </c>
      <c r="N776" t="s">
        <v>74</v>
      </c>
      <c r="O776" t="s">
        <v>75</v>
      </c>
      <c r="P776" t="s">
        <v>74</v>
      </c>
      <c r="Q776" t="s">
        <v>76</v>
      </c>
      <c r="R776" t="s">
        <v>73</v>
      </c>
      <c r="S776">
        <v>1</v>
      </c>
      <c r="W776" s="20">
        <v>0</v>
      </c>
      <c r="X776" t="s">
        <v>78</v>
      </c>
      <c r="Y776">
        <v>0</v>
      </c>
      <c r="Z776">
        <v>0</v>
      </c>
      <c r="AA776" t="s">
        <v>78</v>
      </c>
      <c r="AB776">
        <v>0</v>
      </c>
      <c r="AC776" t="s">
        <v>78</v>
      </c>
      <c r="AD776">
        <v>0</v>
      </c>
      <c r="AE776">
        <v>11397729</v>
      </c>
      <c r="AF776" t="s">
        <v>88</v>
      </c>
      <c r="AG776" t="s">
        <v>1611</v>
      </c>
    </row>
    <row r="777" spans="1:33" x14ac:dyDescent="0.35">
      <c r="A777" s="18">
        <v>44476.747916666667</v>
      </c>
      <c r="B777">
        <v>4388935</v>
      </c>
      <c r="C777" t="s">
        <v>1747</v>
      </c>
      <c r="D777" t="s">
        <v>542</v>
      </c>
      <c r="E777" s="19">
        <v>42830</v>
      </c>
      <c r="F777" t="str">
        <f>"9781631573422"</f>
        <v>9781631573422</v>
      </c>
      <c r="G777" t="str">
        <f>"9781631573415"</f>
        <v>9781631573415</v>
      </c>
      <c r="H777" t="s">
        <v>143</v>
      </c>
      <c r="I777">
        <v>658.56200000000001</v>
      </c>
      <c r="J777" t="s">
        <v>1748</v>
      </c>
      <c r="K777" t="s">
        <v>73</v>
      </c>
      <c r="N777" t="s">
        <v>74</v>
      </c>
      <c r="O777" t="s">
        <v>75</v>
      </c>
      <c r="P777" t="s">
        <v>74</v>
      </c>
      <c r="Q777" t="s">
        <v>76</v>
      </c>
      <c r="R777" t="s">
        <v>73</v>
      </c>
      <c r="S777">
        <v>0</v>
      </c>
      <c r="W777" s="20">
        <v>1.1921296296296296E-3</v>
      </c>
      <c r="X777" t="s">
        <v>1988</v>
      </c>
      <c r="Y777">
        <v>8</v>
      </c>
      <c r="Z777">
        <v>0</v>
      </c>
      <c r="AA777" t="s">
        <v>78</v>
      </c>
      <c r="AB777">
        <v>0</v>
      </c>
      <c r="AC777" t="s">
        <v>78</v>
      </c>
      <c r="AD777">
        <v>0</v>
      </c>
      <c r="AE777">
        <v>11152350</v>
      </c>
      <c r="AF777" t="s">
        <v>79</v>
      </c>
      <c r="AG777" t="s">
        <v>1611</v>
      </c>
    </row>
    <row r="778" spans="1:33" x14ac:dyDescent="0.35">
      <c r="A778" s="18">
        <v>44476.5</v>
      </c>
      <c r="B778">
        <v>6694113</v>
      </c>
      <c r="C778" t="s">
        <v>359</v>
      </c>
      <c r="D778" t="s">
        <v>127</v>
      </c>
      <c r="E778" s="19">
        <v>44467</v>
      </c>
      <c r="F778" t="str">
        <f>"9781000460643"</f>
        <v>9781000460643</v>
      </c>
      <c r="G778" t="str">
        <f>"9780367485177"</f>
        <v>9780367485177</v>
      </c>
      <c r="H778" t="s">
        <v>128</v>
      </c>
      <c r="I778">
        <v>307.76095379999998</v>
      </c>
      <c r="K778" t="s">
        <v>85</v>
      </c>
      <c r="N778" t="s">
        <v>86</v>
      </c>
      <c r="P778" t="s">
        <v>87</v>
      </c>
      <c r="Q778" t="s">
        <v>76</v>
      </c>
      <c r="R778" t="s">
        <v>73</v>
      </c>
      <c r="S778">
        <v>0</v>
      </c>
      <c r="T778">
        <v>90</v>
      </c>
      <c r="U778" s="18">
        <v>44467.561111111114</v>
      </c>
      <c r="V778" s="18">
        <v>44557.561111111114</v>
      </c>
      <c r="W778" s="20">
        <v>4.0509259259259258E-4</v>
      </c>
      <c r="X778" t="s">
        <v>1989</v>
      </c>
      <c r="Y778">
        <v>5</v>
      </c>
      <c r="Z778">
        <v>0</v>
      </c>
      <c r="AA778" t="s">
        <v>78</v>
      </c>
      <c r="AB778">
        <v>0</v>
      </c>
      <c r="AC778" t="s">
        <v>78</v>
      </c>
      <c r="AD778">
        <v>0</v>
      </c>
      <c r="AE778">
        <v>-1</v>
      </c>
      <c r="AF778" t="s">
        <v>88</v>
      </c>
      <c r="AG778" t="s">
        <v>1611</v>
      </c>
    </row>
    <row r="779" spans="1:33" x14ac:dyDescent="0.35">
      <c r="A779" s="18">
        <v>44476.395833333336</v>
      </c>
      <c r="B779">
        <v>5558400</v>
      </c>
      <c r="C779" t="s">
        <v>1990</v>
      </c>
      <c r="D779" t="s">
        <v>70</v>
      </c>
      <c r="E779" s="19">
        <v>43396</v>
      </c>
      <c r="F779" t="str">
        <f>"9781119516200"</f>
        <v>9781119516200</v>
      </c>
      <c r="G779" t="str">
        <f>"9781119516187"</f>
        <v>9781119516187</v>
      </c>
      <c r="H779" t="s">
        <v>128</v>
      </c>
      <c r="I779">
        <v>307.76</v>
      </c>
      <c r="J779" t="s">
        <v>1991</v>
      </c>
      <c r="K779" t="s">
        <v>73</v>
      </c>
      <c r="N779" t="s">
        <v>74</v>
      </c>
      <c r="O779" t="s">
        <v>75</v>
      </c>
      <c r="P779" t="s">
        <v>74</v>
      </c>
      <c r="Q779" t="s">
        <v>76</v>
      </c>
      <c r="R779" t="s">
        <v>73</v>
      </c>
      <c r="S779">
        <v>0</v>
      </c>
      <c r="W779" s="20">
        <v>8.1018518518518516E-5</v>
      </c>
      <c r="X779" t="s">
        <v>132</v>
      </c>
      <c r="Y779">
        <v>1</v>
      </c>
      <c r="Z779">
        <v>0</v>
      </c>
      <c r="AA779" t="s">
        <v>78</v>
      </c>
      <c r="AB779">
        <v>0</v>
      </c>
      <c r="AC779" t="s">
        <v>78</v>
      </c>
      <c r="AD779">
        <v>0</v>
      </c>
      <c r="AE779">
        <v>-1</v>
      </c>
      <c r="AF779" t="s">
        <v>79</v>
      </c>
      <c r="AG779" t="s">
        <v>1992</v>
      </c>
    </row>
    <row r="780" spans="1:33" x14ac:dyDescent="0.35">
      <c r="A780" s="18">
        <v>44475.883333333331</v>
      </c>
      <c r="B780">
        <v>4585770</v>
      </c>
      <c r="C780" t="s">
        <v>1614</v>
      </c>
      <c r="D780" t="s">
        <v>827</v>
      </c>
      <c r="E780" s="19">
        <v>41471</v>
      </c>
      <c r="F780" t="str">
        <f>"9780300195101"</f>
        <v>9780300195101</v>
      </c>
      <c r="G780" t="str">
        <f>"9780300185959"</f>
        <v>9780300185959</v>
      </c>
      <c r="H780" t="s">
        <v>308</v>
      </c>
      <c r="I780">
        <v>297.21100000000001</v>
      </c>
      <c r="J780" t="s">
        <v>1615</v>
      </c>
      <c r="K780" t="s">
        <v>73</v>
      </c>
      <c r="N780" t="s">
        <v>74</v>
      </c>
      <c r="O780" t="s">
        <v>75</v>
      </c>
      <c r="P780" t="s">
        <v>74</v>
      </c>
      <c r="Q780" t="s">
        <v>76</v>
      </c>
      <c r="R780" t="s">
        <v>73</v>
      </c>
      <c r="S780">
        <v>0</v>
      </c>
      <c r="W780" s="20">
        <v>1.0532407407407407E-2</v>
      </c>
      <c r="X780" t="s">
        <v>1993</v>
      </c>
      <c r="Y780">
        <v>16</v>
      </c>
      <c r="Z780">
        <v>0</v>
      </c>
      <c r="AA780" t="s">
        <v>78</v>
      </c>
      <c r="AB780">
        <v>0</v>
      </c>
      <c r="AC780" t="s">
        <v>78</v>
      </c>
      <c r="AD780">
        <v>0</v>
      </c>
      <c r="AE780">
        <v>11234884</v>
      </c>
      <c r="AF780" t="s">
        <v>79</v>
      </c>
      <c r="AG780" t="s">
        <v>1812</v>
      </c>
    </row>
    <row r="781" spans="1:33" x14ac:dyDescent="0.35">
      <c r="A781" s="18">
        <v>44475.765277777777</v>
      </c>
      <c r="B781">
        <v>1111317</v>
      </c>
      <c r="C781" t="s">
        <v>479</v>
      </c>
      <c r="D781" t="s">
        <v>127</v>
      </c>
      <c r="E781" s="19">
        <v>37587</v>
      </c>
      <c r="F781" t="str">
        <f>"9781136129223"</f>
        <v>9781136129223</v>
      </c>
      <c r="G781" t="str">
        <f>"9780700716074"</f>
        <v>9780700716074</v>
      </c>
      <c r="H781" t="s">
        <v>308</v>
      </c>
      <c r="I781" t="s">
        <v>480</v>
      </c>
      <c r="J781" t="s">
        <v>481</v>
      </c>
      <c r="K781" t="s">
        <v>73</v>
      </c>
      <c r="N781" t="s">
        <v>74</v>
      </c>
      <c r="O781" t="s">
        <v>75</v>
      </c>
      <c r="P781" t="s">
        <v>74</v>
      </c>
      <c r="Q781" t="s">
        <v>76</v>
      </c>
      <c r="R781" t="s">
        <v>73</v>
      </c>
      <c r="S781">
        <v>0</v>
      </c>
      <c r="W781" s="20">
        <v>2.8935185185185185E-2</v>
      </c>
      <c r="X781" t="s">
        <v>1994</v>
      </c>
      <c r="Y781">
        <v>13</v>
      </c>
      <c r="Z781">
        <v>0</v>
      </c>
      <c r="AA781" t="s">
        <v>78</v>
      </c>
      <c r="AB781">
        <v>0</v>
      </c>
      <c r="AC781" t="s">
        <v>78</v>
      </c>
      <c r="AD781">
        <v>0</v>
      </c>
      <c r="AE781">
        <v>10645721</v>
      </c>
      <c r="AF781" t="s">
        <v>79</v>
      </c>
      <c r="AG781" t="s">
        <v>1812</v>
      </c>
    </row>
    <row r="782" spans="1:33" x14ac:dyDescent="0.35">
      <c r="A782" s="18">
        <v>44475.701388888891</v>
      </c>
      <c r="B782">
        <v>835145</v>
      </c>
      <c r="C782" t="s">
        <v>1542</v>
      </c>
      <c r="D782" t="s">
        <v>70</v>
      </c>
      <c r="E782" s="19">
        <v>40952</v>
      </c>
      <c r="F782" t="str">
        <f>"9781119977001"</f>
        <v>9781119977001</v>
      </c>
      <c r="G782" t="str">
        <f>"9781119992851"</f>
        <v>9781119992851</v>
      </c>
      <c r="H782" t="s">
        <v>71</v>
      </c>
      <c r="I782">
        <v>621.31244000000004</v>
      </c>
      <c r="J782" t="s">
        <v>1543</v>
      </c>
      <c r="K782" t="s">
        <v>73</v>
      </c>
      <c r="N782" t="s">
        <v>74</v>
      </c>
      <c r="O782" t="s">
        <v>75</v>
      </c>
      <c r="P782" t="s">
        <v>74</v>
      </c>
      <c r="Q782" t="s">
        <v>76</v>
      </c>
      <c r="R782" t="s">
        <v>73</v>
      </c>
      <c r="S782">
        <v>0</v>
      </c>
      <c r="W782" s="20">
        <v>1.273148148148148E-4</v>
      </c>
      <c r="X782" t="s">
        <v>132</v>
      </c>
      <c r="Y782">
        <v>1</v>
      </c>
      <c r="Z782">
        <v>0</v>
      </c>
      <c r="AA782" t="s">
        <v>78</v>
      </c>
      <c r="AB782">
        <v>0</v>
      </c>
      <c r="AC782" t="s">
        <v>78</v>
      </c>
      <c r="AD782">
        <v>0</v>
      </c>
      <c r="AE782">
        <v>10526535</v>
      </c>
      <c r="AF782" t="s">
        <v>79</v>
      </c>
      <c r="AG782" t="s">
        <v>1695</v>
      </c>
    </row>
    <row r="783" spans="1:33" x14ac:dyDescent="0.35">
      <c r="A783" s="18">
        <v>44475.493055555555</v>
      </c>
      <c r="B783">
        <v>377899</v>
      </c>
      <c r="C783" t="s">
        <v>1995</v>
      </c>
      <c r="D783" t="s">
        <v>538</v>
      </c>
      <c r="E783" s="19">
        <v>39786</v>
      </c>
      <c r="F783" t="str">
        <f>"9780511454202"</f>
        <v>9780511454202</v>
      </c>
      <c r="G783" t="str">
        <f>"9780521862288"</f>
        <v>9780521862288</v>
      </c>
      <c r="H783" t="s">
        <v>1905</v>
      </c>
      <c r="I783">
        <v>551.9</v>
      </c>
      <c r="J783" t="s">
        <v>1996</v>
      </c>
      <c r="K783" t="s">
        <v>73</v>
      </c>
      <c r="N783" t="s">
        <v>74</v>
      </c>
      <c r="O783" t="s">
        <v>75</v>
      </c>
      <c r="P783" t="s">
        <v>74</v>
      </c>
      <c r="Q783" t="s">
        <v>76</v>
      </c>
      <c r="R783" t="s">
        <v>73</v>
      </c>
      <c r="S783">
        <v>0</v>
      </c>
      <c r="W783" s="20">
        <v>1.5046296296296294E-3</v>
      </c>
      <c r="X783" t="s">
        <v>1997</v>
      </c>
      <c r="Y783">
        <v>6</v>
      </c>
      <c r="Z783">
        <v>9</v>
      </c>
      <c r="AA783" t="s">
        <v>1998</v>
      </c>
      <c r="AB783">
        <v>249</v>
      </c>
      <c r="AC783" t="s">
        <v>78</v>
      </c>
      <c r="AD783">
        <v>0</v>
      </c>
      <c r="AE783">
        <v>10265028</v>
      </c>
      <c r="AF783" t="s">
        <v>88</v>
      </c>
      <c r="AG783" t="s">
        <v>1909</v>
      </c>
    </row>
    <row r="784" spans="1:33" x14ac:dyDescent="0.35">
      <c r="A784" s="18">
        <v>44475.434027777781</v>
      </c>
      <c r="B784">
        <v>4037275</v>
      </c>
      <c r="C784" t="s">
        <v>1999</v>
      </c>
      <c r="D784" t="s">
        <v>1711</v>
      </c>
      <c r="E784" s="19">
        <v>42233</v>
      </c>
      <c r="F784" t="str">
        <f>"9781118652671"</f>
        <v>9781118652671</v>
      </c>
      <c r="G784" t="str">
        <f>"9781118652732"</f>
        <v>9781118652732</v>
      </c>
      <c r="H784" t="s">
        <v>1561</v>
      </c>
      <c r="I784" t="s">
        <v>2000</v>
      </c>
      <c r="J784" t="s">
        <v>2001</v>
      </c>
      <c r="K784" t="s">
        <v>73</v>
      </c>
      <c r="N784" t="s">
        <v>74</v>
      </c>
      <c r="O784" t="s">
        <v>75</v>
      </c>
      <c r="P784" t="s">
        <v>74</v>
      </c>
      <c r="Q784" t="s">
        <v>76</v>
      </c>
      <c r="R784" t="s">
        <v>73</v>
      </c>
      <c r="S784">
        <v>0</v>
      </c>
      <c r="W784" s="20">
        <v>5.7870370370370366E-5</v>
      </c>
      <c r="X784" t="s">
        <v>132</v>
      </c>
      <c r="Y784">
        <v>1</v>
      </c>
      <c r="Z784">
        <v>0</v>
      </c>
      <c r="AA784" t="s">
        <v>78</v>
      </c>
      <c r="AB784">
        <v>0</v>
      </c>
      <c r="AC784" t="s">
        <v>78</v>
      </c>
      <c r="AD784">
        <v>0</v>
      </c>
      <c r="AE784">
        <v>11111615</v>
      </c>
      <c r="AF784" t="s">
        <v>79</v>
      </c>
      <c r="AG784" t="s">
        <v>1695</v>
      </c>
    </row>
    <row r="785" spans="1:33" x14ac:dyDescent="0.35">
      <c r="A785" s="18">
        <v>44475.065972222219</v>
      </c>
      <c r="B785">
        <v>3017735</v>
      </c>
      <c r="C785" t="s">
        <v>2002</v>
      </c>
      <c r="D785" t="s">
        <v>226</v>
      </c>
      <c r="E785" s="19">
        <v>40299</v>
      </c>
      <c r="F785" t="str">
        <f>"9781617619106"</f>
        <v>9781617619106</v>
      </c>
      <c r="G785" t="str">
        <f>"9781608762699"</f>
        <v>9781608762699</v>
      </c>
      <c r="H785" t="s">
        <v>285</v>
      </c>
      <c r="I785">
        <v>630</v>
      </c>
      <c r="J785" t="s">
        <v>2003</v>
      </c>
      <c r="K785" t="s">
        <v>73</v>
      </c>
      <c r="N785" t="s">
        <v>74</v>
      </c>
      <c r="O785" t="s">
        <v>75</v>
      </c>
      <c r="P785" t="s">
        <v>230</v>
      </c>
      <c r="Q785" t="s">
        <v>76</v>
      </c>
      <c r="R785" t="s">
        <v>85</v>
      </c>
      <c r="S785">
        <v>0</v>
      </c>
      <c r="W785" s="20">
        <v>3.9351851851851852E-4</v>
      </c>
      <c r="X785" t="s">
        <v>2004</v>
      </c>
      <c r="Y785">
        <v>5</v>
      </c>
      <c r="Z785">
        <v>0</v>
      </c>
      <c r="AA785" t="s">
        <v>78</v>
      </c>
      <c r="AB785">
        <v>0</v>
      </c>
      <c r="AC785" t="s">
        <v>78</v>
      </c>
      <c r="AD785">
        <v>0</v>
      </c>
      <c r="AE785">
        <v>10654706</v>
      </c>
      <c r="AF785" t="s">
        <v>79</v>
      </c>
      <c r="AG785" t="s">
        <v>1695</v>
      </c>
    </row>
    <row r="786" spans="1:33" x14ac:dyDescent="0.35">
      <c r="A786" s="18">
        <v>44475.065972222219</v>
      </c>
      <c r="B786">
        <v>565899</v>
      </c>
      <c r="C786" t="s">
        <v>2005</v>
      </c>
      <c r="D786" t="s">
        <v>127</v>
      </c>
      <c r="E786" s="19">
        <v>40168</v>
      </c>
      <c r="F786" t="str">
        <f>"9781420003598"</f>
        <v>9781420003598</v>
      </c>
      <c r="G786" t="str">
        <f>"9780849319174"</f>
        <v>9780849319174</v>
      </c>
      <c r="H786" t="s">
        <v>285</v>
      </c>
      <c r="I786">
        <v>630</v>
      </c>
      <c r="J786" t="s">
        <v>2006</v>
      </c>
      <c r="K786" t="s">
        <v>73</v>
      </c>
      <c r="N786" t="s">
        <v>74</v>
      </c>
      <c r="O786" t="s">
        <v>75</v>
      </c>
      <c r="P786" t="s">
        <v>74</v>
      </c>
      <c r="Q786" t="s">
        <v>76</v>
      </c>
      <c r="R786" t="s">
        <v>73</v>
      </c>
      <c r="S786">
        <v>0</v>
      </c>
      <c r="W786" s="20">
        <v>3.5532407407407405E-3</v>
      </c>
      <c r="X786" t="s">
        <v>2007</v>
      </c>
      <c r="Y786">
        <v>11</v>
      </c>
      <c r="Z786">
        <v>0</v>
      </c>
      <c r="AA786" t="s">
        <v>78</v>
      </c>
      <c r="AB786">
        <v>0</v>
      </c>
      <c r="AC786" t="s">
        <v>2008</v>
      </c>
      <c r="AD786">
        <v>1</v>
      </c>
      <c r="AE786">
        <v>10367181</v>
      </c>
      <c r="AF786" t="s">
        <v>79</v>
      </c>
      <c r="AG786" t="s">
        <v>1695</v>
      </c>
    </row>
    <row r="787" spans="1:33" x14ac:dyDescent="0.35">
      <c r="A787" s="18">
        <v>44474.963888888888</v>
      </c>
      <c r="B787">
        <v>4037275</v>
      </c>
      <c r="C787" t="s">
        <v>1999</v>
      </c>
      <c r="D787" t="s">
        <v>1711</v>
      </c>
      <c r="E787" s="19">
        <v>42233</v>
      </c>
      <c r="F787" t="str">
        <f>"9781118652671"</f>
        <v>9781118652671</v>
      </c>
      <c r="G787" t="str">
        <f>"9781118652732"</f>
        <v>9781118652732</v>
      </c>
      <c r="H787" t="s">
        <v>1561</v>
      </c>
      <c r="I787" t="s">
        <v>2000</v>
      </c>
      <c r="J787" t="s">
        <v>2001</v>
      </c>
      <c r="K787" t="s">
        <v>73</v>
      </c>
      <c r="N787" t="s">
        <v>74</v>
      </c>
      <c r="O787" t="s">
        <v>75</v>
      </c>
      <c r="P787" t="s">
        <v>74</v>
      </c>
      <c r="Q787" t="s">
        <v>76</v>
      </c>
      <c r="R787" t="s">
        <v>73</v>
      </c>
      <c r="S787">
        <v>0</v>
      </c>
      <c r="W787" s="20">
        <v>6.3888888888888884E-3</v>
      </c>
      <c r="X787" t="s">
        <v>2009</v>
      </c>
      <c r="Y787">
        <v>55</v>
      </c>
      <c r="Z787">
        <v>2</v>
      </c>
      <c r="AA787" t="s">
        <v>2010</v>
      </c>
      <c r="AB787">
        <v>6</v>
      </c>
      <c r="AC787" t="s">
        <v>78</v>
      </c>
      <c r="AD787">
        <v>0</v>
      </c>
      <c r="AE787">
        <v>11111615</v>
      </c>
      <c r="AF787" t="s">
        <v>79</v>
      </c>
      <c r="AG787" t="s">
        <v>1695</v>
      </c>
    </row>
    <row r="788" spans="1:33" x14ac:dyDescent="0.35">
      <c r="A788" s="18">
        <v>44474.953472222223</v>
      </c>
      <c r="B788">
        <v>4037275</v>
      </c>
      <c r="C788" t="s">
        <v>1999</v>
      </c>
      <c r="D788" t="s">
        <v>1711</v>
      </c>
      <c r="E788" s="19">
        <v>42233</v>
      </c>
      <c r="F788" t="str">
        <f>"9781118652671"</f>
        <v>9781118652671</v>
      </c>
      <c r="G788" t="str">
        <f>"9781118652732"</f>
        <v>9781118652732</v>
      </c>
      <c r="H788" t="s">
        <v>1561</v>
      </c>
      <c r="I788" t="s">
        <v>2000</v>
      </c>
      <c r="J788" t="s">
        <v>2001</v>
      </c>
      <c r="K788" t="s">
        <v>73</v>
      </c>
      <c r="N788" t="s">
        <v>74</v>
      </c>
      <c r="O788" t="s">
        <v>75</v>
      </c>
      <c r="P788" t="s">
        <v>74</v>
      </c>
      <c r="Q788" t="s">
        <v>76</v>
      </c>
      <c r="R788" t="s">
        <v>73</v>
      </c>
      <c r="S788">
        <v>0</v>
      </c>
      <c r="W788" s="20">
        <v>0</v>
      </c>
      <c r="X788" t="s">
        <v>78</v>
      </c>
      <c r="Y788">
        <v>0</v>
      </c>
      <c r="Z788">
        <v>8</v>
      </c>
      <c r="AA788" t="s">
        <v>2011</v>
      </c>
      <c r="AB788">
        <v>184</v>
      </c>
      <c r="AC788" t="s">
        <v>78</v>
      </c>
      <c r="AD788">
        <v>0</v>
      </c>
      <c r="AE788">
        <v>11111615</v>
      </c>
      <c r="AF788" t="s">
        <v>79</v>
      </c>
      <c r="AG788" t="s">
        <v>1695</v>
      </c>
    </row>
    <row r="789" spans="1:33" x14ac:dyDescent="0.35">
      <c r="A789" s="18">
        <v>44474.835416666669</v>
      </c>
      <c r="B789">
        <v>4037275</v>
      </c>
      <c r="C789" t="s">
        <v>1999</v>
      </c>
      <c r="D789" t="s">
        <v>1711</v>
      </c>
      <c r="E789" s="19">
        <v>42233</v>
      </c>
      <c r="F789" t="str">
        <f>"9781118652671"</f>
        <v>9781118652671</v>
      </c>
      <c r="G789" t="str">
        <f>"9781118652732"</f>
        <v>9781118652732</v>
      </c>
      <c r="H789" t="s">
        <v>1561</v>
      </c>
      <c r="I789" t="s">
        <v>2000</v>
      </c>
      <c r="J789" t="s">
        <v>2001</v>
      </c>
      <c r="K789" t="s">
        <v>73</v>
      </c>
      <c r="N789" t="s">
        <v>74</v>
      </c>
      <c r="O789" t="s">
        <v>75</v>
      </c>
      <c r="P789" t="s">
        <v>74</v>
      </c>
      <c r="Q789" t="s">
        <v>76</v>
      </c>
      <c r="R789" t="s">
        <v>73</v>
      </c>
      <c r="S789">
        <v>0</v>
      </c>
      <c r="W789" s="20">
        <v>2.3148148148148147E-5</v>
      </c>
      <c r="X789" t="s">
        <v>78</v>
      </c>
      <c r="Y789">
        <v>0</v>
      </c>
      <c r="Z789">
        <v>6</v>
      </c>
      <c r="AA789" t="s">
        <v>2012</v>
      </c>
      <c r="AB789">
        <v>168</v>
      </c>
      <c r="AC789" t="s">
        <v>78</v>
      </c>
      <c r="AD789">
        <v>0</v>
      </c>
      <c r="AE789">
        <v>11111615</v>
      </c>
      <c r="AF789" t="s">
        <v>79</v>
      </c>
      <c r="AG789" t="s">
        <v>1695</v>
      </c>
    </row>
    <row r="790" spans="1:33" x14ac:dyDescent="0.35">
      <c r="A790" s="18">
        <v>44474.827777777777</v>
      </c>
      <c r="B790">
        <v>4037275</v>
      </c>
      <c r="C790" t="s">
        <v>1999</v>
      </c>
      <c r="D790" t="s">
        <v>1711</v>
      </c>
      <c r="E790" s="19">
        <v>42233</v>
      </c>
      <c r="F790" t="str">
        <f>"9781118652671"</f>
        <v>9781118652671</v>
      </c>
      <c r="G790" t="str">
        <f>"9781118652732"</f>
        <v>9781118652732</v>
      </c>
      <c r="H790" t="s">
        <v>1561</v>
      </c>
      <c r="I790" t="s">
        <v>2000</v>
      </c>
      <c r="J790" t="s">
        <v>2001</v>
      </c>
      <c r="K790" t="s">
        <v>73</v>
      </c>
      <c r="N790" t="s">
        <v>74</v>
      </c>
      <c r="O790" t="s">
        <v>75</v>
      </c>
      <c r="P790" t="s">
        <v>74</v>
      </c>
      <c r="Q790" t="s">
        <v>76</v>
      </c>
      <c r="R790" t="s">
        <v>73</v>
      </c>
      <c r="S790">
        <v>0</v>
      </c>
      <c r="W790" s="20">
        <v>9.9537037037037042E-4</v>
      </c>
      <c r="X790" t="s">
        <v>2013</v>
      </c>
      <c r="Y790">
        <v>5</v>
      </c>
      <c r="Z790">
        <v>8</v>
      </c>
      <c r="AA790" t="s">
        <v>2014</v>
      </c>
      <c r="AB790">
        <v>224</v>
      </c>
      <c r="AC790" t="s">
        <v>78</v>
      </c>
      <c r="AD790">
        <v>0</v>
      </c>
      <c r="AE790">
        <v>11111615</v>
      </c>
      <c r="AF790" t="s">
        <v>79</v>
      </c>
      <c r="AG790" t="s">
        <v>1695</v>
      </c>
    </row>
    <row r="791" spans="1:33" x14ac:dyDescent="0.35">
      <c r="A791" s="18">
        <v>44474.818055555559</v>
      </c>
      <c r="B791">
        <v>4037275</v>
      </c>
      <c r="C791" t="s">
        <v>1999</v>
      </c>
      <c r="D791" t="s">
        <v>1711</v>
      </c>
      <c r="E791" s="19">
        <v>42233</v>
      </c>
      <c r="F791" t="str">
        <f>"9781118652671"</f>
        <v>9781118652671</v>
      </c>
      <c r="G791" t="str">
        <f>"9781118652732"</f>
        <v>9781118652732</v>
      </c>
      <c r="H791" t="s">
        <v>1561</v>
      </c>
      <c r="I791" t="s">
        <v>2000</v>
      </c>
      <c r="J791" t="s">
        <v>2001</v>
      </c>
      <c r="K791" t="s">
        <v>73</v>
      </c>
      <c r="N791" t="s">
        <v>74</v>
      </c>
      <c r="O791" t="s">
        <v>75</v>
      </c>
      <c r="P791" t="s">
        <v>74</v>
      </c>
      <c r="Q791" t="s">
        <v>76</v>
      </c>
      <c r="R791" t="s">
        <v>73</v>
      </c>
      <c r="S791">
        <v>0</v>
      </c>
      <c r="W791" s="20">
        <v>1.5972222222222221E-3</v>
      </c>
      <c r="X791" t="s">
        <v>2015</v>
      </c>
      <c r="Y791">
        <v>18</v>
      </c>
      <c r="Z791">
        <v>7</v>
      </c>
      <c r="AA791" t="s">
        <v>2016</v>
      </c>
      <c r="AB791">
        <v>185</v>
      </c>
      <c r="AC791" t="s">
        <v>78</v>
      </c>
      <c r="AD791">
        <v>0</v>
      </c>
      <c r="AE791">
        <v>11111615</v>
      </c>
      <c r="AF791" t="s">
        <v>79</v>
      </c>
      <c r="AG791" t="s">
        <v>1695</v>
      </c>
    </row>
    <row r="792" spans="1:33" x14ac:dyDescent="0.35">
      <c r="A792" s="18">
        <v>44474.740277777775</v>
      </c>
      <c r="B792">
        <v>1204633</v>
      </c>
      <c r="C792" t="s">
        <v>1560</v>
      </c>
      <c r="D792" t="s">
        <v>70</v>
      </c>
      <c r="E792" s="19">
        <v>41512</v>
      </c>
      <c r="F792" t="str">
        <f>"9781118450444"</f>
        <v>9781118450444</v>
      </c>
      <c r="G792" t="str">
        <f>"9780470673768"</f>
        <v>9780470673768</v>
      </c>
      <c r="H792" t="s">
        <v>1561</v>
      </c>
      <c r="I792">
        <v>552.5</v>
      </c>
      <c r="J792" t="s">
        <v>1562</v>
      </c>
      <c r="K792" t="s">
        <v>73</v>
      </c>
      <c r="N792" t="s">
        <v>74</v>
      </c>
      <c r="O792" t="s">
        <v>75</v>
      </c>
      <c r="P792" t="s">
        <v>74</v>
      </c>
      <c r="Q792" t="s">
        <v>76</v>
      </c>
      <c r="R792" t="s">
        <v>73</v>
      </c>
      <c r="S792">
        <v>0</v>
      </c>
      <c r="W792" s="20">
        <v>1.3194444444444443E-3</v>
      </c>
      <c r="X792" t="s">
        <v>2017</v>
      </c>
      <c r="Y792">
        <v>6</v>
      </c>
      <c r="Z792">
        <v>1</v>
      </c>
      <c r="AA792" t="s">
        <v>2018</v>
      </c>
      <c r="AB792">
        <v>39</v>
      </c>
      <c r="AC792" t="s">
        <v>78</v>
      </c>
      <c r="AD792">
        <v>0</v>
      </c>
      <c r="AE792">
        <v>10713576</v>
      </c>
      <c r="AF792" t="s">
        <v>79</v>
      </c>
      <c r="AG792" t="s">
        <v>1611</v>
      </c>
    </row>
    <row r="793" spans="1:33" x14ac:dyDescent="0.35">
      <c r="A793" s="18">
        <v>44474.709027777775</v>
      </c>
      <c r="B793">
        <v>4037275</v>
      </c>
      <c r="C793" t="s">
        <v>1999</v>
      </c>
      <c r="D793" t="s">
        <v>1711</v>
      </c>
      <c r="E793" s="19">
        <v>42233</v>
      </c>
      <c r="F793" t="str">
        <f>"9781118652671"</f>
        <v>9781118652671</v>
      </c>
      <c r="G793" t="str">
        <f>"9781118652732"</f>
        <v>9781118652732</v>
      </c>
      <c r="H793" t="s">
        <v>1561</v>
      </c>
      <c r="I793" t="s">
        <v>2000</v>
      </c>
      <c r="J793" t="s">
        <v>2001</v>
      </c>
      <c r="K793" t="s">
        <v>73</v>
      </c>
      <c r="N793" t="s">
        <v>74</v>
      </c>
      <c r="O793" t="s">
        <v>75</v>
      </c>
      <c r="P793" t="s">
        <v>74</v>
      </c>
      <c r="Q793" t="s">
        <v>76</v>
      </c>
      <c r="R793" t="s">
        <v>73</v>
      </c>
      <c r="S793">
        <v>0</v>
      </c>
      <c r="W793" s="20">
        <v>7.7546296296296304E-4</v>
      </c>
      <c r="X793" t="s">
        <v>2019</v>
      </c>
      <c r="Y793">
        <v>13</v>
      </c>
      <c r="Z793">
        <v>0</v>
      </c>
      <c r="AA793" t="s">
        <v>78</v>
      </c>
      <c r="AB793">
        <v>0</v>
      </c>
      <c r="AC793" t="s">
        <v>78</v>
      </c>
      <c r="AD793">
        <v>0</v>
      </c>
      <c r="AE793">
        <v>11111615</v>
      </c>
      <c r="AF793" t="s">
        <v>79</v>
      </c>
      <c r="AG793" t="s">
        <v>1695</v>
      </c>
    </row>
    <row r="794" spans="1:33" x14ac:dyDescent="0.35">
      <c r="A794" s="18">
        <v>44474.674305555556</v>
      </c>
      <c r="B794">
        <v>4037275</v>
      </c>
      <c r="C794" t="s">
        <v>1999</v>
      </c>
      <c r="D794" t="s">
        <v>1711</v>
      </c>
      <c r="E794" s="19">
        <v>42233</v>
      </c>
      <c r="F794" t="str">
        <f>"9781118652671"</f>
        <v>9781118652671</v>
      </c>
      <c r="G794" t="str">
        <f>"9781118652732"</f>
        <v>9781118652732</v>
      </c>
      <c r="H794" t="s">
        <v>1561</v>
      </c>
      <c r="I794" t="s">
        <v>2000</v>
      </c>
      <c r="J794" t="s">
        <v>2001</v>
      </c>
      <c r="K794" t="s">
        <v>73</v>
      </c>
      <c r="N794" t="s">
        <v>74</v>
      </c>
      <c r="O794" t="s">
        <v>75</v>
      </c>
      <c r="P794" t="s">
        <v>74</v>
      </c>
      <c r="Q794" t="s">
        <v>76</v>
      </c>
      <c r="R794" t="s">
        <v>73</v>
      </c>
      <c r="S794">
        <v>0</v>
      </c>
      <c r="W794" s="20">
        <v>4.8726851851851856E-3</v>
      </c>
      <c r="X794" t="s">
        <v>2020</v>
      </c>
      <c r="Y794">
        <v>36</v>
      </c>
      <c r="Z794">
        <v>20</v>
      </c>
      <c r="AA794" t="s">
        <v>2021</v>
      </c>
      <c r="AB794">
        <v>247</v>
      </c>
      <c r="AC794" t="s">
        <v>2022</v>
      </c>
      <c r="AD794">
        <v>3</v>
      </c>
      <c r="AE794">
        <v>11111615</v>
      </c>
      <c r="AF794" t="s">
        <v>79</v>
      </c>
      <c r="AG794" t="s">
        <v>1695</v>
      </c>
    </row>
    <row r="795" spans="1:33" x14ac:dyDescent="0.35">
      <c r="A795" s="18">
        <v>44474.67083333333</v>
      </c>
      <c r="B795">
        <v>6373756</v>
      </c>
      <c r="C795" t="s">
        <v>2023</v>
      </c>
      <c r="D795" t="s">
        <v>127</v>
      </c>
      <c r="E795" s="19">
        <v>44160</v>
      </c>
      <c r="F795" t="str">
        <f>"9781000244885"</f>
        <v>9781000244885</v>
      </c>
      <c r="G795" t="str">
        <f>"9780367357832"</f>
        <v>9780367357832</v>
      </c>
      <c r="H795" t="s">
        <v>974</v>
      </c>
      <c r="I795" t="s">
        <v>2024</v>
      </c>
      <c r="J795" t="s">
        <v>2025</v>
      </c>
      <c r="K795" t="s">
        <v>85</v>
      </c>
      <c r="Q795" t="s">
        <v>76</v>
      </c>
      <c r="R795" t="s">
        <v>73</v>
      </c>
      <c r="S795">
        <v>0</v>
      </c>
      <c r="W795" s="20">
        <v>2.5694444444444445E-3</v>
      </c>
      <c r="X795" t="s">
        <v>2026</v>
      </c>
      <c r="Y795">
        <v>11</v>
      </c>
      <c r="Z795">
        <v>0</v>
      </c>
      <c r="AA795" t="s">
        <v>78</v>
      </c>
      <c r="AB795">
        <v>0</v>
      </c>
      <c r="AC795" t="s">
        <v>78</v>
      </c>
      <c r="AD795">
        <v>0</v>
      </c>
      <c r="AE795">
        <v>-1</v>
      </c>
      <c r="AF795" t="s">
        <v>88</v>
      </c>
      <c r="AG795" t="s">
        <v>1611</v>
      </c>
    </row>
    <row r="796" spans="1:33" x14ac:dyDescent="0.35">
      <c r="A796" s="18">
        <v>44474.659722222219</v>
      </c>
      <c r="B796">
        <v>4037275</v>
      </c>
      <c r="C796" t="s">
        <v>1999</v>
      </c>
      <c r="D796" t="s">
        <v>1711</v>
      </c>
      <c r="E796" s="19">
        <v>42233</v>
      </c>
      <c r="F796" t="str">
        <f>"9781118652671"</f>
        <v>9781118652671</v>
      </c>
      <c r="G796" t="str">
        <f>"9781118652732"</f>
        <v>9781118652732</v>
      </c>
      <c r="H796" t="s">
        <v>1561</v>
      </c>
      <c r="I796" t="s">
        <v>2000</v>
      </c>
      <c r="J796" t="s">
        <v>2001</v>
      </c>
      <c r="K796" t="s">
        <v>73</v>
      </c>
      <c r="N796" t="s">
        <v>74</v>
      </c>
      <c r="O796" t="s">
        <v>75</v>
      </c>
      <c r="P796" t="s">
        <v>74</v>
      </c>
      <c r="Q796" t="s">
        <v>76</v>
      </c>
      <c r="R796" t="s">
        <v>73</v>
      </c>
      <c r="S796">
        <v>0</v>
      </c>
      <c r="W796" s="20">
        <v>1.9675925925925926E-4</v>
      </c>
      <c r="X796" t="s">
        <v>2027</v>
      </c>
      <c r="Y796">
        <v>5</v>
      </c>
      <c r="Z796">
        <v>0</v>
      </c>
      <c r="AA796" t="s">
        <v>78</v>
      </c>
      <c r="AB796">
        <v>0</v>
      </c>
      <c r="AC796" t="s">
        <v>78</v>
      </c>
      <c r="AD796">
        <v>0</v>
      </c>
      <c r="AE796">
        <v>11111615</v>
      </c>
      <c r="AF796" t="s">
        <v>79</v>
      </c>
      <c r="AG796" t="s">
        <v>1695</v>
      </c>
    </row>
    <row r="797" spans="1:33" x14ac:dyDescent="0.35">
      <c r="A797" s="18">
        <v>44474.581944444442</v>
      </c>
      <c r="B797">
        <v>294562</v>
      </c>
      <c r="C797" t="s">
        <v>2028</v>
      </c>
      <c r="D797" t="s">
        <v>158</v>
      </c>
      <c r="E797" s="19">
        <v>37498</v>
      </c>
      <c r="F797" t="str">
        <f>"9780080490786"</f>
        <v>9780080490786</v>
      </c>
      <c r="G797" t="str">
        <f>"9780124027725"</f>
        <v>9780124027725</v>
      </c>
      <c r="H797" t="s">
        <v>466</v>
      </c>
      <c r="I797" t="s">
        <v>1274</v>
      </c>
      <c r="J797" t="s">
        <v>2029</v>
      </c>
      <c r="K797" t="s">
        <v>73</v>
      </c>
      <c r="N797" t="s">
        <v>74</v>
      </c>
      <c r="O797" t="s">
        <v>75</v>
      </c>
      <c r="P797" t="s">
        <v>74</v>
      </c>
      <c r="Q797" t="s">
        <v>76</v>
      </c>
      <c r="R797" t="s">
        <v>73</v>
      </c>
      <c r="S797">
        <v>0</v>
      </c>
      <c r="W797" s="20">
        <v>1.8518518518518517E-3</v>
      </c>
      <c r="X797" t="s">
        <v>2030</v>
      </c>
      <c r="Y797">
        <v>12</v>
      </c>
      <c r="Z797">
        <v>2</v>
      </c>
      <c r="AA797" t="s">
        <v>2031</v>
      </c>
      <c r="AB797">
        <v>76</v>
      </c>
      <c r="AC797" t="s">
        <v>78</v>
      </c>
      <c r="AD797">
        <v>0</v>
      </c>
      <c r="AE797">
        <v>10186359</v>
      </c>
      <c r="AF797" t="s">
        <v>79</v>
      </c>
      <c r="AG797" t="s">
        <v>2032</v>
      </c>
    </row>
    <row r="798" spans="1:33" x14ac:dyDescent="0.35">
      <c r="A798" s="18">
        <v>44474.570833333331</v>
      </c>
      <c r="B798">
        <v>1204633</v>
      </c>
      <c r="C798" t="s">
        <v>1560</v>
      </c>
      <c r="D798" t="s">
        <v>70</v>
      </c>
      <c r="E798" s="19">
        <v>41512</v>
      </c>
      <c r="F798" t="str">
        <f>"9781118450444"</f>
        <v>9781118450444</v>
      </c>
      <c r="G798" t="str">
        <f>"9780470673768"</f>
        <v>9780470673768</v>
      </c>
      <c r="H798" t="s">
        <v>1561</v>
      </c>
      <c r="I798">
        <v>552.5</v>
      </c>
      <c r="J798" t="s">
        <v>1562</v>
      </c>
      <c r="K798" t="s">
        <v>73</v>
      </c>
      <c r="N798" t="s">
        <v>74</v>
      </c>
      <c r="O798" t="s">
        <v>75</v>
      </c>
      <c r="P798" t="s">
        <v>74</v>
      </c>
      <c r="Q798" t="s">
        <v>76</v>
      </c>
      <c r="R798" t="s">
        <v>73</v>
      </c>
      <c r="S798">
        <v>0</v>
      </c>
      <c r="W798" s="20">
        <v>1.4328703703703703E-2</v>
      </c>
      <c r="X798" t="s">
        <v>2033</v>
      </c>
      <c r="Y798">
        <v>5</v>
      </c>
      <c r="Z798">
        <v>0</v>
      </c>
      <c r="AA798" t="s">
        <v>78</v>
      </c>
      <c r="AB798">
        <v>0</v>
      </c>
      <c r="AC798" t="s">
        <v>2034</v>
      </c>
      <c r="AD798">
        <v>1</v>
      </c>
      <c r="AE798">
        <v>10713576</v>
      </c>
      <c r="AF798" t="s">
        <v>79</v>
      </c>
      <c r="AG798" t="s">
        <v>1611</v>
      </c>
    </row>
    <row r="799" spans="1:33" x14ac:dyDescent="0.35">
      <c r="A799" s="18">
        <v>44474.499305555553</v>
      </c>
      <c r="B799">
        <v>977135</v>
      </c>
      <c r="C799" t="s">
        <v>2035</v>
      </c>
      <c r="D799" t="s">
        <v>538</v>
      </c>
      <c r="E799" s="19">
        <v>41122</v>
      </c>
      <c r="F799" t="str">
        <f>"9781139530262"</f>
        <v>9781139530262</v>
      </c>
      <c r="G799" t="str">
        <f>"9780521822824"</f>
        <v>9780521822824</v>
      </c>
      <c r="H799" t="s">
        <v>2036</v>
      </c>
      <c r="I799">
        <v>306.697</v>
      </c>
      <c r="J799" t="s">
        <v>2037</v>
      </c>
      <c r="K799" t="s">
        <v>73</v>
      </c>
      <c r="N799" t="s">
        <v>74</v>
      </c>
      <c r="O799" t="s">
        <v>75</v>
      </c>
      <c r="P799" t="s">
        <v>74</v>
      </c>
      <c r="Q799" t="s">
        <v>76</v>
      </c>
      <c r="R799" t="s">
        <v>73</v>
      </c>
      <c r="S799">
        <v>0</v>
      </c>
      <c r="W799" s="20">
        <v>3.4722222222222224E-4</v>
      </c>
      <c r="X799" t="s">
        <v>1492</v>
      </c>
      <c r="Y799">
        <v>2</v>
      </c>
      <c r="Z799">
        <v>0</v>
      </c>
      <c r="AA799" t="s">
        <v>78</v>
      </c>
      <c r="AB799">
        <v>0</v>
      </c>
      <c r="AC799" t="s">
        <v>78</v>
      </c>
      <c r="AD799">
        <v>0</v>
      </c>
      <c r="AE799">
        <v>10591058</v>
      </c>
      <c r="AF799" t="s">
        <v>79</v>
      </c>
      <c r="AG799" t="s">
        <v>1695</v>
      </c>
    </row>
    <row r="800" spans="1:33" x14ac:dyDescent="0.35">
      <c r="A800" s="18">
        <v>44474.491666666669</v>
      </c>
      <c r="B800">
        <v>1092663</v>
      </c>
      <c r="C800" t="s">
        <v>2038</v>
      </c>
      <c r="D800" t="s">
        <v>127</v>
      </c>
      <c r="E800" s="19">
        <v>41247</v>
      </c>
      <c r="F800" t="str">
        <f>"9781136186783"</f>
        <v>9781136186783</v>
      </c>
      <c r="G800" t="str">
        <f>"9780415505079"</f>
        <v>9780415505079</v>
      </c>
      <c r="H800" t="s">
        <v>308</v>
      </c>
      <c r="I800">
        <v>297</v>
      </c>
      <c r="J800" t="s">
        <v>2039</v>
      </c>
      <c r="K800" t="s">
        <v>73</v>
      </c>
      <c r="N800" t="s">
        <v>74</v>
      </c>
      <c r="O800" t="s">
        <v>75</v>
      </c>
      <c r="P800" t="s">
        <v>74</v>
      </c>
      <c r="Q800" t="s">
        <v>76</v>
      </c>
      <c r="R800" t="s">
        <v>73</v>
      </c>
      <c r="S800">
        <v>0</v>
      </c>
      <c r="W800" s="20">
        <v>2.2106481481481478E-3</v>
      </c>
      <c r="X800" t="s">
        <v>404</v>
      </c>
      <c r="Y800">
        <v>9</v>
      </c>
      <c r="Z800">
        <v>0</v>
      </c>
      <c r="AA800" t="s">
        <v>78</v>
      </c>
      <c r="AB800">
        <v>0</v>
      </c>
      <c r="AC800" t="s">
        <v>78</v>
      </c>
      <c r="AD800">
        <v>0</v>
      </c>
      <c r="AE800">
        <v>10632525</v>
      </c>
      <c r="AF800" t="s">
        <v>79</v>
      </c>
      <c r="AG800" t="s">
        <v>1695</v>
      </c>
    </row>
    <row r="801" spans="1:33" x14ac:dyDescent="0.35">
      <c r="A801" s="18">
        <v>44474.479166666664</v>
      </c>
      <c r="B801">
        <v>1910142</v>
      </c>
      <c r="C801" t="s">
        <v>2040</v>
      </c>
      <c r="D801" t="s">
        <v>1426</v>
      </c>
      <c r="E801" s="19">
        <v>40959</v>
      </c>
      <c r="F801" t="str">
        <f>"9780253016904"</f>
        <v>9780253016904</v>
      </c>
      <c r="G801" t="str">
        <f>"9780253356338"</f>
        <v>9780253356338</v>
      </c>
      <c r="H801" t="s">
        <v>308</v>
      </c>
      <c r="I801" t="s">
        <v>2041</v>
      </c>
      <c r="J801" t="s">
        <v>2042</v>
      </c>
      <c r="K801" t="s">
        <v>73</v>
      </c>
      <c r="N801" t="s">
        <v>74</v>
      </c>
      <c r="O801" t="s">
        <v>75</v>
      </c>
      <c r="P801" t="s">
        <v>74</v>
      </c>
      <c r="Q801" t="s">
        <v>76</v>
      </c>
      <c r="R801" t="s">
        <v>73</v>
      </c>
      <c r="S801">
        <v>0</v>
      </c>
      <c r="W801" s="20">
        <v>8.1018518518518516E-4</v>
      </c>
      <c r="X801" t="s">
        <v>2043</v>
      </c>
      <c r="Y801">
        <v>5</v>
      </c>
      <c r="Z801">
        <v>0</v>
      </c>
      <c r="AA801" t="s">
        <v>78</v>
      </c>
      <c r="AB801">
        <v>0</v>
      </c>
      <c r="AC801" t="s">
        <v>78</v>
      </c>
      <c r="AD801">
        <v>0</v>
      </c>
      <c r="AE801">
        <v>11007052</v>
      </c>
      <c r="AF801" t="s">
        <v>79</v>
      </c>
      <c r="AG801" t="s">
        <v>1695</v>
      </c>
    </row>
    <row r="802" spans="1:33" x14ac:dyDescent="0.35">
      <c r="A802" s="18">
        <v>44474.465277777781</v>
      </c>
      <c r="B802">
        <v>1832723</v>
      </c>
      <c r="C802" t="s">
        <v>2044</v>
      </c>
      <c r="D802" t="s">
        <v>70</v>
      </c>
      <c r="E802" s="19">
        <v>42031</v>
      </c>
      <c r="F802" t="str">
        <f>"9781118902110"</f>
        <v>9781118902110</v>
      </c>
      <c r="G802" t="str">
        <f>"9780470656709"</f>
        <v>9780470656709</v>
      </c>
      <c r="H802" t="s">
        <v>1905</v>
      </c>
      <c r="I802">
        <v>551.9</v>
      </c>
      <c r="J802" t="s">
        <v>2045</v>
      </c>
      <c r="K802" t="s">
        <v>73</v>
      </c>
      <c r="N802" t="s">
        <v>74</v>
      </c>
      <c r="O802" t="s">
        <v>75</v>
      </c>
      <c r="P802" t="s">
        <v>74</v>
      </c>
      <c r="Q802" t="s">
        <v>76</v>
      </c>
      <c r="R802" t="s">
        <v>73</v>
      </c>
      <c r="S802">
        <v>0</v>
      </c>
      <c r="W802" s="20">
        <v>0</v>
      </c>
      <c r="X802" t="s">
        <v>78</v>
      </c>
      <c r="Y802">
        <v>0</v>
      </c>
      <c r="Z802">
        <v>0</v>
      </c>
      <c r="AA802" t="s">
        <v>78</v>
      </c>
      <c r="AB802">
        <v>0</v>
      </c>
      <c r="AC802" t="s">
        <v>78</v>
      </c>
      <c r="AD802">
        <v>0</v>
      </c>
      <c r="AE802">
        <v>10964407</v>
      </c>
      <c r="AF802" t="s">
        <v>79</v>
      </c>
      <c r="AG802" t="s">
        <v>1909</v>
      </c>
    </row>
    <row r="803" spans="1:33" x14ac:dyDescent="0.35">
      <c r="A803" s="18">
        <v>44474.459027777775</v>
      </c>
      <c r="B803">
        <v>537041</v>
      </c>
      <c r="C803" t="s">
        <v>2046</v>
      </c>
      <c r="D803" t="s">
        <v>2047</v>
      </c>
      <c r="E803" s="19">
        <v>40060</v>
      </c>
      <c r="F803" t="str">
        <f>"9781589017207"</f>
        <v>9781589017207</v>
      </c>
      <c r="G803" t="str">
        <f>"9781589015074"</f>
        <v>9781589015074</v>
      </c>
      <c r="H803" t="s">
        <v>308</v>
      </c>
      <c r="I803" t="s">
        <v>2048</v>
      </c>
      <c r="J803" t="s">
        <v>2049</v>
      </c>
      <c r="K803" t="s">
        <v>73</v>
      </c>
      <c r="N803" t="s">
        <v>74</v>
      </c>
      <c r="O803" t="s">
        <v>75</v>
      </c>
      <c r="P803" t="s">
        <v>74</v>
      </c>
      <c r="Q803" t="s">
        <v>76</v>
      </c>
      <c r="R803" t="s">
        <v>73</v>
      </c>
      <c r="S803">
        <v>0</v>
      </c>
      <c r="W803" s="20">
        <v>9.3055555555555548E-3</v>
      </c>
      <c r="X803" t="s">
        <v>2050</v>
      </c>
      <c r="Y803">
        <v>18</v>
      </c>
      <c r="Z803">
        <v>0</v>
      </c>
      <c r="AA803" t="s">
        <v>78</v>
      </c>
      <c r="AB803">
        <v>0</v>
      </c>
      <c r="AC803" t="s">
        <v>78</v>
      </c>
      <c r="AD803">
        <v>0</v>
      </c>
      <c r="AE803">
        <v>10389849</v>
      </c>
      <c r="AF803" t="s">
        <v>79</v>
      </c>
      <c r="AG803" t="s">
        <v>1695</v>
      </c>
    </row>
    <row r="804" spans="1:33" x14ac:dyDescent="0.35">
      <c r="A804" s="18">
        <v>44474.431250000001</v>
      </c>
      <c r="B804">
        <v>4037275</v>
      </c>
      <c r="C804" t="s">
        <v>1999</v>
      </c>
      <c r="D804" t="s">
        <v>1711</v>
      </c>
      <c r="E804" s="19">
        <v>42233</v>
      </c>
      <c r="F804" t="str">
        <f>"9781118652671"</f>
        <v>9781118652671</v>
      </c>
      <c r="G804" t="str">
        <f>"9781118652732"</f>
        <v>9781118652732</v>
      </c>
      <c r="H804" t="s">
        <v>1561</v>
      </c>
      <c r="I804" t="s">
        <v>2000</v>
      </c>
      <c r="J804" t="s">
        <v>2001</v>
      </c>
      <c r="K804" t="s">
        <v>73</v>
      </c>
      <c r="N804" t="s">
        <v>74</v>
      </c>
      <c r="O804" t="s">
        <v>75</v>
      </c>
      <c r="P804" t="s">
        <v>74</v>
      </c>
      <c r="Q804" t="s">
        <v>76</v>
      </c>
      <c r="R804" t="s">
        <v>73</v>
      </c>
      <c r="S804">
        <v>0</v>
      </c>
      <c r="W804" s="20">
        <v>1.9675925925925926E-4</v>
      </c>
      <c r="X804" t="s">
        <v>2051</v>
      </c>
      <c r="Y804">
        <v>3</v>
      </c>
      <c r="Z804">
        <v>0</v>
      </c>
      <c r="AA804" t="s">
        <v>78</v>
      </c>
      <c r="AB804">
        <v>0</v>
      </c>
      <c r="AC804" t="s">
        <v>78</v>
      </c>
      <c r="AD804">
        <v>0</v>
      </c>
      <c r="AE804">
        <v>11111615</v>
      </c>
      <c r="AF804" t="s">
        <v>79</v>
      </c>
      <c r="AG804" t="s">
        <v>1611</v>
      </c>
    </row>
    <row r="805" spans="1:33" x14ac:dyDescent="0.35">
      <c r="A805" s="18">
        <v>44474.363888888889</v>
      </c>
      <c r="B805">
        <v>6227816</v>
      </c>
      <c r="C805" t="s">
        <v>2052</v>
      </c>
      <c r="D805" t="s">
        <v>226</v>
      </c>
      <c r="E805" s="19">
        <v>43936</v>
      </c>
      <c r="F805" t="str">
        <f>"9781536177886"</f>
        <v>9781536177886</v>
      </c>
      <c r="G805" t="str">
        <f>"9781536177879"</f>
        <v>9781536177879</v>
      </c>
      <c r="H805" t="s">
        <v>1561</v>
      </c>
      <c r="I805">
        <v>550</v>
      </c>
      <c r="J805" t="s">
        <v>2053</v>
      </c>
      <c r="K805" t="s">
        <v>85</v>
      </c>
      <c r="N805" t="s">
        <v>186</v>
      </c>
      <c r="P805" t="s">
        <v>87</v>
      </c>
      <c r="Q805" t="s">
        <v>76</v>
      </c>
      <c r="R805" t="s">
        <v>73</v>
      </c>
      <c r="S805">
        <v>0</v>
      </c>
      <c r="W805" s="20">
        <v>3.2407407407407406E-4</v>
      </c>
      <c r="X805" t="s">
        <v>2054</v>
      </c>
      <c r="Y805">
        <v>6</v>
      </c>
      <c r="Z805">
        <v>0</v>
      </c>
      <c r="AA805" t="s">
        <v>78</v>
      </c>
      <c r="AB805">
        <v>0</v>
      </c>
      <c r="AC805" t="s">
        <v>78</v>
      </c>
      <c r="AD805">
        <v>0</v>
      </c>
      <c r="AE805">
        <v>-1</v>
      </c>
      <c r="AF805" t="s">
        <v>88</v>
      </c>
      <c r="AG805" t="s">
        <v>1909</v>
      </c>
    </row>
    <row r="806" spans="1:33" x14ac:dyDescent="0.35">
      <c r="A806" s="18">
        <v>44474.160416666666</v>
      </c>
      <c r="B806">
        <v>835145</v>
      </c>
      <c r="C806" t="s">
        <v>1542</v>
      </c>
      <c r="D806" t="s">
        <v>70</v>
      </c>
      <c r="E806" s="19">
        <v>40952</v>
      </c>
      <c r="F806" t="str">
        <f>"9781119977001"</f>
        <v>9781119977001</v>
      </c>
      <c r="G806" t="str">
        <f>"9781119992851"</f>
        <v>9781119992851</v>
      </c>
      <c r="H806" t="s">
        <v>71</v>
      </c>
      <c r="I806">
        <v>621.31244000000004</v>
      </c>
      <c r="J806" t="s">
        <v>1543</v>
      </c>
      <c r="K806" t="s">
        <v>73</v>
      </c>
      <c r="N806" t="s">
        <v>74</v>
      </c>
      <c r="O806" t="s">
        <v>75</v>
      </c>
      <c r="P806" t="s">
        <v>74</v>
      </c>
      <c r="Q806" t="s">
        <v>76</v>
      </c>
      <c r="R806" t="s">
        <v>73</v>
      </c>
      <c r="S806">
        <v>0</v>
      </c>
      <c r="W806" s="20">
        <v>3.7106481481481483E-2</v>
      </c>
      <c r="X806" t="s">
        <v>2055</v>
      </c>
      <c r="Y806">
        <v>13</v>
      </c>
      <c r="Z806">
        <v>0</v>
      </c>
      <c r="AA806" t="s">
        <v>78</v>
      </c>
      <c r="AB806">
        <v>0</v>
      </c>
      <c r="AC806" t="s">
        <v>78</v>
      </c>
      <c r="AD806">
        <v>0</v>
      </c>
      <c r="AE806">
        <v>10526535</v>
      </c>
      <c r="AF806" t="s">
        <v>79</v>
      </c>
      <c r="AG806" t="s">
        <v>1695</v>
      </c>
    </row>
    <row r="807" spans="1:33" x14ac:dyDescent="0.35">
      <c r="A807" s="18">
        <v>44473.961111111108</v>
      </c>
      <c r="B807">
        <v>866845</v>
      </c>
      <c r="C807" t="s">
        <v>1886</v>
      </c>
      <c r="D807" t="s">
        <v>538</v>
      </c>
      <c r="E807" s="19">
        <v>41025</v>
      </c>
      <c r="F807" t="str">
        <f>"9781139339742"</f>
        <v>9781139339742</v>
      </c>
      <c r="G807" t="str">
        <f>"9780521691581"</f>
        <v>9780521691581</v>
      </c>
      <c r="H807" t="s">
        <v>222</v>
      </c>
      <c r="I807">
        <v>616.85299999999995</v>
      </c>
      <c r="J807" t="s">
        <v>1887</v>
      </c>
      <c r="K807" t="s">
        <v>73</v>
      </c>
      <c r="N807" t="s">
        <v>74</v>
      </c>
      <c r="O807" t="s">
        <v>75</v>
      </c>
      <c r="P807" t="s">
        <v>74</v>
      </c>
      <c r="Q807" t="s">
        <v>76</v>
      </c>
      <c r="R807" t="s">
        <v>73</v>
      </c>
      <c r="S807">
        <v>0</v>
      </c>
      <c r="W807" s="20">
        <v>2.6168981481481477E-2</v>
      </c>
      <c r="X807" t="s">
        <v>2056</v>
      </c>
      <c r="Y807">
        <v>29</v>
      </c>
      <c r="Z807">
        <v>1</v>
      </c>
      <c r="AA807" t="s">
        <v>2057</v>
      </c>
      <c r="AB807">
        <v>2</v>
      </c>
      <c r="AC807" t="s">
        <v>78</v>
      </c>
      <c r="AD807">
        <v>0</v>
      </c>
      <c r="AE807">
        <v>10578261</v>
      </c>
      <c r="AF807" t="s">
        <v>79</v>
      </c>
      <c r="AG807" t="s">
        <v>1695</v>
      </c>
    </row>
    <row r="808" spans="1:33" x14ac:dyDescent="0.35">
      <c r="A808" s="18">
        <v>44473.884722222225</v>
      </c>
      <c r="B808">
        <v>4037275</v>
      </c>
      <c r="C808" t="s">
        <v>1999</v>
      </c>
      <c r="D808" t="s">
        <v>1711</v>
      </c>
      <c r="E808" s="19">
        <v>42233</v>
      </c>
      <c r="F808" t="str">
        <f>"9781118652671"</f>
        <v>9781118652671</v>
      </c>
      <c r="G808" t="str">
        <f>"9781118652732"</f>
        <v>9781118652732</v>
      </c>
      <c r="H808" t="s">
        <v>1561</v>
      </c>
      <c r="I808" t="s">
        <v>2000</v>
      </c>
      <c r="J808" t="s">
        <v>2001</v>
      </c>
      <c r="K808" t="s">
        <v>73</v>
      </c>
      <c r="N808" t="s">
        <v>74</v>
      </c>
      <c r="O808" t="s">
        <v>75</v>
      </c>
      <c r="P808" t="s">
        <v>74</v>
      </c>
      <c r="Q808" t="s">
        <v>76</v>
      </c>
      <c r="R808" t="s">
        <v>73</v>
      </c>
      <c r="S808">
        <v>0</v>
      </c>
      <c r="W808" s="20">
        <v>4.6296296296296294E-5</v>
      </c>
      <c r="X808" t="s">
        <v>132</v>
      </c>
      <c r="Y808">
        <v>1</v>
      </c>
      <c r="Z808">
        <v>0</v>
      </c>
      <c r="AA808" t="s">
        <v>78</v>
      </c>
      <c r="AB808">
        <v>0</v>
      </c>
      <c r="AC808" t="s">
        <v>78</v>
      </c>
      <c r="AD808">
        <v>0</v>
      </c>
      <c r="AE808">
        <v>11111615</v>
      </c>
      <c r="AF808" t="s">
        <v>79</v>
      </c>
      <c r="AG808" t="s">
        <v>1695</v>
      </c>
    </row>
    <row r="809" spans="1:33" x14ac:dyDescent="0.35">
      <c r="A809" s="18">
        <v>44473.850694444445</v>
      </c>
      <c r="B809">
        <v>6227816</v>
      </c>
      <c r="C809" t="s">
        <v>2052</v>
      </c>
      <c r="D809" t="s">
        <v>226</v>
      </c>
      <c r="E809" s="19">
        <v>43936</v>
      </c>
      <c r="F809" t="str">
        <f>"9781536177886"</f>
        <v>9781536177886</v>
      </c>
      <c r="G809" t="str">
        <f>"9781536177879"</f>
        <v>9781536177879</v>
      </c>
      <c r="H809" t="s">
        <v>1561</v>
      </c>
      <c r="I809">
        <v>550</v>
      </c>
      <c r="J809" t="s">
        <v>2053</v>
      </c>
      <c r="K809" t="s">
        <v>85</v>
      </c>
      <c r="Q809" t="s">
        <v>76</v>
      </c>
      <c r="R809" t="s">
        <v>73</v>
      </c>
      <c r="S809">
        <v>0</v>
      </c>
      <c r="W809" s="20">
        <v>8.1018518518518516E-5</v>
      </c>
      <c r="X809" t="s">
        <v>78</v>
      </c>
      <c r="Y809">
        <v>0</v>
      </c>
      <c r="Z809">
        <v>0</v>
      </c>
      <c r="AA809" t="s">
        <v>78</v>
      </c>
      <c r="AB809">
        <v>0</v>
      </c>
      <c r="AC809" t="s">
        <v>78</v>
      </c>
      <c r="AD809">
        <v>0</v>
      </c>
      <c r="AE809">
        <v>-1</v>
      </c>
      <c r="AF809" t="s">
        <v>88</v>
      </c>
      <c r="AG809" t="s">
        <v>2058</v>
      </c>
    </row>
    <row r="810" spans="1:33" x14ac:dyDescent="0.35">
      <c r="A810" s="18">
        <v>44473.847916666666</v>
      </c>
      <c r="B810">
        <v>826883</v>
      </c>
      <c r="C810" t="s">
        <v>2059</v>
      </c>
      <c r="D810" t="s">
        <v>70</v>
      </c>
      <c r="E810" s="19">
        <v>40918</v>
      </c>
      <c r="F810" t="str">
        <f>"9781444347135"</f>
        <v>9781444347135</v>
      </c>
      <c r="G810" t="str">
        <f>"9781405194655"</f>
        <v>9781405194655</v>
      </c>
      <c r="H810" t="s">
        <v>1561</v>
      </c>
      <c r="I810">
        <v>551.79999999999995</v>
      </c>
      <c r="J810" t="s">
        <v>2060</v>
      </c>
      <c r="K810" t="s">
        <v>73</v>
      </c>
      <c r="N810" t="s">
        <v>74</v>
      </c>
      <c r="O810" t="s">
        <v>75</v>
      </c>
      <c r="P810" t="s">
        <v>74</v>
      </c>
      <c r="Q810" t="s">
        <v>76</v>
      </c>
      <c r="R810" t="s">
        <v>73</v>
      </c>
      <c r="S810">
        <v>0</v>
      </c>
      <c r="W810" s="20">
        <v>5.7523148148148143E-3</v>
      </c>
      <c r="X810" t="s">
        <v>2061</v>
      </c>
      <c r="Y810">
        <v>8</v>
      </c>
      <c r="Z810">
        <v>0</v>
      </c>
      <c r="AA810" t="s">
        <v>78</v>
      </c>
      <c r="AB810">
        <v>0</v>
      </c>
      <c r="AC810" t="s">
        <v>78</v>
      </c>
      <c r="AD810">
        <v>0</v>
      </c>
      <c r="AE810">
        <v>10524044</v>
      </c>
      <c r="AF810" t="s">
        <v>88</v>
      </c>
      <c r="AG810" t="s">
        <v>2058</v>
      </c>
    </row>
    <row r="811" spans="1:33" x14ac:dyDescent="0.35">
      <c r="A811" s="18">
        <v>44473.840277777781</v>
      </c>
      <c r="B811">
        <v>1983593</v>
      </c>
      <c r="C811" t="s">
        <v>2062</v>
      </c>
      <c r="D811" t="s">
        <v>158</v>
      </c>
      <c r="E811" s="19">
        <v>42139</v>
      </c>
      <c r="F811" t="str">
        <f>"9780123859396"</f>
        <v>9780123859396</v>
      </c>
      <c r="G811" t="str">
        <f>"9780123859389"</f>
        <v>9780123859389</v>
      </c>
      <c r="H811" t="s">
        <v>1905</v>
      </c>
      <c r="I811">
        <v>551.21</v>
      </c>
      <c r="J811" t="s">
        <v>2063</v>
      </c>
      <c r="K811" t="s">
        <v>73</v>
      </c>
      <c r="N811" t="s">
        <v>74</v>
      </c>
      <c r="O811" t="s">
        <v>75</v>
      </c>
      <c r="P811" t="s">
        <v>74</v>
      </c>
      <c r="Q811" t="s">
        <v>76</v>
      </c>
      <c r="R811" t="s">
        <v>73</v>
      </c>
      <c r="S811">
        <v>0</v>
      </c>
      <c r="W811" s="20">
        <v>1.0300925925925926E-3</v>
      </c>
      <c r="X811" t="s">
        <v>2064</v>
      </c>
      <c r="Y811">
        <v>16</v>
      </c>
      <c r="Z811">
        <v>6</v>
      </c>
      <c r="AA811" t="s">
        <v>2065</v>
      </c>
      <c r="AB811">
        <v>236</v>
      </c>
      <c r="AC811" t="s">
        <v>78</v>
      </c>
      <c r="AD811">
        <v>0</v>
      </c>
      <c r="AE811">
        <v>11030483</v>
      </c>
      <c r="AF811" t="s">
        <v>88</v>
      </c>
      <c r="AG811" t="s">
        <v>2058</v>
      </c>
    </row>
    <row r="812" spans="1:33" x14ac:dyDescent="0.35">
      <c r="A812" s="18">
        <v>44473.753472222219</v>
      </c>
      <c r="B812">
        <v>405937</v>
      </c>
      <c r="C812" t="s">
        <v>2066</v>
      </c>
      <c r="D812" t="s">
        <v>158</v>
      </c>
      <c r="E812" s="19">
        <v>39806</v>
      </c>
      <c r="F812" t="str">
        <f>"9780080559148"</f>
        <v>9780080559148</v>
      </c>
      <c r="G812" t="str">
        <f>"9780123739049"</f>
        <v>9780123739049</v>
      </c>
      <c r="H812" t="s">
        <v>222</v>
      </c>
      <c r="I812">
        <v>616.07539999999995</v>
      </c>
      <c r="J812" t="s">
        <v>2067</v>
      </c>
      <c r="K812" t="s">
        <v>73</v>
      </c>
      <c r="N812" t="s">
        <v>74</v>
      </c>
      <c r="O812" t="s">
        <v>75</v>
      </c>
      <c r="P812" t="s">
        <v>74</v>
      </c>
      <c r="Q812" t="s">
        <v>76</v>
      </c>
      <c r="R812" t="s">
        <v>73</v>
      </c>
      <c r="S812">
        <v>0</v>
      </c>
      <c r="W812" s="20">
        <v>2.3148148148148147E-5</v>
      </c>
      <c r="X812" t="s">
        <v>78</v>
      </c>
      <c r="Y812">
        <v>0</v>
      </c>
      <c r="Z812">
        <v>1</v>
      </c>
      <c r="AA812" t="s">
        <v>2068</v>
      </c>
      <c r="AB812">
        <v>70</v>
      </c>
      <c r="AC812" t="s">
        <v>78</v>
      </c>
      <c r="AD812">
        <v>0</v>
      </c>
      <c r="AE812">
        <v>10269295</v>
      </c>
      <c r="AF812" t="s">
        <v>79</v>
      </c>
      <c r="AG812" t="s">
        <v>1695</v>
      </c>
    </row>
    <row r="813" spans="1:33" x14ac:dyDescent="0.35">
      <c r="A813" s="18">
        <v>44473.75</v>
      </c>
      <c r="B813">
        <v>835145</v>
      </c>
      <c r="C813" t="s">
        <v>1542</v>
      </c>
      <c r="D813" t="s">
        <v>70</v>
      </c>
      <c r="E813" s="19">
        <v>40952</v>
      </c>
      <c r="F813" t="str">
        <f>"9781119977001"</f>
        <v>9781119977001</v>
      </c>
      <c r="G813" t="str">
        <f>"9781119992851"</f>
        <v>9781119992851</v>
      </c>
      <c r="H813" t="s">
        <v>71</v>
      </c>
      <c r="I813">
        <v>621.31244000000004</v>
      </c>
      <c r="J813" t="s">
        <v>1543</v>
      </c>
      <c r="K813" t="s">
        <v>73</v>
      </c>
      <c r="N813" t="s">
        <v>74</v>
      </c>
      <c r="O813" t="s">
        <v>75</v>
      </c>
      <c r="P813" t="s">
        <v>74</v>
      </c>
      <c r="Q813" t="s">
        <v>76</v>
      </c>
      <c r="R813" t="s">
        <v>73</v>
      </c>
      <c r="S813">
        <v>0</v>
      </c>
      <c r="W813" s="20">
        <v>1.4930555555555556E-3</v>
      </c>
      <c r="X813" t="s">
        <v>2069</v>
      </c>
      <c r="Y813">
        <v>16</v>
      </c>
      <c r="Z813">
        <v>0</v>
      </c>
      <c r="AA813" t="s">
        <v>78</v>
      </c>
      <c r="AB813">
        <v>0</v>
      </c>
      <c r="AC813" t="s">
        <v>78</v>
      </c>
      <c r="AD813">
        <v>0</v>
      </c>
      <c r="AE813">
        <v>10526535</v>
      </c>
      <c r="AF813" t="s">
        <v>79</v>
      </c>
      <c r="AG813" t="s">
        <v>1695</v>
      </c>
    </row>
    <row r="814" spans="1:33" x14ac:dyDescent="0.35">
      <c r="A814" s="18">
        <v>44473.696527777778</v>
      </c>
      <c r="B814">
        <v>4658436</v>
      </c>
      <c r="C814" t="s">
        <v>1404</v>
      </c>
      <c r="D814" t="s">
        <v>1405</v>
      </c>
      <c r="E814" s="19">
        <v>40669</v>
      </c>
      <c r="F814" t="str">
        <f>"9780071750325"</f>
        <v>9780071750325</v>
      </c>
      <c r="G814" t="str">
        <f>"9780071750318"</f>
        <v>9780071750318</v>
      </c>
      <c r="H814" t="s">
        <v>143</v>
      </c>
      <c r="I814">
        <v>658.5</v>
      </c>
      <c r="J814" t="s">
        <v>1406</v>
      </c>
      <c r="K814" t="s">
        <v>85</v>
      </c>
      <c r="P814" t="s">
        <v>297</v>
      </c>
      <c r="Q814" t="s">
        <v>76</v>
      </c>
      <c r="R814" t="s">
        <v>73</v>
      </c>
      <c r="S814">
        <v>1</v>
      </c>
      <c r="T814">
        <v>1</v>
      </c>
      <c r="U814" s="18">
        <v>44473.696527777778</v>
      </c>
      <c r="V814" s="18">
        <v>44474.696527777778</v>
      </c>
      <c r="W814" s="20">
        <v>4.1666666666666669E-4</v>
      </c>
      <c r="X814" t="s">
        <v>125</v>
      </c>
      <c r="Y814">
        <v>2</v>
      </c>
      <c r="Z814">
        <v>0</v>
      </c>
      <c r="AA814" t="s">
        <v>78</v>
      </c>
      <c r="AB814">
        <v>0</v>
      </c>
      <c r="AC814" t="s">
        <v>78</v>
      </c>
      <c r="AD814">
        <v>0</v>
      </c>
      <c r="AE814">
        <v>10457968</v>
      </c>
      <c r="AF814" t="s">
        <v>88</v>
      </c>
      <c r="AG814" t="s">
        <v>515</v>
      </c>
    </row>
    <row r="815" spans="1:33" x14ac:dyDescent="0.35">
      <c r="A815" s="18">
        <v>44473.69027777778</v>
      </c>
      <c r="B815">
        <v>4037275</v>
      </c>
      <c r="C815" t="s">
        <v>1999</v>
      </c>
      <c r="D815" t="s">
        <v>1711</v>
      </c>
      <c r="E815" s="19">
        <v>42233</v>
      </c>
      <c r="F815" t="str">
        <f>"9781118652671"</f>
        <v>9781118652671</v>
      </c>
      <c r="G815" t="str">
        <f>"9781118652732"</f>
        <v>9781118652732</v>
      </c>
      <c r="H815" t="s">
        <v>1561</v>
      </c>
      <c r="I815" t="s">
        <v>2000</v>
      </c>
      <c r="J815" t="s">
        <v>2001</v>
      </c>
      <c r="K815" t="s">
        <v>73</v>
      </c>
      <c r="N815" t="s">
        <v>74</v>
      </c>
      <c r="O815" t="s">
        <v>75</v>
      </c>
      <c r="P815" t="s">
        <v>74</v>
      </c>
      <c r="Q815" t="s">
        <v>76</v>
      </c>
      <c r="R815" t="s">
        <v>73</v>
      </c>
      <c r="S815">
        <v>0</v>
      </c>
      <c r="W815" s="20">
        <v>5.5555555555555556E-4</v>
      </c>
      <c r="X815" t="s">
        <v>2070</v>
      </c>
      <c r="Y815">
        <v>12</v>
      </c>
      <c r="Z815">
        <v>0</v>
      </c>
      <c r="AA815" t="s">
        <v>78</v>
      </c>
      <c r="AB815">
        <v>0</v>
      </c>
      <c r="AC815" t="s">
        <v>78</v>
      </c>
      <c r="AD815">
        <v>0</v>
      </c>
      <c r="AE815">
        <v>11111615</v>
      </c>
      <c r="AF815" t="s">
        <v>79</v>
      </c>
      <c r="AG815" t="s">
        <v>1695</v>
      </c>
    </row>
    <row r="816" spans="1:33" x14ac:dyDescent="0.35">
      <c r="A816" s="18">
        <v>44473.663194444445</v>
      </c>
      <c r="B816">
        <v>1204633</v>
      </c>
      <c r="C816" t="s">
        <v>1560</v>
      </c>
      <c r="D816" t="s">
        <v>70</v>
      </c>
      <c r="E816" s="19">
        <v>41512</v>
      </c>
      <c r="F816" t="str">
        <f>"9781118450444"</f>
        <v>9781118450444</v>
      </c>
      <c r="G816" t="str">
        <f>"9780470673768"</f>
        <v>9780470673768</v>
      </c>
      <c r="H816" t="s">
        <v>1561</v>
      </c>
      <c r="I816">
        <v>552.5</v>
      </c>
      <c r="J816" t="s">
        <v>1562</v>
      </c>
      <c r="K816" t="s">
        <v>73</v>
      </c>
      <c r="N816" t="s">
        <v>74</v>
      </c>
      <c r="O816" t="s">
        <v>75</v>
      </c>
      <c r="P816" t="s">
        <v>74</v>
      </c>
      <c r="Q816" t="s">
        <v>76</v>
      </c>
      <c r="R816" t="s">
        <v>73</v>
      </c>
      <c r="S816">
        <v>0</v>
      </c>
      <c r="W816" s="20">
        <v>1.5046296296296297E-4</v>
      </c>
      <c r="X816" t="s">
        <v>2071</v>
      </c>
      <c r="Y816">
        <v>2</v>
      </c>
      <c r="Z816">
        <v>0</v>
      </c>
      <c r="AA816" t="s">
        <v>78</v>
      </c>
      <c r="AB816">
        <v>0</v>
      </c>
      <c r="AC816" t="s">
        <v>78</v>
      </c>
      <c r="AD816">
        <v>0</v>
      </c>
      <c r="AE816">
        <v>10713576</v>
      </c>
      <c r="AF816" t="s">
        <v>79</v>
      </c>
      <c r="AG816" t="s">
        <v>1695</v>
      </c>
    </row>
    <row r="817" spans="1:33" x14ac:dyDescent="0.35">
      <c r="A817" s="18">
        <v>44473.490277777775</v>
      </c>
      <c r="B817">
        <v>2032462</v>
      </c>
      <c r="C817" t="s">
        <v>2072</v>
      </c>
      <c r="D817" t="s">
        <v>1823</v>
      </c>
      <c r="E817" s="19">
        <v>38450</v>
      </c>
      <c r="F817" t="str">
        <f>"9781469875422"</f>
        <v>9781469875422</v>
      </c>
      <c r="G817" t="str">
        <f>"9780781746434"</f>
        <v>9780781746434</v>
      </c>
      <c r="H817" t="s">
        <v>222</v>
      </c>
      <c r="I817" t="s">
        <v>2073</v>
      </c>
      <c r="J817" t="s">
        <v>2074</v>
      </c>
      <c r="K817" t="s">
        <v>73</v>
      </c>
      <c r="N817" t="s">
        <v>74</v>
      </c>
      <c r="O817" t="s">
        <v>75</v>
      </c>
      <c r="P817" t="s">
        <v>74</v>
      </c>
      <c r="Q817" t="s">
        <v>76</v>
      </c>
      <c r="R817" t="s">
        <v>73</v>
      </c>
      <c r="S817">
        <v>0</v>
      </c>
      <c r="W817" s="20">
        <v>6.215277777777777E-3</v>
      </c>
      <c r="X817" t="s">
        <v>2075</v>
      </c>
      <c r="Y817">
        <v>23</v>
      </c>
      <c r="Z817">
        <v>0</v>
      </c>
      <c r="AA817" t="s">
        <v>78</v>
      </c>
      <c r="AB817">
        <v>0</v>
      </c>
      <c r="AC817" t="s">
        <v>78</v>
      </c>
      <c r="AD817">
        <v>0</v>
      </c>
      <c r="AE817">
        <v>10825420</v>
      </c>
      <c r="AF817" t="s">
        <v>79</v>
      </c>
      <c r="AG817" t="s">
        <v>1695</v>
      </c>
    </row>
    <row r="818" spans="1:33" x14ac:dyDescent="0.35">
      <c r="A818" s="18">
        <v>44473.481944444444</v>
      </c>
      <c r="B818">
        <v>1832723</v>
      </c>
      <c r="C818" t="s">
        <v>2044</v>
      </c>
      <c r="D818" t="s">
        <v>70</v>
      </c>
      <c r="E818" s="19">
        <v>42031</v>
      </c>
      <c r="F818" t="str">
        <f>"9781118902110"</f>
        <v>9781118902110</v>
      </c>
      <c r="G818" t="str">
        <f>"9780470656709"</f>
        <v>9780470656709</v>
      </c>
      <c r="H818" t="s">
        <v>1905</v>
      </c>
      <c r="I818">
        <v>551.9</v>
      </c>
      <c r="J818" t="s">
        <v>2045</v>
      </c>
      <c r="K818" t="s">
        <v>73</v>
      </c>
      <c r="N818" t="s">
        <v>74</v>
      </c>
      <c r="O818" t="s">
        <v>75</v>
      </c>
      <c r="P818" t="s">
        <v>74</v>
      </c>
      <c r="Q818" t="s">
        <v>76</v>
      </c>
      <c r="R818" t="s">
        <v>73</v>
      </c>
      <c r="S818">
        <v>0</v>
      </c>
      <c r="W818" s="20">
        <v>1.3773148148148147E-3</v>
      </c>
      <c r="X818" t="s">
        <v>2076</v>
      </c>
      <c r="Y818">
        <v>13</v>
      </c>
      <c r="Z818">
        <v>0</v>
      </c>
      <c r="AA818" t="s">
        <v>78</v>
      </c>
      <c r="AB818">
        <v>0</v>
      </c>
      <c r="AC818" t="s">
        <v>78</v>
      </c>
      <c r="AD818">
        <v>0</v>
      </c>
      <c r="AE818">
        <v>10964407</v>
      </c>
      <c r="AF818" t="s">
        <v>79</v>
      </c>
      <c r="AG818" t="s">
        <v>1909</v>
      </c>
    </row>
    <row r="819" spans="1:33" x14ac:dyDescent="0.35">
      <c r="A819" s="18">
        <v>44473.446527777778</v>
      </c>
      <c r="B819">
        <v>1075436</v>
      </c>
      <c r="C819" t="s">
        <v>2077</v>
      </c>
      <c r="D819" t="s">
        <v>127</v>
      </c>
      <c r="E819" s="19">
        <v>41208</v>
      </c>
      <c r="F819" t="str">
        <f>"9781136213311"</f>
        <v>9781136213311</v>
      </c>
      <c r="G819" t="str">
        <f>"9780415490023"</f>
        <v>9780415490023</v>
      </c>
      <c r="H819" t="s">
        <v>557</v>
      </c>
      <c r="I819" t="s">
        <v>2078</v>
      </c>
      <c r="J819" t="s">
        <v>2079</v>
      </c>
      <c r="K819" t="s">
        <v>73</v>
      </c>
      <c r="N819" t="s">
        <v>74</v>
      </c>
      <c r="O819" t="s">
        <v>75</v>
      </c>
      <c r="P819" t="s">
        <v>74</v>
      </c>
      <c r="Q819" t="s">
        <v>76</v>
      </c>
      <c r="R819" t="s">
        <v>73</v>
      </c>
      <c r="S819">
        <v>0</v>
      </c>
      <c r="W819" s="20">
        <v>2.2800925925925927E-3</v>
      </c>
      <c r="X819" t="s">
        <v>2080</v>
      </c>
      <c r="Y819">
        <v>16</v>
      </c>
      <c r="Z819">
        <v>0</v>
      </c>
      <c r="AA819" t="s">
        <v>78</v>
      </c>
      <c r="AB819">
        <v>0</v>
      </c>
      <c r="AC819" t="s">
        <v>78</v>
      </c>
      <c r="AD819">
        <v>0</v>
      </c>
      <c r="AE819">
        <v>10631018</v>
      </c>
      <c r="AF819" t="s">
        <v>79</v>
      </c>
      <c r="AG819" t="s">
        <v>1695</v>
      </c>
    </row>
    <row r="820" spans="1:33" x14ac:dyDescent="0.35">
      <c r="A820" s="18">
        <v>44473.42291666667</v>
      </c>
      <c r="B820">
        <v>771406</v>
      </c>
      <c r="C820" t="s">
        <v>2081</v>
      </c>
      <c r="D820" t="s">
        <v>2082</v>
      </c>
      <c r="E820" s="19">
        <v>40299</v>
      </c>
      <c r="F820" t="str">
        <f>"9780335238866"</f>
        <v>9780335238866</v>
      </c>
      <c r="G820" t="str">
        <f>"9780335238859"</f>
        <v>9780335238859</v>
      </c>
      <c r="H820" t="s">
        <v>621</v>
      </c>
      <c r="I820">
        <v>362.10720409999999</v>
      </c>
      <c r="J820" t="s">
        <v>2083</v>
      </c>
      <c r="K820" t="s">
        <v>73</v>
      </c>
      <c r="N820" t="s">
        <v>74</v>
      </c>
      <c r="O820" t="s">
        <v>75</v>
      </c>
      <c r="P820" t="s">
        <v>74</v>
      </c>
      <c r="Q820" t="s">
        <v>76</v>
      </c>
      <c r="R820" t="s">
        <v>73</v>
      </c>
      <c r="S820">
        <v>0</v>
      </c>
      <c r="W820" s="20">
        <v>3.2407407407407406E-4</v>
      </c>
      <c r="X820" t="s">
        <v>2084</v>
      </c>
      <c r="Y820">
        <v>3</v>
      </c>
      <c r="Z820">
        <v>0</v>
      </c>
      <c r="AA820" t="s">
        <v>78</v>
      </c>
      <c r="AB820">
        <v>0</v>
      </c>
      <c r="AC820" t="s">
        <v>78</v>
      </c>
      <c r="AD820">
        <v>0</v>
      </c>
      <c r="AE820">
        <v>10413319</v>
      </c>
      <c r="AF820" t="s">
        <v>79</v>
      </c>
      <c r="AG820" t="s">
        <v>1695</v>
      </c>
    </row>
    <row r="821" spans="1:33" x14ac:dyDescent="0.35">
      <c r="A821" s="18">
        <v>44473.400694444441</v>
      </c>
      <c r="B821">
        <v>1075436</v>
      </c>
      <c r="C821" t="s">
        <v>2077</v>
      </c>
      <c r="D821" t="s">
        <v>127</v>
      </c>
      <c r="E821" s="19">
        <v>41208</v>
      </c>
      <c r="F821" t="str">
        <f>"9781136213311"</f>
        <v>9781136213311</v>
      </c>
      <c r="G821" t="str">
        <f>"9780415490023"</f>
        <v>9780415490023</v>
      </c>
      <c r="H821" t="s">
        <v>557</v>
      </c>
      <c r="I821" t="s">
        <v>2078</v>
      </c>
      <c r="J821" t="s">
        <v>2079</v>
      </c>
      <c r="K821" t="s">
        <v>73</v>
      </c>
      <c r="N821" t="s">
        <v>74</v>
      </c>
      <c r="O821" t="s">
        <v>75</v>
      </c>
      <c r="P821" t="s">
        <v>74</v>
      </c>
      <c r="Q821" t="s">
        <v>76</v>
      </c>
      <c r="R821" t="s">
        <v>73</v>
      </c>
      <c r="S821">
        <v>0</v>
      </c>
      <c r="W821" s="20">
        <v>1.8518518518518518E-4</v>
      </c>
      <c r="X821" t="s">
        <v>615</v>
      </c>
      <c r="Y821">
        <v>4</v>
      </c>
      <c r="Z821">
        <v>0</v>
      </c>
      <c r="AA821" t="s">
        <v>78</v>
      </c>
      <c r="AB821">
        <v>0</v>
      </c>
      <c r="AC821" t="s">
        <v>78</v>
      </c>
      <c r="AD821">
        <v>0</v>
      </c>
      <c r="AE821">
        <v>10631018</v>
      </c>
      <c r="AF821" t="s">
        <v>79</v>
      </c>
      <c r="AG821" t="s">
        <v>1695</v>
      </c>
    </row>
    <row r="822" spans="1:33" x14ac:dyDescent="0.35">
      <c r="A822" s="18">
        <v>44472.965277777781</v>
      </c>
      <c r="B822">
        <v>3433777</v>
      </c>
      <c r="C822" t="s">
        <v>2085</v>
      </c>
      <c r="D822" t="s">
        <v>300</v>
      </c>
      <c r="E822" s="19">
        <v>42132</v>
      </c>
      <c r="F822" t="str">
        <f>"9780262328302"</f>
        <v>9780262328302</v>
      </c>
      <c r="G822" t="str">
        <f>"9780262029094"</f>
        <v>9780262029094</v>
      </c>
      <c r="H822" t="s">
        <v>285</v>
      </c>
      <c r="I822" t="s">
        <v>2086</v>
      </c>
      <c r="J822" t="s">
        <v>2087</v>
      </c>
      <c r="K822" t="s">
        <v>73</v>
      </c>
      <c r="N822" t="s">
        <v>74</v>
      </c>
      <c r="O822" t="s">
        <v>75</v>
      </c>
      <c r="P822" t="s">
        <v>74</v>
      </c>
      <c r="Q822" t="s">
        <v>76</v>
      </c>
      <c r="R822" t="s">
        <v>73</v>
      </c>
      <c r="S822">
        <v>0</v>
      </c>
      <c r="W822" s="20">
        <v>3.4722222222222222E-5</v>
      </c>
      <c r="X822" t="s">
        <v>132</v>
      </c>
      <c r="Y822">
        <v>1</v>
      </c>
      <c r="Z822">
        <v>0</v>
      </c>
      <c r="AA822" t="s">
        <v>78</v>
      </c>
      <c r="AB822">
        <v>0</v>
      </c>
      <c r="AC822" t="s">
        <v>78</v>
      </c>
      <c r="AD822">
        <v>0</v>
      </c>
      <c r="AE822">
        <v>11055209</v>
      </c>
      <c r="AF822" t="s">
        <v>79</v>
      </c>
      <c r="AG822" t="s">
        <v>1695</v>
      </c>
    </row>
    <row r="823" spans="1:33" x14ac:dyDescent="0.35">
      <c r="A823" s="18">
        <v>44472.965277777781</v>
      </c>
      <c r="B823">
        <v>3155791</v>
      </c>
      <c r="C823" t="s">
        <v>2088</v>
      </c>
      <c r="D823" t="s">
        <v>2089</v>
      </c>
      <c r="E823" s="19">
        <v>37226</v>
      </c>
      <c r="F823" t="str">
        <f>""</f>
        <v/>
      </c>
      <c r="G823" t="str">
        <f>""</f>
        <v/>
      </c>
      <c r="H823" t="s">
        <v>285</v>
      </c>
      <c r="J823" t="s">
        <v>2090</v>
      </c>
      <c r="K823" t="s">
        <v>73</v>
      </c>
      <c r="N823" t="s">
        <v>74</v>
      </c>
      <c r="O823" t="s">
        <v>75</v>
      </c>
      <c r="P823" t="s">
        <v>74</v>
      </c>
      <c r="Q823" t="s">
        <v>76</v>
      </c>
      <c r="R823" t="s">
        <v>73</v>
      </c>
      <c r="S823">
        <v>0</v>
      </c>
      <c r="W823" s="20">
        <v>3.4722222222222222E-5</v>
      </c>
      <c r="X823" t="s">
        <v>132</v>
      </c>
      <c r="Y823">
        <v>1</v>
      </c>
      <c r="Z823">
        <v>0</v>
      </c>
      <c r="AA823" t="s">
        <v>78</v>
      </c>
      <c r="AB823">
        <v>0</v>
      </c>
      <c r="AC823" t="s">
        <v>78</v>
      </c>
      <c r="AD823">
        <v>0</v>
      </c>
      <c r="AE823">
        <v>10046500</v>
      </c>
      <c r="AF823" t="s">
        <v>79</v>
      </c>
      <c r="AG823" t="s">
        <v>1695</v>
      </c>
    </row>
    <row r="824" spans="1:33" x14ac:dyDescent="0.35">
      <c r="A824" s="18">
        <v>44472.959027777775</v>
      </c>
      <c r="B824">
        <v>5042308</v>
      </c>
      <c r="C824" t="s">
        <v>2091</v>
      </c>
      <c r="D824" t="s">
        <v>127</v>
      </c>
      <c r="E824" s="19">
        <v>40491</v>
      </c>
      <c r="F824" t="str">
        <f>"9781136868573"</f>
        <v>9781136868573</v>
      </c>
      <c r="G824" t="str">
        <f>"9780415596473"</f>
        <v>9780415596473</v>
      </c>
      <c r="H824" t="s">
        <v>210</v>
      </c>
      <c r="I824">
        <v>302.23450000000003</v>
      </c>
      <c r="J824" t="s">
        <v>2092</v>
      </c>
      <c r="K824" t="s">
        <v>73</v>
      </c>
      <c r="N824" t="s">
        <v>74</v>
      </c>
      <c r="O824" t="s">
        <v>75</v>
      </c>
      <c r="P824" t="s">
        <v>74</v>
      </c>
      <c r="Q824" t="s">
        <v>76</v>
      </c>
      <c r="R824" t="s">
        <v>73</v>
      </c>
      <c r="S824">
        <v>2</v>
      </c>
      <c r="W824" s="20">
        <v>0</v>
      </c>
      <c r="X824" t="s">
        <v>78</v>
      </c>
      <c r="Y824">
        <v>0</v>
      </c>
      <c r="Z824">
        <v>0</v>
      </c>
      <c r="AA824" t="s">
        <v>78</v>
      </c>
      <c r="AB824">
        <v>0</v>
      </c>
      <c r="AC824" t="s">
        <v>78</v>
      </c>
      <c r="AD824">
        <v>0</v>
      </c>
      <c r="AE824">
        <v>11437882</v>
      </c>
      <c r="AF824" t="s">
        <v>88</v>
      </c>
      <c r="AG824" t="s">
        <v>2093</v>
      </c>
    </row>
    <row r="825" spans="1:33" x14ac:dyDescent="0.35">
      <c r="A825" s="18">
        <v>44472.952777777777</v>
      </c>
      <c r="B825">
        <v>771406</v>
      </c>
      <c r="C825" t="s">
        <v>2081</v>
      </c>
      <c r="D825" t="s">
        <v>2082</v>
      </c>
      <c r="E825" s="19">
        <v>40299</v>
      </c>
      <c r="F825" t="str">
        <f>"9780335238866"</f>
        <v>9780335238866</v>
      </c>
      <c r="G825" t="str">
        <f>"9780335238859"</f>
        <v>9780335238859</v>
      </c>
      <c r="H825" t="s">
        <v>621</v>
      </c>
      <c r="I825">
        <v>362.10720409999999</v>
      </c>
      <c r="J825" t="s">
        <v>2083</v>
      </c>
      <c r="K825" t="s">
        <v>73</v>
      </c>
      <c r="N825" t="s">
        <v>74</v>
      </c>
      <c r="O825" t="s">
        <v>75</v>
      </c>
      <c r="P825" t="s">
        <v>74</v>
      </c>
      <c r="Q825" t="s">
        <v>76</v>
      </c>
      <c r="R825" t="s">
        <v>73</v>
      </c>
      <c r="S825">
        <v>0</v>
      </c>
      <c r="W825" s="20">
        <v>2.8703703703703708E-3</v>
      </c>
      <c r="X825" t="s">
        <v>2094</v>
      </c>
      <c r="Y825">
        <v>23</v>
      </c>
      <c r="Z825">
        <v>0</v>
      </c>
      <c r="AA825" t="s">
        <v>78</v>
      </c>
      <c r="AB825">
        <v>0</v>
      </c>
      <c r="AC825" t="s">
        <v>78</v>
      </c>
      <c r="AD825">
        <v>0</v>
      </c>
      <c r="AE825">
        <v>10413319</v>
      </c>
      <c r="AF825" t="s">
        <v>79</v>
      </c>
      <c r="AG825" t="s">
        <v>1695</v>
      </c>
    </row>
    <row r="826" spans="1:33" x14ac:dyDescent="0.35">
      <c r="A826" s="18">
        <v>44472.786805555559</v>
      </c>
      <c r="B826">
        <v>4037275</v>
      </c>
      <c r="C826" t="s">
        <v>1999</v>
      </c>
      <c r="D826" t="s">
        <v>1711</v>
      </c>
      <c r="E826" s="19">
        <v>42233</v>
      </c>
      <c r="F826" t="str">
        <f>"9781118652671"</f>
        <v>9781118652671</v>
      </c>
      <c r="G826" t="str">
        <f>"9781118652732"</f>
        <v>9781118652732</v>
      </c>
      <c r="H826" t="s">
        <v>1561</v>
      </c>
      <c r="I826" t="s">
        <v>2000</v>
      </c>
      <c r="J826" t="s">
        <v>2001</v>
      </c>
      <c r="K826" t="s">
        <v>73</v>
      </c>
      <c r="N826" t="s">
        <v>74</v>
      </c>
      <c r="O826" t="s">
        <v>75</v>
      </c>
      <c r="P826" t="s">
        <v>74</v>
      </c>
      <c r="Q826" t="s">
        <v>76</v>
      </c>
      <c r="R826" t="s">
        <v>73</v>
      </c>
      <c r="S826">
        <v>0</v>
      </c>
      <c r="W826" s="20">
        <v>2.627314814814815E-3</v>
      </c>
      <c r="X826" t="s">
        <v>2095</v>
      </c>
      <c r="Y826">
        <v>17</v>
      </c>
      <c r="Z826">
        <v>0</v>
      </c>
      <c r="AA826" t="s">
        <v>78</v>
      </c>
      <c r="AB826">
        <v>0</v>
      </c>
      <c r="AC826" t="s">
        <v>78</v>
      </c>
      <c r="AD826">
        <v>0</v>
      </c>
      <c r="AE826">
        <v>11111615</v>
      </c>
      <c r="AF826" t="s">
        <v>79</v>
      </c>
      <c r="AG826" t="s">
        <v>1695</v>
      </c>
    </row>
    <row r="827" spans="1:33" x14ac:dyDescent="0.35">
      <c r="A827" s="18">
        <v>44472.725694444445</v>
      </c>
      <c r="B827">
        <v>6113753</v>
      </c>
      <c r="C827" t="s">
        <v>2096</v>
      </c>
      <c r="D827" t="s">
        <v>369</v>
      </c>
      <c r="E827" s="19">
        <v>43773</v>
      </c>
      <c r="F827" t="str">
        <f>"9783030317607"</f>
        <v>9783030317607</v>
      </c>
      <c r="G827" t="str">
        <f>"9783030317591"</f>
        <v>9783030317591</v>
      </c>
      <c r="H827" t="s">
        <v>201</v>
      </c>
      <c r="I827">
        <v>6.31</v>
      </c>
      <c r="J827" t="s">
        <v>202</v>
      </c>
      <c r="K827" t="s">
        <v>85</v>
      </c>
      <c r="Q827" t="s">
        <v>76</v>
      </c>
      <c r="R827" t="s">
        <v>73</v>
      </c>
      <c r="S827">
        <v>0</v>
      </c>
      <c r="W827" s="20">
        <v>3.6689814814814814E-3</v>
      </c>
      <c r="X827" t="s">
        <v>2097</v>
      </c>
      <c r="Y827">
        <v>35</v>
      </c>
      <c r="Z827">
        <v>0</v>
      </c>
      <c r="AA827" t="s">
        <v>78</v>
      </c>
      <c r="AB827">
        <v>0</v>
      </c>
      <c r="AC827" t="s">
        <v>78</v>
      </c>
      <c r="AD827">
        <v>0</v>
      </c>
      <c r="AE827">
        <v>-1</v>
      </c>
      <c r="AF827" t="s">
        <v>79</v>
      </c>
      <c r="AG827" t="s">
        <v>1695</v>
      </c>
    </row>
    <row r="828" spans="1:33" x14ac:dyDescent="0.35">
      <c r="A828" s="18">
        <v>44472.695138888892</v>
      </c>
      <c r="B828">
        <v>4037275</v>
      </c>
      <c r="C828" t="s">
        <v>1999</v>
      </c>
      <c r="D828" t="s">
        <v>1711</v>
      </c>
      <c r="E828" s="19">
        <v>42233</v>
      </c>
      <c r="F828" t="str">
        <f>"9781118652671"</f>
        <v>9781118652671</v>
      </c>
      <c r="G828" t="str">
        <f>"9781118652732"</f>
        <v>9781118652732</v>
      </c>
      <c r="H828" t="s">
        <v>1561</v>
      </c>
      <c r="I828" t="s">
        <v>2000</v>
      </c>
      <c r="J828" t="s">
        <v>2001</v>
      </c>
      <c r="K828" t="s">
        <v>73</v>
      </c>
      <c r="N828" t="s">
        <v>74</v>
      </c>
      <c r="O828" t="s">
        <v>75</v>
      </c>
      <c r="P828" t="s">
        <v>74</v>
      </c>
      <c r="Q828" t="s">
        <v>76</v>
      </c>
      <c r="R828" t="s">
        <v>73</v>
      </c>
      <c r="S828">
        <v>0</v>
      </c>
      <c r="W828" s="20">
        <v>1.0416666666666667E-4</v>
      </c>
      <c r="X828" t="s">
        <v>249</v>
      </c>
      <c r="Y828">
        <v>2</v>
      </c>
      <c r="Z828">
        <v>0</v>
      </c>
      <c r="AA828" t="s">
        <v>78</v>
      </c>
      <c r="AB828">
        <v>0</v>
      </c>
      <c r="AC828" t="s">
        <v>78</v>
      </c>
      <c r="AD828">
        <v>0</v>
      </c>
      <c r="AE828">
        <v>11111615</v>
      </c>
      <c r="AF828" t="s">
        <v>79</v>
      </c>
      <c r="AG828" t="s">
        <v>1695</v>
      </c>
    </row>
    <row r="829" spans="1:33" x14ac:dyDescent="0.35">
      <c r="A829" s="18">
        <v>44472.635416666664</v>
      </c>
      <c r="B829">
        <v>4037275</v>
      </c>
      <c r="C829" t="s">
        <v>1999</v>
      </c>
      <c r="D829" t="s">
        <v>1711</v>
      </c>
      <c r="E829" s="19">
        <v>42233</v>
      </c>
      <c r="F829" t="str">
        <f>"9781118652671"</f>
        <v>9781118652671</v>
      </c>
      <c r="G829" t="str">
        <f>"9781118652732"</f>
        <v>9781118652732</v>
      </c>
      <c r="H829" t="s">
        <v>1561</v>
      </c>
      <c r="I829" t="s">
        <v>2000</v>
      </c>
      <c r="J829" t="s">
        <v>2001</v>
      </c>
      <c r="K829" t="s">
        <v>73</v>
      </c>
      <c r="N829" t="s">
        <v>74</v>
      </c>
      <c r="O829" t="s">
        <v>75</v>
      </c>
      <c r="P829" t="s">
        <v>74</v>
      </c>
      <c r="Q829" t="s">
        <v>76</v>
      </c>
      <c r="R829" t="s">
        <v>73</v>
      </c>
      <c r="S829">
        <v>0</v>
      </c>
      <c r="W829" s="20">
        <v>2.2418981481481481E-2</v>
      </c>
      <c r="X829" t="s">
        <v>2098</v>
      </c>
      <c r="Y829">
        <v>83</v>
      </c>
      <c r="Z829">
        <v>0</v>
      </c>
      <c r="AA829" t="s">
        <v>78</v>
      </c>
      <c r="AB829">
        <v>0</v>
      </c>
      <c r="AC829" t="s">
        <v>78</v>
      </c>
      <c r="AD829">
        <v>0</v>
      </c>
      <c r="AE829">
        <v>11111615</v>
      </c>
      <c r="AF829" t="s">
        <v>79</v>
      </c>
      <c r="AG829" t="s">
        <v>1695</v>
      </c>
    </row>
    <row r="830" spans="1:33" x14ac:dyDescent="0.35">
      <c r="A830" s="18">
        <v>44472.612500000003</v>
      </c>
      <c r="B830">
        <v>2087302</v>
      </c>
      <c r="C830" t="s">
        <v>2099</v>
      </c>
      <c r="D830" t="s">
        <v>2100</v>
      </c>
      <c r="E830" s="19">
        <v>43390</v>
      </c>
      <c r="F830" t="str">
        <f>"9782335008593"</f>
        <v>9782335008593</v>
      </c>
      <c r="G830" t="str">
        <f>""</f>
        <v/>
      </c>
      <c r="H830" t="s">
        <v>2101</v>
      </c>
      <c r="I830">
        <v>822.33</v>
      </c>
      <c r="J830" t="s">
        <v>2102</v>
      </c>
      <c r="K830" t="s">
        <v>73</v>
      </c>
      <c r="N830" t="s">
        <v>74</v>
      </c>
      <c r="O830" t="s">
        <v>75</v>
      </c>
      <c r="P830" t="s">
        <v>74</v>
      </c>
      <c r="Q830" t="s">
        <v>76</v>
      </c>
      <c r="R830" t="s">
        <v>73</v>
      </c>
      <c r="S830">
        <v>0</v>
      </c>
      <c r="W830" s="20">
        <v>1.7708333333333332E-3</v>
      </c>
      <c r="X830" t="s">
        <v>2103</v>
      </c>
      <c r="Y830">
        <v>9</v>
      </c>
      <c r="Z830">
        <v>0</v>
      </c>
      <c r="AA830" t="s">
        <v>78</v>
      </c>
      <c r="AB830">
        <v>0</v>
      </c>
      <c r="AC830" t="s">
        <v>78</v>
      </c>
      <c r="AD830">
        <v>0</v>
      </c>
      <c r="AE830">
        <v>-1</v>
      </c>
      <c r="AF830" t="s">
        <v>79</v>
      </c>
      <c r="AG830" t="s">
        <v>1695</v>
      </c>
    </row>
    <row r="831" spans="1:33" x14ac:dyDescent="0.35">
      <c r="A831" s="18">
        <v>44472.384722222225</v>
      </c>
      <c r="B831">
        <v>4585271</v>
      </c>
      <c r="C831" t="s">
        <v>377</v>
      </c>
      <c r="D831" t="s">
        <v>70</v>
      </c>
      <c r="E831" s="19">
        <v>42583</v>
      </c>
      <c r="F831" t="str">
        <f>"9781119179597"</f>
        <v>9781119179597</v>
      </c>
      <c r="G831" t="str">
        <f>"9781119179573"</f>
        <v>9781119179573</v>
      </c>
      <c r="H831" t="s">
        <v>378</v>
      </c>
      <c r="I831">
        <v>658.4</v>
      </c>
      <c r="J831" t="s">
        <v>379</v>
      </c>
      <c r="K831" t="s">
        <v>73</v>
      </c>
      <c r="N831" t="s">
        <v>74</v>
      </c>
      <c r="O831" t="s">
        <v>75</v>
      </c>
      <c r="P831" t="s">
        <v>74</v>
      </c>
      <c r="Q831" t="s">
        <v>76</v>
      </c>
      <c r="R831" t="s">
        <v>73</v>
      </c>
      <c r="S831">
        <v>0</v>
      </c>
      <c r="W831" s="20">
        <v>5.4398148148148144E-4</v>
      </c>
      <c r="X831" t="s">
        <v>2104</v>
      </c>
      <c r="Y831">
        <v>6</v>
      </c>
      <c r="Z831">
        <v>0</v>
      </c>
      <c r="AA831" t="s">
        <v>78</v>
      </c>
      <c r="AB831">
        <v>0</v>
      </c>
      <c r="AC831" t="s">
        <v>78</v>
      </c>
      <c r="AD831">
        <v>0</v>
      </c>
      <c r="AE831">
        <v>11234254</v>
      </c>
      <c r="AF831" t="s">
        <v>79</v>
      </c>
      <c r="AG831" t="s">
        <v>2105</v>
      </c>
    </row>
    <row r="832" spans="1:33" x14ac:dyDescent="0.35">
      <c r="A832" s="18">
        <v>44472.384027777778</v>
      </c>
      <c r="B832">
        <v>4585271</v>
      </c>
      <c r="C832" t="s">
        <v>377</v>
      </c>
      <c r="D832" t="s">
        <v>70</v>
      </c>
      <c r="E832" s="19">
        <v>42583</v>
      </c>
      <c r="F832" t="str">
        <f>"9781119179597"</f>
        <v>9781119179597</v>
      </c>
      <c r="G832" t="str">
        <f>"9781119179573"</f>
        <v>9781119179573</v>
      </c>
      <c r="H832" t="s">
        <v>378</v>
      </c>
      <c r="I832">
        <v>658.4</v>
      </c>
      <c r="J832" t="s">
        <v>379</v>
      </c>
      <c r="K832" t="s">
        <v>73</v>
      </c>
      <c r="N832" t="s">
        <v>74</v>
      </c>
      <c r="O832" t="s">
        <v>75</v>
      </c>
      <c r="P832" t="s">
        <v>74</v>
      </c>
      <c r="Q832" t="s">
        <v>76</v>
      </c>
      <c r="R832" t="s">
        <v>73</v>
      </c>
      <c r="S832">
        <v>0</v>
      </c>
      <c r="W832" s="20">
        <v>0</v>
      </c>
      <c r="X832" t="s">
        <v>78</v>
      </c>
      <c r="Y832">
        <v>0</v>
      </c>
      <c r="Z832">
        <v>0</v>
      </c>
      <c r="AA832" t="s">
        <v>78</v>
      </c>
      <c r="AB832">
        <v>0</v>
      </c>
      <c r="AC832" t="s">
        <v>78</v>
      </c>
      <c r="AD832">
        <v>0</v>
      </c>
      <c r="AE832">
        <v>11234254</v>
      </c>
      <c r="AF832" t="s">
        <v>79</v>
      </c>
      <c r="AG832" t="s">
        <v>2106</v>
      </c>
    </row>
    <row r="833" spans="1:33" x14ac:dyDescent="0.35">
      <c r="A833" s="18">
        <v>44472.344444444447</v>
      </c>
      <c r="B833">
        <v>4585271</v>
      </c>
      <c r="C833" t="s">
        <v>377</v>
      </c>
      <c r="D833" t="s">
        <v>70</v>
      </c>
      <c r="E833" s="19">
        <v>42583</v>
      </c>
      <c r="F833" t="str">
        <f>"9781119179597"</f>
        <v>9781119179597</v>
      </c>
      <c r="G833" t="str">
        <f>"9781119179573"</f>
        <v>9781119179573</v>
      </c>
      <c r="H833" t="s">
        <v>378</v>
      </c>
      <c r="I833">
        <v>658.4</v>
      </c>
      <c r="J833" t="s">
        <v>379</v>
      </c>
      <c r="K833" t="s">
        <v>73</v>
      </c>
      <c r="N833" t="s">
        <v>74</v>
      </c>
      <c r="O833" t="s">
        <v>75</v>
      </c>
      <c r="P833" t="s">
        <v>74</v>
      </c>
      <c r="Q833" t="s">
        <v>76</v>
      </c>
      <c r="R833" t="s">
        <v>73</v>
      </c>
      <c r="S833">
        <v>0</v>
      </c>
      <c r="W833" s="20">
        <v>3.7037037037037035E-4</v>
      </c>
      <c r="X833" t="s">
        <v>547</v>
      </c>
      <c r="Y833">
        <v>7</v>
      </c>
      <c r="Z833">
        <v>0</v>
      </c>
      <c r="AA833" t="s">
        <v>78</v>
      </c>
      <c r="AB833">
        <v>0</v>
      </c>
      <c r="AC833" t="s">
        <v>78</v>
      </c>
      <c r="AD833">
        <v>0</v>
      </c>
      <c r="AE833">
        <v>11234254</v>
      </c>
      <c r="AF833" t="s">
        <v>79</v>
      </c>
      <c r="AG833" t="s">
        <v>2105</v>
      </c>
    </row>
    <row r="834" spans="1:33" x14ac:dyDescent="0.35">
      <c r="A834" s="18">
        <v>44471.970138888886</v>
      </c>
      <c r="B834">
        <v>1895864</v>
      </c>
      <c r="C834" t="s">
        <v>2107</v>
      </c>
      <c r="D834" t="s">
        <v>70</v>
      </c>
      <c r="E834" s="19">
        <v>42004</v>
      </c>
      <c r="F834" t="str">
        <f>"9781118984963"</f>
        <v>9781118984963</v>
      </c>
      <c r="G834" t="str">
        <f>"9781118851210"</f>
        <v>9781118851210</v>
      </c>
      <c r="H834" t="s">
        <v>1597</v>
      </c>
      <c r="I834" t="s">
        <v>2108</v>
      </c>
      <c r="J834" t="s">
        <v>2109</v>
      </c>
      <c r="K834" t="s">
        <v>73</v>
      </c>
      <c r="N834" t="s">
        <v>74</v>
      </c>
      <c r="O834" t="s">
        <v>75</v>
      </c>
      <c r="P834" t="s">
        <v>74</v>
      </c>
      <c r="Q834" t="s">
        <v>76</v>
      </c>
      <c r="R834" t="s">
        <v>73</v>
      </c>
      <c r="S834">
        <v>0</v>
      </c>
      <c r="W834" s="20">
        <v>3.4375E-3</v>
      </c>
      <c r="X834" t="s">
        <v>2110</v>
      </c>
      <c r="Y834">
        <v>10</v>
      </c>
      <c r="Z834">
        <v>0</v>
      </c>
      <c r="AA834" t="s">
        <v>78</v>
      </c>
      <c r="AB834">
        <v>0</v>
      </c>
      <c r="AC834" t="s">
        <v>78</v>
      </c>
      <c r="AD834">
        <v>0</v>
      </c>
      <c r="AE834">
        <v>11017940</v>
      </c>
      <c r="AF834" t="s">
        <v>79</v>
      </c>
      <c r="AG834" t="s">
        <v>293</v>
      </c>
    </row>
    <row r="835" spans="1:33" x14ac:dyDescent="0.35">
      <c r="A835" s="18">
        <v>44471.970138888886</v>
      </c>
      <c r="B835">
        <v>5660308</v>
      </c>
      <c r="C835" t="s">
        <v>2111</v>
      </c>
      <c r="D835" t="s">
        <v>2112</v>
      </c>
      <c r="E835" s="19">
        <v>43497</v>
      </c>
      <c r="F835" t="str">
        <f>"9781484239162"</f>
        <v>9781484239162</v>
      </c>
      <c r="G835" t="str">
        <f>"9781484239155"</f>
        <v>9781484239155</v>
      </c>
      <c r="H835" t="s">
        <v>110</v>
      </c>
      <c r="I835">
        <v>6.31</v>
      </c>
      <c r="J835" t="s">
        <v>2113</v>
      </c>
      <c r="K835" t="s">
        <v>85</v>
      </c>
      <c r="N835" t="s">
        <v>86</v>
      </c>
      <c r="P835" t="s">
        <v>87</v>
      </c>
      <c r="Q835" t="s">
        <v>76</v>
      </c>
      <c r="R835" t="s">
        <v>73</v>
      </c>
      <c r="S835">
        <v>0</v>
      </c>
      <c r="W835" s="20">
        <v>2.7662037037037034E-3</v>
      </c>
      <c r="X835" t="s">
        <v>2114</v>
      </c>
      <c r="Y835">
        <v>46</v>
      </c>
      <c r="Z835">
        <v>0</v>
      </c>
      <c r="AA835" t="s">
        <v>78</v>
      </c>
      <c r="AB835">
        <v>0</v>
      </c>
      <c r="AC835" t="s">
        <v>78</v>
      </c>
      <c r="AD835">
        <v>0</v>
      </c>
      <c r="AE835">
        <v>-1</v>
      </c>
      <c r="AF835" t="s">
        <v>79</v>
      </c>
      <c r="AG835" t="s">
        <v>293</v>
      </c>
    </row>
    <row r="836" spans="1:33" x14ac:dyDescent="0.35">
      <c r="A836" s="18">
        <v>44471.918055555558</v>
      </c>
      <c r="B836">
        <v>835145</v>
      </c>
      <c r="C836" t="s">
        <v>1542</v>
      </c>
      <c r="D836" t="s">
        <v>70</v>
      </c>
      <c r="E836" s="19">
        <v>40952</v>
      </c>
      <c r="F836" t="str">
        <f>"9781119977001"</f>
        <v>9781119977001</v>
      </c>
      <c r="G836" t="str">
        <f>"9781119992851"</f>
        <v>9781119992851</v>
      </c>
      <c r="H836" t="s">
        <v>71</v>
      </c>
      <c r="I836">
        <v>621.31244000000004</v>
      </c>
      <c r="J836" t="s">
        <v>1543</v>
      </c>
      <c r="K836" t="s">
        <v>73</v>
      </c>
      <c r="N836" t="s">
        <v>74</v>
      </c>
      <c r="O836" t="s">
        <v>75</v>
      </c>
      <c r="P836" t="s">
        <v>74</v>
      </c>
      <c r="Q836" t="s">
        <v>76</v>
      </c>
      <c r="R836" t="s">
        <v>73</v>
      </c>
      <c r="S836">
        <v>0</v>
      </c>
      <c r="W836" s="20">
        <v>3.8078703703703707E-3</v>
      </c>
      <c r="X836" t="s">
        <v>2115</v>
      </c>
      <c r="Y836">
        <v>21</v>
      </c>
      <c r="Z836">
        <v>0</v>
      </c>
      <c r="AA836" t="s">
        <v>78</v>
      </c>
      <c r="AB836">
        <v>0</v>
      </c>
      <c r="AC836" t="s">
        <v>78</v>
      </c>
      <c r="AD836">
        <v>0</v>
      </c>
      <c r="AE836">
        <v>10526535</v>
      </c>
      <c r="AF836" t="s">
        <v>79</v>
      </c>
      <c r="AG836" t="s">
        <v>1963</v>
      </c>
    </row>
    <row r="837" spans="1:33" x14ac:dyDescent="0.35">
      <c r="A837" s="18">
        <v>44471.918055555558</v>
      </c>
      <c r="B837">
        <v>835145</v>
      </c>
      <c r="C837" t="s">
        <v>1542</v>
      </c>
      <c r="D837" t="s">
        <v>70</v>
      </c>
      <c r="E837" s="19">
        <v>40952</v>
      </c>
      <c r="F837" t="str">
        <f>"9781119977001"</f>
        <v>9781119977001</v>
      </c>
      <c r="G837" t="str">
        <f>"9781119992851"</f>
        <v>9781119992851</v>
      </c>
      <c r="H837" t="s">
        <v>71</v>
      </c>
      <c r="I837">
        <v>621.31244000000004</v>
      </c>
      <c r="J837" t="s">
        <v>1543</v>
      </c>
      <c r="K837" t="s">
        <v>73</v>
      </c>
      <c r="N837" t="s">
        <v>74</v>
      </c>
      <c r="O837" t="s">
        <v>75</v>
      </c>
      <c r="P837" t="s">
        <v>74</v>
      </c>
      <c r="Q837" t="s">
        <v>76</v>
      </c>
      <c r="R837" t="s">
        <v>73</v>
      </c>
      <c r="S837">
        <v>0</v>
      </c>
      <c r="W837" s="20">
        <v>0</v>
      </c>
      <c r="X837" t="s">
        <v>78</v>
      </c>
      <c r="Y837">
        <v>0</v>
      </c>
      <c r="Z837">
        <v>0</v>
      </c>
      <c r="AA837" t="s">
        <v>78</v>
      </c>
      <c r="AB837">
        <v>0</v>
      </c>
      <c r="AC837" t="s">
        <v>78</v>
      </c>
      <c r="AD837">
        <v>0</v>
      </c>
      <c r="AE837">
        <v>10526535</v>
      </c>
      <c r="AF837" t="s">
        <v>79</v>
      </c>
      <c r="AG837" t="s">
        <v>1963</v>
      </c>
    </row>
    <row r="838" spans="1:33" x14ac:dyDescent="0.35">
      <c r="A838" s="18">
        <v>44471.851388888892</v>
      </c>
      <c r="B838">
        <v>3018531</v>
      </c>
      <c r="C838" t="s">
        <v>2116</v>
      </c>
      <c r="D838" t="s">
        <v>226</v>
      </c>
      <c r="E838" s="19">
        <v>39600</v>
      </c>
      <c r="F838" t="str">
        <f>"9781607416791"</f>
        <v>9781607416791</v>
      </c>
      <c r="G838" t="str">
        <f>"9781604564372"</f>
        <v>9781604564372</v>
      </c>
      <c r="H838" t="s">
        <v>2117</v>
      </c>
      <c r="I838" t="s">
        <v>2118</v>
      </c>
      <c r="J838" t="s">
        <v>2119</v>
      </c>
      <c r="K838" t="s">
        <v>73</v>
      </c>
      <c r="N838" t="s">
        <v>74</v>
      </c>
      <c r="O838" t="s">
        <v>75</v>
      </c>
      <c r="P838" t="s">
        <v>230</v>
      </c>
      <c r="Q838" t="s">
        <v>76</v>
      </c>
      <c r="R838" t="s">
        <v>85</v>
      </c>
      <c r="S838">
        <v>0</v>
      </c>
      <c r="W838" s="20">
        <v>6.9444444444444444E-5</v>
      </c>
      <c r="X838" t="s">
        <v>132</v>
      </c>
      <c r="Y838">
        <v>1</v>
      </c>
      <c r="Z838">
        <v>0</v>
      </c>
      <c r="AA838" t="s">
        <v>78</v>
      </c>
      <c r="AB838">
        <v>0</v>
      </c>
      <c r="AC838" t="s">
        <v>78</v>
      </c>
      <c r="AD838">
        <v>0</v>
      </c>
      <c r="AE838">
        <v>10660392</v>
      </c>
      <c r="AF838" t="s">
        <v>79</v>
      </c>
      <c r="AG838" t="s">
        <v>2105</v>
      </c>
    </row>
    <row r="839" spans="1:33" x14ac:dyDescent="0.35">
      <c r="A839" s="18">
        <v>44471.847222222219</v>
      </c>
      <c r="B839">
        <v>3018531</v>
      </c>
      <c r="C839" t="s">
        <v>2116</v>
      </c>
      <c r="D839" t="s">
        <v>226</v>
      </c>
      <c r="E839" s="19">
        <v>39600</v>
      </c>
      <c r="F839" t="str">
        <f>"9781607416791"</f>
        <v>9781607416791</v>
      </c>
      <c r="G839" t="str">
        <f>"9781604564372"</f>
        <v>9781604564372</v>
      </c>
      <c r="H839" t="s">
        <v>2117</v>
      </c>
      <c r="I839" t="s">
        <v>2118</v>
      </c>
      <c r="J839" t="s">
        <v>2119</v>
      </c>
      <c r="K839" t="s">
        <v>73</v>
      </c>
      <c r="N839" t="s">
        <v>74</v>
      </c>
      <c r="O839" t="s">
        <v>75</v>
      </c>
      <c r="P839" t="s">
        <v>230</v>
      </c>
      <c r="Q839" t="s">
        <v>76</v>
      </c>
      <c r="R839" t="s">
        <v>85</v>
      </c>
      <c r="S839">
        <v>0</v>
      </c>
      <c r="W839" s="20">
        <v>8.449074074074075E-4</v>
      </c>
      <c r="X839" t="s">
        <v>2120</v>
      </c>
      <c r="Y839">
        <v>8</v>
      </c>
      <c r="Z839">
        <v>0</v>
      </c>
      <c r="AA839" t="s">
        <v>78</v>
      </c>
      <c r="AB839">
        <v>0</v>
      </c>
      <c r="AC839" t="s">
        <v>78</v>
      </c>
      <c r="AD839">
        <v>0</v>
      </c>
      <c r="AE839">
        <v>10660392</v>
      </c>
      <c r="AF839" t="s">
        <v>79</v>
      </c>
      <c r="AG839" t="s">
        <v>2121</v>
      </c>
    </row>
    <row r="840" spans="1:33" x14ac:dyDescent="0.35">
      <c r="A840" s="18">
        <v>44471.780555555553</v>
      </c>
      <c r="B840">
        <v>5150092</v>
      </c>
      <c r="C840" t="s">
        <v>2122</v>
      </c>
      <c r="D840" t="s">
        <v>70</v>
      </c>
      <c r="E840" s="19">
        <v>43109</v>
      </c>
      <c r="F840" t="str">
        <f>"9781119054528"</f>
        <v>9781119054528</v>
      </c>
      <c r="G840" t="str">
        <f>"9781119054498"</f>
        <v>9781119054498</v>
      </c>
      <c r="H840" t="s">
        <v>2123</v>
      </c>
      <c r="I840">
        <v>771.3</v>
      </c>
      <c r="J840" t="s">
        <v>2124</v>
      </c>
      <c r="K840" t="s">
        <v>73</v>
      </c>
      <c r="N840" t="s">
        <v>74</v>
      </c>
      <c r="O840" t="s">
        <v>75</v>
      </c>
      <c r="P840" t="s">
        <v>74</v>
      </c>
      <c r="Q840" t="s">
        <v>76</v>
      </c>
      <c r="R840" t="s">
        <v>73</v>
      </c>
      <c r="S840">
        <v>0</v>
      </c>
      <c r="W840" s="20">
        <v>1.6203703703703703E-4</v>
      </c>
      <c r="X840" t="s">
        <v>2125</v>
      </c>
      <c r="Y840">
        <v>3</v>
      </c>
      <c r="Z840">
        <v>0</v>
      </c>
      <c r="AA840" t="s">
        <v>78</v>
      </c>
      <c r="AB840">
        <v>0</v>
      </c>
      <c r="AC840" t="s">
        <v>78</v>
      </c>
      <c r="AD840">
        <v>0</v>
      </c>
      <c r="AE840">
        <v>11467816</v>
      </c>
      <c r="AF840" t="s">
        <v>79</v>
      </c>
      <c r="AG840" t="s">
        <v>1611</v>
      </c>
    </row>
    <row r="841" spans="1:33" x14ac:dyDescent="0.35">
      <c r="A841" s="18">
        <v>44471.768750000003</v>
      </c>
      <c r="B841">
        <v>3018531</v>
      </c>
      <c r="C841" t="s">
        <v>2116</v>
      </c>
      <c r="D841" t="s">
        <v>226</v>
      </c>
      <c r="E841" s="19">
        <v>39600</v>
      </c>
      <c r="F841" t="str">
        <f>"9781607416791"</f>
        <v>9781607416791</v>
      </c>
      <c r="G841" t="str">
        <f>"9781604564372"</f>
        <v>9781604564372</v>
      </c>
      <c r="H841" t="s">
        <v>2117</v>
      </c>
      <c r="I841" t="s">
        <v>2118</v>
      </c>
      <c r="J841" t="s">
        <v>2119</v>
      </c>
      <c r="K841" t="s">
        <v>73</v>
      </c>
      <c r="N841" t="s">
        <v>74</v>
      </c>
      <c r="O841" t="s">
        <v>75</v>
      </c>
      <c r="P841" t="s">
        <v>230</v>
      </c>
      <c r="Q841" t="s">
        <v>76</v>
      </c>
      <c r="R841" t="s">
        <v>85</v>
      </c>
      <c r="S841">
        <v>0</v>
      </c>
      <c r="W841" s="20">
        <v>5.7870370370370366E-5</v>
      </c>
      <c r="X841" t="s">
        <v>132</v>
      </c>
      <c r="Y841">
        <v>1</v>
      </c>
      <c r="Z841">
        <v>0</v>
      </c>
      <c r="AA841" t="s">
        <v>78</v>
      </c>
      <c r="AB841">
        <v>0</v>
      </c>
      <c r="AC841" t="s">
        <v>78</v>
      </c>
      <c r="AD841">
        <v>0</v>
      </c>
      <c r="AE841">
        <v>10660392</v>
      </c>
      <c r="AF841" t="s">
        <v>79</v>
      </c>
      <c r="AG841" t="s">
        <v>2105</v>
      </c>
    </row>
    <row r="842" spans="1:33" x14ac:dyDescent="0.35">
      <c r="A842" s="18">
        <v>44471.73333333333</v>
      </c>
      <c r="B842">
        <v>3018531</v>
      </c>
      <c r="C842" t="s">
        <v>2116</v>
      </c>
      <c r="D842" t="s">
        <v>226</v>
      </c>
      <c r="E842" s="19">
        <v>39600</v>
      </c>
      <c r="F842" t="str">
        <f>"9781607416791"</f>
        <v>9781607416791</v>
      </c>
      <c r="G842" t="str">
        <f>"9781604564372"</f>
        <v>9781604564372</v>
      </c>
      <c r="H842" t="s">
        <v>2117</v>
      </c>
      <c r="I842" t="s">
        <v>2118</v>
      </c>
      <c r="J842" t="s">
        <v>2119</v>
      </c>
      <c r="K842" t="s">
        <v>73</v>
      </c>
      <c r="N842" t="s">
        <v>74</v>
      </c>
      <c r="O842" t="s">
        <v>75</v>
      </c>
      <c r="P842" t="s">
        <v>230</v>
      </c>
      <c r="Q842" t="s">
        <v>76</v>
      </c>
      <c r="R842" t="s">
        <v>85</v>
      </c>
      <c r="S842">
        <v>0</v>
      </c>
      <c r="W842" s="20">
        <v>3.6921296296296298E-3</v>
      </c>
      <c r="X842" t="s">
        <v>2126</v>
      </c>
      <c r="Y842">
        <v>19</v>
      </c>
      <c r="Z842">
        <v>0</v>
      </c>
      <c r="AA842" t="s">
        <v>78</v>
      </c>
      <c r="AB842">
        <v>0</v>
      </c>
      <c r="AC842" t="s">
        <v>78</v>
      </c>
      <c r="AD842">
        <v>0</v>
      </c>
      <c r="AE842">
        <v>10660392</v>
      </c>
      <c r="AF842" t="s">
        <v>79</v>
      </c>
      <c r="AG842" t="s">
        <v>2121</v>
      </c>
    </row>
    <row r="843" spans="1:33" x14ac:dyDescent="0.35">
      <c r="A843" s="18">
        <v>44471.688888888886</v>
      </c>
      <c r="B843">
        <v>5558400</v>
      </c>
      <c r="C843" t="s">
        <v>1990</v>
      </c>
      <c r="D843" t="s">
        <v>70</v>
      </c>
      <c r="E843" s="19">
        <v>43396</v>
      </c>
      <c r="F843" t="str">
        <f>"9781119516200"</f>
        <v>9781119516200</v>
      </c>
      <c r="G843" t="str">
        <f>"9781119516187"</f>
        <v>9781119516187</v>
      </c>
      <c r="H843" t="s">
        <v>128</v>
      </c>
      <c r="I843">
        <v>307.76</v>
      </c>
      <c r="J843" t="s">
        <v>1991</v>
      </c>
      <c r="K843" t="s">
        <v>73</v>
      </c>
      <c r="N843" t="s">
        <v>74</v>
      </c>
      <c r="O843" t="s">
        <v>75</v>
      </c>
      <c r="P843" t="s">
        <v>74</v>
      </c>
      <c r="Q843" t="s">
        <v>76</v>
      </c>
      <c r="R843" t="s">
        <v>73</v>
      </c>
      <c r="S843">
        <v>0</v>
      </c>
      <c r="W843" s="20">
        <v>4.1435185185185186E-3</v>
      </c>
      <c r="X843" t="s">
        <v>2127</v>
      </c>
      <c r="Y843">
        <v>9</v>
      </c>
      <c r="Z843">
        <v>0</v>
      </c>
      <c r="AA843" t="s">
        <v>78</v>
      </c>
      <c r="AB843">
        <v>0</v>
      </c>
      <c r="AC843" t="s">
        <v>2128</v>
      </c>
      <c r="AD843">
        <v>2</v>
      </c>
      <c r="AE843">
        <v>-1</v>
      </c>
      <c r="AF843" t="s">
        <v>79</v>
      </c>
      <c r="AG843" t="s">
        <v>2129</v>
      </c>
    </row>
    <row r="844" spans="1:33" x14ac:dyDescent="0.35">
      <c r="A844" s="18">
        <v>44471.679166666669</v>
      </c>
      <c r="B844">
        <v>5558400</v>
      </c>
      <c r="C844" t="s">
        <v>1990</v>
      </c>
      <c r="D844" t="s">
        <v>70</v>
      </c>
      <c r="E844" s="19">
        <v>43396</v>
      </c>
      <c r="F844" t="str">
        <f>"9781119516200"</f>
        <v>9781119516200</v>
      </c>
      <c r="G844" t="str">
        <f>"9781119516187"</f>
        <v>9781119516187</v>
      </c>
      <c r="H844" t="s">
        <v>128</v>
      </c>
      <c r="I844">
        <v>307.76</v>
      </c>
      <c r="J844" t="s">
        <v>1991</v>
      </c>
      <c r="K844" t="s">
        <v>73</v>
      </c>
      <c r="N844" t="s">
        <v>74</v>
      </c>
      <c r="O844" t="s">
        <v>75</v>
      </c>
      <c r="P844" t="s">
        <v>74</v>
      </c>
      <c r="Q844" t="s">
        <v>76</v>
      </c>
      <c r="R844" t="s">
        <v>73</v>
      </c>
      <c r="S844">
        <v>0</v>
      </c>
      <c r="W844" s="20">
        <v>2.3148148148148146E-4</v>
      </c>
      <c r="X844" t="s">
        <v>2130</v>
      </c>
      <c r="Y844">
        <v>4</v>
      </c>
      <c r="Z844">
        <v>0</v>
      </c>
      <c r="AA844" t="s">
        <v>78</v>
      </c>
      <c r="AB844">
        <v>0</v>
      </c>
      <c r="AC844" t="s">
        <v>78</v>
      </c>
      <c r="AD844">
        <v>0</v>
      </c>
      <c r="AE844">
        <v>-1</v>
      </c>
      <c r="AF844" t="s">
        <v>79</v>
      </c>
      <c r="AG844" t="s">
        <v>1963</v>
      </c>
    </row>
    <row r="845" spans="1:33" x14ac:dyDescent="0.35">
      <c r="A845" s="18">
        <v>44471.676388888889</v>
      </c>
      <c r="B845">
        <v>5150092</v>
      </c>
      <c r="C845" t="s">
        <v>2122</v>
      </c>
      <c r="D845" t="s">
        <v>70</v>
      </c>
      <c r="E845" s="19">
        <v>43109</v>
      </c>
      <c r="F845" t="str">
        <f>"9781119054528"</f>
        <v>9781119054528</v>
      </c>
      <c r="G845" t="str">
        <f>"9781119054498"</f>
        <v>9781119054498</v>
      </c>
      <c r="H845" t="s">
        <v>2123</v>
      </c>
      <c r="I845">
        <v>771.3</v>
      </c>
      <c r="J845" t="s">
        <v>2124</v>
      </c>
      <c r="K845" t="s">
        <v>73</v>
      </c>
      <c r="N845" t="s">
        <v>74</v>
      </c>
      <c r="O845" t="s">
        <v>75</v>
      </c>
      <c r="P845" t="s">
        <v>74</v>
      </c>
      <c r="Q845" t="s">
        <v>76</v>
      </c>
      <c r="R845" t="s">
        <v>73</v>
      </c>
      <c r="S845">
        <v>0</v>
      </c>
      <c r="W845" s="20">
        <v>4.7337962962962958E-3</v>
      </c>
      <c r="X845" t="s">
        <v>2131</v>
      </c>
      <c r="Y845">
        <v>40</v>
      </c>
      <c r="Z845">
        <v>0</v>
      </c>
      <c r="AA845" t="s">
        <v>78</v>
      </c>
      <c r="AB845">
        <v>0</v>
      </c>
      <c r="AC845" t="s">
        <v>78</v>
      </c>
      <c r="AD845">
        <v>0</v>
      </c>
      <c r="AE845">
        <v>11467816</v>
      </c>
      <c r="AF845" t="s">
        <v>79</v>
      </c>
      <c r="AG845" t="s">
        <v>1611</v>
      </c>
    </row>
    <row r="846" spans="1:33" x14ac:dyDescent="0.35">
      <c r="A846" s="18">
        <v>44471.631249999999</v>
      </c>
      <c r="B846">
        <v>5150092</v>
      </c>
      <c r="C846" t="s">
        <v>2122</v>
      </c>
      <c r="D846" t="s">
        <v>70</v>
      </c>
      <c r="E846" s="19">
        <v>43109</v>
      </c>
      <c r="F846" t="str">
        <f>"9781119054528"</f>
        <v>9781119054528</v>
      </c>
      <c r="G846" t="str">
        <f>"9781119054498"</f>
        <v>9781119054498</v>
      </c>
      <c r="H846" t="s">
        <v>2123</v>
      </c>
      <c r="I846">
        <v>771.3</v>
      </c>
      <c r="J846" t="s">
        <v>2124</v>
      </c>
      <c r="K846" t="s">
        <v>73</v>
      </c>
      <c r="N846" t="s">
        <v>74</v>
      </c>
      <c r="O846" t="s">
        <v>75</v>
      </c>
      <c r="P846" t="s">
        <v>74</v>
      </c>
      <c r="Q846" t="s">
        <v>76</v>
      </c>
      <c r="R846" t="s">
        <v>73</v>
      </c>
      <c r="S846">
        <v>0</v>
      </c>
      <c r="W846" s="20">
        <v>2.0833333333333335E-4</v>
      </c>
      <c r="X846" t="s">
        <v>2132</v>
      </c>
      <c r="Y846">
        <v>3</v>
      </c>
      <c r="Z846">
        <v>0</v>
      </c>
      <c r="AA846" t="s">
        <v>78</v>
      </c>
      <c r="AB846">
        <v>0</v>
      </c>
      <c r="AC846" t="s">
        <v>78</v>
      </c>
      <c r="AD846">
        <v>0</v>
      </c>
      <c r="AE846">
        <v>11467816</v>
      </c>
      <c r="AF846" t="s">
        <v>79</v>
      </c>
      <c r="AG846" t="s">
        <v>1611</v>
      </c>
    </row>
    <row r="847" spans="1:33" x14ac:dyDescent="0.35">
      <c r="A847" s="18">
        <v>44471.512499999997</v>
      </c>
      <c r="B847">
        <v>5558400</v>
      </c>
      <c r="C847" t="s">
        <v>1990</v>
      </c>
      <c r="D847" t="s">
        <v>70</v>
      </c>
      <c r="E847" s="19">
        <v>43396</v>
      </c>
      <c r="F847" t="str">
        <f>"9781119516200"</f>
        <v>9781119516200</v>
      </c>
      <c r="G847" t="str">
        <f>"9781119516187"</f>
        <v>9781119516187</v>
      </c>
      <c r="H847" t="s">
        <v>128</v>
      </c>
      <c r="I847">
        <v>307.76</v>
      </c>
      <c r="J847" t="s">
        <v>1991</v>
      </c>
      <c r="K847" t="s">
        <v>73</v>
      </c>
      <c r="N847" t="s">
        <v>74</v>
      </c>
      <c r="O847" t="s">
        <v>75</v>
      </c>
      <c r="P847" t="s">
        <v>74</v>
      </c>
      <c r="Q847" t="s">
        <v>76</v>
      </c>
      <c r="R847" t="s">
        <v>73</v>
      </c>
      <c r="S847">
        <v>0</v>
      </c>
      <c r="W847" s="20">
        <v>4.8611111111111104E-4</v>
      </c>
      <c r="X847" t="s">
        <v>2133</v>
      </c>
      <c r="Y847">
        <v>5</v>
      </c>
      <c r="Z847">
        <v>0</v>
      </c>
      <c r="AA847" t="s">
        <v>78</v>
      </c>
      <c r="AB847">
        <v>0</v>
      </c>
      <c r="AC847" t="s">
        <v>78</v>
      </c>
      <c r="AD847">
        <v>0</v>
      </c>
      <c r="AE847">
        <v>-1</v>
      </c>
      <c r="AF847" t="s">
        <v>79</v>
      </c>
      <c r="AG847" t="s">
        <v>1963</v>
      </c>
    </row>
    <row r="848" spans="1:33" x14ac:dyDescent="0.35">
      <c r="A848" s="18">
        <v>44471.396527777775</v>
      </c>
      <c r="B848">
        <v>4631572</v>
      </c>
      <c r="C848" t="s">
        <v>2134</v>
      </c>
      <c r="D848" t="s">
        <v>70</v>
      </c>
      <c r="E848" s="19">
        <v>42646</v>
      </c>
      <c r="F848" t="str">
        <f>"9781118982884"</f>
        <v>9781118982884</v>
      </c>
      <c r="G848" t="str">
        <f>"9781118982877"</f>
        <v>9781118982877</v>
      </c>
      <c r="H848" t="s">
        <v>2135</v>
      </c>
      <c r="I848">
        <v>616.90409999999997</v>
      </c>
      <c r="J848" t="s">
        <v>2136</v>
      </c>
      <c r="K848" t="s">
        <v>73</v>
      </c>
      <c r="N848" t="s">
        <v>74</v>
      </c>
      <c r="O848" t="s">
        <v>75</v>
      </c>
      <c r="P848" t="s">
        <v>74</v>
      </c>
      <c r="Q848" t="s">
        <v>76</v>
      </c>
      <c r="R848" t="s">
        <v>73</v>
      </c>
      <c r="S848">
        <v>0</v>
      </c>
      <c r="W848" s="20">
        <v>7.175925925925927E-4</v>
      </c>
      <c r="X848" t="s">
        <v>2137</v>
      </c>
      <c r="Y848">
        <v>9</v>
      </c>
      <c r="Z848">
        <v>0</v>
      </c>
      <c r="AA848" t="s">
        <v>78</v>
      </c>
      <c r="AB848">
        <v>0</v>
      </c>
      <c r="AC848" t="s">
        <v>78</v>
      </c>
      <c r="AD848">
        <v>0</v>
      </c>
      <c r="AE848">
        <v>11246393</v>
      </c>
      <c r="AF848" t="s">
        <v>88</v>
      </c>
      <c r="AG848" t="s">
        <v>1695</v>
      </c>
    </row>
    <row r="849" spans="1:33" x14ac:dyDescent="0.35">
      <c r="A849" s="18">
        <v>44471.393750000003</v>
      </c>
      <c r="B849">
        <v>3087101</v>
      </c>
      <c r="C849" t="s">
        <v>152</v>
      </c>
      <c r="D849" t="s">
        <v>978</v>
      </c>
      <c r="E849" s="19">
        <v>35915</v>
      </c>
      <c r="F849" t="str">
        <f>"9781475794274"</f>
        <v>9781475794274</v>
      </c>
      <c r="G849" t="str">
        <f>"9781475794298"</f>
        <v>9781475794298</v>
      </c>
      <c r="H849" t="s">
        <v>149</v>
      </c>
      <c r="I849">
        <v>572</v>
      </c>
      <c r="J849" t="s">
        <v>2138</v>
      </c>
      <c r="K849" t="s">
        <v>73</v>
      </c>
      <c r="N849" t="s">
        <v>74</v>
      </c>
      <c r="O849" t="s">
        <v>75</v>
      </c>
      <c r="P849" t="s">
        <v>74</v>
      </c>
      <c r="Q849" t="s">
        <v>76</v>
      </c>
      <c r="R849" t="s">
        <v>73</v>
      </c>
      <c r="S849">
        <v>0</v>
      </c>
      <c r="W849" s="20">
        <v>4.6296296296296294E-5</v>
      </c>
      <c r="X849" t="s">
        <v>360</v>
      </c>
      <c r="Y849">
        <v>2</v>
      </c>
      <c r="Z849">
        <v>0</v>
      </c>
      <c r="AA849" t="s">
        <v>78</v>
      </c>
      <c r="AB849">
        <v>0</v>
      </c>
      <c r="AC849" t="s">
        <v>78</v>
      </c>
      <c r="AD849">
        <v>0</v>
      </c>
      <c r="AE849">
        <v>10942774</v>
      </c>
      <c r="AF849" t="s">
        <v>88</v>
      </c>
      <c r="AG849" t="s">
        <v>1695</v>
      </c>
    </row>
    <row r="850" spans="1:33" x14ac:dyDescent="0.35">
      <c r="A850" s="18">
        <v>44471.099305555559</v>
      </c>
      <c r="B850">
        <v>5217770</v>
      </c>
      <c r="C850" t="s">
        <v>2139</v>
      </c>
      <c r="D850" t="s">
        <v>390</v>
      </c>
      <c r="E850" s="19">
        <v>43087</v>
      </c>
      <c r="F850" t="str">
        <f>"9783110590876"</f>
        <v>9783110590876</v>
      </c>
      <c r="G850" t="str">
        <f>"9783110491357"</f>
        <v>9783110491357</v>
      </c>
      <c r="H850" t="s">
        <v>822</v>
      </c>
      <c r="I850">
        <v>770.95600000000002</v>
      </c>
      <c r="J850" t="s">
        <v>2140</v>
      </c>
      <c r="K850" t="s">
        <v>73</v>
      </c>
      <c r="N850" t="s">
        <v>74</v>
      </c>
      <c r="O850" t="s">
        <v>75</v>
      </c>
      <c r="P850" t="s">
        <v>74</v>
      </c>
      <c r="Q850" t="s">
        <v>76</v>
      </c>
      <c r="R850" t="s">
        <v>73</v>
      </c>
      <c r="S850">
        <v>0</v>
      </c>
      <c r="W850" s="20">
        <v>2.3148148148148147E-5</v>
      </c>
      <c r="X850" t="s">
        <v>132</v>
      </c>
      <c r="Y850">
        <v>1</v>
      </c>
      <c r="Z850">
        <v>0</v>
      </c>
      <c r="AA850" t="s">
        <v>78</v>
      </c>
      <c r="AB850">
        <v>0</v>
      </c>
      <c r="AC850" t="s">
        <v>78</v>
      </c>
      <c r="AD850">
        <v>0</v>
      </c>
      <c r="AE850">
        <v>11498102</v>
      </c>
      <c r="AF850" t="s">
        <v>79</v>
      </c>
      <c r="AG850" t="s">
        <v>1695</v>
      </c>
    </row>
    <row r="851" spans="1:33" x14ac:dyDescent="0.35">
      <c r="A851" s="18">
        <v>44471.081944444442</v>
      </c>
      <c r="B851">
        <v>1874137</v>
      </c>
      <c r="C851" t="s">
        <v>2141</v>
      </c>
      <c r="D851" t="s">
        <v>70</v>
      </c>
      <c r="E851" s="19">
        <v>42044</v>
      </c>
      <c r="F851" t="str">
        <f>"9783527670178"</f>
        <v>9783527670178</v>
      </c>
      <c r="G851" t="str">
        <f>"9783527412129"</f>
        <v>9783527412129</v>
      </c>
      <c r="H851" t="s">
        <v>2142</v>
      </c>
      <c r="I851">
        <v>620.11294999999996</v>
      </c>
      <c r="J851" t="s">
        <v>2143</v>
      </c>
      <c r="K851" t="s">
        <v>73</v>
      </c>
      <c r="N851" t="s">
        <v>74</v>
      </c>
      <c r="O851" t="s">
        <v>75</v>
      </c>
      <c r="P851" t="s">
        <v>74</v>
      </c>
      <c r="Q851" t="s">
        <v>76</v>
      </c>
      <c r="R851" t="s">
        <v>73</v>
      </c>
      <c r="S851">
        <v>0</v>
      </c>
      <c r="W851" s="20">
        <v>3.9351851851851852E-4</v>
      </c>
      <c r="X851" t="s">
        <v>2144</v>
      </c>
      <c r="Y851">
        <v>4</v>
      </c>
      <c r="Z851">
        <v>0</v>
      </c>
      <c r="AA851" t="s">
        <v>78</v>
      </c>
      <c r="AB851">
        <v>0</v>
      </c>
      <c r="AC851" t="s">
        <v>78</v>
      </c>
      <c r="AD851">
        <v>0</v>
      </c>
      <c r="AE851">
        <v>10992241</v>
      </c>
      <c r="AF851" t="s">
        <v>79</v>
      </c>
      <c r="AG851" t="s">
        <v>1695</v>
      </c>
    </row>
    <row r="852" spans="1:33" x14ac:dyDescent="0.35">
      <c r="A852" s="18">
        <v>44470.871527777781</v>
      </c>
      <c r="B852">
        <v>5150092</v>
      </c>
      <c r="C852" t="s">
        <v>2122</v>
      </c>
      <c r="D852" t="s">
        <v>70</v>
      </c>
      <c r="E852" s="19">
        <v>43109</v>
      </c>
      <c r="F852" t="str">
        <f>"9781119054528"</f>
        <v>9781119054528</v>
      </c>
      <c r="G852" t="str">
        <f>"9781119054498"</f>
        <v>9781119054498</v>
      </c>
      <c r="H852" t="s">
        <v>2123</v>
      </c>
      <c r="I852">
        <v>771.3</v>
      </c>
      <c r="J852" t="s">
        <v>2124</v>
      </c>
      <c r="K852" t="s">
        <v>73</v>
      </c>
      <c r="N852" t="s">
        <v>74</v>
      </c>
      <c r="O852" t="s">
        <v>75</v>
      </c>
      <c r="P852" t="s">
        <v>74</v>
      </c>
      <c r="Q852" t="s">
        <v>76</v>
      </c>
      <c r="R852" t="s">
        <v>73</v>
      </c>
      <c r="S852">
        <v>0</v>
      </c>
      <c r="W852" s="20">
        <v>6.5162037037037037E-3</v>
      </c>
      <c r="X852" t="s">
        <v>2145</v>
      </c>
      <c r="Y852">
        <v>13</v>
      </c>
      <c r="Z852">
        <v>0</v>
      </c>
      <c r="AA852" t="s">
        <v>78</v>
      </c>
      <c r="AB852">
        <v>0</v>
      </c>
      <c r="AC852" t="s">
        <v>78</v>
      </c>
      <c r="AD852">
        <v>0</v>
      </c>
      <c r="AE852">
        <v>11467816</v>
      </c>
      <c r="AF852" t="s">
        <v>79</v>
      </c>
      <c r="AG852" t="s">
        <v>1695</v>
      </c>
    </row>
    <row r="853" spans="1:33" x14ac:dyDescent="0.35">
      <c r="A853" s="18">
        <v>44470.859027777777</v>
      </c>
      <c r="B853">
        <v>1832723</v>
      </c>
      <c r="C853" t="s">
        <v>2044</v>
      </c>
      <c r="D853" t="s">
        <v>70</v>
      </c>
      <c r="E853" s="19">
        <v>42031</v>
      </c>
      <c r="F853" t="str">
        <f>"9781118902110"</f>
        <v>9781118902110</v>
      </c>
      <c r="G853" t="str">
        <f>"9780470656709"</f>
        <v>9780470656709</v>
      </c>
      <c r="H853" t="s">
        <v>1905</v>
      </c>
      <c r="I853">
        <v>551.9</v>
      </c>
      <c r="J853" t="s">
        <v>2045</v>
      </c>
      <c r="K853" t="s">
        <v>73</v>
      </c>
      <c r="N853" t="s">
        <v>74</v>
      </c>
      <c r="O853" t="s">
        <v>75</v>
      </c>
      <c r="P853" t="s">
        <v>74</v>
      </c>
      <c r="Q853" t="s">
        <v>76</v>
      </c>
      <c r="R853" t="s">
        <v>73</v>
      </c>
      <c r="S853">
        <v>0</v>
      </c>
      <c r="W853" s="20">
        <v>7.5231481481481471E-4</v>
      </c>
      <c r="X853" t="s">
        <v>2146</v>
      </c>
      <c r="Y853">
        <v>3</v>
      </c>
      <c r="Z853">
        <v>0</v>
      </c>
      <c r="AA853" t="s">
        <v>78</v>
      </c>
      <c r="AB853">
        <v>0</v>
      </c>
      <c r="AC853" t="s">
        <v>78</v>
      </c>
      <c r="AD853">
        <v>0</v>
      </c>
      <c r="AE853">
        <v>10964407</v>
      </c>
      <c r="AF853" t="s">
        <v>88</v>
      </c>
      <c r="AG853" t="s">
        <v>1695</v>
      </c>
    </row>
    <row r="854" spans="1:33" x14ac:dyDescent="0.35">
      <c r="A854" s="18">
        <v>44470.836111111108</v>
      </c>
      <c r="B854">
        <v>2056396</v>
      </c>
      <c r="C854" t="s">
        <v>2147</v>
      </c>
      <c r="D854" t="s">
        <v>189</v>
      </c>
      <c r="E854" s="19">
        <v>42118</v>
      </c>
      <c r="F854" t="str">
        <f>"9781501502385"</f>
        <v>9781501502385</v>
      </c>
      <c r="G854" t="str">
        <f>"9781501510700"</f>
        <v>9781501510700</v>
      </c>
      <c r="H854" t="s">
        <v>2148</v>
      </c>
      <c r="I854" t="s">
        <v>2149</v>
      </c>
      <c r="J854" t="s">
        <v>2150</v>
      </c>
      <c r="K854" t="s">
        <v>73</v>
      </c>
      <c r="N854" t="s">
        <v>74</v>
      </c>
      <c r="O854" t="s">
        <v>75</v>
      </c>
      <c r="P854" t="s">
        <v>74</v>
      </c>
      <c r="Q854" t="s">
        <v>76</v>
      </c>
      <c r="R854" t="s">
        <v>73</v>
      </c>
      <c r="S854">
        <v>0</v>
      </c>
      <c r="W854" s="20">
        <v>2.199074074074074E-4</v>
      </c>
      <c r="X854" t="s">
        <v>1428</v>
      </c>
      <c r="Y854">
        <v>6</v>
      </c>
      <c r="Z854">
        <v>0</v>
      </c>
      <c r="AA854" t="s">
        <v>78</v>
      </c>
      <c r="AB854">
        <v>0</v>
      </c>
      <c r="AC854" t="s">
        <v>78</v>
      </c>
      <c r="AD854">
        <v>0</v>
      </c>
      <c r="AE854">
        <v>11059847</v>
      </c>
      <c r="AF854" t="s">
        <v>79</v>
      </c>
      <c r="AG854" t="s">
        <v>1695</v>
      </c>
    </row>
    <row r="855" spans="1:33" x14ac:dyDescent="0.35">
      <c r="A855" s="18">
        <v>44470.752083333333</v>
      </c>
      <c r="B855">
        <v>1874137</v>
      </c>
      <c r="C855" t="s">
        <v>2141</v>
      </c>
      <c r="D855" t="s">
        <v>70</v>
      </c>
      <c r="E855" s="19">
        <v>42044</v>
      </c>
      <c r="F855" t="str">
        <f>"9783527670178"</f>
        <v>9783527670178</v>
      </c>
      <c r="G855" t="str">
        <f>"9783527412129"</f>
        <v>9783527412129</v>
      </c>
      <c r="H855" t="s">
        <v>2142</v>
      </c>
      <c r="I855">
        <v>620.11294999999996</v>
      </c>
      <c r="J855" t="s">
        <v>2143</v>
      </c>
      <c r="K855" t="s">
        <v>73</v>
      </c>
      <c r="N855" t="s">
        <v>74</v>
      </c>
      <c r="O855" t="s">
        <v>75</v>
      </c>
      <c r="P855" t="s">
        <v>74</v>
      </c>
      <c r="Q855" t="s">
        <v>76</v>
      </c>
      <c r="R855" t="s">
        <v>73</v>
      </c>
      <c r="S855">
        <v>0</v>
      </c>
      <c r="W855" s="20">
        <v>7.4189814814814813E-3</v>
      </c>
      <c r="X855" t="s">
        <v>2151</v>
      </c>
      <c r="Y855">
        <v>21</v>
      </c>
      <c r="Z855">
        <v>0</v>
      </c>
      <c r="AA855" t="s">
        <v>78</v>
      </c>
      <c r="AB855">
        <v>0</v>
      </c>
      <c r="AC855" t="s">
        <v>78</v>
      </c>
      <c r="AD855">
        <v>0</v>
      </c>
      <c r="AE855">
        <v>10992241</v>
      </c>
      <c r="AF855" t="s">
        <v>79</v>
      </c>
      <c r="AG855" t="s">
        <v>1695</v>
      </c>
    </row>
    <row r="856" spans="1:33" x14ac:dyDescent="0.35">
      <c r="A856" s="18">
        <v>44470.563194444447</v>
      </c>
      <c r="B856">
        <v>5558400</v>
      </c>
      <c r="C856" t="s">
        <v>1990</v>
      </c>
      <c r="D856" t="s">
        <v>70</v>
      </c>
      <c r="E856" s="19">
        <v>43396</v>
      </c>
      <c r="F856" t="str">
        <f>"9781119516200"</f>
        <v>9781119516200</v>
      </c>
      <c r="G856" t="str">
        <f>"9781119516187"</f>
        <v>9781119516187</v>
      </c>
      <c r="H856" t="s">
        <v>128</v>
      </c>
      <c r="I856">
        <v>307.76</v>
      </c>
      <c r="J856" t="s">
        <v>1991</v>
      </c>
      <c r="K856" t="s">
        <v>73</v>
      </c>
      <c r="N856" t="s">
        <v>74</v>
      </c>
      <c r="O856" t="s">
        <v>75</v>
      </c>
      <c r="P856" t="s">
        <v>74</v>
      </c>
      <c r="Q856" t="s">
        <v>76</v>
      </c>
      <c r="R856" t="s">
        <v>73</v>
      </c>
      <c r="S856">
        <v>0</v>
      </c>
      <c r="W856" s="20">
        <v>2.7777777777777778E-4</v>
      </c>
      <c r="X856" t="s">
        <v>2152</v>
      </c>
      <c r="Y856">
        <v>5</v>
      </c>
      <c r="Z856">
        <v>0</v>
      </c>
      <c r="AA856" t="s">
        <v>78</v>
      </c>
      <c r="AB856">
        <v>0</v>
      </c>
      <c r="AC856" t="s">
        <v>78</v>
      </c>
      <c r="AD856">
        <v>0</v>
      </c>
      <c r="AE856">
        <v>-1</v>
      </c>
      <c r="AF856" t="s">
        <v>79</v>
      </c>
      <c r="AG856" t="s">
        <v>1963</v>
      </c>
    </row>
    <row r="857" spans="1:33" x14ac:dyDescent="0.35">
      <c r="A857" s="18">
        <v>44470.452777777777</v>
      </c>
      <c r="B857">
        <v>5558400</v>
      </c>
      <c r="C857" t="s">
        <v>1990</v>
      </c>
      <c r="D857" t="s">
        <v>70</v>
      </c>
      <c r="E857" s="19">
        <v>43396</v>
      </c>
      <c r="F857" t="str">
        <f>"9781119516200"</f>
        <v>9781119516200</v>
      </c>
      <c r="G857" t="str">
        <f>"9781119516187"</f>
        <v>9781119516187</v>
      </c>
      <c r="H857" t="s">
        <v>128</v>
      </c>
      <c r="I857">
        <v>307.76</v>
      </c>
      <c r="J857" t="s">
        <v>1991</v>
      </c>
      <c r="K857" t="s">
        <v>73</v>
      </c>
      <c r="N857" t="s">
        <v>74</v>
      </c>
      <c r="O857" t="s">
        <v>75</v>
      </c>
      <c r="P857" t="s">
        <v>74</v>
      </c>
      <c r="Q857" t="s">
        <v>76</v>
      </c>
      <c r="R857" t="s">
        <v>73</v>
      </c>
      <c r="S857">
        <v>0</v>
      </c>
      <c r="W857" s="20">
        <v>9.8032407407407408E-3</v>
      </c>
      <c r="X857" t="s">
        <v>2153</v>
      </c>
      <c r="Y857">
        <v>6</v>
      </c>
      <c r="Z857">
        <v>0</v>
      </c>
      <c r="AA857" t="s">
        <v>78</v>
      </c>
      <c r="AB857">
        <v>0</v>
      </c>
      <c r="AC857" t="s">
        <v>78</v>
      </c>
      <c r="AD857">
        <v>0</v>
      </c>
      <c r="AE857">
        <v>-1</v>
      </c>
      <c r="AF857" t="s">
        <v>79</v>
      </c>
      <c r="AG857" t="s">
        <v>1963</v>
      </c>
    </row>
    <row r="858" spans="1:33" x14ac:dyDescent="0.35">
      <c r="A858" s="18">
        <v>44469.918055555558</v>
      </c>
      <c r="B858">
        <v>254770</v>
      </c>
      <c r="C858" t="s">
        <v>2154</v>
      </c>
      <c r="D858" t="s">
        <v>844</v>
      </c>
      <c r="E858" s="19">
        <v>37196</v>
      </c>
      <c r="F858" t="str">
        <f>"9781412933469"</f>
        <v>9781412933469</v>
      </c>
      <c r="G858" t="str">
        <f>"9780761970132"</f>
        <v>9780761970132</v>
      </c>
      <c r="H858" t="s">
        <v>2155</v>
      </c>
      <c r="I858">
        <v>306.39999999999998</v>
      </c>
      <c r="J858" t="s">
        <v>2156</v>
      </c>
      <c r="K858" t="s">
        <v>73</v>
      </c>
      <c r="N858" t="s">
        <v>74</v>
      </c>
      <c r="O858" t="s">
        <v>75</v>
      </c>
      <c r="P858" t="s">
        <v>74</v>
      </c>
      <c r="Q858" t="s">
        <v>76</v>
      </c>
      <c r="R858" t="s">
        <v>73</v>
      </c>
      <c r="S858">
        <v>0</v>
      </c>
      <c r="W858" s="20">
        <v>3.4722222222222222E-5</v>
      </c>
      <c r="X858" t="s">
        <v>132</v>
      </c>
      <c r="Y858">
        <v>1</v>
      </c>
      <c r="Z858">
        <v>0</v>
      </c>
      <c r="AA858" t="s">
        <v>78</v>
      </c>
      <c r="AB858">
        <v>0</v>
      </c>
      <c r="AC858" t="s">
        <v>78</v>
      </c>
      <c r="AD858">
        <v>0</v>
      </c>
      <c r="AE858">
        <v>10080923</v>
      </c>
      <c r="AF858" t="s">
        <v>79</v>
      </c>
      <c r="AG858" t="s">
        <v>1695</v>
      </c>
    </row>
    <row r="859" spans="1:33" x14ac:dyDescent="0.35">
      <c r="A859" s="18">
        <v>44469.917361111111</v>
      </c>
      <c r="B859">
        <v>472190</v>
      </c>
      <c r="C859" t="s">
        <v>2157</v>
      </c>
      <c r="D859" t="s">
        <v>102</v>
      </c>
      <c r="E859" s="19">
        <v>40100</v>
      </c>
      <c r="F859" t="str">
        <f>"9780199714513"</f>
        <v>9780199714513</v>
      </c>
      <c r="G859" t="str">
        <f>"9780195336160"</f>
        <v>9780195336160</v>
      </c>
      <c r="H859" t="s">
        <v>128</v>
      </c>
      <c r="I859">
        <v>398.24540000000002</v>
      </c>
      <c r="J859" t="s">
        <v>2158</v>
      </c>
      <c r="K859" t="s">
        <v>73</v>
      </c>
      <c r="N859" t="s">
        <v>74</v>
      </c>
      <c r="O859" t="s">
        <v>75</v>
      </c>
      <c r="P859" t="s">
        <v>74</v>
      </c>
      <c r="Q859" t="s">
        <v>76</v>
      </c>
      <c r="R859" t="s">
        <v>73</v>
      </c>
      <c r="S859">
        <v>0</v>
      </c>
      <c r="W859" s="20">
        <v>1.3761574074074074E-2</v>
      </c>
      <c r="X859" t="s">
        <v>2159</v>
      </c>
      <c r="Y859">
        <v>17</v>
      </c>
      <c r="Z859">
        <v>1</v>
      </c>
      <c r="AA859" t="s">
        <v>2160</v>
      </c>
      <c r="AB859">
        <v>16</v>
      </c>
      <c r="AC859" t="s">
        <v>78</v>
      </c>
      <c r="AD859">
        <v>0</v>
      </c>
      <c r="AE859">
        <v>10460702</v>
      </c>
      <c r="AF859" t="s">
        <v>79</v>
      </c>
      <c r="AG859" t="s">
        <v>1695</v>
      </c>
    </row>
    <row r="860" spans="1:33" x14ac:dyDescent="0.35">
      <c r="A860" s="18">
        <v>44469.916666666664</v>
      </c>
      <c r="B860">
        <v>3441642</v>
      </c>
      <c r="C860" t="s">
        <v>2161</v>
      </c>
      <c r="D860" t="s">
        <v>2162</v>
      </c>
      <c r="E860" s="19">
        <v>40059</v>
      </c>
      <c r="F860" t="str">
        <f>"9780812203226"</f>
        <v>9780812203226</v>
      </c>
      <c r="G860" t="str">
        <f>"9780812220889"</f>
        <v>9780812220889</v>
      </c>
      <c r="H860" t="s">
        <v>2163</v>
      </c>
      <c r="I860">
        <v>1.944</v>
      </c>
      <c r="J860" t="s">
        <v>2164</v>
      </c>
      <c r="K860" t="s">
        <v>73</v>
      </c>
      <c r="N860" t="s">
        <v>74</v>
      </c>
      <c r="O860" t="s">
        <v>75</v>
      </c>
      <c r="P860" t="s">
        <v>74</v>
      </c>
      <c r="Q860" t="s">
        <v>76</v>
      </c>
      <c r="R860" t="s">
        <v>73</v>
      </c>
      <c r="S860">
        <v>0</v>
      </c>
      <c r="W860" s="20">
        <v>2.6527777777777779E-2</v>
      </c>
      <c r="X860" t="s">
        <v>2165</v>
      </c>
      <c r="Y860">
        <v>16</v>
      </c>
      <c r="Z860">
        <v>3</v>
      </c>
      <c r="AA860" t="s">
        <v>2166</v>
      </c>
      <c r="AB860">
        <v>43</v>
      </c>
      <c r="AC860" t="s">
        <v>78</v>
      </c>
      <c r="AD860">
        <v>0</v>
      </c>
      <c r="AE860">
        <v>10576082</v>
      </c>
      <c r="AF860" t="s">
        <v>79</v>
      </c>
      <c r="AG860" t="s">
        <v>1695</v>
      </c>
    </row>
    <row r="861" spans="1:33" x14ac:dyDescent="0.35">
      <c r="A861" s="18">
        <v>44469.886111111111</v>
      </c>
      <c r="B861">
        <v>3020948</v>
      </c>
      <c r="C861" t="s">
        <v>2167</v>
      </c>
      <c r="D861" t="s">
        <v>226</v>
      </c>
      <c r="E861" s="19">
        <v>40452</v>
      </c>
      <c r="F861" t="str">
        <f>"9781617287039"</f>
        <v>9781617287039</v>
      </c>
      <c r="G861" t="str">
        <f>"9781617281068"</f>
        <v>9781617281068</v>
      </c>
      <c r="H861" t="s">
        <v>466</v>
      </c>
      <c r="I861">
        <v>621.38149999999996</v>
      </c>
      <c r="J861" t="s">
        <v>2168</v>
      </c>
      <c r="K861" t="s">
        <v>73</v>
      </c>
      <c r="N861" t="s">
        <v>74</v>
      </c>
      <c r="O861" t="s">
        <v>75</v>
      </c>
      <c r="P861" t="s">
        <v>230</v>
      </c>
      <c r="Q861" t="s">
        <v>76</v>
      </c>
      <c r="R861" t="s">
        <v>85</v>
      </c>
      <c r="S861">
        <v>0</v>
      </c>
      <c r="W861" s="20">
        <v>6.134259259259259E-4</v>
      </c>
      <c r="X861" t="s">
        <v>2169</v>
      </c>
      <c r="Y861">
        <v>8</v>
      </c>
      <c r="Z861">
        <v>0</v>
      </c>
      <c r="AA861" t="s">
        <v>78</v>
      </c>
      <c r="AB861">
        <v>0</v>
      </c>
      <c r="AC861" t="s">
        <v>78</v>
      </c>
      <c r="AD861">
        <v>0</v>
      </c>
      <c r="AE861">
        <v>10681086</v>
      </c>
      <c r="AF861" t="s">
        <v>79</v>
      </c>
      <c r="AG861" t="s">
        <v>1695</v>
      </c>
    </row>
    <row r="862" spans="1:33" x14ac:dyDescent="0.35">
      <c r="A862" s="18">
        <v>44469.884722222225</v>
      </c>
      <c r="B862">
        <v>1446904</v>
      </c>
      <c r="C862" t="s">
        <v>2170</v>
      </c>
      <c r="D862" t="s">
        <v>127</v>
      </c>
      <c r="E862" s="19">
        <v>40168</v>
      </c>
      <c r="F862" t="str">
        <f>"9781420087086"</f>
        <v>9781420087086</v>
      </c>
      <c r="G862" t="str">
        <f>"9781420087079"</f>
        <v>9781420087079</v>
      </c>
      <c r="H862" t="s">
        <v>466</v>
      </c>
      <c r="I862">
        <v>621.38099999999997</v>
      </c>
      <c r="J862" t="s">
        <v>2171</v>
      </c>
      <c r="K862" t="s">
        <v>73</v>
      </c>
      <c r="N862" t="s">
        <v>74</v>
      </c>
      <c r="O862" t="s">
        <v>75</v>
      </c>
      <c r="P862" t="s">
        <v>74</v>
      </c>
      <c r="Q862" t="s">
        <v>76</v>
      </c>
      <c r="R862" t="s">
        <v>73</v>
      </c>
      <c r="S862">
        <v>0</v>
      </c>
      <c r="W862" s="20">
        <v>5.7870370370370366E-5</v>
      </c>
      <c r="X862" t="s">
        <v>132</v>
      </c>
      <c r="Y862">
        <v>1</v>
      </c>
      <c r="Z862">
        <v>0</v>
      </c>
      <c r="AA862" t="s">
        <v>78</v>
      </c>
      <c r="AB862">
        <v>0</v>
      </c>
      <c r="AC862" t="s">
        <v>78</v>
      </c>
      <c r="AD862">
        <v>0</v>
      </c>
      <c r="AE862">
        <v>11166159</v>
      </c>
      <c r="AF862" t="s">
        <v>79</v>
      </c>
      <c r="AG862" t="s">
        <v>1695</v>
      </c>
    </row>
    <row r="863" spans="1:33" x14ac:dyDescent="0.35">
      <c r="A863" s="18">
        <v>44469.86041666667</v>
      </c>
      <c r="B863">
        <v>4388935</v>
      </c>
      <c r="C863" t="s">
        <v>1747</v>
      </c>
      <c r="D863" t="s">
        <v>542</v>
      </c>
      <c r="E863" s="19">
        <v>42830</v>
      </c>
      <c r="F863" t="str">
        <f>"9781631573422"</f>
        <v>9781631573422</v>
      </c>
      <c r="G863" t="str">
        <f>"9781631573415"</f>
        <v>9781631573415</v>
      </c>
      <c r="H863" t="s">
        <v>143</v>
      </c>
      <c r="I863">
        <v>658.56200000000001</v>
      </c>
      <c r="J863" t="s">
        <v>1748</v>
      </c>
      <c r="K863" t="s">
        <v>73</v>
      </c>
      <c r="N863" t="s">
        <v>74</v>
      </c>
      <c r="O863" t="s">
        <v>75</v>
      </c>
      <c r="P863" t="s">
        <v>74</v>
      </c>
      <c r="Q863" t="s">
        <v>76</v>
      </c>
      <c r="R863" t="s">
        <v>73</v>
      </c>
      <c r="S863">
        <v>0</v>
      </c>
      <c r="W863" s="20">
        <v>8.1018518518518516E-5</v>
      </c>
      <c r="X863" t="s">
        <v>2172</v>
      </c>
      <c r="Y863">
        <v>1</v>
      </c>
      <c r="Z863">
        <v>0</v>
      </c>
      <c r="AA863" t="s">
        <v>78</v>
      </c>
      <c r="AB863">
        <v>0</v>
      </c>
      <c r="AC863" t="s">
        <v>78</v>
      </c>
      <c r="AD863">
        <v>0</v>
      </c>
      <c r="AE863">
        <v>11152350</v>
      </c>
      <c r="AF863" t="s">
        <v>79</v>
      </c>
      <c r="AG863" t="s">
        <v>1695</v>
      </c>
    </row>
    <row r="864" spans="1:33" x14ac:dyDescent="0.35">
      <c r="A864" s="18">
        <v>44469.729861111111</v>
      </c>
      <c r="B864">
        <v>4538252</v>
      </c>
      <c r="C864" t="s">
        <v>2173</v>
      </c>
      <c r="D864" t="s">
        <v>70</v>
      </c>
      <c r="E864" s="19">
        <v>42611</v>
      </c>
      <c r="F864" t="str">
        <f>"9781118981993"</f>
        <v>9781118981993</v>
      </c>
      <c r="G864" t="str">
        <f>"9781118982037"</f>
        <v>9781118982037</v>
      </c>
      <c r="H864" t="s">
        <v>528</v>
      </c>
      <c r="I864">
        <v>160</v>
      </c>
      <c r="J864" t="s">
        <v>2174</v>
      </c>
      <c r="K864" t="s">
        <v>73</v>
      </c>
      <c r="N864" t="s">
        <v>74</v>
      </c>
      <c r="O864" t="s">
        <v>75</v>
      </c>
      <c r="P864" t="s">
        <v>74</v>
      </c>
      <c r="Q864" t="s">
        <v>76</v>
      </c>
      <c r="R864" t="s">
        <v>73</v>
      </c>
      <c r="S864">
        <v>0</v>
      </c>
      <c r="W864" s="20">
        <v>1.8518518518518518E-4</v>
      </c>
      <c r="X864" t="s">
        <v>2175</v>
      </c>
      <c r="Y864">
        <v>3</v>
      </c>
      <c r="Z864">
        <v>0</v>
      </c>
      <c r="AA864" t="s">
        <v>78</v>
      </c>
      <c r="AB864">
        <v>0</v>
      </c>
      <c r="AC864" t="s">
        <v>78</v>
      </c>
      <c r="AD864">
        <v>0</v>
      </c>
      <c r="AE864">
        <v>11275338</v>
      </c>
      <c r="AF864" t="s">
        <v>79</v>
      </c>
      <c r="AG864" t="s">
        <v>1695</v>
      </c>
    </row>
    <row r="865" spans="1:33" x14ac:dyDescent="0.35">
      <c r="A865" s="18">
        <v>44469.705555555556</v>
      </c>
      <c r="B865">
        <v>1574357</v>
      </c>
      <c r="C865" t="s">
        <v>1544</v>
      </c>
      <c r="D865" t="s">
        <v>70</v>
      </c>
      <c r="E865" s="19">
        <v>41680</v>
      </c>
      <c r="F865" t="str">
        <f>"9781118703366"</f>
        <v>9781118703366</v>
      </c>
      <c r="G865" t="str">
        <f>"9781118634165"</f>
        <v>9781118634165</v>
      </c>
      <c r="H865" t="s">
        <v>71</v>
      </c>
      <c r="I865">
        <v>621.31244000000004</v>
      </c>
      <c r="J865" t="s">
        <v>1545</v>
      </c>
      <c r="K865" t="s">
        <v>73</v>
      </c>
      <c r="N865" t="s">
        <v>74</v>
      </c>
      <c r="O865" t="s">
        <v>75</v>
      </c>
      <c r="P865" t="s">
        <v>74</v>
      </c>
      <c r="Q865" t="s">
        <v>76</v>
      </c>
      <c r="R865" t="s">
        <v>73</v>
      </c>
      <c r="S865">
        <v>0</v>
      </c>
      <c r="W865" s="20">
        <v>8.9120370370370362E-4</v>
      </c>
      <c r="X865" t="s">
        <v>2176</v>
      </c>
      <c r="Y865">
        <v>9</v>
      </c>
      <c r="Z865">
        <v>0</v>
      </c>
      <c r="AA865" t="s">
        <v>78</v>
      </c>
      <c r="AB865">
        <v>0</v>
      </c>
      <c r="AC865" t="s">
        <v>78</v>
      </c>
      <c r="AD865">
        <v>0</v>
      </c>
      <c r="AE865">
        <v>10814681</v>
      </c>
      <c r="AF865" t="s">
        <v>79</v>
      </c>
      <c r="AG865" t="s">
        <v>1963</v>
      </c>
    </row>
    <row r="866" spans="1:33" x14ac:dyDescent="0.35">
      <c r="A866" s="18">
        <v>44469.637499999997</v>
      </c>
      <c r="B866">
        <v>6546221</v>
      </c>
      <c r="C866" t="s">
        <v>178</v>
      </c>
      <c r="D866" t="s">
        <v>158</v>
      </c>
      <c r="E866" s="19">
        <v>44299</v>
      </c>
      <c r="F866" t="str">
        <f>"9780128219300"</f>
        <v>9780128219300</v>
      </c>
      <c r="G866" t="str">
        <f>"9780128219294"</f>
        <v>9780128219294</v>
      </c>
      <c r="H866" t="s">
        <v>179</v>
      </c>
      <c r="I866">
        <v>622.33802856310001</v>
      </c>
      <c r="J866" t="s">
        <v>180</v>
      </c>
      <c r="K866" t="s">
        <v>85</v>
      </c>
      <c r="N866" t="s">
        <v>86</v>
      </c>
      <c r="P866" t="s">
        <v>87</v>
      </c>
      <c r="Q866" t="s">
        <v>76</v>
      </c>
      <c r="R866" t="s">
        <v>73</v>
      </c>
      <c r="S866">
        <v>0</v>
      </c>
      <c r="W866" s="20">
        <v>0</v>
      </c>
      <c r="X866" t="s">
        <v>78</v>
      </c>
      <c r="Y866">
        <v>0</v>
      </c>
      <c r="Z866">
        <v>8</v>
      </c>
      <c r="AA866" t="s">
        <v>2177</v>
      </c>
      <c r="AB866">
        <v>108</v>
      </c>
      <c r="AC866" t="s">
        <v>78</v>
      </c>
      <c r="AD866">
        <v>0</v>
      </c>
      <c r="AE866">
        <v>-1</v>
      </c>
      <c r="AF866" t="s">
        <v>79</v>
      </c>
      <c r="AG866" t="s">
        <v>2121</v>
      </c>
    </row>
    <row r="867" spans="1:33" x14ac:dyDescent="0.35">
      <c r="A867" s="18">
        <v>44469.635416666664</v>
      </c>
      <c r="B867">
        <v>4037526</v>
      </c>
      <c r="C867" t="s">
        <v>2178</v>
      </c>
      <c r="D867" t="s">
        <v>70</v>
      </c>
      <c r="E867" s="19">
        <v>42247</v>
      </c>
      <c r="F867" t="str">
        <f>"9781118682753"</f>
        <v>9781118682753</v>
      </c>
      <c r="G867" t="str">
        <f>"9781118540329"</f>
        <v>9781118540329</v>
      </c>
      <c r="H867" t="s">
        <v>868</v>
      </c>
      <c r="I867">
        <v>612.01576999999997</v>
      </c>
      <c r="J867" t="s">
        <v>2179</v>
      </c>
      <c r="K867" t="s">
        <v>73</v>
      </c>
      <c r="N867" t="s">
        <v>74</v>
      </c>
      <c r="O867" t="s">
        <v>75</v>
      </c>
      <c r="P867" t="s">
        <v>74</v>
      </c>
      <c r="Q867" t="s">
        <v>76</v>
      </c>
      <c r="R867" t="s">
        <v>73</v>
      </c>
      <c r="S867">
        <v>3</v>
      </c>
      <c r="W867" s="20">
        <v>0</v>
      </c>
      <c r="X867" t="s">
        <v>78</v>
      </c>
      <c r="Y867">
        <v>0</v>
      </c>
      <c r="Z867">
        <v>0</v>
      </c>
      <c r="AA867" t="s">
        <v>78</v>
      </c>
      <c r="AB867">
        <v>0</v>
      </c>
      <c r="AC867" t="s">
        <v>78</v>
      </c>
      <c r="AD867">
        <v>0</v>
      </c>
      <c r="AE867">
        <v>11111792</v>
      </c>
      <c r="AF867" t="s">
        <v>88</v>
      </c>
      <c r="AG867" t="s">
        <v>2180</v>
      </c>
    </row>
    <row r="868" spans="1:33" x14ac:dyDescent="0.35">
      <c r="A868" s="18">
        <v>44469.634722222225</v>
      </c>
      <c r="B868">
        <v>5983754</v>
      </c>
      <c r="C868" t="s">
        <v>2181</v>
      </c>
      <c r="D868" t="s">
        <v>158</v>
      </c>
      <c r="E868" s="19">
        <v>43787</v>
      </c>
      <c r="F868" t="str">
        <f>"9780128150702"</f>
        <v>9780128150702</v>
      </c>
      <c r="G868" t="str">
        <f>"9780128150696"</f>
        <v>9780128150696</v>
      </c>
      <c r="H868" t="s">
        <v>1623</v>
      </c>
      <c r="I868">
        <v>621.48299999999995</v>
      </c>
      <c r="J868" t="s">
        <v>2182</v>
      </c>
      <c r="K868" t="s">
        <v>85</v>
      </c>
      <c r="N868" t="s">
        <v>86</v>
      </c>
      <c r="P868" t="s">
        <v>1850</v>
      </c>
      <c r="Q868" t="s">
        <v>76</v>
      </c>
      <c r="R868" t="s">
        <v>73</v>
      </c>
      <c r="S868">
        <v>0</v>
      </c>
      <c r="W868" s="20">
        <v>3.5879629629629635E-4</v>
      </c>
      <c r="X868" t="s">
        <v>2183</v>
      </c>
      <c r="Y868">
        <v>5</v>
      </c>
      <c r="Z868">
        <v>0</v>
      </c>
      <c r="AA868" t="s">
        <v>78</v>
      </c>
      <c r="AB868">
        <v>0</v>
      </c>
      <c r="AC868" t="s">
        <v>78</v>
      </c>
      <c r="AD868">
        <v>0</v>
      </c>
      <c r="AE868">
        <v>-1</v>
      </c>
      <c r="AF868" t="s">
        <v>88</v>
      </c>
      <c r="AG868" t="s">
        <v>1963</v>
      </c>
    </row>
    <row r="869" spans="1:33" x14ac:dyDescent="0.35">
      <c r="A869" s="18">
        <v>44469.634027777778</v>
      </c>
      <c r="B869">
        <v>6388658</v>
      </c>
      <c r="C869" t="s">
        <v>2184</v>
      </c>
      <c r="D869" t="s">
        <v>158</v>
      </c>
      <c r="E869" s="19">
        <v>44148</v>
      </c>
      <c r="F869" t="str">
        <f>"9780128181911"</f>
        <v>9780128181911</v>
      </c>
      <c r="G869" t="str">
        <f>"9780128181904"</f>
        <v>9780128181904</v>
      </c>
      <c r="H869" t="s">
        <v>2185</v>
      </c>
      <c r="I869">
        <v>621.48299999999995</v>
      </c>
      <c r="J869" t="s">
        <v>2186</v>
      </c>
      <c r="K869" t="s">
        <v>85</v>
      </c>
      <c r="N869" t="s">
        <v>86</v>
      </c>
      <c r="P869" t="s">
        <v>87</v>
      </c>
      <c r="Q869" t="s">
        <v>76</v>
      </c>
      <c r="R869" t="s">
        <v>73</v>
      </c>
      <c r="S869">
        <v>0</v>
      </c>
      <c r="T869">
        <v>90</v>
      </c>
      <c r="U869" s="18">
        <v>44461.498611111114</v>
      </c>
      <c r="V869" s="18">
        <v>44551.498611111114</v>
      </c>
      <c r="W869" s="20">
        <v>0</v>
      </c>
      <c r="X869" t="s">
        <v>132</v>
      </c>
      <c r="Y869">
        <v>1</v>
      </c>
      <c r="Z869">
        <v>0</v>
      </c>
      <c r="AA869" t="s">
        <v>78</v>
      </c>
      <c r="AB869">
        <v>0</v>
      </c>
      <c r="AC869" t="s">
        <v>78</v>
      </c>
      <c r="AD869">
        <v>0</v>
      </c>
      <c r="AE869">
        <v>-1</v>
      </c>
      <c r="AF869" t="s">
        <v>88</v>
      </c>
      <c r="AG869" t="s">
        <v>1963</v>
      </c>
    </row>
    <row r="870" spans="1:33" x14ac:dyDescent="0.35">
      <c r="A870" s="18">
        <v>44469.634027777778</v>
      </c>
      <c r="B870">
        <v>4037526</v>
      </c>
      <c r="C870" t="s">
        <v>2178</v>
      </c>
      <c r="D870" t="s">
        <v>70</v>
      </c>
      <c r="E870" s="19">
        <v>42247</v>
      </c>
      <c r="F870" t="str">
        <f>"9781118682753"</f>
        <v>9781118682753</v>
      </c>
      <c r="G870" t="str">
        <f>"9781118540329"</f>
        <v>9781118540329</v>
      </c>
      <c r="H870" t="s">
        <v>868</v>
      </c>
      <c r="I870">
        <v>612.01576999999997</v>
      </c>
      <c r="J870" t="s">
        <v>2179</v>
      </c>
      <c r="K870" t="s">
        <v>73</v>
      </c>
      <c r="N870" t="s">
        <v>74</v>
      </c>
      <c r="O870" t="s">
        <v>75</v>
      </c>
      <c r="P870" t="s">
        <v>74</v>
      </c>
      <c r="Q870" t="s">
        <v>76</v>
      </c>
      <c r="R870" t="s">
        <v>73</v>
      </c>
      <c r="S870">
        <v>0</v>
      </c>
      <c r="W870" s="20">
        <v>7.0601851851851847E-4</v>
      </c>
      <c r="X870" t="s">
        <v>1279</v>
      </c>
      <c r="Y870">
        <v>10</v>
      </c>
      <c r="Z870">
        <v>0</v>
      </c>
      <c r="AA870" t="s">
        <v>78</v>
      </c>
      <c r="AB870">
        <v>0</v>
      </c>
      <c r="AC870" t="s">
        <v>78</v>
      </c>
      <c r="AD870">
        <v>0</v>
      </c>
      <c r="AE870">
        <v>11111792</v>
      </c>
      <c r="AF870" t="s">
        <v>79</v>
      </c>
      <c r="AG870" t="s">
        <v>2180</v>
      </c>
    </row>
    <row r="871" spans="1:33" x14ac:dyDescent="0.35">
      <c r="A871" s="18">
        <v>44469.633333333331</v>
      </c>
      <c r="B871">
        <v>6388658</v>
      </c>
      <c r="C871" t="s">
        <v>2184</v>
      </c>
      <c r="D871" t="s">
        <v>158</v>
      </c>
      <c r="E871" s="19">
        <v>44148</v>
      </c>
      <c r="F871" t="str">
        <f>"9780128181911"</f>
        <v>9780128181911</v>
      </c>
      <c r="G871" t="str">
        <f>"9780128181904"</f>
        <v>9780128181904</v>
      </c>
      <c r="H871" t="s">
        <v>2185</v>
      </c>
      <c r="I871">
        <v>621.48299999999995</v>
      </c>
      <c r="J871" t="s">
        <v>2186</v>
      </c>
      <c r="K871" t="s">
        <v>85</v>
      </c>
      <c r="N871" t="s">
        <v>86</v>
      </c>
      <c r="P871" t="s">
        <v>87</v>
      </c>
      <c r="Q871" t="s">
        <v>76</v>
      </c>
      <c r="R871" t="s">
        <v>73</v>
      </c>
      <c r="S871">
        <v>0</v>
      </c>
      <c r="W871" s="20">
        <v>4.6296296296296294E-5</v>
      </c>
      <c r="X871" t="s">
        <v>132</v>
      </c>
      <c r="Y871">
        <v>1</v>
      </c>
      <c r="Z871">
        <v>0</v>
      </c>
      <c r="AA871" t="s">
        <v>78</v>
      </c>
      <c r="AB871">
        <v>0</v>
      </c>
      <c r="AC871" t="s">
        <v>78</v>
      </c>
      <c r="AD871">
        <v>0</v>
      </c>
      <c r="AE871">
        <v>-1</v>
      </c>
      <c r="AF871" t="s">
        <v>79</v>
      </c>
      <c r="AG871" t="s">
        <v>1963</v>
      </c>
    </row>
    <row r="872" spans="1:33" x14ac:dyDescent="0.35">
      <c r="A872" s="18">
        <v>44469.633333333331</v>
      </c>
      <c r="B872">
        <v>6546221</v>
      </c>
      <c r="C872" t="s">
        <v>178</v>
      </c>
      <c r="D872" t="s">
        <v>158</v>
      </c>
      <c r="E872" s="19">
        <v>44299</v>
      </c>
      <c r="F872" t="str">
        <f>"9780128219300"</f>
        <v>9780128219300</v>
      </c>
      <c r="G872" t="str">
        <f>"9780128219294"</f>
        <v>9780128219294</v>
      </c>
      <c r="H872" t="s">
        <v>179</v>
      </c>
      <c r="I872">
        <v>622.33802856310001</v>
      </c>
      <c r="J872" t="s">
        <v>180</v>
      </c>
      <c r="K872" t="s">
        <v>85</v>
      </c>
      <c r="N872" t="s">
        <v>86</v>
      </c>
      <c r="P872" t="s">
        <v>87</v>
      </c>
      <c r="Q872" t="s">
        <v>76</v>
      </c>
      <c r="R872" t="s">
        <v>73</v>
      </c>
      <c r="S872">
        <v>0</v>
      </c>
      <c r="W872" s="20">
        <v>7.9861111111111105E-4</v>
      </c>
      <c r="X872" t="s">
        <v>2187</v>
      </c>
      <c r="Y872">
        <v>7</v>
      </c>
      <c r="Z872">
        <v>0</v>
      </c>
      <c r="AA872" t="s">
        <v>2188</v>
      </c>
      <c r="AB872">
        <v>96</v>
      </c>
      <c r="AC872" t="s">
        <v>78</v>
      </c>
      <c r="AD872">
        <v>0</v>
      </c>
      <c r="AE872">
        <v>-1</v>
      </c>
      <c r="AF872" t="s">
        <v>79</v>
      </c>
      <c r="AG872" t="s">
        <v>2121</v>
      </c>
    </row>
    <row r="873" spans="1:33" x14ac:dyDescent="0.35">
      <c r="A873" s="18">
        <v>44469.629166666666</v>
      </c>
      <c r="B873">
        <v>6546221</v>
      </c>
      <c r="C873" t="s">
        <v>178</v>
      </c>
      <c r="D873" t="s">
        <v>158</v>
      </c>
      <c r="E873" s="19">
        <v>44299</v>
      </c>
      <c r="F873" t="str">
        <f>"9780128219300"</f>
        <v>9780128219300</v>
      </c>
      <c r="G873" t="str">
        <f>"9780128219294"</f>
        <v>9780128219294</v>
      </c>
      <c r="H873" t="s">
        <v>179</v>
      </c>
      <c r="I873">
        <v>622.33802856310001</v>
      </c>
      <c r="J873" t="s">
        <v>180</v>
      </c>
      <c r="K873" t="s">
        <v>85</v>
      </c>
      <c r="N873" t="s">
        <v>86</v>
      </c>
      <c r="P873" t="s">
        <v>87</v>
      </c>
      <c r="Q873" t="s">
        <v>76</v>
      </c>
      <c r="R873" t="s">
        <v>73</v>
      </c>
      <c r="S873">
        <v>0</v>
      </c>
      <c r="W873" s="20">
        <v>1.3310185185185185E-3</v>
      </c>
      <c r="X873" t="s">
        <v>2189</v>
      </c>
      <c r="Y873">
        <v>15</v>
      </c>
      <c r="Z873">
        <v>0</v>
      </c>
      <c r="AA873" t="s">
        <v>78</v>
      </c>
      <c r="AB873">
        <v>0</v>
      </c>
      <c r="AC873" t="s">
        <v>78</v>
      </c>
      <c r="AD873">
        <v>0</v>
      </c>
      <c r="AE873">
        <v>-1</v>
      </c>
      <c r="AF873" t="s">
        <v>79</v>
      </c>
      <c r="AG873" t="s">
        <v>2190</v>
      </c>
    </row>
    <row r="874" spans="1:33" x14ac:dyDescent="0.35">
      <c r="A874" s="18">
        <v>44469.604861111111</v>
      </c>
      <c r="B874">
        <v>1365057</v>
      </c>
      <c r="C874" t="s">
        <v>2191</v>
      </c>
      <c r="D874" t="s">
        <v>70</v>
      </c>
      <c r="E874" s="19">
        <v>33246</v>
      </c>
      <c r="F874" t="str">
        <f>"9781118724996"</f>
        <v>9781118724996</v>
      </c>
      <c r="G874" t="str">
        <f>"9780631156246"</f>
        <v>9780631156246</v>
      </c>
      <c r="H874" t="s">
        <v>308</v>
      </c>
      <c r="I874">
        <v>292.08</v>
      </c>
      <c r="J874" t="s">
        <v>2192</v>
      </c>
      <c r="K874" t="s">
        <v>73</v>
      </c>
      <c r="N874" t="s">
        <v>74</v>
      </c>
      <c r="O874" t="s">
        <v>75</v>
      </c>
      <c r="P874" t="s">
        <v>74</v>
      </c>
      <c r="Q874" t="s">
        <v>76</v>
      </c>
      <c r="R874" t="s">
        <v>73</v>
      </c>
      <c r="S874">
        <v>0</v>
      </c>
      <c r="W874" s="20">
        <v>0</v>
      </c>
      <c r="X874" t="s">
        <v>78</v>
      </c>
      <c r="Y874">
        <v>0</v>
      </c>
      <c r="Z874">
        <v>5</v>
      </c>
      <c r="AA874" t="s">
        <v>2193</v>
      </c>
      <c r="AB874">
        <v>126</v>
      </c>
      <c r="AC874" t="s">
        <v>78</v>
      </c>
      <c r="AD874">
        <v>0</v>
      </c>
      <c r="AE874">
        <v>10753395</v>
      </c>
      <c r="AF874" t="s">
        <v>79</v>
      </c>
      <c r="AG874" t="s">
        <v>1695</v>
      </c>
    </row>
    <row r="875" spans="1:33" x14ac:dyDescent="0.35">
      <c r="A875" s="18">
        <v>44469.595138888886</v>
      </c>
      <c r="B875">
        <v>6510821</v>
      </c>
      <c r="C875" t="s">
        <v>2194</v>
      </c>
      <c r="D875" t="s">
        <v>990</v>
      </c>
      <c r="E875" s="19">
        <v>44288</v>
      </c>
      <c r="F875" t="str">
        <f>"9780197506240"</f>
        <v>9780197506240</v>
      </c>
      <c r="G875" t="str">
        <f>"9780197506226"</f>
        <v>9780197506226</v>
      </c>
      <c r="H875" t="s">
        <v>222</v>
      </c>
      <c r="I875">
        <v>610.69000000000005</v>
      </c>
      <c r="J875" t="s">
        <v>2195</v>
      </c>
      <c r="K875" t="s">
        <v>85</v>
      </c>
      <c r="N875" t="s">
        <v>86</v>
      </c>
      <c r="P875" t="s">
        <v>1850</v>
      </c>
      <c r="Q875" t="s">
        <v>76</v>
      </c>
      <c r="R875" t="s">
        <v>73</v>
      </c>
      <c r="S875">
        <v>0</v>
      </c>
      <c r="W875" s="20">
        <v>0</v>
      </c>
      <c r="X875" t="s">
        <v>78</v>
      </c>
      <c r="Y875">
        <v>0</v>
      </c>
      <c r="Z875">
        <v>5</v>
      </c>
      <c r="AA875" t="s">
        <v>2196</v>
      </c>
      <c r="AB875">
        <v>74</v>
      </c>
      <c r="AC875" t="s">
        <v>78</v>
      </c>
      <c r="AD875">
        <v>0</v>
      </c>
      <c r="AE875">
        <v>-1</v>
      </c>
      <c r="AF875" t="s">
        <v>79</v>
      </c>
      <c r="AG875" t="s">
        <v>1963</v>
      </c>
    </row>
    <row r="876" spans="1:33" x14ac:dyDescent="0.35">
      <c r="A876" s="18">
        <v>44469.588194444441</v>
      </c>
      <c r="B876">
        <v>4538252</v>
      </c>
      <c r="C876" t="s">
        <v>2173</v>
      </c>
      <c r="D876" t="s">
        <v>70</v>
      </c>
      <c r="E876" s="19">
        <v>42611</v>
      </c>
      <c r="F876" t="str">
        <f>"9781118981993"</f>
        <v>9781118981993</v>
      </c>
      <c r="G876" t="str">
        <f>"9781118982037"</f>
        <v>9781118982037</v>
      </c>
      <c r="H876" t="s">
        <v>528</v>
      </c>
      <c r="I876">
        <v>160</v>
      </c>
      <c r="J876" t="s">
        <v>2174</v>
      </c>
      <c r="K876" t="s">
        <v>73</v>
      </c>
      <c r="N876" t="s">
        <v>74</v>
      </c>
      <c r="O876" t="s">
        <v>75</v>
      </c>
      <c r="P876" t="s">
        <v>74</v>
      </c>
      <c r="Q876" t="s">
        <v>76</v>
      </c>
      <c r="R876" t="s">
        <v>73</v>
      </c>
      <c r="S876">
        <v>0</v>
      </c>
      <c r="W876" s="20">
        <v>9.2592592592592588E-5</v>
      </c>
      <c r="X876" t="s">
        <v>125</v>
      </c>
      <c r="Y876">
        <v>2</v>
      </c>
      <c r="Z876">
        <v>0</v>
      </c>
      <c r="AA876" t="s">
        <v>78</v>
      </c>
      <c r="AB876">
        <v>0</v>
      </c>
      <c r="AC876" t="s">
        <v>78</v>
      </c>
      <c r="AD876">
        <v>0</v>
      </c>
      <c r="AE876">
        <v>11275338</v>
      </c>
      <c r="AF876" t="s">
        <v>79</v>
      </c>
      <c r="AG876" t="s">
        <v>1695</v>
      </c>
    </row>
    <row r="877" spans="1:33" x14ac:dyDescent="0.35">
      <c r="A877" s="18">
        <v>44469.581250000003</v>
      </c>
      <c r="B877">
        <v>1875451</v>
      </c>
      <c r="C877" t="s">
        <v>2197</v>
      </c>
      <c r="D877" t="s">
        <v>506</v>
      </c>
      <c r="E877" s="19">
        <v>41964</v>
      </c>
      <c r="F877" t="str">
        <f>"9789004279841"</f>
        <v>9789004279841</v>
      </c>
      <c r="G877" t="str">
        <f>"9789004277809"</f>
        <v>9789004277809</v>
      </c>
      <c r="H877" t="s">
        <v>251</v>
      </c>
      <c r="I877">
        <v>340.59</v>
      </c>
      <c r="J877" t="s">
        <v>2198</v>
      </c>
      <c r="K877" t="s">
        <v>73</v>
      </c>
      <c r="N877" t="s">
        <v>74</v>
      </c>
      <c r="O877" t="s">
        <v>75</v>
      </c>
      <c r="P877" t="s">
        <v>74</v>
      </c>
      <c r="Q877" t="s">
        <v>76</v>
      </c>
      <c r="R877" t="s">
        <v>73</v>
      </c>
      <c r="S877">
        <v>0</v>
      </c>
      <c r="W877" s="20">
        <v>1.3888888888888889E-3</v>
      </c>
      <c r="X877" t="s">
        <v>2199</v>
      </c>
      <c r="Y877">
        <v>21</v>
      </c>
      <c r="Z877">
        <v>0</v>
      </c>
      <c r="AA877" t="s">
        <v>78</v>
      </c>
      <c r="AB877">
        <v>0</v>
      </c>
      <c r="AC877" t="s">
        <v>78</v>
      </c>
      <c r="AD877">
        <v>0</v>
      </c>
      <c r="AE877">
        <v>10992607</v>
      </c>
      <c r="AF877" t="s">
        <v>88</v>
      </c>
      <c r="AG877" t="s">
        <v>1695</v>
      </c>
    </row>
    <row r="878" spans="1:33" x14ac:dyDescent="0.35">
      <c r="A878" s="18">
        <v>44469.577777777777</v>
      </c>
      <c r="B878">
        <v>3407982</v>
      </c>
      <c r="C878" t="s">
        <v>2200</v>
      </c>
      <c r="D878" t="s">
        <v>517</v>
      </c>
      <c r="E878" s="19">
        <v>37448</v>
      </c>
      <c r="F878" t="str">
        <f>"9780791488577"</f>
        <v>9780791488577</v>
      </c>
      <c r="G878" t="str">
        <f>"9780791453810"</f>
        <v>9780791453810</v>
      </c>
      <c r="H878" t="s">
        <v>308</v>
      </c>
      <c r="I878" t="s">
        <v>2201</v>
      </c>
      <c r="J878" t="s">
        <v>2202</v>
      </c>
      <c r="K878" t="s">
        <v>73</v>
      </c>
      <c r="N878" t="s">
        <v>74</v>
      </c>
      <c r="O878" t="s">
        <v>75</v>
      </c>
      <c r="P878" t="s">
        <v>74</v>
      </c>
      <c r="Q878" t="s">
        <v>76</v>
      </c>
      <c r="R878" t="s">
        <v>73</v>
      </c>
      <c r="S878">
        <v>0</v>
      </c>
      <c r="W878" s="20">
        <v>2.8587962962962963E-3</v>
      </c>
      <c r="X878" t="s">
        <v>2203</v>
      </c>
      <c r="Y878">
        <v>18</v>
      </c>
      <c r="Z878">
        <v>0</v>
      </c>
      <c r="AA878" t="s">
        <v>78</v>
      </c>
      <c r="AB878">
        <v>0</v>
      </c>
      <c r="AC878" t="s">
        <v>78</v>
      </c>
      <c r="AD878">
        <v>0</v>
      </c>
      <c r="AE878">
        <v>10587181</v>
      </c>
      <c r="AF878" t="s">
        <v>88</v>
      </c>
      <c r="AG878" t="s">
        <v>1695</v>
      </c>
    </row>
    <row r="879" spans="1:33" x14ac:dyDescent="0.35">
      <c r="A879" s="18">
        <v>44469.56527777778</v>
      </c>
      <c r="B879">
        <v>4037275</v>
      </c>
      <c r="C879" t="s">
        <v>1999</v>
      </c>
      <c r="D879" t="s">
        <v>1711</v>
      </c>
      <c r="E879" s="19">
        <v>42233</v>
      </c>
      <c r="F879" t="str">
        <f>"9781118652671"</f>
        <v>9781118652671</v>
      </c>
      <c r="G879" t="str">
        <f>"9781118652732"</f>
        <v>9781118652732</v>
      </c>
      <c r="H879" t="s">
        <v>1561</v>
      </c>
      <c r="I879" t="s">
        <v>2000</v>
      </c>
      <c r="J879" t="s">
        <v>2001</v>
      </c>
      <c r="K879" t="s">
        <v>73</v>
      </c>
      <c r="N879" t="s">
        <v>74</v>
      </c>
      <c r="O879" t="s">
        <v>75</v>
      </c>
      <c r="P879" t="s">
        <v>74</v>
      </c>
      <c r="Q879" t="s">
        <v>76</v>
      </c>
      <c r="R879" t="s">
        <v>73</v>
      </c>
      <c r="S879">
        <v>0</v>
      </c>
      <c r="W879" s="20">
        <v>6.145833333333333E-3</v>
      </c>
      <c r="X879" t="s">
        <v>2204</v>
      </c>
      <c r="Y879">
        <v>4</v>
      </c>
      <c r="Z879">
        <v>0</v>
      </c>
      <c r="AA879" t="s">
        <v>78</v>
      </c>
      <c r="AB879">
        <v>0</v>
      </c>
      <c r="AC879" t="s">
        <v>78</v>
      </c>
      <c r="AD879">
        <v>0</v>
      </c>
      <c r="AE879">
        <v>11111615</v>
      </c>
      <c r="AF879" t="s">
        <v>79</v>
      </c>
      <c r="AG879" t="s">
        <v>1695</v>
      </c>
    </row>
    <row r="880" spans="1:33" x14ac:dyDescent="0.35">
      <c r="A880" s="18">
        <v>44469.554861111108</v>
      </c>
      <c r="B880">
        <v>231640</v>
      </c>
      <c r="C880" t="s">
        <v>419</v>
      </c>
      <c r="D880" t="s">
        <v>205</v>
      </c>
      <c r="E880" s="19">
        <v>38472</v>
      </c>
      <c r="F880" t="str">
        <f>"9781580533669"</f>
        <v>9781580533669</v>
      </c>
      <c r="G880" t="str">
        <f>"9781580536103"</f>
        <v>9781580536103</v>
      </c>
      <c r="H880" t="s">
        <v>71</v>
      </c>
      <c r="I880" t="s">
        <v>420</v>
      </c>
      <c r="J880" t="s">
        <v>421</v>
      </c>
      <c r="K880" t="s">
        <v>73</v>
      </c>
      <c r="N880" t="s">
        <v>74</v>
      </c>
      <c r="O880" t="s">
        <v>75</v>
      </c>
      <c r="P880" t="s">
        <v>74</v>
      </c>
      <c r="Q880" t="s">
        <v>76</v>
      </c>
      <c r="R880" t="s">
        <v>73</v>
      </c>
      <c r="S880">
        <v>0</v>
      </c>
      <c r="W880" s="20">
        <v>3.0208333333333333E-3</v>
      </c>
      <c r="X880" t="s">
        <v>2205</v>
      </c>
      <c r="Y880">
        <v>40</v>
      </c>
      <c r="Z880">
        <v>0</v>
      </c>
      <c r="AA880" t="s">
        <v>78</v>
      </c>
      <c r="AB880">
        <v>0</v>
      </c>
      <c r="AC880" t="s">
        <v>78</v>
      </c>
      <c r="AD880">
        <v>0</v>
      </c>
      <c r="AE880">
        <v>10081926</v>
      </c>
      <c r="AF880" t="s">
        <v>79</v>
      </c>
      <c r="AG880" t="s">
        <v>1695</v>
      </c>
    </row>
    <row r="881" spans="1:33" x14ac:dyDescent="0.35">
      <c r="A881" s="18">
        <v>44469.486805555556</v>
      </c>
      <c r="B881">
        <v>1875451</v>
      </c>
      <c r="C881" t="s">
        <v>2197</v>
      </c>
      <c r="D881" t="s">
        <v>506</v>
      </c>
      <c r="E881" s="19">
        <v>41964</v>
      </c>
      <c r="F881" t="str">
        <f>"9789004279841"</f>
        <v>9789004279841</v>
      </c>
      <c r="G881" t="str">
        <f>"9789004277809"</f>
        <v>9789004277809</v>
      </c>
      <c r="H881" t="s">
        <v>251</v>
      </c>
      <c r="I881">
        <v>340.59</v>
      </c>
      <c r="J881" t="s">
        <v>2198</v>
      </c>
      <c r="K881" t="s">
        <v>73</v>
      </c>
      <c r="N881" t="s">
        <v>74</v>
      </c>
      <c r="O881" t="s">
        <v>75</v>
      </c>
      <c r="P881" t="s">
        <v>74</v>
      </c>
      <c r="Q881" t="s">
        <v>76</v>
      </c>
      <c r="R881" t="s">
        <v>73</v>
      </c>
      <c r="S881">
        <v>1</v>
      </c>
      <c r="W881" s="20">
        <v>1.5046296296296294E-3</v>
      </c>
      <c r="X881" t="s">
        <v>2206</v>
      </c>
      <c r="Y881">
        <v>17</v>
      </c>
      <c r="Z881">
        <v>0</v>
      </c>
      <c r="AA881" t="s">
        <v>78</v>
      </c>
      <c r="AB881">
        <v>0</v>
      </c>
      <c r="AC881" t="s">
        <v>78</v>
      </c>
      <c r="AD881">
        <v>0</v>
      </c>
      <c r="AE881">
        <v>10992607</v>
      </c>
      <c r="AF881" t="s">
        <v>88</v>
      </c>
      <c r="AG881" t="s">
        <v>1695</v>
      </c>
    </row>
    <row r="882" spans="1:33" x14ac:dyDescent="0.35">
      <c r="A882" s="18">
        <v>44469.481249999997</v>
      </c>
      <c r="B882">
        <v>5558400</v>
      </c>
      <c r="C882" t="s">
        <v>1990</v>
      </c>
      <c r="D882" t="s">
        <v>70</v>
      </c>
      <c r="E882" s="19">
        <v>43396</v>
      </c>
      <c r="F882" t="str">
        <f>"9781119516200"</f>
        <v>9781119516200</v>
      </c>
      <c r="G882" t="str">
        <f>"9781119516187"</f>
        <v>9781119516187</v>
      </c>
      <c r="H882" t="s">
        <v>128</v>
      </c>
      <c r="I882">
        <v>307.76</v>
      </c>
      <c r="J882" t="s">
        <v>1991</v>
      </c>
      <c r="K882" t="s">
        <v>73</v>
      </c>
      <c r="N882" t="s">
        <v>74</v>
      </c>
      <c r="O882" t="s">
        <v>75</v>
      </c>
      <c r="P882" t="s">
        <v>74</v>
      </c>
      <c r="Q882" t="s">
        <v>76</v>
      </c>
      <c r="R882" t="s">
        <v>73</v>
      </c>
      <c r="S882">
        <v>0</v>
      </c>
      <c r="W882" s="20">
        <v>2.1990740740740742E-3</v>
      </c>
      <c r="X882" t="s">
        <v>2153</v>
      </c>
      <c r="Y882">
        <v>6</v>
      </c>
      <c r="Z882">
        <v>0</v>
      </c>
      <c r="AA882" t="s">
        <v>78</v>
      </c>
      <c r="AB882">
        <v>0</v>
      </c>
      <c r="AC882" t="s">
        <v>78</v>
      </c>
      <c r="AD882">
        <v>0</v>
      </c>
      <c r="AE882">
        <v>-1</v>
      </c>
      <c r="AF882" t="s">
        <v>79</v>
      </c>
      <c r="AG882" t="s">
        <v>1963</v>
      </c>
    </row>
    <row r="883" spans="1:33" x14ac:dyDescent="0.35">
      <c r="A883" s="18">
        <v>44469.480555555558</v>
      </c>
      <c r="B883">
        <v>1875451</v>
      </c>
      <c r="C883" t="s">
        <v>2197</v>
      </c>
      <c r="D883" t="s">
        <v>506</v>
      </c>
      <c r="E883" s="19">
        <v>41964</v>
      </c>
      <c r="F883" t="str">
        <f>"9789004279841"</f>
        <v>9789004279841</v>
      </c>
      <c r="G883" t="str">
        <f>"9789004277809"</f>
        <v>9789004277809</v>
      </c>
      <c r="H883" t="s">
        <v>251</v>
      </c>
      <c r="I883">
        <v>340.59</v>
      </c>
      <c r="J883" t="s">
        <v>2198</v>
      </c>
      <c r="K883" t="s">
        <v>73</v>
      </c>
      <c r="N883" t="s">
        <v>74</v>
      </c>
      <c r="O883" t="s">
        <v>75</v>
      </c>
      <c r="P883" t="s">
        <v>74</v>
      </c>
      <c r="Q883" t="s">
        <v>76</v>
      </c>
      <c r="R883" t="s">
        <v>73</v>
      </c>
      <c r="S883">
        <v>0</v>
      </c>
      <c r="W883" s="20">
        <v>5.8796296296296296E-3</v>
      </c>
      <c r="X883" t="s">
        <v>2207</v>
      </c>
      <c r="Y883">
        <v>15</v>
      </c>
      <c r="Z883">
        <v>0</v>
      </c>
      <c r="AA883" t="s">
        <v>78</v>
      </c>
      <c r="AB883">
        <v>0</v>
      </c>
      <c r="AC883" t="s">
        <v>78</v>
      </c>
      <c r="AD883">
        <v>0</v>
      </c>
      <c r="AE883">
        <v>10992607</v>
      </c>
      <c r="AF883" t="s">
        <v>88</v>
      </c>
      <c r="AG883" t="s">
        <v>1695</v>
      </c>
    </row>
    <row r="884" spans="1:33" x14ac:dyDescent="0.35">
      <c r="A884" s="18">
        <v>44469.470833333333</v>
      </c>
      <c r="B884">
        <v>1747086</v>
      </c>
      <c r="C884" t="s">
        <v>2208</v>
      </c>
      <c r="D884" t="s">
        <v>158</v>
      </c>
      <c r="E884" s="19">
        <v>41850</v>
      </c>
      <c r="F884" t="str">
        <f>"9780123865489"</f>
        <v>9780123865489</v>
      </c>
      <c r="G884" t="str">
        <f>"9780123865472"</f>
        <v>9780123865472</v>
      </c>
      <c r="H884" t="s">
        <v>159</v>
      </c>
      <c r="I884">
        <v>660.28425000000004</v>
      </c>
      <c r="J884" t="s">
        <v>2209</v>
      </c>
      <c r="K884" t="s">
        <v>73</v>
      </c>
      <c r="N884" t="s">
        <v>74</v>
      </c>
      <c r="O884" t="s">
        <v>75</v>
      </c>
      <c r="P884" t="s">
        <v>74</v>
      </c>
      <c r="Q884" t="s">
        <v>76</v>
      </c>
      <c r="R884" t="s">
        <v>73</v>
      </c>
      <c r="S884">
        <v>0</v>
      </c>
      <c r="W884" s="20">
        <v>1.1805555555555555E-2</v>
      </c>
      <c r="X884" t="s">
        <v>2210</v>
      </c>
      <c r="Y884">
        <v>10</v>
      </c>
      <c r="Z884">
        <v>0</v>
      </c>
      <c r="AA884" t="s">
        <v>78</v>
      </c>
      <c r="AB884">
        <v>0</v>
      </c>
      <c r="AC884" t="s">
        <v>2211</v>
      </c>
      <c r="AD884">
        <v>2</v>
      </c>
      <c r="AE884">
        <v>10899171</v>
      </c>
      <c r="AF884" t="s">
        <v>79</v>
      </c>
      <c r="AG884" t="s">
        <v>1695</v>
      </c>
    </row>
    <row r="885" spans="1:33" x14ac:dyDescent="0.35">
      <c r="A885" s="18">
        <v>44469.465277777781</v>
      </c>
      <c r="B885">
        <v>1867324</v>
      </c>
      <c r="C885" t="s">
        <v>2212</v>
      </c>
      <c r="D885" t="s">
        <v>189</v>
      </c>
      <c r="E885" s="19">
        <v>42033</v>
      </c>
      <c r="F885" t="str">
        <f>"9783110333466"</f>
        <v>9783110333466</v>
      </c>
      <c r="G885" t="str">
        <f>"9783110292848"</f>
        <v>9783110292848</v>
      </c>
      <c r="H885" t="s">
        <v>159</v>
      </c>
      <c r="I885">
        <v>660.28425000000004</v>
      </c>
      <c r="J885" t="s">
        <v>2213</v>
      </c>
      <c r="K885" t="s">
        <v>73</v>
      </c>
      <c r="N885" t="s">
        <v>74</v>
      </c>
      <c r="O885" t="s">
        <v>75</v>
      </c>
      <c r="P885" t="s">
        <v>74</v>
      </c>
      <c r="Q885" t="s">
        <v>76</v>
      </c>
      <c r="R885" t="s">
        <v>73</v>
      </c>
      <c r="S885">
        <v>0</v>
      </c>
      <c r="W885" s="20">
        <v>5.185185185185185E-3</v>
      </c>
      <c r="X885" t="s">
        <v>2214</v>
      </c>
      <c r="Y885">
        <v>13</v>
      </c>
      <c r="Z885">
        <v>0</v>
      </c>
      <c r="AA885" t="s">
        <v>78</v>
      </c>
      <c r="AB885">
        <v>0</v>
      </c>
      <c r="AC885" t="s">
        <v>2215</v>
      </c>
      <c r="AD885">
        <v>1</v>
      </c>
      <c r="AE885">
        <v>11049486</v>
      </c>
      <c r="AF885" t="s">
        <v>79</v>
      </c>
      <c r="AG885" t="s">
        <v>1695</v>
      </c>
    </row>
    <row r="886" spans="1:33" x14ac:dyDescent="0.35">
      <c r="A886" s="18">
        <v>44469.44027777778</v>
      </c>
      <c r="B886">
        <v>4037275</v>
      </c>
      <c r="C886" t="s">
        <v>1999</v>
      </c>
      <c r="D886" t="s">
        <v>1711</v>
      </c>
      <c r="E886" s="19">
        <v>42233</v>
      </c>
      <c r="F886" t="str">
        <f>"9781118652671"</f>
        <v>9781118652671</v>
      </c>
      <c r="G886" t="str">
        <f>"9781118652732"</f>
        <v>9781118652732</v>
      </c>
      <c r="H886" t="s">
        <v>1561</v>
      </c>
      <c r="I886" t="s">
        <v>2000</v>
      </c>
      <c r="J886" t="s">
        <v>2001</v>
      </c>
      <c r="K886" t="s">
        <v>73</v>
      </c>
      <c r="N886" t="s">
        <v>74</v>
      </c>
      <c r="O886" t="s">
        <v>75</v>
      </c>
      <c r="P886" t="s">
        <v>74</v>
      </c>
      <c r="Q886" t="s">
        <v>76</v>
      </c>
      <c r="R886" t="s">
        <v>73</v>
      </c>
      <c r="S886">
        <v>0</v>
      </c>
      <c r="W886" s="20">
        <v>6.8865740740740736E-3</v>
      </c>
      <c r="X886" t="s">
        <v>2216</v>
      </c>
      <c r="Y886">
        <v>41</v>
      </c>
      <c r="Z886">
        <v>0</v>
      </c>
      <c r="AA886" t="s">
        <v>78</v>
      </c>
      <c r="AB886">
        <v>0</v>
      </c>
      <c r="AC886" t="s">
        <v>78</v>
      </c>
      <c r="AD886">
        <v>0</v>
      </c>
      <c r="AE886">
        <v>11111615</v>
      </c>
      <c r="AF886" t="s">
        <v>79</v>
      </c>
      <c r="AG886" t="s">
        <v>1695</v>
      </c>
    </row>
    <row r="887" spans="1:33" x14ac:dyDescent="0.35">
      <c r="A887" s="18">
        <v>44469.393750000003</v>
      </c>
      <c r="B887">
        <v>5983754</v>
      </c>
      <c r="C887" t="s">
        <v>2181</v>
      </c>
      <c r="D887" t="s">
        <v>158</v>
      </c>
      <c r="E887" s="19">
        <v>43787</v>
      </c>
      <c r="F887" t="str">
        <f>"9780128150702"</f>
        <v>9780128150702</v>
      </c>
      <c r="G887" t="str">
        <f>"9780128150696"</f>
        <v>9780128150696</v>
      </c>
      <c r="H887" t="s">
        <v>1623</v>
      </c>
      <c r="I887">
        <v>621.48299999999995</v>
      </c>
      <c r="J887" t="s">
        <v>2182</v>
      </c>
      <c r="K887" t="s">
        <v>85</v>
      </c>
      <c r="N887" t="s">
        <v>86</v>
      </c>
      <c r="P887" t="s">
        <v>1850</v>
      </c>
      <c r="Q887" t="s">
        <v>76</v>
      </c>
      <c r="R887" t="s">
        <v>73</v>
      </c>
      <c r="S887">
        <v>0</v>
      </c>
      <c r="W887" s="20">
        <v>5.7870370370370366E-5</v>
      </c>
      <c r="X887" t="s">
        <v>132</v>
      </c>
      <c r="Y887">
        <v>1</v>
      </c>
      <c r="Z887">
        <v>0</v>
      </c>
      <c r="AA887" t="s">
        <v>78</v>
      </c>
      <c r="AB887">
        <v>0</v>
      </c>
      <c r="AC887" t="s">
        <v>78</v>
      </c>
      <c r="AD887">
        <v>0</v>
      </c>
      <c r="AE887">
        <v>-1</v>
      </c>
      <c r="AF887" t="s">
        <v>79</v>
      </c>
      <c r="AG887" t="s">
        <v>1963</v>
      </c>
    </row>
    <row r="888" spans="1:33" x14ac:dyDescent="0.35">
      <c r="A888" s="18">
        <v>44469.367361111108</v>
      </c>
      <c r="B888">
        <v>6388658</v>
      </c>
      <c r="C888" t="s">
        <v>2184</v>
      </c>
      <c r="D888" t="s">
        <v>158</v>
      </c>
      <c r="E888" s="19">
        <v>44148</v>
      </c>
      <c r="F888" t="str">
        <f>"9780128181911"</f>
        <v>9780128181911</v>
      </c>
      <c r="G888" t="str">
        <f>"9780128181904"</f>
        <v>9780128181904</v>
      </c>
      <c r="H888" t="s">
        <v>2185</v>
      </c>
      <c r="I888">
        <v>621.48299999999995</v>
      </c>
      <c r="J888" t="s">
        <v>2186</v>
      </c>
      <c r="K888" t="s">
        <v>85</v>
      </c>
      <c r="N888" t="s">
        <v>86</v>
      </c>
      <c r="P888" t="s">
        <v>87</v>
      </c>
      <c r="Q888" t="s">
        <v>76</v>
      </c>
      <c r="R888" t="s">
        <v>73</v>
      </c>
      <c r="S888">
        <v>0</v>
      </c>
      <c r="W888" s="20">
        <v>4.6296296296296294E-5</v>
      </c>
      <c r="X888" t="s">
        <v>132</v>
      </c>
      <c r="Y888">
        <v>1</v>
      </c>
      <c r="Z888">
        <v>0</v>
      </c>
      <c r="AA888" t="s">
        <v>78</v>
      </c>
      <c r="AB888">
        <v>0</v>
      </c>
      <c r="AC888" t="s">
        <v>78</v>
      </c>
      <c r="AD888">
        <v>0</v>
      </c>
      <c r="AE888">
        <v>-1</v>
      </c>
      <c r="AF888" t="s">
        <v>79</v>
      </c>
      <c r="AG888" t="s">
        <v>1963</v>
      </c>
    </row>
    <row r="889" spans="1:33" x14ac:dyDescent="0.35">
      <c r="A889" s="18">
        <v>44469.073611111111</v>
      </c>
      <c r="B889">
        <v>468361</v>
      </c>
      <c r="C889" t="s">
        <v>2217</v>
      </c>
      <c r="D889" t="s">
        <v>506</v>
      </c>
      <c r="E889" s="19">
        <v>39050</v>
      </c>
      <c r="F889" t="str">
        <f>"9789047410959"</f>
        <v>9789047410959</v>
      </c>
      <c r="G889" t="str">
        <f>"9789004153868"</f>
        <v>9789004153868</v>
      </c>
      <c r="H889" t="s">
        <v>2218</v>
      </c>
      <c r="I889" t="s">
        <v>2219</v>
      </c>
      <c r="J889" t="s">
        <v>2220</v>
      </c>
      <c r="K889" t="s">
        <v>73</v>
      </c>
      <c r="N889" t="s">
        <v>74</v>
      </c>
      <c r="O889" t="s">
        <v>75</v>
      </c>
      <c r="P889" t="s">
        <v>74</v>
      </c>
      <c r="Q889" t="s">
        <v>76</v>
      </c>
      <c r="R889" t="s">
        <v>73</v>
      </c>
      <c r="S889">
        <v>1</v>
      </c>
      <c r="W889" s="20">
        <v>1.050925925925926E-2</v>
      </c>
      <c r="X889" t="s">
        <v>2221</v>
      </c>
      <c r="Y889">
        <v>11</v>
      </c>
      <c r="Z889">
        <v>1</v>
      </c>
      <c r="AA889" t="s">
        <v>2222</v>
      </c>
      <c r="AB889">
        <v>85</v>
      </c>
      <c r="AC889" t="s">
        <v>78</v>
      </c>
      <c r="AD889">
        <v>0</v>
      </c>
      <c r="AE889">
        <v>10234885</v>
      </c>
      <c r="AF889" t="s">
        <v>88</v>
      </c>
      <c r="AG889" t="s">
        <v>1695</v>
      </c>
    </row>
    <row r="890" spans="1:33" x14ac:dyDescent="0.35">
      <c r="A890" s="18">
        <v>44469.073611111111</v>
      </c>
      <c r="B890">
        <v>334528</v>
      </c>
      <c r="C890" t="s">
        <v>2223</v>
      </c>
      <c r="D890" t="s">
        <v>844</v>
      </c>
      <c r="E890" s="19">
        <v>36874</v>
      </c>
      <c r="F890" t="str">
        <f>"9781847876362"</f>
        <v>9781847876362</v>
      </c>
      <c r="G890" t="str">
        <f>"9780761964414"</f>
        <v>9780761964414</v>
      </c>
      <c r="H890" t="s">
        <v>1179</v>
      </c>
      <c r="I890">
        <v>371.90460000000002</v>
      </c>
      <c r="J890" t="s">
        <v>2224</v>
      </c>
      <c r="K890" t="s">
        <v>73</v>
      </c>
      <c r="N890" t="s">
        <v>74</v>
      </c>
      <c r="O890" t="s">
        <v>75</v>
      </c>
      <c r="P890" t="s">
        <v>74</v>
      </c>
      <c r="Q890" t="s">
        <v>76</v>
      </c>
      <c r="R890" t="s">
        <v>73</v>
      </c>
      <c r="S890">
        <v>0</v>
      </c>
      <c r="W890" s="20">
        <v>1.5046296296296297E-4</v>
      </c>
      <c r="X890" t="s">
        <v>2225</v>
      </c>
      <c r="Y890">
        <v>2</v>
      </c>
      <c r="Z890">
        <v>0</v>
      </c>
      <c r="AA890" t="s">
        <v>78</v>
      </c>
      <c r="AB890">
        <v>0</v>
      </c>
      <c r="AC890" t="s">
        <v>78</v>
      </c>
      <c r="AD890">
        <v>0</v>
      </c>
      <c r="AE890">
        <v>10218212</v>
      </c>
      <c r="AF890" t="s">
        <v>79</v>
      </c>
      <c r="AG890" t="s">
        <v>1695</v>
      </c>
    </row>
    <row r="891" spans="1:33" x14ac:dyDescent="0.35">
      <c r="A891" s="18">
        <v>44469.070833333331</v>
      </c>
      <c r="B891">
        <v>468361</v>
      </c>
      <c r="C891" t="s">
        <v>2217</v>
      </c>
      <c r="D891" t="s">
        <v>506</v>
      </c>
      <c r="E891" s="19">
        <v>39050</v>
      </c>
      <c r="F891" t="str">
        <f>"9789047410959"</f>
        <v>9789047410959</v>
      </c>
      <c r="G891" t="str">
        <f>"9789004153868"</f>
        <v>9789004153868</v>
      </c>
      <c r="H891" t="s">
        <v>2218</v>
      </c>
      <c r="I891" t="s">
        <v>2219</v>
      </c>
      <c r="J891" t="s">
        <v>2220</v>
      </c>
      <c r="K891" t="s">
        <v>73</v>
      </c>
      <c r="N891" t="s">
        <v>74</v>
      </c>
      <c r="O891" t="s">
        <v>75</v>
      </c>
      <c r="P891" t="s">
        <v>74</v>
      </c>
      <c r="Q891" t="s">
        <v>76</v>
      </c>
      <c r="R891" t="s">
        <v>73</v>
      </c>
      <c r="S891">
        <v>0</v>
      </c>
      <c r="W891" s="20">
        <v>3.37962962962963E-3</v>
      </c>
      <c r="X891" t="s">
        <v>2226</v>
      </c>
      <c r="Y891">
        <v>14</v>
      </c>
      <c r="Z891">
        <v>0</v>
      </c>
      <c r="AA891" t="s">
        <v>78</v>
      </c>
      <c r="AB891">
        <v>0</v>
      </c>
      <c r="AC891" t="s">
        <v>78</v>
      </c>
      <c r="AD891">
        <v>0</v>
      </c>
      <c r="AE891">
        <v>10234885</v>
      </c>
      <c r="AF891" t="s">
        <v>88</v>
      </c>
      <c r="AG891" t="s">
        <v>1695</v>
      </c>
    </row>
    <row r="892" spans="1:33" x14ac:dyDescent="0.35">
      <c r="A892" s="18">
        <v>44468.95</v>
      </c>
      <c r="B892">
        <v>4538252</v>
      </c>
      <c r="C892" t="s">
        <v>2173</v>
      </c>
      <c r="D892" t="s">
        <v>70</v>
      </c>
      <c r="E892" s="19">
        <v>42611</v>
      </c>
      <c r="F892" t="str">
        <f>"9781118981993"</f>
        <v>9781118981993</v>
      </c>
      <c r="G892" t="str">
        <f>"9781118982037"</f>
        <v>9781118982037</v>
      </c>
      <c r="H892" t="s">
        <v>528</v>
      </c>
      <c r="I892">
        <v>160</v>
      </c>
      <c r="J892" t="s">
        <v>2174</v>
      </c>
      <c r="K892" t="s">
        <v>73</v>
      </c>
      <c r="N892" t="s">
        <v>74</v>
      </c>
      <c r="O892" t="s">
        <v>75</v>
      </c>
      <c r="P892" t="s">
        <v>74</v>
      </c>
      <c r="Q892" t="s">
        <v>76</v>
      </c>
      <c r="R892" t="s">
        <v>73</v>
      </c>
      <c r="S892">
        <v>0</v>
      </c>
      <c r="W892" s="20">
        <v>1.7384259259259262E-2</v>
      </c>
      <c r="X892" t="s">
        <v>2227</v>
      </c>
      <c r="Y892">
        <v>8</v>
      </c>
      <c r="Z892">
        <v>0</v>
      </c>
      <c r="AA892" t="s">
        <v>78</v>
      </c>
      <c r="AB892">
        <v>0</v>
      </c>
      <c r="AC892" t="s">
        <v>78</v>
      </c>
      <c r="AD892">
        <v>0</v>
      </c>
      <c r="AE892">
        <v>11275338</v>
      </c>
      <c r="AF892" t="s">
        <v>79</v>
      </c>
      <c r="AG892" t="s">
        <v>1963</v>
      </c>
    </row>
    <row r="893" spans="1:33" x14ac:dyDescent="0.35">
      <c r="A893" s="18">
        <v>44468.909722222219</v>
      </c>
      <c r="B893">
        <v>1169448</v>
      </c>
      <c r="C893" t="s">
        <v>2228</v>
      </c>
      <c r="D893" t="s">
        <v>70</v>
      </c>
      <c r="E893" s="19">
        <v>41379</v>
      </c>
      <c r="F893" t="str">
        <f>"9783527667086"</f>
        <v>9783527667086</v>
      </c>
      <c r="G893" t="str">
        <f>"9783527411764"</f>
        <v>9783527411764</v>
      </c>
      <c r="H893" t="s">
        <v>222</v>
      </c>
      <c r="I893" t="s">
        <v>2229</v>
      </c>
      <c r="J893" t="s">
        <v>2230</v>
      </c>
      <c r="K893" t="s">
        <v>73</v>
      </c>
      <c r="N893" t="s">
        <v>74</v>
      </c>
      <c r="O893" t="s">
        <v>75</v>
      </c>
      <c r="P893" t="s">
        <v>74</v>
      </c>
      <c r="Q893" t="s">
        <v>76</v>
      </c>
      <c r="R893" t="s">
        <v>73</v>
      </c>
      <c r="S893">
        <v>1</v>
      </c>
      <c r="W893" s="20">
        <v>2.0138888888888888E-3</v>
      </c>
      <c r="X893" t="s">
        <v>2231</v>
      </c>
      <c r="Y893">
        <v>2</v>
      </c>
      <c r="Z893">
        <v>0</v>
      </c>
      <c r="AA893" t="s">
        <v>78</v>
      </c>
      <c r="AB893">
        <v>0</v>
      </c>
      <c r="AC893" t="s">
        <v>78</v>
      </c>
      <c r="AD893">
        <v>0</v>
      </c>
      <c r="AE893">
        <v>10687760</v>
      </c>
      <c r="AF893" t="s">
        <v>88</v>
      </c>
      <c r="AG893" t="s">
        <v>1573</v>
      </c>
    </row>
    <row r="894" spans="1:33" x14ac:dyDescent="0.35">
      <c r="A894" s="18">
        <v>44468.90625</v>
      </c>
      <c r="B894">
        <v>1169448</v>
      </c>
      <c r="C894" t="s">
        <v>2228</v>
      </c>
      <c r="D894" t="s">
        <v>70</v>
      </c>
      <c r="E894" s="19">
        <v>41379</v>
      </c>
      <c r="F894" t="str">
        <f>"9783527667086"</f>
        <v>9783527667086</v>
      </c>
      <c r="G894" t="str">
        <f>"9783527411764"</f>
        <v>9783527411764</v>
      </c>
      <c r="H894" t="s">
        <v>222</v>
      </c>
      <c r="I894" t="s">
        <v>2229</v>
      </c>
      <c r="J894" t="s">
        <v>2230</v>
      </c>
      <c r="K894" t="s">
        <v>73</v>
      </c>
      <c r="N894" t="s">
        <v>74</v>
      </c>
      <c r="O894" t="s">
        <v>75</v>
      </c>
      <c r="P894" t="s">
        <v>74</v>
      </c>
      <c r="Q894" t="s">
        <v>76</v>
      </c>
      <c r="R894" t="s">
        <v>73</v>
      </c>
      <c r="S894">
        <v>0</v>
      </c>
      <c r="W894" s="20">
        <v>3.5879629629629629E-3</v>
      </c>
      <c r="X894" t="s">
        <v>2232</v>
      </c>
      <c r="Y894">
        <v>7</v>
      </c>
      <c r="Z894">
        <v>1</v>
      </c>
      <c r="AA894" t="s">
        <v>2233</v>
      </c>
      <c r="AB894">
        <v>1</v>
      </c>
      <c r="AC894" t="s">
        <v>78</v>
      </c>
      <c r="AD894">
        <v>0</v>
      </c>
      <c r="AE894">
        <v>10687760</v>
      </c>
      <c r="AF894" t="s">
        <v>79</v>
      </c>
      <c r="AG894" t="s">
        <v>1573</v>
      </c>
    </row>
    <row r="895" spans="1:33" x14ac:dyDescent="0.35">
      <c r="A895" s="18">
        <v>44468.845833333333</v>
      </c>
      <c r="B895">
        <v>1169448</v>
      </c>
      <c r="C895" t="s">
        <v>2228</v>
      </c>
      <c r="D895" t="s">
        <v>70</v>
      </c>
      <c r="E895" s="19">
        <v>41379</v>
      </c>
      <c r="F895" t="str">
        <f>"9783527667086"</f>
        <v>9783527667086</v>
      </c>
      <c r="G895" t="str">
        <f>"9783527411764"</f>
        <v>9783527411764</v>
      </c>
      <c r="H895" t="s">
        <v>222</v>
      </c>
      <c r="I895" t="s">
        <v>2229</v>
      </c>
      <c r="J895" t="s">
        <v>2230</v>
      </c>
      <c r="K895" t="s">
        <v>73</v>
      </c>
      <c r="N895" t="s">
        <v>74</v>
      </c>
      <c r="O895" t="s">
        <v>75</v>
      </c>
      <c r="P895" t="s">
        <v>74</v>
      </c>
      <c r="Q895" t="s">
        <v>76</v>
      </c>
      <c r="R895" t="s">
        <v>73</v>
      </c>
      <c r="S895">
        <v>0</v>
      </c>
      <c r="W895" s="20">
        <v>1.7245370370370372E-3</v>
      </c>
      <c r="X895" t="s">
        <v>2234</v>
      </c>
      <c r="Y895">
        <v>12</v>
      </c>
      <c r="Z895">
        <v>0</v>
      </c>
      <c r="AA895" t="s">
        <v>78</v>
      </c>
      <c r="AB895">
        <v>0</v>
      </c>
      <c r="AC895" t="s">
        <v>78</v>
      </c>
      <c r="AD895">
        <v>0</v>
      </c>
      <c r="AE895">
        <v>10687760</v>
      </c>
      <c r="AF895" t="s">
        <v>79</v>
      </c>
      <c r="AG895" t="s">
        <v>2235</v>
      </c>
    </row>
    <row r="896" spans="1:33" x14ac:dyDescent="0.35">
      <c r="A896" s="18">
        <v>44468.817361111112</v>
      </c>
      <c r="B896">
        <v>5144653</v>
      </c>
      <c r="C896" t="s">
        <v>2236</v>
      </c>
      <c r="D896" t="s">
        <v>390</v>
      </c>
      <c r="E896" s="19">
        <v>43003</v>
      </c>
      <c r="F896" t="str">
        <f>"9783110469745"</f>
        <v>9783110469745</v>
      </c>
      <c r="G896" t="str">
        <f>"9783110468281"</f>
        <v>9783110468281</v>
      </c>
      <c r="H896" t="s">
        <v>159</v>
      </c>
      <c r="I896">
        <v>668.9</v>
      </c>
      <c r="J896" t="s">
        <v>2237</v>
      </c>
      <c r="K896" t="s">
        <v>73</v>
      </c>
      <c r="N896" t="s">
        <v>74</v>
      </c>
      <c r="O896" t="s">
        <v>75</v>
      </c>
      <c r="P896" t="s">
        <v>74</v>
      </c>
      <c r="Q896" t="s">
        <v>76</v>
      </c>
      <c r="R896" t="s">
        <v>73</v>
      </c>
      <c r="S896">
        <v>0</v>
      </c>
      <c r="W896" s="20">
        <v>7.7546296296296304E-4</v>
      </c>
      <c r="X896" t="s">
        <v>2238</v>
      </c>
      <c r="Y896">
        <v>12</v>
      </c>
      <c r="Z896">
        <v>0</v>
      </c>
      <c r="AA896" t="s">
        <v>78</v>
      </c>
      <c r="AB896">
        <v>0</v>
      </c>
      <c r="AC896" t="s">
        <v>78</v>
      </c>
      <c r="AD896">
        <v>0</v>
      </c>
      <c r="AE896">
        <v>11467298</v>
      </c>
      <c r="AF896" t="s">
        <v>79</v>
      </c>
      <c r="AG896" t="s">
        <v>2239</v>
      </c>
    </row>
    <row r="897" spans="1:33" x14ac:dyDescent="0.35">
      <c r="A897" s="18">
        <v>44468.692361111112</v>
      </c>
      <c r="B897">
        <v>4037275</v>
      </c>
      <c r="C897" t="s">
        <v>1999</v>
      </c>
      <c r="D897" t="s">
        <v>1711</v>
      </c>
      <c r="E897" s="19">
        <v>42233</v>
      </c>
      <c r="F897" t="str">
        <f>"9781118652671"</f>
        <v>9781118652671</v>
      </c>
      <c r="G897" t="str">
        <f>"9781118652732"</f>
        <v>9781118652732</v>
      </c>
      <c r="H897" t="s">
        <v>1561</v>
      </c>
      <c r="I897" t="s">
        <v>2000</v>
      </c>
      <c r="J897" t="s">
        <v>2001</v>
      </c>
      <c r="K897" t="s">
        <v>73</v>
      </c>
      <c r="N897" t="s">
        <v>74</v>
      </c>
      <c r="O897" t="s">
        <v>75</v>
      </c>
      <c r="P897" t="s">
        <v>74</v>
      </c>
      <c r="Q897" t="s">
        <v>76</v>
      </c>
      <c r="R897" t="s">
        <v>73</v>
      </c>
      <c r="S897">
        <v>0</v>
      </c>
      <c r="W897" s="20">
        <v>4.8263888888888887E-3</v>
      </c>
      <c r="X897" t="s">
        <v>2240</v>
      </c>
      <c r="Y897">
        <v>34</v>
      </c>
      <c r="Z897">
        <v>0</v>
      </c>
      <c r="AA897" t="s">
        <v>78</v>
      </c>
      <c r="AB897">
        <v>0</v>
      </c>
      <c r="AC897" t="s">
        <v>78</v>
      </c>
      <c r="AD897">
        <v>0</v>
      </c>
      <c r="AE897">
        <v>11111615</v>
      </c>
      <c r="AF897" t="s">
        <v>79</v>
      </c>
      <c r="AG897" t="s">
        <v>1695</v>
      </c>
    </row>
    <row r="898" spans="1:33" x14ac:dyDescent="0.35">
      <c r="A898" s="18">
        <v>44468.663194444445</v>
      </c>
      <c r="B898">
        <v>6379822</v>
      </c>
      <c r="C898" t="s">
        <v>2241</v>
      </c>
      <c r="D898" t="s">
        <v>70</v>
      </c>
      <c r="E898" s="19">
        <v>44222</v>
      </c>
      <c r="F898" t="str">
        <f>"9781119033813"</f>
        <v>9781119033813</v>
      </c>
      <c r="G898" t="str">
        <f>"9781119978282"</f>
        <v>9781119978282</v>
      </c>
      <c r="H898" t="s">
        <v>2242</v>
      </c>
      <c r="I898">
        <v>614.1</v>
      </c>
      <c r="J898" t="s">
        <v>2243</v>
      </c>
      <c r="K898" t="s">
        <v>85</v>
      </c>
      <c r="N898" t="s">
        <v>86</v>
      </c>
      <c r="P898" t="s">
        <v>87</v>
      </c>
      <c r="Q898" t="s">
        <v>76</v>
      </c>
      <c r="R898" t="s">
        <v>73</v>
      </c>
      <c r="S898">
        <v>0</v>
      </c>
      <c r="W898" s="20">
        <v>8.5300925925925926E-3</v>
      </c>
      <c r="X898" t="s">
        <v>2244</v>
      </c>
      <c r="Y898">
        <v>29</v>
      </c>
      <c r="Z898">
        <v>0</v>
      </c>
      <c r="AA898" t="s">
        <v>78</v>
      </c>
      <c r="AB898">
        <v>0</v>
      </c>
      <c r="AC898" t="s">
        <v>78</v>
      </c>
      <c r="AD898">
        <v>0</v>
      </c>
      <c r="AE898">
        <v>-1</v>
      </c>
      <c r="AF898" t="s">
        <v>79</v>
      </c>
      <c r="AG898" t="s">
        <v>1963</v>
      </c>
    </row>
    <row r="899" spans="1:33" x14ac:dyDescent="0.35">
      <c r="A899" s="18">
        <v>44468.512499999997</v>
      </c>
      <c r="B899">
        <v>1832723</v>
      </c>
      <c r="C899" t="s">
        <v>2044</v>
      </c>
      <c r="D899" t="s">
        <v>70</v>
      </c>
      <c r="E899" s="19">
        <v>42031</v>
      </c>
      <c r="F899" t="str">
        <f>"9781118902110"</f>
        <v>9781118902110</v>
      </c>
      <c r="G899" t="str">
        <f>"9780470656709"</f>
        <v>9780470656709</v>
      </c>
      <c r="H899" t="s">
        <v>1905</v>
      </c>
      <c r="I899">
        <v>551.9</v>
      </c>
      <c r="J899" t="s">
        <v>2045</v>
      </c>
      <c r="K899" t="s">
        <v>73</v>
      </c>
      <c r="N899" t="s">
        <v>74</v>
      </c>
      <c r="O899" t="s">
        <v>75</v>
      </c>
      <c r="P899" t="s">
        <v>74</v>
      </c>
      <c r="Q899" t="s">
        <v>76</v>
      </c>
      <c r="R899" t="s">
        <v>73</v>
      </c>
      <c r="S899">
        <v>0</v>
      </c>
      <c r="W899" s="20">
        <v>8.1018518518518516E-5</v>
      </c>
      <c r="X899" t="s">
        <v>2245</v>
      </c>
      <c r="Y899">
        <v>1</v>
      </c>
      <c r="Z899">
        <v>2</v>
      </c>
      <c r="AA899" t="s">
        <v>2246</v>
      </c>
      <c r="AB899">
        <v>70</v>
      </c>
      <c r="AC899" t="s">
        <v>78</v>
      </c>
      <c r="AD899">
        <v>0</v>
      </c>
      <c r="AE899">
        <v>10964407</v>
      </c>
      <c r="AF899" t="s">
        <v>79</v>
      </c>
      <c r="AG899" t="s">
        <v>2058</v>
      </c>
    </row>
    <row r="900" spans="1:33" x14ac:dyDescent="0.35">
      <c r="A900" s="18">
        <v>44468.42291666667</v>
      </c>
      <c r="B900">
        <v>3017735</v>
      </c>
      <c r="C900" t="s">
        <v>2002</v>
      </c>
      <c r="D900" t="s">
        <v>226</v>
      </c>
      <c r="E900" s="19">
        <v>40299</v>
      </c>
      <c r="F900" t="str">
        <f>"9781617619106"</f>
        <v>9781617619106</v>
      </c>
      <c r="G900" t="str">
        <f>"9781608762699"</f>
        <v>9781608762699</v>
      </c>
      <c r="H900" t="s">
        <v>285</v>
      </c>
      <c r="I900">
        <v>630</v>
      </c>
      <c r="J900" t="s">
        <v>2003</v>
      </c>
      <c r="K900" t="s">
        <v>73</v>
      </c>
      <c r="N900" t="s">
        <v>74</v>
      </c>
      <c r="O900" t="s">
        <v>75</v>
      </c>
      <c r="P900" t="s">
        <v>230</v>
      </c>
      <c r="Q900" t="s">
        <v>76</v>
      </c>
      <c r="R900" t="s">
        <v>85</v>
      </c>
      <c r="S900">
        <v>0</v>
      </c>
      <c r="W900" s="20">
        <v>3.8194444444444446E-4</v>
      </c>
      <c r="X900" t="s">
        <v>2247</v>
      </c>
      <c r="Y900">
        <v>4</v>
      </c>
      <c r="Z900">
        <v>0</v>
      </c>
      <c r="AA900" t="s">
        <v>78</v>
      </c>
      <c r="AB900">
        <v>0</v>
      </c>
      <c r="AC900" t="s">
        <v>78</v>
      </c>
      <c r="AD900">
        <v>0</v>
      </c>
      <c r="AE900">
        <v>10654706</v>
      </c>
      <c r="AF900" t="s">
        <v>79</v>
      </c>
      <c r="AG900" t="s">
        <v>1963</v>
      </c>
    </row>
    <row r="901" spans="1:33" x14ac:dyDescent="0.35">
      <c r="A901" s="18">
        <v>44468.419444444444</v>
      </c>
      <c r="B901">
        <v>3155791</v>
      </c>
      <c r="C901" t="s">
        <v>2088</v>
      </c>
      <c r="D901" t="s">
        <v>2089</v>
      </c>
      <c r="E901" s="19">
        <v>37226</v>
      </c>
      <c r="F901" t="str">
        <f>""</f>
        <v/>
      </c>
      <c r="G901" t="str">
        <f>""</f>
        <v/>
      </c>
      <c r="H901" t="s">
        <v>285</v>
      </c>
      <c r="J901" t="s">
        <v>2090</v>
      </c>
      <c r="K901" t="s">
        <v>73</v>
      </c>
      <c r="N901" t="s">
        <v>74</v>
      </c>
      <c r="O901" t="s">
        <v>75</v>
      </c>
      <c r="P901" t="s">
        <v>74</v>
      </c>
      <c r="Q901" t="s">
        <v>76</v>
      </c>
      <c r="R901" t="s">
        <v>73</v>
      </c>
      <c r="S901">
        <v>0</v>
      </c>
      <c r="W901" s="20">
        <v>7.0601851851851847E-4</v>
      </c>
      <c r="X901" t="s">
        <v>639</v>
      </c>
      <c r="Y901">
        <v>3</v>
      </c>
      <c r="Z901">
        <v>0</v>
      </c>
      <c r="AA901" t="s">
        <v>78</v>
      </c>
      <c r="AB901">
        <v>0</v>
      </c>
      <c r="AC901" t="s">
        <v>78</v>
      </c>
      <c r="AD901">
        <v>0</v>
      </c>
      <c r="AE901">
        <v>10046500</v>
      </c>
      <c r="AF901" t="s">
        <v>79</v>
      </c>
      <c r="AG901" t="s">
        <v>1963</v>
      </c>
    </row>
    <row r="902" spans="1:33" x14ac:dyDescent="0.35">
      <c r="A902" s="18">
        <v>44468.418749999997</v>
      </c>
      <c r="B902">
        <v>3433777</v>
      </c>
      <c r="C902" t="s">
        <v>2085</v>
      </c>
      <c r="D902" t="s">
        <v>300</v>
      </c>
      <c r="E902" s="19">
        <v>42132</v>
      </c>
      <c r="F902" t="str">
        <f>"9780262328302"</f>
        <v>9780262328302</v>
      </c>
      <c r="G902" t="str">
        <f>"9780262029094"</f>
        <v>9780262029094</v>
      </c>
      <c r="H902" t="s">
        <v>285</v>
      </c>
      <c r="I902" t="s">
        <v>2086</v>
      </c>
      <c r="J902" t="s">
        <v>2087</v>
      </c>
      <c r="K902" t="s">
        <v>73</v>
      </c>
      <c r="N902" t="s">
        <v>74</v>
      </c>
      <c r="O902" t="s">
        <v>75</v>
      </c>
      <c r="P902" t="s">
        <v>74</v>
      </c>
      <c r="Q902" t="s">
        <v>76</v>
      </c>
      <c r="R902" t="s">
        <v>73</v>
      </c>
      <c r="S902">
        <v>0</v>
      </c>
      <c r="W902" s="20">
        <v>3.5879629629629635E-4</v>
      </c>
      <c r="X902" t="s">
        <v>2248</v>
      </c>
      <c r="Y902">
        <v>3</v>
      </c>
      <c r="Z902">
        <v>0</v>
      </c>
      <c r="AA902" t="s">
        <v>78</v>
      </c>
      <c r="AB902">
        <v>0</v>
      </c>
      <c r="AC902" t="s">
        <v>78</v>
      </c>
      <c r="AD902">
        <v>0</v>
      </c>
      <c r="AE902">
        <v>11055209</v>
      </c>
      <c r="AF902" t="s">
        <v>79</v>
      </c>
      <c r="AG902" t="s">
        <v>1963</v>
      </c>
    </row>
    <row r="903" spans="1:33" x14ac:dyDescent="0.35">
      <c r="A903" s="18">
        <v>44468.379166666666</v>
      </c>
      <c r="B903">
        <v>1204633</v>
      </c>
      <c r="C903" t="s">
        <v>1560</v>
      </c>
      <c r="D903" t="s">
        <v>70</v>
      </c>
      <c r="E903" s="19">
        <v>41512</v>
      </c>
      <c r="F903" t="str">
        <f>"9781118450444"</f>
        <v>9781118450444</v>
      </c>
      <c r="G903" t="str">
        <f>"9780470673768"</f>
        <v>9780470673768</v>
      </c>
      <c r="H903" t="s">
        <v>1561</v>
      </c>
      <c r="I903">
        <v>552.5</v>
      </c>
      <c r="J903" t="s">
        <v>1562</v>
      </c>
      <c r="K903" t="s">
        <v>73</v>
      </c>
      <c r="N903" t="s">
        <v>74</v>
      </c>
      <c r="O903" t="s">
        <v>75</v>
      </c>
      <c r="P903" t="s">
        <v>74</v>
      </c>
      <c r="Q903" t="s">
        <v>76</v>
      </c>
      <c r="R903" t="s">
        <v>73</v>
      </c>
      <c r="S903">
        <v>0</v>
      </c>
      <c r="W903" s="20">
        <v>1.5046296296296297E-4</v>
      </c>
      <c r="X903" t="s">
        <v>2249</v>
      </c>
      <c r="Y903">
        <v>2</v>
      </c>
      <c r="Z903">
        <v>0</v>
      </c>
      <c r="AA903" t="s">
        <v>78</v>
      </c>
      <c r="AB903">
        <v>0</v>
      </c>
      <c r="AC903" t="s">
        <v>78</v>
      </c>
      <c r="AD903">
        <v>0</v>
      </c>
      <c r="AE903">
        <v>10713576</v>
      </c>
      <c r="AF903" t="s">
        <v>79</v>
      </c>
      <c r="AG903" t="s">
        <v>1695</v>
      </c>
    </row>
    <row r="904" spans="1:33" x14ac:dyDescent="0.35">
      <c r="A904" s="18">
        <v>44468.359027777777</v>
      </c>
      <c r="B904">
        <v>3017735</v>
      </c>
      <c r="C904" t="s">
        <v>2002</v>
      </c>
      <c r="D904" t="s">
        <v>226</v>
      </c>
      <c r="E904" s="19">
        <v>40299</v>
      </c>
      <c r="F904" t="str">
        <f>"9781617619106"</f>
        <v>9781617619106</v>
      </c>
      <c r="G904" t="str">
        <f>"9781608762699"</f>
        <v>9781608762699</v>
      </c>
      <c r="H904" t="s">
        <v>285</v>
      </c>
      <c r="I904">
        <v>630</v>
      </c>
      <c r="J904" t="s">
        <v>2003</v>
      </c>
      <c r="K904" t="s">
        <v>73</v>
      </c>
      <c r="N904" t="s">
        <v>74</v>
      </c>
      <c r="O904" t="s">
        <v>75</v>
      </c>
      <c r="P904" t="s">
        <v>230</v>
      </c>
      <c r="Q904" t="s">
        <v>76</v>
      </c>
      <c r="R904" t="s">
        <v>85</v>
      </c>
      <c r="S904">
        <v>0</v>
      </c>
      <c r="W904" s="20">
        <v>9.5949074074074079E-3</v>
      </c>
      <c r="X904" t="s">
        <v>2250</v>
      </c>
      <c r="Y904">
        <v>9</v>
      </c>
      <c r="Z904">
        <v>0</v>
      </c>
      <c r="AA904" t="s">
        <v>78</v>
      </c>
      <c r="AB904">
        <v>0</v>
      </c>
      <c r="AC904" t="s">
        <v>78</v>
      </c>
      <c r="AD904">
        <v>0</v>
      </c>
      <c r="AE904">
        <v>10654706</v>
      </c>
      <c r="AF904" t="s">
        <v>79</v>
      </c>
      <c r="AG904" t="s">
        <v>1963</v>
      </c>
    </row>
    <row r="905" spans="1:33" x14ac:dyDescent="0.35">
      <c r="A905" s="18">
        <v>44468.05972222222</v>
      </c>
      <c r="B905">
        <v>1974612</v>
      </c>
      <c r="C905" t="s">
        <v>2251</v>
      </c>
      <c r="D905" t="s">
        <v>2252</v>
      </c>
      <c r="E905" s="19">
        <v>41672</v>
      </c>
      <c r="F905" t="str">
        <f>"9781847740694"</f>
        <v>9781847740694</v>
      </c>
      <c r="G905" t="str">
        <f>"9781847740670"</f>
        <v>9781847740670</v>
      </c>
      <c r="H905" t="s">
        <v>308</v>
      </c>
      <c r="I905">
        <v>297.125</v>
      </c>
      <c r="J905" t="s">
        <v>2253</v>
      </c>
      <c r="K905" t="s">
        <v>73</v>
      </c>
      <c r="N905" t="s">
        <v>74</v>
      </c>
      <c r="O905" t="s">
        <v>75</v>
      </c>
      <c r="P905" t="s">
        <v>74</v>
      </c>
      <c r="Q905" t="s">
        <v>76</v>
      </c>
      <c r="R905" t="s">
        <v>73</v>
      </c>
      <c r="S905">
        <v>0</v>
      </c>
      <c r="W905" s="20">
        <v>4.6990740740740743E-3</v>
      </c>
      <c r="X905" t="s">
        <v>2254</v>
      </c>
      <c r="Y905">
        <v>27</v>
      </c>
      <c r="Z905">
        <v>1</v>
      </c>
      <c r="AA905" t="s">
        <v>1290</v>
      </c>
      <c r="AB905">
        <v>25</v>
      </c>
      <c r="AC905" t="s">
        <v>78</v>
      </c>
      <c r="AD905">
        <v>0</v>
      </c>
      <c r="AE905">
        <v>10887432</v>
      </c>
      <c r="AF905" t="s">
        <v>79</v>
      </c>
      <c r="AG905" t="s">
        <v>1695</v>
      </c>
    </row>
    <row r="906" spans="1:33" x14ac:dyDescent="0.35">
      <c r="A906" s="18">
        <v>44468.01666666667</v>
      </c>
      <c r="B906">
        <v>1974612</v>
      </c>
      <c r="C906" t="s">
        <v>2251</v>
      </c>
      <c r="D906" t="s">
        <v>2252</v>
      </c>
      <c r="E906" s="19">
        <v>41672</v>
      </c>
      <c r="F906" t="str">
        <f>"9781847740694"</f>
        <v>9781847740694</v>
      </c>
      <c r="G906" t="str">
        <f>"9781847740670"</f>
        <v>9781847740670</v>
      </c>
      <c r="H906" t="s">
        <v>308</v>
      </c>
      <c r="I906">
        <v>297.125</v>
      </c>
      <c r="J906" t="s">
        <v>2253</v>
      </c>
      <c r="K906" t="s">
        <v>73</v>
      </c>
      <c r="N906" t="s">
        <v>74</v>
      </c>
      <c r="O906" t="s">
        <v>75</v>
      </c>
      <c r="P906" t="s">
        <v>74</v>
      </c>
      <c r="Q906" t="s">
        <v>76</v>
      </c>
      <c r="R906" t="s">
        <v>73</v>
      </c>
      <c r="S906">
        <v>0</v>
      </c>
      <c r="W906" s="20">
        <v>1.1574074074074073E-5</v>
      </c>
      <c r="X906" t="s">
        <v>132</v>
      </c>
      <c r="Y906">
        <v>1</v>
      </c>
      <c r="Z906">
        <v>0</v>
      </c>
      <c r="AA906" t="s">
        <v>78</v>
      </c>
      <c r="AB906">
        <v>0</v>
      </c>
      <c r="AC906" t="s">
        <v>78</v>
      </c>
      <c r="AD906">
        <v>0</v>
      </c>
      <c r="AE906">
        <v>10887432</v>
      </c>
      <c r="AF906" t="s">
        <v>79</v>
      </c>
      <c r="AG906" t="s">
        <v>1695</v>
      </c>
    </row>
    <row r="907" spans="1:33" x14ac:dyDescent="0.35">
      <c r="A907" s="18">
        <v>44467.996527777781</v>
      </c>
      <c r="B907">
        <v>231640</v>
      </c>
      <c r="C907" t="s">
        <v>419</v>
      </c>
      <c r="D907" t="s">
        <v>205</v>
      </c>
      <c r="E907" s="19">
        <v>38472</v>
      </c>
      <c r="F907" t="str">
        <f>"9781580533669"</f>
        <v>9781580533669</v>
      </c>
      <c r="G907" t="str">
        <f>"9781580536103"</f>
        <v>9781580536103</v>
      </c>
      <c r="H907" t="s">
        <v>71</v>
      </c>
      <c r="I907" t="s">
        <v>420</v>
      </c>
      <c r="J907" t="s">
        <v>421</v>
      </c>
      <c r="K907" t="s">
        <v>73</v>
      </c>
      <c r="N907" t="s">
        <v>74</v>
      </c>
      <c r="O907" t="s">
        <v>75</v>
      </c>
      <c r="P907" t="s">
        <v>74</v>
      </c>
      <c r="Q907" t="s">
        <v>76</v>
      </c>
      <c r="R907" t="s">
        <v>73</v>
      </c>
      <c r="S907">
        <v>0</v>
      </c>
      <c r="W907" s="20">
        <v>1.292824074074074E-2</v>
      </c>
      <c r="X907" t="s">
        <v>2255</v>
      </c>
      <c r="Y907">
        <v>86</v>
      </c>
      <c r="Z907">
        <v>1</v>
      </c>
      <c r="AA907" t="s">
        <v>2256</v>
      </c>
      <c r="AB907">
        <v>73</v>
      </c>
      <c r="AC907" t="s">
        <v>78</v>
      </c>
      <c r="AD907">
        <v>0</v>
      </c>
      <c r="AE907">
        <v>10081926</v>
      </c>
      <c r="AF907" t="s">
        <v>88</v>
      </c>
      <c r="AG907" t="s">
        <v>1963</v>
      </c>
    </row>
    <row r="908" spans="1:33" x14ac:dyDescent="0.35">
      <c r="A908" s="18">
        <v>44467.886111111111</v>
      </c>
      <c r="B908">
        <v>2083304</v>
      </c>
      <c r="C908" t="s">
        <v>2257</v>
      </c>
      <c r="D908" t="s">
        <v>2252</v>
      </c>
      <c r="E908" s="19">
        <v>42187</v>
      </c>
      <c r="F908" t="str">
        <f>"9780860376217"</f>
        <v>9780860376217</v>
      </c>
      <c r="G908" t="str">
        <f>"9780860372486"</f>
        <v>9780860372486</v>
      </c>
      <c r="H908" t="s">
        <v>308</v>
      </c>
      <c r="I908">
        <v>297.12259999999998</v>
      </c>
      <c r="J908" t="s">
        <v>2258</v>
      </c>
      <c r="K908" t="s">
        <v>73</v>
      </c>
      <c r="N908" t="s">
        <v>74</v>
      </c>
      <c r="O908" t="s">
        <v>75</v>
      </c>
      <c r="P908" t="s">
        <v>74</v>
      </c>
      <c r="Q908" t="s">
        <v>76</v>
      </c>
      <c r="R908" t="s">
        <v>73</v>
      </c>
      <c r="S908">
        <v>0</v>
      </c>
      <c r="W908" s="20">
        <v>1.4930555555555556E-3</v>
      </c>
      <c r="X908" t="s">
        <v>627</v>
      </c>
      <c r="Y908">
        <v>6</v>
      </c>
      <c r="Z908">
        <v>0</v>
      </c>
      <c r="AA908" t="s">
        <v>78</v>
      </c>
      <c r="AB908">
        <v>0</v>
      </c>
      <c r="AC908" t="s">
        <v>78</v>
      </c>
      <c r="AD908">
        <v>0</v>
      </c>
      <c r="AE908">
        <v>11077424</v>
      </c>
      <c r="AF908" t="s">
        <v>79</v>
      </c>
      <c r="AG908" t="s">
        <v>1695</v>
      </c>
    </row>
    <row r="909" spans="1:33" x14ac:dyDescent="0.35">
      <c r="A909" s="18">
        <v>44467.862500000003</v>
      </c>
      <c r="B909">
        <v>231640</v>
      </c>
      <c r="C909" t="s">
        <v>419</v>
      </c>
      <c r="D909" t="s">
        <v>205</v>
      </c>
      <c r="E909" s="19">
        <v>38472</v>
      </c>
      <c r="F909" t="str">
        <f>"9781580533669"</f>
        <v>9781580533669</v>
      </c>
      <c r="G909" t="str">
        <f>"9781580536103"</f>
        <v>9781580536103</v>
      </c>
      <c r="H909" t="s">
        <v>71</v>
      </c>
      <c r="I909" t="s">
        <v>420</v>
      </c>
      <c r="J909" t="s">
        <v>421</v>
      </c>
      <c r="K909" t="s">
        <v>73</v>
      </c>
      <c r="N909" t="s">
        <v>74</v>
      </c>
      <c r="O909" t="s">
        <v>75</v>
      </c>
      <c r="P909" t="s">
        <v>74</v>
      </c>
      <c r="Q909" t="s">
        <v>76</v>
      </c>
      <c r="R909" t="s">
        <v>73</v>
      </c>
      <c r="S909">
        <v>0</v>
      </c>
      <c r="W909" s="20">
        <v>3.6122685185185181E-2</v>
      </c>
      <c r="X909" t="s">
        <v>2259</v>
      </c>
      <c r="Y909">
        <v>23</v>
      </c>
      <c r="Z909">
        <v>0</v>
      </c>
      <c r="AA909" t="s">
        <v>78</v>
      </c>
      <c r="AB909">
        <v>0</v>
      </c>
      <c r="AC909" t="s">
        <v>78</v>
      </c>
      <c r="AD909">
        <v>0</v>
      </c>
      <c r="AE909">
        <v>10081926</v>
      </c>
      <c r="AF909" t="s">
        <v>88</v>
      </c>
      <c r="AG909" t="s">
        <v>1963</v>
      </c>
    </row>
    <row r="910" spans="1:33" x14ac:dyDescent="0.35">
      <c r="A910" s="18">
        <v>44467.852777777778</v>
      </c>
      <c r="B910">
        <v>1204633</v>
      </c>
      <c r="C910" t="s">
        <v>1560</v>
      </c>
      <c r="D910" t="s">
        <v>70</v>
      </c>
      <c r="E910" s="19">
        <v>41512</v>
      </c>
      <c r="F910" t="str">
        <f>"9781118450444"</f>
        <v>9781118450444</v>
      </c>
      <c r="G910" t="str">
        <f>"9780470673768"</f>
        <v>9780470673768</v>
      </c>
      <c r="H910" t="s">
        <v>1561</v>
      </c>
      <c r="I910">
        <v>552.5</v>
      </c>
      <c r="J910" t="s">
        <v>1562</v>
      </c>
      <c r="K910" t="s">
        <v>73</v>
      </c>
      <c r="N910" t="s">
        <v>74</v>
      </c>
      <c r="O910" t="s">
        <v>75</v>
      </c>
      <c r="P910" t="s">
        <v>74</v>
      </c>
      <c r="Q910" t="s">
        <v>76</v>
      </c>
      <c r="R910" t="s">
        <v>73</v>
      </c>
      <c r="S910">
        <v>0</v>
      </c>
      <c r="W910" s="20">
        <v>1.7361111111111112E-4</v>
      </c>
      <c r="X910" t="s">
        <v>2260</v>
      </c>
      <c r="Y910">
        <v>3</v>
      </c>
      <c r="Z910">
        <v>0</v>
      </c>
      <c r="AA910" t="s">
        <v>78</v>
      </c>
      <c r="AB910">
        <v>0</v>
      </c>
      <c r="AC910" t="s">
        <v>78</v>
      </c>
      <c r="AD910">
        <v>0</v>
      </c>
      <c r="AE910">
        <v>10713576</v>
      </c>
      <c r="AF910" t="s">
        <v>79</v>
      </c>
      <c r="AG910" t="s">
        <v>1695</v>
      </c>
    </row>
    <row r="911" spans="1:33" x14ac:dyDescent="0.35">
      <c r="A911" s="18">
        <v>44467.84097222222</v>
      </c>
      <c r="B911">
        <v>2083304</v>
      </c>
      <c r="C911" t="s">
        <v>2257</v>
      </c>
      <c r="D911" t="s">
        <v>2252</v>
      </c>
      <c r="E911" s="19">
        <v>42187</v>
      </c>
      <c r="F911" t="str">
        <f>"9780860376217"</f>
        <v>9780860376217</v>
      </c>
      <c r="G911" t="str">
        <f>"9780860372486"</f>
        <v>9780860372486</v>
      </c>
      <c r="H911" t="s">
        <v>308</v>
      </c>
      <c r="I911">
        <v>297.12259999999998</v>
      </c>
      <c r="J911" t="s">
        <v>2258</v>
      </c>
      <c r="K911" t="s">
        <v>73</v>
      </c>
      <c r="N911" t="s">
        <v>74</v>
      </c>
      <c r="O911" t="s">
        <v>75</v>
      </c>
      <c r="P911" t="s">
        <v>74</v>
      </c>
      <c r="Q911" t="s">
        <v>76</v>
      </c>
      <c r="R911" t="s">
        <v>73</v>
      </c>
      <c r="S911">
        <v>0</v>
      </c>
      <c r="W911" s="20">
        <v>1.6331018518518519E-2</v>
      </c>
      <c r="X911" t="s">
        <v>851</v>
      </c>
      <c r="Y911">
        <v>8</v>
      </c>
      <c r="Z911">
        <v>0</v>
      </c>
      <c r="AA911" t="s">
        <v>78</v>
      </c>
      <c r="AB911">
        <v>0</v>
      </c>
      <c r="AC911" t="s">
        <v>78</v>
      </c>
      <c r="AD911">
        <v>0</v>
      </c>
      <c r="AE911">
        <v>11077424</v>
      </c>
      <c r="AF911" t="s">
        <v>79</v>
      </c>
      <c r="AG911" t="s">
        <v>1695</v>
      </c>
    </row>
    <row r="912" spans="1:33" x14ac:dyDescent="0.35">
      <c r="A912" s="18">
        <v>44467.831250000003</v>
      </c>
      <c r="B912">
        <v>165913</v>
      </c>
      <c r="C912" t="s">
        <v>2261</v>
      </c>
      <c r="D912" t="s">
        <v>127</v>
      </c>
      <c r="E912" s="19">
        <v>36623</v>
      </c>
      <c r="F912" t="str">
        <f>"9780203129463"</f>
        <v>9780203129463</v>
      </c>
      <c r="G912" t="str">
        <f>"9780415225083"</f>
        <v>9780415225083</v>
      </c>
      <c r="H912" t="s">
        <v>308</v>
      </c>
      <c r="I912">
        <v>297.12259999999998</v>
      </c>
      <c r="J912" t="s">
        <v>2262</v>
      </c>
      <c r="K912" t="s">
        <v>73</v>
      </c>
      <c r="N912" t="s">
        <v>74</v>
      </c>
      <c r="O912" t="s">
        <v>75</v>
      </c>
      <c r="P912" t="s">
        <v>74</v>
      </c>
      <c r="Q912" t="s">
        <v>76</v>
      </c>
      <c r="R912" t="s">
        <v>73</v>
      </c>
      <c r="S912">
        <v>0</v>
      </c>
      <c r="W912" s="20">
        <v>8.611111111111111E-3</v>
      </c>
      <c r="X912" t="s">
        <v>2263</v>
      </c>
      <c r="Y912">
        <v>22</v>
      </c>
      <c r="Z912">
        <v>0</v>
      </c>
      <c r="AA912" t="s">
        <v>78</v>
      </c>
      <c r="AB912">
        <v>0</v>
      </c>
      <c r="AC912" t="s">
        <v>78</v>
      </c>
      <c r="AD912">
        <v>0</v>
      </c>
      <c r="AE912">
        <v>10067564</v>
      </c>
      <c r="AF912" t="s">
        <v>79</v>
      </c>
      <c r="AG912" t="s">
        <v>1695</v>
      </c>
    </row>
    <row r="913" spans="1:33" x14ac:dyDescent="0.35">
      <c r="A913" s="18">
        <v>44467.788888888892</v>
      </c>
      <c r="B913">
        <v>1974612</v>
      </c>
      <c r="C913" t="s">
        <v>2251</v>
      </c>
      <c r="D913" t="s">
        <v>2252</v>
      </c>
      <c r="E913" s="19">
        <v>41672</v>
      </c>
      <c r="F913" t="str">
        <f>"9781847740694"</f>
        <v>9781847740694</v>
      </c>
      <c r="G913" t="str">
        <f>"9781847740670"</f>
        <v>9781847740670</v>
      </c>
      <c r="H913" t="s">
        <v>308</v>
      </c>
      <c r="I913">
        <v>297.125</v>
      </c>
      <c r="J913" t="s">
        <v>2253</v>
      </c>
      <c r="K913" t="s">
        <v>73</v>
      </c>
      <c r="N913" t="s">
        <v>74</v>
      </c>
      <c r="O913" t="s">
        <v>75</v>
      </c>
      <c r="P913" t="s">
        <v>74</v>
      </c>
      <c r="Q913" t="s">
        <v>76</v>
      </c>
      <c r="R913" t="s">
        <v>73</v>
      </c>
      <c r="S913">
        <v>0</v>
      </c>
      <c r="W913" s="20">
        <v>4.6296296296296294E-5</v>
      </c>
      <c r="X913" t="s">
        <v>132</v>
      </c>
      <c r="Y913">
        <v>1</v>
      </c>
      <c r="Z913">
        <v>0</v>
      </c>
      <c r="AA913" t="s">
        <v>78</v>
      </c>
      <c r="AB913">
        <v>0</v>
      </c>
      <c r="AC913" t="s">
        <v>78</v>
      </c>
      <c r="AD913">
        <v>0</v>
      </c>
      <c r="AE913">
        <v>10887432</v>
      </c>
      <c r="AF913" t="s">
        <v>79</v>
      </c>
      <c r="AG913" t="s">
        <v>1695</v>
      </c>
    </row>
    <row r="914" spans="1:33" x14ac:dyDescent="0.35">
      <c r="A914" s="18">
        <v>44467.754861111112</v>
      </c>
      <c r="B914">
        <v>1974612</v>
      </c>
      <c r="C914" t="s">
        <v>2251</v>
      </c>
      <c r="D914" t="s">
        <v>2252</v>
      </c>
      <c r="E914" s="19">
        <v>41672</v>
      </c>
      <c r="F914" t="str">
        <f>"9781847740694"</f>
        <v>9781847740694</v>
      </c>
      <c r="G914" t="str">
        <f>"9781847740670"</f>
        <v>9781847740670</v>
      </c>
      <c r="H914" t="s">
        <v>308</v>
      </c>
      <c r="I914">
        <v>297.125</v>
      </c>
      <c r="J914" t="s">
        <v>2253</v>
      </c>
      <c r="K914" t="s">
        <v>73</v>
      </c>
      <c r="N914" t="s">
        <v>74</v>
      </c>
      <c r="O914" t="s">
        <v>75</v>
      </c>
      <c r="P914" t="s">
        <v>74</v>
      </c>
      <c r="Q914" t="s">
        <v>76</v>
      </c>
      <c r="R914" t="s">
        <v>73</v>
      </c>
      <c r="S914">
        <v>0</v>
      </c>
      <c r="W914" s="20">
        <v>9.7453703703703713E-3</v>
      </c>
      <c r="X914" t="s">
        <v>2264</v>
      </c>
      <c r="Y914">
        <v>41</v>
      </c>
      <c r="Z914">
        <v>0</v>
      </c>
      <c r="AA914" t="s">
        <v>78</v>
      </c>
      <c r="AB914">
        <v>0</v>
      </c>
      <c r="AC914" t="s">
        <v>78</v>
      </c>
      <c r="AD914">
        <v>0</v>
      </c>
      <c r="AE914">
        <v>10887432</v>
      </c>
      <c r="AF914" t="s">
        <v>79</v>
      </c>
      <c r="AG914" t="s">
        <v>1695</v>
      </c>
    </row>
    <row r="915" spans="1:33" x14ac:dyDescent="0.35">
      <c r="A915" s="18">
        <v>44467.752083333333</v>
      </c>
      <c r="B915">
        <v>4758744</v>
      </c>
      <c r="C915" t="s">
        <v>2265</v>
      </c>
      <c r="D915" t="s">
        <v>127</v>
      </c>
      <c r="E915" s="19">
        <v>38135</v>
      </c>
      <c r="F915" t="str">
        <f>"9781351931823"</f>
        <v>9781351931823</v>
      </c>
      <c r="G915" t="str">
        <f>"9780860787044"</f>
        <v>9780860787044</v>
      </c>
      <c r="H915" t="s">
        <v>308</v>
      </c>
      <c r="I915">
        <v>297.125</v>
      </c>
      <c r="J915" t="s">
        <v>2266</v>
      </c>
      <c r="K915" t="s">
        <v>73</v>
      </c>
      <c r="N915" t="s">
        <v>74</v>
      </c>
      <c r="O915" t="s">
        <v>75</v>
      </c>
      <c r="P915" t="s">
        <v>74</v>
      </c>
      <c r="Q915" t="s">
        <v>76</v>
      </c>
      <c r="R915" t="s">
        <v>73</v>
      </c>
      <c r="S915">
        <v>0</v>
      </c>
      <c r="W915" s="20">
        <v>7.7546296296296304E-4</v>
      </c>
      <c r="X915" t="s">
        <v>2267</v>
      </c>
      <c r="Y915">
        <v>7</v>
      </c>
      <c r="Z915">
        <v>0</v>
      </c>
      <c r="AA915" t="s">
        <v>78</v>
      </c>
      <c r="AB915">
        <v>0</v>
      </c>
      <c r="AC915" t="s">
        <v>78</v>
      </c>
      <c r="AD915">
        <v>0</v>
      </c>
      <c r="AE915">
        <v>11310933</v>
      </c>
      <c r="AF915" t="s">
        <v>79</v>
      </c>
      <c r="AG915" t="s">
        <v>1695</v>
      </c>
    </row>
    <row r="916" spans="1:33" x14ac:dyDescent="0.35">
      <c r="A916" s="18">
        <v>44467.74722222222</v>
      </c>
      <c r="B916">
        <v>1048419</v>
      </c>
      <c r="C916" t="s">
        <v>2268</v>
      </c>
      <c r="D916" t="s">
        <v>542</v>
      </c>
      <c r="E916" s="19">
        <v>41348</v>
      </c>
      <c r="F916" t="str">
        <f>"9781606493632"</f>
        <v>9781606493632</v>
      </c>
      <c r="G916" t="str">
        <f>"9781606493625"</f>
        <v>9781606493625</v>
      </c>
      <c r="H916" t="s">
        <v>143</v>
      </c>
      <c r="I916">
        <v>658.4012015193</v>
      </c>
      <c r="J916" t="s">
        <v>2269</v>
      </c>
      <c r="K916" t="s">
        <v>73</v>
      </c>
      <c r="N916" t="s">
        <v>74</v>
      </c>
      <c r="O916" t="s">
        <v>75</v>
      </c>
      <c r="P916" t="s">
        <v>74</v>
      </c>
      <c r="Q916" t="s">
        <v>76</v>
      </c>
      <c r="R916" t="s">
        <v>73</v>
      </c>
      <c r="S916">
        <v>0</v>
      </c>
      <c r="W916" s="20">
        <v>3.1481481481481482E-3</v>
      </c>
      <c r="X916" t="s">
        <v>2270</v>
      </c>
      <c r="Y916">
        <v>26</v>
      </c>
      <c r="Z916">
        <v>0</v>
      </c>
      <c r="AA916" t="s">
        <v>78</v>
      </c>
      <c r="AB916">
        <v>0</v>
      </c>
      <c r="AC916" t="s">
        <v>78</v>
      </c>
      <c r="AD916">
        <v>0</v>
      </c>
      <c r="AE916">
        <v>10661535</v>
      </c>
      <c r="AF916" t="s">
        <v>79</v>
      </c>
      <c r="AG916" t="s">
        <v>1695</v>
      </c>
    </row>
    <row r="917" spans="1:33" x14ac:dyDescent="0.35">
      <c r="A917" s="18">
        <v>44467.746527777781</v>
      </c>
      <c r="B917">
        <v>3017709</v>
      </c>
      <c r="C917" t="s">
        <v>2271</v>
      </c>
      <c r="D917" t="s">
        <v>226</v>
      </c>
      <c r="E917" s="19">
        <v>39753</v>
      </c>
      <c r="F917" t="str">
        <f>"9781617619182"</f>
        <v>9781617619182</v>
      </c>
      <c r="G917" t="str">
        <f>"9781604568448"</f>
        <v>9781604568448</v>
      </c>
      <c r="H917" t="s">
        <v>115</v>
      </c>
      <c r="I917">
        <v>519.29999999999995</v>
      </c>
      <c r="J917" t="s">
        <v>2272</v>
      </c>
      <c r="K917" t="s">
        <v>73</v>
      </c>
      <c r="N917" t="s">
        <v>74</v>
      </c>
      <c r="O917" t="s">
        <v>75</v>
      </c>
      <c r="P917" t="s">
        <v>74</v>
      </c>
      <c r="Q917" t="s">
        <v>76</v>
      </c>
      <c r="R917" t="s">
        <v>73</v>
      </c>
      <c r="S917">
        <v>0</v>
      </c>
      <c r="W917" s="20">
        <v>1.9675925925925926E-4</v>
      </c>
      <c r="X917" t="s">
        <v>2273</v>
      </c>
      <c r="Y917">
        <v>3</v>
      </c>
      <c r="Z917">
        <v>0</v>
      </c>
      <c r="AA917" t="s">
        <v>78</v>
      </c>
      <c r="AB917">
        <v>0</v>
      </c>
      <c r="AC917" t="s">
        <v>78</v>
      </c>
      <c r="AD917">
        <v>0</v>
      </c>
      <c r="AE917">
        <v>10654680</v>
      </c>
      <c r="AF917" t="s">
        <v>79</v>
      </c>
      <c r="AG917" t="s">
        <v>1695</v>
      </c>
    </row>
    <row r="918" spans="1:33" x14ac:dyDescent="0.35">
      <c r="A918" s="18">
        <v>44467.745138888888</v>
      </c>
      <c r="B918">
        <v>3330479</v>
      </c>
      <c r="C918" t="s">
        <v>2274</v>
      </c>
      <c r="D918" t="s">
        <v>2275</v>
      </c>
      <c r="E918" s="19">
        <v>9133</v>
      </c>
      <c r="F918" t="str">
        <f>"9781614441151"</f>
        <v>9781614441151</v>
      </c>
      <c r="G918" t="str">
        <f>""</f>
        <v/>
      </c>
      <c r="H918" t="s">
        <v>115</v>
      </c>
      <c r="I918">
        <v>519.29999999999995</v>
      </c>
      <c r="J918" t="s">
        <v>2276</v>
      </c>
      <c r="K918" t="s">
        <v>73</v>
      </c>
      <c r="N918" t="s">
        <v>74</v>
      </c>
      <c r="O918" t="s">
        <v>75</v>
      </c>
      <c r="P918" t="s">
        <v>74</v>
      </c>
      <c r="Q918" t="s">
        <v>76</v>
      </c>
      <c r="R918" t="s">
        <v>73</v>
      </c>
      <c r="S918">
        <v>0</v>
      </c>
      <c r="W918" s="20">
        <v>5.4398148148148144E-4</v>
      </c>
      <c r="X918" t="s">
        <v>717</v>
      </c>
      <c r="Y918">
        <v>3</v>
      </c>
      <c r="Z918">
        <v>0</v>
      </c>
      <c r="AA918" t="s">
        <v>78</v>
      </c>
      <c r="AB918">
        <v>0</v>
      </c>
      <c r="AC918" t="s">
        <v>78</v>
      </c>
      <c r="AD918">
        <v>0</v>
      </c>
      <c r="AE918">
        <v>10884995</v>
      </c>
      <c r="AF918" t="s">
        <v>79</v>
      </c>
      <c r="AG918" t="s">
        <v>1695</v>
      </c>
    </row>
    <row r="919" spans="1:33" x14ac:dyDescent="0.35">
      <c r="A919" s="18">
        <v>44467.734722222223</v>
      </c>
      <c r="B919">
        <v>835145</v>
      </c>
      <c r="C919" t="s">
        <v>1542</v>
      </c>
      <c r="D919" t="s">
        <v>70</v>
      </c>
      <c r="E919" s="19">
        <v>40952</v>
      </c>
      <c r="F919" t="str">
        <f>"9781119977001"</f>
        <v>9781119977001</v>
      </c>
      <c r="G919" t="str">
        <f>"9781119992851"</f>
        <v>9781119992851</v>
      </c>
      <c r="H919" t="s">
        <v>71</v>
      </c>
      <c r="I919">
        <v>621.31244000000004</v>
      </c>
      <c r="J919" t="s">
        <v>1543</v>
      </c>
      <c r="K919" t="s">
        <v>73</v>
      </c>
      <c r="N919" t="s">
        <v>74</v>
      </c>
      <c r="O919" t="s">
        <v>75</v>
      </c>
      <c r="P919" t="s">
        <v>74</v>
      </c>
      <c r="Q919" t="s">
        <v>76</v>
      </c>
      <c r="R919" t="s">
        <v>73</v>
      </c>
      <c r="S919">
        <v>0</v>
      </c>
      <c r="W919" s="20">
        <v>2.4189814814814816E-3</v>
      </c>
      <c r="X919" t="s">
        <v>2277</v>
      </c>
      <c r="Y919">
        <v>6</v>
      </c>
      <c r="Z919">
        <v>0</v>
      </c>
      <c r="AA919" t="s">
        <v>78</v>
      </c>
      <c r="AB919">
        <v>0</v>
      </c>
      <c r="AC919" t="s">
        <v>78</v>
      </c>
      <c r="AD919">
        <v>0</v>
      </c>
      <c r="AE919">
        <v>10526535</v>
      </c>
      <c r="AF919" t="s">
        <v>79</v>
      </c>
      <c r="AG919" t="s">
        <v>1909</v>
      </c>
    </row>
    <row r="920" spans="1:33" x14ac:dyDescent="0.35">
      <c r="A920" s="18">
        <v>44467.734027777777</v>
      </c>
      <c r="B920">
        <v>1574357</v>
      </c>
      <c r="C920" t="s">
        <v>1544</v>
      </c>
      <c r="D920" t="s">
        <v>70</v>
      </c>
      <c r="E920" s="19">
        <v>41680</v>
      </c>
      <c r="F920" t="str">
        <f>"9781118703366"</f>
        <v>9781118703366</v>
      </c>
      <c r="G920" t="str">
        <f>"9781118634165"</f>
        <v>9781118634165</v>
      </c>
      <c r="H920" t="s">
        <v>71</v>
      </c>
      <c r="I920">
        <v>621.31244000000004</v>
      </c>
      <c r="J920" t="s">
        <v>1545</v>
      </c>
      <c r="K920" t="s">
        <v>73</v>
      </c>
      <c r="N920" t="s">
        <v>74</v>
      </c>
      <c r="O920" t="s">
        <v>75</v>
      </c>
      <c r="P920" t="s">
        <v>74</v>
      </c>
      <c r="Q920" t="s">
        <v>76</v>
      </c>
      <c r="R920" t="s">
        <v>73</v>
      </c>
      <c r="S920">
        <v>0</v>
      </c>
      <c r="W920" s="20">
        <v>2.6504629629629625E-3</v>
      </c>
      <c r="X920" t="s">
        <v>2278</v>
      </c>
      <c r="Y920">
        <v>5</v>
      </c>
      <c r="Z920">
        <v>0</v>
      </c>
      <c r="AA920" t="s">
        <v>78</v>
      </c>
      <c r="AB920">
        <v>0</v>
      </c>
      <c r="AC920" t="s">
        <v>78</v>
      </c>
      <c r="AD920">
        <v>0</v>
      </c>
      <c r="AE920">
        <v>10814681</v>
      </c>
      <c r="AF920" t="s">
        <v>79</v>
      </c>
      <c r="AG920" t="s">
        <v>1909</v>
      </c>
    </row>
    <row r="921" spans="1:33" x14ac:dyDescent="0.35">
      <c r="A921" s="18">
        <v>44467.660416666666</v>
      </c>
      <c r="B921">
        <v>6162715</v>
      </c>
      <c r="C921" t="s">
        <v>2279</v>
      </c>
      <c r="D921" t="s">
        <v>200</v>
      </c>
      <c r="E921" s="19">
        <v>43926</v>
      </c>
      <c r="F921" t="str">
        <f>"9789811541636"</f>
        <v>9789811541636</v>
      </c>
      <c r="G921" t="str">
        <f>"9789811541629"</f>
        <v>9789811541629</v>
      </c>
      <c r="H921" t="s">
        <v>2280</v>
      </c>
      <c r="I921">
        <v>4.5999999999999899</v>
      </c>
      <c r="J921" t="s">
        <v>202</v>
      </c>
      <c r="K921" t="s">
        <v>85</v>
      </c>
      <c r="Q921" t="s">
        <v>76</v>
      </c>
      <c r="R921" t="s">
        <v>73</v>
      </c>
      <c r="S921">
        <v>0</v>
      </c>
      <c r="W921" s="20">
        <v>6.134259259259259E-4</v>
      </c>
      <c r="X921" t="s">
        <v>2281</v>
      </c>
      <c r="Y921">
        <v>6</v>
      </c>
      <c r="Z921">
        <v>0</v>
      </c>
      <c r="AA921" t="s">
        <v>78</v>
      </c>
      <c r="AB921">
        <v>0</v>
      </c>
      <c r="AC921" t="s">
        <v>78</v>
      </c>
      <c r="AD921">
        <v>0</v>
      </c>
      <c r="AE921">
        <v>-1</v>
      </c>
      <c r="AF921" t="s">
        <v>79</v>
      </c>
      <c r="AG921" t="s">
        <v>2121</v>
      </c>
    </row>
    <row r="922" spans="1:33" x14ac:dyDescent="0.35">
      <c r="A922" s="18">
        <v>44467.564583333333</v>
      </c>
      <c r="B922">
        <v>6694113</v>
      </c>
      <c r="C922" t="s">
        <v>359</v>
      </c>
      <c r="D922" t="s">
        <v>127</v>
      </c>
      <c r="E922" s="19">
        <v>44467</v>
      </c>
      <c r="F922" t="str">
        <f>"9781000460643"</f>
        <v>9781000460643</v>
      </c>
      <c r="G922" t="str">
        <f>"9780367485177"</f>
        <v>9780367485177</v>
      </c>
      <c r="H922" t="s">
        <v>128</v>
      </c>
      <c r="I922">
        <v>307.76095379999998</v>
      </c>
      <c r="K922" t="s">
        <v>85</v>
      </c>
      <c r="N922" t="s">
        <v>86</v>
      </c>
      <c r="P922" t="s">
        <v>87</v>
      </c>
      <c r="Q922" t="s">
        <v>76</v>
      </c>
      <c r="R922" t="s">
        <v>73</v>
      </c>
      <c r="S922">
        <v>0</v>
      </c>
      <c r="W922" s="20">
        <v>6.018518518518519E-4</v>
      </c>
      <c r="X922" t="s">
        <v>2282</v>
      </c>
      <c r="Y922">
        <v>10</v>
      </c>
      <c r="Z922">
        <v>0</v>
      </c>
      <c r="AA922" t="s">
        <v>78</v>
      </c>
      <c r="AB922">
        <v>0</v>
      </c>
      <c r="AC922" t="s">
        <v>78</v>
      </c>
      <c r="AD922">
        <v>0</v>
      </c>
      <c r="AE922">
        <v>-1</v>
      </c>
      <c r="AF922" t="s">
        <v>79</v>
      </c>
      <c r="AG922" t="s">
        <v>1695</v>
      </c>
    </row>
    <row r="923" spans="1:33" x14ac:dyDescent="0.35">
      <c r="A923" s="18">
        <v>44467.561111111114</v>
      </c>
      <c r="B923">
        <v>6694113</v>
      </c>
      <c r="C923" t="s">
        <v>359</v>
      </c>
      <c r="D923" t="s">
        <v>127</v>
      </c>
      <c r="E923" s="19">
        <v>44467</v>
      </c>
      <c r="F923" t="str">
        <f>"9781000460643"</f>
        <v>9781000460643</v>
      </c>
      <c r="G923" t="str">
        <f>"9780367485177"</f>
        <v>9780367485177</v>
      </c>
      <c r="H923" t="s">
        <v>128</v>
      </c>
      <c r="I923">
        <v>307.76095379999998</v>
      </c>
      <c r="K923" t="s">
        <v>85</v>
      </c>
      <c r="N923" t="s">
        <v>86</v>
      </c>
      <c r="P923" t="s">
        <v>87</v>
      </c>
      <c r="Q923" t="s">
        <v>76</v>
      </c>
      <c r="R923" t="s">
        <v>73</v>
      </c>
      <c r="S923">
        <v>1</v>
      </c>
      <c r="T923">
        <v>90</v>
      </c>
      <c r="U923" s="18">
        <v>44467.561111111114</v>
      </c>
      <c r="V923" s="18">
        <v>44557.561111111114</v>
      </c>
      <c r="W923" s="20">
        <v>1.1574074074074073E-5</v>
      </c>
      <c r="X923" t="s">
        <v>78</v>
      </c>
      <c r="Y923">
        <v>0</v>
      </c>
      <c r="Z923">
        <v>0</v>
      </c>
      <c r="AA923" t="s">
        <v>78</v>
      </c>
      <c r="AB923">
        <v>0</v>
      </c>
      <c r="AC923" t="s">
        <v>78</v>
      </c>
      <c r="AD923">
        <v>0</v>
      </c>
      <c r="AE923">
        <v>-1</v>
      </c>
      <c r="AF923" t="s">
        <v>88</v>
      </c>
      <c r="AG923" t="s">
        <v>1695</v>
      </c>
    </row>
    <row r="924" spans="1:33" x14ac:dyDescent="0.35">
      <c r="A924" s="18">
        <v>44467.554166666669</v>
      </c>
      <c r="B924">
        <v>6694113</v>
      </c>
      <c r="C924" t="s">
        <v>359</v>
      </c>
      <c r="D924" t="s">
        <v>127</v>
      </c>
      <c r="E924" s="19">
        <v>44467</v>
      </c>
      <c r="F924" t="str">
        <f>"9781000460643"</f>
        <v>9781000460643</v>
      </c>
      <c r="G924" t="str">
        <f>"9780367485177"</f>
        <v>9780367485177</v>
      </c>
      <c r="H924" t="s">
        <v>128</v>
      </c>
      <c r="I924">
        <v>307.76095379999998</v>
      </c>
      <c r="K924" t="s">
        <v>85</v>
      </c>
      <c r="N924" t="s">
        <v>86</v>
      </c>
      <c r="P924" t="s">
        <v>87</v>
      </c>
      <c r="Q924" t="s">
        <v>76</v>
      </c>
      <c r="R924" t="s">
        <v>73</v>
      </c>
      <c r="S924">
        <v>0</v>
      </c>
      <c r="W924" s="20">
        <v>6.9444444444444444E-5</v>
      </c>
      <c r="X924" t="s">
        <v>132</v>
      </c>
      <c r="Y924">
        <v>1</v>
      </c>
      <c r="Z924">
        <v>0</v>
      </c>
      <c r="AA924" t="s">
        <v>78</v>
      </c>
      <c r="AB924">
        <v>0</v>
      </c>
      <c r="AC924" t="s">
        <v>78</v>
      </c>
      <c r="AD924">
        <v>0</v>
      </c>
      <c r="AE924">
        <v>-1</v>
      </c>
      <c r="AF924" t="s">
        <v>79</v>
      </c>
      <c r="AG924" t="s">
        <v>1695</v>
      </c>
    </row>
    <row r="925" spans="1:33" x14ac:dyDescent="0.35">
      <c r="A925" s="18">
        <v>44467.522916666669</v>
      </c>
      <c r="B925">
        <v>201460</v>
      </c>
      <c r="C925" t="s">
        <v>2283</v>
      </c>
      <c r="D925" t="s">
        <v>538</v>
      </c>
      <c r="E925" s="19">
        <v>36132</v>
      </c>
      <c r="F925" t="str">
        <f>"9780511155215"</f>
        <v>9780511155215</v>
      </c>
      <c r="G925" t="str">
        <f>"9780521571630"</f>
        <v>9780521571630</v>
      </c>
      <c r="H925" t="s">
        <v>1400</v>
      </c>
      <c r="I925">
        <v>616.89</v>
      </c>
      <c r="J925" t="s">
        <v>2284</v>
      </c>
      <c r="K925" t="s">
        <v>73</v>
      </c>
      <c r="N925" t="s">
        <v>74</v>
      </c>
      <c r="O925" t="s">
        <v>75</v>
      </c>
      <c r="P925" t="s">
        <v>74</v>
      </c>
      <c r="Q925" t="s">
        <v>76</v>
      </c>
      <c r="R925" t="s">
        <v>73</v>
      </c>
      <c r="S925">
        <v>0</v>
      </c>
      <c r="W925" s="20">
        <v>7.7546296296296304E-4</v>
      </c>
      <c r="X925" t="s">
        <v>2285</v>
      </c>
      <c r="Y925">
        <v>10</v>
      </c>
      <c r="Z925">
        <v>0</v>
      </c>
      <c r="AA925" t="s">
        <v>78</v>
      </c>
      <c r="AB925">
        <v>0</v>
      </c>
      <c r="AC925" t="s">
        <v>78</v>
      </c>
      <c r="AD925">
        <v>0</v>
      </c>
      <c r="AE925">
        <v>10040863</v>
      </c>
      <c r="AF925" t="s">
        <v>79</v>
      </c>
      <c r="AG925" t="s">
        <v>1963</v>
      </c>
    </row>
    <row r="926" spans="1:33" x14ac:dyDescent="0.35">
      <c r="A926" s="18">
        <v>44467.370138888888</v>
      </c>
      <c r="B926">
        <v>2035675</v>
      </c>
      <c r="C926" t="s">
        <v>2286</v>
      </c>
      <c r="D926" t="s">
        <v>2287</v>
      </c>
      <c r="E926" s="19">
        <v>41993</v>
      </c>
      <c r="F926" t="str">
        <f>"9781496324580"</f>
        <v>9781496324580</v>
      </c>
      <c r="G926" t="str">
        <f>"9781451188790"</f>
        <v>9781451188790</v>
      </c>
      <c r="H926" t="s">
        <v>2288</v>
      </c>
      <c r="I926">
        <v>610.73071000000004</v>
      </c>
      <c r="J926" t="s">
        <v>2289</v>
      </c>
      <c r="K926" t="s">
        <v>73</v>
      </c>
      <c r="N926" t="s">
        <v>74</v>
      </c>
      <c r="O926" t="s">
        <v>75</v>
      </c>
      <c r="P926" t="s">
        <v>74</v>
      </c>
      <c r="Q926" t="s">
        <v>76</v>
      </c>
      <c r="R926" t="s">
        <v>73</v>
      </c>
      <c r="S926">
        <v>0</v>
      </c>
      <c r="W926" s="20">
        <v>4.6296296296296294E-5</v>
      </c>
      <c r="X926" t="s">
        <v>132</v>
      </c>
      <c r="Y926">
        <v>1</v>
      </c>
      <c r="Z926">
        <v>0</v>
      </c>
      <c r="AA926" t="s">
        <v>78</v>
      </c>
      <c r="AB926">
        <v>0</v>
      </c>
      <c r="AC926" t="s">
        <v>78</v>
      </c>
      <c r="AD926">
        <v>0</v>
      </c>
      <c r="AE926">
        <v>11292953</v>
      </c>
      <c r="AF926" t="s">
        <v>79</v>
      </c>
      <c r="AG926" t="s">
        <v>2180</v>
      </c>
    </row>
    <row r="927" spans="1:33" x14ac:dyDescent="0.35">
      <c r="A927" s="18">
        <v>44467.09097222222</v>
      </c>
      <c r="B927">
        <v>1997679</v>
      </c>
      <c r="C927" t="s">
        <v>2290</v>
      </c>
      <c r="D927" t="s">
        <v>158</v>
      </c>
      <c r="E927" s="19">
        <v>42110</v>
      </c>
      <c r="F927" t="str">
        <f>"9780128011263"</f>
        <v>9780128011263</v>
      </c>
      <c r="G927" t="str">
        <f>"9780128007815"</f>
        <v>9780128007815</v>
      </c>
      <c r="H927" t="s">
        <v>1514</v>
      </c>
      <c r="I927">
        <v>612.64017999999999</v>
      </c>
      <c r="J927" t="s">
        <v>2291</v>
      </c>
      <c r="K927" t="s">
        <v>73</v>
      </c>
      <c r="N927" t="s">
        <v>74</v>
      </c>
      <c r="O927" t="s">
        <v>75</v>
      </c>
      <c r="P927" t="s">
        <v>74</v>
      </c>
      <c r="Q927" t="s">
        <v>76</v>
      </c>
      <c r="R927" t="s">
        <v>73</v>
      </c>
      <c r="S927">
        <v>0</v>
      </c>
      <c r="W927" s="20">
        <v>1.6319444444444445E-3</v>
      </c>
      <c r="X927" t="s">
        <v>1815</v>
      </c>
      <c r="Y927">
        <v>11</v>
      </c>
      <c r="Z927">
        <v>0</v>
      </c>
      <c r="AA927" t="s">
        <v>78</v>
      </c>
      <c r="AB927">
        <v>0</v>
      </c>
      <c r="AC927" t="s">
        <v>78</v>
      </c>
      <c r="AD927">
        <v>0</v>
      </c>
      <c r="AE927">
        <v>11035749</v>
      </c>
      <c r="AF927" t="s">
        <v>79</v>
      </c>
      <c r="AG927" t="s">
        <v>1963</v>
      </c>
    </row>
    <row r="928" spans="1:33" x14ac:dyDescent="0.35">
      <c r="A928" s="18">
        <v>44466.965277777781</v>
      </c>
      <c r="B928">
        <v>1046975</v>
      </c>
      <c r="C928" t="s">
        <v>2292</v>
      </c>
      <c r="D928" t="s">
        <v>127</v>
      </c>
      <c r="E928" s="19">
        <v>41206</v>
      </c>
      <c r="F928" t="str">
        <f>"9781136295812"</f>
        <v>9781136295812</v>
      </c>
      <c r="G928" t="str">
        <f>"9780415672412"</f>
        <v>9780415672412</v>
      </c>
      <c r="H928" t="s">
        <v>128</v>
      </c>
      <c r="I928">
        <v>305.42095353000002</v>
      </c>
      <c r="J928" t="s">
        <v>2293</v>
      </c>
      <c r="K928" t="s">
        <v>73</v>
      </c>
      <c r="N928" t="s">
        <v>74</v>
      </c>
      <c r="O928" t="s">
        <v>75</v>
      </c>
      <c r="P928" t="s">
        <v>74</v>
      </c>
      <c r="Q928" t="s">
        <v>76</v>
      </c>
      <c r="R928" t="s">
        <v>73</v>
      </c>
      <c r="S928">
        <v>0</v>
      </c>
      <c r="W928" s="20">
        <v>5.7870370370370366E-5</v>
      </c>
      <c r="X928" t="s">
        <v>132</v>
      </c>
      <c r="Y928">
        <v>1</v>
      </c>
      <c r="Z928">
        <v>0</v>
      </c>
      <c r="AA928" t="s">
        <v>78</v>
      </c>
      <c r="AB928">
        <v>0</v>
      </c>
      <c r="AC928" t="s">
        <v>78</v>
      </c>
      <c r="AD928">
        <v>0</v>
      </c>
      <c r="AE928">
        <v>10617608</v>
      </c>
      <c r="AF928" t="s">
        <v>79</v>
      </c>
      <c r="AG928" t="s">
        <v>1909</v>
      </c>
    </row>
    <row r="929" spans="1:33" x14ac:dyDescent="0.35">
      <c r="A929" s="18">
        <v>44466.918055555558</v>
      </c>
      <c r="B929">
        <v>2035675</v>
      </c>
      <c r="C929" t="s">
        <v>2286</v>
      </c>
      <c r="D929" t="s">
        <v>2287</v>
      </c>
      <c r="E929" s="19">
        <v>41993</v>
      </c>
      <c r="F929" t="str">
        <f>"9781496324580"</f>
        <v>9781496324580</v>
      </c>
      <c r="G929" t="str">
        <f>"9781451188790"</f>
        <v>9781451188790</v>
      </c>
      <c r="H929" t="s">
        <v>2288</v>
      </c>
      <c r="I929">
        <v>610.73071000000004</v>
      </c>
      <c r="J929" t="s">
        <v>2289</v>
      </c>
      <c r="K929" t="s">
        <v>73</v>
      </c>
      <c r="N929" t="s">
        <v>74</v>
      </c>
      <c r="O929" t="s">
        <v>75</v>
      </c>
      <c r="P929" t="s">
        <v>74</v>
      </c>
      <c r="Q929" t="s">
        <v>76</v>
      </c>
      <c r="R929" t="s">
        <v>73</v>
      </c>
      <c r="S929">
        <v>0</v>
      </c>
      <c r="W929" s="20">
        <v>1.4641203703703703E-2</v>
      </c>
      <c r="X929" t="s">
        <v>2294</v>
      </c>
      <c r="Y929">
        <v>46</v>
      </c>
      <c r="Z929">
        <v>4</v>
      </c>
      <c r="AA929" t="s">
        <v>2295</v>
      </c>
      <c r="AB929">
        <v>221</v>
      </c>
      <c r="AC929" t="s">
        <v>78</v>
      </c>
      <c r="AD929">
        <v>0</v>
      </c>
      <c r="AE929">
        <v>11292953</v>
      </c>
      <c r="AF929" t="s">
        <v>79</v>
      </c>
      <c r="AG929" t="s">
        <v>2180</v>
      </c>
    </row>
    <row r="930" spans="1:33" x14ac:dyDescent="0.35">
      <c r="A930" s="18">
        <v>44466.886111111111</v>
      </c>
      <c r="B930">
        <v>1624262</v>
      </c>
      <c r="C930" t="s">
        <v>2296</v>
      </c>
      <c r="D930" t="s">
        <v>70</v>
      </c>
      <c r="E930" s="19">
        <v>41687</v>
      </c>
      <c r="F930" t="str">
        <f>"9781118904886"</f>
        <v>9781118904886</v>
      </c>
      <c r="G930" t="str">
        <f>"9781118208526"</f>
        <v>9781118208526</v>
      </c>
      <c r="H930" t="s">
        <v>374</v>
      </c>
      <c r="I930">
        <v>628.16700000000003</v>
      </c>
      <c r="J930" t="s">
        <v>2297</v>
      </c>
      <c r="K930" t="s">
        <v>73</v>
      </c>
      <c r="N930" t="s">
        <v>74</v>
      </c>
      <c r="O930" t="s">
        <v>75</v>
      </c>
      <c r="P930" t="s">
        <v>74</v>
      </c>
      <c r="Q930" t="s">
        <v>76</v>
      </c>
      <c r="R930" t="s">
        <v>73</v>
      </c>
      <c r="S930">
        <v>0</v>
      </c>
      <c r="W930" s="20">
        <v>5.3240740740740744E-4</v>
      </c>
      <c r="X930" t="s">
        <v>2298</v>
      </c>
      <c r="Y930">
        <v>5</v>
      </c>
      <c r="Z930">
        <v>0</v>
      </c>
      <c r="AA930" t="s">
        <v>78</v>
      </c>
      <c r="AB930">
        <v>0</v>
      </c>
      <c r="AC930" t="s">
        <v>78</v>
      </c>
      <c r="AD930">
        <v>0</v>
      </c>
      <c r="AE930">
        <v>10837553</v>
      </c>
      <c r="AF930" t="s">
        <v>79</v>
      </c>
      <c r="AG930" t="s">
        <v>2299</v>
      </c>
    </row>
    <row r="931" spans="1:33" x14ac:dyDescent="0.35">
      <c r="A931" s="18">
        <v>44466.765277777777</v>
      </c>
      <c r="B931">
        <v>943094</v>
      </c>
      <c r="C931" t="s">
        <v>2300</v>
      </c>
      <c r="D931" t="s">
        <v>70</v>
      </c>
      <c r="E931" s="19">
        <v>41176</v>
      </c>
      <c r="F931" t="str">
        <f>"9783527650439"</f>
        <v>9783527650439</v>
      </c>
      <c r="G931" t="str">
        <f>"9783527331512"</f>
        <v>9783527331512</v>
      </c>
      <c r="H931" t="s">
        <v>466</v>
      </c>
      <c r="I931">
        <v>621.31242399999996</v>
      </c>
      <c r="J931" t="s">
        <v>2301</v>
      </c>
      <c r="K931" t="s">
        <v>73</v>
      </c>
      <c r="N931" t="s">
        <v>74</v>
      </c>
      <c r="O931" t="s">
        <v>75</v>
      </c>
      <c r="P931" t="s">
        <v>74</v>
      </c>
      <c r="Q931" t="s">
        <v>76</v>
      </c>
      <c r="R931" t="s">
        <v>73</v>
      </c>
      <c r="S931">
        <v>0</v>
      </c>
      <c r="W931" s="20">
        <v>5.0925925925925921E-4</v>
      </c>
      <c r="X931" t="s">
        <v>2302</v>
      </c>
      <c r="Y931">
        <v>6</v>
      </c>
      <c r="Z931">
        <v>0</v>
      </c>
      <c r="AA931" t="s">
        <v>78</v>
      </c>
      <c r="AB931">
        <v>0</v>
      </c>
      <c r="AC931" t="s">
        <v>2303</v>
      </c>
      <c r="AD931">
        <v>1</v>
      </c>
      <c r="AE931">
        <v>10570738</v>
      </c>
      <c r="AF931" t="s">
        <v>79</v>
      </c>
      <c r="AG931" t="s">
        <v>1963</v>
      </c>
    </row>
    <row r="932" spans="1:33" x14ac:dyDescent="0.35">
      <c r="A932" s="18">
        <v>44466.657638888886</v>
      </c>
      <c r="B932">
        <v>6386278</v>
      </c>
      <c r="C932" t="s">
        <v>2304</v>
      </c>
      <c r="D932" t="s">
        <v>390</v>
      </c>
      <c r="E932" s="19">
        <v>44158</v>
      </c>
      <c r="F932" t="str">
        <f>"9783110586312"</f>
        <v>9783110586312</v>
      </c>
      <c r="G932" t="str">
        <f>""</f>
        <v/>
      </c>
      <c r="H932" t="s">
        <v>2305</v>
      </c>
      <c r="I932">
        <v>25.063510941000001</v>
      </c>
      <c r="J932" t="s">
        <v>2306</v>
      </c>
      <c r="K932" t="s">
        <v>85</v>
      </c>
      <c r="N932" t="s">
        <v>86</v>
      </c>
      <c r="P932" t="s">
        <v>1495</v>
      </c>
      <c r="Q932" t="s">
        <v>76</v>
      </c>
      <c r="R932" t="s">
        <v>85</v>
      </c>
      <c r="S932">
        <v>1</v>
      </c>
      <c r="T932">
        <v>1</v>
      </c>
      <c r="U932" s="18">
        <v>44466.657638888886</v>
      </c>
      <c r="V932" s="18">
        <v>44467.657638888886</v>
      </c>
      <c r="W932" s="20">
        <v>0</v>
      </c>
      <c r="X932" t="s">
        <v>78</v>
      </c>
      <c r="Y932">
        <v>0</v>
      </c>
      <c r="Z932">
        <v>0</v>
      </c>
      <c r="AA932" t="s">
        <v>78</v>
      </c>
      <c r="AB932">
        <v>0</v>
      </c>
      <c r="AC932" t="s">
        <v>78</v>
      </c>
      <c r="AD932">
        <v>0</v>
      </c>
      <c r="AE932">
        <v>-1</v>
      </c>
      <c r="AF932" t="s">
        <v>88</v>
      </c>
      <c r="AG932" t="s">
        <v>1291</v>
      </c>
    </row>
    <row r="933" spans="1:33" x14ac:dyDescent="0.35">
      <c r="A933" s="18">
        <v>44466.578472222223</v>
      </c>
      <c r="B933">
        <v>1204633</v>
      </c>
      <c r="C933" t="s">
        <v>1560</v>
      </c>
      <c r="D933" t="s">
        <v>70</v>
      </c>
      <c r="E933" s="19">
        <v>41512</v>
      </c>
      <c r="F933" t="str">
        <f>"9781118450444"</f>
        <v>9781118450444</v>
      </c>
      <c r="G933" t="str">
        <f>"9780470673768"</f>
        <v>9780470673768</v>
      </c>
      <c r="H933" t="s">
        <v>1561</v>
      </c>
      <c r="I933">
        <v>552.5</v>
      </c>
      <c r="J933" t="s">
        <v>1562</v>
      </c>
      <c r="K933" t="s">
        <v>73</v>
      </c>
      <c r="N933" t="s">
        <v>74</v>
      </c>
      <c r="O933" t="s">
        <v>75</v>
      </c>
      <c r="P933" t="s">
        <v>74</v>
      </c>
      <c r="Q933" t="s">
        <v>76</v>
      </c>
      <c r="R933" t="s">
        <v>73</v>
      </c>
      <c r="S933">
        <v>0</v>
      </c>
      <c r="W933" s="20">
        <v>7.3958333333333341E-3</v>
      </c>
      <c r="X933" t="s">
        <v>2307</v>
      </c>
      <c r="Y933">
        <v>5</v>
      </c>
      <c r="Z933">
        <v>1</v>
      </c>
      <c r="AA933" t="s">
        <v>2308</v>
      </c>
      <c r="AB933">
        <v>55</v>
      </c>
      <c r="AC933" t="s">
        <v>78</v>
      </c>
      <c r="AD933">
        <v>0</v>
      </c>
      <c r="AE933">
        <v>10713576</v>
      </c>
      <c r="AF933" t="s">
        <v>79</v>
      </c>
      <c r="AG933" t="s">
        <v>1695</v>
      </c>
    </row>
    <row r="934" spans="1:33" x14ac:dyDescent="0.35">
      <c r="A934" s="18">
        <v>44466.537499999999</v>
      </c>
      <c r="B934">
        <v>882731</v>
      </c>
      <c r="C934" t="s">
        <v>2309</v>
      </c>
      <c r="D934" t="s">
        <v>70</v>
      </c>
      <c r="E934" s="19">
        <v>40973</v>
      </c>
      <c r="F934" t="str">
        <f>"9781444355857"</f>
        <v>9781444355857</v>
      </c>
      <c r="G934" t="str">
        <f>"9781444332872"</f>
        <v>9781444332872</v>
      </c>
      <c r="H934" t="s">
        <v>2310</v>
      </c>
      <c r="I934">
        <v>175</v>
      </c>
      <c r="J934" t="s">
        <v>2311</v>
      </c>
      <c r="K934" t="s">
        <v>73</v>
      </c>
      <c r="N934" t="s">
        <v>74</v>
      </c>
      <c r="O934" t="s">
        <v>75</v>
      </c>
      <c r="P934" t="s">
        <v>74</v>
      </c>
      <c r="Q934" t="s">
        <v>76</v>
      </c>
      <c r="R934" t="s">
        <v>73</v>
      </c>
      <c r="S934">
        <v>0</v>
      </c>
      <c r="W934" s="20">
        <v>2.9629629629629628E-3</v>
      </c>
      <c r="X934" t="s">
        <v>2312</v>
      </c>
      <c r="Y934">
        <v>10</v>
      </c>
      <c r="Z934">
        <v>0</v>
      </c>
      <c r="AA934" t="s">
        <v>78</v>
      </c>
      <c r="AB934">
        <v>0</v>
      </c>
      <c r="AC934" t="s">
        <v>78</v>
      </c>
      <c r="AD934">
        <v>0</v>
      </c>
      <c r="AE934">
        <v>10630487</v>
      </c>
      <c r="AF934" t="s">
        <v>79</v>
      </c>
      <c r="AG934" t="s">
        <v>1963</v>
      </c>
    </row>
    <row r="935" spans="1:33" x14ac:dyDescent="0.35">
      <c r="A935" s="18">
        <v>44466.42291666667</v>
      </c>
      <c r="B935">
        <v>5983754</v>
      </c>
      <c r="C935" t="s">
        <v>2181</v>
      </c>
      <c r="D935" t="s">
        <v>158</v>
      </c>
      <c r="E935" s="19">
        <v>43787</v>
      </c>
      <c r="F935" t="str">
        <f>"9780128150702"</f>
        <v>9780128150702</v>
      </c>
      <c r="G935" t="str">
        <f>"9780128150696"</f>
        <v>9780128150696</v>
      </c>
      <c r="H935" t="s">
        <v>1623</v>
      </c>
      <c r="I935">
        <v>621.48299999999995</v>
      </c>
      <c r="J935" t="s">
        <v>2182</v>
      </c>
      <c r="K935" t="s">
        <v>85</v>
      </c>
      <c r="N935" t="s">
        <v>86</v>
      </c>
      <c r="P935" t="s">
        <v>1850</v>
      </c>
      <c r="Q935" t="s">
        <v>76</v>
      </c>
      <c r="R935" t="s">
        <v>73</v>
      </c>
      <c r="S935">
        <v>0</v>
      </c>
      <c r="W935" s="20">
        <v>5.6712962962962956E-4</v>
      </c>
      <c r="X935" t="s">
        <v>2313</v>
      </c>
      <c r="Y935">
        <v>7</v>
      </c>
      <c r="Z935">
        <v>0</v>
      </c>
      <c r="AA935" t="s">
        <v>78</v>
      </c>
      <c r="AB935">
        <v>0</v>
      </c>
      <c r="AC935" t="s">
        <v>78</v>
      </c>
      <c r="AD935">
        <v>0</v>
      </c>
      <c r="AE935">
        <v>-1</v>
      </c>
      <c r="AF935" t="s">
        <v>79</v>
      </c>
      <c r="AG935" t="s">
        <v>1963</v>
      </c>
    </row>
    <row r="936" spans="1:33" x14ac:dyDescent="0.35">
      <c r="A936" s="18">
        <v>44466</v>
      </c>
      <c r="B936">
        <v>311323</v>
      </c>
      <c r="C936" t="s">
        <v>2314</v>
      </c>
      <c r="D936" t="s">
        <v>158</v>
      </c>
      <c r="E936" s="19">
        <v>39329</v>
      </c>
      <c r="F936" t="str">
        <f>"9780080550572"</f>
        <v>9780080550572</v>
      </c>
      <c r="G936" t="str">
        <f>"9780123740908"</f>
        <v>9780123740908</v>
      </c>
      <c r="H936" t="s">
        <v>71</v>
      </c>
      <c r="I936" t="s">
        <v>420</v>
      </c>
      <c r="J936" t="s">
        <v>2315</v>
      </c>
      <c r="K936" t="s">
        <v>73</v>
      </c>
      <c r="N936" t="s">
        <v>74</v>
      </c>
      <c r="O936" t="s">
        <v>75</v>
      </c>
      <c r="P936" t="s">
        <v>74</v>
      </c>
      <c r="Q936" t="s">
        <v>76</v>
      </c>
      <c r="R936" t="s">
        <v>73</v>
      </c>
      <c r="S936">
        <v>0</v>
      </c>
      <c r="W936" s="20">
        <v>5.7870370370370366E-5</v>
      </c>
      <c r="X936" t="s">
        <v>360</v>
      </c>
      <c r="Y936">
        <v>2</v>
      </c>
      <c r="Z936">
        <v>0</v>
      </c>
      <c r="AA936" t="s">
        <v>78</v>
      </c>
      <c r="AB936">
        <v>0</v>
      </c>
      <c r="AC936" t="s">
        <v>78</v>
      </c>
      <c r="AD936">
        <v>0</v>
      </c>
      <c r="AE936">
        <v>10190173</v>
      </c>
      <c r="AF936" t="s">
        <v>79</v>
      </c>
      <c r="AG936" t="s">
        <v>1963</v>
      </c>
    </row>
    <row r="937" spans="1:33" x14ac:dyDescent="0.35">
      <c r="A937" s="18">
        <v>44466</v>
      </c>
      <c r="B937">
        <v>5603040</v>
      </c>
      <c r="C937" t="s">
        <v>2316</v>
      </c>
      <c r="D937" t="s">
        <v>2317</v>
      </c>
      <c r="E937" s="19">
        <v>43434</v>
      </c>
      <c r="F937" t="str">
        <f>"9780429592263"</f>
        <v>9780429592263</v>
      </c>
      <c r="G937" t="str">
        <f>"9789814800501"</f>
        <v>9789814800501</v>
      </c>
      <c r="H937" t="s">
        <v>2318</v>
      </c>
      <c r="I937">
        <v>5.7</v>
      </c>
      <c r="J937" t="s">
        <v>2319</v>
      </c>
      <c r="K937" t="s">
        <v>85</v>
      </c>
      <c r="Q937" t="s">
        <v>76</v>
      </c>
      <c r="R937" t="s">
        <v>73</v>
      </c>
      <c r="S937">
        <v>0</v>
      </c>
      <c r="W937" s="20">
        <v>8.7962962962962962E-4</v>
      </c>
      <c r="X937" t="s">
        <v>2320</v>
      </c>
      <c r="Y937">
        <v>7</v>
      </c>
      <c r="Z937">
        <v>0</v>
      </c>
      <c r="AA937" t="s">
        <v>78</v>
      </c>
      <c r="AB937">
        <v>0</v>
      </c>
      <c r="AC937" t="s">
        <v>78</v>
      </c>
      <c r="AD937">
        <v>0</v>
      </c>
      <c r="AE937">
        <v>-1</v>
      </c>
      <c r="AF937" t="s">
        <v>79</v>
      </c>
      <c r="AG937" t="s">
        <v>1963</v>
      </c>
    </row>
    <row r="938" spans="1:33" x14ac:dyDescent="0.35">
      <c r="A938" s="18">
        <v>44465.989583333336</v>
      </c>
      <c r="B938">
        <v>1085263</v>
      </c>
      <c r="C938" t="s">
        <v>2321</v>
      </c>
      <c r="D938" t="s">
        <v>239</v>
      </c>
      <c r="E938" s="19">
        <v>39426</v>
      </c>
      <c r="F938" t="str">
        <f>"9781860949470"</f>
        <v>9781860949470</v>
      </c>
      <c r="G938" t="str">
        <f>"9781860949463"</f>
        <v>9781860949463</v>
      </c>
      <c r="H938" t="s">
        <v>466</v>
      </c>
      <c r="I938">
        <v>621.38419999999996</v>
      </c>
      <c r="J938" t="s">
        <v>2322</v>
      </c>
      <c r="K938" t="s">
        <v>73</v>
      </c>
      <c r="N938" t="s">
        <v>74</v>
      </c>
      <c r="O938" t="s">
        <v>75</v>
      </c>
      <c r="P938" t="s">
        <v>74</v>
      </c>
      <c r="Q938" t="s">
        <v>76</v>
      </c>
      <c r="R938" t="s">
        <v>73</v>
      </c>
      <c r="S938">
        <v>0</v>
      </c>
      <c r="W938" s="20">
        <v>1.0543981481481481E-2</v>
      </c>
      <c r="X938" t="s">
        <v>2323</v>
      </c>
      <c r="Y938">
        <v>9</v>
      </c>
      <c r="Z938">
        <v>0</v>
      </c>
      <c r="AA938" t="s">
        <v>78</v>
      </c>
      <c r="AB938">
        <v>0</v>
      </c>
      <c r="AC938" t="s">
        <v>78</v>
      </c>
      <c r="AD938">
        <v>0</v>
      </c>
      <c r="AE938">
        <v>10255797</v>
      </c>
      <c r="AF938" t="s">
        <v>79</v>
      </c>
      <c r="AG938" t="s">
        <v>1963</v>
      </c>
    </row>
    <row r="939" spans="1:33" x14ac:dyDescent="0.35">
      <c r="A939" s="18">
        <v>44465.988194444442</v>
      </c>
      <c r="B939">
        <v>338745</v>
      </c>
      <c r="C939" t="s">
        <v>2324</v>
      </c>
      <c r="D939" t="s">
        <v>205</v>
      </c>
      <c r="E939" s="19">
        <v>39052</v>
      </c>
      <c r="F939" t="str">
        <f>"9781580536684"</f>
        <v>9781580536684</v>
      </c>
      <c r="G939" t="str">
        <f>"9781580536677"</f>
        <v>9781580536677</v>
      </c>
      <c r="H939" t="s">
        <v>466</v>
      </c>
      <c r="I939" t="s">
        <v>420</v>
      </c>
      <c r="J939" t="s">
        <v>2325</v>
      </c>
      <c r="K939" t="s">
        <v>73</v>
      </c>
      <c r="N939" t="s">
        <v>74</v>
      </c>
      <c r="O939" t="s">
        <v>75</v>
      </c>
      <c r="P939" t="s">
        <v>74</v>
      </c>
      <c r="Q939" t="s">
        <v>76</v>
      </c>
      <c r="R939" t="s">
        <v>73</v>
      </c>
      <c r="S939">
        <v>0</v>
      </c>
      <c r="W939" s="20">
        <v>6.8287037037037025E-4</v>
      </c>
      <c r="X939" t="s">
        <v>2326</v>
      </c>
      <c r="Y939">
        <v>11</v>
      </c>
      <c r="Z939">
        <v>0</v>
      </c>
      <c r="AA939" t="s">
        <v>78</v>
      </c>
      <c r="AB939">
        <v>0</v>
      </c>
      <c r="AC939" t="s">
        <v>78</v>
      </c>
      <c r="AD939">
        <v>0</v>
      </c>
      <c r="AE939">
        <v>10221937</v>
      </c>
      <c r="AF939" t="s">
        <v>79</v>
      </c>
      <c r="AG939" t="s">
        <v>1963</v>
      </c>
    </row>
    <row r="940" spans="1:33" x14ac:dyDescent="0.35">
      <c r="A940" s="18">
        <v>44465.987500000003</v>
      </c>
      <c r="B940">
        <v>5186338</v>
      </c>
      <c r="C940" t="s">
        <v>2327</v>
      </c>
      <c r="D940" t="s">
        <v>2328</v>
      </c>
      <c r="E940" s="19">
        <v>42664</v>
      </c>
      <c r="F940" t="str">
        <f>"9781292161419"</f>
        <v>9781292161419</v>
      </c>
      <c r="G940" t="str">
        <f>"9781292161365"</f>
        <v>9781292161365</v>
      </c>
      <c r="H940" t="s">
        <v>115</v>
      </c>
      <c r="I940">
        <v>519.20000000000005</v>
      </c>
      <c r="J940" t="s">
        <v>2329</v>
      </c>
      <c r="K940" t="s">
        <v>85</v>
      </c>
      <c r="N940" t="s">
        <v>86</v>
      </c>
      <c r="P940" t="s">
        <v>297</v>
      </c>
      <c r="Q940" t="s">
        <v>76</v>
      </c>
      <c r="R940" t="s">
        <v>73</v>
      </c>
      <c r="S940">
        <v>0</v>
      </c>
      <c r="W940" s="20">
        <v>5.0925925925925921E-4</v>
      </c>
      <c r="X940" t="s">
        <v>2330</v>
      </c>
      <c r="Y940">
        <v>8</v>
      </c>
      <c r="Z940">
        <v>0</v>
      </c>
      <c r="AA940" t="s">
        <v>78</v>
      </c>
      <c r="AB940">
        <v>0</v>
      </c>
      <c r="AC940" t="s">
        <v>78</v>
      </c>
      <c r="AD940">
        <v>0</v>
      </c>
      <c r="AE940">
        <v>11482394</v>
      </c>
      <c r="AF940" t="s">
        <v>79</v>
      </c>
      <c r="AG940" t="s">
        <v>1963</v>
      </c>
    </row>
    <row r="941" spans="1:33" x14ac:dyDescent="0.35">
      <c r="A941" s="18">
        <v>44465.984722222223</v>
      </c>
      <c r="B941">
        <v>807304</v>
      </c>
      <c r="C941" t="s">
        <v>2331</v>
      </c>
      <c r="D941" t="s">
        <v>538</v>
      </c>
      <c r="E941" s="19">
        <v>40892</v>
      </c>
      <c r="F941" t="str">
        <f>"9781139185691"</f>
        <v>9781139185691</v>
      </c>
      <c r="G941" t="str">
        <f>"9780521895446"</f>
        <v>9780521895446</v>
      </c>
      <c r="H941" t="s">
        <v>115</v>
      </c>
      <c r="I941">
        <v>519.22</v>
      </c>
      <c r="J941" t="s">
        <v>2332</v>
      </c>
      <c r="K941" t="s">
        <v>73</v>
      </c>
      <c r="N941" t="s">
        <v>74</v>
      </c>
      <c r="O941" t="s">
        <v>75</v>
      </c>
      <c r="P941" t="s">
        <v>74</v>
      </c>
      <c r="Q941" t="s">
        <v>76</v>
      </c>
      <c r="R941" t="s">
        <v>73</v>
      </c>
      <c r="S941">
        <v>0</v>
      </c>
      <c r="W941" s="20">
        <v>1.3541666666666667E-3</v>
      </c>
      <c r="X941" t="s">
        <v>2333</v>
      </c>
      <c r="Y941">
        <v>19</v>
      </c>
      <c r="Z941">
        <v>0</v>
      </c>
      <c r="AA941" t="s">
        <v>78</v>
      </c>
      <c r="AB941">
        <v>0</v>
      </c>
      <c r="AC941" t="s">
        <v>78</v>
      </c>
      <c r="AD941">
        <v>0</v>
      </c>
      <c r="AE941">
        <v>10520981</v>
      </c>
      <c r="AF941" t="s">
        <v>79</v>
      </c>
      <c r="AG941" t="s">
        <v>1963</v>
      </c>
    </row>
    <row r="942" spans="1:33" x14ac:dyDescent="0.35">
      <c r="A942" s="18">
        <v>44465.981249999997</v>
      </c>
      <c r="B942">
        <v>432017</v>
      </c>
      <c r="C942" t="s">
        <v>2334</v>
      </c>
      <c r="D942" t="s">
        <v>538</v>
      </c>
      <c r="E942" s="19">
        <v>39863</v>
      </c>
      <c r="F942" t="str">
        <f>"9780511515149"</f>
        <v>9780511515149</v>
      </c>
      <c r="G942" t="str">
        <f>"9780521897167"</f>
        <v>9780521897167</v>
      </c>
      <c r="H942" t="s">
        <v>1905</v>
      </c>
      <c r="I942">
        <v>552.5</v>
      </c>
      <c r="J942" t="s">
        <v>2335</v>
      </c>
      <c r="K942" t="s">
        <v>73</v>
      </c>
      <c r="N942" t="s">
        <v>74</v>
      </c>
      <c r="O942" t="s">
        <v>75</v>
      </c>
      <c r="P942" t="s">
        <v>74</v>
      </c>
      <c r="Q942" t="s">
        <v>76</v>
      </c>
      <c r="R942" t="s">
        <v>73</v>
      </c>
      <c r="S942">
        <v>0</v>
      </c>
      <c r="W942" s="20">
        <v>1.273148148148148E-4</v>
      </c>
      <c r="X942" t="s">
        <v>132</v>
      </c>
      <c r="Y942">
        <v>1</v>
      </c>
      <c r="Z942">
        <v>0</v>
      </c>
      <c r="AA942" t="s">
        <v>78</v>
      </c>
      <c r="AB942">
        <v>0</v>
      </c>
      <c r="AC942" t="s">
        <v>78</v>
      </c>
      <c r="AD942">
        <v>0</v>
      </c>
      <c r="AE942">
        <v>10297090</v>
      </c>
      <c r="AF942" t="s">
        <v>79</v>
      </c>
      <c r="AG942" t="s">
        <v>2336</v>
      </c>
    </row>
    <row r="943" spans="1:33" x14ac:dyDescent="0.35">
      <c r="A943" s="18">
        <v>44465.974999999999</v>
      </c>
      <c r="B943">
        <v>583642</v>
      </c>
      <c r="C943" t="s">
        <v>2337</v>
      </c>
      <c r="D943" t="s">
        <v>205</v>
      </c>
      <c r="E943" s="19">
        <v>40210</v>
      </c>
      <c r="F943" t="str">
        <f>"9781596930902"</f>
        <v>9781596930902</v>
      </c>
      <c r="G943" t="str">
        <f>"9781596930896"</f>
        <v>9781596930896</v>
      </c>
      <c r="H943" t="s">
        <v>2338</v>
      </c>
      <c r="I943">
        <v>621.38482999999997</v>
      </c>
      <c r="J943" t="s">
        <v>2339</v>
      </c>
      <c r="K943" t="s">
        <v>73</v>
      </c>
      <c r="N943" t="s">
        <v>74</v>
      </c>
      <c r="O943" t="s">
        <v>75</v>
      </c>
      <c r="P943" t="s">
        <v>74</v>
      </c>
      <c r="Q943" t="s">
        <v>76</v>
      </c>
      <c r="R943" t="s">
        <v>73</v>
      </c>
      <c r="S943">
        <v>0</v>
      </c>
      <c r="W943" s="20">
        <v>8.3564814814814804E-3</v>
      </c>
      <c r="X943" t="s">
        <v>2340</v>
      </c>
      <c r="Y943">
        <v>23</v>
      </c>
      <c r="Z943">
        <v>0</v>
      </c>
      <c r="AA943" t="s">
        <v>78</v>
      </c>
      <c r="AB943">
        <v>0</v>
      </c>
      <c r="AC943" t="s">
        <v>78</v>
      </c>
      <c r="AD943">
        <v>0</v>
      </c>
      <c r="AE943">
        <v>10393271</v>
      </c>
      <c r="AF943" t="s">
        <v>79</v>
      </c>
      <c r="AG943" t="s">
        <v>1963</v>
      </c>
    </row>
    <row r="944" spans="1:33" x14ac:dyDescent="0.35">
      <c r="A944" s="18">
        <v>44465.955555555556</v>
      </c>
      <c r="B944">
        <v>1624262</v>
      </c>
      <c r="C944" t="s">
        <v>2296</v>
      </c>
      <c r="D944" t="s">
        <v>70</v>
      </c>
      <c r="E944" s="19">
        <v>41687</v>
      </c>
      <c r="F944" t="str">
        <f>"9781118904886"</f>
        <v>9781118904886</v>
      </c>
      <c r="G944" t="str">
        <f>"9781118208526"</f>
        <v>9781118208526</v>
      </c>
      <c r="H944" t="s">
        <v>374</v>
      </c>
      <c r="I944">
        <v>628.16700000000003</v>
      </c>
      <c r="J944" t="s">
        <v>2297</v>
      </c>
      <c r="K944" t="s">
        <v>73</v>
      </c>
      <c r="N944" t="s">
        <v>74</v>
      </c>
      <c r="O944" t="s">
        <v>75</v>
      </c>
      <c r="P944" t="s">
        <v>74</v>
      </c>
      <c r="Q944" t="s">
        <v>76</v>
      </c>
      <c r="R944" t="s">
        <v>73</v>
      </c>
      <c r="S944">
        <v>0</v>
      </c>
      <c r="W944" s="20">
        <v>1.1574074074074073E-4</v>
      </c>
      <c r="X944" t="s">
        <v>125</v>
      </c>
      <c r="Y944">
        <v>2</v>
      </c>
      <c r="Z944">
        <v>0</v>
      </c>
      <c r="AA944" t="s">
        <v>78</v>
      </c>
      <c r="AB944">
        <v>0</v>
      </c>
      <c r="AC944" t="s">
        <v>78</v>
      </c>
      <c r="AD944">
        <v>0</v>
      </c>
      <c r="AE944">
        <v>10837553</v>
      </c>
      <c r="AF944" t="s">
        <v>79</v>
      </c>
      <c r="AG944" t="s">
        <v>2235</v>
      </c>
    </row>
    <row r="945" spans="1:33" x14ac:dyDescent="0.35">
      <c r="A945" s="18">
        <v>44465.954861111109</v>
      </c>
      <c r="B945">
        <v>1624262</v>
      </c>
      <c r="C945" t="s">
        <v>2296</v>
      </c>
      <c r="D945" t="s">
        <v>70</v>
      </c>
      <c r="E945" s="19">
        <v>41687</v>
      </c>
      <c r="F945" t="str">
        <f>"9781118904886"</f>
        <v>9781118904886</v>
      </c>
      <c r="G945" t="str">
        <f>"9781118208526"</f>
        <v>9781118208526</v>
      </c>
      <c r="H945" t="s">
        <v>374</v>
      </c>
      <c r="I945">
        <v>628.16700000000003</v>
      </c>
      <c r="J945" t="s">
        <v>2297</v>
      </c>
      <c r="K945" t="s">
        <v>73</v>
      </c>
      <c r="N945" t="s">
        <v>74</v>
      </c>
      <c r="O945" t="s">
        <v>75</v>
      </c>
      <c r="P945" t="s">
        <v>74</v>
      </c>
      <c r="Q945" t="s">
        <v>76</v>
      </c>
      <c r="R945" t="s">
        <v>73</v>
      </c>
      <c r="S945">
        <v>0</v>
      </c>
      <c r="W945" s="20">
        <v>0</v>
      </c>
      <c r="X945" t="s">
        <v>78</v>
      </c>
      <c r="Y945">
        <v>0</v>
      </c>
      <c r="Z945">
        <v>0</v>
      </c>
      <c r="AA945" t="s">
        <v>78</v>
      </c>
      <c r="AB945">
        <v>0</v>
      </c>
      <c r="AC945" t="s">
        <v>78</v>
      </c>
      <c r="AD945">
        <v>0</v>
      </c>
      <c r="AE945">
        <v>10837553</v>
      </c>
      <c r="AF945" t="s">
        <v>79</v>
      </c>
      <c r="AG945" t="s">
        <v>2235</v>
      </c>
    </row>
    <row r="946" spans="1:33" x14ac:dyDescent="0.35">
      <c r="A946" s="18">
        <v>44465.922222222223</v>
      </c>
      <c r="B946">
        <v>432017</v>
      </c>
      <c r="C946" t="s">
        <v>2334</v>
      </c>
      <c r="D946" t="s">
        <v>538</v>
      </c>
      <c r="E946" s="19">
        <v>39863</v>
      </c>
      <c r="F946" t="str">
        <f>"9780511515149"</f>
        <v>9780511515149</v>
      </c>
      <c r="G946" t="str">
        <f>"9780521897167"</f>
        <v>9780521897167</v>
      </c>
      <c r="H946" t="s">
        <v>1905</v>
      </c>
      <c r="I946">
        <v>552.5</v>
      </c>
      <c r="J946" t="s">
        <v>2335</v>
      </c>
      <c r="K946" t="s">
        <v>73</v>
      </c>
      <c r="N946" t="s">
        <v>74</v>
      </c>
      <c r="O946" t="s">
        <v>75</v>
      </c>
      <c r="P946" t="s">
        <v>74</v>
      </c>
      <c r="Q946" t="s">
        <v>76</v>
      </c>
      <c r="R946" t="s">
        <v>73</v>
      </c>
      <c r="S946">
        <v>0</v>
      </c>
      <c r="W946" s="20">
        <v>3.9351851851851852E-4</v>
      </c>
      <c r="X946" t="s">
        <v>2341</v>
      </c>
      <c r="Y946">
        <v>3</v>
      </c>
      <c r="Z946">
        <v>0</v>
      </c>
      <c r="AA946" t="s">
        <v>78</v>
      </c>
      <c r="AB946">
        <v>0</v>
      </c>
      <c r="AC946" t="s">
        <v>78</v>
      </c>
      <c r="AD946">
        <v>0</v>
      </c>
      <c r="AE946">
        <v>10297090</v>
      </c>
      <c r="AF946" t="s">
        <v>79</v>
      </c>
      <c r="AG946" t="s">
        <v>2336</v>
      </c>
    </row>
    <row r="947" spans="1:33" x14ac:dyDescent="0.35">
      <c r="A947" s="18">
        <v>44465.879861111112</v>
      </c>
      <c r="B947">
        <v>1574357</v>
      </c>
      <c r="C947" t="s">
        <v>1544</v>
      </c>
      <c r="D947" t="s">
        <v>70</v>
      </c>
      <c r="E947" s="19">
        <v>41680</v>
      </c>
      <c r="F947" t="str">
        <f>"9781118703366"</f>
        <v>9781118703366</v>
      </c>
      <c r="G947" t="str">
        <f>"9781118634165"</f>
        <v>9781118634165</v>
      </c>
      <c r="H947" t="s">
        <v>71</v>
      </c>
      <c r="I947">
        <v>621.31244000000004</v>
      </c>
      <c r="J947" t="s">
        <v>1545</v>
      </c>
      <c r="K947" t="s">
        <v>73</v>
      </c>
      <c r="N947" t="s">
        <v>74</v>
      </c>
      <c r="O947" t="s">
        <v>75</v>
      </c>
      <c r="P947" t="s">
        <v>74</v>
      </c>
      <c r="Q947" t="s">
        <v>76</v>
      </c>
      <c r="R947" t="s">
        <v>73</v>
      </c>
      <c r="S947">
        <v>0</v>
      </c>
      <c r="W947" s="20">
        <v>7.291666666666667E-4</v>
      </c>
      <c r="X947" t="s">
        <v>2342</v>
      </c>
      <c r="Y947">
        <v>7</v>
      </c>
      <c r="Z947">
        <v>0</v>
      </c>
      <c r="AA947" t="s">
        <v>78</v>
      </c>
      <c r="AB947">
        <v>0</v>
      </c>
      <c r="AC947" t="s">
        <v>78</v>
      </c>
      <c r="AD947">
        <v>0</v>
      </c>
      <c r="AE947">
        <v>10814681</v>
      </c>
      <c r="AF947" t="s">
        <v>79</v>
      </c>
      <c r="AG947" t="s">
        <v>1963</v>
      </c>
    </row>
    <row r="948" spans="1:33" x14ac:dyDescent="0.35">
      <c r="A948" s="18">
        <v>44465.818749999999</v>
      </c>
      <c r="B948">
        <v>1624262</v>
      </c>
      <c r="C948" t="s">
        <v>2296</v>
      </c>
      <c r="D948" t="s">
        <v>70</v>
      </c>
      <c r="E948" s="19">
        <v>41687</v>
      </c>
      <c r="F948" t="str">
        <f>"9781118904886"</f>
        <v>9781118904886</v>
      </c>
      <c r="G948" t="str">
        <f>"9781118208526"</f>
        <v>9781118208526</v>
      </c>
      <c r="H948" t="s">
        <v>374</v>
      </c>
      <c r="I948">
        <v>628.16700000000003</v>
      </c>
      <c r="J948" t="s">
        <v>2297</v>
      </c>
      <c r="K948" t="s">
        <v>73</v>
      </c>
      <c r="N948" t="s">
        <v>74</v>
      </c>
      <c r="O948" t="s">
        <v>75</v>
      </c>
      <c r="P948" t="s">
        <v>74</v>
      </c>
      <c r="Q948" t="s">
        <v>76</v>
      </c>
      <c r="R948" t="s">
        <v>73</v>
      </c>
      <c r="S948">
        <v>0</v>
      </c>
      <c r="W948" s="20">
        <v>3.3912037037037039E-2</v>
      </c>
      <c r="X948" t="s">
        <v>2343</v>
      </c>
      <c r="Y948">
        <v>75</v>
      </c>
      <c r="Z948">
        <v>0</v>
      </c>
      <c r="AA948" t="s">
        <v>78</v>
      </c>
      <c r="AB948">
        <v>0</v>
      </c>
      <c r="AC948" t="s">
        <v>78</v>
      </c>
      <c r="AD948">
        <v>0</v>
      </c>
      <c r="AE948">
        <v>10837553</v>
      </c>
      <c r="AF948" t="s">
        <v>79</v>
      </c>
      <c r="AG948" t="s">
        <v>1963</v>
      </c>
    </row>
    <row r="949" spans="1:33" x14ac:dyDescent="0.35">
      <c r="A949" s="18">
        <v>44465.813888888886</v>
      </c>
      <c r="B949">
        <v>835145</v>
      </c>
      <c r="C949" t="s">
        <v>1542</v>
      </c>
      <c r="D949" t="s">
        <v>70</v>
      </c>
      <c r="E949" s="19">
        <v>40952</v>
      </c>
      <c r="F949" t="str">
        <f>"9781119977001"</f>
        <v>9781119977001</v>
      </c>
      <c r="G949" t="str">
        <f>"9781119992851"</f>
        <v>9781119992851</v>
      </c>
      <c r="H949" t="s">
        <v>71</v>
      </c>
      <c r="I949">
        <v>621.31244000000004</v>
      </c>
      <c r="J949" t="s">
        <v>1543</v>
      </c>
      <c r="K949" t="s">
        <v>73</v>
      </c>
      <c r="N949" t="s">
        <v>74</v>
      </c>
      <c r="O949" t="s">
        <v>75</v>
      </c>
      <c r="P949" t="s">
        <v>74</v>
      </c>
      <c r="Q949" t="s">
        <v>76</v>
      </c>
      <c r="R949" t="s">
        <v>73</v>
      </c>
      <c r="S949">
        <v>0</v>
      </c>
      <c r="W949" s="20">
        <v>2.7777777777777778E-4</v>
      </c>
      <c r="X949" t="s">
        <v>2344</v>
      </c>
      <c r="Y949">
        <v>4</v>
      </c>
      <c r="Z949">
        <v>0</v>
      </c>
      <c r="AA949" t="s">
        <v>78</v>
      </c>
      <c r="AB949">
        <v>0</v>
      </c>
      <c r="AC949" t="s">
        <v>78</v>
      </c>
      <c r="AD949">
        <v>0</v>
      </c>
      <c r="AE949">
        <v>10526535</v>
      </c>
      <c r="AF949" t="s">
        <v>79</v>
      </c>
      <c r="AG949" t="s">
        <v>1963</v>
      </c>
    </row>
    <row r="950" spans="1:33" x14ac:dyDescent="0.35">
      <c r="A950" s="18">
        <v>44465.736111111109</v>
      </c>
      <c r="B950">
        <v>1895863</v>
      </c>
      <c r="C950" t="s">
        <v>2345</v>
      </c>
      <c r="D950" t="s">
        <v>70</v>
      </c>
      <c r="E950" s="19">
        <v>42024</v>
      </c>
      <c r="F950" t="str">
        <f>"9781118984192"</f>
        <v>9781118984192</v>
      </c>
      <c r="G950" t="str">
        <f>"9781118983843"</f>
        <v>9781118983843</v>
      </c>
      <c r="H950" t="s">
        <v>110</v>
      </c>
      <c r="I950">
        <v>5.4320000000000004</v>
      </c>
      <c r="J950" t="s">
        <v>2346</v>
      </c>
      <c r="K950" t="s">
        <v>73</v>
      </c>
      <c r="N950" t="s">
        <v>74</v>
      </c>
      <c r="O950" t="s">
        <v>75</v>
      </c>
      <c r="P950" t="s">
        <v>74</v>
      </c>
      <c r="Q950" t="s">
        <v>76</v>
      </c>
      <c r="R950" t="s">
        <v>73</v>
      </c>
      <c r="S950">
        <v>1</v>
      </c>
      <c r="W950" s="20">
        <v>1.3888888888888889E-4</v>
      </c>
      <c r="X950" t="s">
        <v>2347</v>
      </c>
      <c r="Y950">
        <v>3</v>
      </c>
      <c r="Z950">
        <v>0</v>
      </c>
      <c r="AA950" t="s">
        <v>78</v>
      </c>
      <c r="AB950">
        <v>0</v>
      </c>
      <c r="AC950" t="s">
        <v>78</v>
      </c>
      <c r="AD950">
        <v>0</v>
      </c>
      <c r="AE950">
        <v>11005739</v>
      </c>
      <c r="AF950" t="s">
        <v>88</v>
      </c>
      <c r="AG950" t="s">
        <v>1963</v>
      </c>
    </row>
    <row r="951" spans="1:33" x14ac:dyDescent="0.35">
      <c r="A951" s="18">
        <v>44465.73541666667</v>
      </c>
      <c r="B951">
        <v>1895863</v>
      </c>
      <c r="C951" t="s">
        <v>2345</v>
      </c>
      <c r="D951" t="s">
        <v>70</v>
      </c>
      <c r="E951" s="19">
        <v>42024</v>
      </c>
      <c r="F951" t="str">
        <f>"9781118984192"</f>
        <v>9781118984192</v>
      </c>
      <c r="G951" t="str">
        <f>"9781118983843"</f>
        <v>9781118983843</v>
      </c>
      <c r="H951" t="s">
        <v>110</v>
      </c>
      <c r="I951">
        <v>5.4320000000000004</v>
      </c>
      <c r="J951" t="s">
        <v>2346</v>
      </c>
      <c r="K951" t="s">
        <v>73</v>
      </c>
      <c r="N951" t="s">
        <v>74</v>
      </c>
      <c r="O951" t="s">
        <v>75</v>
      </c>
      <c r="P951" t="s">
        <v>74</v>
      </c>
      <c r="Q951" t="s">
        <v>76</v>
      </c>
      <c r="R951" t="s">
        <v>73</v>
      </c>
      <c r="S951">
        <v>0</v>
      </c>
      <c r="W951" s="20">
        <v>9.4907407407407408E-4</v>
      </c>
      <c r="X951" t="s">
        <v>249</v>
      </c>
      <c r="Y951">
        <v>2</v>
      </c>
      <c r="Z951">
        <v>0</v>
      </c>
      <c r="AA951" t="s">
        <v>78</v>
      </c>
      <c r="AB951">
        <v>0</v>
      </c>
      <c r="AC951" t="s">
        <v>78</v>
      </c>
      <c r="AD951">
        <v>0</v>
      </c>
      <c r="AE951">
        <v>11005739</v>
      </c>
      <c r="AF951" t="s">
        <v>88</v>
      </c>
      <c r="AG951" t="s">
        <v>1963</v>
      </c>
    </row>
    <row r="952" spans="1:33" x14ac:dyDescent="0.35">
      <c r="A952" s="18">
        <v>44465.704861111109</v>
      </c>
      <c r="B952">
        <v>835145</v>
      </c>
      <c r="C952" t="s">
        <v>1542</v>
      </c>
      <c r="D952" t="s">
        <v>70</v>
      </c>
      <c r="E952" s="19">
        <v>40952</v>
      </c>
      <c r="F952" t="str">
        <f>"9781119977001"</f>
        <v>9781119977001</v>
      </c>
      <c r="G952" t="str">
        <f>"9781119992851"</f>
        <v>9781119992851</v>
      </c>
      <c r="H952" t="s">
        <v>71</v>
      </c>
      <c r="I952">
        <v>621.31244000000004</v>
      </c>
      <c r="J952" t="s">
        <v>1543</v>
      </c>
      <c r="K952" t="s">
        <v>73</v>
      </c>
      <c r="N952" t="s">
        <v>74</v>
      </c>
      <c r="O952" t="s">
        <v>75</v>
      </c>
      <c r="P952" t="s">
        <v>74</v>
      </c>
      <c r="Q952" t="s">
        <v>76</v>
      </c>
      <c r="R952" t="s">
        <v>73</v>
      </c>
      <c r="S952">
        <v>0</v>
      </c>
      <c r="W952" s="20">
        <v>3.1944444444444442E-3</v>
      </c>
      <c r="X952" t="s">
        <v>2348</v>
      </c>
      <c r="Y952">
        <v>6</v>
      </c>
      <c r="Z952">
        <v>0</v>
      </c>
      <c r="AA952" t="s">
        <v>78</v>
      </c>
      <c r="AB952">
        <v>0</v>
      </c>
      <c r="AC952" t="s">
        <v>78</v>
      </c>
      <c r="AD952">
        <v>0</v>
      </c>
      <c r="AE952">
        <v>10526535</v>
      </c>
      <c r="AF952" t="s">
        <v>79</v>
      </c>
      <c r="AG952" t="s">
        <v>1963</v>
      </c>
    </row>
    <row r="953" spans="1:33" x14ac:dyDescent="0.35">
      <c r="A953" s="18">
        <v>44465.70416666667</v>
      </c>
      <c r="B953">
        <v>1574357</v>
      </c>
      <c r="C953" t="s">
        <v>1544</v>
      </c>
      <c r="D953" t="s">
        <v>70</v>
      </c>
      <c r="E953" s="19">
        <v>41680</v>
      </c>
      <c r="F953" t="str">
        <f>"9781118703366"</f>
        <v>9781118703366</v>
      </c>
      <c r="G953" t="str">
        <f>"9781118634165"</f>
        <v>9781118634165</v>
      </c>
      <c r="H953" t="s">
        <v>71</v>
      </c>
      <c r="I953">
        <v>621.31244000000004</v>
      </c>
      <c r="J953" t="s">
        <v>1545</v>
      </c>
      <c r="K953" t="s">
        <v>73</v>
      </c>
      <c r="N953" t="s">
        <v>74</v>
      </c>
      <c r="O953" t="s">
        <v>75</v>
      </c>
      <c r="P953" t="s">
        <v>74</v>
      </c>
      <c r="Q953" t="s">
        <v>76</v>
      </c>
      <c r="R953" t="s">
        <v>73</v>
      </c>
      <c r="S953">
        <v>0</v>
      </c>
      <c r="W953" s="20">
        <v>3.1250000000000001E-4</v>
      </c>
      <c r="X953" t="s">
        <v>2349</v>
      </c>
      <c r="Y953">
        <v>4</v>
      </c>
      <c r="Z953">
        <v>0</v>
      </c>
      <c r="AA953" t="s">
        <v>78</v>
      </c>
      <c r="AB953">
        <v>0</v>
      </c>
      <c r="AC953" t="s">
        <v>78</v>
      </c>
      <c r="AD953">
        <v>0</v>
      </c>
      <c r="AE953">
        <v>10814681</v>
      </c>
      <c r="AF953" t="s">
        <v>79</v>
      </c>
      <c r="AG953" t="s">
        <v>1963</v>
      </c>
    </row>
    <row r="954" spans="1:33" x14ac:dyDescent="0.35">
      <c r="A954" s="18">
        <v>44465.69027777778</v>
      </c>
      <c r="B954">
        <v>943094</v>
      </c>
      <c r="C954" t="s">
        <v>2300</v>
      </c>
      <c r="D954" t="s">
        <v>70</v>
      </c>
      <c r="E954" s="19">
        <v>41176</v>
      </c>
      <c r="F954" t="str">
        <f>"9783527650439"</f>
        <v>9783527650439</v>
      </c>
      <c r="G954" t="str">
        <f>"9783527331512"</f>
        <v>9783527331512</v>
      </c>
      <c r="H954" t="s">
        <v>466</v>
      </c>
      <c r="I954">
        <v>621.31242399999996</v>
      </c>
      <c r="J954" t="s">
        <v>2301</v>
      </c>
      <c r="K954" t="s">
        <v>73</v>
      </c>
      <c r="N954" t="s">
        <v>74</v>
      </c>
      <c r="O954" t="s">
        <v>75</v>
      </c>
      <c r="P954" t="s">
        <v>74</v>
      </c>
      <c r="Q954" t="s">
        <v>76</v>
      </c>
      <c r="R954" t="s">
        <v>73</v>
      </c>
      <c r="S954">
        <v>0</v>
      </c>
      <c r="W954" s="20">
        <v>3.37962962962963E-3</v>
      </c>
      <c r="X954" t="s">
        <v>2350</v>
      </c>
      <c r="Y954">
        <v>9</v>
      </c>
      <c r="Z954">
        <v>0</v>
      </c>
      <c r="AA954" t="s">
        <v>78</v>
      </c>
      <c r="AB954">
        <v>0</v>
      </c>
      <c r="AC954" t="s">
        <v>78</v>
      </c>
      <c r="AD954">
        <v>0</v>
      </c>
      <c r="AE954">
        <v>10570738</v>
      </c>
      <c r="AF954" t="s">
        <v>79</v>
      </c>
      <c r="AG954" t="s">
        <v>1963</v>
      </c>
    </row>
    <row r="955" spans="1:33" x14ac:dyDescent="0.35">
      <c r="A955" s="18">
        <v>44465.663888888892</v>
      </c>
      <c r="B955">
        <v>1080971</v>
      </c>
      <c r="C955" t="s">
        <v>2351</v>
      </c>
      <c r="D955" t="s">
        <v>239</v>
      </c>
      <c r="E955" s="19">
        <v>40994</v>
      </c>
      <c r="F955" t="str">
        <f>"9789814383356"</f>
        <v>9789814383356</v>
      </c>
      <c r="G955" t="str">
        <f>"9789814383349"</f>
        <v>9789814383349</v>
      </c>
      <c r="H955" t="s">
        <v>466</v>
      </c>
      <c r="I955">
        <v>621.38099999999997</v>
      </c>
      <c r="J955" t="s">
        <v>2352</v>
      </c>
      <c r="K955" t="s">
        <v>73</v>
      </c>
      <c r="N955" t="s">
        <v>74</v>
      </c>
      <c r="O955" t="s">
        <v>75</v>
      </c>
      <c r="P955" t="s">
        <v>74</v>
      </c>
      <c r="Q955" t="s">
        <v>76</v>
      </c>
      <c r="R955" t="s">
        <v>73</v>
      </c>
      <c r="S955">
        <v>1</v>
      </c>
      <c r="W955" s="20">
        <v>0</v>
      </c>
      <c r="X955" t="s">
        <v>78</v>
      </c>
      <c r="Y955">
        <v>0</v>
      </c>
      <c r="Z955">
        <v>0</v>
      </c>
      <c r="AA955" t="s">
        <v>78</v>
      </c>
      <c r="AB955">
        <v>0</v>
      </c>
      <c r="AC955" t="s">
        <v>78</v>
      </c>
      <c r="AD955">
        <v>0</v>
      </c>
      <c r="AE955">
        <v>10627515</v>
      </c>
      <c r="AF955" t="s">
        <v>88</v>
      </c>
      <c r="AG955" t="s">
        <v>1963</v>
      </c>
    </row>
    <row r="956" spans="1:33" x14ac:dyDescent="0.35">
      <c r="A956" s="18">
        <v>44465.630555555559</v>
      </c>
      <c r="B956">
        <v>1204633</v>
      </c>
      <c r="C956" t="s">
        <v>1560</v>
      </c>
      <c r="D956" t="s">
        <v>70</v>
      </c>
      <c r="E956" s="19">
        <v>41512</v>
      </c>
      <c r="F956" t="str">
        <f>"9781118450444"</f>
        <v>9781118450444</v>
      </c>
      <c r="G956" t="str">
        <f>"9780470673768"</f>
        <v>9780470673768</v>
      </c>
      <c r="H956" t="s">
        <v>1561</v>
      </c>
      <c r="I956">
        <v>552.5</v>
      </c>
      <c r="J956" t="s">
        <v>1562</v>
      </c>
      <c r="K956" t="s">
        <v>73</v>
      </c>
      <c r="N956" t="s">
        <v>74</v>
      </c>
      <c r="O956" t="s">
        <v>75</v>
      </c>
      <c r="P956" t="s">
        <v>74</v>
      </c>
      <c r="Q956" t="s">
        <v>76</v>
      </c>
      <c r="R956" t="s">
        <v>73</v>
      </c>
      <c r="S956">
        <v>0</v>
      </c>
      <c r="W956" s="20">
        <v>3.9930555555555561E-3</v>
      </c>
      <c r="X956" t="s">
        <v>2353</v>
      </c>
      <c r="Y956">
        <v>11</v>
      </c>
      <c r="Z956">
        <v>0</v>
      </c>
      <c r="AA956" t="s">
        <v>78</v>
      </c>
      <c r="AB956">
        <v>0</v>
      </c>
      <c r="AC956" t="s">
        <v>78</v>
      </c>
      <c r="AD956">
        <v>0</v>
      </c>
      <c r="AE956">
        <v>10713576</v>
      </c>
      <c r="AF956" t="s">
        <v>79</v>
      </c>
      <c r="AG956" t="s">
        <v>1695</v>
      </c>
    </row>
    <row r="957" spans="1:33" x14ac:dyDescent="0.35">
      <c r="A957" s="18">
        <v>44465.622916666667</v>
      </c>
      <c r="B957">
        <v>1895863</v>
      </c>
      <c r="C957" t="s">
        <v>2345</v>
      </c>
      <c r="D957" t="s">
        <v>70</v>
      </c>
      <c r="E957" s="19">
        <v>42024</v>
      </c>
      <c r="F957" t="str">
        <f>"9781118984192"</f>
        <v>9781118984192</v>
      </c>
      <c r="G957" t="str">
        <f>"9781118983843"</f>
        <v>9781118983843</v>
      </c>
      <c r="H957" t="s">
        <v>110</v>
      </c>
      <c r="I957">
        <v>5.4320000000000004</v>
      </c>
      <c r="J957" t="s">
        <v>2346</v>
      </c>
      <c r="K957" t="s">
        <v>73</v>
      </c>
      <c r="N957" t="s">
        <v>74</v>
      </c>
      <c r="O957" t="s">
        <v>75</v>
      </c>
      <c r="P957" t="s">
        <v>74</v>
      </c>
      <c r="Q957" t="s">
        <v>76</v>
      </c>
      <c r="R957" t="s">
        <v>73</v>
      </c>
      <c r="S957">
        <v>0</v>
      </c>
      <c r="W957" s="20">
        <v>5.7870370370370366E-5</v>
      </c>
      <c r="X957" t="s">
        <v>132</v>
      </c>
      <c r="Y957">
        <v>1</v>
      </c>
      <c r="Z957">
        <v>0</v>
      </c>
      <c r="AA957" t="s">
        <v>78</v>
      </c>
      <c r="AB957">
        <v>0</v>
      </c>
      <c r="AC957" t="s">
        <v>78</v>
      </c>
      <c r="AD957">
        <v>0</v>
      </c>
      <c r="AE957">
        <v>11005739</v>
      </c>
      <c r="AF957" t="s">
        <v>79</v>
      </c>
      <c r="AG957" t="s">
        <v>1963</v>
      </c>
    </row>
    <row r="958" spans="1:33" x14ac:dyDescent="0.35">
      <c r="A958" s="18">
        <v>44465.620138888888</v>
      </c>
      <c r="B958">
        <v>1895205</v>
      </c>
      <c r="C958" t="s">
        <v>2354</v>
      </c>
      <c r="D958" t="s">
        <v>70</v>
      </c>
      <c r="E958" s="19">
        <v>42121</v>
      </c>
      <c r="F958" t="str">
        <f>"9781118999882"</f>
        <v>9781118999882</v>
      </c>
      <c r="G958" t="str">
        <f>"9781118999875"</f>
        <v>9781118999875</v>
      </c>
      <c r="H958" t="s">
        <v>110</v>
      </c>
      <c r="I958">
        <v>5.4459999999999997</v>
      </c>
      <c r="J958" t="s">
        <v>2355</v>
      </c>
      <c r="K958" t="s">
        <v>73</v>
      </c>
      <c r="N958" t="s">
        <v>74</v>
      </c>
      <c r="O958" t="s">
        <v>75</v>
      </c>
      <c r="P958" t="s">
        <v>74</v>
      </c>
      <c r="Q958" t="s">
        <v>76</v>
      </c>
      <c r="R958" t="s">
        <v>73</v>
      </c>
      <c r="S958">
        <v>0</v>
      </c>
      <c r="W958" s="20">
        <v>0</v>
      </c>
      <c r="X958" t="s">
        <v>78</v>
      </c>
      <c r="Y958">
        <v>0</v>
      </c>
      <c r="Z958">
        <v>1</v>
      </c>
      <c r="AA958" t="s">
        <v>2356</v>
      </c>
      <c r="AB958">
        <v>108</v>
      </c>
      <c r="AC958" t="s">
        <v>78</v>
      </c>
      <c r="AD958">
        <v>0</v>
      </c>
      <c r="AE958">
        <v>11047025</v>
      </c>
      <c r="AF958" t="s">
        <v>79</v>
      </c>
      <c r="AG958" t="s">
        <v>1963</v>
      </c>
    </row>
    <row r="959" spans="1:33" x14ac:dyDescent="0.35">
      <c r="A959" s="18">
        <v>44465.590277777781</v>
      </c>
      <c r="B959">
        <v>6510821</v>
      </c>
      <c r="C959" t="s">
        <v>2194</v>
      </c>
      <c r="D959" t="s">
        <v>990</v>
      </c>
      <c r="E959" s="19">
        <v>44288</v>
      </c>
      <c r="F959" t="str">
        <f>"9780197506240"</f>
        <v>9780197506240</v>
      </c>
      <c r="G959" t="str">
        <f>"9780197506226"</f>
        <v>9780197506226</v>
      </c>
      <c r="H959" t="s">
        <v>222</v>
      </c>
      <c r="I959">
        <v>610.69000000000005</v>
      </c>
      <c r="J959" t="s">
        <v>2195</v>
      </c>
      <c r="K959" t="s">
        <v>85</v>
      </c>
      <c r="N959" t="s">
        <v>86</v>
      </c>
      <c r="P959" t="s">
        <v>1850</v>
      </c>
      <c r="Q959" t="s">
        <v>76</v>
      </c>
      <c r="R959" t="s">
        <v>73</v>
      </c>
      <c r="S959">
        <v>0</v>
      </c>
      <c r="W959" s="20">
        <v>2.6620370370370372E-4</v>
      </c>
      <c r="X959" t="s">
        <v>2357</v>
      </c>
      <c r="Y959">
        <v>7</v>
      </c>
      <c r="Z959">
        <v>0</v>
      </c>
      <c r="AA959" t="s">
        <v>78</v>
      </c>
      <c r="AB959">
        <v>0</v>
      </c>
      <c r="AC959" t="s">
        <v>78</v>
      </c>
      <c r="AD959">
        <v>0</v>
      </c>
      <c r="AE959">
        <v>-1</v>
      </c>
      <c r="AF959" t="s">
        <v>79</v>
      </c>
      <c r="AG959" t="s">
        <v>1963</v>
      </c>
    </row>
    <row r="960" spans="1:33" x14ac:dyDescent="0.35">
      <c r="A960" s="18">
        <v>44465.582638888889</v>
      </c>
      <c r="B960">
        <v>6379822</v>
      </c>
      <c r="C960" t="s">
        <v>2241</v>
      </c>
      <c r="D960" t="s">
        <v>70</v>
      </c>
      <c r="E960" s="19">
        <v>44222</v>
      </c>
      <c r="F960" t="str">
        <f>"9781119033813"</f>
        <v>9781119033813</v>
      </c>
      <c r="G960" t="str">
        <f>"9781119978282"</f>
        <v>9781119978282</v>
      </c>
      <c r="H960" t="s">
        <v>2242</v>
      </c>
      <c r="I960">
        <v>614.1</v>
      </c>
      <c r="J960" t="s">
        <v>2243</v>
      </c>
      <c r="K960" t="s">
        <v>85</v>
      </c>
      <c r="N960" t="s">
        <v>86</v>
      </c>
      <c r="P960" t="s">
        <v>87</v>
      </c>
      <c r="Q960" t="s">
        <v>76</v>
      </c>
      <c r="R960" t="s">
        <v>73</v>
      </c>
      <c r="S960">
        <v>0</v>
      </c>
      <c r="W960" s="20">
        <v>6.9444444444444444E-5</v>
      </c>
      <c r="X960" t="s">
        <v>360</v>
      </c>
      <c r="Y960">
        <v>2</v>
      </c>
      <c r="Z960">
        <v>0</v>
      </c>
      <c r="AA960" t="s">
        <v>78</v>
      </c>
      <c r="AB960">
        <v>0</v>
      </c>
      <c r="AC960" t="s">
        <v>78</v>
      </c>
      <c r="AD960">
        <v>0</v>
      </c>
      <c r="AE960">
        <v>-1</v>
      </c>
      <c r="AF960" t="s">
        <v>79</v>
      </c>
      <c r="AG960" t="s">
        <v>1963</v>
      </c>
    </row>
    <row r="961" spans="1:33" x14ac:dyDescent="0.35">
      <c r="A961" s="18">
        <v>44465.569444444445</v>
      </c>
      <c r="B961">
        <v>6676544</v>
      </c>
      <c r="C961" t="s">
        <v>2358</v>
      </c>
      <c r="D961" t="s">
        <v>2359</v>
      </c>
      <c r="E961" s="19">
        <v>44425</v>
      </c>
      <c r="F961" t="str">
        <f>"9781526149107"</f>
        <v>9781526149107</v>
      </c>
      <c r="G961" t="str">
        <f>"9781526149091"</f>
        <v>9781526149091</v>
      </c>
      <c r="H961" t="s">
        <v>2360</v>
      </c>
      <c r="I961">
        <v>330.95600000000002</v>
      </c>
      <c r="K961" t="s">
        <v>85</v>
      </c>
      <c r="N961" t="s">
        <v>86</v>
      </c>
      <c r="P961" t="s">
        <v>1495</v>
      </c>
      <c r="Q961" t="s">
        <v>76</v>
      </c>
      <c r="R961" t="s">
        <v>85</v>
      </c>
      <c r="S961">
        <v>0</v>
      </c>
      <c r="W961" s="20">
        <v>0</v>
      </c>
      <c r="X961" t="s">
        <v>78</v>
      </c>
      <c r="Y961">
        <v>0</v>
      </c>
      <c r="Z961">
        <v>7</v>
      </c>
      <c r="AA961" t="s">
        <v>2361</v>
      </c>
      <c r="AB961">
        <v>164</v>
      </c>
      <c r="AC961" t="s">
        <v>78</v>
      </c>
      <c r="AD961">
        <v>0</v>
      </c>
      <c r="AE961">
        <v>-1</v>
      </c>
      <c r="AF961" t="s">
        <v>79</v>
      </c>
      <c r="AG961" t="s">
        <v>1695</v>
      </c>
    </row>
    <row r="962" spans="1:33" x14ac:dyDescent="0.35">
      <c r="A962" s="18">
        <v>44465.568749999999</v>
      </c>
      <c r="B962">
        <v>1574357</v>
      </c>
      <c r="C962" t="s">
        <v>1544</v>
      </c>
      <c r="D962" t="s">
        <v>70</v>
      </c>
      <c r="E962" s="19">
        <v>41680</v>
      </c>
      <c r="F962" t="str">
        <f>"9781118703366"</f>
        <v>9781118703366</v>
      </c>
      <c r="G962" t="str">
        <f>"9781118634165"</f>
        <v>9781118634165</v>
      </c>
      <c r="H962" t="s">
        <v>71</v>
      </c>
      <c r="I962">
        <v>621.31244000000004</v>
      </c>
      <c r="J962" t="s">
        <v>1545</v>
      </c>
      <c r="K962" t="s">
        <v>73</v>
      </c>
      <c r="N962" t="s">
        <v>74</v>
      </c>
      <c r="O962" t="s">
        <v>75</v>
      </c>
      <c r="P962" t="s">
        <v>74</v>
      </c>
      <c r="Q962" t="s">
        <v>76</v>
      </c>
      <c r="R962" t="s">
        <v>73</v>
      </c>
      <c r="S962">
        <v>0</v>
      </c>
      <c r="W962" s="20">
        <v>2.0034722222222221E-2</v>
      </c>
      <c r="X962" t="s">
        <v>2362</v>
      </c>
      <c r="Y962">
        <v>4</v>
      </c>
      <c r="Z962">
        <v>0</v>
      </c>
      <c r="AA962" t="s">
        <v>78</v>
      </c>
      <c r="AB962">
        <v>0</v>
      </c>
      <c r="AC962" t="s">
        <v>78</v>
      </c>
      <c r="AD962">
        <v>0</v>
      </c>
      <c r="AE962">
        <v>10814681</v>
      </c>
      <c r="AF962" t="s">
        <v>79</v>
      </c>
      <c r="AG962" t="s">
        <v>1963</v>
      </c>
    </row>
    <row r="963" spans="1:33" x14ac:dyDescent="0.35">
      <c r="A963" s="18">
        <v>44465.568749999999</v>
      </c>
      <c r="B963">
        <v>835145</v>
      </c>
      <c r="C963" t="s">
        <v>1542</v>
      </c>
      <c r="D963" t="s">
        <v>70</v>
      </c>
      <c r="E963" s="19">
        <v>40952</v>
      </c>
      <c r="F963" t="str">
        <f>"9781119977001"</f>
        <v>9781119977001</v>
      </c>
      <c r="G963" t="str">
        <f>"9781119992851"</f>
        <v>9781119992851</v>
      </c>
      <c r="H963" t="s">
        <v>71</v>
      </c>
      <c r="I963">
        <v>621.31244000000004</v>
      </c>
      <c r="J963" t="s">
        <v>1543</v>
      </c>
      <c r="K963" t="s">
        <v>73</v>
      </c>
      <c r="N963" t="s">
        <v>74</v>
      </c>
      <c r="O963" t="s">
        <v>75</v>
      </c>
      <c r="P963" t="s">
        <v>74</v>
      </c>
      <c r="Q963" t="s">
        <v>76</v>
      </c>
      <c r="R963" t="s">
        <v>73</v>
      </c>
      <c r="S963">
        <v>0</v>
      </c>
      <c r="W963" s="20">
        <v>1.7731481481481483E-2</v>
      </c>
      <c r="X963" t="s">
        <v>2363</v>
      </c>
      <c r="Y963">
        <v>14</v>
      </c>
      <c r="Z963">
        <v>0</v>
      </c>
      <c r="AA963" t="s">
        <v>78</v>
      </c>
      <c r="AB963">
        <v>0</v>
      </c>
      <c r="AC963" t="s">
        <v>78</v>
      </c>
      <c r="AD963">
        <v>0</v>
      </c>
      <c r="AE963">
        <v>10526535</v>
      </c>
      <c r="AF963" t="s">
        <v>79</v>
      </c>
      <c r="AG963" t="s">
        <v>1963</v>
      </c>
    </row>
    <row r="964" spans="1:33" x14ac:dyDescent="0.35">
      <c r="A964" s="18">
        <v>44465.567361111112</v>
      </c>
      <c r="B964">
        <v>3020948</v>
      </c>
      <c r="C964" t="s">
        <v>2167</v>
      </c>
      <c r="D964" t="s">
        <v>226</v>
      </c>
      <c r="E964" s="19">
        <v>40452</v>
      </c>
      <c r="F964" t="str">
        <f>"9781617287039"</f>
        <v>9781617287039</v>
      </c>
      <c r="G964" t="str">
        <f>"9781617281068"</f>
        <v>9781617281068</v>
      </c>
      <c r="H964" t="s">
        <v>466</v>
      </c>
      <c r="I964">
        <v>621.38149999999996</v>
      </c>
      <c r="J964" t="s">
        <v>2168</v>
      </c>
      <c r="K964" t="s">
        <v>73</v>
      </c>
      <c r="N964" t="s">
        <v>74</v>
      </c>
      <c r="O964" t="s">
        <v>75</v>
      </c>
      <c r="P964" t="s">
        <v>230</v>
      </c>
      <c r="Q964" t="s">
        <v>76</v>
      </c>
      <c r="R964" t="s">
        <v>85</v>
      </c>
      <c r="S964">
        <v>0</v>
      </c>
      <c r="W964" s="20">
        <v>3.0092592592592595E-4</v>
      </c>
      <c r="X964" t="s">
        <v>360</v>
      </c>
      <c r="Y964">
        <v>2</v>
      </c>
      <c r="Z964">
        <v>0</v>
      </c>
      <c r="AA964" t="s">
        <v>78</v>
      </c>
      <c r="AB964">
        <v>0</v>
      </c>
      <c r="AC964" t="s">
        <v>78</v>
      </c>
      <c r="AD964">
        <v>0</v>
      </c>
      <c r="AE964">
        <v>10681086</v>
      </c>
      <c r="AF964" t="s">
        <v>79</v>
      </c>
      <c r="AG964" t="s">
        <v>2364</v>
      </c>
    </row>
    <row r="965" spans="1:33" x14ac:dyDescent="0.35">
      <c r="A965" s="18">
        <v>44465.552083333336</v>
      </c>
      <c r="B965">
        <v>943094</v>
      </c>
      <c r="C965" t="s">
        <v>2300</v>
      </c>
      <c r="D965" t="s">
        <v>70</v>
      </c>
      <c r="E965" s="19">
        <v>41176</v>
      </c>
      <c r="F965" t="str">
        <f t="shared" ref="F965:F971" si="0">"9783527650439"</f>
        <v>9783527650439</v>
      </c>
      <c r="G965" t="str">
        <f t="shared" ref="G965:G971" si="1">"9783527331512"</f>
        <v>9783527331512</v>
      </c>
      <c r="H965" t="s">
        <v>466</v>
      </c>
      <c r="I965">
        <v>621.31242399999996</v>
      </c>
      <c r="J965" t="s">
        <v>2301</v>
      </c>
      <c r="K965" t="s">
        <v>73</v>
      </c>
      <c r="N965" t="s">
        <v>74</v>
      </c>
      <c r="O965" t="s">
        <v>75</v>
      </c>
      <c r="P965" t="s">
        <v>74</v>
      </c>
      <c r="Q965" t="s">
        <v>76</v>
      </c>
      <c r="R965" t="s">
        <v>73</v>
      </c>
      <c r="S965">
        <v>0</v>
      </c>
      <c r="W965" s="20">
        <v>7.5810185185185189E-2</v>
      </c>
      <c r="X965" t="s">
        <v>2365</v>
      </c>
      <c r="Y965">
        <v>17</v>
      </c>
      <c r="Z965">
        <v>0</v>
      </c>
      <c r="AA965" t="s">
        <v>78</v>
      </c>
      <c r="AB965">
        <v>0</v>
      </c>
      <c r="AC965" t="s">
        <v>78</v>
      </c>
      <c r="AD965">
        <v>0</v>
      </c>
      <c r="AE965">
        <v>10570738</v>
      </c>
      <c r="AF965" t="s">
        <v>79</v>
      </c>
      <c r="AG965" t="s">
        <v>1963</v>
      </c>
    </row>
    <row r="966" spans="1:33" x14ac:dyDescent="0.35">
      <c r="A966" s="18">
        <v>44465.513194444444</v>
      </c>
      <c r="B966">
        <v>943094</v>
      </c>
      <c r="C966" t="s">
        <v>2300</v>
      </c>
      <c r="D966" t="s">
        <v>70</v>
      </c>
      <c r="E966" s="19">
        <v>41176</v>
      </c>
      <c r="F966" t="str">
        <f t="shared" si="0"/>
        <v>9783527650439</v>
      </c>
      <c r="G966" t="str">
        <f t="shared" si="1"/>
        <v>9783527331512</v>
      </c>
      <c r="H966" t="s">
        <v>466</v>
      </c>
      <c r="I966">
        <v>621.31242399999996</v>
      </c>
      <c r="J966" t="s">
        <v>2301</v>
      </c>
      <c r="K966" t="s">
        <v>73</v>
      </c>
      <c r="N966" t="s">
        <v>74</v>
      </c>
      <c r="O966" t="s">
        <v>75</v>
      </c>
      <c r="P966" t="s">
        <v>74</v>
      </c>
      <c r="Q966" t="s">
        <v>76</v>
      </c>
      <c r="R966" t="s">
        <v>73</v>
      </c>
      <c r="S966">
        <v>0</v>
      </c>
      <c r="W966" s="20">
        <v>6.134259259259259E-4</v>
      </c>
      <c r="X966" t="s">
        <v>2366</v>
      </c>
      <c r="Y966">
        <v>2</v>
      </c>
      <c r="Z966">
        <v>0</v>
      </c>
      <c r="AA966" t="s">
        <v>78</v>
      </c>
      <c r="AB966">
        <v>0</v>
      </c>
      <c r="AC966" t="s">
        <v>78</v>
      </c>
      <c r="AD966">
        <v>0</v>
      </c>
      <c r="AE966">
        <v>10570738</v>
      </c>
      <c r="AF966" t="s">
        <v>79</v>
      </c>
      <c r="AG966" t="s">
        <v>1963</v>
      </c>
    </row>
    <row r="967" spans="1:33" x14ac:dyDescent="0.35">
      <c r="A967" s="18">
        <v>44465.445833333331</v>
      </c>
      <c r="B967">
        <v>943094</v>
      </c>
      <c r="C967" t="s">
        <v>2300</v>
      </c>
      <c r="D967" t="s">
        <v>70</v>
      </c>
      <c r="E967" s="19">
        <v>41176</v>
      </c>
      <c r="F967" t="str">
        <f t="shared" si="0"/>
        <v>9783527650439</v>
      </c>
      <c r="G967" t="str">
        <f t="shared" si="1"/>
        <v>9783527331512</v>
      </c>
      <c r="H967" t="s">
        <v>466</v>
      </c>
      <c r="I967">
        <v>621.31242399999996</v>
      </c>
      <c r="J967" t="s">
        <v>2301</v>
      </c>
      <c r="K967" t="s">
        <v>73</v>
      </c>
      <c r="N967" t="s">
        <v>74</v>
      </c>
      <c r="O967" t="s">
        <v>75</v>
      </c>
      <c r="P967" t="s">
        <v>74</v>
      </c>
      <c r="Q967" t="s">
        <v>76</v>
      </c>
      <c r="R967" t="s">
        <v>73</v>
      </c>
      <c r="S967">
        <v>0</v>
      </c>
      <c r="W967" s="20">
        <v>3.3321759259259259E-2</v>
      </c>
      <c r="X967" t="s">
        <v>2367</v>
      </c>
      <c r="Y967">
        <v>12</v>
      </c>
      <c r="Z967">
        <v>0</v>
      </c>
      <c r="AA967" t="s">
        <v>78</v>
      </c>
      <c r="AB967">
        <v>0</v>
      </c>
      <c r="AC967" t="s">
        <v>78</v>
      </c>
      <c r="AD967">
        <v>0</v>
      </c>
      <c r="AE967">
        <v>10570738</v>
      </c>
      <c r="AF967" t="s">
        <v>79</v>
      </c>
      <c r="AG967" t="s">
        <v>1963</v>
      </c>
    </row>
    <row r="968" spans="1:33" x14ac:dyDescent="0.35">
      <c r="A968" s="18">
        <v>44465.370138888888</v>
      </c>
      <c r="B968">
        <v>943094</v>
      </c>
      <c r="C968" t="s">
        <v>2300</v>
      </c>
      <c r="D968" t="s">
        <v>70</v>
      </c>
      <c r="E968" s="19">
        <v>41176</v>
      </c>
      <c r="F968" t="str">
        <f t="shared" si="0"/>
        <v>9783527650439</v>
      </c>
      <c r="G968" t="str">
        <f t="shared" si="1"/>
        <v>9783527331512</v>
      </c>
      <c r="H968" t="s">
        <v>466</v>
      </c>
      <c r="I968">
        <v>621.31242399999996</v>
      </c>
      <c r="J968" t="s">
        <v>2301</v>
      </c>
      <c r="K968" t="s">
        <v>73</v>
      </c>
      <c r="N968" t="s">
        <v>74</v>
      </c>
      <c r="O968" t="s">
        <v>75</v>
      </c>
      <c r="P968" t="s">
        <v>74</v>
      </c>
      <c r="Q968" t="s">
        <v>76</v>
      </c>
      <c r="R968" t="s">
        <v>73</v>
      </c>
      <c r="S968">
        <v>0</v>
      </c>
      <c r="W968" s="20">
        <v>3.6921296296296292E-2</v>
      </c>
      <c r="X968" t="s">
        <v>2368</v>
      </c>
      <c r="Y968">
        <v>5</v>
      </c>
      <c r="Z968">
        <v>0</v>
      </c>
      <c r="AA968" t="s">
        <v>78</v>
      </c>
      <c r="AB968">
        <v>0</v>
      </c>
      <c r="AC968" t="s">
        <v>78</v>
      </c>
      <c r="AD968">
        <v>0</v>
      </c>
      <c r="AE968">
        <v>10570738</v>
      </c>
      <c r="AF968" t="s">
        <v>79</v>
      </c>
      <c r="AG968" t="s">
        <v>1963</v>
      </c>
    </row>
    <row r="969" spans="1:33" x14ac:dyDescent="0.35">
      <c r="A969" s="18">
        <v>44465.051388888889</v>
      </c>
      <c r="B969">
        <v>943094</v>
      </c>
      <c r="C969" t="s">
        <v>2300</v>
      </c>
      <c r="D969" t="s">
        <v>70</v>
      </c>
      <c r="E969" s="19">
        <v>41176</v>
      </c>
      <c r="F969" t="str">
        <f t="shared" si="0"/>
        <v>9783527650439</v>
      </c>
      <c r="G969" t="str">
        <f t="shared" si="1"/>
        <v>9783527331512</v>
      </c>
      <c r="H969" t="s">
        <v>466</v>
      </c>
      <c r="I969">
        <v>621.31242399999996</v>
      </c>
      <c r="J969" t="s">
        <v>2301</v>
      </c>
      <c r="K969" t="s">
        <v>73</v>
      </c>
      <c r="N969" t="s">
        <v>74</v>
      </c>
      <c r="O969" t="s">
        <v>75</v>
      </c>
      <c r="P969" t="s">
        <v>74</v>
      </c>
      <c r="Q969" t="s">
        <v>76</v>
      </c>
      <c r="R969" t="s">
        <v>73</v>
      </c>
      <c r="S969">
        <v>0</v>
      </c>
      <c r="W969" s="20">
        <v>3.9930555555555561E-3</v>
      </c>
      <c r="X969" t="s">
        <v>2369</v>
      </c>
      <c r="Y969">
        <v>10</v>
      </c>
      <c r="Z969">
        <v>0</v>
      </c>
      <c r="AA969" t="s">
        <v>78</v>
      </c>
      <c r="AB969">
        <v>0</v>
      </c>
      <c r="AC969" t="s">
        <v>78</v>
      </c>
      <c r="AD969">
        <v>0</v>
      </c>
      <c r="AE969">
        <v>10570738</v>
      </c>
      <c r="AF969" t="s">
        <v>79</v>
      </c>
      <c r="AG969" t="s">
        <v>1963</v>
      </c>
    </row>
    <row r="970" spans="1:33" x14ac:dyDescent="0.35">
      <c r="A970" s="18">
        <v>44465.021527777775</v>
      </c>
      <c r="B970">
        <v>943094</v>
      </c>
      <c r="C970" t="s">
        <v>2300</v>
      </c>
      <c r="D970" t="s">
        <v>70</v>
      </c>
      <c r="E970" s="19">
        <v>41176</v>
      </c>
      <c r="F970" t="str">
        <f t="shared" si="0"/>
        <v>9783527650439</v>
      </c>
      <c r="G970" t="str">
        <f t="shared" si="1"/>
        <v>9783527331512</v>
      </c>
      <c r="H970" t="s">
        <v>466</v>
      </c>
      <c r="I970">
        <v>621.31242399999996</v>
      </c>
      <c r="J970" t="s">
        <v>2301</v>
      </c>
      <c r="K970" t="s">
        <v>73</v>
      </c>
      <c r="N970" t="s">
        <v>74</v>
      </c>
      <c r="O970" t="s">
        <v>75</v>
      </c>
      <c r="P970" t="s">
        <v>74</v>
      </c>
      <c r="Q970" t="s">
        <v>76</v>
      </c>
      <c r="R970" t="s">
        <v>73</v>
      </c>
      <c r="S970">
        <v>0</v>
      </c>
      <c r="W970" s="20">
        <v>1.9675925925925926E-4</v>
      </c>
      <c r="X970" t="s">
        <v>2370</v>
      </c>
      <c r="Y970">
        <v>2</v>
      </c>
      <c r="Z970">
        <v>0</v>
      </c>
      <c r="AA970" t="s">
        <v>78</v>
      </c>
      <c r="AB970">
        <v>0</v>
      </c>
      <c r="AC970" t="s">
        <v>78</v>
      </c>
      <c r="AD970">
        <v>0</v>
      </c>
      <c r="AE970">
        <v>10570738</v>
      </c>
      <c r="AF970" t="s">
        <v>79</v>
      </c>
      <c r="AG970" t="s">
        <v>1963</v>
      </c>
    </row>
    <row r="971" spans="1:33" x14ac:dyDescent="0.35">
      <c r="A971" s="18">
        <v>44464.99722222222</v>
      </c>
      <c r="B971">
        <v>943094</v>
      </c>
      <c r="C971" t="s">
        <v>2300</v>
      </c>
      <c r="D971" t="s">
        <v>70</v>
      </c>
      <c r="E971" s="19">
        <v>41176</v>
      </c>
      <c r="F971" t="str">
        <f t="shared" si="0"/>
        <v>9783527650439</v>
      </c>
      <c r="G971" t="str">
        <f t="shared" si="1"/>
        <v>9783527331512</v>
      </c>
      <c r="H971" t="s">
        <v>466</v>
      </c>
      <c r="I971">
        <v>621.31242399999996</v>
      </c>
      <c r="J971" t="s">
        <v>2301</v>
      </c>
      <c r="K971" t="s">
        <v>73</v>
      </c>
      <c r="N971" t="s">
        <v>74</v>
      </c>
      <c r="O971" t="s">
        <v>75</v>
      </c>
      <c r="P971" t="s">
        <v>74</v>
      </c>
      <c r="Q971" t="s">
        <v>76</v>
      </c>
      <c r="R971" t="s">
        <v>73</v>
      </c>
      <c r="S971">
        <v>0</v>
      </c>
      <c r="W971" s="20">
        <v>3.7037037037037035E-4</v>
      </c>
      <c r="X971" t="s">
        <v>2371</v>
      </c>
      <c r="Y971">
        <v>3</v>
      </c>
      <c r="Z971">
        <v>0</v>
      </c>
      <c r="AA971" t="s">
        <v>78</v>
      </c>
      <c r="AB971">
        <v>0</v>
      </c>
      <c r="AC971" t="s">
        <v>78</v>
      </c>
      <c r="AD971">
        <v>0</v>
      </c>
      <c r="AE971">
        <v>10570738</v>
      </c>
      <c r="AF971" t="s">
        <v>79</v>
      </c>
      <c r="AG971" t="s">
        <v>1963</v>
      </c>
    </row>
    <row r="972" spans="1:33" x14ac:dyDescent="0.35">
      <c r="A972" s="18">
        <v>44464.977777777778</v>
      </c>
      <c r="B972">
        <v>1747086</v>
      </c>
      <c r="C972" t="s">
        <v>2208</v>
      </c>
      <c r="D972" t="s">
        <v>158</v>
      </c>
      <c r="E972" s="19">
        <v>41850</v>
      </c>
      <c r="F972" t="str">
        <f>"9780123865489"</f>
        <v>9780123865489</v>
      </c>
      <c r="G972" t="str">
        <f>"9780123865472"</f>
        <v>9780123865472</v>
      </c>
      <c r="H972" t="s">
        <v>159</v>
      </c>
      <c r="I972">
        <v>660.28425000000004</v>
      </c>
      <c r="J972" t="s">
        <v>2209</v>
      </c>
      <c r="K972" t="s">
        <v>73</v>
      </c>
      <c r="N972" t="s">
        <v>74</v>
      </c>
      <c r="O972" t="s">
        <v>75</v>
      </c>
      <c r="P972" t="s">
        <v>74</v>
      </c>
      <c r="Q972" t="s">
        <v>76</v>
      </c>
      <c r="R972" t="s">
        <v>73</v>
      </c>
      <c r="S972">
        <v>0</v>
      </c>
      <c r="W972" s="20">
        <v>0</v>
      </c>
      <c r="X972" t="s">
        <v>78</v>
      </c>
      <c r="Y972">
        <v>0</v>
      </c>
      <c r="Z972">
        <v>1</v>
      </c>
      <c r="AA972" t="s">
        <v>2372</v>
      </c>
      <c r="AB972">
        <v>52</v>
      </c>
      <c r="AC972" t="s">
        <v>78</v>
      </c>
      <c r="AD972">
        <v>0</v>
      </c>
      <c r="AE972">
        <v>10899171</v>
      </c>
      <c r="AF972" t="s">
        <v>79</v>
      </c>
      <c r="AG972" t="s">
        <v>1963</v>
      </c>
    </row>
    <row r="973" spans="1:33" x14ac:dyDescent="0.35">
      <c r="A973" s="18">
        <v>44464.930555555555</v>
      </c>
      <c r="B973">
        <v>943094</v>
      </c>
      <c r="C973" t="s">
        <v>2300</v>
      </c>
      <c r="D973" t="s">
        <v>70</v>
      </c>
      <c r="E973" s="19">
        <v>41176</v>
      </c>
      <c r="F973" t="str">
        <f>"9783527650439"</f>
        <v>9783527650439</v>
      </c>
      <c r="G973" t="str">
        <f>"9783527331512"</f>
        <v>9783527331512</v>
      </c>
      <c r="H973" t="s">
        <v>466</v>
      </c>
      <c r="I973">
        <v>621.31242399999996</v>
      </c>
      <c r="J973" t="s">
        <v>2301</v>
      </c>
      <c r="K973" t="s">
        <v>73</v>
      </c>
      <c r="N973" t="s">
        <v>74</v>
      </c>
      <c r="O973" t="s">
        <v>75</v>
      </c>
      <c r="P973" t="s">
        <v>74</v>
      </c>
      <c r="Q973" t="s">
        <v>76</v>
      </c>
      <c r="R973" t="s">
        <v>73</v>
      </c>
      <c r="S973">
        <v>1</v>
      </c>
      <c r="W973" s="20">
        <v>0</v>
      </c>
      <c r="X973" t="s">
        <v>2373</v>
      </c>
      <c r="Y973">
        <v>1</v>
      </c>
      <c r="Z973">
        <v>0</v>
      </c>
      <c r="AA973" t="s">
        <v>78</v>
      </c>
      <c r="AB973">
        <v>0</v>
      </c>
      <c r="AC973" t="s">
        <v>78</v>
      </c>
      <c r="AD973">
        <v>0</v>
      </c>
      <c r="AE973">
        <v>10570738</v>
      </c>
      <c r="AF973" t="s">
        <v>88</v>
      </c>
      <c r="AG973" t="s">
        <v>1963</v>
      </c>
    </row>
    <row r="974" spans="1:33" x14ac:dyDescent="0.35">
      <c r="A974" s="18">
        <v>44464.925694444442</v>
      </c>
      <c r="B974">
        <v>943094</v>
      </c>
      <c r="C974" t="s">
        <v>2300</v>
      </c>
      <c r="D974" t="s">
        <v>70</v>
      </c>
      <c r="E974" s="19">
        <v>41176</v>
      </c>
      <c r="F974" t="str">
        <f>"9783527650439"</f>
        <v>9783527650439</v>
      </c>
      <c r="G974" t="str">
        <f>"9783527331512"</f>
        <v>9783527331512</v>
      </c>
      <c r="H974" t="s">
        <v>466</v>
      </c>
      <c r="I974">
        <v>621.31242399999996</v>
      </c>
      <c r="J974" t="s">
        <v>2301</v>
      </c>
      <c r="K974" t="s">
        <v>73</v>
      </c>
      <c r="N974" t="s">
        <v>74</v>
      </c>
      <c r="O974" t="s">
        <v>75</v>
      </c>
      <c r="P974" t="s">
        <v>74</v>
      </c>
      <c r="Q974" t="s">
        <v>76</v>
      </c>
      <c r="R974" t="s">
        <v>73</v>
      </c>
      <c r="S974">
        <v>0</v>
      </c>
      <c r="W974" s="20">
        <v>4.5833333333333334E-3</v>
      </c>
      <c r="X974" t="s">
        <v>2374</v>
      </c>
      <c r="Y974">
        <v>29</v>
      </c>
      <c r="Z974">
        <v>0</v>
      </c>
      <c r="AA974" t="s">
        <v>78</v>
      </c>
      <c r="AB974">
        <v>0</v>
      </c>
      <c r="AC974" t="s">
        <v>78</v>
      </c>
      <c r="AD974">
        <v>0</v>
      </c>
      <c r="AE974">
        <v>10570738</v>
      </c>
      <c r="AF974" t="s">
        <v>88</v>
      </c>
      <c r="AG974" t="s">
        <v>1963</v>
      </c>
    </row>
    <row r="975" spans="1:33" x14ac:dyDescent="0.35">
      <c r="A975" s="18">
        <v>44464.814583333333</v>
      </c>
      <c r="B975">
        <v>4877057</v>
      </c>
      <c r="C975" t="s">
        <v>2375</v>
      </c>
      <c r="D975" t="s">
        <v>741</v>
      </c>
      <c r="E975" s="19">
        <v>42491</v>
      </c>
      <c r="F975" t="str">
        <f>"9781423231257"</f>
        <v>9781423231257</v>
      </c>
      <c r="G975" t="str">
        <f>"9781423231134"</f>
        <v>9781423231134</v>
      </c>
      <c r="H975" t="s">
        <v>143</v>
      </c>
      <c r="I975">
        <v>658.56202180000002</v>
      </c>
      <c r="J975" t="s">
        <v>2376</v>
      </c>
      <c r="K975" t="s">
        <v>73</v>
      </c>
      <c r="N975" t="s">
        <v>74</v>
      </c>
      <c r="O975" t="s">
        <v>75</v>
      </c>
      <c r="P975" t="s">
        <v>74</v>
      </c>
      <c r="Q975" t="s">
        <v>76</v>
      </c>
      <c r="R975" t="s">
        <v>73</v>
      </c>
      <c r="S975">
        <v>0</v>
      </c>
      <c r="W975" s="20">
        <v>1.8518518518518518E-4</v>
      </c>
      <c r="X975" t="s">
        <v>792</v>
      </c>
      <c r="Y975">
        <v>3</v>
      </c>
      <c r="Z975">
        <v>0</v>
      </c>
      <c r="AA975" t="s">
        <v>78</v>
      </c>
      <c r="AB975">
        <v>0</v>
      </c>
      <c r="AC975" t="s">
        <v>78</v>
      </c>
      <c r="AD975">
        <v>0</v>
      </c>
      <c r="AE975">
        <v>11397723</v>
      </c>
      <c r="AF975" t="s">
        <v>79</v>
      </c>
      <c r="AG975" t="s">
        <v>1909</v>
      </c>
    </row>
    <row r="976" spans="1:33" x14ac:dyDescent="0.35">
      <c r="A976" s="18">
        <v>44464.793749999997</v>
      </c>
      <c r="B976">
        <v>5729835</v>
      </c>
      <c r="C976" t="s">
        <v>2377</v>
      </c>
      <c r="D976" t="s">
        <v>369</v>
      </c>
      <c r="E976" s="19">
        <v>43545</v>
      </c>
      <c r="F976" t="str">
        <f>"9783030056865"</f>
        <v>9783030056865</v>
      </c>
      <c r="G976" t="str">
        <f>"9783030056858"</f>
        <v>9783030056858</v>
      </c>
      <c r="H976" t="s">
        <v>2378</v>
      </c>
      <c r="I976">
        <v>378.101</v>
      </c>
      <c r="J976" t="s">
        <v>2379</v>
      </c>
      <c r="K976" t="s">
        <v>85</v>
      </c>
      <c r="Q976" t="s">
        <v>76</v>
      </c>
      <c r="R976" t="s">
        <v>73</v>
      </c>
      <c r="S976">
        <v>0</v>
      </c>
      <c r="W976" s="20">
        <v>3.1249999999999997E-3</v>
      </c>
      <c r="X976" t="s">
        <v>2380</v>
      </c>
      <c r="Y976">
        <v>18</v>
      </c>
      <c r="Z976">
        <v>0</v>
      </c>
      <c r="AA976" t="s">
        <v>78</v>
      </c>
      <c r="AB976">
        <v>0</v>
      </c>
      <c r="AC976" t="s">
        <v>78</v>
      </c>
      <c r="AD976">
        <v>0</v>
      </c>
      <c r="AE976">
        <v>11661914</v>
      </c>
      <c r="AF976" t="s">
        <v>79</v>
      </c>
      <c r="AG976" t="s">
        <v>1695</v>
      </c>
    </row>
    <row r="977" spans="1:33" x14ac:dyDescent="0.35">
      <c r="A977" s="18">
        <v>44464.793055555558</v>
      </c>
      <c r="B977">
        <v>4562449</v>
      </c>
      <c r="C977" t="s">
        <v>1976</v>
      </c>
      <c r="D977" t="s">
        <v>70</v>
      </c>
      <c r="E977" s="19">
        <v>42611</v>
      </c>
      <c r="F977" t="str">
        <f>"9781119130932"</f>
        <v>9781119130932</v>
      </c>
      <c r="G977" t="str">
        <f>"9781119302735"</f>
        <v>9781119302735</v>
      </c>
      <c r="H977" t="s">
        <v>1977</v>
      </c>
      <c r="I977">
        <v>658.40129999999999</v>
      </c>
      <c r="J977" t="s">
        <v>1978</v>
      </c>
      <c r="K977" t="s">
        <v>73</v>
      </c>
      <c r="N977" t="s">
        <v>74</v>
      </c>
      <c r="O977" t="s">
        <v>75</v>
      </c>
      <c r="P977" t="s">
        <v>74</v>
      </c>
      <c r="Q977" t="s">
        <v>76</v>
      </c>
      <c r="R977" t="s">
        <v>73</v>
      </c>
      <c r="S977">
        <v>0</v>
      </c>
      <c r="W977" s="20">
        <v>3.4722222222222222E-5</v>
      </c>
      <c r="X977" t="s">
        <v>2381</v>
      </c>
      <c r="Y977">
        <v>1</v>
      </c>
      <c r="Z977">
        <v>0</v>
      </c>
      <c r="AA977" t="s">
        <v>78</v>
      </c>
      <c r="AB977">
        <v>0</v>
      </c>
      <c r="AC977" t="s">
        <v>78</v>
      </c>
      <c r="AD977">
        <v>0</v>
      </c>
      <c r="AE977">
        <v>11228720</v>
      </c>
      <c r="AF977" t="s">
        <v>79</v>
      </c>
      <c r="AG977" t="s">
        <v>1695</v>
      </c>
    </row>
    <row r="978" spans="1:33" x14ac:dyDescent="0.35">
      <c r="A978" s="18">
        <v>44464.580555555556</v>
      </c>
      <c r="B978">
        <v>667907</v>
      </c>
      <c r="C978" t="s">
        <v>1593</v>
      </c>
      <c r="D978" t="s">
        <v>127</v>
      </c>
      <c r="E978" s="19">
        <v>40513</v>
      </c>
      <c r="F978" t="str">
        <f>"9780203890400"</f>
        <v>9780203890400</v>
      </c>
      <c r="G978" t="str">
        <f>"9780415994644"</f>
        <v>9780415994644</v>
      </c>
      <c r="H978" t="s">
        <v>662</v>
      </c>
      <c r="I978">
        <v>175</v>
      </c>
      <c r="J978" t="s">
        <v>1594</v>
      </c>
      <c r="K978" t="s">
        <v>73</v>
      </c>
      <c r="N978" t="s">
        <v>74</v>
      </c>
      <c r="O978" t="s">
        <v>75</v>
      </c>
      <c r="P978" t="s">
        <v>74</v>
      </c>
      <c r="Q978" t="s">
        <v>76</v>
      </c>
      <c r="R978" t="s">
        <v>73</v>
      </c>
      <c r="S978">
        <v>0</v>
      </c>
      <c r="W978" s="20">
        <v>1.4814814814814814E-3</v>
      </c>
      <c r="X978" t="s">
        <v>2382</v>
      </c>
      <c r="Y978">
        <v>16</v>
      </c>
      <c r="Z978">
        <v>0</v>
      </c>
      <c r="AA978" t="s">
        <v>78</v>
      </c>
      <c r="AB978">
        <v>0</v>
      </c>
      <c r="AC978" t="s">
        <v>78</v>
      </c>
      <c r="AD978">
        <v>0</v>
      </c>
      <c r="AE978">
        <v>11165084</v>
      </c>
      <c r="AF978" t="s">
        <v>79</v>
      </c>
      <c r="AG978" t="s">
        <v>1963</v>
      </c>
    </row>
    <row r="979" spans="1:33" x14ac:dyDescent="0.35">
      <c r="A979" s="18">
        <v>44464.578472222223</v>
      </c>
      <c r="B979">
        <v>5231417</v>
      </c>
      <c r="C979" t="s">
        <v>2383</v>
      </c>
      <c r="D979" t="s">
        <v>1642</v>
      </c>
      <c r="E979" s="19">
        <v>43251</v>
      </c>
      <c r="F979" t="str">
        <f>"9781787561656"</f>
        <v>9781787561656</v>
      </c>
      <c r="G979" t="str">
        <f>"9781787561663"</f>
        <v>9781787561663</v>
      </c>
      <c r="H979" t="s">
        <v>2384</v>
      </c>
      <c r="I979">
        <v>174</v>
      </c>
      <c r="J979" t="s">
        <v>2385</v>
      </c>
      <c r="K979" t="s">
        <v>73</v>
      </c>
      <c r="N979" t="s">
        <v>74</v>
      </c>
      <c r="O979" t="s">
        <v>75</v>
      </c>
      <c r="P979" t="s">
        <v>74</v>
      </c>
      <c r="Q979" t="s">
        <v>76</v>
      </c>
      <c r="R979" t="s">
        <v>73</v>
      </c>
      <c r="S979">
        <v>0</v>
      </c>
      <c r="W979" s="20">
        <v>1.8518518518518517E-3</v>
      </c>
      <c r="X979" t="s">
        <v>2386</v>
      </c>
      <c r="Y979">
        <v>4</v>
      </c>
      <c r="Z979">
        <v>0</v>
      </c>
      <c r="AA979" t="s">
        <v>78</v>
      </c>
      <c r="AB979">
        <v>0</v>
      </c>
      <c r="AC979" t="s">
        <v>78</v>
      </c>
      <c r="AD979">
        <v>0</v>
      </c>
      <c r="AE979">
        <v>11558835</v>
      </c>
      <c r="AF979" t="s">
        <v>79</v>
      </c>
      <c r="AG979" t="s">
        <v>1963</v>
      </c>
    </row>
    <row r="980" spans="1:33" x14ac:dyDescent="0.35">
      <c r="A980" s="18">
        <v>44464.561805555553</v>
      </c>
      <c r="B980">
        <v>882731</v>
      </c>
      <c r="C980" t="s">
        <v>2309</v>
      </c>
      <c r="D980" t="s">
        <v>70</v>
      </c>
      <c r="E980" s="19">
        <v>40973</v>
      </c>
      <c r="F980" t="str">
        <f>"9781444355857"</f>
        <v>9781444355857</v>
      </c>
      <c r="G980" t="str">
        <f>"9781444332872"</f>
        <v>9781444332872</v>
      </c>
      <c r="H980" t="s">
        <v>2310</v>
      </c>
      <c r="I980">
        <v>175</v>
      </c>
      <c r="J980" t="s">
        <v>2311</v>
      </c>
      <c r="K980" t="s">
        <v>73</v>
      </c>
      <c r="N980" t="s">
        <v>74</v>
      </c>
      <c r="O980" t="s">
        <v>75</v>
      </c>
      <c r="P980" t="s">
        <v>74</v>
      </c>
      <c r="Q980" t="s">
        <v>76</v>
      </c>
      <c r="R980" t="s">
        <v>73</v>
      </c>
      <c r="S980">
        <v>0</v>
      </c>
      <c r="W980" s="20">
        <v>6.782407407407408E-3</v>
      </c>
      <c r="X980" t="s">
        <v>2387</v>
      </c>
      <c r="Y980">
        <v>6</v>
      </c>
      <c r="Z980">
        <v>0</v>
      </c>
      <c r="AA980" t="s">
        <v>78</v>
      </c>
      <c r="AB980">
        <v>0</v>
      </c>
      <c r="AC980" t="s">
        <v>78</v>
      </c>
      <c r="AD980">
        <v>0</v>
      </c>
      <c r="AE980">
        <v>10630487</v>
      </c>
      <c r="AF980" t="s">
        <v>79</v>
      </c>
      <c r="AG980" t="s">
        <v>1963</v>
      </c>
    </row>
    <row r="981" spans="1:33" x14ac:dyDescent="0.35">
      <c r="A981" s="18">
        <v>44464.168749999997</v>
      </c>
      <c r="B981">
        <v>4388935</v>
      </c>
      <c r="C981" t="s">
        <v>1747</v>
      </c>
      <c r="D981" t="s">
        <v>542</v>
      </c>
      <c r="E981" s="19">
        <v>42830</v>
      </c>
      <c r="F981" t="str">
        <f>"9781631573422"</f>
        <v>9781631573422</v>
      </c>
      <c r="G981" t="str">
        <f>"9781631573415"</f>
        <v>9781631573415</v>
      </c>
      <c r="H981" t="s">
        <v>143</v>
      </c>
      <c r="I981">
        <v>658.56200000000001</v>
      </c>
      <c r="J981" t="s">
        <v>1748</v>
      </c>
      <c r="K981" t="s">
        <v>73</v>
      </c>
      <c r="N981" t="s">
        <v>74</v>
      </c>
      <c r="O981" t="s">
        <v>75</v>
      </c>
      <c r="P981" t="s">
        <v>74</v>
      </c>
      <c r="Q981" t="s">
        <v>76</v>
      </c>
      <c r="R981" t="s">
        <v>73</v>
      </c>
      <c r="S981">
        <v>0</v>
      </c>
      <c r="W981" s="20">
        <v>5.7870370370370366E-5</v>
      </c>
      <c r="X981" t="s">
        <v>2172</v>
      </c>
      <c r="Y981">
        <v>1</v>
      </c>
      <c r="Z981">
        <v>0</v>
      </c>
      <c r="AA981" t="s">
        <v>78</v>
      </c>
      <c r="AB981">
        <v>0</v>
      </c>
      <c r="AC981" t="s">
        <v>78</v>
      </c>
      <c r="AD981">
        <v>0</v>
      </c>
      <c r="AE981">
        <v>11152350</v>
      </c>
      <c r="AF981" t="s">
        <v>79</v>
      </c>
      <c r="AG981" t="s">
        <v>1963</v>
      </c>
    </row>
    <row r="982" spans="1:33" x14ac:dyDescent="0.35">
      <c r="A982" s="18">
        <v>44463.783333333333</v>
      </c>
      <c r="B982">
        <v>4562449</v>
      </c>
      <c r="C982" t="s">
        <v>1976</v>
      </c>
      <c r="D982" t="s">
        <v>70</v>
      </c>
      <c r="E982" s="19">
        <v>42611</v>
      </c>
      <c r="F982" t="str">
        <f>"9781119130932"</f>
        <v>9781119130932</v>
      </c>
      <c r="G982" t="str">
        <f>"9781119302735"</f>
        <v>9781119302735</v>
      </c>
      <c r="H982" t="s">
        <v>1977</v>
      </c>
      <c r="I982">
        <v>658.40129999999999</v>
      </c>
      <c r="J982" t="s">
        <v>1978</v>
      </c>
      <c r="K982" t="s">
        <v>73</v>
      </c>
      <c r="N982" t="s">
        <v>74</v>
      </c>
      <c r="O982" t="s">
        <v>75</v>
      </c>
      <c r="P982" t="s">
        <v>74</v>
      </c>
      <c r="Q982" t="s">
        <v>76</v>
      </c>
      <c r="R982" t="s">
        <v>73</v>
      </c>
      <c r="S982">
        <v>1</v>
      </c>
      <c r="W982" s="20">
        <v>6.7361111111111103E-3</v>
      </c>
      <c r="X982" t="s">
        <v>2388</v>
      </c>
      <c r="Y982">
        <v>15</v>
      </c>
      <c r="Z982">
        <v>2</v>
      </c>
      <c r="AA982" t="s">
        <v>2389</v>
      </c>
      <c r="AB982">
        <v>4</v>
      </c>
      <c r="AC982" t="s">
        <v>78</v>
      </c>
      <c r="AD982">
        <v>0</v>
      </c>
      <c r="AE982">
        <v>11228720</v>
      </c>
      <c r="AF982" t="s">
        <v>88</v>
      </c>
      <c r="AG982" t="s">
        <v>2390</v>
      </c>
    </row>
    <row r="983" spans="1:33" x14ac:dyDescent="0.35">
      <c r="A983" s="18">
        <v>44463.772916666669</v>
      </c>
      <c r="B983">
        <v>4562449</v>
      </c>
      <c r="C983" t="s">
        <v>1976</v>
      </c>
      <c r="D983" t="s">
        <v>70</v>
      </c>
      <c r="E983" s="19">
        <v>42611</v>
      </c>
      <c r="F983" t="str">
        <f>"9781119130932"</f>
        <v>9781119130932</v>
      </c>
      <c r="G983" t="str">
        <f>"9781119302735"</f>
        <v>9781119302735</v>
      </c>
      <c r="H983" t="s">
        <v>1977</v>
      </c>
      <c r="I983">
        <v>658.40129999999999</v>
      </c>
      <c r="J983" t="s">
        <v>1978</v>
      </c>
      <c r="K983" t="s">
        <v>73</v>
      </c>
      <c r="N983" t="s">
        <v>74</v>
      </c>
      <c r="O983" t="s">
        <v>75</v>
      </c>
      <c r="P983" t="s">
        <v>74</v>
      </c>
      <c r="Q983" t="s">
        <v>76</v>
      </c>
      <c r="R983" t="s">
        <v>73</v>
      </c>
      <c r="S983">
        <v>0</v>
      </c>
      <c r="W983" s="20">
        <v>1.0590277777777777E-2</v>
      </c>
      <c r="X983" t="s">
        <v>2391</v>
      </c>
      <c r="Y983">
        <v>117</v>
      </c>
      <c r="Z983">
        <v>0</v>
      </c>
      <c r="AA983" t="s">
        <v>78</v>
      </c>
      <c r="AB983">
        <v>0</v>
      </c>
      <c r="AC983" t="s">
        <v>78</v>
      </c>
      <c r="AD983">
        <v>0</v>
      </c>
      <c r="AE983">
        <v>11228720</v>
      </c>
      <c r="AF983" t="s">
        <v>88</v>
      </c>
      <c r="AG983" t="s">
        <v>2390</v>
      </c>
    </row>
    <row r="984" spans="1:33" x14ac:dyDescent="0.35">
      <c r="A984" s="18">
        <v>44462.996527777781</v>
      </c>
      <c r="B984">
        <v>3116715</v>
      </c>
      <c r="C984" t="s">
        <v>2392</v>
      </c>
      <c r="D984" t="s">
        <v>2393</v>
      </c>
      <c r="E984" s="19">
        <v>37377</v>
      </c>
      <c r="F984" t="str">
        <f>"9781613001301"</f>
        <v>9781613001301</v>
      </c>
      <c r="G984" t="str">
        <f>"9781583211717"</f>
        <v>9781583211717</v>
      </c>
      <c r="H984" t="s">
        <v>767</v>
      </c>
      <c r="I984" t="s">
        <v>2394</v>
      </c>
      <c r="J984" t="s">
        <v>2395</v>
      </c>
      <c r="K984" t="s">
        <v>73</v>
      </c>
      <c r="N984" t="s">
        <v>74</v>
      </c>
      <c r="O984" t="s">
        <v>75</v>
      </c>
      <c r="P984" t="s">
        <v>74</v>
      </c>
      <c r="Q984" t="s">
        <v>76</v>
      </c>
      <c r="R984" t="s">
        <v>73</v>
      </c>
      <c r="S984">
        <v>0</v>
      </c>
      <c r="W984" s="20">
        <v>5.7754629629629623E-3</v>
      </c>
      <c r="X984" t="s">
        <v>2396</v>
      </c>
      <c r="Y984">
        <v>12</v>
      </c>
      <c r="Z984">
        <v>0</v>
      </c>
      <c r="AA984" t="s">
        <v>78</v>
      </c>
      <c r="AB984">
        <v>0</v>
      </c>
      <c r="AC984" t="s">
        <v>78</v>
      </c>
      <c r="AD984">
        <v>0</v>
      </c>
      <c r="AE984">
        <v>10522370</v>
      </c>
      <c r="AF984" t="s">
        <v>79</v>
      </c>
      <c r="AG984" t="s">
        <v>1963</v>
      </c>
    </row>
    <row r="985" spans="1:33" x14ac:dyDescent="0.35">
      <c r="A985" s="18">
        <v>44462.825694444444</v>
      </c>
      <c r="B985">
        <v>698133</v>
      </c>
      <c r="C985" t="s">
        <v>2397</v>
      </c>
      <c r="D985" t="s">
        <v>70</v>
      </c>
      <c r="E985" s="19">
        <v>40770</v>
      </c>
      <c r="F985" t="str">
        <f>"9781444343076"</f>
        <v>9781444343076</v>
      </c>
      <c r="G985" t="str">
        <f>"9781405194662"</f>
        <v>9781405194662</v>
      </c>
      <c r="H985" t="s">
        <v>1204</v>
      </c>
      <c r="I985">
        <v>414</v>
      </c>
      <c r="J985" t="s">
        <v>2398</v>
      </c>
      <c r="K985" t="s">
        <v>73</v>
      </c>
      <c r="N985" t="s">
        <v>74</v>
      </c>
      <c r="O985" t="s">
        <v>75</v>
      </c>
      <c r="P985" t="s">
        <v>74</v>
      </c>
      <c r="Q985" t="s">
        <v>76</v>
      </c>
      <c r="R985" t="s">
        <v>73</v>
      </c>
      <c r="S985">
        <v>0</v>
      </c>
      <c r="W985" s="20">
        <v>1.8634259259259261E-3</v>
      </c>
      <c r="X985" t="s">
        <v>125</v>
      </c>
      <c r="Y985">
        <v>2</v>
      </c>
      <c r="Z985">
        <v>0</v>
      </c>
      <c r="AA985" t="s">
        <v>78</v>
      </c>
      <c r="AB985">
        <v>0</v>
      </c>
      <c r="AC985" t="s">
        <v>78</v>
      </c>
      <c r="AD985">
        <v>0</v>
      </c>
      <c r="AE985">
        <v>10483227</v>
      </c>
      <c r="AF985" t="s">
        <v>79</v>
      </c>
      <c r="AG985" t="s">
        <v>1963</v>
      </c>
    </row>
    <row r="986" spans="1:33" x14ac:dyDescent="0.35">
      <c r="A986" s="18">
        <v>44462.816666666666</v>
      </c>
      <c r="B986">
        <v>3339934</v>
      </c>
      <c r="C986" t="s">
        <v>2399</v>
      </c>
      <c r="D986" t="s">
        <v>300</v>
      </c>
      <c r="E986" s="19">
        <v>41999</v>
      </c>
      <c r="F986" t="str">
        <f>"9780262327794"</f>
        <v>9780262327794</v>
      </c>
      <c r="G986" t="str">
        <f>"9780262527408"</f>
        <v>9780262527408</v>
      </c>
      <c r="H986" t="s">
        <v>1204</v>
      </c>
      <c r="I986">
        <v>415</v>
      </c>
      <c r="J986" t="s">
        <v>2400</v>
      </c>
      <c r="K986" t="s">
        <v>73</v>
      </c>
      <c r="N986" t="s">
        <v>74</v>
      </c>
      <c r="O986" t="s">
        <v>75</v>
      </c>
      <c r="P986" t="s">
        <v>74</v>
      </c>
      <c r="Q986" t="s">
        <v>76</v>
      </c>
      <c r="R986" t="s">
        <v>73</v>
      </c>
      <c r="S986">
        <v>0</v>
      </c>
      <c r="W986" s="20">
        <v>4.7453703703703703E-3</v>
      </c>
      <c r="X986" t="s">
        <v>2401</v>
      </c>
      <c r="Y986">
        <v>9</v>
      </c>
      <c r="Z986">
        <v>0</v>
      </c>
      <c r="AA986" t="s">
        <v>78</v>
      </c>
      <c r="AB986">
        <v>0</v>
      </c>
      <c r="AC986" t="s">
        <v>78</v>
      </c>
      <c r="AD986">
        <v>0</v>
      </c>
      <c r="AE986">
        <v>11010878</v>
      </c>
      <c r="AF986" t="s">
        <v>79</v>
      </c>
      <c r="AG986" t="s">
        <v>1963</v>
      </c>
    </row>
    <row r="987" spans="1:33" x14ac:dyDescent="0.35">
      <c r="A987" s="18">
        <v>44462.814583333333</v>
      </c>
      <c r="B987">
        <v>4585770</v>
      </c>
      <c r="C987" t="s">
        <v>1614</v>
      </c>
      <c r="D987" t="s">
        <v>827</v>
      </c>
      <c r="E987" s="19">
        <v>41471</v>
      </c>
      <c r="F987" t="str">
        <f>"9780300195101"</f>
        <v>9780300195101</v>
      </c>
      <c r="G987" t="str">
        <f>"9780300185959"</f>
        <v>9780300185959</v>
      </c>
      <c r="H987" t="s">
        <v>308</v>
      </c>
      <c r="I987">
        <v>297.21100000000001</v>
      </c>
      <c r="J987" t="s">
        <v>1615</v>
      </c>
      <c r="K987" t="s">
        <v>73</v>
      </c>
      <c r="N987" t="s">
        <v>74</v>
      </c>
      <c r="O987" t="s">
        <v>75</v>
      </c>
      <c r="P987" t="s">
        <v>74</v>
      </c>
      <c r="Q987" t="s">
        <v>76</v>
      </c>
      <c r="R987" t="s">
        <v>73</v>
      </c>
      <c r="S987">
        <v>0</v>
      </c>
      <c r="W987" s="20">
        <v>3.2407407407407406E-4</v>
      </c>
      <c r="X987" t="s">
        <v>851</v>
      </c>
      <c r="Y987">
        <v>8</v>
      </c>
      <c r="Z987">
        <v>0</v>
      </c>
      <c r="AA987" t="s">
        <v>78</v>
      </c>
      <c r="AB987">
        <v>0</v>
      </c>
      <c r="AC987" t="s">
        <v>78</v>
      </c>
      <c r="AD987">
        <v>0</v>
      </c>
      <c r="AE987">
        <v>11234884</v>
      </c>
      <c r="AF987" t="s">
        <v>79</v>
      </c>
      <c r="AG987" t="s">
        <v>2390</v>
      </c>
    </row>
    <row r="988" spans="1:33" x14ac:dyDescent="0.35">
      <c r="A988" s="18">
        <v>44462.762499999997</v>
      </c>
      <c r="B988">
        <v>1111317</v>
      </c>
      <c r="C988" t="s">
        <v>479</v>
      </c>
      <c r="D988" t="s">
        <v>127</v>
      </c>
      <c r="E988" s="19">
        <v>37587</v>
      </c>
      <c r="F988" t="str">
        <f>"9781136129223"</f>
        <v>9781136129223</v>
      </c>
      <c r="G988" t="str">
        <f>"9780700716074"</f>
        <v>9780700716074</v>
      </c>
      <c r="H988" t="s">
        <v>308</v>
      </c>
      <c r="I988" t="s">
        <v>480</v>
      </c>
      <c r="J988" t="s">
        <v>481</v>
      </c>
      <c r="K988" t="s">
        <v>73</v>
      </c>
      <c r="N988" t="s">
        <v>74</v>
      </c>
      <c r="O988" t="s">
        <v>75</v>
      </c>
      <c r="P988" t="s">
        <v>74</v>
      </c>
      <c r="Q988" t="s">
        <v>76</v>
      </c>
      <c r="R988" t="s">
        <v>73</v>
      </c>
      <c r="S988">
        <v>0</v>
      </c>
      <c r="W988" s="20">
        <v>4.8275462962962958E-2</v>
      </c>
      <c r="X988" t="s">
        <v>2402</v>
      </c>
      <c r="Y988">
        <v>16</v>
      </c>
      <c r="Z988">
        <v>0</v>
      </c>
      <c r="AA988" t="s">
        <v>78</v>
      </c>
      <c r="AB988">
        <v>0</v>
      </c>
      <c r="AC988" t="s">
        <v>78</v>
      </c>
      <c r="AD988">
        <v>0</v>
      </c>
      <c r="AE988">
        <v>10645721</v>
      </c>
      <c r="AF988" t="s">
        <v>79</v>
      </c>
      <c r="AG988" t="s">
        <v>2390</v>
      </c>
    </row>
    <row r="989" spans="1:33" x14ac:dyDescent="0.35">
      <c r="A989" s="18">
        <v>44462.482638888891</v>
      </c>
      <c r="B989">
        <v>843815</v>
      </c>
      <c r="C989" t="s">
        <v>2403</v>
      </c>
      <c r="D989" t="s">
        <v>677</v>
      </c>
      <c r="E989" s="19">
        <v>40986</v>
      </c>
      <c r="F989" t="str">
        <f>"9781400842636"</f>
        <v>9781400842636</v>
      </c>
      <c r="G989" t="str">
        <f>"9780691153896"</f>
        <v>9780691153896</v>
      </c>
      <c r="H989" t="s">
        <v>2404</v>
      </c>
      <c r="I989">
        <v>3.75</v>
      </c>
      <c r="J989" t="s">
        <v>2405</v>
      </c>
      <c r="K989" t="s">
        <v>85</v>
      </c>
      <c r="N989" t="s">
        <v>86</v>
      </c>
      <c r="P989" t="s">
        <v>297</v>
      </c>
      <c r="Q989" t="s">
        <v>76</v>
      </c>
      <c r="R989" t="s">
        <v>73</v>
      </c>
      <c r="S989">
        <v>0</v>
      </c>
      <c r="W989" s="20">
        <v>3.0601851851851852E-2</v>
      </c>
      <c r="X989" t="s">
        <v>2406</v>
      </c>
      <c r="Y989">
        <v>38</v>
      </c>
      <c r="Z989">
        <v>0</v>
      </c>
      <c r="AA989" t="s">
        <v>78</v>
      </c>
      <c r="AB989">
        <v>0</v>
      </c>
      <c r="AC989" t="s">
        <v>78</v>
      </c>
      <c r="AD989">
        <v>0</v>
      </c>
      <c r="AE989">
        <v>10527171</v>
      </c>
      <c r="AF989" t="s">
        <v>79</v>
      </c>
      <c r="AG989" t="s">
        <v>1963</v>
      </c>
    </row>
    <row r="990" spans="1:33" x14ac:dyDescent="0.35">
      <c r="A990" s="18">
        <v>44461.951388888891</v>
      </c>
      <c r="B990">
        <v>1585267</v>
      </c>
      <c r="C990" t="s">
        <v>2407</v>
      </c>
      <c r="D990" t="s">
        <v>491</v>
      </c>
      <c r="E990" s="19">
        <v>41631</v>
      </c>
      <c r="F990" t="str">
        <f>"9780761861966"</f>
        <v>9780761861966</v>
      </c>
      <c r="G990" t="str">
        <f>"9780761861959"</f>
        <v>9780761861959</v>
      </c>
      <c r="H990" t="s">
        <v>128</v>
      </c>
      <c r="I990">
        <v>302.23</v>
      </c>
      <c r="J990" t="s">
        <v>2408</v>
      </c>
      <c r="K990" t="s">
        <v>73</v>
      </c>
      <c r="N990" t="s">
        <v>74</v>
      </c>
      <c r="O990" t="s">
        <v>75</v>
      </c>
      <c r="P990" t="s">
        <v>74</v>
      </c>
      <c r="Q990" t="s">
        <v>76</v>
      </c>
      <c r="R990" t="s">
        <v>73</v>
      </c>
      <c r="S990">
        <v>0</v>
      </c>
      <c r="W990" s="20">
        <v>1.0416666666666667E-4</v>
      </c>
      <c r="X990" t="s">
        <v>125</v>
      </c>
      <c r="Y990">
        <v>2</v>
      </c>
      <c r="Z990">
        <v>0</v>
      </c>
      <c r="AA990" t="s">
        <v>78</v>
      </c>
      <c r="AB990">
        <v>0</v>
      </c>
      <c r="AC990" t="s">
        <v>78</v>
      </c>
      <c r="AD990">
        <v>0</v>
      </c>
      <c r="AE990">
        <v>10823224</v>
      </c>
      <c r="AF990" t="s">
        <v>79</v>
      </c>
      <c r="AG990" t="s">
        <v>2390</v>
      </c>
    </row>
    <row r="991" spans="1:33" x14ac:dyDescent="0.35">
      <c r="A991" s="18">
        <v>44461.943749999999</v>
      </c>
      <c r="B991">
        <v>5558400</v>
      </c>
      <c r="C991" t="s">
        <v>1990</v>
      </c>
      <c r="D991" t="s">
        <v>70</v>
      </c>
      <c r="E991" s="19">
        <v>43396</v>
      </c>
      <c r="F991" t="str">
        <f t="shared" ref="F991:F998" si="2">"9781119516200"</f>
        <v>9781119516200</v>
      </c>
      <c r="G991" t="str">
        <f t="shared" ref="G991:G998" si="3">"9781119516187"</f>
        <v>9781119516187</v>
      </c>
      <c r="H991" t="s">
        <v>128</v>
      </c>
      <c r="I991">
        <v>307.76</v>
      </c>
      <c r="J991" t="s">
        <v>1991</v>
      </c>
      <c r="K991" t="s">
        <v>73</v>
      </c>
      <c r="N991" t="s">
        <v>74</v>
      </c>
      <c r="O991" t="s">
        <v>75</v>
      </c>
      <c r="P991" t="s">
        <v>74</v>
      </c>
      <c r="Q991" t="s">
        <v>76</v>
      </c>
      <c r="R991" t="s">
        <v>73</v>
      </c>
      <c r="S991">
        <v>0</v>
      </c>
      <c r="W991" s="20">
        <v>3.4722222222222224E-4</v>
      </c>
      <c r="X991" t="s">
        <v>2409</v>
      </c>
      <c r="Y991">
        <v>7</v>
      </c>
      <c r="Z991">
        <v>0</v>
      </c>
      <c r="AA991" t="s">
        <v>78</v>
      </c>
      <c r="AB991">
        <v>0</v>
      </c>
      <c r="AC991" t="s">
        <v>78</v>
      </c>
      <c r="AD991">
        <v>0</v>
      </c>
      <c r="AE991">
        <v>-1</v>
      </c>
      <c r="AF991" t="s">
        <v>79</v>
      </c>
      <c r="AG991" t="s">
        <v>2299</v>
      </c>
    </row>
    <row r="992" spans="1:33" x14ac:dyDescent="0.35">
      <c r="A992" s="18">
        <v>44461.902777777781</v>
      </c>
      <c r="B992">
        <v>5558400</v>
      </c>
      <c r="C992" t="s">
        <v>1990</v>
      </c>
      <c r="D992" t="s">
        <v>70</v>
      </c>
      <c r="E992" s="19">
        <v>43396</v>
      </c>
      <c r="F992" t="str">
        <f t="shared" si="2"/>
        <v>9781119516200</v>
      </c>
      <c r="G992" t="str">
        <f t="shared" si="3"/>
        <v>9781119516187</v>
      </c>
      <c r="H992" t="s">
        <v>128</v>
      </c>
      <c r="I992">
        <v>307.76</v>
      </c>
      <c r="J992" t="s">
        <v>1991</v>
      </c>
      <c r="K992" t="s">
        <v>73</v>
      </c>
      <c r="N992" t="s">
        <v>74</v>
      </c>
      <c r="O992" t="s">
        <v>75</v>
      </c>
      <c r="P992" t="s">
        <v>74</v>
      </c>
      <c r="Q992" t="s">
        <v>76</v>
      </c>
      <c r="R992" t="s">
        <v>73</v>
      </c>
      <c r="S992">
        <v>0</v>
      </c>
      <c r="W992" s="20">
        <v>8.8310185185185176E-3</v>
      </c>
      <c r="X992" t="s">
        <v>2410</v>
      </c>
      <c r="Y992">
        <v>8</v>
      </c>
      <c r="Z992">
        <v>0</v>
      </c>
      <c r="AA992" t="s">
        <v>78</v>
      </c>
      <c r="AB992">
        <v>0</v>
      </c>
      <c r="AC992" t="s">
        <v>78</v>
      </c>
      <c r="AD992">
        <v>0</v>
      </c>
      <c r="AE992">
        <v>-1</v>
      </c>
      <c r="AF992" t="s">
        <v>79</v>
      </c>
      <c r="AG992" t="s">
        <v>2411</v>
      </c>
    </row>
    <row r="993" spans="1:33" x14ac:dyDescent="0.35">
      <c r="A993" s="18">
        <v>44461.857638888891</v>
      </c>
      <c r="B993">
        <v>5558400</v>
      </c>
      <c r="C993" t="s">
        <v>1990</v>
      </c>
      <c r="D993" t="s">
        <v>70</v>
      </c>
      <c r="E993" s="19">
        <v>43396</v>
      </c>
      <c r="F993" t="str">
        <f t="shared" si="2"/>
        <v>9781119516200</v>
      </c>
      <c r="G993" t="str">
        <f t="shared" si="3"/>
        <v>9781119516187</v>
      </c>
      <c r="H993" t="s">
        <v>128</v>
      </c>
      <c r="I993">
        <v>307.76</v>
      </c>
      <c r="J993" t="s">
        <v>1991</v>
      </c>
      <c r="K993" t="s">
        <v>73</v>
      </c>
      <c r="N993" t="s">
        <v>74</v>
      </c>
      <c r="O993" t="s">
        <v>75</v>
      </c>
      <c r="P993" t="s">
        <v>74</v>
      </c>
      <c r="Q993" t="s">
        <v>76</v>
      </c>
      <c r="R993" t="s">
        <v>73</v>
      </c>
      <c r="S993">
        <v>0</v>
      </c>
      <c r="W993" s="20">
        <v>1.3194444444444443E-3</v>
      </c>
      <c r="X993" t="s">
        <v>2412</v>
      </c>
      <c r="Y993">
        <v>7</v>
      </c>
      <c r="Z993">
        <v>0</v>
      </c>
      <c r="AA993" t="s">
        <v>78</v>
      </c>
      <c r="AB993">
        <v>0</v>
      </c>
      <c r="AC993" t="s">
        <v>78</v>
      </c>
      <c r="AD993">
        <v>0</v>
      </c>
      <c r="AE993">
        <v>-1</v>
      </c>
      <c r="AF993" t="s">
        <v>79</v>
      </c>
      <c r="AG993" t="s">
        <v>2364</v>
      </c>
    </row>
    <row r="994" spans="1:33" x14ac:dyDescent="0.35">
      <c r="A994" s="18">
        <v>44461.841666666667</v>
      </c>
      <c r="B994">
        <v>5558400</v>
      </c>
      <c r="C994" t="s">
        <v>1990</v>
      </c>
      <c r="D994" t="s">
        <v>70</v>
      </c>
      <c r="E994" s="19">
        <v>43396</v>
      </c>
      <c r="F994" t="str">
        <f t="shared" si="2"/>
        <v>9781119516200</v>
      </c>
      <c r="G994" t="str">
        <f t="shared" si="3"/>
        <v>9781119516187</v>
      </c>
      <c r="H994" t="s">
        <v>128</v>
      </c>
      <c r="I994">
        <v>307.76</v>
      </c>
      <c r="J994" t="s">
        <v>1991</v>
      </c>
      <c r="K994" t="s">
        <v>73</v>
      </c>
      <c r="N994" t="s">
        <v>74</v>
      </c>
      <c r="O994" t="s">
        <v>75</v>
      </c>
      <c r="P994" t="s">
        <v>74</v>
      </c>
      <c r="Q994" t="s">
        <v>76</v>
      </c>
      <c r="R994" t="s">
        <v>73</v>
      </c>
      <c r="S994">
        <v>0</v>
      </c>
      <c r="W994" s="20">
        <v>2.5949074074074072E-2</v>
      </c>
      <c r="X994" t="s">
        <v>2413</v>
      </c>
      <c r="Y994">
        <v>16</v>
      </c>
      <c r="Z994">
        <v>0</v>
      </c>
      <c r="AA994" t="s">
        <v>78</v>
      </c>
      <c r="AB994">
        <v>0</v>
      </c>
      <c r="AC994" t="s">
        <v>78</v>
      </c>
      <c r="AD994">
        <v>0</v>
      </c>
      <c r="AE994">
        <v>-1</v>
      </c>
      <c r="AF994" t="s">
        <v>79</v>
      </c>
      <c r="AG994" t="s">
        <v>2364</v>
      </c>
    </row>
    <row r="995" spans="1:33" x14ac:dyDescent="0.35">
      <c r="A995" s="18">
        <v>44461.822916666664</v>
      </c>
      <c r="B995">
        <v>5558400</v>
      </c>
      <c r="C995" t="s">
        <v>1990</v>
      </c>
      <c r="D995" t="s">
        <v>70</v>
      </c>
      <c r="E995" s="19">
        <v>43396</v>
      </c>
      <c r="F995" t="str">
        <f t="shared" si="2"/>
        <v>9781119516200</v>
      </c>
      <c r="G995" t="str">
        <f t="shared" si="3"/>
        <v>9781119516187</v>
      </c>
      <c r="H995" t="s">
        <v>128</v>
      </c>
      <c r="I995">
        <v>307.76</v>
      </c>
      <c r="J995" t="s">
        <v>1991</v>
      </c>
      <c r="K995" t="s">
        <v>73</v>
      </c>
      <c r="N995" t="s">
        <v>74</v>
      </c>
      <c r="O995" t="s">
        <v>75</v>
      </c>
      <c r="P995" t="s">
        <v>74</v>
      </c>
      <c r="Q995" t="s">
        <v>76</v>
      </c>
      <c r="R995" t="s">
        <v>73</v>
      </c>
      <c r="S995">
        <v>0</v>
      </c>
      <c r="W995" s="20">
        <v>6.8287037037037025E-4</v>
      </c>
      <c r="X995" t="s">
        <v>2414</v>
      </c>
      <c r="Y995">
        <v>6</v>
      </c>
      <c r="Z995">
        <v>0</v>
      </c>
      <c r="AA995" t="s">
        <v>78</v>
      </c>
      <c r="AB995">
        <v>0</v>
      </c>
      <c r="AC995" t="s">
        <v>78</v>
      </c>
      <c r="AD995">
        <v>0</v>
      </c>
      <c r="AE995">
        <v>-1</v>
      </c>
      <c r="AF995" t="s">
        <v>79</v>
      </c>
      <c r="AG995" t="s">
        <v>293</v>
      </c>
    </row>
    <row r="996" spans="1:33" x14ac:dyDescent="0.35">
      <c r="A996" s="18">
        <v>44461.788194444445</v>
      </c>
      <c r="B996">
        <v>5558400</v>
      </c>
      <c r="C996" t="s">
        <v>1990</v>
      </c>
      <c r="D996" t="s">
        <v>70</v>
      </c>
      <c r="E996" s="19">
        <v>43396</v>
      </c>
      <c r="F996" t="str">
        <f t="shared" si="2"/>
        <v>9781119516200</v>
      </c>
      <c r="G996" t="str">
        <f t="shared" si="3"/>
        <v>9781119516187</v>
      </c>
      <c r="H996" t="s">
        <v>128</v>
      </c>
      <c r="I996">
        <v>307.76</v>
      </c>
      <c r="J996" t="s">
        <v>1991</v>
      </c>
      <c r="K996" t="s">
        <v>73</v>
      </c>
      <c r="N996" t="s">
        <v>74</v>
      </c>
      <c r="O996" t="s">
        <v>75</v>
      </c>
      <c r="P996" t="s">
        <v>74</v>
      </c>
      <c r="Q996" t="s">
        <v>76</v>
      </c>
      <c r="R996" t="s">
        <v>73</v>
      </c>
      <c r="S996">
        <v>0</v>
      </c>
      <c r="W996" s="20">
        <v>3.1921296296296302E-2</v>
      </c>
      <c r="X996" t="s">
        <v>2415</v>
      </c>
      <c r="Y996">
        <v>14</v>
      </c>
      <c r="Z996">
        <v>0</v>
      </c>
      <c r="AA996" t="s">
        <v>78</v>
      </c>
      <c r="AB996">
        <v>0</v>
      </c>
      <c r="AC996" t="s">
        <v>78</v>
      </c>
      <c r="AD996">
        <v>0</v>
      </c>
      <c r="AE996">
        <v>-1</v>
      </c>
      <c r="AF996" t="s">
        <v>79</v>
      </c>
      <c r="AG996" t="s">
        <v>2411</v>
      </c>
    </row>
    <row r="997" spans="1:33" x14ac:dyDescent="0.35">
      <c r="A997" s="18">
        <v>44461.723611111112</v>
      </c>
      <c r="B997">
        <v>5558400</v>
      </c>
      <c r="C997" t="s">
        <v>1990</v>
      </c>
      <c r="D997" t="s">
        <v>70</v>
      </c>
      <c r="E997" s="19">
        <v>43396</v>
      </c>
      <c r="F997" t="str">
        <f t="shared" si="2"/>
        <v>9781119516200</v>
      </c>
      <c r="G997" t="str">
        <f t="shared" si="3"/>
        <v>9781119516187</v>
      </c>
      <c r="H997" t="s">
        <v>128</v>
      </c>
      <c r="I997">
        <v>307.76</v>
      </c>
      <c r="J997" t="s">
        <v>1991</v>
      </c>
      <c r="K997" t="s">
        <v>73</v>
      </c>
      <c r="N997" t="s">
        <v>74</v>
      </c>
      <c r="O997" t="s">
        <v>75</v>
      </c>
      <c r="P997" t="s">
        <v>74</v>
      </c>
      <c r="Q997" t="s">
        <v>76</v>
      </c>
      <c r="R997" t="s">
        <v>73</v>
      </c>
      <c r="S997">
        <v>0</v>
      </c>
      <c r="W997" s="20">
        <v>7.4768518518518526E-3</v>
      </c>
      <c r="X997" t="s">
        <v>2416</v>
      </c>
      <c r="Y997">
        <v>7</v>
      </c>
      <c r="Z997">
        <v>2</v>
      </c>
      <c r="AA997" t="s">
        <v>2417</v>
      </c>
      <c r="AB997">
        <v>5</v>
      </c>
      <c r="AC997" t="s">
        <v>78</v>
      </c>
      <c r="AD997">
        <v>0</v>
      </c>
      <c r="AE997">
        <v>-1</v>
      </c>
      <c r="AF997" t="s">
        <v>79</v>
      </c>
      <c r="AG997" t="s">
        <v>293</v>
      </c>
    </row>
    <row r="998" spans="1:33" x14ac:dyDescent="0.35">
      <c r="A998" s="18">
        <v>44461.699305555558</v>
      </c>
      <c r="B998">
        <v>5558400</v>
      </c>
      <c r="C998" t="s">
        <v>1990</v>
      </c>
      <c r="D998" t="s">
        <v>70</v>
      </c>
      <c r="E998" s="19">
        <v>43396</v>
      </c>
      <c r="F998" t="str">
        <f t="shared" si="2"/>
        <v>9781119516200</v>
      </c>
      <c r="G998" t="str">
        <f t="shared" si="3"/>
        <v>9781119516187</v>
      </c>
      <c r="H998" t="s">
        <v>128</v>
      </c>
      <c r="I998">
        <v>307.76</v>
      </c>
      <c r="J998" t="s">
        <v>1991</v>
      </c>
      <c r="K998" t="s">
        <v>73</v>
      </c>
      <c r="N998" t="s">
        <v>74</v>
      </c>
      <c r="O998" t="s">
        <v>75</v>
      </c>
      <c r="P998" t="s">
        <v>74</v>
      </c>
      <c r="Q998" t="s">
        <v>76</v>
      </c>
      <c r="R998" t="s">
        <v>73</v>
      </c>
      <c r="S998">
        <v>0</v>
      </c>
      <c r="W998" s="20">
        <v>1.9444444444444442E-3</v>
      </c>
      <c r="X998" t="s">
        <v>2418</v>
      </c>
      <c r="Y998">
        <v>13</v>
      </c>
      <c r="Z998">
        <v>0</v>
      </c>
      <c r="AA998" t="s">
        <v>2419</v>
      </c>
      <c r="AB998">
        <v>4</v>
      </c>
      <c r="AC998" t="s">
        <v>78</v>
      </c>
      <c r="AD998">
        <v>0</v>
      </c>
      <c r="AE998">
        <v>-1</v>
      </c>
      <c r="AF998" t="s">
        <v>79</v>
      </c>
      <c r="AG998" t="s">
        <v>2420</v>
      </c>
    </row>
    <row r="999" spans="1:33" x14ac:dyDescent="0.35">
      <c r="A999" s="18">
        <v>44461.693749999999</v>
      </c>
      <c r="B999">
        <v>1214580</v>
      </c>
      <c r="C999" t="s">
        <v>1528</v>
      </c>
      <c r="D999" t="s">
        <v>209</v>
      </c>
      <c r="E999" s="19">
        <v>40238</v>
      </c>
      <c r="F999" t="str">
        <f>"9780739140611"</f>
        <v>9780739140611</v>
      </c>
      <c r="G999" t="str">
        <f>"9780739140598"</f>
        <v>9780739140598</v>
      </c>
      <c r="H999" t="s">
        <v>492</v>
      </c>
      <c r="I999">
        <v>305.56200000000001</v>
      </c>
      <c r="J999" t="s">
        <v>1529</v>
      </c>
      <c r="K999" t="s">
        <v>73</v>
      </c>
      <c r="N999" t="s">
        <v>74</v>
      </c>
      <c r="O999" t="s">
        <v>75</v>
      </c>
      <c r="P999" t="s">
        <v>74</v>
      </c>
      <c r="Q999" t="s">
        <v>76</v>
      </c>
      <c r="R999" t="s">
        <v>73</v>
      </c>
      <c r="S999">
        <v>0</v>
      </c>
      <c r="W999" s="20">
        <v>1.1111111111111111E-3</v>
      </c>
      <c r="X999" t="s">
        <v>2421</v>
      </c>
      <c r="Y999">
        <v>7</v>
      </c>
      <c r="Z999">
        <v>0</v>
      </c>
      <c r="AA999" t="s">
        <v>78</v>
      </c>
      <c r="AB999">
        <v>0</v>
      </c>
      <c r="AC999" t="s">
        <v>78</v>
      </c>
      <c r="AD999">
        <v>0</v>
      </c>
      <c r="AE999">
        <v>10716600</v>
      </c>
      <c r="AF999" t="s">
        <v>79</v>
      </c>
      <c r="AG999" t="s">
        <v>1963</v>
      </c>
    </row>
    <row r="1000" spans="1:33" x14ac:dyDescent="0.35">
      <c r="A1000" s="18">
        <v>44461.686111111114</v>
      </c>
      <c r="B1000">
        <v>667924</v>
      </c>
      <c r="C1000" t="s">
        <v>2422</v>
      </c>
      <c r="D1000" t="s">
        <v>127</v>
      </c>
      <c r="E1000" s="19">
        <v>40547</v>
      </c>
      <c r="F1000" t="str">
        <f>"9780203841617"</f>
        <v>9780203841617</v>
      </c>
      <c r="G1000" t="str">
        <f>"9780415997133"</f>
        <v>9780415997133</v>
      </c>
      <c r="H1000" t="s">
        <v>528</v>
      </c>
      <c r="I1000">
        <v>160</v>
      </c>
      <c r="J1000" t="s">
        <v>2423</v>
      </c>
      <c r="K1000" t="s">
        <v>73</v>
      </c>
      <c r="N1000" t="s">
        <v>74</v>
      </c>
      <c r="O1000" t="s">
        <v>75</v>
      </c>
      <c r="P1000" t="s">
        <v>74</v>
      </c>
      <c r="Q1000" t="s">
        <v>76</v>
      </c>
      <c r="R1000" t="s">
        <v>73</v>
      </c>
      <c r="S1000">
        <v>0</v>
      </c>
      <c r="W1000" s="20">
        <v>8.8425925925925911E-3</v>
      </c>
      <c r="X1000" t="s">
        <v>2424</v>
      </c>
      <c r="Y1000">
        <v>13</v>
      </c>
      <c r="Z1000">
        <v>0</v>
      </c>
      <c r="AA1000" t="s">
        <v>78</v>
      </c>
      <c r="AB1000">
        <v>0</v>
      </c>
      <c r="AC1000" t="s">
        <v>78</v>
      </c>
      <c r="AD1000">
        <v>0</v>
      </c>
      <c r="AE1000">
        <v>10446879</v>
      </c>
      <c r="AF1000" t="s">
        <v>79</v>
      </c>
      <c r="AG1000" t="s">
        <v>1963</v>
      </c>
    </row>
    <row r="1001" spans="1:33" x14ac:dyDescent="0.35">
      <c r="A1001" s="18">
        <v>44461.668055555558</v>
      </c>
      <c r="B1001">
        <v>1204633</v>
      </c>
      <c r="C1001" t="s">
        <v>1560</v>
      </c>
      <c r="D1001" t="s">
        <v>70</v>
      </c>
      <c r="E1001" s="19">
        <v>41512</v>
      </c>
      <c r="F1001" t="str">
        <f>"9781118450444"</f>
        <v>9781118450444</v>
      </c>
      <c r="G1001" t="str">
        <f>"9780470673768"</f>
        <v>9780470673768</v>
      </c>
      <c r="H1001" t="s">
        <v>1561</v>
      </c>
      <c r="I1001">
        <v>552.5</v>
      </c>
      <c r="J1001" t="s">
        <v>1562</v>
      </c>
      <c r="K1001" t="s">
        <v>73</v>
      </c>
      <c r="N1001" t="s">
        <v>74</v>
      </c>
      <c r="O1001" t="s">
        <v>75</v>
      </c>
      <c r="P1001" t="s">
        <v>74</v>
      </c>
      <c r="Q1001" t="s">
        <v>76</v>
      </c>
      <c r="R1001" t="s">
        <v>73</v>
      </c>
      <c r="S1001">
        <v>0</v>
      </c>
      <c r="W1001" s="20">
        <v>7.175925925925927E-4</v>
      </c>
      <c r="X1001" t="s">
        <v>2425</v>
      </c>
      <c r="Y1001">
        <v>4</v>
      </c>
      <c r="Z1001">
        <v>1</v>
      </c>
      <c r="AA1001" t="s">
        <v>2308</v>
      </c>
      <c r="AB1001">
        <v>55</v>
      </c>
      <c r="AC1001" t="s">
        <v>78</v>
      </c>
      <c r="AD1001">
        <v>0</v>
      </c>
      <c r="AE1001">
        <v>10713576</v>
      </c>
      <c r="AF1001" t="s">
        <v>79</v>
      </c>
      <c r="AG1001" t="s">
        <v>1963</v>
      </c>
    </row>
    <row r="1002" spans="1:33" x14ac:dyDescent="0.35">
      <c r="A1002" s="18">
        <v>44461.611805555556</v>
      </c>
      <c r="B1002">
        <v>5558400</v>
      </c>
      <c r="C1002" t="s">
        <v>1990</v>
      </c>
      <c r="D1002" t="s">
        <v>70</v>
      </c>
      <c r="E1002" s="19">
        <v>43396</v>
      </c>
      <c r="F1002" t="str">
        <f>"9781119516200"</f>
        <v>9781119516200</v>
      </c>
      <c r="G1002" t="str">
        <f>"9781119516187"</f>
        <v>9781119516187</v>
      </c>
      <c r="H1002" t="s">
        <v>128</v>
      </c>
      <c r="I1002">
        <v>307.76</v>
      </c>
      <c r="J1002" t="s">
        <v>1991</v>
      </c>
      <c r="K1002" t="s">
        <v>73</v>
      </c>
      <c r="N1002" t="s">
        <v>74</v>
      </c>
      <c r="O1002" t="s">
        <v>75</v>
      </c>
      <c r="P1002" t="s">
        <v>74</v>
      </c>
      <c r="Q1002" t="s">
        <v>76</v>
      </c>
      <c r="R1002" t="s">
        <v>73</v>
      </c>
      <c r="S1002">
        <v>0</v>
      </c>
      <c r="W1002" s="20">
        <v>1.7152777777777777E-2</v>
      </c>
      <c r="X1002" t="s">
        <v>2426</v>
      </c>
      <c r="Y1002">
        <v>5</v>
      </c>
      <c r="Z1002">
        <v>0</v>
      </c>
      <c r="AA1002" t="s">
        <v>78</v>
      </c>
      <c r="AB1002">
        <v>0</v>
      </c>
      <c r="AC1002" t="s">
        <v>78</v>
      </c>
      <c r="AD1002">
        <v>0</v>
      </c>
      <c r="AE1002">
        <v>-1</v>
      </c>
      <c r="AF1002" t="s">
        <v>79</v>
      </c>
      <c r="AG1002" t="s">
        <v>1009</v>
      </c>
    </row>
    <row r="1003" spans="1:33" x14ac:dyDescent="0.35">
      <c r="A1003" s="18">
        <v>44461.59375</v>
      </c>
      <c r="B1003">
        <v>5558400</v>
      </c>
      <c r="C1003" t="s">
        <v>1990</v>
      </c>
      <c r="D1003" t="s">
        <v>70</v>
      </c>
      <c r="E1003" s="19">
        <v>43396</v>
      </c>
      <c r="F1003" t="str">
        <f>"9781119516200"</f>
        <v>9781119516200</v>
      </c>
      <c r="G1003" t="str">
        <f>"9781119516187"</f>
        <v>9781119516187</v>
      </c>
      <c r="H1003" t="s">
        <v>128</v>
      </c>
      <c r="I1003">
        <v>307.76</v>
      </c>
      <c r="J1003" t="s">
        <v>1991</v>
      </c>
      <c r="K1003" t="s">
        <v>73</v>
      </c>
      <c r="N1003" t="s">
        <v>74</v>
      </c>
      <c r="O1003" t="s">
        <v>75</v>
      </c>
      <c r="P1003" t="s">
        <v>74</v>
      </c>
      <c r="Q1003" t="s">
        <v>76</v>
      </c>
      <c r="R1003" t="s">
        <v>73</v>
      </c>
      <c r="S1003">
        <v>0</v>
      </c>
      <c r="W1003" s="20">
        <v>2.3750000000000004E-2</v>
      </c>
      <c r="X1003" t="s">
        <v>2427</v>
      </c>
      <c r="Y1003">
        <v>17</v>
      </c>
      <c r="Z1003">
        <v>0</v>
      </c>
      <c r="AA1003" t="s">
        <v>78</v>
      </c>
      <c r="AB1003">
        <v>0</v>
      </c>
      <c r="AC1003" t="s">
        <v>78</v>
      </c>
      <c r="AD1003">
        <v>0</v>
      </c>
      <c r="AE1003">
        <v>-1</v>
      </c>
      <c r="AF1003" t="s">
        <v>79</v>
      </c>
      <c r="AG1003" t="s">
        <v>2411</v>
      </c>
    </row>
    <row r="1004" spans="1:33" x14ac:dyDescent="0.35">
      <c r="A1004" s="18">
        <v>44461.59375</v>
      </c>
      <c r="B1004">
        <v>5558400</v>
      </c>
      <c r="C1004" t="s">
        <v>1990</v>
      </c>
      <c r="D1004" t="s">
        <v>70</v>
      </c>
      <c r="E1004" s="19">
        <v>43396</v>
      </c>
      <c r="F1004" t="str">
        <f>"9781119516200"</f>
        <v>9781119516200</v>
      </c>
      <c r="G1004" t="str">
        <f>"9781119516187"</f>
        <v>9781119516187</v>
      </c>
      <c r="H1004" t="s">
        <v>128</v>
      </c>
      <c r="I1004">
        <v>307.76</v>
      </c>
      <c r="J1004" t="s">
        <v>1991</v>
      </c>
      <c r="K1004" t="s">
        <v>73</v>
      </c>
      <c r="N1004" t="s">
        <v>74</v>
      </c>
      <c r="O1004" t="s">
        <v>75</v>
      </c>
      <c r="P1004" t="s">
        <v>74</v>
      </c>
      <c r="Q1004" t="s">
        <v>76</v>
      </c>
      <c r="R1004" t="s">
        <v>73</v>
      </c>
      <c r="S1004">
        <v>0</v>
      </c>
      <c r="W1004" s="20">
        <v>1.4097222222222221E-2</v>
      </c>
      <c r="X1004" t="s">
        <v>2428</v>
      </c>
      <c r="Y1004">
        <v>14</v>
      </c>
      <c r="Z1004">
        <v>0</v>
      </c>
      <c r="AA1004" t="s">
        <v>78</v>
      </c>
      <c r="AB1004">
        <v>0</v>
      </c>
      <c r="AC1004" t="s">
        <v>78</v>
      </c>
      <c r="AD1004">
        <v>0</v>
      </c>
      <c r="AE1004">
        <v>-1</v>
      </c>
      <c r="AF1004" t="s">
        <v>79</v>
      </c>
      <c r="AG1004" t="s">
        <v>1992</v>
      </c>
    </row>
    <row r="1005" spans="1:33" x14ac:dyDescent="0.35">
      <c r="A1005" s="18">
        <v>44461.53125</v>
      </c>
      <c r="B1005">
        <v>5983754</v>
      </c>
      <c r="C1005" t="s">
        <v>2181</v>
      </c>
      <c r="D1005" t="s">
        <v>158</v>
      </c>
      <c r="E1005" s="19">
        <v>43787</v>
      </c>
      <c r="F1005" t="str">
        <f>"9780128150702"</f>
        <v>9780128150702</v>
      </c>
      <c r="G1005" t="str">
        <f>"9780128150696"</f>
        <v>9780128150696</v>
      </c>
      <c r="H1005" t="s">
        <v>1623</v>
      </c>
      <c r="I1005">
        <v>621.48299999999995</v>
      </c>
      <c r="J1005" t="s">
        <v>2182</v>
      </c>
      <c r="K1005" t="s">
        <v>85</v>
      </c>
      <c r="N1005" t="s">
        <v>86</v>
      </c>
      <c r="P1005" t="s">
        <v>1850</v>
      </c>
      <c r="Q1005" t="s">
        <v>76</v>
      </c>
      <c r="R1005" t="s">
        <v>73</v>
      </c>
      <c r="S1005">
        <v>0</v>
      </c>
      <c r="W1005" s="20">
        <v>6.7129629629629625E-4</v>
      </c>
      <c r="X1005" t="s">
        <v>1279</v>
      </c>
      <c r="Y1005">
        <v>10</v>
      </c>
      <c r="Z1005">
        <v>0</v>
      </c>
      <c r="AA1005" t="s">
        <v>78</v>
      </c>
      <c r="AB1005">
        <v>0</v>
      </c>
      <c r="AC1005" t="s">
        <v>78</v>
      </c>
      <c r="AD1005">
        <v>0</v>
      </c>
      <c r="AE1005">
        <v>-1</v>
      </c>
      <c r="AF1005" t="s">
        <v>88</v>
      </c>
      <c r="AG1005" t="s">
        <v>1963</v>
      </c>
    </row>
    <row r="1006" spans="1:33" x14ac:dyDescent="0.35">
      <c r="A1006" s="18">
        <v>44461.498611111114</v>
      </c>
      <c r="B1006">
        <v>6388658</v>
      </c>
      <c r="C1006" t="s">
        <v>2184</v>
      </c>
      <c r="D1006" t="s">
        <v>158</v>
      </c>
      <c r="E1006" s="19">
        <v>44148</v>
      </c>
      <c r="F1006" t="str">
        <f>"9780128181911"</f>
        <v>9780128181911</v>
      </c>
      <c r="G1006" t="str">
        <f>"9780128181904"</f>
        <v>9780128181904</v>
      </c>
      <c r="H1006" t="s">
        <v>2185</v>
      </c>
      <c r="I1006">
        <v>621.48299999999995</v>
      </c>
      <c r="J1006" t="s">
        <v>2186</v>
      </c>
      <c r="K1006" t="s">
        <v>85</v>
      </c>
      <c r="N1006" t="s">
        <v>86</v>
      </c>
      <c r="P1006" t="s">
        <v>87</v>
      </c>
      <c r="Q1006" t="s">
        <v>76</v>
      </c>
      <c r="R1006" t="s">
        <v>73</v>
      </c>
      <c r="S1006">
        <v>2</v>
      </c>
      <c r="T1006">
        <v>90</v>
      </c>
      <c r="U1006" s="18">
        <v>44461.498611111114</v>
      </c>
      <c r="V1006" s="18">
        <v>44551.498611111114</v>
      </c>
      <c r="W1006" s="20">
        <v>4.6875E-2</v>
      </c>
      <c r="X1006" t="s">
        <v>2429</v>
      </c>
      <c r="Y1006">
        <v>100</v>
      </c>
      <c r="Z1006">
        <v>0</v>
      </c>
      <c r="AA1006" t="s">
        <v>78</v>
      </c>
      <c r="AB1006">
        <v>0</v>
      </c>
      <c r="AC1006" t="s">
        <v>78</v>
      </c>
      <c r="AD1006">
        <v>0</v>
      </c>
      <c r="AE1006">
        <v>-1</v>
      </c>
      <c r="AF1006" t="s">
        <v>88</v>
      </c>
      <c r="AG1006" t="s">
        <v>1963</v>
      </c>
    </row>
    <row r="1007" spans="1:33" x14ac:dyDescent="0.35">
      <c r="A1007" s="18">
        <v>44461.487500000003</v>
      </c>
      <c r="B1007">
        <v>4862765</v>
      </c>
      <c r="C1007" t="s">
        <v>2430</v>
      </c>
      <c r="D1007" t="s">
        <v>998</v>
      </c>
      <c r="E1007" s="19">
        <v>43101</v>
      </c>
      <c r="F1007" t="str">
        <f>"9781421423562"</f>
        <v>9781421423562</v>
      </c>
      <c r="G1007" t="str">
        <f>"9781421423555"</f>
        <v>9781421423555</v>
      </c>
      <c r="H1007" t="s">
        <v>222</v>
      </c>
      <c r="I1007" t="s">
        <v>2431</v>
      </c>
      <c r="J1007" t="s">
        <v>2432</v>
      </c>
      <c r="K1007" t="s">
        <v>85</v>
      </c>
      <c r="N1007" t="s">
        <v>86</v>
      </c>
      <c r="P1007" t="s">
        <v>297</v>
      </c>
      <c r="Q1007" t="s">
        <v>76</v>
      </c>
      <c r="R1007" t="s">
        <v>73</v>
      </c>
      <c r="S1007">
        <v>0</v>
      </c>
      <c r="W1007" s="20">
        <v>3.8194444444444446E-4</v>
      </c>
      <c r="X1007" t="s">
        <v>2433</v>
      </c>
      <c r="Y1007">
        <v>4</v>
      </c>
      <c r="Z1007">
        <v>0</v>
      </c>
      <c r="AA1007" t="s">
        <v>78</v>
      </c>
      <c r="AB1007">
        <v>0</v>
      </c>
      <c r="AC1007" t="s">
        <v>78</v>
      </c>
      <c r="AD1007">
        <v>0</v>
      </c>
      <c r="AE1007">
        <v>11486393</v>
      </c>
      <c r="AF1007" t="s">
        <v>79</v>
      </c>
      <c r="AG1007" t="s">
        <v>1963</v>
      </c>
    </row>
    <row r="1008" spans="1:33" x14ac:dyDescent="0.35">
      <c r="A1008" s="18">
        <v>44461.396527777775</v>
      </c>
      <c r="B1008">
        <v>583642</v>
      </c>
      <c r="C1008" t="s">
        <v>2337</v>
      </c>
      <c r="D1008" t="s">
        <v>205</v>
      </c>
      <c r="E1008" s="19">
        <v>40210</v>
      </c>
      <c r="F1008" t="str">
        <f>"9781596930902"</f>
        <v>9781596930902</v>
      </c>
      <c r="G1008" t="str">
        <f>"9781596930896"</f>
        <v>9781596930896</v>
      </c>
      <c r="H1008" t="s">
        <v>2338</v>
      </c>
      <c r="I1008">
        <v>621.38482999999997</v>
      </c>
      <c r="J1008" t="s">
        <v>2339</v>
      </c>
      <c r="K1008" t="s">
        <v>73</v>
      </c>
      <c r="N1008" t="s">
        <v>74</v>
      </c>
      <c r="O1008" t="s">
        <v>75</v>
      </c>
      <c r="P1008" t="s">
        <v>74</v>
      </c>
      <c r="Q1008" t="s">
        <v>76</v>
      </c>
      <c r="R1008" t="s">
        <v>73</v>
      </c>
      <c r="S1008">
        <v>0</v>
      </c>
      <c r="W1008" s="20">
        <v>5.7870370370370366E-5</v>
      </c>
      <c r="X1008" t="s">
        <v>132</v>
      </c>
      <c r="Y1008">
        <v>1</v>
      </c>
      <c r="Z1008">
        <v>0</v>
      </c>
      <c r="AA1008" t="s">
        <v>78</v>
      </c>
      <c r="AB1008">
        <v>0</v>
      </c>
      <c r="AC1008" t="s">
        <v>78</v>
      </c>
      <c r="AD1008">
        <v>0</v>
      </c>
      <c r="AE1008">
        <v>10393271</v>
      </c>
      <c r="AF1008" t="s">
        <v>79</v>
      </c>
      <c r="AG1008" t="s">
        <v>1963</v>
      </c>
    </row>
    <row r="1009" spans="1:33" x14ac:dyDescent="0.35">
      <c r="A1009" s="18">
        <v>44461.032638888886</v>
      </c>
      <c r="B1009">
        <v>5558400</v>
      </c>
      <c r="C1009" t="s">
        <v>1990</v>
      </c>
      <c r="D1009" t="s">
        <v>70</v>
      </c>
      <c r="E1009" s="19">
        <v>43396</v>
      </c>
      <c r="F1009" t="str">
        <f>"9781119516200"</f>
        <v>9781119516200</v>
      </c>
      <c r="G1009" t="str">
        <f>"9781119516187"</f>
        <v>9781119516187</v>
      </c>
      <c r="H1009" t="s">
        <v>128</v>
      </c>
      <c r="I1009">
        <v>307.76</v>
      </c>
      <c r="J1009" t="s">
        <v>1991</v>
      </c>
      <c r="K1009" t="s">
        <v>73</v>
      </c>
      <c r="N1009" t="s">
        <v>74</v>
      </c>
      <c r="O1009" t="s">
        <v>75</v>
      </c>
      <c r="P1009" t="s">
        <v>74</v>
      </c>
      <c r="Q1009" t="s">
        <v>76</v>
      </c>
      <c r="R1009" t="s">
        <v>73</v>
      </c>
      <c r="S1009">
        <v>0</v>
      </c>
      <c r="W1009" s="20">
        <v>7.083333333333333E-3</v>
      </c>
      <c r="X1009" t="s">
        <v>2434</v>
      </c>
      <c r="Y1009">
        <v>18</v>
      </c>
      <c r="Z1009">
        <v>0</v>
      </c>
      <c r="AA1009" t="s">
        <v>78</v>
      </c>
      <c r="AB1009">
        <v>0</v>
      </c>
      <c r="AC1009" t="s">
        <v>78</v>
      </c>
      <c r="AD1009">
        <v>0</v>
      </c>
      <c r="AE1009">
        <v>-1</v>
      </c>
      <c r="AF1009" t="s">
        <v>79</v>
      </c>
      <c r="AG1009" t="s">
        <v>2411</v>
      </c>
    </row>
    <row r="1010" spans="1:33" x14ac:dyDescent="0.35">
      <c r="A1010" s="18">
        <v>44460.977083333331</v>
      </c>
      <c r="B1010">
        <v>4388935</v>
      </c>
      <c r="C1010" t="s">
        <v>1747</v>
      </c>
      <c r="D1010" t="s">
        <v>542</v>
      </c>
      <c r="E1010" s="19">
        <v>42830</v>
      </c>
      <c r="F1010" t="str">
        <f>"9781631573422"</f>
        <v>9781631573422</v>
      </c>
      <c r="G1010" t="str">
        <f>"9781631573415"</f>
        <v>9781631573415</v>
      </c>
      <c r="H1010" t="s">
        <v>143</v>
      </c>
      <c r="I1010">
        <v>658.56200000000001</v>
      </c>
      <c r="J1010" t="s">
        <v>1748</v>
      </c>
      <c r="K1010" t="s">
        <v>73</v>
      </c>
      <c r="N1010" t="s">
        <v>74</v>
      </c>
      <c r="O1010" t="s">
        <v>75</v>
      </c>
      <c r="P1010" t="s">
        <v>74</v>
      </c>
      <c r="Q1010" t="s">
        <v>76</v>
      </c>
      <c r="R1010" t="s">
        <v>73</v>
      </c>
      <c r="S1010">
        <v>0</v>
      </c>
      <c r="W1010" s="20">
        <v>5.9837962962962961E-3</v>
      </c>
      <c r="X1010" t="s">
        <v>2435</v>
      </c>
      <c r="Y1010">
        <v>40</v>
      </c>
      <c r="Z1010">
        <v>0</v>
      </c>
      <c r="AA1010" t="s">
        <v>78</v>
      </c>
      <c r="AB1010">
        <v>0</v>
      </c>
      <c r="AC1010" t="s">
        <v>78</v>
      </c>
      <c r="AD1010">
        <v>0</v>
      </c>
      <c r="AE1010">
        <v>11152350</v>
      </c>
      <c r="AF1010" t="s">
        <v>79</v>
      </c>
      <c r="AG1010" t="s">
        <v>1963</v>
      </c>
    </row>
    <row r="1011" spans="1:33" x14ac:dyDescent="0.35">
      <c r="A1011" s="18">
        <v>44460.95416666667</v>
      </c>
      <c r="B1011">
        <v>5558400</v>
      </c>
      <c r="C1011" t="s">
        <v>1990</v>
      </c>
      <c r="D1011" t="s">
        <v>70</v>
      </c>
      <c r="E1011" s="19">
        <v>43396</v>
      </c>
      <c r="F1011" t="str">
        <f>"9781119516200"</f>
        <v>9781119516200</v>
      </c>
      <c r="G1011" t="str">
        <f>"9781119516187"</f>
        <v>9781119516187</v>
      </c>
      <c r="H1011" t="s">
        <v>128</v>
      </c>
      <c r="I1011">
        <v>307.76</v>
      </c>
      <c r="J1011" t="s">
        <v>1991</v>
      </c>
      <c r="K1011" t="s">
        <v>73</v>
      </c>
      <c r="N1011" t="s">
        <v>74</v>
      </c>
      <c r="O1011" t="s">
        <v>75</v>
      </c>
      <c r="P1011" t="s">
        <v>74</v>
      </c>
      <c r="Q1011" t="s">
        <v>76</v>
      </c>
      <c r="R1011" t="s">
        <v>73</v>
      </c>
      <c r="S1011">
        <v>0</v>
      </c>
      <c r="W1011" s="20">
        <v>6.1111111111111114E-3</v>
      </c>
      <c r="X1011" t="s">
        <v>2409</v>
      </c>
      <c r="Y1011">
        <v>7</v>
      </c>
      <c r="Z1011">
        <v>0</v>
      </c>
      <c r="AA1011" t="s">
        <v>78</v>
      </c>
      <c r="AB1011">
        <v>0</v>
      </c>
      <c r="AC1011" t="s">
        <v>78</v>
      </c>
      <c r="AD1011">
        <v>0</v>
      </c>
      <c r="AE1011">
        <v>-1</v>
      </c>
      <c r="AF1011" t="s">
        <v>79</v>
      </c>
      <c r="AG1011" t="s">
        <v>2411</v>
      </c>
    </row>
    <row r="1012" spans="1:33" x14ac:dyDescent="0.35">
      <c r="A1012" s="18">
        <v>44460.936805555553</v>
      </c>
      <c r="B1012">
        <v>4388935</v>
      </c>
      <c r="C1012" t="s">
        <v>1747</v>
      </c>
      <c r="D1012" t="s">
        <v>542</v>
      </c>
      <c r="E1012" s="19">
        <v>42830</v>
      </c>
      <c r="F1012" t="str">
        <f>"9781631573422"</f>
        <v>9781631573422</v>
      </c>
      <c r="G1012" t="str">
        <f>"9781631573415"</f>
        <v>9781631573415</v>
      </c>
      <c r="H1012" t="s">
        <v>143</v>
      </c>
      <c r="I1012">
        <v>658.56200000000001</v>
      </c>
      <c r="J1012" t="s">
        <v>1748</v>
      </c>
      <c r="K1012" t="s">
        <v>73</v>
      </c>
      <c r="N1012" t="s">
        <v>74</v>
      </c>
      <c r="O1012" t="s">
        <v>75</v>
      </c>
      <c r="P1012" t="s">
        <v>74</v>
      </c>
      <c r="Q1012" t="s">
        <v>76</v>
      </c>
      <c r="R1012" t="s">
        <v>73</v>
      </c>
      <c r="S1012">
        <v>0</v>
      </c>
      <c r="W1012" s="20">
        <v>1.7233796296296296E-2</v>
      </c>
      <c r="X1012" t="s">
        <v>2436</v>
      </c>
      <c r="Y1012">
        <v>10</v>
      </c>
      <c r="Z1012">
        <v>0</v>
      </c>
      <c r="AA1012" t="s">
        <v>78</v>
      </c>
      <c r="AB1012">
        <v>0</v>
      </c>
      <c r="AC1012" t="s">
        <v>78</v>
      </c>
      <c r="AD1012">
        <v>0</v>
      </c>
      <c r="AE1012">
        <v>11152350</v>
      </c>
      <c r="AF1012" t="s">
        <v>79</v>
      </c>
      <c r="AG1012" t="s">
        <v>1963</v>
      </c>
    </row>
    <row r="1013" spans="1:33" x14ac:dyDescent="0.35">
      <c r="A1013" s="18">
        <v>44460.915277777778</v>
      </c>
      <c r="B1013">
        <v>5558400</v>
      </c>
      <c r="C1013" t="s">
        <v>1990</v>
      </c>
      <c r="D1013" t="s">
        <v>70</v>
      </c>
      <c r="E1013" s="19">
        <v>43396</v>
      </c>
      <c r="F1013" t="str">
        <f>"9781119516200"</f>
        <v>9781119516200</v>
      </c>
      <c r="G1013" t="str">
        <f>"9781119516187"</f>
        <v>9781119516187</v>
      </c>
      <c r="H1013" t="s">
        <v>128</v>
      </c>
      <c r="I1013">
        <v>307.76</v>
      </c>
      <c r="J1013" t="s">
        <v>1991</v>
      </c>
      <c r="K1013" t="s">
        <v>73</v>
      </c>
      <c r="N1013" t="s">
        <v>74</v>
      </c>
      <c r="O1013" t="s">
        <v>75</v>
      </c>
      <c r="P1013" t="s">
        <v>74</v>
      </c>
      <c r="Q1013" t="s">
        <v>76</v>
      </c>
      <c r="R1013" t="s">
        <v>73</v>
      </c>
      <c r="S1013">
        <v>0</v>
      </c>
      <c r="W1013" s="20">
        <v>1.2384259259259258E-3</v>
      </c>
      <c r="X1013" t="s">
        <v>2437</v>
      </c>
      <c r="Y1013">
        <v>15</v>
      </c>
      <c r="Z1013">
        <v>0</v>
      </c>
      <c r="AA1013" t="s">
        <v>78</v>
      </c>
      <c r="AB1013">
        <v>0</v>
      </c>
      <c r="AC1013" t="s">
        <v>78</v>
      </c>
      <c r="AD1013">
        <v>0</v>
      </c>
      <c r="AE1013">
        <v>-1</v>
      </c>
      <c r="AF1013" t="s">
        <v>79</v>
      </c>
      <c r="AG1013" t="s">
        <v>2420</v>
      </c>
    </row>
    <row r="1014" spans="1:33" x14ac:dyDescent="0.35">
      <c r="A1014" s="18">
        <v>44460.9</v>
      </c>
      <c r="B1014">
        <v>5558400</v>
      </c>
      <c r="C1014" t="s">
        <v>1990</v>
      </c>
      <c r="D1014" t="s">
        <v>70</v>
      </c>
      <c r="E1014" s="19">
        <v>43396</v>
      </c>
      <c r="F1014" t="str">
        <f>"9781119516200"</f>
        <v>9781119516200</v>
      </c>
      <c r="G1014" t="str">
        <f>"9781119516187"</f>
        <v>9781119516187</v>
      </c>
      <c r="H1014" t="s">
        <v>128</v>
      </c>
      <c r="I1014">
        <v>307.76</v>
      </c>
      <c r="J1014" t="s">
        <v>1991</v>
      </c>
      <c r="K1014" t="s">
        <v>73</v>
      </c>
      <c r="N1014" t="s">
        <v>74</v>
      </c>
      <c r="O1014" t="s">
        <v>75</v>
      </c>
      <c r="P1014" t="s">
        <v>74</v>
      </c>
      <c r="Q1014" t="s">
        <v>76</v>
      </c>
      <c r="R1014" t="s">
        <v>73</v>
      </c>
      <c r="S1014">
        <v>0</v>
      </c>
      <c r="W1014" s="20">
        <v>2.9155092592592594E-2</v>
      </c>
      <c r="X1014" t="s">
        <v>2438</v>
      </c>
      <c r="Y1014">
        <v>9</v>
      </c>
      <c r="Z1014">
        <v>0</v>
      </c>
      <c r="AA1014" t="s">
        <v>78</v>
      </c>
      <c r="AB1014">
        <v>0</v>
      </c>
      <c r="AC1014" t="s">
        <v>78</v>
      </c>
      <c r="AD1014">
        <v>0</v>
      </c>
      <c r="AE1014">
        <v>-1</v>
      </c>
      <c r="AF1014" t="s">
        <v>79</v>
      </c>
      <c r="AG1014" t="s">
        <v>1963</v>
      </c>
    </row>
    <row r="1015" spans="1:33" x14ac:dyDescent="0.35">
      <c r="A1015" s="18">
        <v>44460.868750000001</v>
      </c>
      <c r="B1015">
        <v>4334763</v>
      </c>
      <c r="C1015" t="s">
        <v>2439</v>
      </c>
      <c r="D1015" t="s">
        <v>70</v>
      </c>
      <c r="E1015" s="19">
        <v>42388</v>
      </c>
      <c r="F1015" t="str">
        <f>"9781118933923"</f>
        <v>9781118933923</v>
      </c>
      <c r="G1015" t="str">
        <f>"9781118933916"</f>
        <v>9781118933916</v>
      </c>
      <c r="H1015" t="s">
        <v>2440</v>
      </c>
      <c r="I1015" t="s">
        <v>2441</v>
      </c>
      <c r="J1015" t="s">
        <v>2442</v>
      </c>
      <c r="K1015" t="s">
        <v>73</v>
      </c>
      <c r="N1015" t="s">
        <v>74</v>
      </c>
      <c r="O1015" t="s">
        <v>75</v>
      </c>
      <c r="P1015" t="s">
        <v>74</v>
      </c>
      <c r="Q1015" t="s">
        <v>76</v>
      </c>
      <c r="R1015" t="s">
        <v>73</v>
      </c>
      <c r="S1015">
        <v>0</v>
      </c>
      <c r="W1015" s="20">
        <v>5.6481481481481478E-3</v>
      </c>
      <c r="X1015" t="s">
        <v>2443</v>
      </c>
      <c r="Y1015">
        <v>16</v>
      </c>
      <c r="Z1015">
        <v>2</v>
      </c>
      <c r="AA1015" t="s">
        <v>2444</v>
      </c>
      <c r="AB1015">
        <v>17</v>
      </c>
      <c r="AC1015" t="s">
        <v>78</v>
      </c>
      <c r="AD1015">
        <v>0</v>
      </c>
      <c r="AE1015">
        <v>11387617</v>
      </c>
      <c r="AF1015" t="s">
        <v>79</v>
      </c>
      <c r="AG1015" t="s">
        <v>1963</v>
      </c>
    </row>
    <row r="1016" spans="1:33" x14ac:dyDescent="0.35">
      <c r="A1016" s="18">
        <v>44460.865972222222</v>
      </c>
      <c r="B1016">
        <v>5558400</v>
      </c>
      <c r="C1016" t="s">
        <v>1990</v>
      </c>
      <c r="D1016" t="s">
        <v>70</v>
      </c>
      <c r="E1016" s="19">
        <v>43396</v>
      </c>
      <c r="F1016" t="str">
        <f>"9781119516200"</f>
        <v>9781119516200</v>
      </c>
      <c r="G1016" t="str">
        <f>"9781119516187"</f>
        <v>9781119516187</v>
      </c>
      <c r="H1016" t="s">
        <v>128</v>
      </c>
      <c r="I1016">
        <v>307.76</v>
      </c>
      <c r="J1016" t="s">
        <v>1991</v>
      </c>
      <c r="K1016" t="s">
        <v>73</v>
      </c>
      <c r="N1016" t="s">
        <v>74</v>
      </c>
      <c r="O1016" t="s">
        <v>75</v>
      </c>
      <c r="P1016" t="s">
        <v>74</v>
      </c>
      <c r="Q1016" t="s">
        <v>76</v>
      </c>
      <c r="R1016" t="s">
        <v>73</v>
      </c>
      <c r="S1016">
        <v>0</v>
      </c>
      <c r="W1016" s="20">
        <v>1.1574074074074073E-4</v>
      </c>
      <c r="X1016" t="s">
        <v>78</v>
      </c>
      <c r="Y1016">
        <v>0</v>
      </c>
      <c r="Z1016">
        <v>1</v>
      </c>
      <c r="AA1016" t="s">
        <v>2445</v>
      </c>
      <c r="AB1016">
        <v>3</v>
      </c>
      <c r="AC1016" t="s">
        <v>78</v>
      </c>
      <c r="AD1016">
        <v>0</v>
      </c>
      <c r="AE1016">
        <v>-1</v>
      </c>
      <c r="AF1016" t="s">
        <v>79</v>
      </c>
      <c r="AG1016" t="s">
        <v>2299</v>
      </c>
    </row>
    <row r="1017" spans="1:33" x14ac:dyDescent="0.35">
      <c r="A1017" s="18">
        <v>44460.843055555553</v>
      </c>
      <c r="B1017">
        <v>5558400</v>
      </c>
      <c r="C1017" t="s">
        <v>1990</v>
      </c>
      <c r="D1017" t="s">
        <v>70</v>
      </c>
      <c r="E1017" s="19">
        <v>43396</v>
      </c>
      <c r="F1017" t="str">
        <f>"9781119516200"</f>
        <v>9781119516200</v>
      </c>
      <c r="G1017" t="str">
        <f>"9781119516187"</f>
        <v>9781119516187</v>
      </c>
      <c r="H1017" t="s">
        <v>128</v>
      </c>
      <c r="I1017">
        <v>307.76</v>
      </c>
      <c r="J1017" t="s">
        <v>1991</v>
      </c>
      <c r="K1017" t="s">
        <v>73</v>
      </c>
      <c r="N1017" t="s">
        <v>74</v>
      </c>
      <c r="O1017" t="s">
        <v>75</v>
      </c>
      <c r="P1017" t="s">
        <v>74</v>
      </c>
      <c r="Q1017" t="s">
        <v>76</v>
      </c>
      <c r="R1017" t="s">
        <v>73</v>
      </c>
      <c r="S1017">
        <v>0</v>
      </c>
      <c r="W1017" s="20">
        <v>1.5729166666666666E-2</v>
      </c>
      <c r="X1017" t="s">
        <v>2153</v>
      </c>
      <c r="Y1017">
        <v>6</v>
      </c>
      <c r="Z1017">
        <v>0</v>
      </c>
      <c r="AA1017" t="s">
        <v>78</v>
      </c>
      <c r="AB1017">
        <v>0</v>
      </c>
      <c r="AC1017" t="s">
        <v>78</v>
      </c>
      <c r="AD1017">
        <v>0</v>
      </c>
      <c r="AE1017">
        <v>-1</v>
      </c>
      <c r="AF1017" t="s">
        <v>79</v>
      </c>
      <c r="AG1017" t="s">
        <v>1963</v>
      </c>
    </row>
    <row r="1018" spans="1:33" x14ac:dyDescent="0.35">
      <c r="A1018" s="18">
        <v>44460.826388888891</v>
      </c>
      <c r="B1018">
        <v>5558400</v>
      </c>
      <c r="C1018" t="s">
        <v>1990</v>
      </c>
      <c r="D1018" t="s">
        <v>70</v>
      </c>
      <c r="E1018" s="19">
        <v>43396</v>
      </c>
      <c r="F1018" t="str">
        <f>"9781119516200"</f>
        <v>9781119516200</v>
      </c>
      <c r="G1018" t="str">
        <f>"9781119516187"</f>
        <v>9781119516187</v>
      </c>
      <c r="H1018" t="s">
        <v>128</v>
      </c>
      <c r="I1018">
        <v>307.76</v>
      </c>
      <c r="J1018" t="s">
        <v>1991</v>
      </c>
      <c r="K1018" t="s">
        <v>73</v>
      </c>
      <c r="N1018" t="s">
        <v>74</v>
      </c>
      <c r="O1018" t="s">
        <v>75</v>
      </c>
      <c r="P1018" t="s">
        <v>74</v>
      </c>
      <c r="Q1018" t="s">
        <v>76</v>
      </c>
      <c r="R1018" t="s">
        <v>73</v>
      </c>
      <c r="S1018">
        <v>0</v>
      </c>
      <c r="W1018" s="20">
        <v>6.4699074074074069E-3</v>
      </c>
      <c r="X1018" t="s">
        <v>2446</v>
      </c>
      <c r="Y1018">
        <v>14</v>
      </c>
      <c r="Z1018">
        <v>0</v>
      </c>
      <c r="AA1018" t="s">
        <v>78</v>
      </c>
      <c r="AB1018">
        <v>0</v>
      </c>
      <c r="AC1018" t="s">
        <v>78</v>
      </c>
      <c r="AD1018">
        <v>0</v>
      </c>
      <c r="AE1018">
        <v>-1</v>
      </c>
      <c r="AF1018" t="s">
        <v>79</v>
      </c>
      <c r="AG1018" t="s">
        <v>2299</v>
      </c>
    </row>
    <row r="1019" spans="1:33" x14ac:dyDescent="0.35">
      <c r="A1019" s="18">
        <v>44460.821527777778</v>
      </c>
      <c r="B1019">
        <v>1938829</v>
      </c>
      <c r="C1019" t="s">
        <v>2447</v>
      </c>
      <c r="D1019" t="s">
        <v>635</v>
      </c>
      <c r="E1019" s="19">
        <v>40141</v>
      </c>
      <c r="F1019" t="str">
        <f>"9781504005555"</f>
        <v>9781504005555</v>
      </c>
      <c r="G1019" t="str">
        <f>""</f>
        <v/>
      </c>
      <c r="H1019" t="s">
        <v>636</v>
      </c>
      <c r="I1019">
        <v>808.89928199999997</v>
      </c>
      <c r="J1019" t="s">
        <v>2448</v>
      </c>
      <c r="K1019" t="s">
        <v>73</v>
      </c>
      <c r="N1019" t="s">
        <v>74</v>
      </c>
      <c r="O1019" t="s">
        <v>75</v>
      </c>
      <c r="P1019" t="s">
        <v>74</v>
      </c>
      <c r="Q1019" t="s">
        <v>76</v>
      </c>
      <c r="R1019" t="s">
        <v>73</v>
      </c>
      <c r="S1019">
        <v>0</v>
      </c>
      <c r="W1019" s="20">
        <v>3.2407407407407406E-4</v>
      </c>
      <c r="X1019" t="s">
        <v>2449</v>
      </c>
      <c r="Y1019">
        <v>5</v>
      </c>
      <c r="Z1019">
        <v>0</v>
      </c>
      <c r="AA1019" t="s">
        <v>78</v>
      </c>
      <c r="AB1019">
        <v>0</v>
      </c>
      <c r="AC1019" t="s">
        <v>78</v>
      </c>
      <c r="AD1019">
        <v>0</v>
      </c>
      <c r="AE1019">
        <v>-1</v>
      </c>
      <c r="AF1019" t="s">
        <v>79</v>
      </c>
      <c r="AG1019" t="s">
        <v>1963</v>
      </c>
    </row>
    <row r="1020" spans="1:33" x14ac:dyDescent="0.35">
      <c r="A1020" s="18">
        <v>44460.761111111111</v>
      </c>
      <c r="B1020">
        <v>5558400</v>
      </c>
      <c r="C1020" t="s">
        <v>1990</v>
      </c>
      <c r="D1020" t="s">
        <v>70</v>
      </c>
      <c r="E1020" s="19">
        <v>43396</v>
      </c>
      <c r="F1020" t="str">
        <f>"9781119516200"</f>
        <v>9781119516200</v>
      </c>
      <c r="G1020" t="str">
        <f>"9781119516187"</f>
        <v>9781119516187</v>
      </c>
      <c r="H1020" t="s">
        <v>128</v>
      </c>
      <c r="I1020">
        <v>307.76</v>
      </c>
      <c r="J1020" t="s">
        <v>1991</v>
      </c>
      <c r="K1020" t="s">
        <v>73</v>
      </c>
      <c r="N1020" t="s">
        <v>74</v>
      </c>
      <c r="O1020" t="s">
        <v>75</v>
      </c>
      <c r="P1020" t="s">
        <v>74</v>
      </c>
      <c r="Q1020" t="s">
        <v>76</v>
      </c>
      <c r="R1020" t="s">
        <v>73</v>
      </c>
      <c r="S1020">
        <v>0</v>
      </c>
      <c r="W1020" s="20">
        <v>5.6597222222222222E-3</v>
      </c>
      <c r="X1020" t="s">
        <v>2450</v>
      </c>
      <c r="Y1020">
        <v>7</v>
      </c>
      <c r="Z1020">
        <v>0</v>
      </c>
      <c r="AA1020" t="s">
        <v>78</v>
      </c>
      <c r="AB1020">
        <v>0</v>
      </c>
      <c r="AC1020" t="s">
        <v>78</v>
      </c>
      <c r="AD1020">
        <v>0</v>
      </c>
      <c r="AE1020">
        <v>-1</v>
      </c>
      <c r="AF1020" t="s">
        <v>79</v>
      </c>
      <c r="AG1020" t="s">
        <v>1963</v>
      </c>
    </row>
    <row r="1021" spans="1:33" x14ac:dyDescent="0.35">
      <c r="A1021" s="18">
        <v>44460.731944444444</v>
      </c>
      <c r="B1021">
        <v>5558400</v>
      </c>
      <c r="C1021" t="s">
        <v>1990</v>
      </c>
      <c r="D1021" t="s">
        <v>70</v>
      </c>
      <c r="E1021" s="19">
        <v>43396</v>
      </c>
      <c r="F1021" t="str">
        <f>"9781119516200"</f>
        <v>9781119516200</v>
      </c>
      <c r="G1021" t="str">
        <f>"9781119516187"</f>
        <v>9781119516187</v>
      </c>
      <c r="H1021" t="s">
        <v>128</v>
      </c>
      <c r="I1021">
        <v>307.76</v>
      </c>
      <c r="J1021" t="s">
        <v>1991</v>
      </c>
      <c r="K1021" t="s">
        <v>73</v>
      </c>
      <c r="N1021" t="s">
        <v>74</v>
      </c>
      <c r="O1021" t="s">
        <v>75</v>
      </c>
      <c r="P1021" t="s">
        <v>74</v>
      </c>
      <c r="Q1021" t="s">
        <v>76</v>
      </c>
      <c r="R1021" t="s">
        <v>73</v>
      </c>
      <c r="S1021">
        <v>0</v>
      </c>
      <c r="W1021" s="20">
        <v>1.2939814814814814E-2</v>
      </c>
      <c r="X1021" t="s">
        <v>2451</v>
      </c>
      <c r="Y1021">
        <v>8</v>
      </c>
      <c r="Z1021">
        <v>0</v>
      </c>
      <c r="AA1021" t="s">
        <v>78</v>
      </c>
      <c r="AB1021">
        <v>0</v>
      </c>
      <c r="AC1021" t="s">
        <v>78</v>
      </c>
      <c r="AD1021">
        <v>0</v>
      </c>
      <c r="AE1021">
        <v>-1</v>
      </c>
      <c r="AF1021" t="s">
        <v>79</v>
      </c>
      <c r="AG1021" t="s">
        <v>1963</v>
      </c>
    </row>
    <row r="1022" spans="1:33" x14ac:dyDescent="0.35">
      <c r="A1022" s="18">
        <v>44460.728472222225</v>
      </c>
      <c r="B1022">
        <v>1120905</v>
      </c>
      <c r="C1022" t="s">
        <v>2452</v>
      </c>
      <c r="D1022" t="s">
        <v>70</v>
      </c>
      <c r="E1022" s="19">
        <v>41365</v>
      </c>
      <c r="F1022" t="str">
        <f>"9781118492208"</f>
        <v>9781118492208</v>
      </c>
      <c r="G1022" t="str">
        <f>"9781119943389"</f>
        <v>9781119943389</v>
      </c>
      <c r="H1022" t="s">
        <v>143</v>
      </c>
      <c r="I1022">
        <v>658.5</v>
      </c>
      <c r="J1022" t="s">
        <v>2453</v>
      </c>
      <c r="K1022" t="s">
        <v>73</v>
      </c>
      <c r="N1022" t="s">
        <v>74</v>
      </c>
      <c r="O1022" t="s">
        <v>75</v>
      </c>
      <c r="P1022" t="s">
        <v>74</v>
      </c>
      <c r="Q1022" t="s">
        <v>76</v>
      </c>
      <c r="R1022" t="s">
        <v>73</v>
      </c>
      <c r="S1022">
        <v>0</v>
      </c>
      <c r="W1022" s="20">
        <v>1.273148148148148E-4</v>
      </c>
      <c r="X1022" t="s">
        <v>132</v>
      </c>
      <c r="Y1022">
        <v>1</v>
      </c>
      <c r="Z1022">
        <v>0</v>
      </c>
      <c r="AA1022" t="s">
        <v>78</v>
      </c>
      <c r="AB1022">
        <v>0</v>
      </c>
      <c r="AC1022" t="s">
        <v>78</v>
      </c>
      <c r="AD1022">
        <v>0</v>
      </c>
      <c r="AE1022">
        <v>10657798</v>
      </c>
      <c r="AF1022" t="s">
        <v>79</v>
      </c>
      <c r="AG1022" t="s">
        <v>2454</v>
      </c>
    </row>
    <row r="1023" spans="1:33" x14ac:dyDescent="0.35">
      <c r="A1023" s="18">
        <v>44460.708333333336</v>
      </c>
      <c r="B1023">
        <v>5558400</v>
      </c>
      <c r="C1023" t="s">
        <v>1990</v>
      </c>
      <c r="D1023" t="s">
        <v>70</v>
      </c>
      <c r="E1023" s="19">
        <v>43396</v>
      </c>
      <c r="F1023" t="str">
        <f>"9781119516200"</f>
        <v>9781119516200</v>
      </c>
      <c r="G1023" t="str">
        <f>"9781119516187"</f>
        <v>9781119516187</v>
      </c>
      <c r="H1023" t="s">
        <v>128</v>
      </c>
      <c r="I1023">
        <v>307.76</v>
      </c>
      <c r="J1023" t="s">
        <v>1991</v>
      </c>
      <c r="K1023" t="s">
        <v>73</v>
      </c>
      <c r="N1023" t="s">
        <v>74</v>
      </c>
      <c r="O1023" t="s">
        <v>75</v>
      </c>
      <c r="P1023" t="s">
        <v>74</v>
      </c>
      <c r="Q1023" t="s">
        <v>76</v>
      </c>
      <c r="R1023" t="s">
        <v>73</v>
      </c>
      <c r="S1023">
        <v>0</v>
      </c>
      <c r="W1023" s="20">
        <v>4.6990740740740743E-3</v>
      </c>
      <c r="X1023" t="s">
        <v>2409</v>
      </c>
      <c r="Y1023">
        <v>7</v>
      </c>
      <c r="Z1023">
        <v>0</v>
      </c>
      <c r="AA1023" t="s">
        <v>78</v>
      </c>
      <c r="AB1023">
        <v>0</v>
      </c>
      <c r="AC1023" t="s">
        <v>78</v>
      </c>
      <c r="AD1023">
        <v>0</v>
      </c>
      <c r="AE1023">
        <v>-1</v>
      </c>
      <c r="AF1023" t="s">
        <v>79</v>
      </c>
      <c r="AG1023" t="s">
        <v>1963</v>
      </c>
    </row>
    <row r="1024" spans="1:33" x14ac:dyDescent="0.35">
      <c r="A1024" s="18">
        <v>44460.708333333336</v>
      </c>
      <c r="B1024">
        <v>5945705</v>
      </c>
      <c r="C1024" t="s">
        <v>2455</v>
      </c>
      <c r="D1024" t="s">
        <v>158</v>
      </c>
      <c r="E1024" s="19">
        <v>43753</v>
      </c>
      <c r="F1024" t="str">
        <f>"9780081029268"</f>
        <v>9780081029268</v>
      </c>
      <c r="G1024" t="str">
        <f>"9780081029251"</f>
        <v>9780081029251</v>
      </c>
      <c r="H1024" t="s">
        <v>2456</v>
      </c>
      <c r="I1024">
        <v>25.344000000000001</v>
      </c>
      <c r="J1024" t="s">
        <v>2457</v>
      </c>
      <c r="K1024" t="s">
        <v>85</v>
      </c>
      <c r="N1024" t="s">
        <v>86</v>
      </c>
      <c r="P1024" t="s">
        <v>87</v>
      </c>
      <c r="Q1024" t="s">
        <v>76</v>
      </c>
      <c r="R1024" t="s">
        <v>73</v>
      </c>
      <c r="S1024">
        <v>0</v>
      </c>
      <c r="W1024" s="20">
        <v>5.5902777777777782E-3</v>
      </c>
      <c r="X1024" t="s">
        <v>2458</v>
      </c>
      <c r="Y1024">
        <v>5</v>
      </c>
      <c r="Z1024">
        <v>0</v>
      </c>
      <c r="AA1024" t="s">
        <v>78</v>
      </c>
      <c r="AB1024">
        <v>0</v>
      </c>
      <c r="AC1024" t="s">
        <v>78</v>
      </c>
      <c r="AD1024">
        <v>0</v>
      </c>
      <c r="AE1024">
        <v>-1</v>
      </c>
      <c r="AF1024" t="s">
        <v>79</v>
      </c>
      <c r="AG1024" t="s">
        <v>2180</v>
      </c>
    </row>
    <row r="1025" spans="1:33" x14ac:dyDescent="0.35">
      <c r="A1025" s="18">
        <v>44460.706944444442</v>
      </c>
      <c r="B1025">
        <v>5558400</v>
      </c>
      <c r="C1025" t="s">
        <v>1990</v>
      </c>
      <c r="D1025" t="s">
        <v>70</v>
      </c>
      <c r="E1025" s="19">
        <v>43396</v>
      </c>
      <c r="F1025" t="str">
        <f>"9781119516200"</f>
        <v>9781119516200</v>
      </c>
      <c r="G1025" t="str">
        <f>"9781119516187"</f>
        <v>9781119516187</v>
      </c>
      <c r="H1025" t="s">
        <v>128</v>
      </c>
      <c r="I1025">
        <v>307.76</v>
      </c>
      <c r="J1025" t="s">
        <v>1991</v>
      </c>
      <c r="K1025" t="s">
        <v>73</v>
      </c>
      <c r="N1025" t="s">
        <v>74</v>
      </c>
      <c r="O1025" t="s">
        <v>75</v>
      </c>
      <c r="P1025" t="s">
        <v>74</v>
      </c>
      <c r="Q1025" t="s">
        <v>76</v>
      </c>
      <c r="R1025" t="s">
        <v>73</v>
      </c>
      <c r="S1025">
        <v>0</v>
      </c>
      <c r="W1025" s="20">
        <v>2.2569444444444447E-3</v>
      </c>
      <c r="X1025" t="s">
        <v>2459</v>
      </c>
      <c r="Y1025">
        <v>5</v>
      </c>
      <c r="Z1025">
        <v>0</v>
      </c>
      <c r="AA1025" t="s">
        <v>78</v>
      </c>
      <c r="AB1025">
        <v>0</v>
      </c>
      <c r="AC1025" t="s">
        <v>78</v>
      </c>
      <c r="AD1025">
        <v>0</v>
      </c>
      <c r="AE1025">
        <v>-1</v>
      </c>
      <c r="AF1025" t="s">
        <v>79</v>
      </c>
      <c r="AG1025" t="s">
        <v>1963</v>
      </c>
    </row>
    <row r="1026" spans="1:33" x14ac:dyDescent="0.35">
      <c r="A1026" s="18">
        <v>44460.619444444441</v>
      </c>
      <c r="B1026">
        <v>1114018</v>
      </c>
      <c r="C1026" t="s">
        <v>2460</v>
      </c>
      <c r="D1026" t="s">
        <v>127</v>
      </c>
      <c r="E1026" s="19">
        <v>41353</v>
      </c>
      <c r="F1026" t="str">
        <f>"9781466502109"</f>
        <v>9781466502109</v>
      </c>
      <c r="G1026" t="str">
        <f>"9781439897805"</f>
        <v>9781439897805</v>
      </c>
      <c r="H1026" t="s">
        <v>2461</v>
      </c>
      <c r="I1026">
        <v>620.5</v>
      </c>
      <c r="J1026" t="s">
        <v>2462</v>
      </c>
      <c r="K1026" t="s">
        <v>85</v>
      </c>
      <c r="N1026" t="s">
        <v>86</v>
      </c>
      <c r="P1026" t="s">
        <v>87</v>
      </c>
      <c r="Q1026" t="s">
        <v>76</v>
      </c>
      <c r="R1026" t="s">
        <v>73</v>
      </c>
      <c r="S1026">
        <v>0</v>
      </c>
      <c r="W1026" s="20">
        <v>7.9166666666666673E-3</v>
      </c>
      <c r="X1026" t="s">
        <v>2463</v>
      </c>
      <c r="Y1026">
        <v>55</v>
      </c>
      <c r="Z1026">
        <v>0</v>
      </c>
      <c r="AA1026" t="s">
        <v>78</v>
      </c>
      <c r="AB1026">
        <v>0</v>
      </c>
      <c r="AC1026" t="s">
        <v>78</v>
      </c>
      <c r="AD1026">
        <v>0</v>
      </c>
      <c r="AE1026">
        <v>10648159</v>
      </c>
      <c r="AF1026" t="s">
        <v>88</v>
      </c>
      <c r="AG1026" t="s">
        <v>1963</v>
      </c>
    </row>
    <row r="1027" spans="1:33" x14ac:dyDescent="0.35">
      <c r="A1027" s="18">
        <v>44460.554166666669</v>
      </c>
      <c r="B1027">
        <v>5558400</v>
      </c>
      <c r="C1027" t="s">
        <v>1990</v>
      </c>
      <c r="D1027" t="s">
        <v>70</v>
      </c>
      <c r="E1027" s="19">
        <v>43396</v>
      </c>
      <c r="F1027" t="str">
        <f>"9781119516200"</f>
        <v>9781119516200</v>
      </c>
      <c r="G1027" t="str">
        <f>"9781119516187"</f>
        <v>9781119516187</v>
      </c>
      <c r="H1027" t="s">
        <v>128</v>
      </c>
      <c r="I1027">
        <v>307.76</v>
      </c>
      <c r="J1027" t="s">
        <v>1991</v>
      </c>
      <c r="K1027" t="s">
        <v>73</v>
      </c>
      <c r="N1027" t="s">
        <v>74</v>
      </c>
      <c r="O1027" t="s">
        <v>75</v>
      </c>
      <c r="P1027" t="s">
        <v>74</v>
      </c>
      <c r="Q1027" t="s">
        <v>76</v>
      </c>
      <c r="R1027" t="s">
        <v>73</v>
      </c>
      <c r="S1027">
        <v>0</v>
      </c>
      <c r="W1027" s="20">
        <v>1.1631944444444445E-2</v>
      </c>
      <c r="X1027" t="s">
        <v>2464</v>
      </c>
      <c r="Y1027">
        <v>6</v>
      </c>
      <c r="Z1027">
        <v>0</v>
      </c>
      <c r="AA1027" t="s">
        <v>78</v>
      </c>
      <c r="AB1027">
        <v>0</v>
      </c>
      <c r="AC1027" t="s">
        <v>78</v>
      </c>
      <c r="AD1027">
        <v>0</v>
      </c>
      <c r="AE1027">
        <v>-1</v>
      </c>
      <c r="AF1027" t="s">
        <v>79</v>
      </c>
      <c r="AG1027" t="s">
        <v>1963</v>
      </c>
    </row>
    <row r="1028" spans="1:33" x14ac:dyDescent="0.35">
      <c r="A1028" s="18">
        <v>44460.448611111111</v>
      </c>
      <c r="B1028">
        <v>351187</v>
      </c>
      <c r="C1028" t="s">
        <v>2465</v>
      </c>
      <c r="D1028" t="s">
        <v>70</v>
      </c>
      <c r="E1028" s="19">
        <v>39244</v>
      </c>
      <c r="F1028" t="str">
        <f>"9780470691168"</f>
        <v>9780470691168</v>
      </c>
      <c r="G1028" t="str">
        <f>"9781405118170"</f>
        <v>9781405118170</v>
      </c>
      <c r="H1028" t="s">
        <v>217</v>
      </c>
      <c r="I1028">
        <v>629.13335199999995</v>
      </c>
      <c r="J1028" t="s">
        <v>2466</v>
      </c>
      <c r="K1028" t="s">
        <v>73</v>
      </c>
      <c r="N1028" t="s">
        <v>74</v>
      </c>
      <c r="O1028" t="s">
        <v>75</v>
      </c>
      <c r="P1028" t="s">
        <v>74</v>
      </c>
      <c r="Q1028" t="s">
        <v>76</v>
      </c>
      <c r="R1028" t="s">
        <v>73</v>
      </c>
      <c r="S1028">
        <v>0</v>
      </c>
      <c r="W1028" s="20">
        <v>2.0023148148148148E-3</v>
      </c>
      <c r="X1028" t="s">
        <v>2467</v>
      </c>
      <c r="Y1028">
        <v>28</v>
      </c>
      <c r="Z1028">
        <v>0</v>
      </c>
      <c r="AA1028" t="s">
        <v>78</v>
      </c>
      <c r="AB1028">
        <v>0</v>
      </c>
      <c r="AC1028" t="s">
        <v>78</v>
      </c>
      <c r="AD1028">
        <v>0</v>
      </c>
      <c r="AE1028">
        <v>10233017</v>
      </c>
      <c r="AF1028" t="s">
        <v>79</v>
      </c>
      <c r="AG1028" t="s">
        <v>2468</v>
      </c>
    </row>
    <row r="1029" spans="1:33" x14ac:dyDescent="0.35">
      <c r="A1029" s="18">
        <v>44460.409722222219</v>
      </c>
      <c r="B1029">
        <v>442837</v>
      </c>
      <c r="C1029" t="s">
        <v>2469</v>
      </c>
      <c r="D1029" t="s">
        <v>538</v>
      </c>
      <c r="E1029" s="19">
        <v>39933</v>
      </c>
      <c r="F1029" t="str">
        <f>"9780511539039"</f>
        <v>9780511539039</v>
      </c>
      <c r="G1029" t="str">
        <f>"9780521861366"</f>
        <v>9780521861366</v>
      </c>
      <c r="H1029" t="s">
        <v>1561</v>
      </c>
      <c r="I1029">
        <v>552.05999999999995</v>
      </c>
      <c r="J1029" t="s">
        <v>2470</v>
      </c>
      <c r="K1029" t="s">
        <v>73</v>
      </c>
      <c r="N1029" t="s">
        <v>74</v>
      </c>
      <c r="O1029" t="s">
        <v>75</v>
      </c>
      <c r="P1029" t="s">
        <v>74</v>
      </c>
      <c r="Q1029" t="s">
        <v>76</v>
      </c>
      <c r="R1029" t="s">
        <v>73</v>
      </c>
      <c r="S1029">
        <v>0</v>
      </c>
      <c r="W1029" s="20">
        <v>8.1018518518518516E-5</v>
      </c>
      <c r="X1029" t="s">
        <v>249</v>
      </c>
      <c r="Y1029">
        <v>2</v>
      </c>
      <c r="Z1029">
        <v>0</v>
      </c>
      <c r="AA1029" t="s">
        <v>78</v>
      </c>
      <c r="AB1029">
        <v>0</v>
      </c>
      <c r="AC1029" t="s">
        <v>78</v>
      </c>
      <c r="AD1029">
        <v>0</v>
      </c>
      <c r="AE1029">
        <v>10313031</v>
      </c>
      <c r="AF1029" t="s">
        <v>79</v>
      </c>
      <c r="AG1029" t="s">
        <v>1963</v>
      </c>
    </row>
    <row r="1030" spans="1:33" x14ac:dyDescent="0.35">
      <c r="A1030" s="18">
        <v>44460.082638888889</v>
      </c>
      <c r="B1030">
        <v>228280</v>
      </c>
      <c r="C1030" t="s">
        <v>2471</v>
      </c>
      <c r="D1030" t="s">
        <v>538</v>
      </c>
      <c r="E1030" s="19">
        <v>38383</v>
      </c>
      <c r="F1030" t="str">
        <f>"9780511197192"</f>
        <v>9780511197192</v>
      </c>
      <c r="G1030" t="str">
        <f>"9780521592406"</f>
        <v>9780521592406</v>
      </c>
      <c r="H1030" t="s">
        <v>2472</v>
      </c>
      <c r="I1030">
        <v>327.56</v>
      </c>
      <c r="J1030" t="s">
        <v>2473</v>
      </c>
      <c r="K1030" t="s">
        <v>73</v>
      </c>
      <c r="N1030" t="s">
        <v>74</v>
      </c>
      <c r="O1030" t="s">
        <v>75</v>
      </c>
      <c r="P1030" t="s">
        <v>74</v>
      </c>
      <c r="Q1030" t="s">
        <v>76</v>
      </c>
      <c r="R1030" t="s">
        <v>73</v>
      </c>
      <c r="S1030">
        <v>1</v>
      </c>
      <c r="W1030" s="20">
        <v>0</v>
      </c>
      <c r="X1030" t="s">
        <v>78</v>
      </c>
      <c r="Y1030">
        <v>0</v>
      </c>
      <c r="Z1030">
        <v>4</v>
      </c>
      <c r="AA1030" t="s">
        <v>2474</v>
      </c>
      <c r="AB1030">
        <v>98</v>
      </c>
      <c r="AC1030" t="s">
        <v>78</v>
      </c>
      <c r="AD1030">
        <v>0</v>
      </c>
      <c r="AE1030">
        <v>10298212</v>
      </c>
      <c r="AF1030" t="s">
        <v>88</v>
      </c>
      <c r="AG1030" t="s">
        <v>1963</v>
      </c>
    </row>
    <row r="1031" spans="1:33" x14ac:dyDescent="0.35">
      <c r="A1031" s="18">
        <v>44460.079861111109</v>
      </c>
      <c r="B1031">
        <v>1390990</v>
      </c>
      <c r="C1031" t="s">
        <v>2475</v>
      </c>
      <c r="D1031" t="s">
        <v>780</v>
      </c>
      <c r="E1031" s="19">
        <v>41544</v>
      </c>
      <c r="F1031" t="str">
        <f>"9780520956858"</f>
        <v>9780520956858</v>
      </c>
      <c r="G1031" t="str">
        <f>"9780520277809"</f>
        <v>9780520277809</v>
      </c>
      <c r="H1031" t="s">
        <v>756</v>
      </c>
      <c r="I1031">
        <v>956.04</v>
      </c>
      <c r="J1031" t="s">
        <v>2476</v>
      </c>
      <c r="K1031" t="s">
        <v>73</v>
      </c>
      <c r="N1031" t="s">
        <v>74</v>
      </c>
      <c r="O1031" t="s">
        <v>75</v>
      </c>
      <c r="P1031" t="s">
        <v>230</v>
      </c>
      <c r="Q1031" t="s">
        <v>76</v>
      </c>
      <c r="R1031" t="s">
        <v>85</v>
      </c>
      <c r="S1031">
        <v>2</v>
      </c>
      <c r="W1031" s="20">
        <v>1.1574074074074073E-5</v>
      </c>
      <c r="X1031" t="s">
        <v>78</v>
      </c>
      <c r="Y1031">
        <v>0</v>
      </c>
      <c r="Z1031">
        <v>0</v>
      </c>
      <c r="AA1031" t="s">
        <v>78</v>
      </c>
      <c r="AB1031">
        <v>0</v>
      </c>
      <c r="AC1031" t="s">
        <v>78</v>
      </c>
      <c r="AD1031">
        <v>0</v>
      </c>
      <c r="AE1031">
        <v>10763646</v>
      </c>
      <c r="AF1031" t="s">
        <v>88</v>
      </c>
      <c r="AG1031" t="s">
        <v>1963</v>
      </c>
    </row>
    <row r="1032" spans="1:33" x14ac:dyDescent="0.35">
      <c r="A1032" s="18">
        <v>44460.05972222222</v>
      </c>
      <c r="B1032">
        <v>5558400</v>
      </c>
      <c r="C1032" t="s">
        <v>1990</v>
      </c>
      <c r="D1032" t="s">
        <v>70</v>
      </c>
      <c r="E1032" s="19">
        <v>43396</v>
      </c>
      <c r="F1032" t="str">
        <f>"9781119516200"</f>
        <v>9781119516200</v>
      </c>
      <c r="G1032" t="str">
        <f>"9781119516187"</f>
        <v>9781119516187</v>
      </c>
      <c r="H1032" t="s">
        <v>128</v>
      </c>
      <c r="I1032">
        <v>307.76</v>
      </c>
      <c r="J1032" t="s">
        <v>1991</v>
      </c>
      <c r="K1032" t="s">
        <v>73</v>
      </c>
      <c r="N1032" t="s">
        <v>74</v>
      </c>
      <c r="O1032" t="s">
        <v>75</v>
      </c>
      <c r="P1032" t="s">
        <v>74</v>
      </c>
      <c r="Q1032" t="s">
        <v>76</v>
      </c>
      <c r="R1032" t="s">
        <v>73</v>
      </c>
      <c r="S1032">
        <v>0</v>
      </c>
      <c r="W1032" s="20">
        <v>9.8379629629629642E-4</v>
      </c>
      <c r="X1032" t="s">
        <v>2477</v>
      </c>
      <c r="Y1032">
        <v>11</v>
      </c>
      <c r="Z1032">
        <v>0</v>
      </c>
      <c r="AA1032" t="s">
        <v>78</v>
      </c>
      <c r="AB1032">
        <v>0</v>
      </c>
      <c r="AC1032" t="s">
        <v>78</v>
      </c>
      <c r="AD1032">
        <v>0</v>
      </c>
      <c r="AE1032">
        <v>-1</v>
      </c>
      <c r="AF1032" t="s">
        <v>79</v>
      </c>
      <c r="AG1032" t="s">
        <v>2411</v>
      </c>
    </row>
    <row r="1033" spans="1:33" x14ac:dyDescent="0.35">
      <c r="A1033" s="18">
        <v>44460.036111111112</v>
      </c>
      <c r="B1033">
        <v>5558400</v>
      </c>
      <c r="C1033" t="s">
        <v>1990</v>
      </c>
      <c r="D1033" t="s">
        <v>70</v>
      </c>
      <c r="E1033" s="19">
        <v>43396</v>
      </c>
      <c r="F1033" t="str">
        <f>"9781119516200"</f>
        <v>9781119516200</v>
      </c>
      <c r="G1033" t="str">
        <f>"9781119516187"</f>
        <v>9781119516187</v>
      </c>
      <c r="H1033" t="s">
        <v>128</v>
      </c>
      <c r="I1033">
        <v>307.76</v>
      </c>
      <c r="J1033" t="s">
        <v>1991</v>
      </c>
      <c r="K1033" t="s">
        <v>73</v>
      </c>
      <c r="N1033" t="s">
        <v>74</v>
      </c>
      <c r="O1033" t="s">
        <v>75</v>
      </c>
      <c r="P1033" t="s">
        <v>74</v>
      </c>
      <c r="Q1033" t="s">
        <v>76</v>
      </c>
      <c r="R1033" t="s">
        <v>73</v>
      </c>
      <c r="S1033">
        <v>0</v>
      </c>
      <c r="W1033" s="20">
        <v>6.9444444444444444E-5</v>
      </c>
      <c r="X1033" t="s">
        <v>360</v>
      </c>
      <c r="Y1033">
        <v>2</v>
      </c>
      <c r="Z1033">
        <v>0</v>
      </c>
      <c r="AA1033" t="s">
        <v>78</v>
      </c>
      <c r="AB1033">
        <v>0</v>
      </c>
      <c r="AC1033" t="s">
        <v>78</v>
      </c>
      <c r="AD1033">
        <v>0</v>
      </c>
      <c r="AE1033">
        <v>-1</v>
      </c>
      <c r="AF1033" t="s">
        <v>79</v>
      </c>
      <c r="AG1033" t="s">
        <v>2411</v>
      </c>
    </row>
    <row r="1034" spans="1:33" x14ac:dyDescent="0.35">
      <c r="A1034" s="18">
        <v>44460.008333333331</v>
      </c>
      <c r="B1034">
        <v>5558400</v>
      </c>
      <c r="C1034" t="s">
        <v>1990</v>
      </c>
      <c r="D1034" t="s">
        <v>70</v>
      </c>
      <c r="E1034" s="19">
        <v>43396</v>
      </c>
      <c r="F1034" t="str">
        <f>"9781119516200"</f>
        <v>9781119516200</v>
      </c>
      <c r="G1034" t="str">
        <f>"9781119516187"</f>
        <v>9781119516187</v>
      </c>
      <c r="H1034" t="s">
        <v>128</v>
      </c>
      <c r="I1034">
        <v>307.76</v>
      </c>
      <c r="J1034" t="s">
        <v>1991</v>
      </c>
      <c r="K1034" t="s">
        <v>73</v>
      </c>
      <c r="N1034" t="s">
        <v>74</v>
      </c>
      <c r="O1034" t="s">
        <v>75</v>
      </c>
      <c r="P1034" t="s">
        <v>74</v>
      </c>
      <c r="Q1034" t="s">
        <v>76</v>
      </c>
      <c r="R1034" t="s">
        <v>73</v>
      </c>
      <c r="S1034">
        <v>0</v>
      </c>
      <c r="W1034" s="20">
        <v>3.5879629629629635E-4</v>
      </c>
      <c r="X1034" t="s">
        <v>2478</v>
      </c>
      <c r="Y1034">
        <v>7</v>
      </c>
      <c r="Z1034">
        <v>0</v>
      </c>
      <c r="AA1034" t="s">
        <v>78</v>
      </c>
      <c r="AB1034">
        <v>0</v>
      </c>
      <c r="AC1034" t="s">
        <v>78</v>
      </c>
      <c r="AD1034">
        <v>0</v>
      </c>
      <c r="AE1034">
        <v>-1</v>
      </c>
      <c r="AF1034" t="s">
        <v>79</v>
      </c>
      <c r="AG1034" t="s">
        <v>2411</v>
      </c>
    </row>
    <row r="1035" spans="1:33" x14ac:dyDescent="0.35">
      <c r="A1035" s="18">
        <v>44459.981944444444</v>
      </c>
      <c r="B1035">
        <v>351289</v>
      </c>
      <c r="C1035" t="s">
        <v>1031</v>
      </c>
      <c r="D1035" t="s">
        <v>70</v>
      </c>
      <c r="E1035" s="19">
        <v>37019</v>
      </c>
      <c r="F1035" t="str">
        <f>"9780470999462"</f>
        <v>9780470999462</v>
      </c>
      <c r="G1035" t="str">
        <f>"9780632055593"</f>
        <v>9780632055593</v>
      </c>
      <c r="H1035" t="s">
        <v>159</v>
      </c>
      <c r="I1035" t="s">
        <v>1032</v>
      </c>
      <c r="J1035" t="s">
        <v>1033</v>
      </c>
      <c r="K1035" t="s">
        <v>73</v>
      </c>
      <c r="N1035" t="s">
        <v>74</v>
      </c>
      <c r="O1035" t="s">
        <v>75</v>
      </c>
      <c r="P1035" t="s">
        <v>74</v>
      </c>
      <c r="Q1035" t="s">
        <v>76</v>
      </c>
      <c r="R1035" t="s">
        <v>73</v>
      </c>
      <c r="S1035">
        <v>0</v>
      </c>
      <c r="W1035" s="20">
        <v>1.0081018518518519E-2</v>
      </c>
      <c r="X1035" t="s">
        <v>2479</v>
      </c>
      <c r="Y1035">
        <v>15</v>
      </c>
      <c r="Z1035">
        <v>0</v>
      </c>
      <c r="AA1035" t="s">
        <v>78</v>
      </c>
      <c r="AB1035">
        <v>0</v>
      </c>
      <c r="AC1035" t="s">
        <v>78</v>
      </c>
      <c r="AD1035">
        <v>0</v>
      </c>
      <c r="AE1035">
        <v>10240507</v>
      </c>
      <c r="AF1035" t="s">
        <v>79</v>
      </c>
      <c r="AG1035" t="s">
        <v>1963</v>
      </c>
    </row>
    <row r="1036" spans="1:33" x14ac:dyDescent="0.35">
      <c r="A1036" s="18">
        <v>44459.948611111111</v>
      </c>
      <c r="B1036">
        <v>5558400</v>
      </c>
      <c r="C1036" t="s">
        <v>1990</v>
      </c>
      <c r="D1036" t="s">
        <v>70</v>
      </c>
      <c r="E1036" s="19">
        <v>43396</v>
      </c>
      <c r="F1036" t="str">
        <f>"9781119516200"</f>
        <v>9781119516200</v>
      </c>
      <c r="G1036" t="str">
        <f>"9781119516187"</f>
        <v>9781119516187</v>
      </c>
      <c r="H1036" t="s">
        <v>128</v>
      </c>
      <c r="I1036">
        <v>307.76</v>
      </c>
      <c r="J1036" t="s">
        <v>1991</v>
      </c>
      <c r="K1036" t="s">
        <v>73</v>
      </c>
      <c r="N1036" t="s">
        <v>74</v>
      </c>
      <c r="O1036" t="s">
        <v>75</v>
      </c>
      <c r="P1036" t="s">
        <v>74</v>
      </c>
      <c r="Q1036" t="s">
        <v>76</v>
      </c>
      <c r="R1036" t="s">
        <v>73</v>
      </c>
      <c r="S1036">
        <v>0</v>
      </c>
      <c r="W1036" s="20">
        <v>2.8935185185185189E-4</v>
      </c>
      <c r="X1036" t="s">
        <v>2409</v>
      </c>
      <c r="Y1036">
        <v>7</v>
      </c>
      <c r="Z1036">
        <v>0</v>
      </c>
      <c r="AA1036" t="s">
        <v>78</v>
      </c>
      <c r="AB1036">
        <v>0</v>
      </c>
      <c r="AC1036" t="s">
        <v>78</v>
      </c>
      <c r="AD1036">
        <v>0</v>
      </c>
      <c r="AE1036">
        <v>-1</v>
      </c>
      <c r="AF1036" t="s">
        <v>79</v>
      </c>
      <c r="AG1036" t="s">
        <v>293</v>
      </c>
    </row>
    <row r="1037" spans="1:33" x14ac:dyDescent="0.35">
      <c r="A1037" s="18">
        <v>44459.945833333331</v>
      </c>
      <c r="B1037">
        <v>5558400</v>
      </c>
      <c r="C1037" t="s">
        <v>1990</v>
      </c>
      <c r="D1037" t="s">
        <v>70</v>
      </c>
      <c r="E1037" s="19">
        <v>43396</v>
      </c>
      <c r="F1037" t="str">
        <f>"9781119516200"</f>
        <v>9781119516200</v>
      </c>
      <c r="G1037" t="str">
        <f>"9781119516187"</f>
        <v>9781119516187</v>
      </c>
      <c r="H1037" t="s">
        <v>128</v>
      </c>
      <c r="I1037">
        <v>307.76</v>
      </c>
      <c r="J1037" t="s">
        <v>1991</v>
      </c>
      <c r="K1037" t="s">
        <v>73</v>
      </c>
      <c r="N1037" t="s">
        <v>74</v>
      </c>
      <c r="O1037" t="s">
        <v>75</v>
      </c>
      <c r="P1037" t="s">
        <v>74</v>
      </c>
      <c r="Q1037" t="s">
        <v>76</v>
      </c>
      <c r="R1037" t="s">
        <v>73</v>
      </c>
      <c r="S1037">
        <v>0</v>
      </c>
      <c r="W1037" s="20">
        <v>2.1898148148148149E-2</v>
      </c>
      <c r="X1037" t="s">
        <v>2480</v>
      </c>
      <c r="Y1037">
        <v>16</v>
      </c>
      <c r="Z1037">
        <v>0</v>
      </c>
      <c r="AA1037" t="s">
        <v>78</v>
      </c>
      <c r="AB1037">
        <v>0</v>
      </c>
      <c r="AC1037" t="s">
        <v>78</v>
      </c>
      <c r="AD1037">
        <v>0</v>
      </c>
      <c r="AE1037">
        <v>-1</v>
      </c>
      <c r="AF1037" t="s">
        <v>79</v>
      </c>
      <c r="AG1037" t="s">
        <v>2411</v>
      </c>
    </row>
    <row r="1038" spans="1:33" x14ac:dyDescent="0.35">
      <c r="A1038" s="18">
        <v>44459.927777777775</v>
      </c>
      <c r="B1038">
        <v>1574357</v>
      </c>
      <c r="C1038" t="s">
        <v>1544</v>
      </c>
      <c r="D1038" t="s">
        <v>70</v>
      </c>
      <c r="E1038" s="19">
        <v>41680</v>
      </c>
      <c r="F1038" t="str">
        <f>"9781118703366"</f>
        <v>9781118703366</v>
      </c>
      <c r="G1038" t="str">
        <f>"9781118634165"</f>
        <v>9781118634165</v>
      </c>
      <c r="H1038" t="s">
        <v>71</v>
      </c>
      <c r="I1038">
        <v>621.31244000000004</v>
      </c>
      <c r="J1038" t="s">
        <v>1545</v>
      </c>
      <c r="K1038" t="s">
        <v>73</v>
      </c>
      <c r="N1038" t="s">
        <v>74</v>
      </c>
      <c r="O1038" t="s">
        <v>75</v>
      </c>
      <c r="P1038" t="s">
        <v>74</v>
      </c>
      <c r="Q1038" t="s">
        <v>76</v>
      </c>
      <c r="R1038" t="s">
        <v>73</v>
      </c>
      <c r="S1038">
        <v>0</v>
      </c>
      <c r="W1038" s="20">
        <v>8.8541666666666664E-3</v>
      </c>
      <c r="X1038" t="s">
        <v>2481</v>
      </c>
      <c r="Y1038">
        <v>5</v>
      </c>
      <c r="Z1038">
        <v>0</v>
      </c>
      <c r="AA1038" t="s">
        <v>78</v>
      </c>
      <c r="AB1038">
        <v>0</v>
      </c>
      <c r="AC1038" t="s">
        <v>78</v>
      </c>
      <c r="AD1038">
        <v>0</v>
      </c>
      <c r="AE1038">
        <v>10814681</v>
      </c>
      <c r="AF1038" t="s">
        <v>79</v>
      </c>
      <c r="AG1038" t="s">
        <v>1963</v>
      </c>
    </row>
    <row r="1039" spans="1:33" x14ac:dyDescent="0.35">
      <c r="A1039" s="18">
        <v>44459.907638888886</v>
      </c>
      <c r="B1039">
        <v>5558400</v>
      </c>
      <c r="C1039" t="s">
        <v>1990</v>
      </c>
      <c r="D1039" t="s">
        <v>70</v>
      </c>
      <c r="E1039" s="19">
        <v>43396</v>
      </c>
      <c r="F1039" t="str">
        <f>"9781119516200"</f>
        <v>9781119516200</v>
      </c>
      <c r="G1039" t="str">
        <f>"9781119516187"</f>
        <v>9781119516187</v>
      </c>
      <c r="H1039" t="s">
        <v>128</v>
      </c>
      <c r="I1039">
        <v>307.76</v>
      </c>
      <c r="J1039" t="s">
        <v>1991</v>
      </c>
      <c r="K1039" t="s">
        <v>73</v>
      </c>
      <c r="N1039" t="s">
        <v>74</v>
      </c>
      <c r="O1039" t="s">
        <v>75</v>
      </c>
      <c r="P1039" t="s">
        <v>74</v>
      </c>
      <c r="Q1039" t="s">
        <v>76</v>
      </c>
      <c r="R1039" t="s">
        <v>73</v>
      </c>
      <c r="S1039">
        <v>0</v>
      </c>
      <c r="W1039" s="20">
        <v>4.8611111111111104E-4</v>
      </c>
      <c r="X1039" t="s">
        <v>2482</v>
      </c>
      <c r="Y1039">
        <v>6</v>
      </c>
      <c r="Z1039">
        <v>0</v>
      </c>
      <c r="AA1039" t="s">
        <v>78</v>
      </c>
      <c r="AB1039">
        <v>0</v>
      </c>
      <c r="AC1039" t="s">
        <v>2483</v>
      </c>
      <c r="AD1039">
        <v>1</v>
      </c>
      <c r="AE1039">
        <v>-1</v>
      </c>
      <c r="AF1039" t="s">
        <v>79</v>
      </c>
      <c r="AG1039" t="s">
        <v>862</v>
      </c>
    </row>
    <row r="1040" spans="1:33" x14ac:dyDescent="0.35">
      <c r="A1040" s="18">
        <v>44459.895138888889</v>
      </c>
      <c r="B1040">
        <v>5558400</v>
      </c>
      <c r="C1040" t="s">
        <v>1990</v>
      </c>
      <c r="D1040" t="s">
        <v>70</v>
      </c>
      <c r="E1040" s="19">
        <v>43396</v>
      </c>
      <c r="F1040" t="str">
        <f>"9781119516200"</f>
        <v>9781119516200</v>
      </c>
      <c r="G1040" t="str">
        <f>"9781119516187"</f>
        <v>9781119516187</v>
      </c>
      <c r="H1040" t="s">
        <v>128</v>
      </c>
      <c r="I1040">
        <v>307.76</v>
      </c>
      <c r="J1040" t="s">
        <v>1991</v>
      </c>
      <c r="K1040" t="s">
        <v>73</v>
      </c>
      <c r="N1040" t="s">
        <v>74</v>
      </c>
      <c r="O1040" t="s">
        <v>75</v>
      </c>
      <c r="P1040" t="s">
        <v>74</v>
      </c>
      <c r="Q1040" t="s">
        <v>76</v>
      </c>
      <c r="R1040" t="s">
        <v>73</v>
      </c>
      <c r="S1040">
        <v>0</v>
      </c>
      <c r="W1040" s="20">
        <v>4.1319444444444442E-3</v>
      </c>
      <c r="X1040" t="s">
        <v>2484</v>
      </c>
      <c r="Y1040">
        <v>9</v>
      </c>
      <c r="Z1040">
        <v>1</v>
      </c>
      <c r="AA1040" t="s">
        <v>2445</v>
      </c>
      <c r="AB1040">
        <v>3</v>
      </c>
      <c r="AC1040" t="s">
        <v>2485</v>
      </c>
      <c r="AD1040">
        <v>2</v>
      </c>
      <c r="AE1040">
        <v>-1</v>
      </c>
      <c r="AF1040" t="s">
        <v>79</v>
      </c>
      <c r="AG1040" t="s">
        <v>2486</v>
      </c>
    </row>
    <row r="1041" spans="1:33" x14ac:dyDescent="0.35">
      <c r="A1041" s="18">
        <v>44459.879861111112</v>
      </c>
      <c r="B1041">
        <v>5558400</v>
      </c>
      <c r="C1041" t="s">
        <v>1990</v>
      </c>
      <c r="D1041" t="s">
        <v>70</v>
      </c>
      <c r="E1041" s="19">
        <v>43396</v>
      </c>
      <c r="F1041" t="str">
        <f>"9781119516200"</f>
        <v>9781119516200</v>
      </c>
      <c r="G1041" t="str">
        <f>"9781119516187"</f>
        <v>9781119516187</v>
      </c>
      <c r="H1041" t="s">
        <v>128</v>
      </c>
      <c r="I1041">
        <v>307.76</v>
      </c>
      <c r="J1041" t="s">
        <v>1991</v>
      </c>
      <c r="K1041" t="s">
        <v>73</v>
      </c>
      <c r="N1041" t="s">
        <v>74</v>
      </c>
      <c r="O1041" t="s">
        <v>75</v>
      </c>
      <c r="P1041" t="s">
        <v>74</v>
      </c>
      <c r="Q1041" t="s">
        <v>76</v>
      </c>
      <c r="R1041" t="s">
        <v>73</v>
      </c>
      <c r="S1041">
        <v>2</v>
      </c>
      <c r="W1041" s="20">
        <v>0</v>
      </c>
      <c r="X1041" t="s">
        <v>78</v>
      </c>
      <c r="Y1041">
        <v>0</v>
      </c>
      <c r="Z1041">
        <v>0</v>
      </c>
      <c r="AA1041" t="s">
        <v>78</v>
      </c>
      <c r="AB1041">
        <v>0</v>
      </c>
      <c r="AC1041" t="s">
        <v>78</v>
      </c>
      <c r="AD1041">
        <v>0</v>
      </c>
      <c r="AE1041">
        <v>-1</v>
      </c>
      <c r="AF1041" t="s">
        <v>88</v>
      </c>
      <c r="AG1041" t="s">
        <v>2487</v>
      </c>
    </row>
    <row r="1042" spans="1:33" x14ac:dyDescent="0.35">
      <c r="A1042" s="18">
        <v>44459.843055555553</v>
      </c>
      <c r="B1042">
        <v>5558400</v>
      </c>
      <c r="C1042" t="s">
        <v>1990</v>
      </c>
      <c r="D1042" t="s">
        <v>70</v>
      </c>
      <c r="E1042" s="19">
        <v>43396</v>
      </c>
      <c r="F1042" t="str">
        <f>"9781119516200"</f>
        <v>9781119516200</v>
      </c>
      <c r="G1042" t="str">
        <f>"9781119516187"</f>
        <v>9781119516187</v>
      </c>
      <c r="H1042" t="s">
        <v>128</v>
      </c>
      <c r="I1042">
        <v>307.76</v>
      </c>
      <c r="J1042" t="s">
        <v>1991</v>
      </c>
      <c r="K1042" t="s">
        <v>73</v>
      </c>
      <c r="N1042" t="s">
        <v>74</v>
      </c>
      <c r="O1042" t="s">
        <v>75</v>
      </c>
      <c r="P1042" t="s">
        <v>74</v>
      </c>
      <c r="Q1042" t="s">
        <v>76</v>
      </c>
      <c r="R1042" t="s">
        <v>73</v>
      </c>
      <c r="S1042">
        <v>0</v>
      </c>
      <c r="W1042" s="20">
        <v>1.7175925925925924E-2</v>
      </c>
      <c r="X1042" t="s">
        <v>2409</v>
      </c>
      <c r="Y1042">
        <v>7</v>
      </c>
      <c r="Z1042">
        <v>1</v>
      </c>
      <c r="AA1042" t="s">
        <v>2445</v>
      </c>
      <c r="AB1042">
        <v>3</v>
      </c>
      <c r="AC1042" t="s">
        <v>2488</v>
      </c>
      <c r="AD1042">
        <v>5</v>
      </c>
      <c r="AE1042">
        <v>-1</v>
      </c>
      <c r="AF1042" t="s">
        <v>79</v>
      </c>
      <c r="AG1042" t="s">
        <v>862</v>
      </c>
    </row>
    <row r="1043" spans="1:33" x14ac:dyDescent="0.35">
      <c r="A1043" s="18">
        <v>44459.836805555555</v>
      </c>
      <c r="B1043">
        <v>5558400</v>
      </c>
      <c r="C1043" t="s">
        <v>1990</v>
      </c>
      <c r="D1043" t="s">
        <v>70</v>
      </c>
      <c r="E1043" s="19">
        <v>43396</v>
      </c>
      <c r="F1043" t="str">
        <f>"9781119516200"</f>
        <v>9781119516200</v>
      </c>
      <c r="G1043" t="str">
        <f>"9781119516187"</f>
        <v>9781119516187</v>
      </c>
      <c r="H1043" t="s">
        <v>128</v>
      </c>
      <c r="I1043">
        <v>307.76</v>
      </c>
      <c r="J1043" t="s">
        <v>1991</v>
      </c>
      <c r="K1043" t="s">
        <v>73</v>
      </c>
      <c r="N1043" t="s">
        <v>74</v>
      </c>
      <c r="O1043" t="s">
        <v>75</v>
      </c>
      <c r="P1043" t="s">
        <v>74</v>
      </c>
      <c r="Q1043" t="s">
        <v>76</v>
      </c>
      <c r="R1043" t="s">
        <v>73</v>
      </c>
      <c r="S1043">
        <v>0</v>
      </c>
      <c r="W1043" s="20">
        <v>4.340277777777778E-3</v>
      </c>
      <c r="X1043" t="s">
        <v>2489</v>
      </c>
      <c r="Y1043">
        <v>13</v>
      </c>
      <c r="Z1043">
        <v>0</v>
      </c>
      <c r="AA1043" t="s">
        <v>78</v>
      </c>
      <c r="AB1043">
        <v>0</v>
      </c>
      <c r="AC1043" t="s">
        <v>78</v>
      </c>
      <c r="AD1043">
        <v>0</v>
      </c>
      <c r="AE1043">
        <v>-1</v>
      </c>
      <c r="AF1043" t="s">
        <v>79</v>
      </c>
      <c r="AG1043" t="s">
        <v>1009</v>
      </c>
    </row>
    <row r="1044" spans="1:33" x14ac:dyDescent="0.35">
      <c r="A1044" s="18">
        <v>44459.813194444447</v>
      </c>
      <c r="B1044">
        <v>3339772</v>
      </c>
      <c r="C1044" t="s">
        <v>2490</v>
      </c>
      <c r="D1044" t="s">
        <v>300</v>
      </c>
      <c r="E1044" s="19">
        <v>41719</v>
      </c>
      <c r="F1044" t="str">
        <f>"9780262322300"</f>
        <v>9780262322300</v>
      </c>
      <c r="G1044" t="str">
        <f>"9780262525879"</f>
        <v>9780262525879</v>
      </c>
      <c r="H1044" t="s">
        <v>2491</v>
      </c>
      <c r="I1044">
        <v>577.22</v>
      </c>
      <c r="J1044" t="s">
        <v>2492</v>
      </c>
      <c r="K1044" t="s">
        <v>73</v>
      </c>
      <c r="N1044" t="s">
        <v>74</v>
      </c>
      <c r="O1044" t="s">
        <v>75</v>
      </c>
      <c r="P1044" t="s">
        <v>74</v>
      </c>
      <c r="Q1044" t="s">
        <v>76</v>
      </c>
      <c r="R1044" t="s">
        <v>73</v>
      </c>
      <c r="S1044">
        <v>0</v>
      </c>
      <c r="W1044" s="20">
        <v>5.7870370370370366E-5</v>
      </c>
      <c r="X1044" t="s">
        <v>132</v>
      </c>
      <c r="Y1044">
        <v>1</v>
      </c>
      <c r="Z1044">
        <v>0</v>
      </c>
      <c r="AA1044" t="s">
        <v>78</v>
      </c>
      <c r="AB1044">
        <v>0</v>
      </c>
      <c r="AC1044" t="s">
        <v>78</v>
      </c>
      <c r="AD1044">
        <v>0</v>
      </c>
      <c r="AE1044">
        <v>10853346</v>
      </c>
      <c r="AF1044" t="s">
        <v>79</v>
      </c>
      <c r="AG1044" t="s">
        <v>1963</v>
      </c>
    </row>
    <row r="1045" spans="1:33" x14ac:dyDescent="0.35">
      <c r="A1045" s="18">
        <v>44459.811111111114</v>
      </c>
      <c r="B1045">
        <v>5558400</v>
      </c>
      <c r="C1045" t="s">
        <v>1990</v>
      </c>
      <c r="D1045" t="s">
        <v>70</v>
      </c>
      <c r="E1045" s="19">
        <v>43396</v>
      </c>
      <c r="F1045" t="str">
        <f>"9781119516200"</f>
        <v>9781119516200</v>
      </c>
      <c r="G1045" t="str">
        <f>"9781119516187"</f>
        <v>9781119516187</v>
      </c>
      <c r="H1045" t="s">
        <v>128</v>
      </c>
      <c r="I1045">
        <v>307.76</v>
      </c>
      <c r="J1045" t="s">
        <v>1991</v>
      </c>
      <c r="K1045" t="s">
        <v>73</v>
      </c>
      <c r="N1045" t="s">
        <v>74</v>
      </c>
      <c r="O1045" t="s">
        <v>75</v>
      </c>
      <c r="P1045" t="s">
        <v>74</v>
      </c>
      <c r="Q1045" t="s">
        <v>76</v>
      </c>
      <c r="R1045" t="s">
        <v>73</v>
      </c>
      <c r="S1045">
        <v>0</v>
      </c>
      <c r="W1045" s="20">
        <v>5.4282407407407404E-3</v>
      </c>
      <c r="X1045" t="s">
        <v>2409</v>
      </c>
      <c r="Y1045">
        <v>7</v>
      </c>
      <c r="Z1045">
        <v>0</v>
      </c>
      <c r="AA1045" t="s">
        <v>78</v>
      </c>
      <c r="AB1045">
        <v>0</v>
      </c>
      <c r="AC1045" t="s">
        <v>2493</v>
      </c>
      <c r="AD1045">
        <v>6</v>
      </c>
      <c r="AE1045">
        <v>-1</v>
      </c>
      <c r="AF1045" t="s">
        <v>79</v>
      </c>
      <c r="AG1045" t="s">
        <v>862</v>
      </c>
    </row>
    <row r="1046" spans="1:33" x14ac:dyDescent="0.35">
      <c r="A1046" s="18">
        <v>44459.799305555556</v>
      </c>
      <c r="B1046">
        <v>5558400</v>
      </c>
      <c r="C1046" t="s">
        <v>1990</v>
      </c>
      <c r="D1046" t="s">
        <v>70</v>
      </c>
      <c r="E1046" s="19">
        <v>43396</v>
      </c>
      <c r="F1046" t="str">
        <f>"9781119516200"</f>
        <v>9781119516200</v>
      </c>
      <c r="G1046" t="str">
        <f>"9781119516187"</f>
        <v>9781119516187</v>
      </c>
      <c r="H1046" t="s">
        <v>128</v>
      </c>
      <c r="I1046">
        <v>307.76</v>
      </c>
      <c r="J1046" t="s">
        <v>1991</v>
      </c>
      <c r="K1046" t="s">
        <v>73</v>
      </c>
      <c r="N1046" t="s">
        <v>74</v>
      </c>
      <c r="O1046" t="s">
        <v>75</v>
      </c>
      <c r="P1046" t="s">
        <v>74</v>
      </c>
      <c r="Q1046" t="s">
        <v>76</v>
      </c>
      <c r="R1046" t="s">
        <v>73</v>
      </c>
      <c r="S1046">
        <v>0</v>
      </c>
      <c r="W1046" s="20">
        <v>5.4398148148148149E-3</v>
      </c>
      <c r="X1046" t="s">
        <v>2494</v>
      </c>
      <c r="Y1046">
        <v>9</v>
      </c>
      <c r="Z1046">
        <v>0</v>
      </c>
      <c r="AA1046" t="s">
        <v>78</v>
      </c>
      <c r="AB1046">
        <v>0</v>
      </c>
      <c r="AC1046" t="s">
        <v>78</v>
      </c>
      <c r="AD1046">
        <v>0</v>
      </c>
      <c r="AE1046">
        <v>-1</v>
      </c>
      <c r="AF1046" t="s">
        <v>79</v>
      </c>
      <c r="AG1046" t="s">
        <v>1963</v>
      </c>
    </row>
    <row r="1047" spans="1:33" x14ac:dyDescent="0.35">
      <c r="A1047" s="18">
        <v>44459.788194444445</v>
      </c>
      <c r="B1047">
        <v>835145</v>
      </c>
      <c r="C1047" t="s">
        <v>1542</v>
      </c>
      <c r="D1047" t="s">
        <v>70</v>
      </c>
      <c r="E1047" s="19">
        <v>40952</v>
      </c>
      <c r="F1047" t="str">
        <f>"9781119977001"</f>
        <v>9781119977001</v>
      </c>
      <c r="G1047" t="str">
        <f>"9781119992851"</f>
        <v>9781119992851</v>
      </c>
      <c r="H1047" t="s">
        <v>71</v>
      </c>
      <c r="I1047">
        <v>621.31244000000004</v>
      </c>
      <c r="J1047" t="s">
        <v>1543</v>
      </c>
      <c r="K1047" t="s">
        <v>73</v>
      </c>
      <c r="N1047" t="s">
        <v>74</v>
      </c>
      <c r="O1047" t="s">
        <v>75</v>
      </c>
      <c r="P1047" t="s">
        <v>74</v>
      </c>
      <c r="Q1047" t="s">
        <v>76</v>
      </c>
      <c r="R1047" t="s">
        <v>73</v>
      </c>
      <c r="S1047">
        <v>0</v>
      </c>
      <c r="W1047" s="20">
        <v>3.5648148148148154E-3</v>
      </c>
      <c r="X1047" t="s">
        <v>2495</v>
      </c>
      <c r="Y1047">
        <v>9</v>
      </c>
      <c r="Z1047">
        <v>0</v>
      </c>
      <c r="AA1047" t="s">
        <v>78</v>
      </c>
      <c r="AB1047">
        <v>0</v>
      </c>
      <c r="AC1047" t="s">
        <v>78</v>
      </c>
      <c r="AD1047">
        <v>0</v>
      </c>
      <c r="AE1047">
        <v>10526535</v>
      </c>
      <c r="AF1047" t="s">
        <v>79</v>
      </c>
      <c r="AG1047" t="s">
        <v>1963</v>
      </c>
    </row>
    <row r="1048" spans="1:33" x14ac:dyDescent="0.35">
      <c r="A1048" s="18">
        <v>44459.785416666666</v>
      </c>
      <c r="B1048">
        <v>5558400</v>
      </c>
      <c r="C1048" t="s">
        <v>1990</v>
      </c>
      <c r="D1048" t="s">
        <v>70</v>
      </c>
      <c r="E1048" s="19">
        <v>43396</v>
      </c>
      <c r="F1048" t="str">
        <f>"9781119516200"</f>
        <v>9781119516200</v>
      </c>
      <c r="G1048" t="str">
        <f>"9781119516187"</f>
        <v>9781119516187</v>
      </c>
      <c r="H1048" t="s">
        <v>128</v>
      </c>
      <c r="I1048">
        <v>307.76</v>
      </c>
      <c r="J1048" t="s">
        <v>1991</v>
      </c>
      <c r="K1048" t="s">
        <v>73</v>
      </c>
      <c r="N1048" t="s">
        <v>74</v>
      </c>
      <c r="O1048" t="s">
        <v>75</v>
      </c>
      <c r="P1048" t="s">
        <v>74</v>
      </c>
      <c r="Q1048" t="s">
        <v>76</v>
      </c>
      <c r="R1048" t="s">
        <v>73</v>
      </c>
      <c r="S1048">
        <v>0</v>
      </c>
      <c r="W1048" s="20">
        <v>1.6099537037037037E-2</v>
      </c>
      <c r="X1048" t="s">
        <v>2496</v>
      </c>
      <c r="Y1048">
        <v>8</v>
      </c>
      <c r="Z1048">
        <v>0</v>
      </c>
      <c r="AA1048" t="s">
        <v>78</v>
      </c>
      <c r="AB1048">
        <v>0</v>
      </c>
      <c r="AC1048" t="s">
        <v>78</v>
      </c>
      <c r="AD1048">
        <v>0</v>
      </c>
      <c r="AE1048">
        <v>-1</v>
      </c>
      <c r="AF1048" t="s">
        <v>79</v>
      </c>
      <c r="AG1048" t="s">
        <v>1963</v>
      </c>
    </row>
    <row r="1049" spans="1:33" x14ac:dyDescent="0.35">
      <c r="A1049" s="18">
        <v>44459.748611111114</v>
      </c>
      <c r="B1049">
        <v>5558400</v>
      </c>
      <c r="C1049" t="s">
        <v>1990</v>
      </c>
      <c r="D1049" t="s">
        <v>70</v>
      </c>
      <c r="E1049" s="19">
        <v>43396</v>
      </c>
      <c r="F1049" t="str">
        <f>"9781119516200"</f>
        <v>9781119516200</v>
      </c>
      <c r="G1049" t="str">
        <f>"9781119516187"</f>
        <v>9781119516187</v>
      </c>
      <c r="H1049" t="s">
        <v>128</v>
      </c>
      <c r="I1049">
        <v>307.76</v>
      </c>
      <c r="J1049" t="s">
        <v>1991</v>
      </c>
      <c r="K1049" t="s">
        <v>73</v>
      </c>
      <c r="N1049" t="s">
        <v>74</v>
      </c>
      <c r="O1049" t="s">
        <v>75</v>
      </c>
      <c r="P1049" t="s">
        <v>74</v>
      </c>
      <c r="Q1049" t="s">
        <v>76</v>
      </c>
      <c r="R1049" t="s">
        <v>73</v>
      </c>
      <c r="S1049">
        <v>0</v>
      </c>
      <c r="W1049" s="20">
        <v>6.9097222222222225E-3</v>
      </c>
      <c r="X1049" t="s">
        <v>2497</v>
      </c>
      <c r="Y1049">
        <v>8</v>
      </c>
      <c r="Z1049">
        <v>0</v>
      </c>
      <c r="AA1049" t="s">
        <v>78</v>
      </c>
      <c r="AB1049">
        <v>0</v>
      </c>
      <c r="AC1049" t="s">
        <v>78</v>
      </c>
      <c r="AD1049">
        <v>0</v>
      </c>
      <c r="AE1049">
        <v>-1</v>
      </c>
      <c r="AF1049" t="s">
        <v>79</v>
      </c>
      <c r="AG1049" t="s">
        <v>2180</v>
      </c>
    </row>
    <row r="1050" spans="1:33" x14ac:dyDescent="0.35">
      <c r="A1050" s="18">
        <v>44459.745138888888</v>
      </c>
      <c r="B1050">
        <v>5558400</v>
      </c>
      <c r="C1050" t="s">
        <v>1990</v>
      </c>
      <c r="D1050" t="s">
        <v>70</v>
      </c>
      <c r="E1050" s="19">
        <v>43396</v>
      </c>
      <c r="F1050" t="str">
        <f>"9781119516200"</f>
        <v>9781119516200</v>
      </c>
      <c r="G1050" t="str">
        <f>"9781119516187"</f>
        <v>9781119516187</v>
      </c>
      <c r="H1050" t="s">
        <v>128</v>
      </c>
      <c r="I1050">
        <v>307.76</v>
      </c>
      <c r="J1050" t="s">
        <v>1991</v>
      </c>
      <c r="K1050" t="s">
        <v>73</v>
      </c>
      <c r="N1050" t="s">
        <v>74</v>
      </c>
      <c r="O1050" t="s">
        <v>75</v>
      </c>
      <c r="P1050" t="s">
        <v>74</v>
      </c>
      <c r="Q1050" t="s">
        <v>76</v>
      </c>
      <c r="R1050" t="s">
        <v>73</v>
      </c>
      <c r="S1050">
        <v>0</v>
      </c>
      <c r="W1050" s="20">
        <v>3.9606481481481479E-2</v>
      </c>
      <c r="X1050" t="s">
        <v>2498</v>
      </c>
      <c r="Y1050">
        <v>19</v>
      </c>
      <c r="Z1050">
        <v>0</v>
      </c>
      <c r="AA1050" t="s">
        <v>78</v>
      </c>
      <c r="AB1050">
        <v>0</v>
      </c>
      <c r="AC1050" t="s">
        <v>2499</v>
      </c>
      <c r="AD1050">
        <v>2</v>
      </c>
      <c r="AE1050">
        <v>-1</v>
      </c>
      <c r="AF1050" t="s">
        <v>79</v>
      </c>
      <c r="AG1050" t="s">
        <v>1009</v>
      </c>
    </row>
    <row r="1051" spans="1:33" x14ac:dyDescent="0.35">
      <c r="A1051" s="18">
        <v>44459.632638888892</v>
      </c>
      <c r="B1051">
        <v>1111317</v>
      </c>
      <c r="C1051" t="s">
        <v>479</v>
      </c>
      <c r="D1051" t="s">
        <v>127</v>
      </c>
      <c r="E1051" s="19">
        <v>37587</v>
      </c>
      <c r="F1051" t="str">
        <f>"9781136129223"</f>
        <v>9781136129223</v>
      </c>
      <c r="G1051" t="str">
        <f>"9780700716074"</f>
        <v>9780700716074</v>
      </c>
      <c r="H1051" t="s">
        <v>308</v>
      </c>
      <c r="I1051" t="s">
        <v>480</v>
      </c>
      <c r="J1051" t="s">
        <v>481</v>
      </c>
      <c r="K1051" t="s">
        <v>73</v>
      </c>
      <c r="N1051" t="s">
        <v>74</v>
      </c>
      <c r="O1051" t="s">
        <v>75</v>
      </c>
      <c r="P1051" t="s">
        <v>74</v>
      </c>
      <c r="Q1051" t="s">
        <v>76</v>
      </c>
      <c r="R1051" t="s">
        <v>73</v>
      </c>
      <c r="S1051">
        <v>0</v>
      </c>
      <c r="W1051" s="20">
        <v>1.2187500000000002E-2</v>
      </c>
      <c r="X1051" t="s">
        <v>2500</v>
      </c>
      <c r="Y1051">
        <v>22</v>
      </c>
      <c r="Z1051">
        <v>0</v>
      </c>
      <c r="AA1051" t="s">
        <v>78</v>
      </c>
      <c r="AB1051">
        <v>0</v>
      </c>
      <c r="AC1051" t="s">
        <v>78</v>
      </c>
      <c r="AD1051">
        <v>0</v>
      </c>
      <c r="AE1051">
        <v>10645721</v>
      </c>
      <c r="AF1051" t="s">
        <v>79</v>
      </c>
      <c r="AG1051" t="s">
        <v>1963</v>
      </c>
    </row>
    <row r="1052" spans="1:33" x14ac:dyDescent="0.35">
      <c r="A1052" s="18">
        <v>44459.622916666667</v>
      </c>
      <c r="B1052">
        <v>5558400</v>
      </c>
      <c r="C1052" t="s">
        <v>1990</v>
      </c>
      <c r="D1052" t="s">
        <v>70</v>
      </c>
      <c r="E1052" s="19">
        <v>43396</v>
      </c>
      <c r="F1052" t="str">
        <f>"9781119516200"</f>
        <v>9781119516200</v>
      </c>
      <c r="G1052" t="str">
        <f>"9781119516187"</f>
        <v>9781119516187</v>
      </c>
      <c r="H1052" t="s">
        <v>128</v>
      </c>
      <c r="I1052">
        <v>307.76</v>
      </c>
      <c r="J1052" t="s">
        <v>1991</v>
      </c>
      <c r="K1052" t="s">
        <v>73</v>
      </c>
      <c r="N1052" t="s">
        <v>74</v>
      </c>
      <c r="O1052" t="s">
        <v>75</v>
      </c>
      <c r="P1052" t="s">
        <v>74</v>
      </c>
      <c r="Q1052" t="s">
        <v>76</v>
      </c>
      <c r="R1052" t="s">
        <v>73</v>
      </c>
      <c r="S1052">
        <v>0</v>
      </c>
      <c r="W1052" s="20">
        <v>1.7245370370370372E-3</v>
      </c>
      <c r="X1052" t="s">
        <v>2501</v>
      </c>
      <c r="Y1052">
        <v>6</v>
      </c>
      <c r="Z1052">
        <v>0</v>
      </c>
      <c r="AA1052" t="s">
        <v>78</v>
      </c>
      <c r="AB1052">
        <v>0</v>
      </c>
      <c r="AC1052" t="s">
        <v>78</v>
      </c>
      <c r="AD1052">
        <v>0</v>
      </c>
      <c r="AE1052">
        <v>-1</v>
      </c>
      <c r="AF1052" t="s">
        <v>79</v>
      </c>
      <c r="AG1052" t="s">
        <v>1963</v>
      </c>
    </row>
    <row r="1053" spans="1:33" x14ac:dyDescent="0.35">
      <c r="A1053" s="18">
        <v>44459.617361111108</v>
      </c>
      <c r="B1053">
        <v>1747086</v>
      </c>
      <c r="C1053" t="s">
        <v>2208</v>
      </c>
      <c r="D1053" t="s">
        <v>158</v>
      </c>
      <c r="E1053" s="19">
        <v>41850</v>
      </c>
      <c r="F1053" t="str">
        <f>"9780123865489"</f>
        <v>9780123865489</v>
      </c>
      <c r="G1053" t="str">
        <f>"9780123865472"</f>
        <v>9780123865472</v>
      </c>
      <c r="H1053" t="s">
        <v>159</v>
      </c>
      <c r="I1053">
        <v>660.28425000000004</v>
      </c>
      <c r="J1053" t="s">
        <v>2209</v>
      </c>
      <c r="K1053" t="s">
        <v>73</v>
      </c>
      <c r="N1053" t="s">
        <v>74</v>
      </c>
      <c r="O1053" t="s">
        <v>75</v>
      </c>
      <c r="P1053" t="s">
        <v>74</v>
      </c>
      <c r="Q1053" t="s">
        <v>76</v>
      </c>
      <c r="R1053" t="s">
        <v>73</v>
      </c>
      <c r="S1053">
        <v>0</v>
      </c>
      <c r="W1053" s="20">
        <v>0</v>
      </c>
      <c r="X1053" t="s">
        <v>78</v>
      </c>
      <c r="Y1053">
        <v>0</v>
      </c>
      <c r="Z1053">
        <v>1</v>
      </c>
      <c r="AA1053" t="s">
        <v>2372</v>
      </c>
      <c r="AB1053">
        <v>52</v>
      </c>
      <c r="AC1053" t="s">
        <v>78</v>
      </c>
      <c r="AD1053">
        <v>0</v>
      </c>
      <c r="AE1053">
        <v>10899171</v>
      </c>
      <c r="AF1053" t="s">
        <v>79</v>
      </c>
      <c r="AG1053" t="s">
        <v>2502</v>
      </c>
    </row>
    <row r="1054" spans="1:33" x14ac:dyDescent="0.35">
      <c r="A1054" s="18">
        <v>44459.536111111112</v>
      </c>
      <c r="B1054">
        <v>894675</v>
      </c>
      <c r="C1054" t="s">
        <v>2503</v>
      </c>
      <c r="D1054" t="s">
        <v>2504</v>
      </c>
      <c r="E1054" s="19">
        <v>42826</v>
      </c>
      <c r="F1054" t="str">
        <f>"9781921507823"</f>
        <v>9781921507823</v>
      </c>
      <c r="G1054" t="str">
        <f>"9781921507816"</f>
        <v>9781921507816</v>
      </c>
      <c r="H1054" t="s">
        <v>2505</v>
      </c>
      <c r="K1054" t="s">
        <v>73</v>
      </c>
      <c r="N1054" t="s">
        <v>74</v>
      </c>
      <c r="O1054" t="s">
        <v>75</v>
      </c>
      <c r="P1054" t="s">
        <v>74</v>
      </c>
      <c r="Q1054" t="s">
        <v>76</v>
      </c>
      <c r="R1054" t="s">
        <v>73</v>
      </c>
      <c r="S1054">
        <v>0</v>
      </c>
      <c r="W1054" s="20">
        <v>4.6296296296296294E-5</v>
      </c>
      <c r="X1054" t="s">
        <v>132</v>
      </c>
      <c r="Y1054">
        <v>1</v>
      </c>
      <c r="Z1054">
        <v>0</v>
      </c>
      <c r="AA1054" t="s">
        <v>78</v>
      </c>
      <c r="AB1054">
        <v>0</v>
      </c>
      <c r="AC1054" t="s">
        <v>78</v>
      </c>
      <c r="AD1054">
        <v>0</v>
      </c>
      <c r="AE1054">
        <v>10555082</v>
      </c>
      <c r="AF1054" t="s">
        <v>79</v>
      </c>
      <c r="AG1054" t="s">
        <v>1963</v>
      </c>
    </row>
    <row r="1055" spans="1:33" x14ac:dyDescent="0.35">
      <c r="A1055" s="18">
        <v>44459.49722222222</v>
      </c>
      <c r="B1055">
        <v>4388935</v>
      </c>
      <c r="C1055" t="s">
        <v>1747</v>
      </c>
      <c r="D1055" t="s">
        <v>542</v>
      </c>
      <c r="E1055" s="19">
        <v>42830</v>
      </c>
      <c r="F1055" t="str">
        <f>"9781631573422"</f>
        <v>9781631573422</v>
      </c>
      <c r="G1055" t="str">
        <f>"9781631573415"</f>
        <v>9781631573415</v>
      </c>
      <c r="H1055" t="s">
        <v>143</v>
      </c>
      <c r="I1055">
        <v>658.56200000000001</v>
      </c>
      <c r="J1055" t="s">
        <v>1748</v>
      </c>
      <c r="K1055" t="s">
        <v>73</v>
      </c>
      <c r="N1055" t="s">
        <v>74</v>
      </c>
      <c r="O1055" t="s">
        <v>75</v>
      </c>
      <c r="P1055" t="s">
        <v>74</v>
      </c>
      <c r="Q1055" t="s">
        <v>76</v>
      </c>
      <c r="R1055" t="s">
        <v>73</v>
      </c>
      <c r="S1055">
        <v>0</v>
      </c>
      <c r="W1055" s="20">
        <v>1.539351851851852E-2</v>
      </c>
      <c r="X1055" t="s">
        <v>2506</v>
      </c>
      <c r="Y1055">
        <v>23</v>
      </c>
      <c r="Z1055">
        <v>0</v>
      </c>
      <c r="AA1055" t="s">
        <v>78</v>
      </c>
      <c r="AB1055">
        <v>0</v>
      </c>
      <c r="AC1055" t="s">
        <v>78</v>
      </c>
      <c r="AD1055">
        <v>0</v>
      </c>
      <c r="AE1055">
        <v>11152350</v>
      </c>
      <c r="AF1055" t="s">
        <v>79</v>
      </c>
      <c r="AG1055" t="s">
        <v>1963</v>
      </c>
    </row>
    <row r="1056" spans="1:33" x14ac:dyDescent="0.35">
      <c r="A1056" s="18">
        <v>44459.492361111108</v>
      </c>
      <c r="B1056">
        <v>415416</v>
      </c>
      <c r="C1056" t="s">
        <v>2507</v>
      </c>
      <c r="D1056" t="s">
        <v>102</v>
      </c>
      <c r="E1056" s="19">
        <v>39589</v>
      </c>
      <c r="F1056" t="str">
        <f>"9780199716227"</f>
        <v>9780199716227</v>
      </c>
      <c r="G1056" t="str">
        <f>"9780195329599"</f>
        <v>9780195329599</v>
      </c>
      <c r="H1056" t="s">
        <v>2508</v>
      </c>
      <c r="I1056" t="s">
        <v>2509</v>
      </c>
      <c r="J1056" t="s">
        <v>2510</v>
      </c>
      <c r="K1056" t="s">
        <v>73</v>
      </c>
      <c r="N1056" t="s">
        <v>74</v>
      </c>
      <c r="O1056" t="s">
        <v>75</v>
      </c>
      <c r="P1056" t="s">
        <v>74</v>
      </c>
      <c r="Q1056" t="s">
        <v>76</v>
      </c>
      <c r="R1056" t="s">
        <v>73</v>
      </c>
      <c r="S1056">
        <v>0</v>
      </c>
      <c r="W1056" s="20">
        <v>3.2407407407407406E-4</v>
      </c>
      <c r="X1056" t="s">
        <v>2511</v>
      </c>
      <c r="Y1056">
        <v>6</v>
      </c>
      <c r="Z1056">
        <v>0</v>
      </c>
      <c r="AA1056" t="s">
        <v>78</v>
      </c>
      <c r="AB1056">
        <v>0</v>
      </c>
      <c r="AC1056" t="s">
        <v>78</v>
      </c>
      <c r="AD1056">
        <v>0</v>
      </c>
      <c r="AE1056">
        <v>10218524</v>
      </c>
      <c r="AF1056" t="s">
        <v>79</v>
      </c>
      <c r="AG1056" t="s">
        <v>1963</v>
      </c>
    </row>
    <row r="1057" spans="1:33" x14ac:dyDescent="0.35">
      <c r="A1057" s="18">
        <v>44459.492361111108</v>
      </c>
      <c r="B1057">
        <v>3433763</v>
      </c>
      <c r="C1057" t="s">
        <v>2512</v>
      </c>
      <c r="D1057" t="s">
        <v>2513</v>
      </c>
      <c r="E1057" s="19">
        <v>42309</v>
      </c>
      <c r="F1057" t="str">
        <f>"9781609174705"</f>
        <v>9781609174705</v>
      </c>
      <c r="G1057" t="str">
        <f>"9781611861839"</f>
        <v>9781611861839</v>
      </c>
      <c r="H1057" t="s">
        <v>135</v>
      </c>
      <c r="J1057" t="s">
        <v>2514</v>
      </c>
      <c r="K1057" t="s">
        <v>73</v>
      </c>
      <c r="N1057" t="s">
        <v>74</v>
      </c>
      <c r="O1057" t="s">
        <v>75</v>
      </c>
      <c r="P1057" t="s">
        <v>230</v>
      </c>
      <c r="Q1057" t="s">
        <v>76</v>
      </c>
      <c r="R1057" t="s">
        <v>85</v>
      </c>
      <c r="S1057">
        <v>0</v>
      </c>
      <c r="W1057" s="20">
        <v>1.6203703703703703E-4</v>
      </c>
      <c r="X1057" t="s">
        <v>2515</v>
      </c>
      <c r="Y1057">
        <v>2</v>
      </c>
      <c r="Z1057">
        <v>0</v>
      </c>
      <c r="AA1057" t="s">
        <v>78</v>
      </c>
      <c r="AB1057">
        <v>0</v>
      </c>
      <c r="AC1057" t="s">
        <v>78</v>
      </c>
      <c r="AD1057">
        <v>0</v>
      </c>
      <c r="AE1057">
        <v>11091501</v>
      </c>
      <c r="AF1057" t="s">
        <v>79</v>
      </c>
      <c r="AG1057" t="s">
        <v>1963</v>
      </c>
    </row>
    <row r="1058" spans="1:33" x14ac:dyDescent="0.35">
      <c r="A1058" s="18">
        <v>44459.481249999997</v>
      </c>
      <c r="B1058">
        <v>5558400</v>
      </c>
      <c r="C1058" t="s">
        <v>1990</v>
      </c>
      <c r="D1058" t="s">
        <v>70</v>
      </c>
      <c r="E1058" s="19">
        <v>43396</v>
      </c>
      <c r="F1058" t="str">
        <f>"9781119516200"</f>
        <v>9781119516200</v>
      </c>
      <c r="G1058" t="str">
        <f>"9781119516187"</f>
        <v>9781119516187</v>
      </c>
      <c r="H1058" t="s">
        <v>128</v>
      </c>
      <c r="I1058">
        <v>307.76</v>
      </c>
      <c r="J1058" t="s">
        <v>1991</v>
      </c>
      <c r="K1058" t="s">
        <v>73</v>
      </c>
      <c r="N1058" t="s">
        <v>74</v>
      </c>
      <c r="O1058" t="s">
        <v>75</v>
      </c>
      <c r="P1058" t="s">
        <v>74</v>
      </c>
      <c r="Q1058" t="s">
        <v>76</v>
      </c>
      <c r="R1058" t="s">
        <v>73</v>
      </c>
      <c r="S1058">
        <v>0</v>
      </c>
      <c r="W1058" s="20">
        <v>1.0648148148148147E-3</v>
      </c>
      <c r="X1058" t="s">
        <v>2516</v>
      </c>
      <c r="Y1058">
        <v>22</v>
      </c>
      <c r="Z1058">
        <v>0</v>
      </c>
      <c r="AA1058" t="s">
        <v>78</v>
      </c>
      <c r="AB1058">
        <v>0</v>
      </c>
      <c r="AC1058" t="s">
        <v>78</v>
      </c>
      <c r="AD1058">
        <v>0</v>
      </c>
      <c r="AE1058">
        <v>-1</v>
      </c>
      <c r="AF1058" t="s">
        <v>79</v>
      </c>
      <c r="AG1058" t="s">
        <v>1963</v>
      </c>
    </row>
    <row r="1059" spans="1:33" x14ac:dyDescent="0.35">
      <c r="A1059" s="18">
        <v>44459.444444444445</v>
      </c>
      <c r="B1059">
        <v>4901706</v>
      </c>
      <c r="C1059" t="s">
        <v>2517</v>
      </c>
      <c r="D1059" t="s">
        <v>70</v>
      </c>
      <c r="E1059" s="19">
        <v>43024</v>
      </c>
      <c r="F1059" t="str">
        <f>"9783527806478"</f>
        <v>9783527806478</v>
      </c>
      <c r="G1059" t="str">
        <f>"9783527342518"</f>
        <v>9783527342518</v>
      </c>
      <c r="H1059" t="s">
        <v>227</v>
      </c>
      <c r="I1059" t="s">
        <v>2518</v>
      </c>
      <c r="J1059" t="s">
        <v>2519</v>
      </c>
      <c r="K1059" t="s">
        <v>73</v>
      </c>
      <c r="N1059" t="s">
        <v>74</v>
      </c>
      <c r="O1059" t="s">
        <v>75</v>
      </c>
      <c r="P1059" t="s">
        <v>74</v>
      </c>
      <c r="Q1059" t="s">
        <v>76</v>
      </c>
      <c r="R1059" t="s">
        <v>73</v>
      </c>
      <c r="S1059">
        <v>0</v>
      </c>
      <c r="W1059" s="20">
        <v>1.6562500000000001E-2</v>
      </c>
      <c r="X1059" t="s">
        <v>2520</v>
      </c>
      <c r="Y1059">
        <v>6</v>
      </c>
      <c r="Z1059">
        <v>0</v>
      </c>
      <c r="AA1059" t="s">
        <v>78</v>
      </c>
      <c r="AB1059">
        <v>0</v>
      </c>
      <c r="AC1059" t="s">
        <v>78</v>
      </c>
      <c r="AD1059">
        <v>0</v>
      </c>
      <c r="AE1059">
        <v>11406572</v>
      </c>
      <c r="AF1059" t="s">
        <v>79</v>
      </c>
      <c r="AG1059" t="s">
        <v>1921</v>
      </c>
    </row>
    <row r="1060" spans="1:33" x14ac:dyDescent="0.35">
      <c r="A1060" s="18">
        <v>44459.441666666666</v>
      </c>
      <c r="B1060">
        <v>3011213</v>
      </c>
      <c r="C1060" t="s">
        <v>152</v>
      </c>
      <c r="D1060" t="s">
        <v>153</v>
      </c>
      <c r="E1060" s="19">
        <v>39417</v>
      </c>
      <c r="F1060" t="str">
        <f>"9781642875614"</f>
        <v>9781642875614</v>
      </c>
      <c r="G1060" t="str">
        <f>"9788183185493"</f>
        <v>9788183185493</v>
      </c>
      <c r="H1060" t="s">
        <v>154</v>
      </c>
      <c r="J1060" t="s">
        <v>155</v>
      </c>
      <c r="K1060" t="s">
        <v>73</v>
      </c>
      <c r="N1060" t="s">
        <v>74</v>
      </c>
      <c r="O1060" t="s">
        <v>75</v>
      </c>
      <c r="P1060" t="s">
        <v>74</v>
      </c>
      <c r="Q1060" t="s">
        <v>76</v>
      </c>
      <c r="R1060" t="s">
        <v>73</v>
      </c>
      <c r="S1060">
        <v>0</v>
      </c>
      <c r="W1060" s="20">
        <v>2.0370370370370373E-3</v>
      </c>
      <c r="X1060" t="s">
        <v>2521</v>
      </c>
      <c r="Y1060">
        <v>10</v>
      </c>
      <c r="Z1060">
        <v>0</v>
      </c>
      <c r="AA1060" t="s">
        <v>78</v>
      </c>
      <c r="AB1060">
        <v>0</v>
      </c>
      <c r="AC1060" t="s">
        <v>78</v>
      </c>
      <c r="AD1060">
        <v>0</v>
      </c>
      <c r="AE1060">
        <v>10415487</v>
      </c>
      <c r="AF1060" t="s">
        <v>79</v>
      </c>
      <c r="AG1060" t="s">
        <v>1921</v>
      </c>
    </row>
    <row r="1061" spans="1:33" x14ac:dyDescent="0.35">
      <c r="A1061" s="18">
        <v>44459.424305555556</v>
      </c>
      <c r="B1061">
        <v>5558400</v>
      </c>
      <c r="C1061" t="s">
        <v>1990</v>
      </c>
      <c r="D1061" t="s">
        <v>70</v>
      </c>
      <c r="E1061" s="19">
        <v>43396</v>
      </c>
      <c r="F1061" t="str">
        <f>"9781119516200"</f>
        <v>9781119516200</v>
      </c>
      <c r="G1061" t="str">
        <f>"9781119516187"</f>
        <v>9781119516187</v>
      </c>
      <c r="H1061" t="s">
        <v>128</v>
      </c>
      <c r="I1061">
        <v>307.76</v>
      </c>
      <c r="J1061" t="s">
        <v>1991</v>
      </c>
      <c r="K1061" t="s">
        <v>73</v>
      </c>
      <c r="N1061" t="s">
        <v>74</v>
      </c>
      <c r="O1061" t="s">
        <v>75</v>
      </c>
      <c r="P1061" t="s">
        <v>74</v>
      </c>
      <c r="Q1061" t="s">
        <v>76</v>
      </c>
      <c r="R1061" t="s">
        <v>73</v>
      </c>
      <c r="S1061">
        <v>0</v>
      </c>
      <c r="W1061" s="20">
        <v>5.0925925925925921E-4</v>
      </c>
      <c r="X1061" t="s">
        <v>2522</v>
      </c>
      <c r="Y1061">
        <v>8</v>
      </c>
      <c r="Z1061">
        <v>0</v>
      </c>
      <c r="AA1061" t="s">
        <v>78</v>
      </c>
      <c r="AB1061">
        <v>0</v>
      </c>
      <c r="AC1061" t="s">
        <v>78</v>
      </c>
      <c r="AD1061">
        <v>0</v>
      </c>
      <c r="AE1061">
        <v>-1</v>
      </c>
      <c r="AF1061" t="s">
        <v>79</v>
      </c>
      <c r="AG1061" t="s">
        <v>2180</v>
      </c>
    </row>
    <row r="1062" spans="1:33" x14ac:dyDescent="0.35">
      <c r="A1062" s="18">
        <v>44459.392361111109</v>
      </c>
      <c r="B1062">
        <v>1429421</v>
      </c>
      <c r="C1062" t="s">
        <v>2523</v>
      </c>
      <c r="D1062" t="s">
        <v>338</v>
      </c>
      <c r="E1062" s="19">
        <v>41606</v>
      </c>
      <c r="F1062" t="str">
        <f>"9780124200296"</f>
        <v>9780124200296</v>
      </c>
      <c r="G1062" t="str">
        <f>"9780124200234"</f>
        <v>9780124200234</v>
      </c>
      <c r="H1062" t="s">
        <v>289</v>
      </c>
      <c r="I1062">
        <v>622.18280000000004</v>
      </c>
      <c r="J1062" t="s">
        <v>2524</v>
      </c>
      <c r="K1062" t="s">
        <v>73</v>
      </c>
      <c r="N1062" t="s">
        <v>74</v>
      </c>
      <c r="O1062" t="s">
        <v>75</v>
      </c>
      <c r="P1062" t="s">
        <v>74</v>
      </c>
      <c r="Q1062" t="s">
        <v>76</v>
      </c>
      <c r="R1062" t="s">
        <v>73</v>
      </c>
      <c r="S1062">
        <v>1</v>
      </c>
      <c r="W1062" s="20">
        <v>0</v>
      </c>
      <c r="X1062" t="s">
        <v>728</v>
      </c>
      <c r="Y1062">
        <v>1</v>
      </c>
      <c r="Z1062">
        <v>0</v>
      </c>
      <c r="AA1062" t="s">
        <v>78</v>
      </c>
      <c r="AB1062">
        <v>0</v>
      </c>
      <c r="AC1062" t="s">
        <v>78</v>
      </c>
      <c r="AD1062">
        <v>0</v>
      </c>
      <c r="AE1062">
        <v>10775018</v>
      </c>
      <c r="AF1062" t="s">
        <v>88</v>
      </c>
      <c r="AG1062" t="s">
        <v>702</v>
      </c>
    </row>
    <row r="1063" spans="1:33" x14ac:dyDescent="0.35">
      <c r="A1063" s="18">
        <v>44459.384722222225</v>
      </c>
      <c r="B1063">
        <v>1429421</v>
      </c>
      <c r="C1063" t="s">
        <v>2523</v>
      </c>
      <c r="D1063" t="s">
        <v>338</v>
      </c>
      <c r="E1063" s="19">
        <v>41606</v>
      </c>
      <c r="F1063" t="str">
        <f>"9780124200296"</f>
        <v>9780124200296</v>
      </c>
      <c r="G1063" t="str">
        <f>"9780124200234"</f>
        <v>9780124200234</v>
      </c>
      <c r="H1063" t="s">
        <v>289</v>
      </c>
      <c r="I1063">
        <v>622.18280000000004</v>
      </c>
      <c r="J1063" t="s">
        <v>2524</v>
      </c>
      <c r="K1063" t="s">
        <v>73</v>
      </c>
      <c r="N1063" t="s">
        <v>74</v>
      </c>
      <c r="O1063" t="s">
        <v>75</v>
      </c>
      <c r="P1063" t="s">
        <v>74</v>
      </c>
      <c r="Q1063" t="s">
        <v>76</v>
      </c>
      <c r="R1063" t="s">
        <v>73</v>
      </c>
      <c r="S1063">
        <v>0</v>
      </c>
      <c r="W1063" s="20">
        <v>7.6620370370370366E-3</v>
      </c>
      <c r="X1063" t="s">
        <v>2525</v>
      </c>
      <c r="Y1063">
        <v>8</v>
      </c>
      <c r="Z1063">
        <v>0</v>
      </c>
      <c r="AA1063" t="s">
        <v>78</v>
      </c>
      <c r="AB1063">
        <v>0</v>
      </c>
      <c r="AC1063" t="s">
        <v>78</v>
      </c>
      <c r="AD1063">
        <v>0</v>
      </c>
      <c r="AE1063">
        <v>10775018</v>
      </c>
      <c r="AF1063" t="s">
        <v>88</v>
      </c>
      <c r="AG1063" t="s">
        <v>702</v>
      </c>
    </row>
    <row r="1064" spans="1:33" x14ac:dyDescent="0.35">
      <c r="A1064" s="18">
        <v>44459.325694444444</v>
      </c>
      <c r="B1064">
        <v>1747086</v>
      </c>
      <c r="C1064" t="s">
        <v>2208</v>
      </c>
      <c r="D1064" t="s">
        <v>158</v>
      </c>
      <c r="E1064" s="19">
        <v>41850</v>
      </c>
      <c r="F1064" t="str">
        <f>"9780123865489"</f>
        <v>9780123865489</v>
      </c>
      <c r="G1064" t="str">
        <f>"9780123865472"</f>
        <v>9780123865472</v>
      </c>
      <c r="H1064" t="s">
        <v>159</v>
      </c>
      <c r="I1064">
        <v>660.28425000000004</v>
      </c>
      <c r="J1064" t="s">
        <v>2209</v>
      </c>
      <c r="K1064" t="s">
        <v>73</v>
      </c>
      <c r="N1064" t="s">
        <v>74</v>
      </c>
      <c r="O1064" t="s">
        <v>75</v>
      </c>
      <c r="P1064" t="s">
        <v>74</v>
      </c>
      <c r="Q1064" t="s">
        <v>76</v>
      </c>
      <c r="R1064" t="s">
        <v>73</v>
      </c>
      <c r="S1064">
        <v>0</v>
      </c>
      <c r="W1064" s="20">
        <v>0</v>
      </c>
      <c r="X1064" t="s">
        <v>78</v>
      </c>
      <c r="Y1064">
        <v>0</v>
      </c>
      <c r="Z1064">
        <v>1</v>
      </c>
      <c r="AA1064" t="s">
        <v>2372</v>
      </c>
      <c r="AB1064">
        <v>52</v>
      </c>
      <c r="AC1064" t="s">
        <v>78</v>
      </c>
      <c r="AD1064">
        <v>0</v>
      </c>
      <c r="AE1064">
        <v>10899171</v>
      </c>
      <c r="AF1064" t="s">
        <v>79</v>
      </c>
      <c r="AG1064" t="s">
        <v>1963</v>
      </c>
    </row>
    <row r="1065" spans="1:33" x14ac:dyDescent="0.35">
      <c r="A1065" s="18">
        <v>44459.048611111109</v>
      </c>
      <c r="B1065">
        <v>565899</v>
      </c>
      <c r="C1065" t="s">
        <v>2005</v>
      </c>
      <c r="D1065" t="s">
        <v>127</v>
      </c>
      <c r="E1065" s="19">
        <v>40168</v>
      </c>
      <c r="F1065" t="str">
        <f>"9781420003598"</f>
        <v>9781420003598</v>
      </c>
      <c r="G1065" t="str">
        <f>"9780849319174"</f>
        <v>9780849319174</v>
      </c>
      <c r="H1065" t="s">
        <v>285</v>
      </c>
      <c r="I1065">
        <v>630</v>
      </c>
      <c r="J1065" t="s">
        <v>2006</v>
      </c>
      <c r="K1065" t="s">
        <v>73</v>
      </c>
      <c r="N1065" t="s">
        <v>74</v>
      </c>
      <c r="O1065" t="s">
        <v>75</v>
      </c>
      <c r="P1065" t="s">
        <v>74</v>
      </c>
      <c r="Q1065" t="s">
        <v>76</v>
      </c>
      <c r="R1065" t="s">
        <v>73</v>
      </c>
      <c r="S1065">
        <v>0</v>
      </c>
      <c r="W1065" s="20">
        <v>5.7870370370370366E-5</v>
      </c>
      <c r="X1065" t="s">
        <v>132</v>
      </c>
      <c r="Y1065">
        <v>1</v>
      </c>
      <c r="Z1065">
        <v>0</v>
      </c>
      <c r="AA1065" t="s">
        <v>78</v>
      </c>
      <c r="AB1065">
        <v>0</v>
      </c>
      <c r="AC1065" t="s">
        <v>78</v>
      </c>
      <c r="AD1065">
        <v>0</v>
      </c>
      <c r="AE1065">
        <v>10367181</v>
      </c>
      <c r="AF1065" t="s">
        <v>79</v>
      </c>
      <c r="AG1065" t="s">
        <v>1963</v>
      </c>
    </row>
    <row r="1066" spans="1:33" x14ac:dyDescent="0.35">
      <c r="A1066" s="18">
        <v>44459.024305555555</v>
      </c>
      <c r="B1066">
        <v>284778</v>
      </c>
      <c r="C1066" t="s">
        <v>2526</v>
      </c>
      <c r="D1066" t="s">
        <v>2527</v>
      </c>
      <c r="E1066" s="19">
        <v>38353</v>
      </c>
      <c r="F1066" t="str">
        <f>"9781280268670"</f>
        <v>9781280268670</v>
      </c>
      <c r="G1066" t="str">
        <f>"9789289013772"</f>
        <v>9789289013772</v>
      </c>
      <c r="H1066" t="s">
        <v>621</v>
      </c>
      <c r="I1066">
        <v>362.20940000000002</v>
      </c>
      <c r="J1066" t="s">
        <v>2528</v>
      </c>
      <c r="K1066" t="s">
        <v>73</v>
      </c>
      <c r="N1066" t="s">
        <v>74</v>
      </c>
      <c r="O1066" t="s">
        <v>75</v>
      </c>
      <c r="P1066" t="s">
        <v>74</v>
      </c>
      <c r="Q1066" t="s">
        <v>76</v>
      </c>
      <c r="R1066" t="s">
        <v>73</v>
      </c>
      <c r="S1066">
        <v>0</v>
      </c>
      <c r="W1066" s="20">
        <v>2.0370370370370373E-3</v>
      </c>
      <c r="X1066" t="s">
        <v>2529</v>
      </c>
      <c r="Y1066">
        <v>14</v>
      </c>
      <c r="Z1066">
        <v>0</v>
      </c>
      <c r="AA1066" t="s">
        <v>78</v>
      </c>
      <c r="AB1066">
        <v>0</v>
      </c>
      <c r="AC1066" t="s">
        <v>78</v>
      </c>
      <c r="AD1066">
        <v>0</v>
      </c>
      <c r="AE1066">
        <v>10104339</v>
      </c>
      <c r="AF1066" t="s">
        <v>79</v>
      </c>
      <c r="AG1066" t="s">
        <v>2180</v>
      </c>
    </row>
    <row r="1067" spans="1:33" x14ac:dyDescent="0.35">
      <c r="A1067" s="18">
        <v>44459.024305555555</v>
      </c>
      <c r="B1067">
        <v>2073089</v>
      </c>
      <c r="C1067" t="s">
        <v>2530</v>
      </c>
      <c r="D1067" t="s">
        <v>723</v>
      </c>
      <c r="E1067" s="19">
        <v>42176</v>
      </c>
      <c r="F1067" t="str">
        <f>"9781784500504"</f>
        <v>9781784500504</v>
      </c>
      <c r="G1067" t="str">
        <f>"9781849055963"</f>
        <v>9781849055963</v>
      </c>
      <c r="H1067" t="s">
        <v>621</v>
      </c>
      <c r="I1067">
        <v>362.2</v>
      </c>
      <c r="J1067" t="s">
        <v>2531</v>
      </c>
      <c r="K1067" t="s">
        <v>73</v>
      </c>
      <c r="N1067" t="s">
        <v>74</v>
      </c>
      <c r="O1067" t="s">
        <v>75</v>
      </c>
      <c r="P1067" t="s">
        <v>74</v>
      </c>
      <c r="Q1067" t="s">
        <v>76</v>
      </c>
      <c r="R1067" t="s">
        <v>73</v>
      </c>
      <c r="S1067">
        <v>0</v>
      </c>
      <c r="W1067" s="20">
        <v>2.0254629629629629E-3</v>
      </c>
      <c r="X1067" t="s">
        <v>2532</v>
      </c>
      <c r="Y1067">
        <v>9</v>
      </c>
      <c r="Z1067">
        <v>0</v>
      </c>
      <c r="AA1067" t="s">
        <v>78</v>
      </c>
      <c r="AB1067">
        <v>0</v>
      </c>
      <c r="AC1067" t="s">
        <v>78</v>
      </c>
      <c r="AD1067">
        <v>0</v>
      </c>
      <c r="AE1067">
        <v>11066930</v>
      </c>
      <c r="AF1067" t="s">
        <v>79</v>
      </c>
      <c r="AG1067" t="s">
        <v>2180</v>
      </c>
    </row>
    <row r="1068" spans="1:33" x14ac:dyDescent="0.35">
      <c r="A1068" s="18">
        <v>44458.844444444447</v>
      </c>
      <c r="B1068">
        <v>5558400</v>
      </c>
      <c r="C1068" t="s">
        <v>1990</v>
      </c>
      <c r="D1068" t="s">
        <v>70</v>
      </c>
      <c r="E1068" s="19">
        <v>43396</v>
      </c>
      <c r="F1068" t="str">
        <f>"9781119516200"</f>
        <v>9781119516200</v>
      </c>
      <c r="G1068" t="str">
        <f>"9781119516187"</f>
        <v>9781119516187</v>
      </c>
      <c r="H1068" t="s">
        <v>128</v>
      </c>
      <c r="I1068">
        <v>307.76</v>
      </c>
      <c r="J1068" t="s">
        <v>1991</v>
      </c>
      <c r="K1068" t="s">
        <v>73</v>
      </c>
      <c r="N1068" t="s">
        <v>74</v>
      </c>
      <c r="O1068" t="s">
        <v>75</v>
      </c>
      <c r="P1068" t="s">
        <v>74</v>
      </c>
      <c r="Q1068" t="s">
        <v>76</v>
      </c>
      <c r="R1068" t="s">
        <v>73</v>
      </c>
      <c r="S1068">
        <v>0</v>
      </c>
      <c r="W1068" s="20">
        <v>2.990740740740741E-2</v>
      </c>
      <c r="X1068" t="s">
        <v>2533</v>
      </c>
      <c r="Y1068">
        <v>17</v>
      </c>
      <c r="Z1068">
        <v>0</v>
      </c>
      <c r="AA1068" t="s">
        <v>78</v>
      </c>
      <c r="AB1068">
        <v>0</v>
      </c>
      <c r="AC1068" t="s">
        <v>78</v>
      </c>
      <c r="AD1068">
        <v>0</v>
      </c>
      <c r="AE1068">
        <v>-1</v>
      </c>
      <c r="AF1068" t="s">
        <v>79</v>
      </c>
      <c r="AG1068" t="s">
        <v>1009</v>
      </c>
    </row>
    <row r="1069" spans="1:33" x14ac:dyDescent="0.35">
      <c r="A1069" s="18">
        <v>44458.817361111112</v>
      </c>
      <c r="B1069">
        <v>1574357</v>
      </c>
      <c r="C1069" t="s">
        <v>1544</v>
      </c>
      <c r="D1069" t="s">
        <v>70</v>
      </c>
      <c r="E1069" s="19">
        <v>41680</v>
      </c>
      <c r="F1069" t="str">
        <f>"9781118703366"</f>
        <v>9781118703366</v>
      </c>
      <c r="G1069" t="str">
        <f>"9781118634165"</f>
        <v>9781118634165</v>
      </c>
      <c r="H1069" t="s">
        <v>71</v>
      </c>
      <c r="I1069">
        <v>621.31244000000004</v>
      </c>
      <c r="J1069" t="s">
        <v>1545</v>
      </c>
      <c r="K1069" t="s">
        <v>73</v>
      </c>
      <c r="N1069" t="s">
        <v>74</v>
      </c>
      <c r="O1069" t="s">
        <v>75</v>
      </c>
      <c r="P1069" t="s">
        <v>74</v>
      </c>
      <c r="Q1069" t="s">
        <v>76</v>
      </c>
      <c r="R1069" t="s">
        <v>73</v>
      </c>
      <c r="S1069">
        <v>0</v>
      </c>
      <c r="W1069" s="20">
        <v>6.018518518518519E-4</v>
      </c>
      <c r="X1069" t="s">
        <v>2534</v>
      </c>
      <c r="Y1069">
        <v>11</v>
      </c>
      <c r="Z1069">
        <v>0</v>
      </c>
      <c r="AA1069" t="s">
        <v>78</v>
      </c>
      <c r="AB1069">
        <v>0</v>
      </c>
      <c r="AC1069" t="s">
        <v>78</v>
      </c>
      <c r="AD1069">
        <v>0</v>
      </c>
      <c r="AE1069">
        <v>10814681</v>
      </c>
      <c r="AF1069" t="s">
        <v>79</v>
      </c>
      <c r="AG1069" t="s">
        <v>1963</v>
      </c>
    </row>
    <row r="1070" spans="1:33" x14ac:dyDescent="0.35">
      <c r="A1070" s="18">
        <v>44458.779861111114</v>
      </c>
      <c r="B1070">
        <v>5558400</v>
      </c>
      <c r="C1070" t="s">
        <v>1990</v>
      </c>
      <c r="D1070" t="s">
        <v>70</v>
      </c>
      <c r="E1070" s="19">
        <v>43396</v>
      </c>
      <c r="F1070" t="str">
        <f t="shared" ref="F1070:F1080" si="4">"9781119516200"</f>
        <v>9781119516200</v>
      </c>
      <c r="G1070" t="str">
        <f t="shared" ref="G1070:G1080" si="5">"9781119516187"</f>
        <v>9781119516187</v>
      </c>
      <c r="H1070" t="s">
        <v>128</v>
      </c>
      <c r="I1070">
        <v>307.76</v>
      </c>
      <c r="J1070" t="s">
        <v>1991</v>
      </c>
      <c r="K1070" t="s">
        <v>73</v>
      </c>
      <c r="N1070" t="s">
        <v>74</v>
      </c>
      <c r="O1070" t="s">
        <v>75</v>
      </c>
      <c r="P1070" t="s">
        <v>74</v>
      </c>
      <c r="Q1070" t="s">
        <v>76</v>
      </c>
      <c r="R1070" t="s">
        <v>73</v>
      </c>
      <c r="S1070">
        <v>0</v>
      </c>
      <c r="W1070" s="20">
        <v>8.8657407407407417E-3</v>
      </c>
      <c r="X1070" t="s">
        <v>2535</v>
      </c>
      <c r="Y1070">
        <v>10</v>
      </c>
      <c r="Z1070">
        <v>0</v>
      </c>
      <c r="AA1070" t="s">
        <v>78</v>
      </c>
      <c r="AB1070">
        <v>0</v>
      </c>
      <c r="AC1070" t="s">
        <v>78</v>
      </c>
      <c r="AD1070">
        <v>0</v>
      </c>
      <c r="AE1070">
        <v>-1</v>
      </c>
      <c r="AF1070" t="s">
        <v>79</v>
      </c>
      <c r="AG1070" t="s">
        <v>2180</v>
      </c>
    </row>
    <row r="1071" spans="1:33" x14ac:dyDescent="0.35">
      <c r="A1071" s="18">
        <v>44458.745833333334</v>
      </c>
      <c r="B1071">
        <v>5558400</v>
      </c>
      <c r="C1071" t="s">
        <v>1990</v>
      </c>
      <c r="D1071" t="s">
        <v>70</v>
      </c>
      <c r="E1071" s="19">
        <v>43396</v>
      </c>
      <c r="F1071" t="str">
        <f t="shared" si="4"/>
        <v>9781119516200</v>
      </c>
      <c r="G1071" t="str">
        <f t="shared" si="5"/>
        <v>9781119516187</v>
      </c>
      <c r="H1071" t="s">
        <v>128</v>
      </c>
      <c r="I1071">
        <v>307.76</v>
      </c>
      <c r="J1071" t="s">
        <v>1991</v>
      </c>
      <c r="K1071" t="s">
        <v>73</v>
      </c>
      <c r="N1071" t="s">
        <v>74</v>
      </c>
      <c r="O1071" t="s">
        <v>75</v>
      </c>
      <c r="P1071" t="s">
        <v>74</v>
      </c>
      <c r="Q1071" t="s">
        <v>76</v>
      </c>
      <c r="R1071" t="s">
        <v>73</v>
      </c>
      <c r="S1071">
        <v>0</v>
      </c>
      <c r="W1071" s="20">
        <v>4.2939814814814811E-3</v>
      </c>
      <c r="X1071" t="s">
        <v>2536</v>
      </c>
      <c r="Y1071">
        <v>7</v>
      </c>
      <c r="Z1071">
        <v>0</v>
      </c>
      <c r="AA1071" t="s">
        <v>78</v>
      </c>
      <c r="AB1071">
        <v>0</v>
      </c>
      <c r="AC1071" t="s">
        <v>78</v>
      </c>
      <c r="AD1071">
        <v>0</v>
      </c>
      <c r="AE1071">
        <v>-1</v>
      </c>
      <c r="AF1071" t="s">
        <v>79</v>
      </c>
      <c r="AG1071" t="s">
        <v>2180</v>
      </c>
    </row>
    <row r="1072" spans="1:33" x14ac:dyDescent="0.35">
      <c r="A1072" s="18">
        <v>44458.660416666666</v>
      </c>
      <c r="B1072">
        <v>5558400</v>
      </c>
      <c r="C1072" t="s">
        <v>1990</v>
      </c>
      <c r="D1072" t="s">
        <v>70</v>
      </c>
      <c r="E1072" s="19">
        <v>43396</v>
      </c>
      <c r="F1072" t="str">
        <f t="shared" si="4"/>
        <v>9781119516200</v>
      </c>
      <c r="G1072" t="str">
        <f t="shared" si="5"/>
        <v>9781119516187</v>
      </c>
      <c r="H1072" t="s">
        <v>128</v>
      </c>
      <c r="I1072">
        <v>307.76</v>
      </c>
      <c r="J1072" t="s">
        <v>1991</v>
      </c>
      <c r="K1072" t="s">
        <v>73</v>
      </c>
      <c r="N1072" t="s">
        <v>74</v>
      </c>
      <c r="O1072" t="s">
        <v>75</v>
      </c>
      <c r="P1072" t="s">
        <v>74</v>
      </c>
      <c r="Q1072" t="s">
        <v>76</v>
      </c>
      <c r="R1072" t="s">
        <v>73</v>
      </c>
      <c r="S1072">
        <v>0</v>
      </c>
      <c r="W1072" s="20">
        <v>1.7233796296296296E-2</v>
      </c>
      <c r="X1072" t="s">
        <v>2537</v>
      </c>
      <c r="Y1072">
        <v>9</v>
      </c>
      <c r="Z1072">
        <v>0</v>
      </c>
      <c r="AA1072" t="s">
        <v>78</v>
      </c>
      <c r="AB1072">
        <v>0</v>
      </c>
      <c r="AC1072" t="s">
        <v>78</v>
      </c>
      <c r="AD1072">
        <v>0</v>
      </c>
      <c r="AE1072">
        <v>-1</v>
      </c>
      <c r="AF1072" t="s">
        <v>79</v>
      </c>
      <c r="AG1072" t="s">
        <v>1963</v>
      </c>
    </row>
    <row r="1073" spans="1:33" x14ac:dyDescent="0.35">
      <c r="A1073" s="18">
        <v>44458.658333333333</v>
      </c>
      <c r="B1073">
        <v>5558400</v>
      </c>
      <c r="C1073" t="s">
        <v>1990</v>
      </c>
      <c r="D1073" t="s">
        <v>70</v>
      </c>
      <c r="E1073" s="19">
        <v>43396</v>
      </c>
      <c r="F1073" t="str">
        <f t="shared" si="4"/>
        <v>9781119516200</v>
      </c>
      <c r="G1073" t="str">
        <f t="shared" si="5"/>
        <v>9781119516187</v>
      </c>
      <c r="H1073" t="s">
        <v>128</v>
      </c>
      <c r="I1073">
        <v>307.76</v>
      </c>
      <c r="J1073" t="s">
        <v>1991</v>
      </c>
      <c r="K1073" t="s">
        <v>73</v>
      </c>
      <c r="N1073" t="s">
        <v>74</v>
      </c>
      <c r="O1073" t="s">
        <v>75</v>
      </c>
      <c r="P1073" t="s">
        <v>74</v>
      </c>
      <c r="Q1073" t="s">
        <v>76</v>
      </c>
      <c r="R1073" t="s">
        <v>73</v>
      </c>
      <c r="S1073">
        <v>0</v>
      </c>
      <c r="W1073" s="20">
        <v>1.6967592592592593E-2</v>
      </c>
      <c r="X1073" t="s">
        <v>2538</v>
      </c>
      <c r="Y1073">
        <v>13</v>
      </c>
      <c r="Z1073">
        <v>0</v>
      </c>
      <c r="AA1073" t="s">
        <v>78</v>
      </c>
      <c r="AB1073">
        <v>0</v>
      </c>
      <c r="AC1073" t="s">
        <v>78</v>
      </c>
      <c r="AD1073">
        <v>0</v>
      </c>
      <c r="AE1073">
        <v>-1</v>
      </c>
      <c r="AF1073" t="s">
        <v>79</v>
      </c>
      <c r="AG1073" t="s">
        <v>1963</v>
      </c>
    </row>
    <row r="1074" spans="1:33" x14ac:dyDescent="0.35">
      <c r="A1074" s="18">
        <v>44458.646527777775</v>
      </c>
      <c r="B1074">
        <v>5558400</v>
      </c>
      <c r="C1074" t="s">
        <v>1990</v>
      </c>
      <c r="D1074" t="s">
        <v>70</v>
      </c>
      <c r="E1074" s="19">
        <v>43396</v>
      </c>
      <c r="F1074" t="str">
        <f t="shared" si="4"/>
        <v>9781119516200</v>
      </c>
      <c r="G1074" t="str">
        <f t="shared" si="5"/>
        <v>9781119516187</v>
      </c>
      <c r="H1074" t="s">
        <v>128</v>
      </c>
      <c r="I1074">
        <v>307.76</v>
      </c>
      <c r="J1074" t="s">
        <v>1991</v>
      </c>
      <c r="K1074" t="s">
        <v>73</v>
      </c>
      <c r="N1074" t="s">
        <v>74</v>
      </c>
      <c r="O1074" t="s">
        <v>75</v>
      </c>
      <c r="P1074" t="s">
        <v>74</v>
      </c>
      <c r="Q1074" t="s">
        <v>76</v>
      </c>
      <c r="R1074" t="s">
        <v>73</v>
      </c>
      <c r="S1074">
        <v>0</v>
      </c>
      <c r="W1074" s="20">
        <v>6.7129629629629625E-4</v>
      </c>
      <c r="X1074" t="s">
        <v>2539</v>
      </c>
      <c r="Y1074">
        <v>7</v>
      </c>
      <c r="Z1074">
        <v>0</v>
      </c>
      <c r="AA1074" t="s">
        <v>78</v>
      </c>
      <c r="AB1074">
        <v>0</v>
      </c>
      <c r="AC1074" t="s">
        <v>78</v>
      </c>
      <c r="AD1074">
        <v>0</v>
      </c>
      <c r="AE1074">
        <v>-1</v>
      </c>
      <c r="AF1074" t="s">
        <v>79</v>
      </c>
      <c r="AG1074" t="s">
        <v>1963</v>
      </c>
    </row>
    <row r="1075" spans="1:33" x14ac:dyDescent="0.35">
      <c r="A1075" s="18">
        <v>44458.644444444442</v>
      </c>
      <c r="B1075">
        <v>5558400</v>
      </c>
      <c r="C1075" t="s">
        <v>1990</v>
      </c>
      <c r="D1075" t="s">
        <v>70</v>
      </c>
      <c r="E1075" s="19">
        <v>43396</v>
      </c>
      <c r="F1075" t="str">
        <f t="shared" si="4"/>
        <v>9781119516200</v>
      </c>
      <c r="G1075" t="str">
        <f t="shared" si="5"/>
        <v>9781119516187</v>
      </c>
      <c r="H1075" t="s">
        <v>128</v>
      </c>
      <c r="I1075">
        <v>307.76</v>
      </c>
      <c r="J1075" t="s">
        <v>1991</v>
      </c>
      <c r="K1075" t="s">
        <v>73</v>
      </c>
      <c r="N1075" t="s">
        <v>74</v>
      </c>
      <c r="O1075" t="s">
        <v>75</v>
      </c>
      <c r="P1075" t="s">
        <v>74</v>
      </c>
      <c r="Q1075" t="s">
        <v>76</v>
      </c>
      <c r="R1075" t="s">
        <v>73</v>
      </c>
      <c r="S1075">
        <v>0</v>
      </c>
      <c r="W1075" s="20">
        <v>8.1597222222222227E-3</v>
      </c>
      <c r="X1075" t="s">
        <v>2362</v>
      </c>
      <c r="Y1075">
        <v>4</v>
      </c>
      <c r="Z1075">
        <v>0</v>
      </c>
      <c r="AA1075" t="s">
        <v>78</v>
      </c>
      <c r="AB1075">
        <v>0</v>
      </c>
      <c r="AC1075" t="s">
        <v>78</v>
      </c>
      <c r="AD1075">
        <v>0</v>
      </c>
      <c r="AE1075">
        <v>-1</v>
      </c>
      <c r="AF1075" t="s">
        <v>79</v>
      </c>
      <c r="AG1075" t="s">
        <v>2487</v>
      </c>
    </row>
    <row r="1076" spans="1:33" x14ac:dyDescent="0.35">
      <c r="A1076" s="18">
        <v>44458.630555555559</v>
      </c>
      <c r="B1076">
        <v>5558400</v>
      </c>
      <c r="C1076" t="s">
        <v>1990</v>
      </c>
      <c r="D1076" t="s">
        <v>70</v>
      </c>
      <c r="E1076" s="19">
        <v>43396</v>
      </c>
      <c r="F1076" t="str">
        <f t="shared" si="4"/>
        <v>9781119516200</v>
      </c>
      <c r="G1076" t="str">
        <f t="shared" si="5"/>
        <v>9781119516187</v>
      </c>
      <c r="H1076" t="s">
        <v>128</v>
      </c>
      <c r="I1076">
        <v>307.76</v>
      </c>
      <c r="J1076" t="s">
        <v>1991</v>
      </c>
      <c r="K1076" t="s">
        <v>73</v>
      </c>
      <c r="N1076" t="s">
        <v>74</v>
      </c>
      <c r="O1076" t="s">
        <v>75</v>
      </c>
      <c r="P1076" t="s">
        <v>74</v>
      </c>
      <c r="Q1076" t="s">
        <v>76</v>
      </c>
      <c r="R1076" t="s">
        <v>73</v>
      </c>
      <c r="S1076">
        <v>0</v>
      </c>
      <c r="W1076" s="20">
        <v>4.0046296296296297E-3</v>
      </c>
      <c r="X1076" t="s">
        <v>2540</v>
      </c>
      <c r="Y1076">
        <v>13</v>
      </c>
      <c r="Z1076">
        <v>0</v>
      </c>
      <c r="AA1076" t="s">
        <v>78</v>
      </c>
      <c r="AB1076">
        <v>0</v>
      </c>
      <c r="AC1076" t="s">
        <v>137</v>
      </c>
      <c r="AD1076">
        <v>1</v>
      </c>
      <c r="AE1076">
        <v>-1</v>
      </c>
      <c r="AF1076" t="s">
        <v>79</v>
      </c>
      <c r="AG1076" t="s">
        <v>1963</v>
      </c>
    </row>
    <row r="1077" spans="1:33" x14ac:dyDescent="0.35">
      <c r="A1077" s="18">
        <v>44458.611111111109</v>
      </c>
      <c r="B1077">
        <v>5558400</v>
      </c>
      <c r="C1077" t="s">
        <v>1990</v>
      </c>
      <c r="D1077" t="s">
        <v>70</v>
      </c>
      <c r="E1077" s="19">
        <v>43396</v>
      </c>
      <c r="F1077" t="str">
        <f t="shared" si="4"/>
        <v>9781119516200</v>
      </c>
      <c r="G1077" t="str">
        <f t="shared" si="5"/>
        <v>9781119516187</v>
      </c>
      <c r="H1077" t="s">
        <v>128</v>
      </c>
      <c r="I1077">
        <v>307.76</v>
      </c>
      <c r="J1077" t="s">
        <v>1991</v>
      </c>
      <c r="K1077" t="s">
        <v>73</v>
      </c>
      <c r="N1077" t="s">
        <v>74</v>
      </c>
      <c r="O1077" t="s">
        <v>75</v>
      </c>
      <c r="P1077" t="s">
        <v>74</v>
      </c>
      <c r="Q1077" t="s">
        <v>76</v>
      </c>
      <c r="R1077" t="s">
        <v>73</v>
      </c>
      <c r="S1077">
        <v>0</v>
      </c>
      <c r="W1077" s="20">
        <v>4.6296296296296294E-5</v>
      </c>
      <c r="X1077" t="s">
        <v>2541</v>
      </c>
      <c r="Y1077">
        <v>1</v>
      </c>
      <c r="Z1077">
        <v>0</v>
      </c>
      <c r="AA1077" t="s">
        <v>78</v>
      </c>
      <c r="AB1077">
        <v>0</v>
      </c>
      <c r="AC1077" t="s">
        <v>78</v>
      </c>
      <c r="AD1077">
        <v>0</v>
      </c>
      <c r="AE1077">
        <v>-1</v>
      </c>
      <c r="AF1077" t="s">
        <v>79</v>
      </c>
      <c r="AG1077" t="s">
        <v>1009</v>
      </c>
    </row>
    <row r="1078" spans="1:33" x14ac:dyDescent="0.35">
      <c r="A1078" s="18">
        <v>44458.60833333333</v>
      </c>
      <c r="B1078">
        <v>5558400</v>
      </c>
      <c r="C1078" t="s">
        <v>1990</v>
      </c>
      <c r="D1078" t="s">
        <v>70</v>
      </c>
      <c r="E1078" s="19">
        <v>43396</v>
      </c>
      <c r="F1078" t="str">
        <f t="shared" si="4"/>
        <v>9781119516200</v>
      </c>
      <c r="G1078" t="str">
        <f t="shared" si="5"/>
        <v>9781119516187</v>
      </c>
      <c r="H1078" t="s">
        <v>128</v>
      </c>
      <c r="I1078">
        <v>307.76</v>
      </c>
      <c r="J1078" t="s">
        <v>1991</v>
      </c>
      <c r="K1078" t="s">
        <v>73</v>
      </c>
      <c r="N1078" t="s">
        <v>74</v>
      </c>
      <c r="O1078" t="s">
        <v>75</v>
      </c>
      <c r="P1078" t="s">
        <v>74</v>
      </c>
      <c r="Q1078" t="s">
        <v>76</v>
      </c>
      <c r="R1078" t="s">
        <v>73</v>
      </c>
      <c r="S1078">
        <v>0</v>
      </c>
      <c r="W1078" s="20">
        <v>2.2453703703703708E-2</v>
      </c>
      <c r="X1078" t="s">
        <v>2542</v>
      </c>
      <c r="Y1078">
        <v>11</v>
      </c>
      <c r="Z1078">
        <v>1</v>
      </c>
      <c r="AA1078" t="s">
        <v>2543</v>
      </c>
      <c r="AB1078">
        <v>3</v>
      </c>
      <c r="AC1078" t="s">
        <v>78</v>
      </c>
      <c r="AD1078">
        <v>0</v>
      </c>
      <c r="AE1078">
        <v>-1</v>
      </c>
      <c r="AF1078" t="s">
        <v>79</v>
      </c>
      <c r="AG1078" t="s">
        <v>862</v>
      </c>
    </row>
    <row r="1079" spans="1:33" x14ac:dyDescent="0.35">
      <c r="A1079" s="18">
        <v>44458.583333333336</v>
      </c>
      <c r="B1079">
        <v>5558400</v>
      </c>
      <c r="C1079" t="s">
        <v>1990</v>
      </c>
      <c r="D1079" t="s">
        <v>70</v>
      </c>
      <c r="E1079" s="19">
        <v>43396</v>
      </c>
      <c r="F1079" t="str">
        <f t="shared" si="4"/>
        <v>9781119516200</v>
      </c>
      <c r="G1079" t="str">
        <f t="shared" si="5"/>
        <v>9781119516187</v>
      </c>
      <c r="H1079" t="s">
        <v>128</v>
      </c>
      <c r="I1079">
        <v>307.76</v>
      </c>
      <c r="J1079" t="s">
        <v>1991</v>
      </c>
      <c r="K1079" t="s">
        <v>73</v>
      </c>
      <c r="N1079" t="s">
        <v>74</v>
      </c>
      <c r="O1079" t="s">
        <v>75</v>
      </c>
      <c r="P1079" t="s">
        <v>74</v>
      </c>
      <c r="Q1079" t="s">
        <v>76</v>
      </c>
      <c r="R1079" t="s">
        <v>73</v>
      </c>
      <c r="S1079">
        <v>0</v>
      </c>
      <c r="W1079" s="20">
        <v>2.9618055555555554E-2</v>
      </c>
      <c r="X1079" t="s">
        <v>2544</v>
      </c>
      <c r="Y1079">
        <v>36</v>
      </c>
      <c r="Z1079">
        <v>0</v>
      </c>
      <c r="AA1079" t="s">
        <v>78</v>
      </c>
      <c r="AB1079">
        <v>0</v>
      </c>
      <c r="AC1079" t="s">
        <v>78</v>
      </c>
      <c r="AD1079">
        <v>0</v>
      </c>
      <c r="AE1079">
        <v>-1</v>
      </c>
      <c r="AF1079" t="s">
        <v>79</v>
      </c>
      <c r="AG1079" t="s">
        <v>2487</v>
      </c>
    </row>
    <row r="1080" spans="1:33" x14ac:dyDescent="0.35">
      <c r="A1080" s="18">
        <v>44458.576388888891</v>
      </c>
      <c r="B1080">
        <v>5558400</v>
      </c>
      <c r="C1080" t="s">
        <v>1990</v>
      </c>
      <c r="D1080" t="s">
        <v>70</v>
      </c>
      <c r="E1080" s="19">
        <v>43396</v>
      </c>
      <c r="F1080" t="str">
        <f t="shared" si="4"/>
        <v>9781119516200</v>
      </c>
      <c r="G1080" t="str">
        <f t="shared" si="5"/>
        <v>9781119516187</v>
      </c>
      <c r="H1080" t="s">
        <v>128</v>
      </c>
      <c r="I1080">
        <v>307.76</v>
      </c>
      <c r="J1080" t="s">
        <v>1991</v>
      </c>
      <c r="K1080" t="s">
        <v>73</v>
      </c>
      <c r="N1080" t="s">
        <v>74</v>
      </c>
      <c r="O1080" t="s">
        <v>75</v>
      </c>
      <c r="P1080" t="s">
        <v>74</v>
      </c>
      <c r="Q1080" t="s">
        <v>76</v>
      </c>
      <c r="R1080" t="s">
        <v>73</v>
      </c>
      <c r="S1080">
        <v>0</v>
      </c>
      <c r="W1080" s="20">
        <v>1.2731481481481481E-2</v>
      </c>
      <c r="X1080" t="s">
        <v>2545</v>
      </c>
      <c r="Y1080">
        <v>27</v>
      </c>
      <c r="Z1080">
        <v>0</v>
      </c>
      <c r="AA1080" t="s">
        <v>78</v>
      </c>
      <c r="AB1080">
        <v>0</v>
      </c>
      <c r="AC1080" t="s">
        <v>78</v>
      </c>
      <c r="AD1080">
        <v>0</v>
      </c>
      <c r="AE1080">
        <v>-1</v>
      </c>
      <c r="AF1080" t="s">
        <v>79</v>
      </c>
      <c r="AG1080" t="s">
        <v>1963</v>
      </c>
    </row>
    <row r="1081" spans="1:33" x14ac:dyDescent="0.35">
      <c r="A1081" s="18">
        <v>44458.570833333331</v>
      </c>
      <c r="B1081">
        <v>270068</v>
      </c>
      <c r="C1081" t="s">
        <v>2546</v>
      </c>
      <c r="D1081" t="s">
        <v>158</v>
      </c>
      <c r="E1081" s="19">
        <v>38973</v>
      </c>
      <c r="F1081" t="str">
        <f>"9780080457383"</f>
        <v>9780080457383</v>
      </c>
      <c r="G1081" t="str">
        <f>"9780120884056"</f>
        <v>9780120884056</v>
      </c>
      <c r="H1081" t="s">
        <v>466</v>
      </c>
      <c r="I1081">
        <v>621.31700000000001</v>
      </c>
      <c r="J1081" t="s">
        <v>2547</v>
      </c>
      <c r="K1081" t="s">
        <v>73</v>
      </c>
      <c r="N1081" t="s">
        <v>74</v>
      </c>
      <c r="O1081" t="s">
        <v>75</v>
      </c>
      <c r="P1081" t="s">
        <v>74</v>
      </c>
      <c r="Q1081" t="s">
        <v>76</v>
      </c>
      <c r="R1081" t="s">
        <v>73</v>
      </c>
      <c r="S1081">
        <v>0</v>
      </c>
      <c r="W1081" s="20">
        <v>0</v>
      </c>
      <c r="X1081" t="s">
        <v>78</v>
      </c>
      <c r="Y1081">
        <v>0</v>
      </c>
      <c r="Z1081">
        <v>1</v>
      </c>
      <c r="AA1081" t="s">
        <v>2548</v>
      </c>
      <c r="AB1081">
        <v>82</v>
      </c>
      <c r="AC1081" t="s">
        <v>78</v>
      </c>
      <c r="AD1081">
        <v>0</v>
      </c>
      <c r="AE1081">
        <v>10138178</v>
      </c>
      <c r="AF1081" t="s">
        <v>79</v>
      </c>
      <c r="AG1081" t="s">
        <v>1963</v>
      </c>
    </row>
    <row r="1082" spans="1:33" x14ac:dyDescent="0.35">
      <c r="A1082" s="18">
        <v>44458.527083333334</v>
      </c>
      <c r="B1082">
        <v>5984824</v>
      </c>
      <c r="C1082" t="s">
        <v>2549</v>
      </c>
      <c r="D1082" t="s">
        <v>2550</v>
      </c>
      <c r="E1082" s="19">
        <v>43791</v>
      </c>
      <c r="F1082" t="str">
        <f>"9781838981105"</f>
        <v>9781838981105</v>
      </c>
      <c r="G1082" t="str">
        <f>"9781838983994"</f>
        <v>9781838983994</v>
      </c>
      <c r="H1082" t="s">
        <v>110</v>
      </c>
      <c r="K1082" t="s">
        <v>85</v>
      </c>
      <c r="Q1082" t="s">
        <v>76</v>
      </c>
      <c r="R1082" t="s">
        <v>73</v>
      </c>
      <c r="S1082">
        <v>0</v>
      </c>
      <c r="W1082" s="20">
        <v>1.3726851851851851E-2</v>
      </c>
      <c r="X1082" t="s">
        <v>2551</v>
      </c>
      <c r="Y1082">
        <v>17</v>
      </c>
      <c r="Z1082">
        <v>0</v>
      </c>
      <c r="AA1082" t="s">
        <v>78</v>
      </c>
      <c r="AB1082">
        <v>0</v>
      </c>
      <c r="AC1082" t="s">
        <v>78</v>
      </c>
      <c r="AD1082">
        <v>0</v>
      </c>
      <c r="AE1082">
        <v>-1</v>
      </c>
      <c r="AF1082" t="s">
        <v>88</v>
      </c>
      <c r="AG1082" t="s">
        <v>1963</v>
      </c>
    </row>
    <row r="1083" spans="1:33" x14ac:dyDescent="0.35">
      <c r="A1083" s="18">
        <v>44458.527083333334</v>
      </c>
      <c r="B1083">
        <v>533629</v>
      </c>
      <c r="C1083" t="s">
        <v>2552</v>
      </c>
      <c r="D1083" t="s">
        <v>127</v>
      </c>
      <c r="E1083" s="19">
        <v>40113</v>
      </c>
      <c r="F1083" t="str">
        <f>"9781420095043"</f>
        <v>9781420095043</v>
      </c>
      <c r="G1083" t="str">
        <f>"9781420095036"</f>
        <v>9781420095036</v>
      </c>
      <c r="H1083" t="s">
        <v>154</v>
      </c>
      <c r="I1083" t="s">
        <v>2553</v>
      </c>
      <c r="J1083" t="s">
        <v>2554</v>
      </c>
      <c r="K1083" t="s">
        <v>73</v>
      </c>
      <c r="N1083" t="s">
        <v>74</v>
      </c>
      <c r="O1083" t="s">
        <v>75</v>
      </c>
      <c r="P1083" t="s">
        <v>74</v>
      </c>
      <c r="Q1083" t="s">
        <v>76</v>
      </c>
      <c r="R1083" t="s">
        <v>73</v>
      </c>
      <c r="S1083">
        <v>0</v>
      </c>
      <c r="W1083" s="20">
        <v>1.1574074074074073E-5</v>
      </c>
      <c r="X1083" t="s">
        <v>78</v>
      </c>
      <c r="Y1083">
        <v>0</v>
      </c>
      <c r="Z1083">
        <v>2</v>
      </c>
      <c r="AA1083" t="s">
        <v>2555</v>
      </c>
      <c r="AB1083">
        <v>28</v>
      </c>
      <c r="AC1083" t="s">
        <v>78</v>
      </c>
      <c r="AD1083">
        <v>0</v>
      </c>
      <c r="AE1083">
        <v>10340862</v>
      </c>
      <c r="AF1083" t="s">
        <v>79</v>
      </c>
      <c r="AG1083" t="s">
        <v>1963</v>
      </c>
    </row>
    <row r="1084" spans="1:33" x14ac:dyDescent="0.35">
      <c r="A1084" s="18">
        <v>44458.51666666667</v>
      </c>
      <c r="B1084">
        <v>5558400</v>
      </c>
      <c r="C1084" t="s">
        <v>1990</v>
      </c>
      <c r="D1084" t="s">
        <v>70</v>
      </c>
      <c r="E1084" s="19">
        <v>43396</v>
      </c>
      <c r="F1084" t="str">
        <f>"9781119516200"</f>
        <v>9781119516200</v>
      </c>
      <c r="G1084" t="str">
        <f>"9781119516187"</f>
        <v>9781119516187</v>
      </c>
      <c r="H1084" t="s">
        <v>128</v>
      </c>
      <c r="I1084">
        <v>307.76</v>
      </c>
      <c r="J1084" t="s">
        <v>1991</v>
      </c>
      <c r="K1084" t="s">
        <v>73</v>
      </c>
      <c r="N1084" t="s">
        <v>74</v>
      </c>
      <c r="O1084" t="s">
        <v>75</v>
      </c>
      <c r="P1084" t="s">
        <v>74</v>
      </c>
      <c r="Q1084" t="s">
        <v>76</v>
      </c>
      <c r="R1084" t="s">
        <v>73</v>
      </c>
      <c r="S1084">
        <v>0</v>
      </c>
      <c r="W1084" s="20">
        <v>6.9444444444444444E-5</v>
      </c>
      <c r="X1084" t="s">
        <v>249</v>
      </c>
      <c r="Y1084">
        <v>2</v>
      </c>
      <c r="Z1084">
        <v>0</v>
      </c>
      <c r="AA1084" t="s">
        <v>78</v>
      </c>
      <c r="AB1084">
        <v>0</v>
      </c>
      <c r="AC1084" t="s">
        <v>78</v>
      </c>
      <c r="AD1084">
        <v>0</v>
      </c>
      <c r="AE1084">
        <v>-1</v>
      </c>
      <c r="AF1084" t="s">
        <v>79</v>
      </c>
      <c r="AG1084" t="s">
        <v>1963</v>
      </c>
    </row>
    <row r="1085" spans="1:33" x14ac:dyDescent="0.35">
      <c r="A1085" s="18">
        <v>44458.467361111114</v>
      </c>
      <c r="B1085">
        <v>5558400</v>
      </c>
      <c r="C1085" t="s">
        <v>1990</v>
      </c>
      <c r="D1085" t="s">
        <v>70</v>
      </c>
      <c r="E1085" s="19">
        <v>43396</v>
      </c>
      <c r="F1085" t="str">
        <f>"9781119516200"</f>
        <v>9781119516200</v>
      </c>
      <c r="G1085" t="str">
        <f>"9781119516187"</f>
        <v>9781119516187</v>
      </c>
      <c r="H1085" t="s">
        <v>128</v>
      </c>
      <c r="I1085">
        <v>307.76</v>
      </c>
      <c r="J1085" t="s">
        <v>1991</v>
      </c>
      <c r="K1085" t="s">
        <v>73</v>
      </c>
      <c r="N1085" t="s">
        <v>74</v>
      </c>
      <c r="O1085" t="s">
        <v>75</v>
      </c>
      <c r="P1085" t="s">
        <v>74</v>
      </c>
      <c r="Q1085" t="s">
        <v>76</v>
      </c>
      <c r="R1085" t="s">
        <v>73</v>
      </c>
      <c r="S1085">
        <v>0</v>
      </c>
      <c r="W1085" s="20">
        <v>3.3564814814814812E-4</v>
      </c>
      <c r="X1085" t="s">
        <v>2412</v>
      </c>
      <c r="Y1085">
        <v>7</v>
      </c>
      <c r="Z1085">
        <v>0</v>
      </c>
      <c r="AA1085" t="s">
        <v>78</v>
      </c>
      <c r="AB1085">
        <v>0</v>
      </c>
      <c r="AC1085" t="s">
        <v>78</v>
      </c>
      <c r="AD1085">
        <v>0</v>
      </c>
      <c r="AE1085">
        <v>-1</v>
      </c>
      <c r="AF1085" t="s">
        <v>79</v>
      </c>
      <c r="AG1085" t="s">
        <v>1963</v>
      </c>
    </row>
    <row r="1086" spans="1:33" x14ac:dyDescent="0.35">
      <c r="A1086" s="18">
        <v>44458.467361111114</v>
      </c>
      <c r="B1086">
        <v>5558400</v>
      </c>
      <c r="C1086" t="s">
        <v>1990</v>
      </c>
      <c r="D1086" t="s">
        <v>70</v>
      </c>
      <c r="E1086" s="19">
        <v>43396</v>
      </c>
      <c r="F1086" t="str">
        <f>"9781119516200"</f>
        <v>9781119516200</v>
      </c>
      <c r="G1086" t="str">
        <f>"9781119516187"</f>
        <v>9781119516187</v>
      </c>
      <c r="H1086" t="s">
        <v>128</v>
      </c>
      <c r="I1086">
        <v>307.76</v>
      </c>
      <c r="J1086" t="s">
        <v>1991</v>
      </c>
      <c r="K1086" t="s">
        <v>73</v>
      </c>
      <c r="N1086" t="s">
        <v>74</v>
      </c>
      <c r="O1086" t="s">
        <v>75</v>
      </c>
      <c r="P1086" t="s">
        <v>74</v>
      </c>
      <c r="Q1086" t="s">
        <v>76</v>
      </c>
      <c r="R1086" t="s">
        <v>73</v>
      </c>
      <c r="S1086">
        <v>0</v>
      </c>
      <c r="W1086" s="20">
        <v>6.4814814814814813E-4</v>
      </c>
      <c r="X1086" t="s">
        <v>2497</v>
      </c>
      <c r="Y1086">
        <v>8</v>
      </c>
      <c r="Z1086">
        <v>0</v>
      </c>
      <c r="AA1086" t="s">
        <v>78</v>
      </c>
      <c r="AB1086">
        <v>0</v>
      </c>
      <c r="AC1086" t="s">
        <v>78</v>
      </c>
      <c r="AD1086">
        <v>0</v>
      </c>
      <c r="AE1086">
        <v>-1</v>
      </c>
      <c r="AF1086" t="s">
        <v>79</v>
      </c>
      <c r="AG1086" t="s">
        <v>2364</v>
      </c>
    </row>
    <row r="1087" spans="1:33" x14ac:dyDescent="0.35">
      <c r="A1087" s="18">
        <v>44458.467361111114</v>
      </c>
      <c r="B1087">
        <v>5558400</v>
      </c>
      <c r="C1087" t="s">
        <v>1990</v>
      </c>
      <c r="D1087" t="s">
        <v>70</v>
      </c>
      <c r="E1087" s="19">
        <v>43396</v>
      </c>
      <c r="F1087" t="str">
        <f>"9781119516200"</f>
        <v>9781119516200</v>
      </c>
      <c r="G1087" t="str">
        <f>"9781119516187"</f>
        <v>9781119516187</v>
      </c>
      <c r="H1087" t="s">
        <v>128</v>
      </c>
      <c r="I1087">
        <v>307.76</v>
      </c>
      <c r="J1087" t="s">
        <v>1991</v>
      </c>
      <c r="K1087" t="s">
        <v>73</v>
      </c>
      <c r="N1087" t="s">
        <v>74</v>
      </c>
      <c r="O1087" t="s">
        <v>75</v>
      </c>
      <c r="P1087" t="s">
        <v>74</v>
      </c>
      <c r="Q1087" t="s">
        <v>76</v>
      </c>
      <c r="R1087" t="s">
        <v>73</v>
      </c>
      <c r="S1087">
        <v>0</v>
      </c>
      <c r="W1087" s="20">
        <v>5.3240740740740744E-4</v>
      </c>
      <c r="X1087" t="s">
        <v>2130</v>
      </c>
      <c r="Y1087">
        <v>4</v>
      </c>
      <c r="Z1087">
        <v>0</v>
      </c>
      <c r="AA1087" t="s">
        <v>78</v>
      </c>
      <c r="AB1087">
        <v>0</v>
      </c>
      <c r="AC1087" t="s">
        <v>78</v>
      </c>
      <c r="AD1087">
        <v>0</v>
      </c>
      <c r="AE1087">
        <v>-1</v>
      </c>
      <c r="AF1087" t="s">
        <v>79</v>
      </c>
      <c r="AG1087" t="s">
        <v>1963</v>
      </c>
    </row>
    <row r="1088" spans="1:33" x14ac:dyDescent="0.35">
      <c r="A1088" s="18">
        <v>44458.467361111114</v>
      </c>
      <c r="B1088">
        <v>5558400</v>
      </c>
      <c r="C1088" t="s">
        <v>1990</v>
      </c>
      <c r="D1088" t="s">
        <v>70</v>
      </c>
      <c r="E1088" s="19">
        <v>43396</v>
      </c>
      <c r="F1088" t="str">
        <f>"9781119516200"</f>
        <v>9781119516200</v>
      </c>
      <c r="G1088" t="str">
        <f>"9781119516187"</f>
        <v>9781119516187</v>
      </c>
      <c r="H1088" t="s">
        <v>128</v>
      </c>
      <c r="I1088">
        <v>307.76</v>
      </c>
      <c r="J1088" t="s">
        <v>1991</v>
      </c>
      <c r="K1088" t="s">
        <v>73</v>
      </c>
      <c r="N1088" t="s">
        <v>74</v>
      </c>
      <c r="O1088" t="s">
        <v>75</v>
      </c>
      <c r="P1088" t="s">
        <v>74</v>
      </c>
      <c r="Q1088" t="s">
        <v>76</v>
      </c>
      <c r="R1088" t="s">
        <v>73</v>
      </c>
      <c r="S1088">
        <v>0</v>
      </c>
      <c r="W1088" s="20">
        <v>2.1759259259259258E-3</v>
      </c>
      <c r="X1088" t="s">
        <v>2556</v>
      </c>
      <c r="Y1088">
        <v>18</v>
      </c>
      <c r="Z1088">
        <v>0</v>
      </c>
      <c r="AA1088" t="s">
        <v>78</v>
      </c>
      <c r="AB1088">
        <v>0</v>
      </c>
      <c r="AC1088" t="s">
        <v>78</v>
      </c>
      <c r="AD1088">
        <v>0</v>
      </c>
      <c r="AE1088">
        <v>-1</v>
      </c>
      <c r="AF1088" t="s">
        <v>79</v>
      </c>
      <c r="AG1088" t="s">
        <v>1963</v>
      </c>
    </row>
    <row r="1089" spans="1:33" x14ac:dyDescent="0.35">
      <c r="A1089" s="18">
        <v>44458.46597222222</v>
      </c>
      <c r="B1089">
        <v>547942</v>
      </c>
      <c r="C1089" t="s">
        <v>2557</v>
      </c>
      <c r="D1089" t="s">
        <v>102</v>
      </c>
      <c r="E1089" s="19">
        <v>40389</v>
      </c>
      <c r="F1089" t="str">
        <f>"9780199780150"</f>
        <v>9780199780150</v>
      </c>
      <c r="G1089" t="str">
        <f>"9780195388572"</f>
        <v>9780195388572</v>
      </c>
      <c r="H1089" t="s">
        <v>621</v>
      </c>
      <c r="I1089">
        <v>362.20972999999998</v>
      </c>
      <c r="J1089" t="s">
        <v>2558</v>
      </c>
      <c r="K1089" t="s">
        <v>73</v>
      </c>
      <c r="N1089" t="s">
        <v>74</v>
      </c>
      <c r="O1089" t="s">
        <v>75</v>
      </c>
      <c r="P1089" t="s">
        <v>74</v>
      </c>
      <c r="Q1089" t="s">
        <v>76</v>
      </c>
      <c r="R1089" t="s">
        <v>73</v>
      </c>
      <c r="S1089">
        <v>0</v>
      </c>
      <c r="W1089" s="20">
        <v>6.7129629629629625E-4</v>
      </c>
      <c r="X1089" t="s">
        <v>2559</v>
      </c>
      <c r="Y1089">
        <v>11</v>
      </c>
      <c r="Z1089">
        <v>0</v>
      </c>
      <c r="AA1089" t="s">
        <v>78</v>
      </c>
      <c r="AB1089">
        <v>0</v>
      </c>
      <c r="AC1089" t="s">
        <v>78</v>
      </c>
      <c r="AD1089">
        <v>0</v>
      </c>
      <c r="AE1089">
        <v>10400775</v>
      </c>
      <c r="AF1089" t="s">
        <v>79</v>
      </c>
      <c r="AG1089" t="s">
        <v>2560</v>
      </c>
    </row>
    <row r="1090" spans="1:33" x14ac:dyDescent="0.35">
      <c r="A1090" s="18">
        <v>44458.46597222222</v>
      </c>
      <c r="B1090">
        <v>454333</v>
      </c>
      <c r="C1090" t="s">
        <v>2561</v>
      </c>
      <c r="D1090" t="s">
        <v>70</v>
      </c>
      <c r="E1090" s="19">
        <v>39979</v>
      </c>
      <c r="F1090" t="str">
        <f>"9781444316995"</f>
        <v>9781444316995</v>
      </c>
      <c r="G1090" t="str">
        <f>"9780727916396"</f>
        <v>9780727916396</v>
      </c>
      <c r="H1090" t="s">
        <v>1084</v>
      </c>
      <c r="I1090">
        <v>616.89</v>
      </c>
      <c r="J1090" t="s">
        <v>2562</v>
      </c>
      <c r="K1090" t="s">
        <v>73</v>
      </c>
      <c r="N1090" t="s">
        <v>74</v>
      </c>
      <c r="O1090" t="s">
        <v>75</v>
      </c>
      <c r="P1090" t="s">
        <v>74</v>
      </c>
      <c r="Q1090" t="s">
        <v>76</v>
      </c>
      <c r="R1090" t="s">
        <v>73</v>
      </c>
      <c r="S1090">
        <v>0</v>
      </c>
      <c r="W1090" s="20">
        <v>3.0474537037037036E-2</v>
      </c>
      <c r="X1090" t="s">
        <v>2563</v>
      </c>
      <c r="Y1090">
        <v>19</v>
      </c>
      <c r="Z1090">
        <v>0</v>
      </c>
      <c r="AA1090" t="s">
        <v>78</v>
      </c>
      <c r="AB1090">
        <v>0</v>
      </c>
      <c r="AC1090" t="s">
        <v>78</v>
      </c>
      <c r="AD1090">
        <v>0</v>
      </c>
      <c r="AE1090">
        <v>10317829</v>
      </c>
      <c r="AF1090" t="s">
        <v>79</v>
      </c>
      <c r="AG1090" t="s">
        <v>2560</v>
      </c>
    </row>
    <row r="1091" spans="1:33" x14ac:dyDescent="0.35">
      <c r="A1091" s="18">
        <v>44458.46597222222</v>
      </c>
      <c r="B1091">
        <v>334473</v>
      </c>
      <c r="C1091" t="s">
        <v>2564</v>
      </c>
      <c r="D1091" t="s">
        <v>844</v>
      </c>
      <c r="E1091" s="19">
        <v>39002</v>
      </c>
      <c r="F1091" t="str">
        <f>"9781847878786"</f>
        <v>9781847878786</v>
      </c>
      <c r="G1091" t="str">
        <f>"9781412923316"</f>
        <v>9781412923316</v>
      </c>
      <c r="H1091" t="s">
        <v>1179</v>
      </c>
      <c r="I1091">
        <v>371.71300000000002</v>
      </c>
      <c r="J1091" t="s">
        <v>2565</v>
      </c>
      <c r="K1091" t="s">
        <v>73</v>
      </c>
      <c r="N1091" t="s">
        <v>74</v>
      </c>
      <c r="O1091" t="s">
        <v>75</v>
      </c>
      <c r="P1091" t="s">
        <v>74</v>
      </c>
      <c r="Q1091" t="s">
        <v>76</v>
      </c>
      <c r="R1091" t="s">
        <v>73</v>
      </c>
      <c r="S1091">
        <v>0</v>
      </c>
      <c r="W1091" s="20">
        <v>3.0312499999999996E-2</v>
      </c>
      <c r="X1091" t="s">
        <v>2566</v>
      </c>
      <c r="Y1091">
        <v>35</v>
      </c>
      <c r="Z1091">
        <v>0</v>
      </c>
      <c r="AA1091" t="s">
        <v>78</v>
      </c>
      <c r="AB1091">
        <v>0</v>
      </c>
      <c r="AC1091" t="s">
        <v>78</v>
      </c>
      <c r="AD1091">
        <v>0</v>
      </c>
      <c r="AE1091">
        <v>10218269</v>
      </c>
      <c r="AF1091" t="s">
        <v>79</v>
      </c>
      <c r="AG1091" t="s">
        <v>2560</v>
      </c>
    </row>
    <row r="1092" spans="1:33" x14ac:dyDescent="0.35">
      <c r="A1092" s="18">
        <v>44458.465277777781</v>
      </c>
      <c r="B1092">
        <v>2073089</v>
      </c>
      <c r="C1092" t="s">
        <v>2530</v>
      </c>
      <c r="D1092" t="s">
        <v>723</v>
      </c>
      <c r="E1092" s="19">
        <v>42176</v>
      </c>
      <c r="F1092" t="str">
        <f>"9781784500504"</f>
        <v>9781784500504</v>
      </c>
      <c r="G1092" t="str">
        <f>"9781849055963"</f>
        <v>9781849055963</v>
      </c>
      <c r="H1092" t="s">
        <v>621</v>
      </c>
      <c r="I1092">
        <v>362.2</v>
      </c>
      <c r="J1092" t="s">
        <v>2531</v>
      </c>
      <c r="K1092" t="s">
        <v>73</v>
      </c>
      <c r="N1092" t="s">
        <v>74</v>
      </c>
      <c r="O1092" t="s">
        <v>75</v>
      </c>
      <c r="P1092" t="s">
        <v>74</v>
      </c>
      <c r="Q1092" t="s">
        <v>76</v>
      </c>
      <c r="R1092" t="s">
        <v>73</v>
      </c>
      <c r="S1092">
        <v>0</v>
      </c>
      <c r="W1092" s="20">
        <v>2.5925925925925925E-2</v>
      </c>
      <c r="X1092" t="s">
        <v>2567</v>
      </c>
      <c r="Y1092">
        <v>56</v>
      </c>
      <c r="Z1092">
        <v>0</v>
      </c>
      <c r="AA1092" t="s">
        <v>78</v>
      </c>
      <c r="AB1092">
        <v>0</v>
      </c>
      <c r="AC1092" t="s">
        <v>78</v>
      </c>
      <c r="AD1092">
        <v>0</v>
      </c>
      <c r="AE1092">
        <v>11066930</v>
      </c>
      <c r="AF1092" t="s">
        <v>79</v>
      </c>
      <c r="AG1092" t="s">
        <v>2560</v>
      </c>
    </row>
    <row r="1093" spans="1:33" x14ac:dyDescent="0.35">
      <c r="A1093" s="18">
        <v>44458.465277777781</v>
      </c>
      <c r="B1093">
        <v>284778</v>
      </c>
      <c r="C1093" t="s">
        <v>2526</v>
      </c>
      <c r="D1093" t="s">
        <v>2527</v>
      </c>
      <c r="E1093" s="19">
        <v>38353</v>
      </c>
      <c r="F1093" t="str">
        <f>"9781280268670"</f>
        <v>9781280268670</v>
      </c>
      <c r="G1093" t="str">
        <f>"9789289013772"</f>
        <v>9789289013772</v>
      </c>
      <c r="H1093" t="s">
        <v>621</v>
      </c>
      <c r="I1093">
        <v>362.20940000000002</v>
      </c>
      <c r="J1093" t="s">
        <v>2528</v>
      </c>
      <c r="K1093" t="s">
        <v>73</v>
      </c>
      <c r="N1093" t="s">
        <v>74</v>
      </c>
      <c r="O1093" t="s">
        <v>75</v>
      </c>
      <c r="P1093" t="s">
        <v>74</v>
      </c>
      <c r="Q1093" t="s">
        <v>76</v>
      </c>
      <c r="R1093" t="s">
        <v>73</v>
      </c>
      <c r="S1093">
        <v>0</v>
      </c>
      <c r="W1093" s="20">
        <v>1.6585648148148148E-2</v>
      </c>
      <c r="X1093" t="s">
        <v>2568</v>
      </c>
      <c r="Y1093">
        <v>37</v>
      </c>
      <c r="Z1093">
        <v>0</v>
      </c>
      <c r="AA1093" t="s">
        <v>78</v>
      </c>
      <c r="AB1093">
        <v>0</v>
      </c>
      <c r="AC1093" t="s">
        <v>2215</v>
      </c>
      <c r="AD1093">
        <v>1</v>
      </c>
      <c r="AE1093">
        <v>10104339</v>
      </c>
      <c r="AF1093" t="s">
        <v>79</v>
      </c>
      <c r="AG1093" t="s">
        <v>2560</v>
      </c>
    </row>
    <row r="1094" spans="1:33" x14ac:dyDescent="0.35">
      <c r="A1094" s="18">
        <v>44458.462500000001</v>
      </c>
      <c r="B1094">
        <v>5558400</v>
      </c>
      <c r="C1094" t="s">
        <v>1990</v>
      </c>
      <c r="D1094" t="s">
        <v>70</v>
      </c>
      <c r="E1094" s="19">
        <v>43396</v>
      </c>
      <c r="F1094" t="str">
        <f>"9781119516200"</f>
        <v>9781119516200</v>
      </c>
      <c r="G1094" t="str">
        <f>"9781119516187"</f>
        <v>9781119516187</v>
      </c>
      <c r="H1094" t="s">
        <v>128</v>
      </c>
      <c r="I1094">
        <v>307.76</v>
      </c>
      <c r="J1094" t="s">
        <v>1991</v>
      </c>
      <c r="K1094" t="s">
        <v>73</v>
      </c>
      <c r="N1094" t="s">
        <v>74</v>
      </c>
      <c r="O1094" t="s">
        <v>75</v>
      </c>
      <c r="P1094" t="s">
        <v>74</v>
      </c>
      <c r="Q1094" t="s">
        <v>76</v>
      </c>
      <c r="R1094" t="s">
        <v>73</v>
      </c>
      <c r="S1094">
        <v>0</v>
      </c>
      <c r="W1094" s="20">
        <v>8.2291666666666659E-3</v>
      </c>
      <c r="X1094" t="s">
        <v>2569</v>
      </c>
      <c r="Y1094">
        <v>12</v>
      </c>
      <c r="Z1094">
        <v>0</v>
      </c>
      <c r="AA1094" t="s">
        <v>78</v>
      </c>
      <c r="AB1094">
        <v>0</v>
      </c>
      <c r="AC1094" t="s">
        <v>78</v>
      </c>
      <c r="AD1094">
        <v>0</v>
      </c>
      <c r="AE1094">
        <v>-1</v>
      </c>
      <c r="AF1094" t="s">
        <v>79</v>
      </c>
      <c r="AG1094" t="s">
        <v>1963</v>
      </c>
    </row>
    <row r="1095" spans="1:33" x14ac:dyDescent="0.35">
      <c r="A1095" s="18">
        <v>44458.445833333331</v>
      </c>
      <c r="B1095">
        <v>5558400</v>
      </c>
      <c r="C1095" t="s">
        <v>1990</v>
      </c>
      <c r="D1095" t="s">
        <v>70</v>
      </c>
      <c r="E1095" s="19">
        <v>43396</v>
      </c>
      <c r="F1095" t="str">
        <f>"9781119516200"</f>
        <v>9781119516200</v>
      </c>
      <c r="G1095" t="str">
        <f>"9781119516187"</f>
        <v>9781119516187</v>
      </c>
      <c r="H1095" t="s">
        <v>128</v>
      </c>
      <c r="I1095">
        <v>307.76</v>
      </c>
      <c r="J1095" t="s">
        <v>1991</v>
      </c>
      <c r="K1095" t="s">
        <v>73</v>
      </c>
      <c r="N1095" t="s">
        <v>74</v>
      </c>
      <c r="O1095" t="s">
        <v>75</v>
      </c>
      <c r="P1095" t="s">
        <v>74</v>
      </c>
      <c r="Q1095" t="s">
        <v>76</v>
      </c>
      <c r="R1095" t="s">
        <v>73</v>
      </c>
      <c r="S1095">
        <v>0</v>
      </c>
      <c r="W1095" s="20">
        <v>5.7870370370370366E-5</v>
      </c>
      <c r="X1095" t="s">
        <v>2541</v>
      </c>
      <c r="Y1095">
        <v>1</v>
      </c>
      <c r="Z1095">
        <v>0</v>
      </c>
      <c r="AA1095" t="s">
        <v>78</v>
      </c>
      <c r="AB1095">
        <v>0</v>
      </c>
      <c r="AC1095" t="s">
        <v>78</v>
      </c>
      <c r="AD1095">
        <v>0</v>
      </c>
      <c r="AE1095">
        <v>-1</v>
      </c>
      <c r="AF1095" t="s">
        <v>79</v>
      </c>
      <c r="AG1095" t="s">
        <v>1963</v>
      </c>
    </row>
    <row r="1096" spans="1:33" x14ac:dyDescent="0.35">
      <c r="A1096" s="18">
        <v>44458.424305555556</v>
      </c>
      <c r="B1096">
        <v>835145</v>
      </c>
      <c r="C1096" t="s">
        <v>1542</v>
      </c>
      <c r="D1096" t="s">
        <v>70</v>
      </c>
      <c r="E1096" s="19">
        <v>40952</v>
      </c>
      <c r="F1096" t="str">
        <f>"9781119977001"</f>
        <v>9781119977001</v>
      </c>
      <c r="G1096" t="str">
        <f>"9781119992851"</f>
        <v>9781119992851</v>
      </c>
      <c r="H1096" t="s">
        <v>71</v>
      </c>
      <c r="I1096">
        <v>621.31244000000004</v>
      </c>
      <c r="J1096" t="s">
        <v>1543</v>
      </c>
      <c r="K1096" t="s">
        <v>73</v>
      </c>
      <c r="N1096" t="s">
        <v>74</v>
      </c>
      <c r="O1096" t="s">
        <v>75</v>
      </c>
      <c r="P1096" t="s">
        <v>74</v>
      </c>
      <c r="Q1096" t="s">
        <v>76</v>
      </c>
      <c r="R1096" t="s">
        <v>73</v>
      </c>
      <c r="S1096">
        <v>0</v>
      </c>
      <c r="W1096" s="20">
        <v>5.5208333333333333E-3</v>
      </c>
      <c r="X1096" t="s">
        <v>2570</v>
      </c>
      <c r="Y1096">
        <v>16</v>
      </c>
      <c r="Z1096">
        <v>0</v>
      </c>
      <c r="AA1096" t="s">
        <v>78</v>
      </c>
      <c r="AB1096">
        <v>0</v>
      </c>
      <c r="AC1096" t="s">
        <v>78</v>
      </c>
      <c r="AD1096">
        <v>0</v>
      </c>
      <c r="AE1096">
        <v>10526535</v>
      </c>
      <c r="AF1096" t="s">
        <v>79</v>
      </c>
      <c r="AG1096" t="s">
        <v>1963</v>
      </c>
    </row>
    <row r="1097" spans="1:33" x14ac:dyDescent="0.35">
      <c r="A1097" s="18">
        <v>44458.419444444444</v>
      </c>
      <c r="B1097">
        <v>470366</v>
      </c>
      <c r="C1097" t="s">
        <v>2571</v>
      </c>
      <c r="D1097" t="s">
        <v>70</v>
      </c>
      <c r="E1097" s="19">
        <v>38331</v>
      </c>
      <c r="F1097" t="str">
        <f>"9780470698211"</f>
        <v>9780470698211</v>
      </c>
      <c r="G1097" t="str">
        <f>"9780632059140"</f>
        <v>9780632059140</v>
      </c>
      <c r="H1097" t="s">
        <v>2572</v>
      </c>
      <c r="I1097" t="s">
        <v>2573</v>
      </c>
      <c r="J1097" t="s">
        <v>2574</v>
      </c>
      <c r="K1097" t="s">
        <v>73</v>
      </c>
      <c r="N1097" t="s">
        <v>74</v>
      </c>
      <c r="O1097" t="s">
        <v>75</v>
      </c>
      <c r="P1097" t="s">
        <v>74</v>
      </c>
      <c r="Q1097" t="s">
        <v>76</v>
      </c>
      <c r="R1097" t="s">
        <v>73</v>
      </c>
      <c r="S1097">
        <v>0</v>
      </c>
      <c r="W1097" s="20">
        <v>3.4722222222222222E-5</v>
      </c>
      <c r="X1097" t="s">
        <v>132</v>
      </c>
      <c r="Y1097">
        <v>1</v>
      </c>
      <c r="Z1097">
        <v>0</v>
      </c>
      <c r="AA1097" t="s">
        <v>78</v>
      </c>
      <c r="AB1097">
        <v>0</v>
      </c>
      <c r="AC1097" t="s">
        <v>78</v>
      </c>
      <c r="AD1097">
        <v>0</v>
      </c>
      <c r="AE1097">
        <v>10297708</v>
      </c>
      <c r="AF1097" t="s">
        <v>79</v>
      </c>
      <c r="AG1097" t="s">
        <v>1963</v>
      </c>
    </row>
    <row r="1098" spans="1:33" x14ac:dyDescent="0.35">
      <c r="A1098" s="18">
        <v>44458.411805555559</v>
      </c>
      <c r="B1098">
        <v>1574357</v>
      </c>
      <c r="C1098" t="s">
        <v>1544</v>
      </c>
      <c r="D1098" t="s">
        <v>70</v>
      </c>
      <c r="E1098" s="19">
        <v>41680</v>
      </c>
      <c r="F1098" t="str">
        <f>"9781118703366"</f>
        <v>9781118703366</v>
      </c>
      <c r="G1098" t="str">
        <f>"9781118634165"</f>
        <v>9781118634165</v>
      </c>
      <c r="H1098" t="s">
        <v>71</v>
      </c>
      <c r="I1098">
        <v>621.31244000000004</v>
      </c>
      <c r="J1098" t="s">
        <v>1545</v>
      </c>
      <c r="K1098" t="s">
        <v>73</v>
      </c>
      <c r="N1098" t="s">
        <v>74</v>
      </c>
      <c r="O1098" t="s">
        <v>75</v>
      </c>
      <c r="P1098" t="s">
        <v>74</v>
      </c>
      <c r="Q1098" t="s">
        <v>76</v>
      </c>
      <c r="R1098" t="s">
        <v>73</v>
      </c>
      <c r="S1098">
        <v>0</v>
      </c>
      <c r="W1098" s="20">
        <v>1.1678240740740741E-2</v>
      </c>
      <c r="X1098" t="s">
        <v>2575</v>
      </c>
      <c r="Y1098">
        <v>9</v>
      </c>
      <c r="Z1098">
        <v>0</v>
      </c>
      <c r="AA1098" t="s">
        <v>78</v>
      </c>
      <c r="AB1098">
        <v>0</v>
      </c>
      <c r="AC1098" t="s">
        <v>78</v>
      </c>
      <c r="AD1098">
        <v>0</v>
      </c>
      <c r="AE1098">
        <v>10814681</v>
      </c>
      <c r="AF1098" t="s">
        <v>79</v>
      </c>
      <c r="AG1098" t="s">
        <v>1963</v>
      </c>
    </row>
    <row r="1099" spans="1:33" x14ac:dyDescent="0.35">
      <c r="A1099" s="18">
        <v>44458.375</v>
      </c>
      <c r="B1099">
        <v>1574357</v>
      </c>
      <c r="C1099" t="s">
        <v>1544</v>
      </c>
      <c r="D1099" t="s">
        <v>70</v>
      </c>
      <c r="E1099" s="19">
        <v>41680</v>
      </c>
      <c r="F1099" t="str">
        <f>"9781118703366"</f>
        <v>9781118703366</v>
      </c>
      <c r="G1099" t="str">
        <f>"9781118634165"</f>
        <v>9781118634165</v>
      </c>
      <c r="H1099" t="s">
        <v>71</v>
      </c>
      <c r="I1099">
        <v>621.31244000000004</v>
      </c>
      <c r="J1099" t="s">
        <v>1545</v>
      </c>
      <c r="K1099" t="s">
        <v>73</v>
      </c>
      <c r="N1099" t="s">
        <v>74</v>
      </c>
      <c r="O1099" t="s">
        <v>75</v>
      </c>
      <c r="P1099" t="s">
        <v>74</v>
      </c>
      <c r="Q1099" t="s">
        <v>76</v>
      </c>
      <c r="R1099" t="s">
        <v>73</v>
      </c>
      <c r="S1099">
        <v>0</v>
      </c>
      <c r="W1099" s="20">
        <v>5.0000000000000001E-3</v>
      </c>
      <c r="X1099" t="s">
        <v>2576</v>
      </c>
      <c r="Y1099">
        <v>8</v>
      </c>
      <c r="Z1099">
        <v>0</v>
      </c>
      <c r="AA1099" t="s">
        <v>78</v>
      </c>
      <c r="AB1099">
        <v>0</v>
      </c>
      <c r="AC1099" t="s">
        <v>78</v>
      </c>
      <c r="AD1099">
        <v>0</v>
      </c>
      <c r="AE1099">
        <v>10814681</v>
      </c>
      <c r="AF1099" t="s">
        <v>79</v>
      </c>
      <c r="AG1099" t="s">
        <v>1963</v>
      </c>
    </row>
    <row r="1100" spans="1:33" x14ac:dyDescent="0.35">
      <c r="A1100" s="18">
        <v>44458.374305555553</v>
      </c>
      <c r="B1100">
        <v>835145</v>
      </c>
      <c r="C1100" t="s">
        <v>1542</v>
      </c>
      <c r="D1100" t="s">
        <v>70</v>
      </c>
      <c r="E1100" s="19">
        <v>40952</v>
      </c>
      <c r="F1100" t="str">
        <f>"9781119977001"</f>
        <v>9781119977001</v>
      </c>
      <c r="G1100" t="str">
        <f>"9781119992851"</f>
        <v>9781119992851</v>
      </c>
      <c r="H1100" t="s">
        <v>71</v>
      </c>
      <c r="I1100">
        <v>621.31244000000004</v>
      </c>
      <c r="J1100" t="s">
        <v>1543</v>
      </c>
      <c r="K1100" t="s">
        <v>73</v>
      </c>
      <c r="N1100" t="s">
        <v>74</v>
      </c>
      <c r="O1100" t="s">
        <v>75</v>
      </c>
      <c r="P1100" t="s">
        <v>74</v>
      </c>
      <c r="Q1100" t="s">
        <v>76</v>
      </c>
      <c r="R1100" t="s">
        <v>73</v>
      </c>
      <c r="S1100">
        <v>0</v>
      </c>
      <c r="W1100" s="20">
        <v>1.9328703703703704E-3</v>
      </c>
      <c r="X1100" t="s">
        <v>2577</v>
      </c>
      <c r="Y1100">
        <v>9</v>
      </c>
      <c r="Z1100">
        <v>0</v>
      </c>
      <c r="AA1100" t="s">
        <v>78</v>
      </c>
      <c r="AB1100">
        <v>0</v>
      </c>
      <c r="AC1100" t="s">
        <v>78</v>
      </c>
      <c r="AD1100">
        <v>0</v>
      </c>
      <c r="AE1100">
        <v>10526535</v>
      </c>
      <c r="AF1100" t="s">
        <v>79</v>
      </c>
      <c r="AG1100" t="s">
        <v>1963</v>
      </c>
    </row>
    <row r="1101" spans="1:33" x14ac:dyDescent="0.35">
      <c r="A1101" s="18">
        <v>44458.373611111114</v>
      </c>
      <c r="B1101">
        <v>835145</v>
      </c>
      <c r="C1101" t="s">
        <v>1542</v>
      </c>
      <c r="D1101" t="s">
        <v>70</v>
      </c>
      <c r="E1101" s="19">
        <v>40952</v>
      </c>
      <c r="F1101" t="str">
        <f>"9781119977001"</f>
        <v>9781119977001</v>
      </c>
      <c r="G1101" t="str">
        <f>"9781119992851"</f>
        <v>9781119992851</v>
      </c>
      <c r="H1101" t="s">
        <v>71</v>
      </c>
      <c r="I1101">
        <v>621.31244000000004</v>
      </c>
      <c r="J1101" t="s">
        <v>1543</v>
      </c>
      <c r="K1101" t="s">
        <v>73</v>
      </c>
      <c r="N1101" t="s">
        <v>74</v>
      </c>
      <c r="O1101" t="s">
        <v>75</v>
      </c>
      <c r="P1101" t="s">
        <v>74</v>
      </c>
      <c r="Q1101" t="s">
        <v>76</v>
      </c>
      <c r="R1101" t="s">
        <v>73</v>
      </c>
      <c r="S1101">
        <v>0</v>
      </c>
      <c r="W1101" s="20">
        <v>0</v>
      </c>
      <c r="X1101" t="s">
        <v>78</v>
      </c>
      <c r="Y1101">
        <v>0</v>
      </c>
      <c r="Z1101">
        <v>0</v>
      </c>
      <c r="AA1101" t="s">
        <v>78</v>
      </c>
      <c r="AB1101">
        <v>0</v>
      </c>
      <c r="AC1101" t="s">
        <v>78</v>
      </c>
      <c r="AD1101">
        <v>0</v>
      </c>
      <c r="AE1101">
        <v>10526535</v>
      </c>
      <c r="AF1101" t="s">
        <v>79</v>
      </c>
      <c r="AG1101" t="s">
        <v>1963</v>
      </c>
    </row>
    <row r="1102" spans="1:33" x14ac:dyDescent="0.35">
      <c r="A1102" s="18">
        <v>44458.373611111114</v>
      </c>
      <c r="B1102">
        <v>1574357</v>
      </c>
      <c r="C1102" t="s">
        <v>1544</v>
      </c>
      <c r="D1102" t="s">
        <v>70</v>
      </c>
      <c r="E1102" s="19">
        <v>41680</v>
      </c>
      <c r="F1102" t="str">
        <f>"9781118703366"</f>
        <v>9781118703366</v>
      </c>
      <c r="G1102" t="str">
        <f>"9781118634165"</f>
        <v>9781118634165</v>
      </c>
      <c r="H1102" t="s">
        <v>71</v>
      </c>
      <c r="I1102">
        <v>621.31244000000004</v>
      </c>
      <c r="J1102" t="s">
        <v>1545</v>
      </c>
      <c r="K1102" t="s">
        <v>73</v>
      </c>
      <c r="N1102" t="s">
        <v>74</v>
      </c>
      <c r="O1102" t="s">
        <v>75</v>
      </c>
      <c r="P1102" t="s">
        <v>74</v>
      </c>
      <c r="Q1102" t="s">
        <v>76</v>
      </c>
      <c r="R1102" t="s">
        <v>73</v>
      </c>
      <c r="S1102">
        <v>0</v>
      </c>
      <c r="W1102" s="20">
        <v>0</v>
      </c>
      <c r="X1102" t="s">
        <v>78</v>
      </c>
      <c r="Y1102">
        <v>0</v>
      </c>
      <c r="Z1102">
        <v>0</v>
      </c>
      <c r="AA1102" t="s">
        <v>78</v>
      </c>
      <c r="AB1102">
        <v>0</v>
      </c>
      <c r="AC1102" t="s">
        <v>78</v>
      </c>
      <c r="AD1102">
        <v>0</v>
      </c>
      <c r="AE1102">
        <v>10814681</v>
      </c>
      <c r="AF1102" t="s">
        <v>79</v>
      </c>
      <c r="AG1102" t="s">
        <v>1963</v>
      </c>
    </row>
    <row r="1103" spans="1:33" x14ac:dyDescent="0.35">
      <c r="A1103" s="18">
        <v>44458.354861111111</v>
      </c>
      <c r="B1103">
        <v>351466</v>
      </c>
      <c r="C1103" t="s">
        <v>2578</v>
      </c>
      <c r="D1103" t="s">
        <v>70</v>
      </c>
      <c r="E1103" s="19">
        <v>38145</v>
      </c>
      <c r="F1103" t="str">
        <f>"9780470777725"</f>
        <v>9780470777725</v>
      </c>
      <c r="G1103" t="str">
        <f>"9781405107440"</f>
        <v>9781405107440</v>
      </c>
      <c r="H1103" t="s">
        <v>738</v>
      </c>
      <c r="I1103" t="s">
        <v>2579</v>
      </c>
      <c r="J1103" t="s">
        <v>2580</v>
      </c>
      <c r="K1103" t="s">
        <v>73</v>
      </c>
      <c r="N1103" t="s">
        <v>74</v>
      </c>
      <c r="O1103" t="s">
        <v>75</v>
      </c>
      <c r="P1103" t="s">
        <v>74</v>
      </c>
      <c r="Q1103" t="s">
        <v>76</v>
      </c>
      <c r="R1103" t="s">
        <v>73</v>
      </c>
      <c r="S1103">
        <v>0</v>
      </c>
      <c r="W1103" s="20">
        <v>2.4305555555555552E-4</v>
      </c>
      <c r="X1103" t="s">
        <v>2581</v>
      </c>
      <c r="Y1103">
        <v>5</v>
      </c>
      <c r="Z1103">
        <v>0</v>
      </c>
      <c r="AA1103" t="s">
        <v>78</v>
      </c>
      <c r="AB1103">
        <v>0</v>
      </c>
      <c r="AC1103" t="s">
        <v>78</v>
      </c>
      <c r="AD1103">
        <v>0</v>
      </c>
      <c r="AE1103">
        <v>10236707</v>
      </c>
      <c r="AF1103" t="s">
        <v>79</v>
      </c>
      <c r="AG1103" t="s">
        <v>1963</v>
      </c>
    </row>
    <row r="1104" spans="1:33" x14ac:dyDescent="0.35">
      <c r="A1104" s="18">
        <v>44458.302777777775</v>
      </c>
      <c r="B1104">
        <v>5485345</v>
      </c>
      <c r="C1104" t="s">
        <v>2582</v>
      </c>
      <c r="D1104" t="s">
        <v>369</v>
      </c>
      <c r="E1104" s="19">
        <v>43321</v>
      </c>
      <c r="F1104" t="str">
        <f>"9783319917139"</f>
        <v>9783319917139</v>
      </c>
      <c r="G1104" t="str">
        <f>"9783319917122"</f>
        <v>9783319917122</v>
      </c>
      <c r="H1104" t="s">
        <v>979</v>
      </c>
      <c r="I1104">
        <v>620.11</v>
      </c>
      <c r="J1104" t="s">
        <v>202</v>
      </c>
      <c r="K1104" t="s">
        <v>85</v>
      </c>
      <c r="Q1104" t="s">
        <v>76</v>
      </c>
      <c r="R1104" t="s">
        <v>73</v>
      </c>
      <c r="S1104">
        <v>0</v>
      </c>
      <c r="W1104" s="20">
        <v>5.5324074074074069E-3</v>
      </c>
      <c r="X1104" t="s">
        <v>2583</v>
      </c>
      <c r="Y1104">
        <v>6</v>
      </c>
      <c r="Z1104">
        <v>0</v>
      </c>
      <c r="AA1104" t="s">
        <v>78</v>
      </c>
      <c r="AB1104">
        <v>0</v>
      </c>
      <c r="AC1104" t="s">
        <v>78</v>
      </c>
      <c r="AD1104">
        <v>0</v>
      </c>
      <c r="AE1104">
        <v>11598211</v>
      </c>
      <c r="AF1104" t="s">
        <v>88</v>
      </c>
      <c r="AG1104" t="s">
        <v>1921</v>
      </c>
    </row>
    <row r="1105" spans="1:33" x14ac:dyDescent="0.35">
      <c r="A1105" s="18">
        <v>44457.95</v>
      </c>
      <c r="B1105">
        <v>1186155</v>
      </c>
      <c r="C1105" t="s">
        <v>2584</v>
      </c>
      <c r="D1105" t="s">
        <v>1637</v>
      </c>
      <c r="E1105" s="19">
        <v>37064</v>
      </c>
      <c r="F1105" t="str">
        <f>"9781847551962"</f>
        <v>9781847551962</v>
      </c>
      <c r="G1105" t="str">
        <f>"9780854048809"</f>
        <v>9780854048809</v>
      </c>
      <c r="H1105" t="s">
        <v>159</v>
      </c>
      <c r="I1105">
        <v>660.29949999999997</v>
      </c>
      <c r="J1105">
        <v>2005432684</v>
      </c>
      <c r="K1105" t="s">
        <v>73</v>
      </c>
      <c r="N1105" t="s">
        <v>74</v>
      </c>
      <c r="O1105" t="s">
        <v>75</v>
      </c>
      <c r="P1105" t="s">
        <v>74</v>
      </c>
      <c r="Q1105" t="s">
        <v>76</v>
      </c>
      <c r="R1105" t="s">
        <v>73</v>
      </c>
      <c r="S1105">
        <v>0</v>
      </c>
      <c r="W1105" s="20">
        <v>4.6296296296296294E-5</v>
      </c>
      <c r="X1105" t="s">
        <v>132</v>
      </c>
      <c r="Y1105">
        <v>1</v>
      </c>
      <c r="Z1105">
        <v>0</v>
      </c>
      <c r="AA1105" t="s">
        <v>78</v>
      </c>
      <c r="AB1105">
        <v>0</v>
      </c>
      <c r="AC1105" t="s">
        <v>78</v>
      </c>
      <c r="AD1105">
        <v>0</v>
      </c>
      <c r="AE1105">
        <v>10621210</v>
      </c>
      <c r="AF1105" t="s">
        <v>79</v>
      </c>
      <c r="AG1105" t="s">
        <v>1963</v>
      </c>
    </row>
    <row r="1106" spans="1:33" x14ac:dyDescent="0.35">
      <c r="A1106" s="18">
        <v>44457.936805555553</v>
      </c>
      <c r="B1106">
        <v>1185282</v>
      </c>
      <c r="C1106" t="s">
        <v>2585</v>
      </c>
      <c r="D1106" t="s">
        <v>1637</v>
      </c>
      <c r="E1106" s="19">
        <v>37791</v>
      </c>
      <c r="F1106" t="str">
        <f>"9781847550347"</f>
        <v>9781847550347</v>
      </c>
      <c r="G1106" t="str">
        <f>"9780854046089"</f>
        <v>9780854046089</v>
      </c>
      <c r="H1106" t="s">
        <v>154</v>
      </c>
      <c r="I1106">
        <v>541.39499999999998</v>
      </c>
      <c r="J1106">
        <v>2005434271</v>
      </c>
      <c r="K1106" t="s">
        <v>73</v>
      </c>
      <c r="N1106" t="s">
        <v>74</v>
      </c>
      <c r="O1106" t="s">
        <v>75</v>
      </c>
      <c r="P1106" t="s">
        <v>74</v>
      </c>
      <c r="Q1106" t="s">
        <v>76</v>
      </c>
      <c r="R1106" t="s">
        <v>73</v>
      </c>
      <c r="S1106">
        <v>0</v>
      </c>
      <c r="W1106" s="20">
        <v>1.3252314814814814E-2</v>
      </c>
      <c r="X1106" t="s">
        <v>2586</v>
      </c>
      <c r="Y1106">
        <v>11</v>
      </c>
      <c r="Z1106">
        <v>0</v>
      </c>
      <c r="AA1106" t="s">
        <v>78</v>
      </c>
      <c r="AB1106">
        <v>0</v>
      </c>
      <c r="AC1106" t="s">
        <v>78</v>
      </c>
      <c r="AD1106">
        <v>0</v>
      </c>
      <c r="AE1106">
        <v>10621193</v>
      </c>
      <c r="AF1106" t="s">
        <v>79</v>
      </c>
      <c r="AG1106" t="s">
        <v>1963</v>
      </c>
    </row>
    <row r="1107" spans="1:33" x14ac:dyDescent="0.35">
      <c r="A1107" s="18">
        <v>44457.816666666666</v>
      </c>
      <c r="B1107">
        <v>256399</v>
      </c>
      <c r="C1107" t="s">
        <v>2587</v>
      </c>
      <c r="D1107" t="s">
        <v>2588</v>
      </c>
      <c r="E1107" s="19">
        <v>37935</v>
      </c>
      <c r="F1107" t="str">
        <f>"9781550923117"</f>
        <v>9781550923117</v>
      </c>
      <c r="G1107" t="str">
        <f>"9780865715004"</f>
        <v>9780865715004</v>
      </c>
      <c r="H1107" t="s">
        <v>2589</v>
      </c>
      <c r="I1107" t="s">
        <v>2590</v>
      </c>
      <c r="J1107" t="s">
        <v>2591</v>
      </c>
      <c r="K1107" t="s">
        <v>73</v>
      </c>
      <c r="N1107" t="s">
        <v>74</v>
      </c>
      <c r="O1107" t="s">
        <v>75</v>
      </c>
      <c r="P1107" t="s">
        <v>74</v>
      </c>
      <c r="Q1107" t="s">
        <v>76</v>
      </c>
      <c r="R1107" t="s">
        <v>73</v>
      </c>
      <c r="S1107">
        <v>0</v>
      </c>
      <c r="W1107" s="20">
        <v>1.0648148148148147E-3</v>
      </c>
      <c r="X1107" t="s">
        <v>2592</v>
      </c>
      <c r="Y1107">
        <v>5</v>
      </c>
      <c r="Z1107">
        <v>0</v>
      </c>
      <c r="AA1107" t="s">
        <v>78</v>
      </c>
      <c r="AB1107">
        <v>0</v>
      </c>
      <c r="AC1107" t="s">
        <v>78</v>
      </c>
      <c r="AD1107">
        <v>0</v>
      </c>
      <c r="AE1107">
        <v>10085525</v>
      </c>
      <c r="AF1107" t="s">
        <v>79</v>
      </c>
      <c r="AG1107" t="s">
        <v>1330</v>
      </c>
    </row>
    <row r="1108" spans="1:33" x14ac:dyDescent="0.35">
      <c r="A1108" s="18">
        <v>44457.806944444441</v>
      </c>
      <c r="B1108">
        <v>5558400</v>
      </c>
      <c r="C1108" t="s">
        <v>1990</v>
      </c>
      <c r="D1108" t="s">
        <v>70</v>
      </c>
      <c r="E1108" s="19">
        <v>43396</v>
      </c>
      <c r="F1108" t="str">
        <f>"9781119516200"</f>
        <v>9781119516200</v>
      </c>
      <c r="G1108" t="str">
        <f>"9781119516187"</f>
        <v>9781119516187</v>
      </c>
      <c r="H1108" t="s">
        <v>128</v>
      </c>
      <c r="I1108">
        <v>307.76</v>
      </c>
      <c r="J1108" t="s">
        <v>1991</v>
      </c>
      <c r="K1108" t="s">
        <v>73</v>
      </c>
      <c r="N1108" t="s">
        <v>74</v>
      </c>
      <c r="O1108" t="s">
        <v>75</v>
      </c>
      <c r="P1108" t="s">
        <v>74</v>
      </c>
      <c r="Q1108" t="s">
        <v>76</v>
      </c>
      <c r="R1108" t="s">
        <v>73</v>
      </c>
      <c r="S1108">
        <v>0</v>
      </c>
      <c r="W1108" s="20">
        <v>4.6412037037037038E-3</v>
      </c>
      <c r="X1108" t="s">
        <v>2593</v>
      </c>
      <c r="Y1108">
        <v>11</v>
      </c>
      <c r="Z1108">
        <v>0</v>
      </c>
      <c r="AA1108" t="s">
        <v>78</v>
      </c>
      <c r="AB1108">
        <v>0</v>
      </c>
      <c r="AC1108" t="s">
        <v>78</v>
      </c>
      <c r="AD1108">
        <v>0</v>
      </c>
      <c r="AE1108">
        <v>-1</v>
      </c>
      <c r="AF1108" t="s">
        <v>79</v>
      </c>
      <c r="AG1108" t="s">
        <v>770</v>
      </c>
    </row>
    <row r="1109" spans="1:33" x14ac:dyDescent="0.35">
      <c r="A1109" s="18">
        <v>44457.804166666669</v>
      </c>
      <c r="B1109">
        <v>274673</v>
      </c>
      <c r="C1109" t="s">
        <v>2594</v>
      </c>
      <c r="D1109" t="s">
        <v>158</v>
      </c>
      <c r="E1109" s="19">
        <v>39007</v>
      </c>
      <c r="F1109" t="str">
        <f>"9780080464688"</f>
        <v>9780080464688</v>
      </c>
      <c r="G1109" t="str">
        <f>"9780123694959"</f>
        <v>9780123694959</v>
      </c>
      <c r="H1109" t="s">
        <v>2595</v>
      </c>
      <c r="I1109" t="s">
        <v>2596</v>
      </c>
      <c r="J1109" t="s">
        <v>2597</v>
      </c>
      <c r="K1109" t="s">
        <v>73</v>
      </c>
      <c r="N1109" t="s">
        <v>74</v>
      </c>
      <c r="O1109" t="s">
        <v>75</v>
      </c>
      <c r="P1109" t="s">
        <v>74</v>
      </c>
      <c r="Q1109" t="s">
        <v>76</v>
      </c>
      <c r="R1109" t="s">
        <v>73</v>
      </c>
      <c r="S1109">
        <v>0</v>
      </c>
      <c r="W1109" s="20">
        <v>6.018518518518519E-4</v>
      </c>
      <c r="X1109" t="s">
        <v>2598</v>
      </c>
      <c r="Y1109">
        <v>9</v>
      </c>
      <c r="Z1109">
        <v>0</v>
      </c>
      <c r="AA1109" t="s">
        <v>78</v>
      </c>
      <c r="AB1109">
        <v>0</v>
      </c>
      <c r="AC1109" t="s">
        <v>78</v>
      </c>
      <c r="AD1109">
        <v>0</v>
      </c>
      <c r="AE1109">
        <v>10150508</v>
      </c>
      <c r="AF1109" t="s">
        <v>79</v>
      </c>
      <c r="AG1109" t="s">
        <v>1909</v>
      </c>
    </row>
    <row r="1110" spans="1:33" x14ac:dyDescent="0.35">
      <c r="A1110" s="18">
        <v>44457.791666666664</v>
      </c>
      <c r="B1110">
        <v>3239076</v>
      </c>
      <c r="C1110" t="s">
        <v>2599</v>
      </c>
      <c r="D1110" t="s">
        <v>1723</v>
      </c>
      <c r="E1110" s="19">
        <v>40053</v>
      </c>
      <c r="F1110" t="str">
        <f>"9788770222716"</f>
        <v>9788770222716</v>
      </c>
      <c r="G1110" t="str">
        <f>"9781420083828"</f>
        <v>9781420083828</v>
      </c>
      <c r="H1110" t="s">
        <v>1701</v>
      </c>
      <c r="I1110" t="s">
        <v>2600</v>
      </c>
      <c r="J1110" t="s">
        <v>2601</v>
      </c>
      <c r="K1110" t="s">
        <v>73</v>
      </c>
      <c r="N1110" t="s">
        <v>74</v>
      </c>
      <c r="O1110" t="s">
        <v>75</v>
      </c>
      <c r="P1110" t="s">
        <v>74</v>
      </c>
      <c r="Q1110" t="s">
        <v>76</v>
      </c>
      <c r="R1110" t="s">
        <v>73</v>
      </c>
      <c r="S1110">
        <v>0</v>
      </c>
      <c r="W1110" s="20">
        <v>1.4745370370370372E-2</v>
      </c>
      <c r="X1110" t="s">
        <v>2602</v>
      </c>
      <c r="Y1110">
        <v>28</v>
      </c>
      <c r="Z1110">
        <v>0</v>
      </c>
      <c r="AA1110" t="s">
        <v>78</v>
      </c>
      <c r="AB1110">
        <v>0</v>
      </c>
      <c r="AC1110" t="s">
        <v>78</v>
      </c>
      <c r="AD1110">
        <v>0</v>
      </c>
      <c r="AE1110">
        <v>10849107</v>
      </c>
      <c r="AF1110" t="s">
        <v>79</v>
      </c>
      <c r="AG1110" t="s">
        <v>2180</v>
      </c>
    </row>
    <row r="1111" spans="1:33" x14ac:dyDescent="0.35">
      <c r="A1111" s="18">
        <v>44457.782638888886</v>
      </c>
      <c r="B1111">
        <v>1186155</v>
      </c>
      <c r="C1111" t="s">
        <v>2584</v>
      </c>
      <c r="D1111" t="s">
        <v>1637</v>
      </c>
      <c r="E1111" s="19">
        <v>37064</v>
      </c>
      <c r="F1111" t="str">
        <f>"9781847551962"</f>
        <v>9781847551962</v>
      </c>
      <c r="G1111" t="str">
        <f>"9780854048809"</f>
        <v>9780854048809</v>
      </c>
      <c r="H1111" t="s">
        <v>159</v>
      </c>
      <c r="I1111">
        <v>660.29949999999997</v>
      </c>
      <c r="J1111">
        <v>2005432684</v>
      </c>
      <c r="K1111" t="s">
        <v>73</v>
      </c>
      <c r="N1111" t="s">
        <v>74</v>
      </c>
      <c r="O1111" t="s">
        <v>75</v>
      </c>
      <c r="P1111" t="s">
        <v>74</v>
      </c>
      <c r="Q1111" t="s">
        <v>76</v>
      </c>
      <c r="R1111" t="s">
        <v>73</v>
      </c>
      <c r="S1111">
        <v>0</v>
      </c>
      <c r="W1111" s="20">
        <v>2.0520833333333332E-2</v>
      </c>
      <c r="X1111" t="s">
        <v>2603</v>
      </c>
      <c r="Y1111">
        <v>20</v>
      </c>
      <c r="Z1111">
        <v>0</v>
      </c>
      <c r="AA1111" t="s">
        <v>78</v>
      </c>
      <c r="AB1111">
        <v>0</v>
      </c>
      <c r="AC1111" t="s">
        <v>78</v>
      </c>
      <c r="AD1111">
        <v>0</v>
      </c>
      <c r="AE1111">
        <v>10621210</v>
      </c>
      <c r="AF1111" t="s">
        <v>79</v>
      </c>
      <c r="AG1111" t="s">
        <v>1963</v>
      </c>
    </row>
    <row r="1112" spans="1:33" x14ac:dyDescent="0.35">
      <c r="A1112" s="18">
        <v>44457.761805555558</v>
      </c>
      <c r="B1112">
        <v>5754433</v>
      </c>
      <c r="C1112" t="s">
        <v>649</v>
      </c>
      <c r="D1112" t="s">
        <v>158</v>
      </c>
      <c r="E1112" s="19">
        <v>41474</v>
      </c>
      <c r="F1112" t="str">
        <f>"9780124058934"</f>
        <v>9780124058934</v>
      </c>
      <c r="G1112" t="str">
        <f>"9780124058767"</f>
        <v>9780124058767</v>
      </c>
      <c r="H1112" t="s">
        <v>115</v>
      </c>
      <c r="I1112">
        <v>518.02855299999999</v>
      </c>
      <c r="J1112" t="s">
        <v>652</v>
      </c>
      <c r="K1112" t="s">
        <v>73</v>
      </c>
      <c r="N1112" t="s">
        <v>74</v>
      </c>
      <c r="O1112" t="s">
        <v>75</v>
      </c>
      <c r="P1112" t="s">
        <v>74</v>
      </c>
      <c r="Q1112" t="s">
        <v>76</v>
      </c>
      <c r="R1112" t="s">
        <v>73</v>
      </c>
      <c r="S1112">
        <v>0</v>
      </c>
      <c r="W1112" s="20">
        <v>4.31712962962963E-3</v>
      </c>
      <c r="X1112" t="s">
        <v>2604</v>
      </c>
      <c r="Y1112">
        <v>20</v>
      </c>
      <c r="Z1112">
        <v>0</v>
      </c>
      <c r="AA1112" t="s">
        <v>78</v>
      </c>
      <c r="AB1112">
        <v>0</v>
      </c>
      <c r="AC1112" t="s">
        <v>78</v>
      </c>
      <c r="AD1112">
        <v>0</v>
      </c>
      <c r="AE1112">
        <v>-1</v>
      </c>
      <c r="AF1112" t="s">
        <v>79</v>
      </c>
      <c r="AG1112" t="s">
        <v>1173</v>
      </c>
    </row>
    <row r="1113" spans="1:33" x14ac:dyDescent="0.35">
      <c r="A1113" s="18">
        <v>44457.706250000003</v>
      </c>
      <c r="B1113">
        <v>1679287</v>
      </c>
      <c r="C1113" t="s">
        <v>2605</v>
      </c>
      <c r="D1113" t="s">
        <v>239</v>
      </c>
      <c r="E1113" s="19">
        <v>37681</v>
      </c>
      <c r="F1113" t="str">
        <f>"9789812794512"</f>
        <v>9789812794512</v>
      </c>
      <c r="G1113" t="str">
        <f>"9789812381736"</f>
        <v>9789812381736</v>
      </c>
      <c r="H1113" t="s">
        <v>2606</v>
      </c>
      <c r="I1113">
        <v>530.12</v>
      </c>
      <c r="J1113" t="s">
        <v>2607</v>
      </c>
      <c r="K1113" t="s">
        <v>73</v>
      </c>
      <c r="N1113" t="s">
        <v>74</v>
      </c>
      <c r="O1113" t="s">
        <v>75</v>
      </c>
      <c r="P1113" t="s">
        <v>74</v>
      </c>
      <c r="Q1113" t="s">
        <v>76</v>
      </c>
      <c r="R1113" t="s">
        <v>73</v>
      </c>
      <c r="S1113">
        <v>0</v>
      </c>
      <c r="W1113" s="20">
        <v>4.6990740740740743E-3</v>
      </c>
      <c r="X1113" t="s">
        <v>951</v>
      </c>
      <c r="Y1113">
        <v>5</v>
      </c>
      <c r="Z1113">
        <v>0</v>
      </c>
      <c r="AA1113" t="s">
        <v>78</v>
      </c>
      <c r="AB1113">
        <v>0</v>
      </c>
      <c r="AC1113" t="s">
        <v>78</v>
      </c>
      <c r="AD1113">
        <v>0</v>
      </c>
      <c r="AE1113">
        <v>10255609</v>
      </c>
      <c r="AF1113" t="s">
        <v>79</v>
      </c>
      <c r="AG1113" t="s">
        <v>1963</v>
      </c>
    </row>
    <row r="1114" spans="1:33" x14ac:dyDescent="0.35">
      <c r="A1114" s="18">
        <v>44457.704861111109</v>
      </c>
      <c r="B1114">
        <v>312369</v>
      </c>
      <c r="C1114" t="s">
        <v>2608</v>
      </c>
      <c r="D1114" t="s">
        <v>239</v>
      </c>
      <c r="E1114" s="19">
        <v>39295</v>
      </c>
      <c r="F1114" t="str">
        <f>"9781860948619"</f>
        <v>9781860948619</v>
      </c>
      <c r="G1114" t="str">
        <f>"9781860947957"</f>
        <v>9781860947957</v>
      </c>
      <c r="H1114" t="s">
        <v>2609</v>
      </c>
      <c r="I1114">
        <v>514.70000000000005</v>
      </c>
      <c r="J1114" t="s">
        <v>2610</v>
      </c>
      <c r="K1114" t="s">
        <v>73</v>
      </c>
      <c r="N1114" t="s">
        <v>74</v>
      </c>
      <c r="O1114" t="s">
        <v>75</v>
      </c>
      <c r="P1114" t="s">
        <v>74</v>
      </c>
      <c r="Q1114" t="s">
        <v>76</v>
      </c>
      <c r="R1114" t="s">
        <v>73</v>
      </c>
      <c r="S1114">
        <v>0</v>
      </c>
      <c r="W1114" s="20">
        <v>1.2638888888888889E-2</v>
      </c>
      <c r="X1114" t="s">
        <v>996</v>
      </c>
      <c r="Y1114">
        <v>15</v>
      </c>
      <c r="Z1114">
        <v>0</v>
      </c>
      <c r="AA1114" t="s">
        <v>78</v>
      </c>
      <c r="AB1114">
        <v>0</v>
      </c>
      <c r="AC1114" t="s">
        <v>78</v>
      </c>
      <c r="AD1114">
        <v>0</v>
      </c>
      <c r="AE1114">
        <v>10188803</v>
      </c>
      <c r="AF1114" t="s">
        <v>79</v>
      </c>
      <c r="AG1114" t="s">
        <v>1963</v>
      </c>
    </row>
    <row r="1115" spans="1:33" x14ac:dyDescent="0.35">
      <c r="A1115" s="18">
        <v>44457.698611111111</v>
      </c>
      <c r="B1115">
        <v>5558400</v>
      </c>
      <c r="C1115" t="s">
        <v>1990</v>
      </c>
      <c r="D1115" t="s">
        <v>70</v>
      </c>
      <c r="E1115" s="19">
        <v>43396</v>
      </c>
      <c r="F1115" t="str">
        <f>"9781119516200"</f>
        <v>9781119516200</v>
      </c>
      <c r="G1115" t="str">
        <f>"9781119516187"</f>
        <v>9781119516187</v>
      </c>
      <c r="H1115" t="s">
        <v>128</v>
      </c>
      <c r="I1115">
        <v>307.76</v>
      </c>
      <c r="J1115" t="s">
        <v>1991</v>
      </c>
      <c r="K1115" t="s">
        <v>73</v>
      </c>
      <c r="N1115" t="s">
        <v>74</v>
      </c>
      <c r="O1115" t="s">
        <v>75</v>
      </c>
      <c r="P1115" t="s">
        <v>74</v>
      </c>
      <c r="Q1115" t="s">
        <v>76</v>
      </c>
      <c r="R1115" t="s">
        <v>73</v>
      </c>
      <c r="S1115">
        <v>0</v>
      </c>
      <c r="W1115" s="20">
        <v>1.9791666666666668E-3</v>
      </c>
      <c r="X1115" t="s">
        <v>2611</v>
      </c>
      <c r="Y1115">
        <v>13</v>
      </c>
      <c r="Z1115">
        <v>0</v>
      </c>
      <c r="AA1115" t="s">
        <v>78</v>
      </c>
      <c r="AB1115">
        <v>0</v>
      </c>
      <c r="AC1115" t="s">
        <v>78</v>
      </c>
      <c r="AD1115">
        <v>0</v>
      </c>
      <c r="AE1115">
        <v>-1</v>
      </c>
      <c r="AF1115" t="s">
        <v>79</v>
      </c>
      <c r="AG1115" t="s">
        <v>1963</v>
      </c>
    </row>
    <row r="1116" spans="1:33" x14ac:dyDescent="0.35">
      <c r="A1116" s="18">
        <v>44457.688888888886</v>
      </c>
      <c r="B1116">
        <v>2198495</v>
      </c>
      <c r="C1116" t="s">
        <v>2612</v>
      </c>
      <c r="D1116" t="s">
        <v>102</v>
      </c>
      <c r="E1116" s="19">
        <v>42310</v>
      </c>
      <c r="F1116" t="str">
        <f>"9780199391141"</f>
        <v>9780199391141</v>
      </c>
      <c r="G1116" t="str">
        <f>"9780199391134"</f>
        <v>9780199391134</v>
      </c>
      <c r="H1116" t="s">
        <v>2613</v>
      </c>
      <c r="I1116" t="s">
        <v>2614</v>
      </c>
      <c r="J1116" t="s">
        <v>2615</v>
      </c>
      <c r="K1116" t="s">
        <v>73</v>
      </c>
      <c r="N1116" t="s">
        <v>74</v>
      </c>
      <c r="O1116" t="s">
        <v>75</v>
      </c>
      <c r="P1116" t="s">
        <v>74</v>
      </c>
      <c r="Q1116" t="s">
        <v>76</v>
      </c>
      <c r="R1116" t="s">
        <v>73</v>
      </c>
      <c r="S1116">
        <v>0</v>
      </c>
      <c r="W1116" s="20">
        <v>1.8171296296296297E-3</v>
      </c>
      <c r="X1116" t="s">
        <v>2616</v>
      </c>
      <c r="Y1116">
        <v>14</v>
      </c>
      <c r="Z1116">
        <v>2</v>
      </c>
      <c r="AA1116" t="s">
        <v>2617</v>
      </c>
      <c r="AB1116">
        <v>40</v>
      </c>
      <c r="AC1116" t="s">
        <v>78</v>
      </c>
      <c r="AD1116">
        <v>0</v>
      </c>
      <c r="AE1116">
        <v>11199868</v>
      </c>
      <c r="AF1116" t="s">
        <v>79</v>
      </c>
      <c r="AG1116" t="s">
        <v>1963</v>
      </c>
    </row>
    <row r="1117" spans="1:33" x14ac:dyDescent="0.35">
      <c r="A1117" s="18">
        <v>44457.67291666667</v>
      </c>
      <c r="B1117">
        <v>1157425</v>
      </c>
      <c r="C1117" t="s">
        <v>2618</v>
      </c>
      <c r="D1117" t="s">
        <v>70</v>
      </c>
      <c r="E1117" s="19">
        <v>41372</v>
      </c>
      <c r="F1117" t="str">
        <f>"9781118354506"</f>
        <v>9781118354506</v>
      </c>
      <c r="G1117" t="str">
        <f>"9781118155424"</f>
        <v>9781118155424</v>
      </c>
      <c r="H1117" t="s">
        <v>2619</v>
      </c>
      <c r="I1117" t="s">
        <v>2620</v>
      </c>
      <c r="J1117" t="s">
        <v>2621</v>
      </c>
      <c r="K1117" t="s">
        <v>73</v>
      </c>
      <c r="N1117" t="s">
        <v>74</v>
      </c>
      <c r="O1117" t="s">
        <v>75</v>
      </c>
      <c r="P1117" t="s">
        <v>74</v>
      </c>
      <c r="Q1117" t="s">
        <v>76</v>
      </c>
      <c r="R1117" t="s">
        <v>73</v>
      </c>
      <c r="S1117">
        <v>0</v>
      </c>
      <c r="W1117" s="20">
        <v>1.4537037037037038E-2</v>
      </c>
      <c r="X1117" t="s">
        <v>2622</v>
      </c>
      <c r="Y1117">
        <v>20</v>
      </c>
      <c r="Z1117">
        <v>0</v>
      </c>
      <c r="AA1117" t="s">
        <v>78</v>
      </c>
      <c r="AB1117">
        <v>0</v>
      </c>
      <c r="AC1117" t="s">
        <v>2623</v>
      </c>
      <c r="AD1117">
        <v>7</v>
      </c>
      <c r="AE1117">
        <v>10677745</v>
      </c>
      <c r="AF1117" t="s">
        <v>79</v>
      </c>
      <c r="AG1117" t="s">
        <v>293</v>
      </c>
    </row>
    <row r="1118" spans="1:33" x14ac:dyDescent="0.35">
      <c r="A1118" s="18">
        <v>44457.667361111111</v>
      </c>
      <c r="B1118">
        <v>1747086</v>
      </c>
      <c r="C1118" t="s">
        <v>2208</v>
      </c>
      <c r="D1118" t="s">
        <v>158</v>
      </c>
      <c r="E1118" s="19">
        <v>41850</v>
      </c>
      <c r="F1118" t="str">
        <f>"9780123865489"</f>
        <v>9780123865489</v>
      </c>
      <c r="G1118" t="str">
        <f>"9780123865472"</f>
        <v>9780123865472</v>
      </c>
      <c r="H1118" t="s">
        <v>159</v>
      </c>
      <c r="I1118">
        <v>660.28425000000004</v>
      </c>
      <c r="J1118" t="s">
        <v>2209</v>
      </c>
      <c r="K1118" t="s">
        <v>73</v>
      </c>
      <c r="N1118" t="s">
        <v>74</v>
      </c>
      <c r="O1118" t="s">
        <v>75</v>
      </c>
      <c r="P1118" t="s">
        <v>74</v>
      </c>
      <c r="Q1118" t="s">
        <v>76</v>
      </c>
      <c r="R1118" t="s">
        <v>73</v>
      </c>
      <c r="S1118">
        <v>0</v>
      </c>
      <c r="W1118" s="20">
        <v>4.144675925925926E-2</v>
      </c>
      <c r="X1118" t="s">
        <v>2624</v>
      </c>
      <c r="Y1118">
        <v>33</v>
      </c>
      <c r="Z1118">
        <v>0</v>
      </c>
      <c r="AA1118" t="s">
        <v>78</v>
      </c>
      <c r="AB1118">
        <v>0</v>
      </c>
      <c r="AC1118" t="s">
        <v>78</v>
      </c>
      <c r="AD1118">
        <v>0</v>
      </c>
      <c r="AE1118">
        <v>10899171</v>
      </c>
      <c r="AF1118" t="s">
        <v>79</v>
      </c>
      <c r="AG1118" t="s">
        <v>1963</v>
      </c>
    </row>
    <row r="1119" spans="1:33" x14ac:dyDescent="0.35">
      <c r="A1119" s="18">
        <v>44457.581944444442</v>
      </c>
      <c r="B1119">
        <v>1574357</v>
      </c>
      <c r="C1119" t="s">
        <v>1544</v>
      </c>
      <c r="D1119" t="s">
        <v>70</v>
      </c>
      <c r="E1119" s="19">
        <v>41680</v>
      </c>
      <c r="F1119" t="str">
        <f>"9781118703366"</f>
        <v>9781118703366</v>
      </c>
      <c r="G1119" t="str">
        <f>"9781118634165"</f>
        <v>9781118634165</v>
      </c>
      <c r="H1119" t="s">
        <v>71</v>
      </c>
      <c r="I1119">
        <v>621.31244000000004</v>
      </c>
      <c r="J1119" t="s">
        <v>1545</v>
      </c>
      <c r="K1119" t="s">
        <v>73</v>
      </c>
      <c r="N1119" t="s">
        <v>74</v>
      </c>
      <c r="O1119" t="s">
        <v>75</v>
      </c>
      <c r="P1119" t="s">
        <v>74</v>
      </c>
      <c r="Q1119" t="s">
        <v>76</v>
      </c>
      <c r="R1119" t="s">
        <v>73</v>
      </c>
      <c r="S1119">
        <v>0</v>
      </c>
      <c r="W1119" s="20">
        <v>1.4583333333333334E-3</v>
      </c>
      <c r="X1119" t="s">
        <v>2625</v>
      </c>
      <c r="Y1119">
        <v>4</v>
      </c>
      <c r="Z1119">
        <v>0</v>
      </c>
      <c r="AA1119" t="s">
        <v>78</v>
      </c>
      <c r="AB1119">
        <v>0</v>
      </c>
      <c r="AC1119" t="s">
        <v>78</v>
      </c>
      <c r="AD1119">
        <v>0</v>
      </c>
      <c r="AE1119">
        <v>10814681</v>
      </c>
      <c r="AF1119" t="s">
        <v>79</v>
      </c>
      <c r="AG1119" t="s">
        <v>1963</v>
      </c>
    </row>
    <row r="1120" spans="1:33" x14ac:dyDescent="0.35">
      <c r="A1120" s="18">
        <v>44457.580555555556</v>
      </c>
      <c r="B1120">
        <v>835145</v>
      </c>
      <c r="C1120" t="s">
        <v>1542</v>
      </c>
      <c r="D1120" t="s">
        <v>70</v>
      </c>
      <c r="E1120" s="19">
        <v>40952</v>
      </c>
      <c r="F1120" t="str">
        <f>"9781119977001"</f>
        <v>9781119977001</v>
      </c>
      <c r="G1120" t="str">
        <f>"9781119992851"</f>
        <v>9781119992851</v>
      </c>
      <c r="H1120" t="s">
        <v>71</v>
      </c>
      <c r="I1120">
        <v>621.31244000000004</v>
      </c>
      <c r="J1120" t="s">
        <v>1543</v>
      </c>
      <c r="K1120" t="s">
        <v>73</v>
      </c>
      <c r="N1120" t="s">
        <v>74</v>
      </c>
      <c r="O1120" t="s">
        <v>75</v>
      </c>
      <c r="P1120" t="s">
        <v>74</v>
      </c>
      <c r="Q1120" t="s">
        <v>76</v>
      </c>
      <c r="R1120" t="s">
        <v>73</v>
      </c>
      <c r="S1120">
        <v>0</v>
      </c>
      <c r="W1120" s="20">
        <v>4.1666666666666669E-4</v>
      </c>
      <c r="X1120" t="s">
        <v>2626</v>
      </c>
      <c r="Y1120">
        <v>4</v>
      </c>
      <c r="Z1120">
        <v>0</v>
      </c>
      <c r="AA1120" t="s">
        <v>78</v>
      </c>
      <c r="AB1120">
        <v>0</v>
      </c>
      <c r="AC1120" t="s">
        <v>78</v>
      </c>
      <c r="AD1120">
        <v>0</v>
      </c>
      <c r="AE1120">
        <v>10526535</v>
      </c>
      <c r="AF1120" t="s">
        <v>79</v>
      </c>
      <c r="AG1120" t="s">
        <v>1963</v>
      </c>
    </row>
    <row r="1121" spans="1:33" x14ac:dyDescent="0.35">
      <c r="A1121" s="18">
        <v>44457.571527777778</v>
      </c>
      <c r="B1121">
        <v>583642</v>
      </c>
      <c r="C1121" t="s">
        <v>2337</v>
      </c>
      <c r="D1121" t="s">
        <v>205</v>
      </c>
      <c r="E1121" s="19">
        <v>40210</v>
      </c>
      <c r="F1121" t="str">
        <f>"9781596930902"</f>
        <v>9781596930902</v>
      </c>
      <c r="G1121" t="str">
        <f>"9781596930896"</f>
        <v>9781596930896</v>
      </c>
      <c r="H1121" t="s">
        <v>2338</v>
      </c>
      <c r="I1121">
        <v>621.38482999999997</v>
      </c>
      <c r="J1121" t="s">
        <v>2339</v>
      </c>
      <c r="K1121" t="s">
        <v>73</v>
      </c>
      <c r="N1121" t="s">
        <v>74</v>
      </c>
      <c r="O1121" t="s">
        <v>75</v>
      </c>
      <c r="P1121" t="s">
        <v>74</v>
      </c>
      <c r="Q1121" t="s">
        <v>76</v>
      </c>
      <c r="R1121" t="s">
        <v>73</v>
      </c>
      <c r="S1121">
        <v>0</v>
      </c>
      <c r="W1121" s="20">
        <v>5.7870370370370366E-5</v>
      </c>
      <c r="X1121" t="s">
        <v>132</v>
      </c>
      <c r="Y1121">
        <v>1</v>
      </c>
      <c r="Z1121">
        <v>0</v>
      </c>
      <c r="AA1121" t="s">
        <v>78</v>
      </c>
      <c r="AB1121">
        <v>0</v>
      </c>
      <c r="AC1121" t="s">
        <v>78</v>
      </c>
      <c r="AD1121">
        <v>0</v>
      </c>
      <c r="AE1121">
        <v>10393271</v>
      </c>
      <c r="AF1121" t="s">
        <v>79</v>
      </c>
      <c r="AG1121" t="s">
        <v>1963</v>
      </c>
    </row>
    <row r="1122" spans="1:33" x14ac:dyDescent="0.35">
      <c r="A1122" s="18">
        <v>44457.545138888891</v>
      </c>
      <c r="B1122">
        <v>5558400</v>
      </c>
      <c r="C1122" t="s">
        <v>1990</v>
      </c>
      <c r="D1122" t="s">
        <v>70</v>
      </c>
      <c r="E1122" s="19">
        <v>43396</v>
      </c>
      <c r="F1122" t="str">
        <f>"9781119516200"</f>
        <v>9781119516200</v>
      </c>
      <c r="G1122" t="str">
        <f>"9781119516187"</f>
        <v>9781119516187</v>
      </c>
      <c r="H1122" t="s">
        <v>128</v>
      </c>
      <c r="I1122">
        <v>307.76</v>
      </c>
      <c r="J1122" t="s">
        <v>1991</v>
      </c>
      <c r="K1122" t="s">
        <v>73</v>
      </c>
      <c r="N1122" t="s">
        <v>74</v>
      </c>
      <c r="O1122" t="s">
        <v>75</v>
      </c>
      <c r="P1122" t="s">
        <v>74</v>
      </c>
      <c r="Q1122" t="s">
        <v>76</v>
      </c>
      <c r="R1122" t="s">
        <v>73</v>
      </c>
      <c r="S1122">
        <v>0</v>
      </c>
      <c r="W1122" s="20">
        <v>5.5555555555555556E-4</v>
      </c>
      <c r="X1122" t="s">
        <v>2627</v>
      </c>
      <c r="Y1122">
        <v>4</v>
      </c>
      <c r="Z1122">
        <v>0</v>
      </c>
      <c r="AA1122" t="s">
        <v>78</v>
      </c>
      <c r="AB1122">
        <v>0</v>
      </c>
      <c r="AC1122" t="s">
        <v>78</v>
      </c>
      <c r="AD1122">
        <v>0</v>
      </c>
      <c r="AE1122">
        <v>-1</v>
      </c>
      <c r="AF1122" t="s">
        <v>79</v>
      </c>
      <c r="AG1122" t="s">
        <v>770</v>
      </c>
    </row>
    <row r="1123" spans="1:33" x14ac:dyDescent="0.35">
      <c r="A1123" s="18">
        <v>44457.386805555558</v>
      </c>
      <c r="B1123">
        <v>882731</v>
      </c>
      <c r="C1123" t="s">
        <v>2309</v>
      </c>
      <c r="D1123" t="s">
        <v>70</v>
      </c>
      <c r="E1123" s="19">
        <v>40973</v>
      </c>
      <c r="F1123" t="str">
        <f>"9781444355857"</f>
        <v>9781444355857</v>
      </c>
      <c r="G1123" t="str">
        <f>"9781444332872"</f>
        <v>9781444332872</v>
      </c>
      <c r="H1123" t="s">
        <v>2310</v>
      </c>
      <c r="I1123">
        <v>175</v>
      </c>
      <c r="J1123" t="s">
        <v>2311</v>
      </c>
      <c r="K1123" t="s">
        <v>73</v>
      </c>
      <c r="N1123" t="s">
        <v>74</v>
      </c>
      <c r="O1123" t="s">
        <v>75</v>
      </c>
      <c r="P1123" t="s">
        <v>74</v>
      </c>
      <c r="Q1123" t="s">
        <v>76</v>
      </c>
      <c r="R1123" t="s">
        <v>73</v>
      </c>
      <c r="S1123">
        <v>0</v>
      </c>
      <c r="W1123" s="20">
        <v>1.7592592592592592E-3</v>
      </c>
      <c r="X1123" t="s">
        <v>2628</v>
      </c>
      <c r="Y1123">
        <v>5</v>
      </c>
      <c r="Z1123">
        <v>0</v>
      </c>
      <c r="AA1123" t="s">
        <v>78</v>
      </c>
      <c r="AB1123">
        <v>0</v>
      </c>
      <c r="AC1123" t="s">
        <v>2629</v>
      </c>
      <c r="AD1123">
        <v>2</v>
      </c>
      <c r="AE1123">
        <v>10630487</v>
      </c>
      <c r="AF1123" t="s">
        <v>79</v>
      </c>
      <c r="AG1123" t="s">
        <v>1963</v>
      </c>
    </row>
    <row r="1124" spans="1:33" x14ac:dyDescent="0.35">
      <c r="A1124" s="18">
        <v>44457.383333333331</v>
      </c>
      <c r="B1124">
        <v>5558400</v>
      </c>
      <c r="C1124" t="s">
        <v>1990</v>
      </c>
      <c r="D1124" t="s">
        <v>70</v>
      </c>
      <c r="E1124" s="19">
        <v>43396</v>
      </c>
      <c r="F1124" t="str">
        <f>"9781119516200"</f>
        <v>9781119516200</v>
      </c>
      <c r="G1124" t="str">
        <f>"9781119516187"</f>
        <v>9781119516187</v>
      </c>
      <c r="H1124" t="s">
        <v>128</v>
      </c>
      <c r="I1124">
        <v>307.76</v>
      </c>
      <c r="J1124" t="s">
        <v>1991</v>
      </c>
      <c r="K1124" t="s">
        <v>73</v>
      </c>
      <c r="N1124" t="s">
        <v>74</v>
      </c>
      <c r="O1124" t="s">
        <v>75</v>
      </c>
      <c r="P1124" t="s">
        <v>74</v>
      </c>
      <c r="Q1124" t="s">
        <v>76</v>
      </c>
      <c r="R1124" t="s">
        <v>73</v>
      </c>
      <c r="S1124">
        <v>0</v>
      </c>
      <c r="W1124" s="20">
        <v>7.3726851851851861E-3</v>
      </c>
      <c r="X1124" t="s">
        <v>2630</v>
      </c>
      <c r="Y1124">
        <v>10</v>
      </c>
      <c r="Z1124">
        <v>0</v>
      </c>
      <c r="AA1124" t="s">
        <v>78</v>
      </c>
      <c r="AB1124">
        <v>0</v>
      </c>
      <c r="AC1124" t="s">
        <v>78</v>
      </c>
      <c r="AD1124">
        <v>0</v>
      </c>
      <c r="AE1124">
        <v>-1</v>
      </c>
      <c r="AF1124" t="s">
        <v>79</v>
      </c>
      <c r="AG1124" t="s">
        <v>2631</v>
      </c>
    </row>
    <row r="1125" spans="1:33" x14ac:dyDescent="0.35">
      <c r="A1125" s="18">
        <v>44457.15902777778</v>
      </c>
      <c r="B1125">
        <v>4815057</v>
      </c>
      <c r="C1125" t="s">
        <v>2632</v>
      </c>
      <c r="D1125" t="s">
        <v>70</v>
      </c>
      <c r="E1125" s="19">
        <v>42905</v>
      </c>
      <c r="F1125" t="str">
        <f>"9783527694501"</f>
        <v>9783527694501</v>
      </c>
      <c r="G1125" t="str">
        <f>"9783527339617"</f>
        <v>9783527339617</v>
      </c>
      <c r="H1125" t="s">
        <v>848</v>
      </c>
      <c r="I1125">
        <v>541.39499999999998</v>
      </c>
      <c r="J1125" t="s">
        <v>2633</v>
      </c>
      <c r="K1125" t="s">
        <v>73</v>
      </c>
      <c r="N1125" t="s">
        <v>74</v>
      </c>
      <c r="O1125" t="s">
        <v>75</v>
      </c>
      <c r="P1125" t="s">
        <v>74</v>
      </c>
      <c r="Q1125" t="s">
        <v>76</v>
      </c>
      <c r="R1125" t="s">
        <v>73</v>
      </c>
      <c r="S1125">
        <v>0</v>
      </c>
      <c r="W1125" s="20">
        <v>9.3750000000000007E-4</v>
      </c>
      <c r="X1125" t="s">
        <v>2634</v>
      </c>
      <c r="Y1125">
        <v>12</v>
      </c>
      <c r="Z1125">
        <v>0</v>
      </c>
      <c r="AA1125" t="s">
        <v>78</v>
      </c>
      <c r="AB1125">
        <v>0</v>
      </c>
      <c r="AC1125" t="s">
        <v>78</v>
      </c>
      <c r="AD1125">
        <v>0</v>
      </c>
      <c r="AE1125">
        <v>11354736</v>
      </c>
      <c r="AF1125" t="s">
        <v>79</v>
      </c>
      <c r="AG1125" t="s">
        <v>293</v>
      </c>
    </row>
    <row r="1126" spans="1:33" x14ac:dyDescent="0.35">
      <c r="A1126" s="18">
        <v>44456.979166666664</v>
      </c>
      <c r="B1126">
        <v>5558400</v>
      </c>
      <c r="C1126" t="s">
        <v>1990</v>
      </c>
      <c r="D1126" t="s">
        <v>70</v>
      </c>
      <c r="E1126" s="19">
        <v>43396</v>
      </c>
      <c r="F1126" t="str">
        <f>"9781119516200"</f>
        <v>9781119516200</v>
      </c>
      <c r="G1126" t="str">
        <f>"9781119516187"</f>
        <v>9781119516187</v>
      </c>
      <c r="H1126" t="s">
        <v>128</v>
      </c>
      <c r="I1126">
        <v>307.76</v>
      </c>
      <c r="J1126" t="s">
        <v>1991</v>
      </c>
      <c r="K1126" t="s">
        <v>73</v>
      </c>
      <c r="N1126" t="s">
        <v>74</v>
      </c>
      <c r="O1126" t="s">
        <v>75</v>
      </c>
      <c r="P1126" t="s">
        <v>74</v>
      </c>
      <c r="Q1126" t="s">
        <v>76</v>
      </c>
      <c r="R1126" t="s">
        <v>73</v>
      </c>
      <c r="S1126">
        <v>0</v>
      </c>
      <c r="W1126" s="20">
        <v>4.7569444444444447E-3</v>
      </c>
      <c r="X1126" t="s">
        <v>2635</v>
      </c>
      <c r="Y1126">
        <v>8</v>
      </c>
      <c r="Z1126">
        <v>0</v>
      </c>
      <c r="AA1126" t="s">
        <v>78</v>
      </c>
      <c r="AB1126">
        <v>0</v>
      </c>
      <c r="AC1126" t="s">
        <v>2636</v>
      </c>
      <c r="AD1126">
        <v>1</v>
      </c>
      <c r="AE1126">
        <v>-1</v>
      </c>
      <c r="AF1126" t="s">
        <v>79</v>
      </c>
      <c r="AG1126" t="s">
        <v>293</v>
      </c>
    </row>
    <row r="1127" spans="1:33" x14ac:dyDescent="0.35">
      <c r="A1127" s="18">
        <v>44456.927083333336</v>
      </c>
      <c r="B1127">
        <v>6089301</v>
      </c>
      <c r="C1127" t="s">
        <v>2637</v>
      </c>
      <c r="D1127" t="s">
        <v>2638</v>
      </c>
      <c r="E1127" s="19">
        <v>41485</v>
      </c>
      <c r="F1127" t="str">
        <f>"9780307946324"</f>
        <v>9780307946324</v>
      </c>
      <c r="G1127" t="str">
        <f>"9780307946317"</f>
        <v>9780307946317</v>
      </c>
      <c r="H1127" t="s">
        <v>1179</v>
      </c>
      <c r="K1127" t="s">
        <v>85</v>
      </c>
      <c r="N1127" t="s">
        <v>86</v>
      </c>
      <c r="P1127" t="s">
        <v>297</v>
      </c>
      <c r="Q1127" t="s">
        <v>76</v>
      </c>
      <c r="R1127" t="s">
        <v>73</v>
      </c>
      <c r="S1127">
        <v>0</v>
      </c>
      <c r="W1127" s="20">
        <v>3.4895833333333334E-2</v>
      </c>
      <c r="X1127" t="s">
        <v>2639</v>
      </c>
      <c r="Y1127">
        <v>40</v>
      </c>
      <c r="Z1127">
        <v>0</v>
      </c>
      <c r="AA1127" t="s">
        <v>78</v>
      </c>
      <c r="AB1127">
        <v>0</v>
      </c>
      <c r="AC1127" t="s">
        <v>78</v>
      </c>
      <c r="AD1127">
        <v>0</v>
      </c>
      <c r="AE1127">
        <v>-1</v>
      </c>
      <c r="AF1127" t="s">
        <v>79</v>
      </c>
      <c r="AG1127" t="s">
        <v>2640</v>
      </c>
    </row>
    <row r="1128" spans="1:33" x14ac:dyDescent="0.35">
      <c r="A1128" s="18">
        <v>44456.917361111111</v>
      </c>
      <c r="B1128">
        <v>1186155</v>
      </c>
      <c r="C1128" t="s">
        <v>2584</v>
      </c>
      <c r="D1128" t="s">
        <v>1637</v>
      </c>
      <c r="E1128" s="19">
        <v>37064</v>
      </c>
      <c r="F1128" t="str">
        <f>"9781847551962"</f>
        <v>9781847551962</v>
      </c>
      <c r="G1128" t="str">
        <f>"9780854048809"</f>
        <v>9780854048809</v>
      </c>
      <c r="H1128" t="s">
        <v>159</v>
      </c>
      <c r="I1128">
        <v>660.29949999999997</v>
      </c>
      <c r="J1128">
        <v>2005432684</v>
      </c>
      <c r="K1128" t="s">
        <v>73</v>
      </c>
      <c r="N1128" t="s">
        <v>74</v>
      </c>
      <c r="O1128" t="s">
        <v>75</v>
      </c>
      <c r="P1128" t="s">
        <v>74</v>
      </c>
      <c r="Q1128" t="s">
        <v>76</v>
      </c>
      <c r="R1128" t="s">
        <v>73</v>
      </c>
      <c r="S1128">
        <v>0</v>
      </c>
      <c r="W1128" s="20">
        <v>1.8518518518518518E-4</v>
      </c>
      <c r="X1128" t="s">
        <v>2641</v>
      </c>
      <c r="Y1128">
        <v>2</v>
      </c>
      <c r="Z1128">
        <v>0</v>
      </c>
      <c r="AA1128" t="s">
        <v>78</v>
      </c>
      <c r="AB1128">
        <v>0</v>
      </c>
      <c r="AC1128" t="s">
        <v>78</v>
      </c>
      <c r="AD1128">
        <v>0</v>
      </c>
      <c r="AE1128">
        <v>10621210</v>
      </c>
      <c r="AF1128" t="s">
        <v>79</v>
      </c>
      <c r="AG1128" t="s">
        <v>1519</v>
      </c>
    </row>
    <row r="1129" spans="1:33" x14ac:dyDescent="0.35">
      <c r="A1129" s="18">
        <v>44456.843055555553</v>
      </c>
      <c r="B1129">
        <v>5558400</v>
      </c>
      <c r="C1129" t="s">
        <v>1990</v>
      </c>
      <c r="D1129" t="s">
        <v>70</v>
      </c>
      <c r="E1129" s="19">
        <v>43396</v>
      </c>
      <c r="F1129" t="str">
        <f>"9781119516200"</f>
        <v>9781119516200</v>
      </c>
      <c r="G1129" t="str">
        <f>"9781119516187"</f>
        <v>9781119516187</v>
      </c>
      <c r="H1129" t="s">
        <v>128</v>
      </c>
      <c r="I1129">
        <v>307.76</v>
      </c>
      <c r="J1129" t="s">
        <v>1991</v>
      </c>
      <c r="K1129" t="s">
        <v>73</v>
      </c>
      <c r="N1129" t="s">
        <v>74</v>
      </c>
      <c r="O1129" t="s">
        <v>75</v>
      </c>
      <c r="P1129" t="s">
        <v>74</v>
      </c>
      <c r="Q1129" t="s">
        <v>76</v>
      </c>
      <c r="R1129" t="s">
        <v>73</v>
      </c>
      <c r="S1129">
        <v>0</v>
      </c>
      <c r="W1129" s="20">
        <v>2.199074074074074E-4</v>
      </c>
      <c r="X1129" t="s">
        <v>78</v>
      </c>
      <c r="Y1129">
        <v>0</v>
      </c>
      <c r="Z1129">
        <v>0</v>
      </c>
      <c r="AA1129" t="s">
        <v>2419</v>
      </c>
      <c r="AB1129">
        <v>4</v>
      </c>
      <c r="AC1129" t="s">
        <v>78</v>
      </c>
      <c r="AD1129">
        <v>0</v>
      </c>
      <c r="AE1129">
        <v>-1</v>
      </c>
      <c r="AF1129" t="s">
        <v>79</v>
      </c>
      <c r="AG1129" t="s">
        <v>2642</v>
      </c>
    </row>
    <row r="1130" spans="1:33" x14ac:dyDescent="0.35">
      <c r="A1130" s="18">
        <v>44456.836111111108</v>
      </c>
      <c r="B1130">
        <v>6089301</v>
      </c>
      <c r="C1130" t="s">
        <v>2637</v>
      </c>
      <c r="D1130" t="s">
        <v>2638</v>
      </c>
      <c r="E1130" s="19">
        <v>41485</v>
      </c>
      <c r="F1130" t="str">
        <f>"9780307946324"</f>
        <v>9780307946324</v>
      </c>
      <c r="G1130" t="str">
        <f>"9780307946317"</f>
        <v>9780307946317</v>
      </c>
      <c r="H1130" t="s">
        <v>1179</v>
      </c>
      <c r="K1130" t="s">
        <v>85</v>
      </c>
      <c r="N1130" t="s">
        <v>86</v>
      </c>
      <c r="P1130" t="s">
        <v>297</v>
      </c>
      <c r="Q1130" t="s">
        <v>76</v>
      </c>
      <c r="R1130" t="s">
        <v>73</v>
      </c>
      <c r="S1130">
        <v>0</v>
      </c>
      <c r="W1130" s="20">
        <v>3.8194444444444446E-4</v>
      </c>
      <c r="X1130" t="s">
        <v>132</v>
      </c>
      <c r="Y1130">
        <v>1</v>
      </c>
      <c r="Z1130">
        <v>0</v>
      </c>
      <c r="AA1130" t="s">
        <v>78</v>
      </c>
      <c r="AB1130">
        <v>0</v>
      </c>
      <c r="AC1130" t="s">
        <v>78</v>
      </c>
      <c r="AD1130">
        <v>0</v>
      </c>
      <c r="AE1130">
        <v>-1</v>
      </c>
      <c r="AF1130" t="s">
        <v>79</v>
      </c>
      <c r="AG1130" t="s">
        <v>2640</v>
      </c>
    </row>
    <row r="1131" spans="1:33" x14ac:dyDescent="0.35">
      <c r="A1131" s="18">
        <v>44456.817361111112</v>
      </c>
      <c r="B1131">
        <v>5558400</v>
      </c>
      <c r="C1131" t="s">
        <v>1990</v>
      </c>
      <c r="D1131" t="s">
        <v>70</v>
      </c>
      <c r="E1131" s="19">
        <v>43396</v>
      </c>
      <c r="F1131" t="str">
        <f>"9781119516200"</f>
        <v>9781119516200</v>
      </c>
      <c r="G1131" t="str">
        <f>"9781119516187"</f>
        <v>9781119516187</v>
      </c>
      <c r="H1131" t="s">
        <v>128</v>
      </c>
      <c r="I1131">
        <v>307.76</v>
      </c>
      <c r="J1131" t="s">
        <v>1991</v>
      </c>
      <c r="K1131" t="s">
        <v>73</v>
      </c>
      <c r="N1131" t="s">
        <v>74</v>
      </c>
      <c r="O1131" t="s">
        <v>75</v>
      </c>
      <c r="P1131" t="s">
        <v>74</v>
      </c>
      <c r="Q1131" t="s">
        <v>76</v>
      </c>
      <c r="R1131" t="s">
        <v>73</v>
      </c>
      <c r="S1131">
        <v>1</v>
      </c>
      <c r="W1131" s="20">
        <v>1.9675925925925928E-3</v>
      </c>
      <c r="X1131" t="s">
        <v>2643</v>
      </c>
      <c r="Y1131">
        <v>14</v>
      </c>
      <c r="Z1131">
        <v>1</v>
      </c>
      <c r="AA1131" t="s">
        <v>2445</v>
      </c>
      <c r="AB1131">
        <v>3</v>
      </c>
      <c r="AC1131" t="s">
        <v>78</v>
      </c>
      <c r="AD1131">
        <v>0</v>
      </c>
      <c r="AE1131">
        <v>-1</v>
      </c>
      <c r="AF1131" t="s">
        <v>88</v>
      </c>
      <c r="AG1131" t="s">
        <v>2642</v>
      </c>
    </row>
    <row r="1132" spans="1:33" x14ac:dyDescent="0.35">
      <c r="A1132" s="18">
        <v>44456.804861111108</v>
      </c>
      <c r="B1132">
        <v>5558400</v>
      </c>
      <c r="C1132" t="s">
        <v>1990</v>
      </c>
      <c r="D1132" t="s">
        <v>70</v>
      </c>
      <c r="E1132" s="19">
        <v>43396</v>
      </c>
      <c r="F1132" t="str">
        <f>"9781119516200"</f>
        <v>9781119516200</v>
      </c>
      <c r="G1132" t="str">
        <f>"9781119516187"</f>
        <v>9781119516187</v>
      </c>
      <c r="H1132" t="s">
        <v>128</v>
      </c>
      <c r="I1132">
        <v>307.76</v>
      </c>
      <c r="J1132" t="s">
        <v>1991</v>
      </c>
      <c r="K1132" t="s">
        <v>73</v>
      </c>
      <c r="N1132" t="s">
        <v>74</v>
      </c>
      <c r="O1132" t="s">
        <v>75</v>
      </c>
      <c r="P1132" t="s">
        <v>74</v>
      </c>
      <c r="Q1132" t="s">
        <v>76</v>
      </c>
      <c r="R1132" t="s">
        <v>73</v>
      </c>
      <c r="S1132">
        <v>0</v>
      </c>
      <c r="W1132" s="20">
        <v>2.3148148148148146E-4</v>
      </c>
      <c r="X1132" t="s">
        <v>2644</v>
      </c>
      <c r="Y1132">
        <v>2</v>
      </c>
      <c r="Z1132">
        <v>0</v>
      </c>
      <c r="AA1132" t="s">
        <v>78</v>
      </c>
      <c r="AB1132">
        <v>0</v>
      </c>
      <c r="AC1132" t="s">
        <v>78</v>
      </c>
      <c r="AD1132">
        <v>0</v>
      </c>
      <c r="AE1132">
        <v>-1</v>
      </c>
      <c r="AF1132" t="s">
        <v>79</v>
      </c>
      <c r="AG1132" t="s">
        <v>1963</v>
      </c>
    </row>
    <row r="1133" spans="1:33" x14ac:dyDescent="0.35">
      <c r="A1133" s="18">
        <v>44456.795138888891</v>
      </c>
      <c r="B1133">
        <v>5558400</v>
      </c>
      <c r="C1133" t="s">
        <v>1990</v>
      </c>
      <c r="D1133" t="s">
        <v>70</v>
      </c>
      <c r="E1133" s="19">
        <v>43396</v>
      </c>
      <c r="F1133" t="str">
        <f>"9781119516200"</f>
        <v>9781119516200</v>
      </c>
      <c r="G1133" t="str">
        <f>"9781119516187"</f>
        <v>9781119516187</v>
      </c>
      <c r="H1133" t="s">
        <v>128</v>
      </c>
      <c r="I1133">
        <v>307.76</v>
      </c>
      <c r="J1133" t="s">
        <v>1991</v>
      </c>
      <c r="K1133" t="s">
        <v>73</v>
      </c>
      <c r="N1133" t="s">
        <v>74</v>
      </c>
      <c r="O1133" t="s">
        <v>75</v>
      </c>
      <c r="P1133" t="s">
        <v>74</v>
      </c>
      <c r="Q1133" t="s">
        <v>76</v>
      </c>
      <c r="R1133" t="s">
        <v>73</v>
      </c>
      <c r="S1133">
        <v>0</v>
      </c>
      <c r="W1133" s="20">
        <v>3.9409722222222221E-2</v>
      </c>
      <c r="X1133" t="s">
        <v>2645</v>
      </c>
      <c r="Y1133">
        <v>16</v>
      </c>
      <c r="Z1133">
        <v>0</v>
      </c>
      <c r="AA1133" t="s">
        <v>78</v>
      </c>
      <c r="AB1133">
        <v>0</v>
      </c>
      <c r="AC1133" t="s">
        <v>78</v>
      </c>
      <c r="AD1133">
        <v>0</v>
      </c>
      <c r="AE1133">
        <v>-1</v>
      </c>
      <c r="AF1133" t="s">
        <v>79</v>
      </c>
      <c r="AG1133" t="s">
        <v>1009</v>
      </c>
    </row>
    <row r="1134" spans="1:33" x14ac:dyDescent="0.35">
      <c r="A1134" s="18">
        <v>44456.790972222225</v>
      </c>
      <c r="B1134">
        <v>6089301</v>
      </c>
      <c r="C1134" t="s">
        <v>2637</v>
      </c>
      <c r="D1134" t="s">
        <v>2638</v>
      </c>
      <c r="E1134" s="19">
        <v>41485</v>
      </c>
      <c r="F1134" t="str">
        <f>"9780307946324"</f>
        <v>9780307946324</v>
      </c>
      <c r="G1134" t="str">
        <f>"9780307946317"</f>
        <v>9780307946317</v>
      </c>
      <c r="H1134" t="s">
        <v>1179</v>
      </c>
      <c r="K1134" t="s">
        <v>85</v>
      </c>
      <c r="N1134" t="s">
        <v>86</v>
      </c>
      <c r="P1134" t="s">
        <v>297</v>
      </c>
      <c r="Q1134" t="s">
        <v>76</v>
      </c>
      <c r="R1134" t="s">
        <v>73</v>
      </c>
      <c r="S1134">
        <v>0</v>
      </c>
      <c r="W1134" s="20">
        <v>2.3379629629629631E-3</v>
      </c>
      <c r="X1134" t="s">
        <v>2646</v>
      </c>
      <c r="Y1134">
        <v>4</v>
      </c>
      <c r="Z1134">
        <v>0</v>
      </c>
      <c r="AA1134" t="s">
        <v>78</v>
      </c>
      <c r="AB1134">
        <v>0</v>
      </c>
      <c r="AC1134" t="s">
        <v>78</v>
      </c>
      <c r="AD1134">
        <v>0</v>
      </c>
      <c r="AE1134">
        <v>-1</v>
      </c>
      <c r="AF1134" t="s">
        <v>79</v>
      </c>
      <c r="AG1134" t="s">
        <v>2640</v>
      </c>
    </row>
    <row r="1135" spans="1:33" x14ac:dyDescent="0.35">
      <c r="A1135" s="18">
        <v>44456.788888888892</v>
      </c>
      <c r="B1135">
        <v>474531</v>
      </c>
      <c r="C1135" t="s">
        <v>2647</v>
      </c>
      <c r="D1135" t="s">
        <v>2648</v>
      </c>
      <c r="E1135" s="19">
        <v>38749</v>
      </c>
      <c r="F1135" t="str">
        <f>"9781889057613"</f>
        <v>9781889057613</v>
      </c>
      <c r="G1135" t="str">
        <f>"9781889057361"</f>
        <v>9781889057361</v>
      </c>
      <c r="H1135" t="s">
        <v>1179</v>
      </c>
      <c r="I1135">
        <v>378.1662</v>
      </c>
      <c r="J1135" t="s">
        <v>2649</v>
      </c>
      <c r="K1135" t="s">
        <v>73</v>
      </c>
      <c r="N1135" t="s">
        <v>74</v>
      </c>
      <c r="O1135" t="s">
        <v>75</v>
      </c>
      <c r="P1135" t="s">
        <v>74</v>
      </c>
      <c r="Q1135" t="s">
        <v>76</v>
      </c>
      <c r="R1135" t="s">
        <v>73</v>
      </c>
      <c r="S1135">
        <v>0</v>
      </c>
      <c r="W1135" s="20">
        <v>3.1944444444444442E-3</v>
      </c>
      <c r="X1135" t="s">
        <v>2650</v>
      </c>
      <c r="Y1135">
        <v>11</v>
      </c>
      <c r="Z1135">
        <v>0</v>
      </c>
      <c r="AA1135" t="s">
        <v>78</v>
      </c>
      <c r="AB1135">
        <v>0</v>
      </c>
      <c r="AC1135" t="s">
        <v>78</v>
      </c>
      <c r="AD1135">
        <v>0</v>
      </c>
      <c r="AE1135">
        <v>10347278</v>
      </c>
      <c r="AF1135" t="s">
        <v>79</v>
      </c>
      <c r="AG1135" t="s">
        <v>2640</v>
      </c>
    </row>
    <row r="1136" spans="1:33" x14ac:dyDescent="0.35">
      <c r="A1136" s="18">
        <v>44456.780555555553</v>
      </c>
      <c r="B1136">
        <v>4877020</v>
      </c>
      <c r="C1136" t="s">
        <v>2651</v>
      </c>
      <c r="D1136" t="s">
        <v>741</v>
      </c>
      <c r="E1136" s="19">
        <v>42856</v>
      </c>
      <c r="F1136" t="str">
        <f>"9781423234951"</f>
        <v>9781423234951</v>
      </c>
      <c r="G1136" t="str">
        <f>"9781423234746"</f>
        <v>9781423234746</v>
      </c>
      <c r="H1136" t="s">
        <v>115</v>
      </c>
      <c r="I1136">
        <v>510.76</v>
      </c>
      <c r="J1136" t="s">
        <v>2652</v>
      </c>
      <c r="K1136" t="s">
        <v>73</v>
      </c>
      <c r="N1136" t="s">
        <v>74</v>
      </c>
      <c r="O1136" t="s">
        <v>75</v>
      </c>
      <c r="P1136" t="s">
        <v>74</v>
      </c>
      <c r="Q1136" t="s">
        <v>76</v>
      </c>
      <c r="R1136" t="s">
        <v>73</v>
      </c>
      <c r="S1136">
        <v>0</v>
      </c>
      <c r="W1136" s="20">
        <v>7.5810185185185182E-3</v>
      </c>
      <c r="X1136" t="s">
        <v>1428</v>
      </c>
      <c r="Y1136">
        <v>6</v>
      </c>
      <c r="Z1136">
        <v>1</v>
      </c>
      <c r="AA1136" t="s">
        <v>132</v>
      </c>
      <c r="AB1136">
        <v>1</v>
      </c>
      <c r="AC1136" t="s">
        <v>78</v>
      </c>
      <c r="AD1136">
        <v>0</v>
      </c>
      <c r="AE1136">
        <v>11397702</v>
      </c>
      <c r="AF1136" t="s">
        <v>79</v>
      </c>
      <c r="AG1136" t="s">
        <v>2640</v>
      </c>
    </row>
    <row r="1137" spans="1:33" x14ac:dyDescent="0.35">
      <c r="A1137" s="18">
        <v>44456.645138888889</v>
      </c>
      <c r="B1137">
        <v>5558400</v>
      </c>
      <c r="C1137" t="s">
        <v>1990</v>
      </c>
      <c r="D1137" t="s">
        <v>70</v>
      </c>
      <c r="E1137" s="19">
        <v>43396</v>
      </c>
      <c r="F1137" t="str">
        <f>"9781119516200"</f>
        <v>9781119516200</v>
      </c>
      <c r="G1137" t="str">
        <f>"9781119516187"</f>
        <v>9781119516187</v>
      </c>
      <c r="H1137" t="s">
        <v>128</v>
      </c>
      <c r="I1137">
        <v>307.76</v>
      </c>
      <c r="J1137" t="s">
        <v>1991</v>
      </c>
      <c r="K1137" t="s">
        <v>73</v>
      </c>
      <c r="N1137" t="s">
        <v>74</v>
      </c>
      <c r="O1137" t="s">
        <v>75</v>
      </c>
      <c r="P1137" t="s">
        <v>74</v>
      </c>
      <c r="Q1137" t="s">
        <v>76</v>
      </c>
      <c r="R1137" t="s">
        <v>73</v>
      </c>
      <c r="S1137">
        <v>0</v>
      </c>
      <c r="W1137" s="20">
        <v>0</v>
      </c>
      <c r="X1137" t="s">
        <v>78</v>
      </c>
      <c r="Y1137">
        <v>0</v>
      </c>
      <c r="Z1137">
        <v>3</v>
      </c>
      <c r="AA1137" t="s">
        <v>2653</v>
      </c>
      <c r="AB1137">
        <v>47</v>
      </c>
      <c r="AC1137" t="s">
        <v>78</v>
      </c>
      <c r="AD1137">
        <v>0</v>
      </c>
      <c r="AE1137">
        <v>-1</v>
      </c>
      <c r="AF1137" t="s">
        <v>79</v>
      </c>
      <c r="AG1137" t="s">
        <v>1963</v>
      </c>
    </row>
    <row r="1138" spans="1:33" x14ac:dyDescent="0.35">
      <c r="A1138" s="18">
        <v>44456.542361111111</v>
      </c>
      <c r="B1138">
        <v>1895651</v>
      </c>
      <c r="C1138" t="s">
        <v>2654</v>
      </c>
      <c r="D1138" t="s">
        <v>70</v>
      </c>
      <c r="E1138" s="19">
        <v>42004</v>
      </c>
      <c r="F1138" t="str">
        <f>"9781118843482"</f>
        <v>9781118843482</v>
      </c>
      <c r="G1138" t="str">
        <f>"9780470952603"</f>
        <v>9780470952603</v>
      </c>
      <c r="H1138" t="s">
        <v>2655</v>
      </c>
      <c r="I1138" t="s">
        <v>2656</v>
      </c>
      <c r="J1138" t="s">
        <v>2657</v>
      </c>
      <c r="K1138" t="s">
        <v>73</v>
      </c>
      <c r="N1138" t="s">
        <v>74</v>
      </c>
      <c r="O1138" t="s">
        <v>75</v>
      </c>
      <c r="P1138" t="s">
        <v>74</v>
      </c>
      <c r="Q1138" t="s">
        <v>76</v>
      </c>
      <c r="R1138" t="s">
        <v>73</v>
      </c>
      <c r="S1138">
        <v>0</v>
      </c>
      <c r="W1138" s="20">
        <v>1.6435185185185183E-3</v>
      </c>
      <c r="X1138" t="s">
        <v>2658</v>
      </c>
      <c r="Y1138">
        <v>12</v>
      </c>
      <c r="Z1138">
        <v>0</v>
      </c>
      <c r="AA1138" t="s">
        <v>78</v>
      </c>
      <c r="AB1138">
        <v>0</v>
      </c>
      <c r="AC1138" t="s">
        <v>78</v>
      </c>
      <c r="AD1138">
        <v>0</v>
      </c>
      <c r="AE1138">
        <v>11022796</v>
      </c>
      <c r="AF1138" t="s">
        <v>79</v>
      </c>
      <c r="AG1138" t="s">
        <v>1963</v>
      </c>
    </row>
    <row r="1139" spans="1:33" x14ac:dyDescent="0.35">
      <c r="A1139" s="18">
        <v>44456.252083333333</v>
      </c>
      <c r="B1139">
        <v>835145</v>
      </c>
      <c r="C1139" t="s">
        <v>1542</v>
      </c>
      <c r="D1139" t="s">
        <v>70</v>
      </c>
      <c r="E1139" s="19">
        <v>40952</v>
      </c>
      <c r="F1139" t="str">
        <f>"9781119977001"</f>
        <v>9781119977001</v>
      </c>
      <c r="G1139" t="str">
        <f>"9781119992851"</f>
        <v>9781119992851</v>
      </c>
      <c r="H1139" t="s">
        <v>71</v>
      </c>
      <c r="I1139">
        <v>621.31244000000004</v>
      </c>
      <c r="J1139" t="s">
        <v>1543</v>
      </c>
      <c r="K1139" t="s">
        <v>73</v>
      </c>
      <c r="N1139" t="s">
        <v>74</v>
      </c>
      <c r="O1139" t="s">
        <v>75</v>
      </c>
      <c r="P1139" t="s">
        <v>74</v>
      </c>
      <c r="Q1139" t="s">
        <v>76</v>
      </c>
      <c r="R1139" t="s">
        <v>73</v>
      </c>
      <c r="S1139">
        <v>0</v>
      </c>
      <c r="W1139" s="20">
        <v>1.273148148148148E-4</v>
      </c>
      <c r="X1139" t="s">
        <v>132</v>
      </c>
      <c r="Y1139">
        <v>1</v>
      </c>
      <c r="Z1139">
        <v>0</v>
      </c>
      <c r="AA1139" t="s">
        <v>78</v>
      </c>
      <c r="AB1139">
        <v>0</v>
      </c>
      <c r="AC1139" t="s">
        <v>78</v>
      </c>
      <c r="AD1139">
        <v>0</v>
      </c>
      <c r="AE1139">
        <v>10526535</v>
      </c>
      <c r="AF1139" t="s">
        <v>79</v>
      </c>
      <c r="AG1139" t="s">
        <v>1963</v>
      </c>
    </row>
    <row r="1140" spans="1:33" x14ac:dyDescent="0.35">
      <c r="A1140" s="18">
        <v>44455.852083333331</v>
      </c>
      <c r="B1140">
        <v>542581</v>
      </c>
      <c r="C1140" t="s">
        <v>2659</v>
      </c>
      <c r="D1140" t="s">
        <v>2660</v>
      </c>
      <c r="E1140" s="19">
        <v>40344</v>
      </c>
      <c r="F1140" t="str">
        <f>"9780643098084"</f>
        <v>9780643098084</v>
      </c>
      <c r="G1140" t="str">
        <f>"9780643095953"</f>
        <v>9780643095953</v>
      </c>
      <c r="H1140" t="s">
        <v>2661</v>
      </c>
      <c r="I1140">
        <v>333.75</v>
      </c>
      <c r="J1140" t="s">
        <v>2662</v>
      </c>
      <c r="K1140" t="s">
        <v>73</v>
      </c>
      <c r="N1140" t="s">
        <v>74</v>
      </c>
      <c r="O1140" t="s">
        <v>75</v>
      </c>
      <c r="P1140" t="s">
        <v>74</v>
      </c>
      <c r="Q1140" t="s">
        <v>76</v>
      </c>
      <c r="R1140" t="s">
        <v>73</v>
      </c>
      <c r="S1140">
        <v>0</v>
      </c>
      <c r="W1140" s="20">
        <v>4.1666666666666669E-4</v>
      </c>
      <c r="X1140" t="s">
        <v>1420</v>
      </c>
      <c r="Y1140">
        <v>4</v>
      </c>
      <c r="Z1140">
        <v>0</v>
      </c>
      <c r="AA1140" t="s">
        <v>78</v>
      </c>
      <c r="AB1140">
        <v>0</v>
      </c>
      <c r="AC1140" t="s">
        <v>78</v>
      </c>
      <c r="AD1140">
        <v>0</v>
      </c>
      <c r="AE1140">
        <v>10620359</v>
      </c>
      <c r="AF1140" t="s">
        <v>79</v>
      </c>
      <c r="AG1140" t="s">
        <v>1963</v>
      </c>
    </row>
    <row r="1141" spans="1:33" x14ac:dyDescent="0.35">
      <c r="A1141" s="18">
        <v>44455.845833333333</v>
      </c>
      <c r="B1141">
        <v>981859</v>
      </c>
      <c r="C1141" t="s">
        <v>2663</v>
      </c>
      <c r="D1141" t="s">
        <v>127</v>
      </c>
      <c r="E1141" s="19">
        <v>40572</v>
      </c>
      <c r="F1141" t="str">
        <f>"9780203834244"</f>
        <v>9780203834244</v>
      </c>
      <c r="G1141" t="str">
        <f>"9780415892032"</f>
        <v>9780415892032</v>
      </c>
      <c r="H1141" t="s">
        <v>2664</v>
      </c>
      <c r="I1141" t="s">
        <v>2665</v>
      </c>
      <c r="J1141" t="s">
        <v>2666</v>
      </c>
      <c r="K1141" t="s">
        <v>73</v>
      </c>
      <c r="N1141" t="s">
        <v>74</v>
      </c>
      <c r="O1141" t="s">
        <v>75</v>
      </c>
      <c r="P1141" t="s">
        <v>74</v>
      </c>
      <c r="Q1141" t="s">
        <v>76</v>
      </c>
      <c r="R1141" t="s">
        <v>73</v>
      </c>
      <c r="S1141">
        <v>0</v>
      </c>
      <c r="W1141" s="20">
        <v>1.8518518518518517E-3</v>
      </c>
      <c r="X1141" t="s">
        <v>2667</v>
      </c>
      <c r="Y1141">
        <v>6</v>
      </c>
      <c r="Z1141">
        <v>0</v>
      </c>
      <c r="AA1141" t="s">
        <v>78</v>
      </c>
      <c r="AB1141">
        <v>0</v>
      </c>
      <c r="AC1141" t="s">
        <v>78</v>
      </c>
      <c r="AD1141">
        <v>0</v>
      </c>
      <c r="AE1141">
        <v>10578148</v>
      </c>
      <c r="AF1141" t="s">
        <v>79</v>
      </c>
      <c r="AG1141" t="s">
        <v>1963</v>
      </c>
    </row>
    <row r="1142" spans="1:33" x14ac:dyDescent="0.35">
      <c r="A1142" s="18">
        <v>44455.785416666666</v>
      </c>
      <c r="B1142">
        <v>4003861</v>
      </c>
      <c r="C1142" t="s">
        <v>2668</v>
      </c>
      <c r="D1142" t="s">
        <v>338</v>
      </c>
      <c r="E1142" s="19">
        <v>42291</v>
      </c>
      <c r="F1142" t="str">
        <f>"9780444635358"</f>
        <v>9780444635358</v>
      </c>
      <c r="G1142" t="str">
        <f>"9780444635242"</f>
        <v>9780444635242</v>
      </c>
      <c r="H1142" t="s">
        <v>2669</v>
      </c>
      <c r="I1142">
        <v>551.6</v>
      </c>
      <c r="J1142" t="s">
        <v>2670</v>
      </c>
      <c r="K1142" t="s">
        <v>73</v>
      </c>
      <c r="N1142" t="s">
        <v>74</v>
      </c>
      <c r="O1142" t="s">
        <v>75</v>
      </c>
      <c r="P1142" t="s">
        <v>74</v>
      </c>
      <c r="Q1142" t="s">
        <v>76</v>
      </c>
      <c r="R1142" t="s">
        <v>73</v>
      </c>
      <c r="S1142">
        <v>0</v>
      </c>
      <c r="W1142" s="20">
        <v>4.3518518518518515E-3</v>
      </c>
      <c r="X1142" t="s">
        <v>2671</v>
      </c>
      <c r="Y1142">
        <v>20</v>
      </c>
      <c r="Z1142">
        <v>0</v>
      </c>
      <c r="AA1142" t="s">
        <v>78</v>
      </c>
      <c r="AB1142">
        <v>0</v>
      </c>
      <c r="AC1142" t="s">
        <v>78</v>
      </c>
      <c r="AD1142">
        <v>0</v>
      </c>
      <c r="AE1142">
        <v>11117951</v>
      </c>
      <c r="AF1142" t="s">
        <v>79</v>
      </c>
      <c r="AG1142" t="s">
        <v>1963</v>
      </c>
    </row>
    <row r="1143" spans="1:33" x14ac:dyDescent="0.35">
      <c r="A1143" s="18">
        <v>44455.785416666666</v>
      </c>
      <c r="B1143">
        <v>4307182</v>
      </c>
      <c r="C1143" t="s">
        <v>2672</v>
      </c>
      <c r="D1143" t="s">
        <v>1258</v>
      </c>
      <c r="E1143" s="19">
        <v>42361</v>
      </c>
      <c r="F1143" t="str">
        <f>"9781606508480"</f>
        <v>9781606508480</v>
      </c>
      <c r="G1143" t="str">
        <f>"9781606508473"</f>
        <v>9781606508473</v>
      </c>
      <c r="H1143" t="s">
        <v>2673</v>
      </c>
      <c r="I1143">
        <v>363.73874000000001</v>
      </c>
      <c r="J1143" t="s">
        <v>2674</v>
      </c>
      <c r="K1143" t="s">
        <v>73</v>
      </c>
      <c r="N1143" t="s">
        <v>74</v>
      </c>
      <c r="O1143" t="s">
        <v>75</v>
      </c>
      <c r="P1143" t="s">
        <v>74</v>
      </c>
      <c r="Q1143" t="s">
        <v>76</v>
      </c>
      <c r="R1143" t="s">
        <v>73</v>
      </c>
      <c r="S1143">
        <v>0</v>
      </c>
      <c r="W1143" s="20">
        <v>4.9328703703703701E-2</v>
      </c>
      <c r="X1143" t="s">
        <v>2675</v>
      </c>
      <c r="Y1143">
        <v>73</v>
      </c>
      <c r="Z1143">
        <v>0</v>
      </c>
      <c r="AA1143" t="s">
        <v>78</v>
      </c>
      <c r="AB1143">
        <v>0</v>
      </c>
      <c r="AC1143" t="s">
        <v>78</v>
      </c>
      <c r="AD1143">
        <v>0</v>
      </c>
      <c r="AE1143">
        <v>11147005</v>
      </c>
      <c r="AF1143" t="s">
        <v>79</v>
      </c>
      <c r="AG1143" t="s">
        <v>1963</v>
      </c>
    </row>
    <row r="1144" spans="1:33" x14ac:dyDescent="0.35">
      <c r="A1144" s="18">
        <v>44455.745833333334</v>
      </c>
      <c r="B1144">
        <v>957611</v>
      </c>
      <c r="C1144" t="s">
        <v>1286</v>
      </c>
      <c r="D1144" t="s">
        <v>127</v>
      </c>
      <c r="E1144" s="19">
        <v>40857</v>
      </c>
      <c r="F1144" t="str">
        <f>"9780203806982"</f>
        <v>9780203806982</v>
      </c>
      <c r="G1144" t="str">
        <f>"9780415782234"</f>
        <v>9780415782234</v>
      </c>
      <c r="H1144" t="s">
        <v>308</v>
      </c>
      <c r="I1144" t="s">
        <v>1287</v>
      </c>
      <c r="J1144" t="s">
        <v>1288</v>
      </c>
      <c r="K1144" t="s">
        <v>73</v>
      </c>
      <c r="N1144" t="s">
        <v>74</v>
      </c>
      <c r="O1144" t="s">
        <v>75</v>
      </c>
      <c r="P1144" t="s">
        <v>74</v>
      </c>
      <c r="Q1144" t="s">
        <v>76</v>
      </c>
      <c r="R1144" t="s">
        <v>73</v>
      </c>
      <c r="S1144">
        <v>0</v>
      </c>
      <c r="W1144" s="20">
        <v>9.0277777777777784E-4</v>
      </c>
      <c r="X1144" t="s">
        <v>2676</v>
      </c>
      <c r="Y1144">
        <v>7</v>
      </c>
      <c r="Z1144">
        <v>0</v>
      </c>
      <c r="AA1144" t="s">
        <v>78</v>
      </c>
      <c r="AB1144">
        <v>0</v>
      </c>
      <c r="AC1144" t="s">
        <v>78</v>
      </c>
      <c r="AD1144">
        <v>0</v>
      </c>
      <c r="AE1144">
        <v>10529223</v>
      </c>
      <c r="AF1144" t="s">
        <v>79</v>
      </c>
      <c r="AG1144" t="s">
        <v>1173</v>
      </c>
    </row>
    <row r="1145" spans="1:33" x14ac:dyDescent="0.35">
      <c r="A1145" s="18">
        <v>44455.663888888892</v>
      </c>
      <c r="B1145">
        <v>4307182</v>
      </c>
      <c r="C1145" t="s">
        <v>2672</v>
      </c>
      <c r="D1145" t="s">
        <v>1258</v>
      </c>
      <c r="E1145" s="19">
        <v>42361</v>
      </c>
      <c r="F1145" t="str">
        <f>"9781606508480"</f>
        <v>9781606508480</v>
      </c>
      <c r="G1145" t="str">
        <f>"9781606508473"</f>
        <v>9781606508473</v>
      </c>
      <c r="H1145" t="s">
        <v>2673</v>
      </c>
      <c r="I1145">
        <v>363.73874000000001</v>
      </c>
      <c r="J1145" t="s">
        <v>2674</v>
      </c>
      <c r="K1145" t="s">
        <v>73</v>
      </c>
      <c r="N1145" t="s">
        <v>74</v>
      </c>
      <c r="O1145" t="s">
        <v>75</v>
      </c>
      <c r="P1145" t="s">
        <v>74</v>
      </c>
      <c r="Q1145" t="s">
        <v>76</v>
      </c>
      <c r="R1145" t="s">
        <v>73</v>
      </c>
      <c r="S1145">
        <v>0</v>
      </c>
      <c r="W1145" s="20">
        <v>6.9444444444444444E-5</v>
      </c>
      <c r="X1145" t="s">
        <v>132</v>
      </c>
      <c r="Y1145">
        <v>1</v>
      </c>
      <c r="Z1145">
        <v>0</v>
      </c>
      <c r="AA1145" t="s">
        <v>78</v>
      </c>
      <c r="AB1145">
        <v>0</v>
      </c>
      <c r="AC1145" t="s">
        <v>78</v>
      </c>
      <c r="AD1145">
        <v>0</v>
      </c>
      <c r="AE1145">
        <v>11147005</v>
      </c>
      <c r="AF1145" t="s">
        <v>79</v>
      </c>
      <c r="AG1145" t="s">
        <v>1963</v>
      </c>
    </row>
    <row r="1146" spans="1:33" x14ac:dyDescent="0.35">
      <c r="A1146" s="18">
        <v>44455.662499999999</v>
      </c>
      <c r="B1146">
        <v>4003861</v>
      </c>
      <c r="C1146" t="s">
        <v>2668</v>
      </c>
      <c r="D1146" t="s">
        <v>338</v>
      </c>
      <c r="E1146" s="19">
        <v>42291</v>
      </c>
      <c r="F1146" t="str">
        <f>"9780444635358"</f>
        <v>9780444635358</v>
      </c>
      <c r="G1146" t="str">
        <f>"9780444635242"</f>
        <v>9780444635242</v>
      </c>
      <c r="H1146" t="s">
        <v>2669</v>
      </c>
      <c r="I1146">
        <v>551.6</v>
      </c>
      <c r="J1146" t="s">
        <v>2670</v>
      </c>
      <c r="K1146" t="s">
        <v>73</v>
      </c>
      <c r="N1146" t="s">
        <v>74</v>
      </c>
      <c r="O1146" t="s">
        <v>75</v>
      </c>
      <c r="P1146" t="s">
        <v>74</v>
      </c>
      <c r="Q1146" t="s">
        <v>76</v>
      </c>
      <c r="R1146" t="s">
        <v>73</v>
      </c>
      <c r="S1146">
        <v>0</v>
      </c>
      <c r="W1146" s="20">
        <v>1.6087962962962963E-3</v>
      </c>
      <c r="X1146" t="s">
        <v>1196</v>
      </c>
      <c r="Y1146">
        <v>4</v>
      </c>
      <c r="Z1146">
        <v>0</v>
      </c>
      <c r="AA1146" t="s">
        <v>78</v>
      </c>
      <c r="AB1146">
        <v>0</v>
      </c>
      <c r="AC1146" t="s">
        <v>78</v>
      </c>
      <c r="AD1146">
        <v>0</v>
      </c>
      <c r="AE1146">
        <v>11117951</v>
      </c>
      <c r="AF1146" t="s">
        <v>79</v>
      </c>
      <c r="AG1146" t="s">
        <v>1963</v>
      </c>
    </row>
    <row r="1147" spans="1:33" x14ac:dyDescent="0.35">
      <c r="A1147" s="18">
        <v>44455.65625</v>
      </c>
      <c r="B1147">
        <v>5945705</v>
      </c>
      <c r="C1147" t="s">
        <v>2455</v>
      </c>
      <c r="D1147" t="s">
        <v>158</v>
      </c>
      <c r="E1147" s="19">
        <v>43753</v>
      </c>
      <c r="F1147" t="str">
        <f>"9780081029268"</f>
        <v>9780081029268</v>
      </c>
      <c r="G1147" t="str">
        <f>"9780081029251"</f>
        <v>9780081029251</v>
      </c>
      <c r="H1147" t="s">
        <v>2456</v>
      </c>
      <c r="I1147">
        <v>25.344000000000001</v>
      </c>
      <c r="J1147" t="s">
        <v>2457</v>
      </c>
      <c r="K1147" t="s">
        <v>85</v>
      </c>
      <c r="N1147" t="s">
        <v>86</v>
      </c>
      <c r="P1147" t="s">
        <v>87</v>
      </c>
      <c r="Q1147" t="s">
        <v>76</v>
      </c>
      <c r="R1147" t="s">
        <v>73</v>
      </c>
      <c r="S1147">
        <v>0</v>
      </c>
      <c r="W1147" s="20">
        <v>2.8935185185185188E-3</v>
      </c>
      <c r="X1147" t="s">
        <v>2677</v>
      </c>
      <c r="Y1147">
        <v>20</v>
      </c>
      <c r="Z1147">
        <v>0</v>
      </c>
      <c r="AA1147" t="s">
        <v>78</v>
      </c>
      <c r="AB1147">
        <v>0</v>
      </c>
      <c r="AC1147" t="s">
        <v>78</v>
      </c>
      <c r="AD1147">
        <v>0</v>
      </c>
      <c r="AE1147">
        <v>-1</v>
      </c>
      <c r="AF1147" t="s">
        <v>79</v>
      </c>
      <c r="AG1147" t="s">
        <v>2642</v>
      </c>
    </row>
    <row r="1148" spans="1:33" x14ac:dyDescent="0.35">
      <c r="A1148" s="18">
        <v>44455.590277777781</v>
      </c>
      <c r="B1148">
        <v>6546221</v>
      </c>
      <c r="C1148" t="s">
        <v>178</v>
      </c>
      <c r="D1148" t="s">
        <v>158</v>
      </c>
      <c r="E1148" s="19">
        <v>44299</v>
      </c>
      <c r="F1148" t="str">
        <f>"9780128219300"</f>
        <v>9780128219300</v>
      </c>
      <c r="G1148" t="str">
        <f>"9780128219294"</f>
        <v>9780128219294</v>
      </c>
      <c r="H1148" t="s">
        <v>179</v>
      </c>
      <c r="I1148">
        <v>622.33802856310001</v>
      </c>
      <c r="J1148" t="s">
        <v>180</v>
      </c>
      <c r="K1148" t="s">
        <v>85</v>
      </c>
      <c r="N1148" t="s">
        <v>86</v>
      </c>
      <c r="P1148" t="s">
        <v>87</v>
      </c>
      <c r="Q1148" t="s">
        <v>76</v>
      </c>
      <c r="R1148" t="s">
        <v>73</v>
      </c>
      <c r="S1148">
        <v>0</v>
      </c>
      <c r="W1148" s="20">
        <v>4.6296296296296294E-5</v>
      </c>
      <c r="X1148" t="s">
        <v>132</v>
      </c>
      <c r="Y1148">
        <v>1</v>
      </c>
      <c r="Z1148">
        <v>0</v>
      </c>
      <c r="AA1148" t="s">
        <v>78</v>
      </c>
      <c r="AB1148">
        <v>0</v>
      </c>
      <c r="AC1148" t="s">
        <v>78</v>
      </c>
      <c r="AD1148">
        <v>0</v>
      </c>
      <c r="AE1148">
        <v>-1</v>
      </c>
      <c r="AF1148" t="s">
        <v>79</v>
      </c>
      <c r="AG1148" t="s">
        <v>2678</v>
      </c>
    </row>
    <row r="1149" spans="1:33" x14ac:dyDescent="0.35">
      <c r="A1149" s="18">
        <v>44455.577777777777</v>
      </c>
      <c r="B1149">
        <v>5945705</v>
      </c>
      <c r="C1149" t="s">
        <v>2455</v>
      </c>
      <c r="D1149" t="s">
        <v>158</v>
      </c>
      <c r="E1149" s="19">
        <v>43753</v>
      </c>
      <c r="F1149" t="str">
        <f>"9780081029268"</f>
        <v>9780081029268</v>
      </c>
      <c r="G1149" t="str">
        <f>"9780081029251"</f>
        <v>9780081029251</v>
      </c>
      <c r="H1149" t="s">
        <v>2456</v>
      </c>
      <c r="I1149">
        <v>25.344000000000001</v>
      </c>
      <c r="J1149" t="s">
        <v>2457</v>
      </c>
      <c r="K1149" t="s">
        <v>85</v>
      </c>
      <c r="N1149" t="s">
        <v>86</v>
      </c>
      <c r="P1149" t="s">
        <v>87</v>
      </c>
      <c r="Q1149" t="s">
        <v>76</v>
      </c>
      <c r="R1149" t="s">
        <v>73</v>
      </c>
      <c r="S1149">
        <v>0</v>
      </c>
      <c r="W1149" s="20">
        <v>3.9351851851851852E-4</v>
      </c>
      <c r="X1149" t="s">
        <v>2679</v>
      </c>
      <c r="Y1149">
        <v>6</v>
      </c>
      <c r="Z1149">
        <v>1</v>
      </c>
      <c r="AA1149" t="s">
        <v>1903</v>
      </c>
      <c r="AB1149">
        <v>1</v>
      </c>
      <c r="AC1149" t="s">
        <v>78</v>
      </c>
      <c r="AD1149">
        <v>0</v>
      </c>
      <c r="AE1149">
        <v>-1</v>
      </c>
      <c r="AF1149" t="s">
        <v>88</v>
      </c>
      <c r="AG1149" t="s">
        <v>2642</v>
      </c>
    </row>
    <row r="1150" spans="1:33" x14ac:dyDescent="0.35">
      <c r="A1150" s="18">
        <v>44455.565972222219</v>
      </c>
      <c r="B1150">
        <v>989816</v>
      </c>
      <c r="C1150" t="s">
        <v>2680</v>
      </c>
      <c r="D1150" t="s">
        <v>127</v>
      </c>
      <c r="E1150" s="19">
        <v>41131</v>
      </c>
      <c r="F1150" t="str">
        <f>"9781466554436"</f>
        <v>9781466554436</v>
      </c>
      <c r="G1150" t="str">
        <f>"9781466554382"</f>
        <v>9781466554382</v>
      </c>
      <c r="H1150" t="s">
        <v>154</v>
      </c>
      <c r="I1150">
        <v>547.70454099999995</v>
      </c>
      <c r="J1150" t="s">
        <v>2681</v>
      </c>
      <c r="K1150" t="s">
        <v>85</v>
      </c>
      <c r="N1150" t="s">
        <v>86</v>
      </c>
      <c r="P1150" t="s">
        <v>1850</v>
      </c>
      <c r="Q1150" t="s">
        <v>76</v>
      </c>
      <c r="R1150" t="s">
        <v>73</v>
      </c>
      <c r="S1150">
        <v>0</v>
      </c>
      <c r="W1150" s="20">
        <v>6.9444444444444444E-5</v>
      </c>
      <c r="X1150" t="s">
        <v>132</v>
      </c>
      <c r="Y1150">
        <v>1</v>
      </c>
      <c r="Z1150">
        <v>0</v>
      </c>
      <c r="AA1150" t="s">
        <v>78</v>
      </c>
      <c r="AB1150">
        <v>0</v>
      </c>
      <c r="AC1150" t="s">
        <v>78</v>
      </c>
      <c r="AD1150">
        <v>0</v>
      </c>
      <c r="AE1150">
        <v>10587637</v>
      </c>
      <c r="AF1150" t="s">
        <v>79</v>
      </c>
      <c r="AG1150" t="s">
        <v>1963</v>
      </c>
    </row>
    <row r="1151" spans="1:33" x14ac:dyDescent="0.35">
      <c r="A1151" s="18">
        <v>44455.547222222223</v>
      </c>
      <c r="B1151">
        <v>1495640</v>
      </c>
      <c r="C1151" t="s">
        <v>2682</v>
      </c>
      <c r="D1151" t="s">
        <v>158</v>
      </c>
      <c r="E1151" s="19">
        <v>41626</v>
      </c>
      <c r="F1151" t="str">
        <f>"9780123983701"</f>
        <v>9780123983701</v>
      </c>
      <c r="G1151" t="str">
        <f>"9780123983589"</f>
        <v>9780123983589</v>
      </c>
      <c r="H1151" t="s">
        <v>2683</v>
      </c>
      <c r="I1151">
        <v>612.02800000000002</v>
      </c>
      <c r="J1151" t="s">
        <v>2684</v>
      </c>
      <c r="K1151" t="s">
        <v>73</v>
      </c>
      <c r="N1151" t="s">
        <v>74</v>
      </c>
      <c r="O1151" t="s">
        <v>75</v>
      </c>
      <c r="P1151" t="s">
        <v>74</v>
      </c>
      <c r="Q1151" t="s">
        <v>76</v>
      </c>
      <c r="R1151" t="s">
        <v>73</v>
      </c>
      <c r="S1151">
        <v>0</v>
      </c>
      <c r="W1151" s="20">
        <v>1.4525462962962964E-2</v>
      </c>
      <c r="X1151" t="s">
        <v>2685</v>
      </c>
      <c r="Y1151">
        <v>51</v>
      </c>
      <c r="Z1151">
        <v>0</v>
      </c>
      <c r="AA1151" t="s">
        <v>78</v>
      </c>
      <c r="AB1151">
        <v>0</v>
      </c>
      <c r="AC1151" t="s">
        <v>78</v>
      </c>
      <c r="AD1151">
        <v>0</v>
      </c>
      <c r="AE1151">
        <v>10787027</v>
      </c>
      <c r="AF1151" t="s">
        <v>79</v>
      </c>
      <c r="AG1151" t="s">
        <v>2364</v>
      </c>
    </row>
    <row r="1152" spans="1:33" x14ac:dyDescent="0.35">
      <c r="A1152" s="18">
        <v>44455.524305555555</v>
      </c>
      <c r="B1152">
        <v>1676653</v>
      </c>
      <c r="C1152" t="s">
        <v>2686</v>
      </c>
      <c r="D1152" t="s">
        <v>70</v>
      </c>
      <c r="E1152" s="19">
        <v>41750</v>
      </c>
      <c r="F1152" t="str">
        <f>"9781118755945"</f>
        <v>9781118755945</v>
      </c>
      <c r="G1152" t="str">
        <f>"9781118756096"</f>
        <v>9781118756096</v>
      </c>
      <c r="H1152" t="s">
        <v>968</v>
      </c>
      <c r="I1152">
        <v>330.95400000000001</v>
      </c>
      <c r="J1152" t="s">
        <v>2687</v>
      </c>
      <c r="K1152" t="s">
        <v>73</v>
      </c>
      <c r="N1152" t="s">
        <v>74</v>
      </c>
      <c r="O1152" t="s">
        <v>75</v>
      </c>
      <c r="P1152" t="s">
        <v>74</v>
      </c>
      <c r="Q1152" t="s">
        <v>76</v>
      </c>
      <c r="R1152" t="s">
        <v>73</v>
      </c>
      <c r="S1152">
        <v>0</v>
      </c>
      <c r="W1152" s="20">
        <v>7.7546296296296304E-4</v>
      </c>
      <c r="X1152" t="s">
        <v>2688</v>
      </c>
      <c r="Y1152">
        <v>10</v>
      </c>
      <c r="Z1152">
        <v>0</v>
      </c>
      <c r="AA1152" t="s">
        <v>78</v>
      </c>
      <c r="AB1152">
        <v>0</v>
      </c>
      <c r="AC1152" t="s">
        <v>78</v>
      </c>
      <c r="AD1152">
        <v>0</v>
      </c>
      <c r="AE1152">
        <v>10862680</v>
      </c>
      <c r="AF1152" t="s">
        <v>79</v>
      </c>
      <c r="AG1152" t="s">
        <v>2364</v>
      </c>
    </row>
    <row r="1153" spans="1:33" x14ac:dyDescent="0.35">
      <c r="A1153" s="18">
        <v>44455.523611111108</v>
      </c>
      <c r="B1153">
        <v>5945705</v>
      </c>
      <c r="C1153" t="s">
        <v>2455</v>
      </c>
      <c r="D1153" t="s">
        <v>158</v>
      </c>
      <c r="E1153" s="19">
        <v>43753</v>
      </c>
      <c r="F1153" t="str">
        <f>"9780081029268"</f>
        <v>9780081029268</v>
      </c>
      <c r="G1153" t="str">
        <f>"9780081029251"</f>
        <v>9780081029251</v>
      </c>
      <c r="H1153" t="s">
        <v>2456</v>
      </c>
      <c r="I1153">
        <v>25.344000000000001</v>
      </c>
      <c r="J1153" t="s">
        <v>2457</v>
      </c>
      <c r="K1153" t="s">
        <v>85</v>
      </c>
      <c r="N1153" t="s">
        <v>86</v>
      </c>
      <c r="P1153" t="s">
        <v>87</v>
      </c>
      <c r="Q1153" t="s">
        <v>76</v>
      </c>
      <c r="R1153" t="s">
        <v>73</v>
      </c>
      <c r="S1153">
        <v>0</v>
      </c>
      <c r="W1153" s="20">
        <v>0</v>
      </c>
      <c r="X1153" t="s">
        <v>78</v>
      </c>
      <c r="Y1153">
        <v>0</v>
      </c>
      <c r="Z1153">
        <v>1</v>
      </c>
      <c r="AA1153" t="s">
        <v>2689</v>
      </c>
      <c r="AB1153">
        <v>1</v>
      </c>
      <c r="AC1153" t="s">
        <v>78</v>
      </c>
      <c r="AD1153">
        <v>0</v>
      </c>
      <c r="AE1153">
        <v>-1</v>
      </c>
      <c r="AF1153" t="s">
        <v>79</v>
      </c>
      <c r="AG1153" t="s">
        <v>2642</v>
      </c>
    </row>
    <row r="1154" spans="1:33" x14ac:dyDescent="0.35">
      <c r="A1154" s="18">
        <v>44455.474305555559</v>
      </c>
      <c r="B1154">
        <v>4585271</v>
      </c>
      <c r="C1154" t="s">
        <v>377</v>
      </c>
      <c r="D1154" t="s">
        <v>70</v>
      </c>
      <c r="E1154" s="19">
        <v>42583</v>
      </c>
      <c r="F1154" t="str">
        <f>"9781119179597"</f>
        <v>9781119179597</v>
      </c>
      <c r="G1154" t="str">
        <f>"9781119179573"</f>
        <v>9781119179573</v>
      </c>
      <c r="H1154" t="s">
        <v>378</v>
      </c>
      <c r="I1154">
        <v>658.4</v>
      </c>
      <c r="J1154" t="s">
        <v>379</v>
      </c>
      <c r="K1154" t="s">
        <v>73</v>
      </c>
      <c r="N1154" t="s">
        <v>74</v>
      </c>
      <c r="O1154" t="s">
        <v>75</v>
      </c>
      <c r="P1154" t="s">
        <v>74</v>
      </c>
      <c r="Q1154" t="s">
        <v>76</v>
      </c>
      <c r="R1154" t="s">
        <v>73</v>
      </c>
      <c r="S1154">
        <v>1</v>
      </c>
      <c r="W1154" s="20">
        <v>0</v>
      </c>
      <c r="X1154" t="s">
        <v>78</v>
      </c>
      <c r="Y1154">
        <v>0</v>
      </c>
      <c r="Z1154">
        <v>0</v>
      </c>
      <c r="AA1154" t="s">
        <v>78</v>
      </c>
      <c r="AB1154">
        <v>0</v>
      </c>
      <c r="AC1154" t="s">
        <v>78</v>
      </c>
      <c r="AD1154">
        <v>0</v>
      </c>
      <c r="AE1154">
        <v>11234254</v>
      </c>
      <c r="AF1154" t="s">
        <v>88</v>
      </c>
      <c r="AG1154" t="s">
        <v>2105</v>
      </c>
    </row>
    <row r="1155" spans="1:33" x14ac:dyDescent="0.35">
      <c r="A1155" s="18">
        <v>44455.463194444441</v>
      </c>
      <c r="B1155">
        <v>5558400</v>
      </c>
      <c r="C1155" t="s">
        <v>1990</v>
      </c>
      <c r="D1155" t="s">
        <v>70</v>
      </c>
      <c r="E1155" s="19">
        <v>43396</v>
      </c>
      <c r="F1155" t="str">
        <f>"9781119516200"</f>
        <v>9781119516200</v>
      </c>
      <c r="G1155" t="str">
        <f>"9781119516187"</f>
        <v>9781119516187</v>
      </c>
      <c r="H1155" t="s">
        <v>128</v>
      </c>
      <c r="I1155">
        <v>307.76</v>
      </c>
      <c r="J1155" t="s">
        <v>1991</v>
      </c>
      <c r="K1155" t="s">
        <v>73</v>
      </c>
      <c r="N1155" t="s">
        <v>74</v>
      </c>
      <c r="O1155" t="s">
        <v>75</v>
      </c>
      <c r="P1155" t="s">
        <v>74</v>
      </c>
      <c r="Q1155" t="s">
        <v>76</v>
      </c>
      <c r="R1155" t="s">
        <v>73</v>
      </c>
      <c r="S1155">
        <v>0</v>
      </c>
      <c r="W1155" s="20">
        <v>2.8356481481481479E-3</v>
      </c>
      <c r="X1155" t="s">
        <v>2690</v>
      </c>
      <c r="Y1155">
        <v>10</v>
      </c>
      <c r="Z1155">
        <v>0</v>
      </c>
      <c r="AA1155" t="s">
        <v>78</v>
      </c>
      <c r="AB1155">
        <v>0</v>
      </c>
      <c r="AC1155" t="s">
        <v>78</v>
      </c>
      <c r="AD1155">
        <v>0</v>
      </c>
      <c r="AE1155">
        <v>-1</v>
      </c>
      <c r="AF1155" t="s">
        <v>79</v>
      </c>
      <c r="AG1155" t="s">
        <v>1963</v>
      </c>
    </row>
    <row r="1156" spans="1:33" x14ac:dyDescent="0.35">
      <c r="A1156" s="18">
        <v>44455.375694444447</v>
      </c>
      <c r="B1156">
        <v>989816</v>
      </c>
      <c r="C1156" t="s">
        <v>2680</v>
      </c>
      <c r="D1156" t="s">
        <v>127</v>
      </c>
      <c r="E1156" s="19">
        <v>41131</v>
      </c>
      <c r="F1156" t="str">
        <f>"9781466554436"</f>
        <v>9781466554436</v>
      </c>
      <c r="G1156" t="str">
        <f>"9781466554382"</f>
        <v>9781466554382</v>
      </c>
      <c r="H1156" t="s">
        <v>154</v>
      </c>
      <c r="I1156">
        <v>547.70454099999995</v>
      </c>
      <c r="J1156" t="s">
        <v>2681</v>
      </c>
      <c r="K1156" t="s">
        <v>85</v>
      </c>
      <c r="N1156" t="s">
        <v>86</v>
      </c>
      <c r="P1156" t="s">
        <v>1850</v>
      </c>
      <c r="Q1156" t="s">
        <v>76</v>
      </c>
      <c r="R1156" t="s">
        <v>73</v>
      </c>
      <c r="S1156">
        <v>0</v>
      </c>
      <c r="W1156" s="20">
        <v>1.2731481481481483E-3</v>
      </c>
      <c r="X1156" t="s">
        <v>2691</v>
      </c>
      <c r="Y1156">
        <v>13</v>
      </c>
      <c r="Z1156">
        <v>0</v>
      </c>
      <c r="AA1156" t="s">
        <v>78</v>
      </c>
      <c r="AB1156">
        <v>0</v>
      </c>
      <c r="AC1156" t="s">
        <v>78</v>
      </c>
      <c r="AD1156">
        <v>0</v>
      </c>
      <c r="AE1156">
        <v>10587637</v>
      </c>
      <c r="AF1156" t="s">
        <v>79</v>
      </c>
      <c r="AG1156" t="s">
        <v>1963</v>
      </c>
    </row>
    <row r="1157" spans="1:33" x14ac:dyDescent="0.35">
      <c r="A1157" s="18">
        <v>44454.922222222223</v>
      </c>
      <c r="B1157">
        <v>1186508</v>
      </c>
      <c r="C1157" t="s">
        <v>2692</v>
      </c>
      <c r="D1157" t="s">
        <v>127</v>
      </c>
      <c r="E1157" s="19">
        <v>41416</v>
      </c>
      <c r="F1157" t="str">
        <f>"9781466515307"</f>
        <v>9781466515307</v>
      </c>
      <c r="G1157" t="str">
        <f>"9781466515291"</f>
        <v>9781466515291</v>
      </c>
      <c r="H1157" t="s">
        <v>2693</v>
      </c>
      <c r="I1157">
        <v>662.88</v>
      </c>
      <c r="J1157" t="s">
        <v>2694</v>
      </c>
      <c r="K1157" t="s">
        <v>73</v>
      </c>
      <c r="N1157" t="s">
        <v>74</v>
      </c>
      <c r="O1157" t="s">
        <v>75</v>
      </c>
      <c r="P1157" t="s">
        <v>74</v>
      </c>
      <c r="Q1157" t="s">
        <v>76</v>
      </c>
      <c r="R1157" t="s">
        <v>73</v>
      </c>
      <c r="S1157">
        <v>1</v>
      </c>
      <c r="W1157" s="20">
        <v>0</v>
      </c>
      <c r="X1157" t="s">
        <v>78</v>
      </c>
      <c r="Y1157">
        <v>0</v>
      </c>
      <c r="Z1157">
        <v>0</v>
      </c>
      <c r="AA1157" t="s">
        <v>78</v>
      </c>
      <c r="AB1157">
        <v>0</v>
      </c>
      <c r="AC1157" t="s">
        <v>78</v>
      </c>
      <c r="AD1157">
        <v>0</v>
      </c>
      <c r="AE1157">
        <v>10700023</v>
      </c>
      <c r="AF1157" t="s">
        <v>88</v>
      </c>
      <c r="AG1157" t="s">
        <v>1963</v>
      </c>
    </row>
    <row r="1158" spans="1:33" x14ac:dyDescent="0.35">
      <c r="A1158" s="18">
        <v>44454.897222222222</v>
      </c>
      <c r="B1158">
        <v>1936762</v>
      </c>
      <c r="C1158" t="s">
        <v>2695</v>
      </c>
      <c r="D1158" t="s">
        <v>70</v>
      </c>
      <c r="E1158" s="19">
        <v>42121</v>
      </c>
      <c r="F1158" t="str">
        <f>"9783527679584"</f>
        <v>9783527679584</v>
      </c>
      <c r="G1158" t="str">
        <f>"9783527337088"</f>
        <v>9783527337088</v>
      </c>
      <c r="H1158" t="s">
        <v>2696</v>
      </c>
      <c r="I1158">
        <v>561</v>
      </c>
      <c r="J1158" t="s">
        <v>2697</v>
      </c>
      <c r="K1158" t="s">
        <v>73</v>
      </c>
      <c r="N1158" t="s">
        <v>74</v>
      </c>
      <c r="O1158" t="s">
        <v>75</v>
      </c>
      <c r="P1158" t="s">
        <v>74</v>
      </c>
      <c r="Q1158" t="s">
        <v>76</v>
      </c>
      <c r="R1158" t="s">
        <v>73</v>
      </c>
      <c r="S1158">
        <v>2</v>
      </c>
      <c r="W1158" s="20">
        <v>6.2847222222222228E-3</v>
      </c>
      <c r="X1158" t="s">
        <v>602</v>
      </c>
      <c r="Y1158">
        <v>19</v>
      </c>
      <c r="Z1158">
        <v>0</v>
      </c>
      <c r="AA1158" t="s">
        <v>78</v>
      </c>
      <c r="AB1158">
        <v>0</v>
      </c>
      <c r="AC1158" t="s">
        <v>78</v>
      </c>
      <c r="AD1158">
        <v>0</v>
      </c>
      <c r="AE1158">
        <v>11015197</v>
      </c>
      <c r="AF1158" t="s">
        <v>88</v>
      </c>
      <c r="AG1158" t="s">
        <v>1963</v>
      </c>
    </row>
    <row r="1159" spans="1:33" x14ac:dyDescent="0.35">
      <c r="A1159" s="18">
        <v>44454.754861111112</v>
      </c>
      <c r="B1159">
        <v>4883016</v>
      </c>
      <c r="C1159" t="s">
        <v>2698</v>
      </c>
      <c r="D1159" t="s">
        <v>70</v>
      </c>
      <c r="E1159" s="19">
        <v>42928</v>
      </c>
      <c r="F1159" t="str">
        <f>"9781119226413"</f>
        <v>9781119226413</v>
      </c>
      <c r="G1159" t="str">
        <f>"9781119226390"</f>
        <v>9781119226390</v>
      </c>
      <c r="H1159" t="s">
        <v>128</v>
      </c>
      <c r="I1159">
        <v>307.76</v>
      </c>
      <c r="J1159" t="s">
        <v>2699</v>
      </c>
      <c r="K1159" t="s">
        <v>73</v>
      </c>
      <c r="N1159" t="s">
        <v>74</v>
      </c>
      <c r="O1159" t="s">
        <v>75</v>
      </c>
      <c r="P1159" t="s">
        <v>74</v>
      </c>
      <c r="Q1159" t="s">
        <v>76</v>
      </c>
      <c r="R1159" t="s">
        <v>73</v>
      </c>
      <c r="S1159">
        <v>0</v>
      </c>
      <c r="W1159" s="20">
        <v>3.3564814814814812E-4</v>
      </c>
      <c r="X1159" t="s">
        <v>2700</v>
      </c>
      <c r="Y1159">
        <v>8</v>
      </c>
      <c r="Z1159">
        <v>0</v>
      </c>
      <c r="AA1159" t="s">
        <v>78</v>
      </c>
      <c r="AB1159">
        <v>0</v>
      </c>
      <c r="AC1159" t="s">
        <v>78</v>
      </c>
      <c r="AD1159">
        <v>0</v>
      </c>
      <c r="AE1159">
        <v>11400625</v>
      </c>
      <c r="AF1159" t="s">
        <v>79</v>
      </c>
      <c r="AG1159" t="s">
        <v>1963</v>
      </c>
    </row>
    <row r="1160" spans="1:33" x14ac:dyDescent="0.35">
      <c r="A1160" s="18">
        <v>44454.754166666666</v>
      </c>
      <c r="B1160">
        <v>1185282</v>
      </c>
      <c r="C1160" t="s">
        <v>2585</v>
      </c>
      <c r="D1160" t="s">
        <v>1637</v>
      </c>
      <c r="E1160" s="19">
        <v>37791</v>
      </c>
      <c r="F1160" t="str">
        <f>"9781847550347"</f>
        <v>9781847550347</v>
      </c>
      <c r="G1160" t="str">
        <f>"9780854046089"</f>
        <v>9780854046089</v>
      </c>
      <c r="H1160" t="s">
        <v>154</v>
      </c>
      <c r="I1160">
        <v>541.39499999999998</v>
      </c>
      <c r="J1160">
        <v>2005434271</v>
      </c>
      <c r="K1160" t="s">
        <v>73</v>
      </c>
      <c r="N1160" t="s">
        <v>74</v>
      </c>
      <c r="O1160" t="s">
        <v>75</v>
      </c>
      <c r="P1160" t="s">
        <v>74</v>
      </c>
      <c r="Q1160" t="s">
        <v>76</v>
      </c>
      <c r="R1160" t="s">
        <v>73</v>
      </c>
      <c r="S1160">
        <v>0</v>
      </c>
      <c r="W1160" s="20">
        <v>2.2916666666666667E-3</v>
      </c>
      <c r="X1160" t="s">
        <v>2701</v>
      </c>
      <c r="Y1160">
        <v>16</v>
      </c>
      <c r="Z1160">
        <v>0</v>
      </c>
      <c r="AA1160" t="s">
        <v>78</v>
      </c>
      <c r="AB1160">
        <v>0</v>
      </c>
      <c r="AC1160" t="s">
        <v>78</v>
      </c>
      <c r="AD1160">
        <v>0</v>
      </c>
      <c r="AE1160">
        <v>10621193</v>
      </c>
      <c r="AF1160" t="s">
        <v>79</v>
      </c>
      <c r="AG1160" t="s">
        <v>1963</v>
      </c>
    </row>
    <row r="1161" spans="1:33" x14ac:dyDescent="0.35">
      <c r="A1161" s="18">
        <v>44454.7</v>
      </c>
      <c r="B1161">
        <v>316179</v>
      </c>
      <c r="C1161" t="s">
        <v>2702</v>
      </c>
      <c r="D1161" t="s">
        <v>1426</v>
      </c>
      <c r="E1161" s="19">
        <v>38967</v>
      </c>
      <c r="F1161" t="str">
        <f>"9780253112286"</f>
        <v>9780253112286</v>
      </c>
      <c r="G1161" t="str">
        <f>"9780253347671"</f>
        <v>9780253347671</v>
      </c>
      <c r="H1161" t="s">
        <v>756</v>
      </c>
      <c r="I1161">
        <v>956.04</v>
      </c>
      <c r="J1161" t="s">
        <v>2703</v>
      </c>
      <c r="K1161" t="s">
        <v>73</v>
      </c>
      <c r="N1161" t="s">
        <v>74</v>
      </c>
      <c r="O1161" t="s">
        <v>75</v>
      </c>
      <c r="P1161" t="s">
        <v>74</v>
      </c>
      <c r="Q1161" t="s">
        <v>76</v>
      </c>
      <c r="R1161" t="s">
        <v>73</v>
      </c>
      <c r="S1161">
        <v>0</v>
      </c>
      <c r="W1161" s="20">
        <v>1.5972222222222221E-3</v>
      </c>
      <c r="X1161" t="s">
        <v>2704</v>
      </c>
      <c r="Y1161">
        <v>8</v>
      </c>
      <c r="Z1161">
        <v>0</v>
      </c>
      <c r="AA1161" t="s">
        <v>78</v>
      </c>
      <c r="AB1161">
        <v>0</v>
      </c>
      <c r="AC1161" t="s">
        <v>78</v>
      </c>
      <c r="AD1161">
        <v>0</v>
      </c>
      <c r="AE1161">
        <v>10194052</v>
      </c>
      <c r="AF1161" t="s">
        <v>79</v>
      </c>
      <c r="AG1161" t="s">
        <v>2560</v>
      </c>
    </row>
    <row r="1162" spans="1:33" x14ac:dyDescent="0.35">
      <c r="A1162" s="18">
        <v>44454.679166666669</v>
      </c>
      <c r="B1162">
        <v>1186155</v>
      </c>
      <c r="C1162" t="s">
        <v>2584</v>
      </c>
      <c r="D1162" t="s">
        <v>1637</v>
      </c>
      <c r="E1162" s="19">
        <v>37064</v>
      </c>
      <c r="F1162" t="str">
        <f>"9781847551962"</f>
        <v>9781847551962</v>
      </c>
      <c r="G1162" t="str">
        <f>"9780854048809"</f>
        <v>9780854048809</v>
      </c>
      <c r="H1162" t="s">
        <v>159</v>
      </c>
      <c r="I1162">
        <v>660.29949999999997</v>
      </c>
      <c r="J1162">
        <v>2005432684</v>
      </c>
      <c r="K1162" t="s">
        <v>73</v>
      </c>
      <c r="N1162" t="s">
        <v>74</v>
      </c>
      <c r="O1162" t="s">
        <v>75</v>
      </c>
      <c r="P1162" t="s">
        <v>74</v>
      </c>
      <c r="Q1162" t="s">
        <v>76</v>
      </c>
      <c r="R1162" t="s">
        <v>73</v>
      </c>
      <c r="S1162">
        <v>0</v>
      </c>
      <c r="W1162" s="20">
        <v>1.4490740740740742E-2</v>
      </c>
      <c r="X1162" t="s">
        <v>2705</v>
      </c>
      <c r="Y1162">
        <v>11</v>
      </c>
      <c r="Z1162">
        <v>0</v>
      </c>
      <c r="AA1162" t="s">
        <v>78</v>
      </c>
      <c r="AB1162">
        <v>0</v>
      </c>
      <c r="AC1162" t="s">
        <v>78</v>
      </c>
      <c r="AD1162">
        <v>0</v>
      </c>
      <c r="AE1162">
        <v>10621210</v>
      </c>
      <c r="AF1162" t="s">
        <v>79</v>
      </c>
      <c r="AG1162" t="s">
        <v>1963</v>
      </c>
    </row>
    <row r="1163" spans="1:33" x14ac:dyDescent="0.35">
      <c r="A1163" s="18">
        <v>44454.654166666667</v>
      </c>
      <c r="B1163">
        <v>765859</v>
      </c>
      <c r="C1163" t="s">
        <v>1319</v>
      </c>
      <c r="D1163" t="s">
        <v>189</v>
      </c>
      <c r="E1163" s="19">
        <v>40710</v>
      </c>
      <c r="F1163" t="str">
        <f>"9783110223408"</f>
        <v>9783110223408</v>
      </c>
      <c r="G1163" t="str">
        <f>"9783110223392"</f>
        <v>9783110223392</v>
      </c>
      <c r="H1163" t="s">
        <v>1320</v>
      </c>
      <c r="I1163">
        <v>953.57</v>
      </c>
      <c r="J1163" t="s">
        <v>1321</v>
      </c>
      <c r="K1163" t="s">
        <v>73</v>
      </c>
      <c r="N1163" t="s">
        <v>74</v>
      </c>
      <c r="O1163" t="s">
        <v>75</v>
      </c>
      <c r="P1163" t="s">
        <v>74</v>
      </c>
      <c r="Q1163" t="s">
        <v>76</v>
      </c>
      <c r="R1163" t="s">
        <v>73</v>
      </c>
      <c r="S1163">
        <v>0</v>
      </c>
      <c r="W1163" s="20">
        <v>3.4722222222222224E-4</v>
      </c>
      <c r="X1163" t="s">
        <v>1428</v>
      </c>
      <c r="Y1163">
        <v>6</v>
      </c>
      <c r="Z1163">
        <v>0</v>
      </c>
      <c r="AA1163" t="s">
        <v>78</v>
      </c>
      <c r="AB1163">
        <v>0</v>
      </c>
      <c r="AC1163" t="s">
        <v>78</v>
      </c>
      <c r="AD1163">
        <v>0</v>
      </c>
      <c r="AE1163">
        <v>10502351</v>
      </c>
      <c r="AF1163" t="s">
        <v>79</v>
      </c>
      <c r="AG1163" t="s">
        <v>1963</v>
      </c>
    </row>
    <row r="1164" spans="1:33" x14ac:dyDescent="0.35">
      <c r="A1164" s="18">
        <v>44454.642361111109</v>
      </c>
      <c r="B1164">
        <v>6546221</v>
      </c>
      <c r="C1164" t="s">
        <v>178</v>
      </c>
      <c r="D1164" t="s">
        <v>158</v>
      </c>
      <c r="E1164" s="19">
        <v>44299</v>
      </c>
      <c r="F1164" t="str">
        <f>"9780128219300"</f>
        <v>9780128219300</v>
      </c>
      <c r="G1164" t="str">
        <f>"9780128219294"</f>
        <v>9780128219294</v>
      </c>
      <c r="H1164" t="s">
        <v>179</v>
      </c>
      <c r="I1164">
        <v>622.33802856310001</v>
      </c>
      <c r="J1164" t="s">
        <v>180</v>
      </c>
      <c r="K1164" t="s">
        <v>85</v>
      </c>
      <c r="N1164" t="s">
        <v>86</v>
      </c>
      <c r="P1164" t="s">
        <v>87</v>
      </c>
      <c r="Q1164" t="s">
        <v>76</v>
      </c>
      <c r="R1164" t="s">
        <v>73</v>
      </c>
      <c r="S1164">
        <v>0</v>
      </c>
      <c r="W1164" s="20">
        <v>4.1898148148148146E-3</v>
      </c>
      <c r="X1164" t="s">
        <v>2706</v>
      </c>
      <c r="Y1164">
        <v>12</v>
      </c>
      <c r="Z1164">
        <v>0</v>
      </c>
      <c r="AA1164" t="s">
        <v>78</v>
      </c>
      <c r="AB1164">
        <v>0</v>
      </c>
      <c r="AC1164" t="s">
        <v>78</v>
      </c>
      <c r="AD1164">
        <v>0</v>
      </c>
      <c r="AE1164">
        <v>-1</v>
      </c>
      <c r="AF1164" t="s">
        <v>79</v>
      </c>
      <c r="AG1164" t="s">
        <v>2678</v>
      </c>
    </row>
    <row r="1165" spans="1:33" x14ac:dyDescent="0.35">
      <c r="A1165" s="18">
        <v>44454.593055555553</v>
      </c>
      <c r="B1165">
        <v>3318817</v>
      </c>
      <c r="C1165" t="s">
        <v>2707</v>
      </c>
      <c r="D1165" t="s">
        <v>998</v>
      </c>
      <c r="E1165" s="19">
        <v>41800</v>
      </c>
      <c r="F1165" t="str">
        <f>"9781421412801"</f>
        <v>9781421412801</v>
      </c>
      <c r="G1165" t="str">
        <f>"9781421412795"</f>
        <v>9781421412795</v>
      </c>
      <c r="H1165" t="s">
        <v>1502</v>
      </c>
      <c r="I1165" t="s">
        <v>2708</v>
      </c>
      <c r="J1165" t="s">
        <v>2709</v>
      </c>
      <c r="K1165" t="s">
        <v>73</v>
      </c>
      <c r="N1165" t="s">
        <v>74</v>
      </c>
      <c r="O1165" t="s">
        <v>75</v>
      </c>
      <c r="P1165" t="s">
        <v>74</v>
      </c>
      <c r="Q1165" t="s">
        <v>76</v>
      </c>
      <c r="R1165" t="s">
        <v>73</v>
      </c>
      <c r="S1165">
        <v>0</v>
      </c>
      <c r="W1165" s="20">
        <v>3.9351851851851852E-4</v>
      </c>
      <c r="X1165" t="s">
        <v>717</v>
      </c>
      <c r="Y1165">
        <v>3</v>
      </c>
      <c r="Z1165">
        <v>0</v>
      </c>
      <c r="AA1165" t="s">
        <v>78</v>
      </c>
      <c r="AB1165">
        <v>0</v>
      </c>
      <c r="AC1165" t="s">
        <v>78</v>
      </c>
      <c r="AD1165">
        <v>0</v>
      </c>
      <c r="AE1165">
        <v>10867289</v>
      </c>
      <c r="AF1165" t="s">
        <v>79</v>
      </c>
      <c r="AG1165" t="s">
        <v>2710</v>
      </c>
    </row>
    <row r="1166" spans="1:33" x14ac:dyDescent="0.35">
      <c r="A1166" s="18">
        <v>44454.554166666669</v>
      </c>
      <c r="B1166">
        <v>1666551</v>
      </c>
      <c r="C1166" t="s">
        <v>2711</v>
      </c>
      <c r="D1166" t="s">
        <v>70</v>
      </c>
      <c r="E1166" s="19">
        <v>41841</v>
      </c>
      <c r="F1166" t="str">
        <f>"9783527679058"</f>
        <v>9783527679058</v>
      </c>
      <c r="G1166" t="str">
        <f>"9783527412600"</f>
        <v>9783527412600</v>
      </c>
      <c r="H1166" t="s">
        <v>71</v>
      </c>
      <c r="I1166">
        <v>621.30999999999995</v>
      </c>
      <c r="J1166" t="s">
        <v>2712</v>
      </c>
      <c r="K1166" t="s">
        <v>73</v>
      </c>
      <c r="N1166" t="s">
        <v>74</v>
      </c>
      <c r="O1166" t="s">
        <v>75</v>
      </c>
      <c r="P1166" t="s">
        <v>74</v>
      </c>
      <c r="Q1166" t="s">
        <v>76</v>
      </c>
      <c r="R1166" t="s">
        <v>73</v>
      </c>
      <c r="S1166">
        <v>0</v>
      </c>
      <c r="W1166" s="20">
        <v>8.6805555555555551E-4</v>
      </c>
      <c r="X1166" t="s">
        <v>2713</v>
      </c>
      <c r="Y1166">
        <v>20</v>
      </c>
      <c r="Z1166">
        <v>0</v>
      </c>
      <c r="AA1166" t="s">
        <v>78</v>
      </c>
      <c r="AB1166">
        <v>0</v>
      </c>
      <c r="AC1166" t="s">
        <v>78</v>
      </c>
      <c r="AD1166">
        <v>0</v>
      </c>
      <c r="AE1166">
        <v>10860963</v>
      </c>
      <c r="AF1166" t="s">
        <v>79</v>
      </c>
      <c r="AG1166" t="s">
        <v>2678</v>
      </c>
    </row>
    <row r="1167" spans="1:33" x14ac:dyDescent="0.35">
      <c r="A1167" s="18">
        <v>44454.281944444447</v>
      </c>
      <c r="B1167">
        <v>1185282</v>
      </c>
      <c r="C1167" t="s">
        <v>2585</v>
      </c>
      <c r="D1167" t="s">
        <v>1637</v>
      </c>
      <c r="E1167" s="19">
        <v>37791</v>
      </c>
      <c r="F1167" t="str">
        <f>"9781847550347"</f>
        <v>9781847550347</v>
      </c>
      <c r="G1167" t="str">
        <f>"9780854046089"</f>
        <v>9780854046089</v>
      </c>
      <c r="H1167" t="s">
        <v>154</v>
      </c>
      <c r="I1167">
        <v>541.39499999999998</v>
      </c>
      <c r="J1167">
        <v>2005434271</v>
      </c>
      <c r="K1167" t="s">
        <v>73</v>
      </c>
      <c r="N1167" t="s">
        <v>74</v>
      </c>
      <c r="O1167" t="s">
        <v>75</v>
      </c>
      <c r="P1167" t="s">
        <v>74</v>
      </c>
      <c r="Q1167" t="s">
        <v>76</v>
      </c>
      <c r="R1167" t="s">
        <v>73</v>
      </c>
      <c r="S1167">
        <v>0</v>
      </c>
      <c r="W1167" s="20">
        <v>2.4016203703703706E-2</v>
      </c>
      <c r="X1167" t="s">
        <v>2714</v>
      </c>
      <c r="Y1167">
        <v>22</v>
      </c>
      <c r="Z1167">
        <v>2</v>
      </c>
      <c r="AA1167" t="s">
        <v>2715</v>
      </c>
      <c r="AB1167">
        <v>11</v>
      </c>
      <c r="AC1167" t="s">
        <v>78</v>
      </c>
      <c r="AD1167">
        <v>0</v>
      </c>
      <c r="AE1167">
        <v>10621193</v>
      </c>
      <c r="AF1167" t="s">
        <v>79</v>
      </c>
      <c r="AG1167" t="s">
        <v>1963</v>
      </c>
    </row>
    <row r="1168" spans="1:33" x14ac:dyDescent="0.35">
      <c r="A1168" s="18">
        <v>44454</v>
      </c>
      <c r="B1168">
        <v>3083169</v>
      </c>
      <c r="C1168" t="s">
        <v>2716</v>
      </c>
      <c r="D1168" t="s">
        <v>978</v>
      </c>
      <c r="E1168" s="19">
        <v>35535</v>
      </c>
      <c r="F1168" t="str">
        <f>"9781461576464"</f>
        <v>9781461576464</v>
      </c>
      <c r="G1168" t="str">
        <f>"9781461576488"</f>
        <v>9781461576488</v>
      </c>
      <c r="H1168" t="s">
        <v>2717</v>
      </c>
      <c r="I1168" t="s">
        <v>1274</v>
      </c>
      <c r="J1168" t="s">
        <v>202</v>
      </c>
      <c r="K1168" t="s">
        <v>73</v>
      </c>
      <c r="N1168" t="s">
        <v>74</v>
      </c>
      <c r="O1168" t="s">
        <v>75</v>
      </c>
      <c r="P1168" t="s">
        <v>74</v>
      </c>
      <c r="Q1168" t="s">
        <v>76</v>
      </c>
      <c r="R1168" t="s">
        <v>73</v>
      </c>
      <c r="S1168">
        <v>0</v>
      </c>
      <c r="W1168" s="20">
        <v>1.5046296296296294E-3</v>
      </c>
      <c r="X1168" t="s">
        <v>2718</v>
      </c>
      <c r="Y1168">
        <v>12</v>
      </c>
      <c r="Z1168">
        <v>0</v>
      </c>
      <c r="AA1168" t="s">
        <v>78</v>
      </c>
      <c r="AB1168">
        <v>0</v>
      </c>
      <c r="AC1168" t="s">
        <v>78</v>
      </c>
      <c r="AD1168">
        <v>0</v>
      </c>
      <c r="AE1168">
        <v>10937724</v>
      </c>
      <c r="AF1168" t="s">
        <v>88</v>
      </c>
      <c r="AG1168" t="s">
        <v>2642</v>
      </c>
    </row>
    <row r="1169" spans="1:33" x14ac:dyDescent="0.35">
      <c r="A1169" s="18">
        <v>44453.794444444444</v>
      </c>
      <c r="B1169">
        <v>1186155</v>
      </c>
      <c r="C1169" t="s">
        <v>2584</v>
      </c>
      <c r="D1169" t="s">
        <v>1637</v>
      </c>
      <c r="E1169" s="19">
        <v>37064</v>
      </c>
      <c r="F1169" t="str">
        <f>"9781847551962"</f>
        <v>9781847551962</v>
      </c>
      <c r="G1169" t="str">
        <f>"9780854048809"</f>
        <v>9780854048809</v>
      </c>
      <c r="H1169" t="s">
        <v>159</v>
      </c>
      <c r="I1169">
        <v>660.29949999999997</v>
      </c>
      <c r="J1169">
        <v>2005432684</v>
      </c>
      <c r="K1169" t="s">
        <v>73</v>
      </c>
      <c r="N1169" t="s">
        <v>74</v>
      </c>
      <c r="O1169" t="s">
        <v>75</v>
      </c>
      <c r="P1169" t="s">
        <v>74</v>
      </c>
      <c r="Q1169" t="s">
        <v>76</v>
      </c>
      <c r="R1169" t="s">
        <v>73</v>
      </c>
      <c r="S1169">
        <v>0</v>
      </c>
      <c r="W1169" s="20">
        <v>8.3333333333333339E-4</v>
      </c>
      <c r="X1169" t="s">
        <v>2719</v>
      </c>
      <c r="Y1169">
        <v>2</v>
      </c>
      <c r="Z1169">
        <v>0</v>
      </c>
      <c r="AA1169" t="s">
        <v>78</v>
      </c>
      <c r="AB1169">
        <v>0</v>
      </c>
      <c r="AC1169" t="s">
        <v>78</v>
      </c>
      <c r="AD1169">
        <v>0</v>
      </c>
      <c r="AE1169">
        <v>10621210</v>
      </c>
      <c r="AF1169" t="s">
        <v>79</v>
      </c>
      <c r="AG1169" t="s">
        <v>2364</v>
      </c>
    </row>
    <row r="1170" spans="1:33" x14ac:dyDescent="0.35">
      <c r="A1170" s="18">
        <v>44453.668055555558</v>
      </c>
      <c r="B1170">
        <v>5137598</v>
      </c>
      <c r="C1170" t="s">
        <v>1846</v>
      </c>
      <c r="D1170" t="s">
        <v>2720</v>
      </c>
      <c r="E1170" s="19">
        <v>41122</v>
      </c>
      <c r="F1170" t="str">
        <f>"9780273719878"</f>
        <v>9780273719878</v>
      </c>
      <c r="G1170" t="str">
        <f>"9780273719779"</f>
        <v>9780273719779</v>
      </c>
      <c r="H1170" t="s">
        <v>115</v>
      </c>
      <c r="I1170">
        <v>510.24619999999999</v>
      </c>
      <c r="K1170" t="s">
        <v>85</v>
      </c>
      <c r="P1170" t="s">
        <v>297</v>
      </c>
      <c r="Q1170" t="s">
        <v>76</v>
      </c>
      <c r="R1170" t="s">
        <v>73</v>
      </c>
      <c r="S1170">
        <v>0</v>
      </c>
      <c r="W1170" s="20">
        <v>1.3425925925925925E-3</v>
      </c>
      <c r="X1170" t="s">
        <v>2721</v>
      </c>
      <c r="Y1170">
        <v>12</v>
      </c>
      <c r="Z1170">
        <v>0</v>
      </c>
      <c r="AA1170" t="s">
        <v>78</v>
      </c>
      <c r="AB1170">
        <v>0</v>
      </c>
      <c r="AC1170" t="s">
        <v>78</v>
      </c>
      <c r="AD1170">
        <v>0</v>
      </c>
      <c r="AE1170">
        <v>-1</v>
      </c>
      <c r="AF1170" t="s">
        <v>79</v>
      </c>
      <c r="AG1170" t="s">
        <v>2364</v>
      </c>
    </row>
    <row r="1171" spans="1:33" x14ac:dyDescent="0.35">
      <c r="A1171" s="18">
        <v>44453.586111111108</v>
      </c>
      <c r="B1171">
        <v>415348</v>
      </c>
      <c r="C1171" t="s">
        <v>2722</v>
      </c>
      <c r="D1171" t="s">
        <v>1426</v>
      </c>
      <c r="E1171" s="19">
        <v>39673</v>
      </c>
      <c r="F1171" t="str">
        <f>"9780253000736"</f>
        <v>9780253000736</v>
      </c>
      <c r="G1171" t="str">
        <f>"9780253351807"</f>
        <v>9780253351807</v>
      </c>
      <c r="H1171" t="s">
        <v>528</v>
      </c>
      <c r="I1171">
        <v>194</v>
      </c>
      <c r="J1171" t="s">
        <v>2723</v>
      </c>
      <c r="K1171" t="s">
        <v>73</v>
      </c>
      <c r="N1171" t="s">
        <v>74</v>
      </c>
      <c r="O1171" t="s">
        <v>75</v>
      </c>
      <c r="P1171" t="s">
        <v>74</v>
      </c>
      <c r="Q1171" t="s">
        <v>76</v>
      </c>
      <c r="R1171" t="s">
        <v>73</v>
      </c>
      <c r="S1171">
        <v>0</v>
      </c>
      <c r="W1171" s="20">
        <v>2.2337962962962967E-3</v>
      </c>
      <c r="X1171" t="s">
        <v>2724</v>
      </c>
      <c r="Y1171">
        <v>8</v>
      </c>
      <c r="Z1171">
        <v>2</v>
      </c>
      <c r="AA1171" t="s">
        <v>2725</v>
      </c>
      <c r="AB1171">
        <v>28</v>
      </c>
      <c r="AC1171" t="s">
        <v>137</v>
      </c>
      <c r="AD1171">
        <v>1</v>
      </c>
      <c r="AE1171">
        <v>10276612</v>
      </c>
      <c r="AF1171" t="s">
        <v>79</v>
      </c>
      <c r="AG1171" t="s">
        <v>2364</v>
      </c>
    </row>
    <row r="1172" spans="1:33" x14ac:dyDescent="0.35">
      <c r="A1172" s="18">
        <v>44453.567361111112</v>
      </c>
      <c r="B1172">
        <v>882731</v>
      </c>
      <c r="C1172" t="s">
        <v>2309</v>
      </c>
      <c r="D1172" t="s">
        <v>70</v>
      </c>
      <c r="E1172" s="19">
        <v>40973</v>
      </c>
      <c r="F1172" t="str">
        <f>"9781444355857"</f>
        <v>9781444355857</v>
      </c>
      <c r="G1172" t="str">
        <f>"9781444332872"</f>
        <v>9781444332872</v>
      </c>
      <c r="H1172" t="s">
        <v>2310</v>
      </c>
      <c r="I1172">
        <v>175</v>
      </c>
      <c r="J1172" t="s">
        <v>2311</v>
      </c>
      <c r="K1172" t="s">
        <v>73</v>
      </c>
      <c r="N1172" t="s">
        <v>74</v>
      </c>
      <c r="O1172" t="s">
        <v>75</v>
      </c>
      <c r="P1172" t="s">
        <v>74</v>
      </c>
      <c r="Q1172" t="s">
        <v>76</v>
      </c>
      <c r="R1172" t="s">
        <v>73</v>
      </c>
      <c r="S1172">
        <v>0</v>
      </c>
      <c r="W1172" s="20">
        <v>3.0092592592592595E-4</v>
      </c>
      <c r="X1172" t="s">
        <v>2726</v>
      </c>
      <c r="Y1172">
        <v>5</v>
      </c>
      <c r="Z1172">
        <v>0</v>
      </c>
      <c r="AA1172" t="s">
        <v>78</v>
      </c>
      <c r="AB1172">
        <v>0</v>
      </c>
      <c r="AC1172" t="s">
        <v>78</v>
      </c>
      <c r="AD1172">
        <v>0</v>
      </c>
      <c r="AE1172">
        <v>10630487</v>
      </c>
      <c r="AF1172" t="s">
        <v>79</v>
      </c>
      <c r="AG1172" t="s">
        <v>2364</v>
      </c>
    </row>
    <row r="1173" spans="1:33" x14ac:dyDescent="0.35">
      <c r="A1173" s="18">
        <v>44453.543749999997</v>
      </c>
      <c r="B1173">
        <v>931772</v>
      </c>
      <c r="C1173" t="s">
        <v>2727</v>
      </c>
      <c r="D1173" t="s">
        <v>2728</v>
      </c>
      <c r="E1173" s="19">
        <v>41033</v>
      </c>
      <c r="F1173" t="str">
        <f>"9781137002440"</f>
        <v>9781137002440</v>
      </c>
      <c r="G1173" t="str">
        <f>"9781137002433"</f>
        <v>9781137002433</v>
      </c>
      <c r="H1173" t="s">
        <v>2729</v>
      </c>
      <c r="I1173">
        <v>362.10973000000001</v>
      </c>
      <c r="J1173" t="s">
        <v>2730</v>
      </c>
      <c r="K1173" t="s">
        <v>85</v>
      </c>
      <c r="N1173" t="s">
        <v>86</v>
      </c>
      <c r="P1173" t="s">
        <v>87</v>
      </c>
      <c r="Q1173" t="s">
        <v>76</v>
      </c>
      <c r="R1173" t="s">
        <v>73</v>
      </c>
      <c r="S1173">
        <v>0</v>
      </c>
      <c r="W1173" s="20">
        <v>0</v>
      </c>
      <c r="X1173" t="s">
        <v>78</v>
      </c>
      <c r="Y1173">
        <v>0</v>
      </c>
      <c r="Z1173">
        <v>1</v>
      </c>
      <c r="AA1173" t="s">
        <v>2731</v>
      </c>
      <c r="AB1173">
        <v>17</v>
      </c>
      <c r="AC1173" t="s">
        <v>78</v>
      </c>
      <c r="AD1173">
        <v>0</v>
      </c>
      <c r="AE1173">
        <v>10568645</v>
      </c>
      <c r="AF1173" t="s">
        <v>88</v>
      </c>
      <c r="AG1173" t="s">
        <v>2732</v>
      </c>
    </row>
    <row r="1174" spans="1:33" x14ac:dyDescent="0.35">
      <c r="A1174" s="18">
        <v>44453.543055555558</v>
      </c>
      <c r="B1174">
        <v>1204633</v>
      </c>
      <c r="C1174" t="s">
        <v>1560</v>
      </c>
      <c r="D1174" t="s">
        <v>70</v>
      </c>
      <c r="E1174" s="19">
        <v>41512</v>
      </c>
      <c r="F1174" t="str">
        <f>"9781118450444"</f>
        <v>9781118450444</v>
      </c>
      <c r="G1174" t="str">
        <f>"9780470673768"</f>
        <v>9780470673768</v>
      </c>
      <c r="H1174" t="s">
        <v>1561</v>
      </c>
      <c r="I1174">
        <v>552.5</v>
      </c>
      <c r="J1174" t="s">
        <v>1562</v>
      </c>
      <c r="K1174" t="s">
        <v>73</v>
      </c>
      <c r="N1174" t="s">
        <v>74</v>
      </c>
      <c r="O1174" t="s">
        <v>75</v>
      </c>
      <c r="P1174" t="s">
        <v>74</v>
      </c>
      <c r="Q1174" t="s">
        <v>76</v>
      </c>
      <c r="R1174" t="s">
        <v>73</v>
      </c>
      <c r="S1174">
        <v>0</v>
      </c>
      <c r="W1174" s="20">
        <v>4.6296296296296294E-5</v>
      </c>
      <c r="X1174" t="s">
        <v>132</v>
      </c>
      <c r="Y1174">
        <v>1</v>
      </c>
      <c r="Z1174">
        <v>0</v>
      </c>
      <c r="AA1174" t="s">
        <v>78</v>
      </c>
      <c r="AB1174">
        <v>0</v>
      </c>
      <c r="AC1174" t="s">
        <v>78</v>
      </c>
      <c r="AD1174">
        <v>0</v>
      </c>
      <c r="AE1174">
        <v>10713576</v>
      </c>
      <c r="AF1174" t="s">
        <v>79</v>
      </c>
      <c r="AG1174" t="s">
        <v>2364</v>
      </c>
    </row>
    <row r="1175" spans="1:33" x14ac:dyDescent="0.35">
      <c r="A1175" s="18">
        <v>44453.52847222222</v>
      </c>
      <c r="B1175">
        <v>4717383</v>
      </c>
      <c r="C1175" t="s">
        <v>2733</v>
      </c>
      <c r="D1175" t="s">
        <v>70</v>
      </c>
      <c r="E1175" s="19">
        <v>42681</v>
      </c>
      <c r="F1175" t="str">
        <f>"9781118767047"</f>
        <v>9781118767047</v>
      </c>
      <c r="G1175" t="str">
        <f>"9781118767238"</f>
        <v>9781118767238</v>
      </c>
      <c r="H1175" t="s">
        <v>374</v>
      </c>
      <c r="I1175" t="s">
        <v>1918</v>
      </c>
      <c r="J1175" t="s">
        <v>2734</v>
      </c>
      <c r="K1175" t="s">
        <v>73</v>
      </c>
      <c r="N1175" t="s">
        <v>74</v>
      </c>
      <c r="O1175" t="s">
        <v>75</v>
      </c>
      <c r="P1175" t="s">
        <v>74</v>
      </c>
      <c r="Q1175" t="s">
        <v>76</v>
      </c>
      <c r="R1175" t="s">
        <v>73</v>
      </c>
      <c r="S1175">
        <v>0</v>
      </c>
      <c r="W1175" s="20">
        <v>0</v>
      </c>
      <c r="X1175" t="s">
        <v>78</v>
      </c>
      <c r="Y1175">
        <v>0</v>
      </c>
      <c r="Z1175">
        <v>1</v>
      </c>
      <c r="AA1175" t="s">
        <v>2735</v>
      </c>
      <c r="AB1175">
        <v>196</v>
      </c>
      <c r="AC1175" t="s">
        <v>78</v>
      </c>
      <c r="AD1175">
        <v>0</v>
      </c>
      <c r="AE1175">
        <v>11282612</v>
      </c>
      <c r="AF1175" t="s">
        <v>79</v>
      </c>
      <c r="AG1175" t="s">
        <v>2736</v>
      </c>
    </row>
    <row r="1176" spans="1:33" x14ac:dyDescent="0.35">
      <c r="A1176" s="18">
        <v>44453.509722222225</v>
      </c>
      <c r="B1176">
        <v>5558400</v>
      </c>
      <c r="C1176" t="s">
        <v>1990</v>
      </c>
      <c r="D1176" t="s">
        <v>70</v>
      </c>
      <c r="E1176" s="19">
        <v>43396</v>
      </c>
      <c r="F1176" t="str">
        <f>"9781119516200"</f>
        <v>9781119516200</v>
      </c>
      <c r="G1176" t="str">
        <f>"9781119516187"</f>
        <v>9781119516187</v>
      </c>
      <c r="H1176" t="s">
        <v>128</v>
      </c>
      <c r="I1176">
        <v>307.76</v>
      </c>
      <c r="J1176" t="s">
        <v>1991</v>
      </c>
      <c r="K1176" t="s">
        <v>73</v>
      </c>
      <c r="N1176" t="s">
        <v>74</v>
      </c>
      <c r="O1176" t="s">
        <v>75</v>
      </c>
      <c r="P1176" t="s">
        <v>74</v>
      </c>
      <c r="Q1176" t="s">
        <v>76</v>
      </c>
      <c r="R1176" t="s">
        <v>73</v>
      </c>
      <c r="S1176">
        <v>0</v>
      </c>
      <c r="W1176" s="20">
        <v>5.7870370370370378E-4</v>
      </c>
      <c r="X1176" t="s">
        <v>2737</v>
      </c>
      <c r="Y1176">
        <v>10</v>
      </c>
      <c r="Z1176">
        <v>0</v>
      </c>
      <c r="AA1176" t="s">
        <v>78</v>
      </c>
      <c r="AB1176">
        <v>0</v>
      </c>
      <c r="AC1176" t="s">
        <v>78</v>
      </c>
      <c r="AD1176">
        <v>0</v>
      </c>
      <c r="AE1176">
        <v>-1</v>
      </c>
      <c r="AF1176" t="s">
        <v>79</v>
      </c>
      <c r="AG1176" t="s">
        <v>293</v>
      </c>
    </row>
    <row r="1177" spans="1:33" x14ac:dyDescent="0.35">
      <c r="A1177" s="18">
        <v>44453.399305555555</v>
      </c>
      <c r="B1177">
        <v>697487</v>
      </c>
      <c r="C1177" t="s">
        <v>2738</v>
      </c>
      <c r="D1177" t="s">
        <v>70</v>
      </c>
      <c r="E1177" s="19">
        <v>40750</v>
      </c>
      <c r="F1177" t="str">
        <f>"9780470929414"</f>
        <v>9780470929414</v>
      </c>
      <c r="G1177" t="str">
        <f>"9780470406908"</f>
        <v>9780470406908</v>
      </c>
      <c r="H1177" t="s">
        <v>154</v>
      </c>
      <c r="I1177">
        <v>541.39499999999998</v>
      </c>
      <c r="J1177" t="s">
        <v>2739</v>
      </c>
      <c r="K1177" t="s">
        <v>73</v>
      </c>
      <c r="N1177" t="s">
        <v>74</v>
      </c>
      <c r="O1177" t="s">
        <v>75</v>
      </c>
      <c r="P1177" t="s">
        <v>74</v>
      </c>
      <c r="Q1177" t="s">
        <v>76</v>
      </c>
      <c r="R1177" t="s">
        <v>73</v>
      </c>
      <c r="S1177">
        <v>0</v>
      </c>
      <c r="W1177" s="20">
        <v>9.9884259259259266E-3</v>
      </c>
      <c r="X1177" t="s">
        <v>2740</v>
      </c>
      <c r="Y1177">
        <v>21</v>
      </c>
      <c r="Z1177">
        <v>0</v>
      </c>
      <c r="AA1177" t="s">
        <v>78</v>
      </c>
      <c r="AB1177">
        <v>0</v>
      </c>
      <c r="AC1177" t="s">
        <v>78</v>
      </c>
      <c r="AD1177">
        <v>0</v>
      </c>
      <c r="AE1177">
        <v>10506257</v>
      </c>
      <c r="AF1177" t="s">
        <v>79</v>
      </c>
      <c r="AG1177" t="s">
        <v>2560</v>
      </c>
    </row>
    <row r="1178" spans="1:33" x14ac:dyDescent="0.35">
      <c r="A1178" s="18">
        <v>44453.084027777775</v>
      </c>
      <c r="B1178">
        <v>4003861</v>
      </c>
      <c r="C1178" t="s">
        <v>2668</v>
      </c>
      <c r="D1178" t="s">
        <v>338</v>
      </c>
      <c r="E1178" s="19">
        <v>42291</v>
      </c>
      <c r="F1178" t="str">
        <f>"9780444635358"</f>
        <v>9780444635358</v>
      </c>
      <c r="G1178" t="str">
        <f>"9780444635242"</f>
        <v>9780444635242</v>
      </c>
      <c r="H1178" t="s">
        <v>2669</v>
      </c>
      <c r="I1178">
        <v>551.6</v>
      </c>
      <c r="J1178" t="s">
        <v>2670</v>
      </c>
      <c r="K1178" t="s">
        <v>73</v>
      </c>
      <c r="N1178" t="s">
        <v>74</v>
      </c>
      <c r="O1178" t="s">
        <v>75</v>
      </c>
      <c r="P1178" t="s">
        <v>74</v>
      </c>
      <c r="Q1178" t="s">
        <v>76</v>
      </c>
      <c r="R1178" t="s">
        <v>73</v>
      </c>
      <c r="S1178">
        <v>0</v>
      </c>
      <c r="W1178" s="20">
        <v>9.2592592592592605E-3</v>
      </c>
      <c r="X1178" t="s">
        <v>2741</v>
      </c>
      <c r="Y1178">
        <v>9</v>
      </c>
      <c r="Z1178">
        <v>0</v>
      </c>
      <c r="AA1178" t="s">
        <v>78</v>
      </c>
      <c r="AB1178">
        <v>0</v>
      </c>
      <c r="AC1178" t="s">
        <v>78</v>
      </c>
      <c r="AD1178">
        <v>0</v>
      </c>
      <c r="AE1178">
        <v>11117951</v>
      </c>
      <c r="AF1178" t="s">
        <v>79</v>
      </c>
      <c r="AG1178" t="s">
        <v>2364</v>
      </c>
    </row>
    <row r="1179" spans="1:33" x14ac:dyDescent="0.35">
      <c r="A1179" s="18">
        <v>44453.078472222223</v>
      </c>
      <c r="B1179">
        <v>4307182</v>
      </c>
      <c r="C1179" t="s">
        <v>2672</v>
      </c>
      <c r="D1179" t="s">
        <v>1258</v>
      </c>
      <c r="E1179" s="19">
        <v>42361</v>
      </c>
      <c r="F1179" t="str">
        <f>"9781606508480"</f>
        <v>9781606508480</v>
      </c>
      <c r="G1179" t="str">
        <f>"9781606508473"</f>
        <v>9781606508473</v>
      </c>
      <c r="H1179" t="s">
        <v>2673</v>
      </c>
      <c r="I1179">
        <v>363.73874000000001</v>
      </c>
      <c r="J1179" t="s">
        <v>2674</v>
      </c>
      <c r="K1179" t="s">
        <v>73</v>
      </c>
      <c r="N1179" t="s">
        <v>74</v>
      </c>
      <c r="O1179" t="s">
        <v>75</v>
      </c>
      <c r="P1179" t="s">
        <v>74</v>
      </c>
      <c r="Q1179" t="s">
        <v>76</v>
      </c>
      <c r="R1179" t="s">
        <v>73</v>
      </c>
      <c r="S1179">
        <v>0</v>
      </c>
      <c r="W1179" s="20">
        <v>2.6388888888888885E-3</v>
      </c>
      <c r="X1179" t="s">
        <v>2742</v>
      </c>
      <c r="Y1179">
        <v>12</v>
      </c>
      <c r="Z1179">
        <v>0</v>
      </c>
      <c r="AA1179" t="s">
        <v>78</v>
      </c>
      <c r="AB1179">
        <v>0</v>
      </c>
      <c r="AC1179" t="s">
        <v>78</v>
      </c>
      <c r="AD1179">
        <v>0</v>
      </c>
      <c r="AE1179">
        <v>11147005</v>
      </c>
      <c r="AF1179" t="s">
        <v>79</v>
      </c>
      <c r="AG1179" t="s">
        <v>2364</v>
      </c>
    </row>
    <row r="1180" spans="1:33" x14ac:dyDescent="0.35">
      <c r="A1180" s="18">
        <v>44453.01458333333</v>
      </c>
      <c r="B1180">
        <v>4307182</v>
      </c>
      <c r="C1180" t="s">
        <v>2672</v>
      </c>
      <c r="D1180" t="s">
        <v>1258</v>
      </c>
      <c r="E1180" s="19">
        <v>42361</v>
      </c>
      <c r="F1180" t="str">
        <f>"9781606508480"</f>
        <v>9781606508480</v>
      </c>
      <c r="G1180" t="str">
        <f>"9781606508473"</f>
        <v>9781606508473</v>
      </c>
      <c r="H1180" t="s">
        <v>2673</v>
      </c>
      <c r="I1180">
        <v>363.73874000000001</v>
      </c>
      <c r="J1180" t="s">
        <v>2674</v>
      </c>
      <c r="K1180" t="s">
        <v>73</v>
      </c>
      <c r="N1180" t="s">
        <v>74</v>
      </c>
      <c r="O1180" t="s">
        <v>75</v>
      </c>
      <c r="P1180" t="s">
        <v>74</v>
      </c>
      <c r="Q1180" t="s">
        <v>76</v>
      </c>
      <c r="R1180" t="s">
        <v>73</v>
      </c>
      <c r="S1180">
        <v>0</v>
      </c>
      <c r="W1180" s="20">
        <v>6.134259259259259E-4</v>
      </c>
      <c r="X1180" t="s">
        <v>547</v>
      </c>
      <c r="Y1180">
        <v>7</v>
      </c>
      <c r="Z1180">
        <v>0</v>
      </c>
      <c r="AA1180" t="s">
        <v>78</v>
      </c>
      <c r="AB1180">
        <v>0</v>
      </c>
      <c r="AC1180" t="s">
        <v>78</v>
      </c>
      <c r="AD1180">
        <v>0</v>
      </c>
      <c r="AE1180">
        <v>11147005</v>
      </c>
      <c r="AF1180" t="s">
        <v>79</v>
      </c>
      <c r="AG1180" t="s">
        <v>2364</v>
      </c>
    </row>
    <row r="1181" spans="1:33" x14ac:dyDescent="0.35">
      <c r="A1181" s="18">
        <v>44452.90625</v>
      </c>
      <c r="B1181">
        <v>697487</v>
      </c>
      <c r="C1181" t="s">
        <v>2738</v>
      </c>
      <c r="D1181" t="s">
        <v>70</v>
      </c>
      <c r="E1181" s="19">
        <v>40750</v>
      </c>
      <c r="F1181" t="str">
        <f>"9780470929414"</f>
        <v>9780470929414</v>
      </c>
      <c r="G1181" t="str">
        <f>"9780470406908"</f>
        <v>9780470406908</v>
      </c>
      <c r="H1181" t="s">
        <v>154</v>
      </c>
      <c r="I1181">
        <v>541.39499999999998</v>
      </c>
      <c r="J1181" t="s">
        <v>2739</v>
      </c>
      <c r="K1181" t="s">
        <v>73</v>
      </c>
      <c r="N1181" t="s">
        <v>74</v>
      </c>
      <c r="O1181" t="s">
        <v>75</v>
      </c>
      <c r="P1181" t="s">
        <v>74</v>
      </c>
      <c r="Q1181" t="s">
        <v>76</v>
      </c>
      <c r="R1181" t="s">
        <v>73</v>
      </c>
      <c r="S1181">
        <v>0</v>
      </c>
      <c r="W1181" s="20">
        <v>3.0555555555555557E-3</v>
      </c>
      <c r="X1181" t="s">
        <v>360</v>
      </c>
      <c r="Y1181">
        <v>2</v>
      </c>
      <c r="Z1181">
        <v>0</v>
      </c>
      <c r="AA1181" t="s">
        <v>78</v>
      </c>
      <c r="AB1181">
        <v>0</v>
      </c>
      <c r="AC1181" t="s">
        <v>78</v>
      </c>
      <c r="AD1181">
        <v>0</v>
      </c>
      <c r="AE1181">
        <v>10506257</v>
      </c>
      <c r="AF1181" t="s">
        <v>79</v>
      </c>
      <c r="AG1181" t="s">
        <v>2560</v>
      </c>
    </row>
    <row r="1182" spans="1:33" x14ac:dyDescent="0.35">
      <c r="A1182" s="18">
        <v>44452.768750000003</v>
      </c>
      <c r="B1182">
        <v>1186155</v>
      </c>
      <c r="C1182" t="s">
        <v>2584</v>
      </c>
      <c r="D1182" t="s">
        <v>1637</v>
      </c>
      <c r="E1182" s="19">
        <v>37064</v>
      </c>
      <c r="F1182" t="str">
        <f>"9781847551962"</f>
        <v>9781847551962</v>
      </c>
      <c r="G1182" t="str">
        <f>"9780854048809"</f>
        <v>9780854048809</v>
      </c>
      <c r="H1182" t="s">
        <v>159</v>
      </c>
      <c r="I1182">
        <v>660.29949999999997</v>
      </c>
      <c r="J1182">
        <v>2005432684</v>
      </c>
      <c r="K1182" t="s">
        <v>73</v>
      </c>
      <c r="N1182" t="s">
        <v>74</v>
      </c>
      <c r="O1182" t="s">
        <v>75</v>
      </c>
      <c r="P1182" t="s">
        <v>74</v>
      </c>
      <c r="Q1182" t="s">
        <v>76</v>
      </c>
      <c r="R1182" t="s">
        <v>73</v>
      </c>
      <c r="S1182">
        <v>0</v>
      </c>
      <c r="W1182" s="20">
        <v>1.0127314814814815E-2</v>
      </c>
      <c r="X1182" t="s">
        <v>2743</v>
      </c>
      <c r="Y1182">
        <v>16</v>
      </c>
      <c r="Z1182">
        <v>0</v>
      </c>
      <c r="AA1182" t="s">
        <v>78</v>
      </c>
      <c r="AB1182">
        <v>0</v>
      </c>
      <c r="AC1182" t="s">
        <v>78</v>
      </c>
      <c r="AD1182">
        <v>0</v>
      </c>
      <c r="AE1182">
        <v>10621210</v>
      </c>
      <c r="AF1182" t="s">
        <v>79</v>
      </c>
      <c r="AG1182" t="s">
        <v>2364</v>
      </c>
    </row>
    <row r="1183" spans="1:33" x14ac:dyDescent="0.35">
      <c r="A1183" s="18">
        <v>44452.750694444447</v>
      </c>
      <c r="B1183">
        <v>5558400</v>
      </c>
      <c r="C1183" t="s">
        <v>1990</v>
      </c>
      <c r="D1183" t="s">
        <v>70</v>
      </c>
      <c r="E1183" s="19">
        <v>43396</v>
      </c>
      <c r="F1183" t="str">
        <f>"9781119516200"</f>
        <v>9781119516200</v>
      </c>
      <c r="G1183" t="str">
        <f>"9781119516187"</f>
        <v>9781119516187</v>
      </c>
      <c r="H1183" t="s">
        <v>128</v>
      </c>
      <c r="I1183">
        <v>307.76</v>
      </c>
      <c r="J1183" t="s">
        <v>1991</v>
      </c>
      <c r="K1183" t="s">
        <v>73</v>
      </c>
      <c r="N1183" t="s">
        <v>74</v>
      </c>
      <c r="O1183" t="s">
        <v>75</v>
      </c>
      <c r="P1183" t="s">
        <v>74</v>
      </c>
      <c r="Q1183" t="s">
        <v>76</v>
      </c>
      <c r="R1183" t="s">
        <v>73</v>
      </c>
      <c r="S1183">
        <v>0</v>
      </c>
      <c r="W1183" s="20">
        <v>5.8217592592592592E-3</v>
      </c>
      <c r="X1183" t="s">
        <v>2744</v>
      </c>
      <c r="Y1183">
        <v>9</v>
      </c>
      <c r="Z1183">
        <v>0</v>
      </c>
      <c r="AA1183" t="s">
        <v>78</v>
      </c>
      <c r="AB1183">
        <v>0</v>
      </c>
      <c r="AC1183" t="s">
        <v>78</v>
      </c>
      <c r="AD1183">
        <v>0</v>
      </c>
      <c r="AE1183">
        <v>-1</v>
      </c>
      <c r="AF1183" t="s">
        <v>79</v>
      </c>
      <c r="AG1183" t="s">
        <v>2364</v>
      </c>
    </row>
    <row r="1184" spans="1:33" x14ac:dyDescent="0.35">
      <c r="A1184" s="18">
        <v>44452.748611111114</v>
      </c>
      <c r="B1184">
        <v>1574357</v>
      </c>
      <c r="C1184" t="s">
        <v>1544</v>
      </c>
      <c r="D1184" t="s">
        <v>70</v>
      </c>
      <c r="E1184" s="19">
        <v>41680</v>
      </c>
      <c r="F1184" t="str">
        <f>"9781118703366"</f>
        <v>9781118703366</v>
      </c>
      <c r="G1184" t="str">
        <f>"9781118634165"</f>
        <v>9781118634165</v>
      </c>
      <c r="H1184" t="s">
        <v>71</v>
      </c>
      <c r="I1184">
        <v>621.31244000000004</v>
      </c>
      <c r="J1184" t="s">
        <v>1545</v>
      </c>
      <c r="K1184" t="s">
        <v>73</v>
      </c>
      <c r="N1184" t="s">
        <v>74</v>
      </c>
      <c r="O1184" t="s">
        <v>75</v>
      </c>
      <c r="P1184" t="s">
        <v>74</v>
      </c>
      <c r="Q1184" t="s">
        <v>76</v>
      </c>
      <c r="R1184" t="s">
        <v>73</v>
      </c>
      <c r="S1184">
        <v>0</v>
      </c>
      <c r="W1184" s="20">
        <v>5.4398148148148149E-3</v>
      </c>
      <c r="X1184" t="s">
        <v>2745</v>
      </c>
      <c r="Y1184">
        <v>3</v>
      </c>
      <c r="Z1184">
        <v>0</v>
      </c>
      <c r="AA1184" t="s">
        <v>78</v>
      </c>
      <c r="AB1184">
        <v>0</v>
      </c>
      <c r="AC1184" t="s">
        <v>78</v>
      </c>
      <c r="AD1184">
        <v>0</v>
      </c>
      <c r="AE1184">
        <v>10814681</v>
      </c>
      <c r="AF1184" t="s">
        <v>79</v>
      </c>
      <c r="AG1184" t="s">
        <v>2364</v>
      </c>
    </row>
    <row r="1185" spans="1:33" x14ac:dyDescent="0.35">
      <c r="A1185" s="18">
        <v>44452.745833333334</v>
      </c>
      <c r="B1185">
        <v>1574357</v>
      </c>
      <c r="C1185" t="s">
        <v>1544</v>
      </c>
      <c r="D1185" t="s">
        <v>70</v>
      </c>
      <c r="E1185" s="19">
        <v>41680</v>
      </c>
      <c r="F1185" t="str">
        <f>"9781118703366"</f>
        <v>9781118703366</v>
      </c>
      <c r="G1185" t="str">
        <f>"9781118634165"</f>
        <v>9781118634165</v>
      </c>
      <c r="H1185" t="s">
        <v>71</v>
      </c>
      <c r="I1185">
        <v>621.31244000000004</v>
      </c>
      <c r="J1185" t="s">
        <v>1545</v>
      </c>
      <c r="K1185" t="s">
        <v>73</v>
      </c>
      <c r="N1185" t="s">
        <v>74</v>
      </c>
      <c r="O1185" t="s">
        <v>75</v>
      </c>
      <c r="P1185" t="s">
        <v>74</v>
      </c>
      <c r="Q1185" t="s">
        <v>76</v>
      </c>
      <c r="R1185" t="s">
        <v>73</v>
      </c>
      <c r="S1185">
        <v>0</v>
      </c>
      <c r="W1185" s="20">
        <v>0</v>
      </c>
      <c r="X1185" t="s">
        <v>78</v>
      </c>
      <c r="Y1185">
        <v>0</v>
      </c>
      <c r="Z1185">
        <v>0</v>
      </c>
      <c r="AA1185" t="s">
        <v>78</v>
      </c>
      <c r="AB1185">
        <v>0</v>
      </c>
      <c r="AC1185" t="s">
        <v>78</v>
      </c>
      <c r="AD1185">
        <v>0</v>
      </c>
      <c r="AE1185">
        <v>10814681</v>
      </c>
      <c r="AF1185" t="s">
        <v>79</v>
      </c>
      <c r="AG1185" t="s">
        <v>2364</v>
      </c>
    </row>
    <row r="1186" spans="1:33" x14ac:dyDescent="0.35">
      <c r="A1186" s="18">
        <v>44452.743055555555</v>
      </c>
      <c r="B1186">
        <v>537802</v>
      </c>
      <c r="C1186" t="s">
        <v>843</v>
      </c>
      <c r="D1186" t="s">
        <v>844</v>
      </c>
      <c r="E1186" s="19">
        <v>36062</v>
      </c>
      <c r="F1186" t="str">
        <f>"9780857026279"</f>
        <v>9780857026279</v>
      </c>
      <c r="G1186" t="str">
        <f>"9780761957317"</f>
        <v>9780761957317</v>
      </c>
      <c r="H1186" t="s">
        <v>398</v>
      </c>
      <c r="I1186">
        <v>301.02856320000001</v>
      </c>
      <c r="J1186" t="s">
        <v>845</v>
      </c>
      <c r="K1186" t="s">
        <v>73</v>
      </c>
      <c r="N1186" t="s">
        <v>74</v>
      </c>
      <c r="O1186" t="s">
        <v>75</v>
      </c>
      <c r="P1186" t="s">
        <v>74</v>
      </c>
      <c r="Q1186" t="s">
        <v>76</v>
      </c>
      <c r="R1186" t="s">
        <v>73</v>
      </c>
      <c r="S1186">
        <v>0</v>
      </c>
      <c r="W1186" s="20">
        <v>1.3078703703703703E-2</v>
      </c>
      <c r="X1186" t="s">
        <v>2746</v>
      </c>
      <c r="Y1186">
        <v>7</v>
      </c>
      <c r="Z1186">
        <v>0</v>
      </c>
      <c r="AA1186" t="s">
        <v>78</v>
      </c>
      <c r="AB1186">
        <v>0</v>
      </c>
      <c r="AC1186" t="s">
        <v>78</v>
      </c>
      <c r="AD1186">
        <v>0</v>
      </c>
      <c r="AE1186">
        <v>10392743</v>
      </c>
      <c r="AF1186" t="s">
        <v>79</v>
      </c>
      <c r="AG1186" t="s">
        <v>2747</v>
      </c>
    </row>
    <row r="1187" spans="1:33" x14ac:dyDescent="0.35">
      <c r="A1187" s="18">
        <v>44452.663194444445</v>
      </c>
      <c r="B1187">
        <v>5975249</v>
      </c>
      <c r="C1187" t="s">
        <v>2748</v>
      </c>
      <c r="D1187" t="s">
        <v>1642</v>
      </c>
      <c r="E1187" s="19">
        <v>43794</v>
      </c>
      <c r="F1187" t="str">
        <f>"9781839091452"</f>
        <v>9781839091452</v>
      </c>
      <c r="G1187" t="str">
        <f>"9781839091445"</f>
        <v>9781839091445</v>
      </c>
      <c r="H1187" t="s">
        <v>128</v>
      </c>
      <c r="I1187">
        <v>362.4</v>
      </c>
      <c r="J1187" t="s">
        <v>2749</v>
      </c>
      <c r="K1187" t="s">
        <v>73</v>
      </c>
      <c r="N1187" t="s">
        <v>74</v>
      </c>
      <c r="O1187" t="s">
        <v>75</v>
      </c>
      <c r="P1187" t="s">
        <v>74</v>
      </c>
      <c r="Q1187" t="s">
        <v>76</v>
      </c>
      <c r="R1187" t="s">
        <v>73</v>
      </c>
      <c r="S1187">
        <v>0</v>
      </c>
      <c r="W1187" s="20">
        <v>6.9097222222222225E-3</v>
      </c>
      <c r="X1187" t="s">
        <v>2750</v>
      </c>
      <c r="Y1187">
        <v>6</v>
      </c>
      <c r="Z1187">
        <v>0</v>
      </c>
      <c r="AA1187" t="s">
        <v>78</v>
      </c>
      <c r="AB1187">
        <v>0</v>
      </c>
      <c r="AC1187" t="s">
        <v>78</v>
      </c>
      <c r="AD1187">
        <v>0</v>
      </c>
      <c r="AE1187">
        <v>-1</v>
      </c>
      <c r="AF1187" t="s">
        <v>79</v>
      </c>
      <c r="AG1187" t="s">
        <v>2364</v>
      </c>
    </row>
    <row r="1188" spans="1:33" x14ac:dyDescent="0.35">
      <c r="A1188" s="18">
        <v>44452.654166666667</v>
      </c>
      <c r="B1188">
        <v>5164322</v>
      </c>
      <c r="C1188" t="s">
        <v>2751</v>
      </c>
      <c r="D1188" t="s">
        <v>1094</v>
      </c>
      <c r="E1188" s="19">
        <v>43097</v>
      </c>
      <c r="F1188" t="str">
        <f>"9780826161628"</f>
        <v>9780826161628</v>
      </c>
      <c r="G1188" t="str">
        <f>"9780826161611"</f>
        <v>9780826161611</v>
      </c>
      <c r="H1188" t="s">
        <v>128</v>
      </c>
      <c r="I1188" t="s">
        <v>2752</v>
      </c>
      <c r="J1188" t="s">
        <v>2753</v>
      </c>
      <c r="K1188" t="s">
        <v>73</v>
      </c>
      <c r="N1188" t="s">
        <v>74</v>
      </c>
      <c r="O1188" t="s">
        <v>75</v>
      </c>
      <c r="P1188" t="s">
        <v>74</v>
      </c>
      <c r="Q1188" t="s">
        <v>76</v>
      </c>
      <c r="R1188" t="s">
        <v>73</v>
      </c>
      <c r="S1188">
        <v>0</v>
      </c>
      <c r="W1188" s="20">
        <v>3.5532407407407405E-3</v>
      </c>
      <c r="X1188" t="s">
        <v>2754</v>
      </c>
      <c r="Y1188">
        <v>24</v>
      </c>
      <c r="Z1188">
        <v>0</v>
      </c>
      <c r="AA1188" t="s">
        <v>78</v>
      </c>
      <c r="AB1188">
        <v>0</v>
      </c>
      <c r="AC1188" t="s">
        <v>78</v>
      </c>
      <c r="AD1188">
        <v>0</v>
      </c>
      <c r="AE1188">
        <v>11524234</v>
      </c>
      <c r="AF1188" t="s">
        <v>79</v>
      </c>
      <c r="AG1188" t="s">
        <v>2364</v>
      </c>
    </row>
    <row r="1189" spans="1:33" x14ac:dyDescent="0.35">
      <c r="A1189" s="18">
        <v>44452.648611111108</v>
      </c>
      <c r="B1189">
        <v>3020780</v>
      </c>
      <c r="C1189" t="s">
        <v>2755</v>
      </c>
      <c r="D1189" t="s">
        <v>226</v>
      </c>
      <c r="E1189" s="19">
        <v>40452</v>
      </c>
      <c r="F1189" t="str">
        <f>"9781617610776"</f>
        <v>9781617610776</v>
      </c>
      <c r="G1189" t="str">
        <f>"9781617289101"</f>
        <v>9781617289101</v>
      </c>
      <c r="H1189" t="s">
        <v>584</v>
      </c>
      <c r="I1189" t="s">
        <v>1100</v>
      </c>
      <c r="J1189" t="s">
        <v>2756</v>
      </c>
      <c r="K1189" t="s">
        <v>73</v>
      </c>
      <c r="N1189" t="s">
        <v>74</v>
      </c>
      <c r="O1189" t="s">
        <v>75</v>
      </c>
      <c r="P1189" t="s">
        <v>230</v>
      </c>
      <c r="Q1189" t="s">
        <v>76</v>
      </c>
      <c r="R1189" t="s">
        <v>85</v>
      </c>
      <c r="S1189">
        <v>0</v>
      </c>
      <c r="W1189" s="20">
        <v>4.0162037037037033E-3</v>
      </c>
      <c r="X1189" t="s">
        <v>2757</v>
      </c>
      <c r="Y1189">
        <v>19</v>
      </c>
      <c r="Z1189">
        <v>0</v>
      </c>
      <c r="AA1189" t="s">
        <v>78</v>
      </c>
      <c r="AB1189">
        <v>0</v>
      </c>
      <c r="AC1189" t="s">
        <v>78</v>
      </c>
      <c r="AD1189">
        <v>0</v>
      </c>
      <c r="AE1189">
        <v>10680918</v>
      </c>
      <c r="AF1189" t="s">
        <v>79</v>
      </c>
      <c r="AG1189" t="s">
        <v>2364</v>
      </c>
    </row>
    <row r="1190" spans="1:33" x14ac:dyDescent="0.35">
      <c r="A1190" s="18">
        <v>44452.592361111114</v>
      </c>
      <c r="B1190">
        <v>1211754</v>
      </c>
      <c r="C1190" t="s">
        <v>2758</v>
      </c>
      <c r="D1190" t="s">
        <v>158</v>
      </c>
      <c r="E1190" s="19">
        <v>41439</v>
      </c>
      <c r="F1190" t="str">
        <f>"9780080983059"</f>
        <v>9780080983059</v>
      </c>
      <c r="G1190" t="str">
        <f>"9780080983042"</f>
        <v>9780080983042</v>
      </c>
      <c r="H1190" t="s">
        <v>159</v>
      </c>
      <c r="I1190">
        <v>660.28150000000005</v>
      </c>
      <c r="J1190" t="s">
        <v>2759</v>
      </c>
      <c r="K1190" t="s">
        <v>73</v>
      </c>
      <c r="N1190" t="s">
        <v>74</v>
      </c>
      <c r="O1190" t="s">
        <v>75</v>
      </c>
      <c r="P1190" t="s">
        <v>74</v>
      </c>
      <c r="Q1190" t="s">
        <v>76</v>
      </c>
      <c r="R1190" t="s">
        <v>73</v>
      </c>
      <c r="S1190">
        <v>0</v>
      </c>
      <c r="W1190" s="20">
        <v>0</v>
      </c>
      <c r="X1190" t="s">
        <v>78</v>
      </c>
      <c r="Y1190">
        <v>0</v>
      </c>
      <c r="Z1190">
        <v>3</v>
      </c>
      <c r="AA1190" t="s">
        <v>2760</v>
      </c>
      <c r="AB1190">
        <v>110</v>
      </c>
      <c r="AC1190" t="s">
        <v>78</v>
      </c>
      <c r="AD1190">
        <v>0</v>
      </c>
      <c r="AE1190">
        <v>10719893</v>
      </c>
      <c r="AF1190" t="s">
        <v>79</v>
      </c>
      <c r="AG1190" t="s">
        <v>2364</v>
      </c>
    </row>
    <row r="1191" spans="1:33" x14ac:dyDescent="0.35">
      <c r="A1191" s="18">
        <v>44452.588888888888</v>
      </c>
      <c r="B1191">
        <v>1204633</v>
      </c>
      <c r="C1191" t="s">
        <v>1560</v>
      </c>
      <c r="D1191" t="s">
        <v>70</v>
      </c>
      <c r="E1191" s="19">
        <v>41512</v>
      </c>
      <c r="F1191" t="str">
        <f>"9781118450444"</f>
        <v>9781118450444</v>
      </c>
      <c r="G1191" t="str">
        <f>"9780470673768"</f>
        <v>9780470673768</v>
      </c>
      <c r="H1191" t="s">
        <v>1561</v>
      </c>
      <c r="I1191">
        <v>552.5</v>
      </c>
      <c r="J1191" t="s">
        <v>1562</v>
      </c>
      <c r="K1191" t="s">
        <v>73</v>
      </c>
      <c r="N1191" t="s">
        <v>74</v>
      </c>
      <c r="O1191" t="s">
        <v>75</v>
      </c>
      <c r="P1191" t="s">
        <v>74</v>
      </c>
      <c r="Q1191" t="s">
        <v>76</v>
      </c>
      <c r="R1191" t="s">
        <v>73</v>
      </c>
      <c r="S1191">
        <v>0</v>
      </c>
      <c r="W1191" s="20">
        <v>2.4189814814814816E-3</v>
      </c>
      <c r="X1191" t="s">
        <v>2761</v>
      </c>
      <c r="Y1191">
        <v>6</v>
      </c>
      <c r="Z1191">
        <v>1</v>
      </c>
      <c r="AA1191" t="s">
        <v>2762</v>
      </c>
      <c r="AB1191">
        <v>45</v>
      </c>
      <c r="AC1191" t="s">
        <v>78</v>
      </c>
      <c r="AD1191">
        <v>0</v>
      </c>
      <c r="AE1191">
        <v>10713576</v>
      </c>
      <c r="AF1191" t="s">
        <v>79</v>
      </c>
      <c r="AG1191" t="s">
        <v>2364</v>
      </c>
    </row>
    <row r="1192" spans="1:33" x14ac:dyDescent="0.35">
      <c r="A1192" s="18">
        <v>44452.581250000003</v>
      </c>
      <c r="B1192">
        <v>1895198</v>
      </c>
      <c r="C1192" t="s">
        <v>2763</v>
      </c>
      <c r="D1192" t="s">
        <v>70</v>
      </c>
      <c r="E1192" s="19">
        <v>42079</v>
      </c>
      <c r="F1192" t="str">
        <f>"9781118998144"</f>
        <v>9781118998144</v>
      </c>
      <c r="G1192" t="str">
        <f>"9781848217201"</f>
        <v>9781848217201</v>
      </c>
      <c r="H1192" t="s">
        <v>71</v>
      </c>
      <c r="I1192">
        <v>621.31241999999997</v>
      </c>
      <c r="J1192" t="s">
        <v>2764</v>
      </c>
      <c r="K1192" t="s">
        <v>73</v>
      </c>
      <c r="N1192" t="s">
        <v>74</v>
      </c>
      <c r="O1192" t="s">
        <v>75</v>
      </c>
      <c r="P1192" t="s">
        <v>74</v>
      </c>
      <c r="Q1192" t="s">
        <v>76</v>
      </c>
      <c r="R1192" t="s">
        <v>73</v>
      </c>
      <c r="S1192">
        <v>0</v>
      </c>
      <c r="W1192" s="20">
        <v>6.018518518518519E-4</v>
      </c>
      <c r="X1192" t="s">
        <v>2765</v>
      </c>
      <c r="Y1192">
        <v>8</v>
      </c>
      <c r="Z1192">
        <v>0</v>
      </c>
      <c r="AA1192" t="s">
        <v>78</v>
      </c>
      <c r="AB1192">
        <v>0</v>
      </c>
      <c r="AC1192" t="s">
        <v>78</v>
      </c>
      <c r="AD1192">
        <v>0</v>
      </c>
      <c r="AE1192">
        <v>11025889</v>
      </c>
      <c r="AF1192" t="s">
        <v>79</v>
      </c>
      <c r="AG1192" t="s">
        <v>2364</v>
      </c>
    </row>
    <row r="1193" spans="1:33" x14ac:dyDescent="0.35">
      <c r="A1193" s="18">
        <v>44452.554166666669</v>
      </c>
      <c r="B1193">
        <v>5558400</v>
      </c>
      <c r="C1193" t="s">
        <v>1990</v>
      </c>
      <c r="D1193" t="s">
        <v>70</v>
      </c>
      <c r="E1193" s="19">
        <v>43396</v>
      </c>
      <c r="F1193" t="str">
        <f>"9781119516200"</f>
        <v>9781119516200</v>
      </c>
      <c r="G1193" t="str">
        <f>"9781119516187"</f>
        <v>9781119516187</v>
      </c>
      <c r="H1193" t="s">
        <v>128</v>
      </c>
      <c r="I1193">
        <v>307.76</v>
      </c>
      <c r="J1193" t="s">
        <v>1991</v>
      </c>
      <c r="K1193" t="s">
        <v>73</v>
      </c>
      <c r="N1193" t="s">
        <v>74</v>
      </c>
      <c r="O1193" t="s">
        <v>75</v>
      </c>
      <c r="P1193" t="s">
        <v>74</v>
      </c>
      <c r="Q1193" t="s">
        <v>76</v>
      </c>
      <c r="R1193" t="s">
        <v>73</v>
      </c>
      <c r="S1193">
        <v>0</v>
      </c>
      <c r="W1193" s="20">
        <v>2.4768518518518516E-3</v>
      </c>
      <c r="X1193" t="s">
        <v>2130</v>
      </c>
      <c r="Y1193">
        <v>4</v>
      </c>
      <c r="Z1193">
        <v>0</v>
      </c>
      <c r="AA1193" t="s">
        <v>78</v>
      </c>
      <c r="AB1193">
        <v>0</v>
      </c>
      <c r="AC1193" t="s">
        <v>78</v>
      </c>
      <c r="AD1193">
        <v>0</v>
      </c>
      <c r="AE1193">
        <v>-1</v>
      </c>
      <c r="AF1193" t="s">
        <v>79</v>
      </c>
      <c r="AG1193" t="s">
        <v>2364</v>
      </c>
    </row>
    <row r="1194" spans="1:33" x14ac:dyDescent="0.35">
      <c r="A1194" s="18">
        <v>44452.511805555558</v>
      </c>
      <c r="B1194">
        <v>255140</v>
      </c>
      <c r="C1194" t="s">
        <v>2766</v>
      </c>
      <c r="D1194" t="s">
        <v>538</v>
      </c>
      <c r="E1194" s="19">
        <v>38820</v>
      </c>
      <c r="F1194" t="str">
        <f>"9780511160400"</f>
        <v>9780511160400</v>
      </c>
      <c r="G1194" t="str">
        <f>"9780521826785"</f>
        <v>9780521826785</v>
      </c>
      <c r="H1194" t="s">
        <v>2609</v>
      </c>
      <c r="I1194">
        <v>531</v>
      </c>
      <c r="J1194" t="s">
        <v>2767</v>
      </c>
      <c r="K1194" t="s">
        <v>73</v>
      </c>
      <c r="N1194" t="s">
        <v>74</v>
      </c>
      <c r="O1194" t="s">
        <v>75</v>
      </c>
      <c r="P1194" t="s">
        <v>74</v>
      </c>
      <c r="Q1194" t="s">
        <v>76</v>
      </c>
      <c r="R1194" t="s">
        <v>73</v>
      </c>
      <c r="S1194">
        <v>0</v>
      </c>
      <c r="W1194" s="20">
        <v>1.4351851851851854E-3</v>
      </c>
      <c r="X1194" t="s">
        <v>2768</v>
      </c>
      <c r="Y1194">
        <v>18</v>
      </c>
      <c r="Z1194">
        <v>0</v>
      </c>
      <c r="AA1194" t="s">
        <v>78</v>
      </c>
      <c r="AB1194">
        <v>0</v>
      </c>
      <c r="AC1194" t="s">
        <v>78</v>
      </c>
      <c r="AD1194">
        <v>0</v>
      </c>
      <c r="AE1194">
        <v>10129215</v>
      </c>
      <c r="AF1194" t="s">
        <v>79</v>
      </c>
      <c r="AG1194" t="s">
        <v>2769</v>
      </c>
    </row>
    <row r="1195" spans="1:33" x14ac:dyDescent="0.35">
      <c r="A1195" s="18">
        <v>44452.372916666667</v>
      </c>
      <c r="B1195">
        <v>4717383</v>
      </c>
      <c r="C1195" t="s">
        <v>2733</v>
      </c>
      <c r="D1195" t="s">
        <v>70</v>
      </c>
      <c r="E1195" s="19">
        <v>42681</v>
      </c>
      <c r="F1195" t="str">
        <f>"9781118767047"</f>
        <v>9781118767047</v>
      </c>
      <c r="G1195" t="str">
        <f>"9781118767238"</f>
        <v>9781118767238</v>
      </c>
      <c r="H1195" t="s">
        <v>374</v>
      </c>
      <c r="I1195" t="s">
        <v>1918</v>
      </c>
      <c r="J1195" t="s">
        <v>2734</v>
      </c>
      <c r="K1195" t="s">
        <v>73</v>
      </c>
      <c r="N1195" t="s">
        <v>74</v>
      </c>
      <c r="O1195" t="s">
        <v>75</v>
      </c>
      <c r="P1195" t="s">
        <v>74</v>
      </c>
      <c r="Q1195" t="s">
        <v>76</v>
      </c>
      <c r="R1195" t="s">
        <v>73</v>
      </c>
      <c r="S1195">
        <v>0</v>
      </c>
      <c r="W1195" s="20">
        <v>4.6296296296296294E-5</v>
      </c>
      <c r="X1195" t="s">
        <v>360</v>
      </c>
      <c r="Y1195">
        <v>2</v>
      </c>
      <c r="Z1195">
        <v>0</v>
      </c>
      <c r="AA1195" t="s">
        <v>78</v>
      </c>
      <c r="AB1195">
        <v>0</v>
      </c>
      <c r="AC1195" t="s">
        <v>78</v>
      </c>
      <c r="AD1195">
        <v>0</v>
      </c>
      <c r="AE1195">
        <v>11282612</v>
      </c>
      <c r="AF1195" t="s">
        <v>79</v>
      </c>
      <c r="AG1195" t="s">
        <v>2364</v>
      </c>
    </row>
    <row r="1196" spans="1:33" x14ac:dyDescent="0.35">
      <c r="A1196" s="18">
        <v>44451.868055555555</v>
      </c>
      <c r="B1196">
        <v>822076</v>
      </c>
      <c r="C1196" t="s">
        <v>2770</v>
      </c>
      <c r="D1196" t="s">
        <v>70</v>
      </c>
      <c r="E1196" s="19">
        <v>40995</v>
      </c>
      <c r="F1196" t="str">
        <f>"9781118191316"</f>
        <v>9781118191316</v>
      </c>
      <c r="G1196" t="str">
        <f>"9781118087565"</f>
        <v>9781118087565</v>
      </c>
      <c r="H1196" t="s">
        <v>466</v>
      </c>
      <c r="I1196" t="s">
        <v>2771</v>
      </c>
      <c r="J1196" t="s">
        <v>2772</v>
      </c>
      <c r="K1196" t="s">
        <v>85</v>
      </c>
      <c r="N1196" t="s">
        <v>86</v>
      </c>
      <c r="P1196" t="s">
        <v>297</v>
      </c>
      <c r="Q1196" t="s">
        <v>76</v>
      </c>
      <c r="R1196" t="s">
        <v>73</v>
      </c>
      <c r="S1196">
        <v>0</v>
      </c>
      <c r="W1196" s="20">
        <v>1.2384259259259258E-3</v>
      </c>
      <c r="X1196" t="s">
        <v>2773</v>
      </c>
      <c r="Y1196">
        <v>23</v>
      </c>
      <c r="Z1196">
        <v>0</v>
      </c>
      <c r="AA1196" t="s">
        <v>78</v>
      </c>
      <c r="AB1196">
        <v>0</v>
      </c>
      <c r="AC1196" t="s">
        <v>78</v>
      </c>
      <c r="AD1196">
        <v>0</v>
      </c>
      <c r="AE1196">
        <v>10531502</v>
      </c>
      <c r="AF1196" t="s">
        <v>79</v>
      </c>
      <c r="AG1196" t="s">
        <v>2560</v>
      </c>
    </row>
    <row r="1197" spans="1:33" x14ac:dyDescent="0.35">
      <c r="A1197" s="18">
        <v>44451.817361111112</v>
      </c>
      <c r="B1197">
        <v>1574357</v>
      </c>
      <c r="C1197" t="s">
        <v>1544</v>
      </c>
      <c r="D1197" t="s">
        <v>70</v>
      </c>
      <c r="E1197" s="19">
        <v>41680</v>
      </c>
      <c r="F1197" t="str">
        <f>"9781118703366"</f>
        <v>9781118703366</v>
      </c>
      <c r="G1197" t="str">
        <f>"9781118634165"</f>
        <v>9781118634165</v>
      </c>
      <c r="H1197" t="s">
        <v>71</v>
      </c>
      <c r="I1197">
        <v>621.31244000000004</v>
      </c>
      <c r="J1197" t="s">
        <v>1545</v>
      </c>
      <c r="K1197" t="s">
        <v>73</v>
      </c>
      <c r="N1197" t="s">
        <v>74</v>
      </c>
      <c r="O1197" t="s">
        <v>75</v>
      </c>
      <c r="P1197" t="s">
        <v>74</v>
      </c>
      <c r="Q1197" t="s">
        <v>76</v>
      </c>
      <c r="R1197" t="s">
        <v>73</v>
      </c>
      <c r="S1197">
        <v>0</v>
      </c>
      <c r="W1197" s="20">
        <v>1.8518518518518518E-4</v>
      </c>
      <c r="X1197" t="s">
        <v>2774</v>
      </c>
      <c r="Y1197">
        <v>3</v>
      </c>
      <c r="Z1197">
        <v>0</v>
      </c>
      <c r="AA1197" t="s">
        <v>78</v>
      </c>
      <c r="AB1197">
        <v>0</v>
      </c>
      <c r="AC1197" t="s">
        <v>78</v>
      </c>
      <c r="AD1197">
        <v>0</v>
      </c>
      <c r="AE1197">
        <v>10814681</v>
      </c>
      <c r="AF1197" t="s">
        <v>79</v>
      </c>
      <c r="AG1197" t="s">
        <v>2364</v>
      </c>
    </row>
    <row r="1198" spans="1:33" x14ac:dyDescent="0.35">
      <c r="A1198" s="18">
        <v>44451.770138888889</v>
      </c>
      <c r="B1198">
        <v>822076</v>
      </c>
      <c r="C1198" t="s">
        <v>2770</v>
      </c>
      <c r="D1198" t="s">
        <v>70</v>
      </c>
      <c r="E1198" s="19">
        <v>40995</v>
      </c>
      <c r="F1198" t="str">
        <f>"9781118191316"</f>
        <v>9781118191316</v>
      </c>
      <c r="G1198" t="str">
        <f>"9781118087565"</f>
        <v>9781118087565</v>
      </c>
      <c r="H1198" t="s">
        <v>466</v>
      </c>
      <c r="I1198" t="s">
        <v>2771</v>
      </c>
      <c r="J1198" t="s">
        <v>2772</v>
      </c>
      <c r="K1198" t="s">
        <v>85</v>
      </c>
      <c r="N1198" t="s">
        <v>86</v>
      </c>
      <c r="P1198" t="s">
        <v>297</v>
      </c>
      <c r="Q1198" t="s">
        <v>76</v>
      </c>
      <c r="R1198" t="s">
        <v>73</v>
      </c>
      <c r="S1198">
        <v>0</v>
      </c>
      <c r="W1198" s="20">
        <v>4.3888888888888887E-2</v>
      </c>
      <c r="X1198" t="s">
        <v>2775</v>
      </c>
      <c r="Y1198">
        <v>12</v>
      </c>
      <c r="Z1198">
        <v>0</v>
      </c>
      <c r="AA1198" t="s">
        <v>78</v>
      </c>
      <c r="AB1198">
        <v>0</v>
      </c>
      <c r="AC1198" t="s">
        <v>78</v>
      </c>
      <c r="AD1198">
        <v>0</v>
      </c>
      <c r="AE1198">
        <v>10531502</v>
      </c>
      <c r="AF1198" t="s">
        <v>79</v>
      </c>
      <c r="AG1198" t="s">
        <v>2560</v>
      </c>
    </row>
    <row r="1199" spans="1:33" x14ac:dyDescent="0.35">
      <c r="A1199" s="18">
        <v>44451.750694444447</v>
      </c>
      <c r="B1199">
        <v>4334763</v>
      </c>
      <c r="C1199" t="s">
        <v>2439</v>
      </c>
      <c r="D1199" t="s">
        <v>70</v>
      </c>
      <c r="E1199" s="19">
        <v>42388</v>
      </c>
      <c r="F1199" t="str">
        <f>"9781118933923"</f>
        <v>9781118933923</v>
      </c>
      <c r="G1199" t="str">
        <f>"9781118933916"</f>
        <v>9781118933916</v>
      </c>
      <c r="H1199" t="s">
        <v>2440</v>
      </c>
      <c r="I1199" t="s">
        <v>2441</v>
      </c>
      <c r="J1199" t="s">
        <v>2442</v>
      </c>
      <c r="K1199" t="s">
        <v>73</v>
      </c>
      <c r="N1199" t="s">
        <v>74</v>
      </c>
      <c r="O1199" t="s">
        <v>75</v>
      </c>
      <c r="P1199" t="s">
        <v>74</v>
      </c>
      <c r="Q1199" t="s">
        <v>76</v>
      </c>
      <c r="R1199" t="s">
        <v>73</v>
      </c>
      <c r="S1199">
        <v>0</v>
      </c>
      <c r="W1199" s="20">
        <v>1.3541666666666667E-3</v>
      </c>
      <c r="X1199" t="s">
        <v>2776</v>
      </c>
      <c r="Y1199">
        <v>10</v>
      </c>
      <c r="Z1199">
        <v>0</v>
      </c>
      <c r="AA1199" t="s">
        <v>78</v>
      </c>
      <c r="AB1199">
        <v>0</v>
      </c>
      <c r="AC1199" t="s">
        <v>78</v>
      </c>
      <c r="AD1199">
        <v>0</v>
      </c>
      <c r="AE1199">
        <v>11387617</v>
      </c>
      <c r="AF1199" t="s">
        <v>79</v>
      </c>
      <c r="AG1199" t="s">
        <v>2560</v>
      </c>
    </row>
    <row r="1200" spans="1:33" x14ac:dyDescent="0.35">
      <c r="A1200" s="18">
        <v>44451.681944444441</v>
      </c>
      <c r="B1200">
        <v>4717383</v>
      </c>
      <c r="C1200" t="s">
        <v>2733</v>
      </c>
      <c r="D1200" t="s">
        <v>70</v>
      </c>
      <c r="E1200" s="19">
        <v>42681</v>
      </c>
      <c r="F1200" t="str">
        <f>"9781118767047"</f>
        <v>9781118767047</v>
      </c>
      <c r="G1200" t="str">
        <f>"9781118767238"</f>
        <v>9781118767238</v>
      </c>
      <c r="H1200" t="s">
        <v>374</v>
      </c>
      <c r="I1200" t="s">
        <v>1918</v>
      </c>
      <c r="J1200" t="s">
        <v>2734</v>
      </c>
      <c r="K1200" t="s">
        <v>73</v>
      </c>
      <c r="N1200" t="s">
        <v>74</v>
      </c>
      <c r="O1200" t="s">
        <v>75</v>
      </c>
      <c r="P1200" t="s">
        <v>74</v>
      </c>
      <c r="Q1200" t="s">
        <v>76</v>
      </c>
      <c r="R1200" t="s">
        <v>73</v>
      </c>
      <c r="S1200">
        <v>1</v>
      </c>
      <c r="W1200" s="20">
        <v>6.4814814814814813E-4</v>
      </c>
      <c r="X1200" t="s">
        <v>2777</v>
      </c>
      <c r="Y1200">
        <v>19</v>
      </c>
      <c r="Z1200">
        <v>0</v>
      </c>
      <c r="AA1200" t="s">
        <v>78</v>
      </c>
      <c r="AB1200">
        <v>0</v>
      </c>
      <c r="AC1200" t="s">
        <v>78</v>
      </c>
      <c r="AD1200">
        <v>0</v>
      </c>
      <c r="AE1200">
        <v>11282612</v>
      </c>
      <c r="AF1200" t="s">
        <v>88</v>
      </c>
      <c r="AG1200" t="s">
        <v>2364</v>
      </c>
    </row>
    <row r="1201" spans="1:33" x14ac:dyDescent="0.35">
      <c r="A1201" s="18">
        <v>44451.621527777781</v>
      </c>
      <c r="B1201">
        <v>819025</v>
      </c>
      <c r="C1201" t="s">
        <v>2778</v>
      </c>
      <c r="D1201" t="s">
        <v>70</v>
      </c>
      <c r="E1201" s="19">
        <v>40862</v>
      </c>
      <c r="F1201" t="str">
        <f>"9781118178508"</f>
        <v>9781118178508</v>
      </c>
      <c r="G1201" t="str">
        <f>"9781118077771"</f>
        <v>9781118077771</v>
      </c>
      <c r="H1201" t="s">
        <v>143</v>
      </c>
      <c r="I1201">
        <v>658.40120000000002</v>
      </c>
      <c r="J1201" t="s">
        <v>2779</v>
      </c>
      <c r="K1201" t="s">
        <v>85</v>
      </c>
      <c r="N1201" t="s">
        <v>86</v>
      </c>
      <c r="P1201" t="s">
        <v>87</v>
      </c>
      <c r="Q1201" t="s">
        <v>76</v>
      </c>
      <c r="R1201" t="s">
        <v>73</v>
      </c>
      <c r="S1201">
        <v>0</v>
      </c>
      <c r="W1201" s="20">
        <v>2.199074074074074E-4</v>
      </c>
      <c r="X1201" t="s">
        <v>125</v>
      </c>
      <c r="Y1201">
        <v>2</v>
      </c>
      <c r="Z1201">
        <v>0</v>
      </c>
      <c r="AA1201" t="s">
        <v>78</v>
      </c>
      <c r="AB1201">
        <v>0</v>
      </c>
      <c r="AC1201" t="s">
        <v>78</v>
      </c>
      <c r="AD1201">
        <v>0</v>
      </c>
      <c r="AE1201">
        <v>10510450</v>
      </c>
      <c r="AF1201" t="s">
        <v>79</v>
      </c>
      <c r="AG1201" t="s">
        <v>2780</v>
      </c>
    </row>
    <row r="1202" spans="1:33" x14ac:dyDescent="0.35">
      <c r="A1202" s="18">
        <v>44451.616666666669</v>
      </c>
      <c r="B1202">
        <v>565865</v>
      </c>
      <c r="C1202" t="s">
        <v>2781</v>
      </c>
      <c r="D1202" t="s">
        <v>127</v>
      </c>
      <c r="E1202" s="19">
        <v>40022</v>
      </c>
      <c r="F1202" t="str">
        <f>"9781420082364"</f>
        <v>9781420082364</v>
      </c>
      <c r="G1202" t="str">
        <f>"9781420082340"</f>
        <v>9781420082340</v>
      </c>
      <c r="H1202" t="s">
        <v>2461</v>
      </c>
      <c r="I1202">
        <v>620.79999999999995</v>
      </c>
      <c r="J1202" t="s">
        <v>2782</v>
      </c>
      <c r="K1202" t="s">
        <v>73</v>
      </c>
      <c r="N1202" t="s">
        <v>74</v>
      </c>
      <c r="O1202" t="s">
        <v>75</v>
      </c>
      <c r="P1202" t="s">
        <v>74</v>
      </c>
      <c r="Q1202" t="s">
        <v>76</v>
      </c>
      <c r="R1202" t="s">
        <v>73</v>
      </c>
      <c r="S1202">
        <v>0</v>
      </c>
      <c r="W1202" s="20">
        <v>5.0925925925925921E-4</v>
      </c>
      <c r="X1202" t="s">
        <v>2783</v>
      </c>
      <c r="Y1202">
        <v>4</v>
      </c>
      <c r="Z1202">
        <v>0</v>
      </c>
      <c r="AA1202" t="s">
        <v>78</v>
      </c>
      <c r="AB1202">
        <v>0</v>
      </c>
      <c r="AC1202" t="s">
        <v>78</v>
      </c>
      <c r="AD1202">
        <v>0</v>
      </c>
      <c r="AE1202">
        <v>10552108</v>
      </c>
      <c r="AF1202" t="s">
        <v>79</v>
      </c>
      <c r="AG1202" t="s">
        <v>2364</v>
      </c>
    </row>
    <row r="1203" spans="1:33" x14ac:dyDescent="0.35">
      <c r="A1203" s="18">
        <v>44451.616666666669</v>
      </c>
      <c r="B1203">
        <v>892225</v>
      </c>
      <c r="C1203" t="s">
        <v>2784</v>
      </c>
      <c r="D1203" t="s">
        <v>158</v>
      </c>
      <c r="E1203" s="19">
        <v>41011</v>
      </c>
      <c r="F1203" t="str">
        <f>"9780080970172"</f>
        <v>9780080970172</v>
      </c>
      <c r="G1203" t="str">
        <f>"9780080970165"</f>
        <v>9780080970165</v>
      </c>
      <c r="H1203" t="s">
        <v>1502</v>
      </c>
      <c r="I1203">
        <v>629.2482</v>
      </c>
      <c r="J1203" t="s">
        <v>2785</v>
      </c>
      <c r="K1203" t="s">
        <v>73</v>
      </c>
      <c r="N1203" t="s">
        <v>74</v>
      </c>
      <c r="O1203" t="s">
        <v>75</v>
      </c>
      <c r="P1203" t="s">
        <v>74</v>
      </c>
      <c r="Q1203" t="s">
        <v>76</v>
      </c>
      <c r="R1203" t="s">
        <v>73</v>
      </c>
      <c r="S1203">
        <v>0</v>
      </c>
      <c r="W1203" s="20">
        <v>1.4814814814814814E-3</v>
      </c>
      <c r="X1203" t="s">
        <v>2786</v>
      </c>
      <c r="Y1203">
        <v>14</v>
      </c>
      <c r="Z1203">
        <v>0</v>
      </c>
      <c r="AA1203" t="s">
        <v>78</v>
      </c>
      <c r="AB1203">
        <v>0</v>
      </c>
      <c r="AC1203" t="s">
        <v>78</v>
      </c>
      <c r="AD1203">
        <v>0</v>
      </c>
      <c r="AE1203">
        <v>10547253</v>
      </c>
      <c r="AF1203" t="s">
        <v>79</v>
      </c>
      <c r="AG1203" t="s">
        <v>2364</v>
      </c>
    </row>
    <row r="1204" spans="1:33" x14ac:dyDescent="0.35">
      <c r="A1204" s="18">
        <v>44451.577777777777</v>
      </c>
      <c r="B1204">
        <v>882731</v>
      </c>
      <c r="C1204" t="s">
        <v>2309</v>
      </c>
      <c r="D1204" t="s">
        <v>70</v>
      </c>
      <c r="E1204" s="19">
        <v>40973</v>
      </c>
      <c r="F1204" t="str">
        <f>"9781444355857"</f>
        <v>9781444355857</v>
      </c>
      <c r="G1204" t="str">
        <f>"9781444332872"</f>
        <v>9781444332872</v>
      </c>
      <c r="H1204" t="s">
        <v>2310</v>
      </c>
      <c r="I1204">
        <v>175</v>
      </c>
      <c r="J1204" t="s">
        <v>2311</v>
      </c>
      <c r="K1204" t="s">
        <v>73</v>
      </c>
      <c r="N1204" t="s">
        <v>74</v>
      </c>
      <c r="O1204" t="s">
        <v>75</v>
      </c>
      <c r="P1204" t="s">
        <v>74</v>
      </c>
      <c r="Q1204" t="s">
        <v>76</v>
      </c>
      <c r="R1204" t="s">
        <v>73</v>
      </c>
      <c r="S1204">
        <v>0</v>
      </c>
      <c r="W1204" s="20">
        <v>8.1018518518518516E-5</v>
      </c>
      <c r="X1204" t="s">
        <v>78</v>
      </c>
      <c r="Y1204">
        <v>0</v>
      </c>
      <c r="Z1204">
        <v>1</v>
      </c>
      <c r="AA1204" t="s">
        <v>2787</v>
      </c>
      <c r="AB1204">
        <v>4</v>
      </c>
      <c r="AC1204" t="s">
        <v>78</v>
      </c>
      <c r="AD1204">
        <v>0</v>
      </c>
      <c r="AE1204">
        <v>10630487</v>
      </c>
      <c r="AF1204" t="s">
        <v>79</v>
      </c>
      <c r="AG1204" t="s">
        <v>2364</v>
      </c>
    </row>
    <row r="1205" spans="1:33" x14ac:dyDescent="0.35">
      <c r="A1205" s="18">
        <v>44451.511805555558</v>
      </c>
      <c r="B1205">
        <v>882731</v>
      </c>
      <c r="C1205" t="s">
        <v>2309</v>
      </c>
      <c r="D1205" t="s">
        <v>70</v>
      </c>
      <c r="E1205" s="19">
        <v>40973</v>
      </c>
      <c r="F1205" t="str">
        <f>"9781444355857"</f>
        <v>9781444355857</v>
      </c>
      <c r="G1205" t="str">
        <f>"9781444332872"</f>
        <v>9781444332872</v>
      </c>
      <c r="H1205" t="s">
        <v>2310</v>
      </c>
      <c r="I1205">
        <v>175</v>
      </c>
      <c r="J1205" t="s">
        <v>2311</v>
      </c>
      <c r="K1205" t="s">
        <v>73</v>
      </c>
      <c r="N1205" t="s">
        <v>74</v>
      </c>
      <c r="O1205" t="s">
        <v>75</v>
      </c>
      <c r="P1205" t="s">
        <v>74</v>
      </c>
      <c r="Q1205" t="s">
        <v>76</v>
      </c>
      <c r="R1205" t="s">
        <v>73</v>
      </c>
      <c r="S1205">
        <v>0</v>
      </c>
      <c r="W1205" s="20">
        <v>2.8182870370370372E-2</v>
      </c>
      <c r="X1205" t="s">
        <v>2788</v>
      </c>
      <c r="Y1205">
        <v>52</v>
      </c>
      <c r="Z1205">
        <v>8</v>
      </c>
      <c r="AA1205" t="s">
        <v>2789</v>
      </c>
      <c r="AB1205">
        <v>13</v>
      </c>
      <c r="AC1205" t="s">
        <v>2172</v>
      </c>
      <c r="AD1205">
        <v>1</v>
      </c>
      <c r="AE1205">
        <v>10630487</v>
      </c>
      <c r="AF1205" t="s">
        <v>79</v>
      </c>
      <c r="AG1205" t="s">
        <v>2364</v>
      </c>
    </row>
    <row r="1206" spans="1:33" x14ac:dyDescent="0.35">
      <c r="A1206" s="18">
        <v>44451.477777777778</v>
      </c>
      <c r="B1206">
        <v>201819</v>
      </c>
      <c r="C1206" t="s">
        <v>2790</v>
      </c>
      <c r="D1206" t="s">
        <v>538</v>
      </c>
      <c r="E1206" s="19">
        <v>37172</v>
      </c>
      <c r="F1206" t="str">
        <f>"9780511154768"</f>
        <v>9780511154768</v>
      </c>
      <c r="G1206" t="str">
        <f>"9780521650809"</f>
        <v>9780521650809</v>
      </c>
      <c r="H1206" t="s">
        <v>2606</v>
      </c>
      <c r="I1206">
        <v>531</v>
      </c>
      <c r="J1206" t="s">
        <v>2791</v>
      </c>
      <c r="K1206" t="s">
        <v>73</v>
      </c>
      <c r="N1206" t="s">
        <v>74</v>
      </c>
      <c r="O1206" t="s">
        <v>75</v>
      </c>
      <c r="P1206" t="s">
        <v>74</v>
      </c>
      <c r="Q1206" t="s">
        <v>76</v>
      </c>
      <c r="R1206" t="s">
        <v>73</v>
      </c>
      <c r="S1206">
        <v>0</v>
      </c>
      <c r="W1206" s="20">
        <v>9.3749999999999997E-3</v>
      </c>
      <c r="X1206" t="s">
        <v>2792</v>
      </c>
      <c r="Y1206">
        <v>24</v>
      </c>
      <c r="Z1206">
        <v>0</v>
      </c>
      <c r="AA1206" t="s">
        <v>2793</v>
      </c>
      <c r="AB1206">
        <v>77</v>
      </c>
      <c r="AC1206" t="s">
        <v>78</v>
      </c>
      <c r="AD1206">
        <v>0</v>
      </c>
      <c r="AE1206">
        <v>10014591</v>
      </c>
      <c r="AF1206" t="s">
        <v>88</v>
      </c>
      <c r="AG1206" t="s">
        <v>2794</v>
      </c>
    </row>
    <row r="1207" spans="1:33" x14ac:dyDescent="0.35">
      <c r="A1207" s="18">
        <v>44451.476388888892</v>
      </c>
      <c r="B1207">
        <v>819025</v>
      </c>
      <c r="C1207" t="s">
        <v>2778</v>
      </c>
      <c r="D1207" t="s">
        <v>70</v>
      </c>
      <c r="E1207" s="19">
        <v>40862</v>
      </c>
      <c r="F1207" t="str">
        <f>"9781118178508"</f>
        <v>9781118178508</v>
      </c>
      <c r="G1207" t="str">
        <f>"9781118077771"</f>
        <v>9781118077771</v>
      </c>
      <c r="H1207" t="s">
        <v>143</v>
      </c>
      <c r="I1207">
        <v>658.40120000000002</v>
      </c>
      <c r="J1207" t="s">
        <v>2779</v>
      </c>
      <c r="K1207" t="s">
        <v>85</v>
      </c>
      <c r="N1207" t="s">
        <v>86</v>
      </c>
      <c r="P1207" t="s">
        <v>87</v>
      </c>
      <c r="Q1207" t="s">
        <v>76</v>
      </c>
      <c r="R1207" t="s">
        <v>73</v>
      </c>
      <c r="S1207">
        <v>0</v>
      </c>
      <c r="W1207" s="20">
        <v>1.3888888888888889E-4</v>
      </c>
      <c r="X1207" t="s">
        <v>125</v>
      </c>
      <c r="Y1207">
        <v>2</v>
      </c>
      <c r="Z1207">
        <v>0</v>
      </c>
      <c r="AA1207" t="s">
        <v>78</v>
      </c>
      <c r="AB1207">
        <v>0</v>
      </c>
      <c r="AC1207" t="s">
        <v>78</v>
      </c>
      <c r="AD1207">
        <v>0</v>
      </c>
      <c r="AE1207">
        <v>10510450</v>
      </c>
      <c r="AF1207" t="s">
        <v>79</v>
      </c>
      <c r="AG1207" t="s">
        <v>2780</v>
      </c>
    </row>
    <row r="1208" spans="1:33" x14ac:dyDescent="0.35">
      <c r="A1208" s="18">
        <v>44451.442361111112</v>
      </c>
      <c r="B1208">
        <v>377899</v>
      </c>
      <c r="C1208" t="s">
        <v>1995</v>
      </c>
      <c r="D1208" t="s">
        <v>538</v>
      </c>
      <c r="E1208" s="19">
        <v>39786</v>
      </c>
      <c r="F1208" t="str">
        <f>"9780511454202"</f>
        <v>9780511454202</v>
      </c>
      <c r="G1208" t="str">
        <f>"9780521862288"</f>
        <v>9780521862288</v>
      </c>
      <c r="H1208" t="s">
        <v>1905</v>
      </c>
      <c r="I1208">
        <v>551.9</v>
      </c>
      <c r="J1208" t="s">
        <v>1996</v>
      </c>
      <c r="K1208" t="s">
        <v>73</v>
      </c>
      <c r="N1208" t="s">
        <v>74</v>
      </c>
      <c r="O1208" t="s">
        <v>75</v>
      </c>
      <c r="P1208" t="s">
        <v>74</v>
      </c>
      <c r="Q1208" t="s">
        <v>76</v>
      </c>
      <c r="R1208" t="s">
        <v>73</v>
      </c>
      <c r="S1208">
        <v>0</v>
      </c>
      <c r="W1208" s="20">
        <v>1.1574074074074073E-5</v>
      </c>
      <c r="X1208" t="s">
        <v>78</v>
      </c>
      <c r="Y1208">
        <v>0</v>
      </c>
      <c r="Z1208">
        <v>2</v>
      </c>
      <c r="AA1208" t="s">
        <v>2795</v>
      </c>
      <c r="AB1208">
        <v>85</v>
      </c>
      <c r="AC1208" t="s">
        <v>78</v>
      </c>
      <c r="AD1208">
        <v>0</v>
      </c>
      <c r="AE1208">
        <v>10265028</v>
      </c>
      <c r="AF1208" t="s">
        <v>88</v>
      </c>
      <c r="AG1208" t="s">
        <v>702</v>
      </c>
    </row>
    <row r="1209" spans="1:33" x14ac:dyDescent="0.35">
      <c r="A1209" s="18">
        <v>44451.440972222219</v>
      </c>
      <c r="B1209">
        <v>675219</v>
      </c>
      <c r="C1209" t="s">
        <v>2796</v>
      </c>
      <c r="D1209" t="s">
        <v>70</v>
      </c>
      <c r="E1209" s="19">
        <v>40658</v>
      </c>
      <c r="F1209" t="str">
        <f>"9781444329964"</f>
        <v>9781444329964</v>
      </c>
      <c r="G1209" t="str">
        <f>"9781405193375"</f>
        <v>9781405193375</v>
      </c>
      <c r="H1209" t="s">
        <v>1561</v>
      </c>
      <c r="I1209">
        <v>551.9</v>
      </c>
      <c r="J1209" t="s">
        <v>2797</v>
      </c>
      <c r="K1209" t="s">
        <v>73</v>
      </c>
      <c r="N1209" t="s">
        <v>74</v>
      </c>
      <c r="O1209" t="s">
        <v>75</v>
      </c>
      <c r="P1209" t="s">
        <v>74</v>
      </c>
      <c r="Q1209" t="s">
        <v>76</v>
      </c>
      <c r="R1209" t="s">
        <v>73</v>
      </c>
      <c r="S1209">
        <v>0</v>
      </c>
      <c r="W1209" s="20">
        <v>0</v>
      </c>
      <c r="X1209" t="s">
        <v>78</v>
      </c>
      <c r="Y1209">
        <v>0</v>
      </c>
      <c r="Z1209">
        <v>1</v>
      </c>
      <c r="AA1209" t="s">
        <v>2798</v>
      </c>
      <c r="AB1209">
        <v>18</v>
      </c>
      <c r="AC1209" t="s">
        <v>78</v>
      </c>
      <c r="AD1209">
        <v>0</v>
      </c>
      <c r="AE1209">
        <v>10510712</v>
      </c>
      <c r="AF1209" t="s">
        <v>88</v>
      </c>
      <c r="AG1209" t="s">
        <v>702</v>
      </c>
    </row>
    <row r="1210" spans="1:33" x14ac:dyDescent="0.35">
      <c r="A1210" s="18">
        <v>44451.438888888886</v>
      </c>
      <c r="B1210">
        <v>318208</v>
      </c>
      <c r="C1210" t="s">
        <v>2799</v>
      </c>
      <c r="D1210" t="s">
        <v>158</v>
      </c>
      <c r="E1210" s="19">
        <v>38339</v>
      </c>
      <c r="F1210" t="str">
        <f>"9780080533278"</f>
        <v>9780080533278</v>
      </c>
      <c r="G1210" t="str">
        <f>"9780444511140"</f>
        <v>9780444511140</v>
      </c>
      <c r="H1210" t="s">
        <v>2800</v>
      </c>
      <c r="I1210">
        <v>551.9</v>
      </c>
      <c r="J1210" t="s">
        <v>2801</v>
      </c>
      <c r="K1210" t="s">
        <v>73</v>
      </c>
      <c r="N1210" t="s">
        <v>74</v>
      </c>
      <c r="O1210" t="s">
        <v>75</v>
      </c>
      <c r="P1210" t="s">
        <v>74</v>
      </c>
      <c r="Q1210" t="s">
        <v>76</v>
      </c>
      <c r="R1210" t="s">
        <v>73</v>
      </c>
      <c r="S1210">
        <v>0</v>
      </c>
      <c r="W1210" s="20">
        <v>1.5046296296296297E-4</v>
      </c>
      <c r="X1210" t="s">
        <v>2802</v>
      </c>
      <c r="Y1210">
        <v>2</v>
      </c>
      <c r="Z1210">
        <v>3</v>
      </c>
      <c r="AA1210" t="s">
        <v>2803</v>
      </c>
      <c r="AB1210">
        <v>87</v>
      </c>
      <c r="AC1210" t="s">
        <v>78</v>
      </c>
      <c r="AD1210">
        <v>0</v>
      </c>
      <c r="AE1210">
        <v>10203559</v>
      </c>
      <c r="AF1210" t="s">
        <v>88</v>
      </c>
      <c r="AG1210" t="s">
        <v>702</v>
      </c>
    </row>
    <row r="1211" spans="1:33" x14ac:dyDescent="0.35">
      <c r="A1211" s="18">
        <v>44451.4375</v>
      </c>
      <c r="B1211">
        <v>1673977</v>
      </c>
      <c r="C1211" t="s">
        <v>1910</v>
      </c>
      <c r="D1211" t="s">
        <v>70</v>
      </c>
      <c r="E1211" s="19">
        <v>41786</v>
      </c>
      <c r="F1211" t="str">
        <f>"9781118867501"</f>
        <v>9781118867501</v>
      </c>
      <c r="G1211" t="str">
        <f>"9781118867358"</f>
        <v>9781118867358</v>
      </c>
      <c r="H1211" t="s">
        <v>1561</v>
      </c>
      <c r="I1211">
        <v>551.9</v>
      </c>
      <c r="J1211" t="s">
        <v>1911</v>
      </c>
      <c r="K1211" t="s">
        <v>73</v>
      </c>
      <c r="N1211" t="s">
        <v>74</v>
      </c>
      <c r="O1211" t="s">
        <v>75</v>
      </c>
      <c r="P1211" t="s">
        <v>74</v>
      </c>
      <c r="Q1211" t="s">
        <v>76</v>
      </c>
      <c r="R1211" t="s">
        <v>73</v>
      </c>
      <c r="S1211">
        <v>0</v>
      </c>
      <c r="W1211" s="20">
        <v>0</v>
      </c>
      <c r="X1211" t="s">
        <v>78</v>
      </c>
      <c r="Y1211">
        <v>0</v>
      </c>
      <c r="Z1211">
        <v>1</v>
      </c>
      <c r="AA1211" t="s">
        <v>2804</v>
      </c>
      <c r="AB1211">
        <v>4</v>
      </c>
      <c r="AC1211" t="s">
        <v>78</v>
      </c>
      <c r="AD1211">
        <v>0</v>
      </c>
      <c r="AE1211">
        <v>10858446</v>
      </c>
      <c r="AF1211" t="s">
        <v>88</v>
      </c>
      <c r="AG1211" t="s">
        <v>702</v>
      </c>
    </row>
    <row r="1212" spans="1:33" x14ac:dyDescent="0.35">
      <c r="A1212" s="18">
        <v>44451.435416666667</v>
      </c>
      <c r="B1212">
        <v>1879373</v>
      </c>
      <c r="C1212" t="s">
        <v>2805</v>
      </c>
      <c r="D1212" t="s">
        <v>70</v>
      </c>
      <c r="E1212" s="19">
        <v>42031</v>
      </c>
      <c r="F1212" t="str">
        <f>"9781118957936"</f>
        <v>9781118957936</v>
      </c>
      <c r="G1212" t="str">
        <f>"9780470656655"</f>
        <v>9780470656655</v>
      </c>
      <c r="H1212" t="s">
        <v>848</v>
      </c>
      <c r="I1212" t="s">
        <v>2806</v>
      </c>
      <c r="J1212" t="s">
        <v>2807</v>
      </c>
      <c r="K1212" t="s">
        <v>73</v>
      </c>
      <c r="N1212" t="s">
        <v>74</v>
      </c>
      <c r="O1212" t="s">
        <v>75</v>
      </c>
      <c r="P1212" t="s">
        <v>74</v>
      </c>
      <c r="Q1212" t="s">
        <v>76</v>
      </c>
      <c r="R1212" t="s">
        <v>73</v>
      </c>
      <c r="S1212">
        <v>0</v>
      </c>
      <c r="W1212" s="20">
        <v>0</v>
      </c>
      <c r="X1212" t="s">
        <v>78</v>
      </c>
      <c r="Y1212">
        <v>0</v>
      </c>
      <c r="Z1212">
        <v>7</v>
      </c>
      <c r="AA1212" t="s">
        <v>2808</v>
      </c>
      <c r="AB1212">
        <v>49</v>
      </c>
      <c r="AC1212" t="s">
        <v>78</v>
      </c>
      <c r="AD1212">
        <v>0</v>
      </c>
      <c r="AE1212">
        <v>10992784</v>
      </c>
      <c r="AF1212" t="s">
        <v>88</v>
      </c>
      <c r="AG1212" t="s">
        <v>702</v>
      </c>
    </row>
    <row r="1213" spans="1:33" x14ac:dyDescent="0.35">
      <c r="A1213" s="18">
        <v>44451.435416666667</v>
      </c>
      <c r="B1213">
        <v>1602058</v>
      </c>
      <c r="C1213" t="s">
        <v>2809</v>
      </c>
      <c r="D1213" t="s">
        <v>127</v>
      </c>
      <c r="E1213" s="19">
        <v>34239</v>
      </c>
      <c r="F1213" t="str">
        <f>"9781317898184"</f>
        <v>9781317898184</v>
      </c>
      <c r="G1213" t="str">
        <f>"9780582067011"</f>
        <v>9780582067011</v>
      </c>
      <c r="H1213" t="s">
        <v>1905</v>
      </c>
      <c r="I1213">
        <v>551.9</v>
      </c>
      <c r="J1213" t="s">
        <v>2810</v>
      </c>
      <c r="K1213" t="s">
        <v>73</v>
      </c>
      <c r="N1213" t="s">
        <v>74</v>
      </c>
      <c r="O1213" t="s">
        <v>75</v>
      </c>
      <c r="P1213" t="s">
        <v>74</v>
      </c>
      <c r="Q1213" t="s">
        <v>76</v>
      </c>
      <c r="R1213" t="s">
        <v>73</v>
      </c>
      <c r="S1213">
        <v>0</v>
      </c>
      <c r="W1213" s="20">
        <v>0</v>
      </c>
      <c r="X1213" t="s">
        <v>78</v>
      </c>
      <c r="Y1213">
        <v>0</v>
      </c>
      <c r="Z1213">
        <v>1</v>
      </c>
      <c r="AA1213" t="s">
        <v>2811</v>
      </c>
      <c r="AB1213">
        <v>50</v>
      </c>
      <c r="AC1213" t="s">
        <v>78</v>
      </c>
      <c r="AD1213">
        <v>0</v>
      </c>
      <c r="AE1213">
        <v>10830652</v>
      </c>
      <c r="AF1213" t="s">
        <v>88</v>
      </c>
      <c r="AG1213" t="s">
        <v>702</v>
      </c>
    </row>
    <row r="1214" spans="1:33" x14ac:dyDescent="0.35">
      <c r="A1214" s="18">
        <v>44451.434027777781</v>
      </c>
      <c r="B1214">
        <v>1832723</v>
      </c>
      <c r="C1214" t="s">
        <v>2044</v>
      </c>
      <c r="D1214" t="s">
        <v>70</v>
      </c>
      <c r="E1214" s="19">
        <v>42031</v>
      </c>
      <c r="F1214" t="str">
        <f>"9781118902110"</f>
        <v>9781118902110</v>
      </c>
      <c r="G1214" t="str">
        <f>"9780470656709"</f>
        <v>9780470656709</v>
      </c>
      <c r="H1214" t="s">
        <v>1905</v>
      </c>
      <c r="I1214">
        <v>551.9</v>
      </c>
      <c r="J1214" t="s">
        <v>2045</v>
      </c>
      <c r="K1214" t="s">
        <v>73</v>
      </c>
      <c r="N1214" t="s">
        <v>74</v>
      </c>
      <c r="O1214" t="s">
        <v>75</v>
      </c>
      <c r="P1214" t="s">
        <v>74</v>
      </c>
      <c r="Q1214" t="s">
        <v>76</v>
      </c>
      <c r="R1214" t="s">
        <v>73</v>
      </c>
      <c r="S1214">
        <v>0</v>
      </c>
      <c r="W1214" s="20">
        <v>1.1574074074074073E-5</v>
      </c>
      <c r="X1214" t="s">
        <v>78</v>
      </c>
      <c r="Y1214">
        <v>0</v>
      </c>
      <c r="Z1214">
        <v>3</v>
      </c>
      <c r="AA1214" t="s">
        <v>2812</v>
      </c>
      <c r="AB1214">
        <v>110</v>
      </c>
      <c r="AC1214" t="s">
        <v>78</v>
      </c>
      <c r="AD1214">
        <v>0</v>
      </c>
      <c r="AE1214">
        <v>10964407</v>
      </c>
      <c r="AF1214" t="s">
        <v>88</v>
      </c>
      <c r="AG1214" t="s">
        <v>702</v>
      </c>
    </row>
    <row r="1215" spans="1:33" x14ac:dyDescent="0.35">
      <c r="A1215" s="18">
        <v>44451.289583333331</v>
      </c>
      <c r="B1215">
        <v>835145</v>
      </c>
      <c r="C1215" t="s">
        <v>1542</v>
      </c>
      <c r="D1215" t="s">
        <v>70</v>
      </c>
      <c r="E1215" s="19">
        <v>40952</v>
      </c>
      <c r="F1215" t="str">
        <f>"9781119977001"</f>
        <v>9781119977001</v>
      </c>
      <c r="G1215" t="str">
        <f>"9781119992851"</f>
        <v>9781119992851</v>
      </c>
      <c r="H1215" t="s">
        <v>71</v>
      </c>
      <c r="I1215">
        <v>621.31244000000004</v>
      </c>
      <c r="J1215" t="s">
        <v>1543</v>
      </c>
      <c r="K1215" t="s">
        <v>73</v>
      </c>
      <c r="N1215" t="s">
        <v>74</v>
      </c>
      <c r="O1215" t="s">
        <v>75</v>
      </c>
      <c r="P1215" t="s">
        <v>74</v>
      </c>
      <c r="Q1215" t="s">
        <v>76</v>
      </c>
      <c r="R1215" t="s">
        <v>73</v>
      </c>
      <c r="S1215">
        <v>0</v>
      </c>
      <c r="W1215" s="20">
        <v>1.2569444444444446E-2</v>
      </c>
      <c r="X1215" t="s">
        <v>2813</v>
      </c>
      <c r="Y1215">
        <v>16</v>
      </c>
      <c r="Z1215">
        <v>0</v>
      </c>
      <c r="AA1215" t="s">
        <v>78</v>
      </c>
      <c r="AB1215">
        <v>0</v>
      </c>
      <c r="AC1215" t="s">
        <v>78</v>
      </c>
      <c r="AD1215">
        <v>0</v>
      </c>
      <c r="AE1215">
        <v>10526535</v>
      </c>
      <c r="AF1215" t="s">
        <v>88</v>
      </c>
      <c r="AG1215" t="s">
        <v>2364</v>
      </c>
    </row>
    <row r="1216" spans="1:33" x14ac:dyDescent="0.35">
      <c r="A1216" s="18">
        <v>44451.288194444445</v>
      </c>
      <c r="B1216">
        <v>1574357</v>
      </c>
      <c r="C1216" t="s">
        <v>1544</v>
      </c>
      <c r="D1216" t="s">
        <v>70</v>
      </c>
      <c r="E1216" s="19">
        <v>41680</v>
      </c>
      <c r="F1216" t="str">
        <f>"9781118703366"</f>
        <v>9781118703366</v>
      </c>
      <c r="G1216" t="str">
        <f>"9781118634165"</f>
        <v>9781118634165</v>
      </c>
      <c r="H1216" t="s">
        <v>71</v>
      </c>
      <c r="I1216">
        <v>621.31244000000004</v>
      </c>
      <c r="J1216" t="s">
        <v>1545</v>
      </c>
      <c r="K1216" t="s">
        <v>73</v>
      </c>
      <c r="N1216" t="s">
        <v>74</v>
      </c>
      <c r="O1216" t="s">
        <v>75</v>
      </c>
      <c r="P1216" t="s">
        <v>74</v>
      </c>
      <c r="Q1216" t="s">
        <v>76</v>
      </c>
      <c r="R1216" t="s">
        <v>73</v>
      </c>
      <c r="S1216">
        <v>0</v>
      </c>
      <c r="W1216" s="20">
        <v>1.4502314814814815E-2</v>
      </c>
      <c r="X1216" t="s">
        <v>2814</v>
      </c>
      <c r="Y1216">
        <v>13</v>
      </c>
      <c r="Z1216">
        <v>0</v>
      </c>
      <c r="AA1216" t="s">
        <v>78</v>
      </c>
      <c r="AB1216">
        <v>0</v>
      </c>
      <c r="AC1216" t="s">
        <v>78</v>
      </c>
      <c r="AD1216">
        <v>0</v>
      </c>
      <c r="AE1216">
        <v>10814681</v>
      </c>
      <c r="AF1216" t="s">
        <v>88</v>
      </c>
      <c r="AG1216" t="s">
        <v>2364</v>
      </c>
    </row>
    <row r="1217" spans="1:33" x14ac:dyDescent="0.35">
      <c r="A1217" s="18">
        <v>44450.96875</v>
      </c>
      <c r="B1217">
        <v>1724953</v>
      </c>
      <c r="C1217" t="s">
        <v>2815</v>
      </c>
      <c r="D1217" t="s">
        <v>550</v>
      </c>
      <c r="E1217" s="19">
        <v>41674</v>
      </c>
      <c r="F1217" t="str">
        <f>"9781443862349"</f>
        <v>9781443862349</v>
      </c>
      <c r="G1217" t="str">
        <f>"9781443853941"</f>
        <v>9781443853941</v>
      </c>
      <c r="H1217" t="s">
        <v>1631</v>
      </c>
      <c r="I1217">
        <v>794.8</v>
      </c>
      <c r="J1217" t="s">
        <v>2816</v>
      </c>
      <c r="K1217" t="s">
        <v>73</v>
      </c>
      <c r="N1217" t="s">
        <v>74</v>
      </c>
      <c r="O1217" t="s">
        <v>75</v>
      </c>
      <c r="P1217" t="s">
        <v>74</v>
      </c>
      <c r="Q1217" t="s">
        <v>76</v>
      </c>
      <c r="R1217" t="s">
        <v>73</v>
      </c>
      <c r="S1217">
        <v>0</v>
      </c>
      <c r="W1217" s="20">
        <v>2.6620370370370372E-4</v>
      </c>
      <c r="X1217" t="s">
        <v>2817</v>
      </c>
      <c r="Y1217">
        <v>6</v>
      </c>
      <c r="Z1217">
        <v>0</v>
      </c>
      <c r="AA1217" t="s">
        <v>78</v>
      </c>
      <c r="AB1217">
        <v>0</v>
      </c>
      <c r="AC1217" t="s">
        <v>78</v>
      </c>
      <c r="AD1217">
        <v>0</v>
      </c>
      <c r="AE1217">
        <v>10898052</v>
      </c>
      <c r="AF1217" t="s">
        <v>79</v>
      </c>
      <c r="AG1217" t="s">
        <v>2818</v>
      </c>
    </row>
    <row r="1218" spans="1:33" x14ac:dyDescent="0.35">
      <c r="A1218" s="18">
        <v>44450.729861111111</v>
      </c>
      <c r="B1218">
        <v>292370</v>
      </c>
      <c r="C1218" t="s">
        <v>313</v>
      </c>
      <c r="D1218" t="s">
        <v>314</v>
      </c>
      <c r="E1218" s="19">
        <v>39184</v>
      </c>
      <c r="F1218" t="str">
        <f>"9780748628971"</f>
        <v>9780748628971</v>
      </c>
      <c r="G1218" t="str">
        <f>"9780748619191"</f>
        <v>9780748619191</v>
      </c>
      <c r="H1218" t="s">
        <v>308</v>
      </c>
      <c r="I1218">
        <v>297.40902</v>
      </c>
      <c r="J1218" t="s">
        <v>315</v>
      </c>
      <c r="K1218" t="s">
        <v>73</v>
      </c>
      <c r="N1218" t="s">
        <v>74</v>
      </c>
      <c r="O1218" t="s">
        <v>75</v>
      </c>
      <c r="P1218" t="s">
        <v>74</v>
      </c>
      <c r="Q1218" t="s">
        <v>76</v>
      </c>
      <c r="R1218" t="s">
        <v>73</v>
      </c>
      <c r="S1218">
        <v>0</v>
      </c>
      <c r="W1218" s="20">
        <v>2.1759259259259258E-3</v>
      </c>
      <c r="X1218" t="s">
        <v>2819</v>
      </c>
      <c r="Y1218">
        <v>14</v>
      </c>
      <c r="Z1218">
        <v>0</v>
      </c>
      <c r="AA1218" t="s">
        <v>78</v>
      </c>
      <c r="AB1218">
        <v>0</v>
      </c>
      <c r="AC1218" t="s">
        <v>2820</v>
      </c>
      <c r="AD1218">
        <v>1</v>
      </c>
      <c r="AE1218">
        <v>10405162</v>
      </c>
      <c r="AF1218" t="s">
        <v>79</v>
      </c>
      <c r="AG1218" t="s">
        <v>2821</v>
      </c>
    </row>
    <row r="1219" spans="1:33" x14ac:dyDescent="0.35">
      <c r="A1219" s="18">
        <v>44450.727777777778</v>
      </c>
      <c r="B1219">
        <v>3443519</v>
      </c>
      <c r="C1219" t="s">
        <v>306</v>
      </c>
      <c r="D1219" t="s">
        <v>307</v>
      </c>
      <c r="E1219" s="19">
        <v>37622</v>
      </c>
      <c r="F1219" t="str">
        <f>"9780292792395"</f>
        <v>9780292792395</v>
      </c>
      <c r="G1219" t="str">
        <f>"9780292705159"</f>
        <v>9780292705159</v>
      </c>
      <c r="H1219" t="s">
        <v>308</v>
      </c>
      <c r="I1219" t="s">
        <v>309</v>
      </c>
      <c r="J1219" t="s">
        <v>310</v>
      </c>
      <c r="K1219" t="s">
        <v>73</v>
      </c>
      <c r="N1219" t="s">
        <v>74</v>
      </c>
      <c r="O1219" t="s">
        <v>75</v>
      </c>
      <c r="P1219" t="s">
        <v>74</v>
      </c>
      <c r="Q1219" t="s">
        <v>76</v>
      </c>
      <c r="R1219" t="s">
        <v>73</v>
      </c>
      <c r="S1219">
        <v>0</v>
      </c>
      <c r="W1219" s="20">
        <v>8.2175925925925917E-4</v>
      </c>
      <c r="X1219" t="s">
        <v>2822</v>
      </c>
      <c r="Y1219">
        <v>12</v>
      </c>
      <c r="Z1219">
        <v>0</v>
      </c>
      <c r="AA1219" t="s">
        <v>78</v>
      </c>
      <c r="AB1219">
        <v>0</v>
      </c>
      <c r="AC1219" t="s">
        <v>78</v>
      </c>
      <c r="AD1219">
        <v>0</v>
      </c>
      <c r="AE1219">
        <v>10439445</v>
      </c>
      <c r="AF1219" t="s">
        <v>79</v>
      </c>
      <c r="AG1219" t="s">
        <v>2821</v>
      </c>
    </row>
    <row r="1220" spans="1:33" x14ac:dyDescent="0.35">
      <c r="A1220" s="18">
        <v>44450.655555555553</v>
      </c>
      <c r="B1220">
        <v>6145673</v>
      </c>
      <c r="C1220" t="s">
        <v>2823</v>
      </c>
      <c r="D1220" t="s">
        <v>70</v>
      </c>
      <c r="E1220" s="19">
        <v>43928</v>
      </c>
      <c r="F1220" t="str">
        <f>"9781119536253"</f>
        <v>9781119536253</v>
      </c>
      <c r="G1220" t="str">
        <f>"9781119536062"</f>
        <v>9781119536062</v>
      </c>
      <c r="H1220" t="s">
        <v>391</v>
      </c>
      <c r="I1220">
        <v>660.28423999999995</v>
      </c>
      <c r="J1220" t="s">
        <v>2824</v>
      </c>
      <c r="K1220" t="s">
        <v>85</v>
      </c>
      <c r="Q1220" t="s">
        <v>76</v>
      </c>
      <c r="R1220" t="s">
        <v>73</v>
      </c>
      <c r="S1220">
        <v>0</v>
      </c>
      <c r="W1220" s="20">
        <v>6.5972222222222213E-4</v>
      </c>
      <c r="X1220" t="s">
        <v>2825</v>
      </c>
      <c r="Y1220">
        <v>10</v>
      </c>
      <c r="Z1220">
        <v>0</v>
      </c>
      <c r="AA1220" t="s">
        <v>78</v>
      </c>
      <c r="AB1220">
        <v>0</v>
      </c>
      <c r="AC1220" t="s">
        <v>78</v>
      </c>
      <c r="AD1220">
        <v>0</v>
      </c>
      <c r="AE1220">
        <v>-1</v>
      </c>
      <c r="AF1220" t="s">
        <v>79</v>
      </c>
      <c r="AG1220" t="s">
        <v>293</v>
      </c>
    </row>
    <row r="1221" spans="1:33" x14ac:dyDescent="0.35">
      <c r="A1221" s="18">
        <v>44450.525000000001</v>
      </c>
      <c r="B1221">
        <v>5558400</v>
      </c>
      <c r="C1221" t="s">
        <v>1990</v>
      </c>
      <c r="D1221" t="s">
        <v>70</v>
      </c>
      <c r="E1221" s="19">
        <v>43396</v>
      </c>
      <c r="F1221" t="str">
        <f>"9781119516200"</f>
        <v>9781119516200</v>
      </c>
      <c r="G1221" t="str">
        <f>"9781119516187"</f>
        <v>9781119516187</v>
      </c>
      <c r="H1221" t="s">
        <v>128</v>
      </c>
      <c r="I1221">
        <v>307.76</v>
      </c>
      <c r="J1221" t="s">
        <v>1991</v>
      </c>
      <c r="K1221" t="s">
        <v>73</v>
      </c>
      <c r="N1221" t="s">
        <v>74</v>
      </c>
      <c r="O1221" t="s">
        <v>75</v>
      </c>
      <c r="P1221" t="s">
        <v>74</v>
      </c>
      <c r="Q1221" t="s">
        <v>76</v>
      </c>
      <c r="R1221" t="s">
        <v>73</v>
      </c>
      <c r="S1221">
        <v>0</v>
      </c>
      <c r="W1221" s="20">
        <v>6.8287037037037025E-4</v>
      </c>
      <c r="X1221" t="s">
        <v>2826</v>
      </c>
      <c r="Y1221">
        <v>8</v>
      </c>
      <c r="Z1221">
        <v>0</v>
      </c>
      <c r="AA1221" t="s">
        <v>78</v>
      </c>
      <c r="AB1221">
        <v>0</v>
      </c>
      <c r="AC1221" t="s">
        <v>78</v>
      </c>
      <c r="AD1221">
        <v>0</v>
      </c>
      <c r="AE1221">
        <v>-1</v>
      </c>
      <c r="AF1221" t="s">
        <v>79</v>
      </c>
      <c r="AG1221" t="s">
        <v>2364</v>
      </c>
    </row>
    <row r="1222" spans="1:33" x14ac:dyDescent="0.35">
      <c r="A1222" s="18">
        <v>44450.49722222222</v>
      </c>
      <c r="B1222">
        <v>5558400</v>
      </c>
      <c r="C1222" t="s">
        <v>1990</v>
      </c>
      <c r="D1222" t="s">
        <v>70</v>
      </c>
      <c r="E1222" s="19">
        <v>43396</v>
      </c>
      <c r="F1222" t="str">
        <f>"9781119516200"</f>
        <v>9781119516200</v>
      </c>
      <c r="G1222" t="str">
        <f>"9781119516187"</f>
        <v>9781119516187</v>
      </c>
      <c r="H1222" t="s">
        <v>128</v>
      </c>
      <c r="I1222">
        <v>307.76</v>
      </c>
      <c r="J1222" t="s">
        <v>1991</v>
      </c>
      <c r="K1222" t="s">
        <v>73</v>
      </c>
      <c r="N1222" t="s">
        <v>74</v>
      </c>
      <c r="O1222" t="s">
        <v>75</v>
      </c>
      <c r="P1222" t="s">
        <v>74</v>
      </c>
      <c r="Q1222" t="s">
        <v>76</v>
      </c>
      <c r="R1222" t="s">
        <v>73</v>
      </c>
      <c r="S1222">
        <v>0</v>
      </c>
      <c r="W1222" s="20">
        <v>2.7083333333333334E-3</v>
      </c>
      <c r="X1222" t="s">
        <v>2459</v>
      </c>
      <c r="Y1222">
        <v>5</v>
      </c>
      <c r="Z1222">
        <v>0</v>
      </c>
      <c r="AA1222" t="s">
        <v>78</v>
      </c>
      <c r="AB1222">
        <v>0</v>
      </c>
      <c r="AC1222" t="s">
        <v>78</v>
      </c>
      <c r="AD1222">
        <v>0</v>
      </c>
      <c r="AE1222">
        <v>-1</v>
      </c>
      <c r="AF1222" t="s">
        <v>79</v>
      </c>
      <c r="AG1222" t="s">
        <v>2364</v>
      </c>
    </row>
    <row r="1223" spans="1:33" x14ac:dyDescent="0.35">
      <c r="A1223" s="18">
        <v>44449.96597222222</v>
      </c>
      <c r="B1223">
        <v>353321</v>
      </c>
      <c r="C1223" t="s">
        <v>2827</v>
      </c>
      <c r="D1223" t="s">
        <v>70</v>
      </c>
      <c r="E1223" s="19">
        <v>39637</v>
      </c>
      <c r="F1223" t="str">
        <f>"9780470403334"</f>
        <v>9780470403334</v>
      </c>
      <c r="G1223" t="str">
        <f>"9780470287224"</f>
        <v>9780470287224</v>
      </c>
      <c r="H1223" t="s">
        <v>1878</v>
      </c>
      <c r="I1223">
        <v>332.64519999999999</v>
      </c>
      <c r="J1223" t="s">
        <v>2828</v>
      </c>
      <c r="K1223" t="s">
        <v>73</v>
      </c>
      <c r="N1223" t="s">
        <v>74</v>
      </c>
      <c r="O1223" t="s">
        <v>75</v>
      </c>
      <c r="P1223" t="s">
        <v>74</v>
      </c>
      <c r="Q1223" t="s">
        <v>76</v>
      </c>
      <c r="R1223" t="s">
        <v>73</v>
      </c>
      <c r="S1223">
        <v>0</v>
      </c>
      <c r="W1223" s="20">
        <v>4.5138888888888892E-4</v>
      </c>
      <c r="X1223" t="s">
        <v>2829</v>
      </c>
      <c r="Y1223">
        <v>7</v>
      </c>
      <c r="Z1223">
        <v>0</v>
      </c>
      <c r="AA1223" t="s">
        <v>78</v>
      </c>
      <c r="AB1223">
        <v>0</v>
      </c>
      <c r="AC1223" t="s">
        <v>78</v>
      </c>
      <c r="AD1223">
        <v>0</v>
      </c>
      <c r="AE1223">
        <v>10249069</v>
      </c>
      <c r="AF1223" t="s">
        <v>79</v>
      </c>
      <c r="AG1223" t="s">
        <v>2640</v>
      </c>
    </row>
    <row r="1224" spans="1:33" x14ac:dyDescent="0.35">
      <c r="A1224" s="18">
        <v>44449.960416666669</v>
      </c>
      <c r="B1224">
        <v>4351229</v>
      </c>
      <c r="C1224" t="s">
        <v>2830</v>
      </c>
      <c r="D1224" t="s">
        <v>2831</v>
      </c>
      <c r="E1224" s="19">
        <v>42419</v>
      </c>
      <c r="F1224" t="str">
        <f>"9780231540858"</f>
        <v>9780231540858</v>
      </c>
      <c r="G1224" t="str">
        <f>"9780231169523"</f>
        <v>9780231169523</v>
      </c>
      <c r="H1224" t="s">
        <v>968</v>
      </c>
      <c r="I1224">
        <v>332.60899999999998</v>
      </c>
      <c r="J1224" t="s">
        <v>2832</v>
      </c>
      <c r="K1224" t="s">
        <v>73</v>
      </c>
      <c r="N1224" t="s">
        <v>74</v>
      </c>
      <c r="O1224" t="s">
        <v>75</v>
      </c>
      <c r="P1224" t="s">
        <v>74</v>
      </c>
      <c r="Q1224" t="s">
        <v>76</v>
      </c>
      <c r="R1224" t="s">
        <v>73</v>
      </c>
      <c r="S1224">
        <v>0</v>
      </c>
      <c r="W1224" s="20">
        <v>4.2245370370370371E-3</v>
      </c>
      <c r="X1224" t="s">
        <v>2833</v>
      </c>
      <c r="Y1224">
        <v>7</v>
      </c>
      <c r="Z1224">
        <v>0</v>
      </c>
      <c r="AA1224" t="s">
        <v>78</v>
      </c>
      <c r="AB1224">
        <v>0</v>
      </c>
      <c r="AC1224" t="s">
        <v>78</v>
      </c>
      <c r="AD1224">
        <v>0</v>
      </c>
      <c r="AE1224">
        <v>11210454</v>
      </c>
      <c r="AF1224" t="s">
        <v>79</v>
      </c>
      <c r="AG1224" t="s">
        <v>2640</v>
      </c>
    </row>
    <row r="1225" spans="1:33" x14ac:dyDescent="0.35">
      <c r="A1225" s="18">
        <v>44449.917361111111</v>
      </c>
      <c r="B1225">
        <v>555720</v>
      </c>
      <c r="C1225" t="s">
        <v>2834</v>
      </c>
      <c r="D1225" t="s">
        <v>127</v>
      </c>
      <c r="E1225" s="19">
        <v>40294</v>
      </c>
      <c r="F1225" t="str">
        <f>"9781439802465"</f>
        <v>9781439802465</v>
      </c>
      <c r="G1225" t="str">
        <f>"9781439802458"</f>
        <v>9781439802458</v>
      </c>
      <c r="H1225" t="s">
        <v>154</v>
      </c>
      <c r="I1225">
        <v>547.13422000000003</v>
      </c>
      <c r="J1225" t="s">
        <v>2835</v>
      </c>
      <c r="K1225" t="s">
        <v>73</v>
      </c>
      <c r="N1225" t="s">
        <v>74</v>
      </c>
      <c r="O1225" t="s">
        <v>75</v>
      </c>
      <c r="P1225" t="s">
        <v>74</v>
      </c>
      <c r="Q1225" t="s">
        <v>76</v>
      </c>
      <c r="R1225" t="s">
        <v>73</v>
      </c>
      <c r="S1225">
        <v>0</v>
      </c>
      <c r="W1225" s="20">
        <v>1.6782407407407406E-3</v>
      </c>
      <c r="X1225" t="s">
        <v>2836</v>
      </c>
      <c r="Y1225">
        <v>15</v>
      </c>
      <c r="Z1225">
        <v>0</v>
      </c>
      <c r="AA1225" t="s">
        <v>78</v>
      </c>
      <c r="AB1225">
        <v>0</v>
      </c>
      <c r="AC1225" t="s">
        <v>78</v>
      </c>
      <c r="AD1225">
        <v>0</v>
      </c>
      <c r="AE1225">
        <v>10400627</v>
      </c>
      <c r="AF1225" t="s">
        <v>79</v>
      </c>
      <c r="AG1225" t="s">
        <v>2837</v>
      </c>
    </row>
    <row r="1226" spans="1:33" x14ac:dyDescent="0.35">
      <c r="A1226" s="18">
        <v>44449.861805555556</v>
      </c>
      <c r="B1226">
        <v>4585770</v>
      </c>
      <c r="C1226" t="s">
        <v>1614</v>
      </c>
      <c r="D1226" t="s">
        <v>827</v>
      </c>
      <c r="E1226" s="19">
        <v>41471</v>
      </c>
      <c r="F1226" t="str">
        <f>"9780300195101"</f>
        <v>9780300195101</v>
      </c>
      <c r="G1226" t="str">
        <f>"9780300185959"</f>
        <v>9780300185959</v>
      </c>
      <c r="H1226" t="s">
        <v>308</v>
      </c>
      <c r="I1226">
        <v>297.21100000000001</v>
      </c>
      <c r="J1226" t="s">
        <v>1615</v>
      </c>
      <c r="K1226" t="s">
        <v>73</v>
      </c>
      <c r="N1226" t="s">
        <v>74</v>
      </c>
      <c r="O1226" t="s">
        <v>75</v>
      </c>
      <c r="P1226" t="s">
        <v>74</v>
      </c>
      <c r="Q1226" t="s">
        <v>76</v>
      </c>
      <c r="R1226" t="s">
        <v>73</v>
      </c>
      <c r="S1226">
        <v>0</v>
      </c>
      <c r="W1226" s="20">
        <v>5.5555555555555556E-4</v>
      </c>
      <c r="X1226" t="s">
        <v>639</v>
      </c>
      <c r="Y1226">
        <v>3</v>
      </c>
      <c r="Z1226">
        <v>0</v>
      </c>
      <c r="AA1226" t="s">
        <v>78</v>
      </c>
      <c r="AB1226">
        <v>0</v>
      </c>
      <c r="AC1226" t="s">
        <v>78</v>
      </c>
      <c r="AD1226">
        <v>0</v>
      </c>
      <c r="AE1226">
        <v>11234884</v>
      </c>
      <c r="AF1226" t="s">
        <v>79</v>
      </c>
      <c r="AG1226" t="s">
        <v>2364</v>
      </c>
    </row>
    <row r="1227" spans="1:33" x14ac:dyDescent="0.35">
      <c r="A1227" s="18">
        <v>44449.861805555556</v>
      </c>
      <c r="B1227">
        <v>1111317</v>
      </c>
      <c r="C1227" t="s">
        <v>479</v>
      </c>
      <c r="D1227" t="s">
        <v>127</v>
      </c>
      <c r="E1227" s="19">
        <v>37587</v>
      </c>
      <c r="F1227" t="str">
        <f>"9781136129223"</f>
        <v>9781136129223</v>
      </c>
      <c r="G1227" t="str">
        <f>"9780700716074"</f>
        <v>9780700716074</v>
      </c>
      <c r="H1227" t="s">
        <v>308</v>
      </c>
      <c r="I1227" t="s">
        <v>480</v>
      </c>
      <c r="J1227" t="s">
        <v>481</v>
      </c>
      <c r="K1227" t="s">
        <v>73</v>
      </c>
      <c r="N1227" t="s">
        <v>74</v>
      </c>
      <c r="O1227" t="s">
        <v>75</v>
      </c>
      <c r="P1227" t="s">
        <v>74</v>
      </c>
      <c r="Q1227" t="s">
        <v>76</v>
      </c>
      <c r="R1227" t="s">
        <v>73</v>
      </c>
      <c r="S1227">
        <v>0</v>
      </c>
      <c r="W1227" s="20">
        <v>4.6296296296296294E-5</v>
      </c>
      <c r="X1227" t="s">
        <v>132</v>
      </c>
      <c r="Y1227">
        <v>1</v>
      </c>
      <c r="Z1227">
        <v>0</v>
      </c>
      <c r="AA1227" t="s">
        <v>78</v>
      </c>
      <c r="AB1227">
        <v>0</v>
      </c>
      <c r="AC1227" t="s">
        <v>78</v>
      </c>
      <c r="AD1227">
        <v>0</v>
      </c>
      <c r="AE1227">
        <v>10645721</v>
      </c>
      <c r="AF1227" t="s">
        <v>79</v>
      </c>
      <c r="AG1227" t="s">
        <v>2364</v>
      </c>
    </row>
    <row r="1228" spans="1:33" x14ac:dyDescent="0.35">
      <c r="A1228" s="18">
        <v>44449.79583333333</v>
      </c>
      <c r="B1228">
        <v>882731</v>
      </c>
      <c r="C1228" t="s">
        <v>2309</v>
      </c>
      <c r="D1228" t="s">
        <v>70</v>
      </c>
      <c r="E1228" s="19">
        <v>40973</v>
      </c>
      <c r="F1228" t="str">
        <f>"9781444355857"</f>
        <v>9781444355857</v>
      </c>
      <c r="G1228" t="str">
        <f>"9781444332872"</f>
        <v>9781444332872</v>
      </c>
      <c r="H1228" t="s">
        <v>2310</v>
      </c>
      <c r="I1228">
        <v>175</v>
      </c>
      <c r="J1228" t="s">
        <v>2311</v>
      </c>
      <c r="K1228" t="s">
        <v>73</v>
      </c>
      <c r="N1228" t="s">
        <v>74</v>
      </c>
      <c r="O1228" t="s">
        <v>75</v>
      </c>
      <c r="P1228" t="s">
        <v>74</v>
      </c>
      <c r="Q1228" t="s">
        <v>76</v>
      </c>
      <c r="R1228" t="s">
        <v>73</v>
      </c>
      <c r="S1228">
        <v>0</v>
      </c>
      <c r="W1228" s="20">
        <v>4.1898148148148146E-3</v>
      </c>
      <c r="X1228" t="s">
        <v>2838</v>
      </c>
      <c r="Y1228">
        <v>15</v>
      </c>
      <c r="Z1228">
        <v>2</v>
      </c>
      <c r="AA1228" t="s">
        <v>2839</v>
      </c>
      <c r="AB1228">
        <v>20</v>
      </c>
      <c r="AC1228" t="s">
        <v>78</v>
      </c>
      <c r="AD1228">
        <v>0</v>
      </c>
      <c r="AE1228">
        <v>10630487</v>
      </c>
      <c r="AF1228" t="s">
        <v>79</v>
      </c>
      <c r="AG1228" t="s">
        <v>293</v>
      </c>
    </row>
    <row r="1229" spans="1:33" x14ac:dyDescent="0.35">
      <c r="A1229" s="18">
        <v>44449.6875</v>
      </c>
      <c r="B1229">
        <v>4585770</v>
      </c>
      <c r="C1229" t="s">
        <v>1614</v>
      </c>
      <c r="D1229" t="s">
        <v>827</v>
      </c>
      <c r="E1229" s="19">
        <v>41471</v>
      </c>
      <c r="F1229" t="str">
        <f>"9780300195101"</f>
        <v>9780300195101</v>
      </c>
      <c r="G1229" t="str">
        <f>"9780300185959"</f>
        <v>9780300185959</v>
      </c>
      <c r="H1229" t="s">
        <v>308</v>
      </c>
      <c r="I1229">
        <v>297.21100000000001</v>
      </c>
      <c r="J1229" t="s">
        <v>1615</v>
      </c>
      <c r="K1229" t="s">
        <v>73</v>
      </c>
      <c r="N1229" t="s">
        <v>74</v>
      </c>
      <c r="O1229" t="s">
        <v>75</v>
      </c>
      <c r="P1229" t="s">
        <v>74</v>
      </c>
      <c r="Q1229" t="s">
        <v>76</v>
      </c>
      <c r="R1229" t="s">
        <v>73</v>
      </c>
      <c r="S1229">
        <v>0</v>
      </c>
      <c r="W1229" s="20">
        <v>1.712962962962963E-3</v>
      </c>
      <c r="X1229" t="s">
        <v>2840</v>
      </c>
      <c r="Y1229">
        <v>14</v>
      </c>
      <c r="Z1229">
        <v>0</v>
      </c>
      <c r="AA1229" t="s">
        <v>78</v>
      </c>
      <c r="AB1229">
        <v>0</v>
      </c>
      <c r="AC1229" t="s">
        <v>78</v>
      </c>
      <c r="AD1229">
        <v>0</v>
      </c>
      <c r="AE1229">
        <v>11234884</v>
      </c>
      <c r="AF1229" t="s">
        <v>79</v>
      </c>
      <c r="AG1229" t="s">
        <v>2364</v>
      </c>
    </row>
    <row r="1230" spans="1:33" x14ac:dyDescent="0.35">
      <c r="A1230" s="18">
        <v>44449.510416666664</v>
      </c>
      <c r="B1230">
        <v>4585770</v>
      </c>
      <c r="C1230" t="s">
        <v>1614</v>
      </c>
      <c r="D1230" t="s">
        <v>827</v>
      </c>
      <c r="E1230" s="19">
        <v>41471</v>
      </c>
      <c r="F1230" t="str">
        <f>"9780300195101"</f>
        <v>9780300195101</v>
      </c>
      <c r="G1230" t="str">
        <f>"9780300185959"</f>
        <v>9780300185959</v>
      </c>
      <c r="H1230" t="s">
        <v>308</v>
      </c>
      <c r="I1230">
        <v>297.21100000000001</v>
      </c>
      <c r="J1230" t="s">
        <v>1615</v>
      </c>
      <c r="K1230" t="s">
        <v>73</v>
      </c>
      <c r="N1230" t="s">
        <v>74</v>
      </c>
      <c r="O1230" t="s">
        <v>75</v>
      </c>
      <c r="P1230" t="s">
        <v>74</v>
      </c>
      <c r="Q1230" t="s">
        <v>76</v>
      </c>
      <c r="R1230" t="s">
        <v>73</v>
      </c>
      <c r="S1230">
        <v>0</v>
      </c>
      <c r="W1230" s="20">
        <v>1.4131944444444445E-2</v>
      </c>
      <c r="X1230" t="s">
        <v>2841</v>
      </c>
      <c r="Y1230">
        <v>10</v>
      </c>
      <c r="Z1230">
        <v>0</v>
      </c>
      <c r="AA1230" t="s">
        <v>78</v>
      </c>
      <c r="AB1230">
        <v>0</v>
      </c>
      <c r="AC1230" t="s">
        <v>78</v>
      </c>
      <c r="AD1230">
        <v>0</v>
      </c>
      <c r="AE1230">
        <v>11234884</v>
      </c>
      <c r="AF1230" t="s">
        <v>79</v>
      </c>
      <c r="AG1230" t="s">
        <v>2364</v>
      </c>
    </row>
    <row r="1231" spans="1:33" x14ac:dyDescent="0.35">
      <c r="A1231" s="18">
        <v>44449.477777777778</v>
      </c>
      <c r="B1231">
        <v>882731</v>
      </c>
      <c r="C1231" t="s">
        <v>2309</v>
      </c>
      <c r="D1231" t="s">
        <v>70</v>
      </c>
      <c r="E1231" s="19">
        <v>40973</v>
      </c>
      <c r="F1231" t="str">
        <f>"9781444355857"</f>
        <v>9781444355857</v>
      </c>
      <c r="G1231" t="str">
        <f>"9781444332872"</f>
        <v>9781444332872</v>
      </c>
      <c r="H1231" t="s">
        <v>2310</v>
      </c>
      <c r="I1231">
        <v>175</v>
      </c>
      <c r="J1231" t="s">
        <v>2311</v>
      </c>
      <c r="K1231" t="s">
        <v>73</v>
      </c>
      <c r="N1231" t="s">
        <v>74</v>
      </c>
      <c r="O1231" t="s">
        <v>75</v>
      </c>
      <c r="P1231" t="s">
        <v>74</v>
      </c>
      <c r="Q1231" t="s">
        <v>76</v>
      </c>
      <c r="R1231" t="s">
        <v>73</v>
      </c>
      <c r="S1231">
        <v>0</v>
      </c>
      <c r="W1231" s="20">
        <v>6.5972222222222213E-4</v>
      </c>
      <c r="X1231" t="s">
        <v>2842</v>
      </c>
      <c r="Y1231">
        <v>4</v>
      </c>
      <c r="Z1231">
        <v>0</v>
      </c>
      <c r="AA1231" t="s">
        <v>78</v>
      </c>
      <c r="AB1231">
        <v>0</v>
      </c>
      <c r="AC1231" t="s">
        <v>78</v>
      </c>
      <c r="AD1231">
        <v>0</v>
      </c>
      <c r="AE1231">
        <v>10630487</v>
      </c>
      <c r="AF1231" t="s">
        <v>79</v>
      </c>
      <c r="AG1231" t="s">
        <v>2364</v>
      </c>
    </row>
    <row r="1232" spans="1:33" x14ac:dyDescent="0.35">
      <c r="A1232" s="18">
        <v>44448.856249999997</v>
      </c>
      <c r="B1232">
        <v>1111317</v>
      </c>
      <c r="C1232" t="s">
        <v>479</v>
      </c>
      <c r="D1232" t="s">
        <v>127</v>
      </c>
      <c r="E1232" s="19">
        <v>37587</v>
      </c>
      <c r="F1232" t="str">
        <f>"9781136129223"</f>
        <v>9781136129223</v>
      </c>
      <c r="G1232" t="str">
        <f>"9780700716074"</f>
        <v>9780700716074</v>
      </c>
      <c r="H1232" t="s">
        <v>308</v>
      </c>
      <c r="I1232" t="s">
        <v>480</v>
      </c>
      <c r="J1232" t="s">
        <v>481</v>
      </c>
      <c r="K1232" t="s">
        <v>73</v>
      </c>
      <c r="N1232" t="s">
        <v>74</v>
      </c>
      <c r="O1232" t="s">
        <v>75</v>
      </c>
      <c r="P1232" t="s">
        <v>74</v>
      </c>
      <c r="Q1232" t="s">
        <v>76</v>
      </c>
      <c r="R1232" t="s">
        <v>73</v>
      </c>
      <c r="S1232">
        <v>0</v>
      </c>
      <c r="W1232" s="20">
        <v>2.0833333333333335E-4</v>
      </c>
      <c r="X1232" t="s">
        <v>132</v>
      </c>
      <c r="Y1232">
        <v>1</v>
      </c>
      <c r="Z1232">
        <v>0</v>
      </c>
      <c r="AA1232" t="s">
        <v>78</v>
      </c>
      <c r="AB1232">
        <v>0</v>
      </c>
      <c r="AC1232" t="s">
        <v>78</v>
      </c>
      <c r="AD1232">
        <v>0</v>
      </c>
      <c r="AE1232">
        <v>10645721</v>
      </c>
      <c r="AF1232" t="s">
        <v>79</v>
      </c>
      <c r="AG1232" t="s">
        <v>2364</v>
      </c>
    </row>
    <row r="1233" spans="1:33" x14ac:dyDescent="0.35">
      <c r="A1233" s="18">
        <v>44448.811111111114</v>
      </c>
      <c r="B1233">
        <v>3338850</v>
      </c>
      <c r="C1233" t="s">
        <v>2843</v>
      </c>
      <c r="D1233" t="s">
        <v>300</v>
      </c>
      <c r="E1233" s="19">
        <v>36476</v>
      </c>
      <c r="F1233" t="str">
        <f>"9780262256285"</f>
        <v>9780262256285</v>
      </c>
      <c r="G1233" t="str">
        <f>"9780262571326"</f>
        <v>9780262571326</v>
      </c>
      <c r="H1233" t="s">
        <v>110</v>
      </c>
      <c r="I1233">
        <v>5.2750000000000004</v>
      </c>
      <c r="J1233" t="s">
        <v>2844</v>
      </c>
      <c r="K1233" t="s">
        <v>73</v>
      </c>
      <c r="N1233" t="s">
        <v>74</v>
      </c>
      <c r="O1233" t="s">
        <v>75</v>
      </c>
      <c r="P1233" t="s">
        <v>74</v>
      </c>
      <c r="Q1233" t="s">
        <v>76</v>
      </c>
      <c r="R1233" t="s">
        <v>73</v>
      </c>
      <c r="S1233">
        <v>0</v>
      </c>
      <c r="W1233" s="20">
        <v>2.0717592592592593E-3</v>
      </c>
      <c r="X1233" t="s">
        <v>2845</v>
      </c>
      <c r="Y1233">
        <v>9</v>
      </c>
      <c r="Z1233">
        <v>0</v>
      </c>
      <c r="AA1233" t="s">
        <v>78</v>
      </c>
      <c r="AB1233">
        <v>0</v>
      </c>
      <c r="AC1233" t="s">
        <v>78</v>
      </c>
      <c r="AD1233">
        <v>0</v>
      </c>
      <c r="AE1233">
        <v>10225306</v>
      </c>
      <c r="AF1233" t="s">
        <v>79</v>
      </c>
      <c r="AG1233" t="s">
        <v>2846</v>
      </c>
    </row>
    <row r="1234" spans="1:33" x14ac:dyDescent="0.35">
      <c r="A1234" s="18">
        <v>44448.80972222222</v>
      </c>
      <c r="B1234">
        <v>3339903</v>
      </c>
      <c r="C1234" t="s">
        <v>2847</v>
      </c>
      <c r="D1234" t="s">
        <v>300</v>
      </c>
      <c r="E1234" s="19">
        <v>41950</v>
      </c>
      <c r="F1234" t="str">
        <f>"9780262326605"</f>
        <v>9780262326605</v>
      </c>
      <c r="G1234" t="str">
        <f>"9780262527392"</f>
        <v>9780262527392</v>
      </c>
      <c r="H1234" t="s">
        <v>110</v>
      </c>
      <c r="I1234">
        <v>5.2750000000000004</v>
      </c>
      <c r="J1234" t="s">
        <v>2848</v>
      </c>
      <c r="K1234" t="s">
        <v>73</v>
      </c>
      <c r="N1234" t="s">
        <v>74</v>
      </c>
      <c r="O1234" t="s">
        <v>75</v>
      </c>
      <c r="P1234" t="s">
        <v>74</v>
      </c>
      <c r="Q1234" t="s">
        <v>76</v>
      </c>
      <c r="R1234" t="s">
        <v>73</v>
      </c>
      <c r="S1234">
        <v>0</v>
      </c>
      <c r="W1234" s="20">
        <v>3.0439814814814821E-3</v>
      </c>
      <c r="X1234" t="s">
        <v>2849</v>
      </c>
      <c r="Y1234">
        <v>32</v>
      </c>
      <c r="Z1234">
        <v>0</v>
      </c>
      <c r="AA1234" t="s">
        <v>78</v>
      </c>
      <c r="AB1234">
        <v>0</v>
      </c>
      <c r="AC1234" t="s">
        <v>78</v>
      </c>
      <c r="AD1234">
        <v>0</v>
      </c>
      <c r="AE1234">
        <v>10988128</v>
      </c>
      <c r="AF1234" t="s">
        <v>79</v>
      </c>
      <c r="AG1234" t="s">
        <v>2846</v>
      </c>
    </row>
    <row r="1235" spans="1:33" x14ac:dyDescent="0.35">
      <c r="A1235" s="18">
        <v>44448.803472222222</v>
      </c>
      <c r="B1235">
        <v>665599</v>
      </c>
      <c r="C1235" t="s">
        <v>2850</v>
      </c>
      <c r="D1235" t="s">
        <v>1311</v>
      </c>
      <c r="E1235" s="19">
        <v>40526</v>
      </c>
      <c r="F1235" t="str">
        <f>"9781420077063"</f>
        <v>9781420077063</v>
      </c>
      <c r="G1235" t="str">
        <f>"9781420077056"</f>
        <v>9781420077056</v>
      </c>
      <c r="H1235" t="s">
        <v>110</v>
      </c>
      <c r="I1235">
        <v>4.1100000000000003</v>
      </c>
      <c r="J1235" t="s">
        <v>2851</v>
      </c>
      <c r="K1235" t="s">
        <v>73</v>
      </c>
      <c r="N1235" t="s">
        <v>74</v>
      </c>
      <c r="O1235" t="s">
        <v>75</v>
      </c>
      <c r="P1235" t="s">
        <v>74</v>
      </c>
      <c r="Q1235" t="s">
        <v>76</v>
      </c>
      <c r="R1235" t="s">
        <v>73</v>
      </c>
      <c r="S1235">
        <v>0</v>
      </c>
      <c r="W1235" s="20">
        <v>6.1921296296296299E-3</v>
      </c>
      <c r="X1235" t="s">
        <v>2852</v>
      </c>
      <c r="Y1235">
        <v>49</v>
      </c>
      <c r="Z1235">
        <v>2</v>
      </c>
      <c r="AA1235" t="s">
        <v>2853</v>
      </c>
      <c r="AB1235">
        <v>60</v>
      </c>
      <c r="AC1235" t="s">
        <v>78</v>
      </c>
      <c r="AD1235">
        <v>0</v>
      </c>
      <c r="AE1235">
        <v>10449861</v>
      </c>
      <c r="AF1235" t="s">
        <v>79</v>
      </c>
      <c r="AG1235" t="s">
        <v>2846</v>
      </c>
    </row>
    <row r="1236" spans="1:33" x14ac:dyDescent="0.35">
      <c r="A1236" s="18">
        <v>44448.800694444442</v>
      </c>
      <c r="B1236">
        <v>422408</v>
      </c>
      <c r="C1236" t="s">
        <v>2854</v>
      </c>
      <c r="D1236" t="s">
        <v>102</v>
      </c>
      <c r="E1236" s="19">
        <v>38071</v>
      </c>
      <c r="F1236" t="str">
        <f>"9780191513619"</f>
        <v>9780191513619</v>
      </c>
      <c r="G1236" t="str">
        <f>"9780198515760"</f>
        <v>9780198515760</v>
      </c>
      <c r="H1236" t="s">
        <v>110</v>
      </c>
      <c r="I1236">
        <v>4.3499999999999996</v>
      </c>
      <c r="J1236" t="s">
        <v>2855</v>
      </c>
      <c r="K1236" t="s">
        <v>73</v>
      </c>
      <c r="N1236" t="s">
        <v>74</v>
      </c>
      <c r="O1236" t="s">
        <v>75</v>
      </c>
      <c r="P1236" t="s">
        <v>74</v>
      </c>
      <c r="Q1236" t="s">
        <v>76</v>
      </c>
      <c r="R1236" t="s">
        <v>73</v>
      </c>
      <c r="S1236">
        <v>0</v>
      </c>
      <c r="W1236" s="20">
        <v>1.8171296296296297E-3</v>
      </c>
      <c r="X1236" t="s">
        <v>2856</v>
      </c>
      <c r="Y1236">
        <v>13</v>
      </c>
      <c r="Z1236">
        <v>0</v>
      </c>
      <c r="AA1236" t="s">
        <v>78</v>
      </c>
      <c r="AB1236">
        <v>0</v>
      </c>
      <c r="AC1236" t="s">
        <v>78</v>
      </c>
      <c r="AD1236">
        <v>0</v>
      </c>
      <c r="AE1236">
        <v>10266538</v>
      </c>
      <c r="AF1236" t="s">
        <v>79</v>
      </c>
      <c r="AG1236" t="s">
        <v>2846</v>
      </c>
    </row>
    <row r="1237" spans="1:33" x14ac:dyDescent="0.35">
      <c r="A1237" s="18">
        <v>44448.797222222223</v>
      </c>
      <c r="B1237">
        <v>1111317</v>
      </c>
      <c r="C1237" t="s">
        <v>479</v>
      </c>
      <c r="D1237" t="s">
        <v>127</v>
      </c>
      <c r="E1237" s="19">
        <v>37587</v>
      </c>
      <c r="F1237" t="str">
        <f>"9781136129223"</f>
        <v>9781136129223</v>
      </c>
      <c r="G1237" t="str">
        <f>"9780700716074"</f>
        <v>9780700716074</v>
      </c>
      <c r="H1237" t="s">
        <v>308</v>
      </c>
      <c r="I1237" t="s">
        <v>480</v>
      </c>
      <c r="J1237" t="s">
        <v>481</v>
      </c>
      <c r="K1237" t="s">
        <v>73</v>
      </c>
      <c r="N1237" t="s">
        <v>74</v>
      </c>
      <c r="O1237" t="s">
        <v>75</v>
      </c>
      <c r="P1237" t="s">
        <v>74</v>
      </c>
      <c r="Q1237" t="s">
        <v>76</v>
      </c>
      <c r="R1237" t="s">
        <v>73</v>
      </c>
      <c r="S1237">
        <v>0</v>
      </c>
      <c r="W1237" s="20">
        <v>1.9444444444444442E-3</v>
      </c>
      <c r="X1237" t="s">
        <v>2857</v>
      </c>
      <c r="Y1237">
        <v>9</v>
      </c>
      <c r="Z1237">
        <v>0</v>
      </c>
      <c r="AA1237" t="s">
        <v>78</v>
      </c>
      <c r="AB1237">
        <v>0</v>
      </c>
      <c r="AC1237" t="s">
        <v>78</v>
      </c>
      <c r="AD1237">
        <v>0</v>
      </c>
      <c r="AE1237">
        <v>10645721</v>
      </c>
      <c r="AF1237" t="s">
        <v>79</v>
      </c>
      <c r="AG1237" t="s">
        <v>2364</v>
      </c>
    </row>
    <row r="1238" spans="1:33" x14ac:dyDescent="0.35">
      <c r="A1238" s="18">
        <v>44448.789583333331</v>
      </c>
      <c r="B1238">
        <v>1143305</v>
      </c>
      <c r="C1238" t="s">
        <v>2858</v>
      </c>
      <c r="D1238" t="s">
        <v>239</v>
      </c>
      <c r="E1238" s="19">
        <v>40633</v>
      </c>
      <c r="F1238" t="str">
        <f>"9789814307611"</f>
        <v>9789814307611</v>
      </c>
      <c r="G1238" t="str">
        <f>"9789814307604"</f>
        <v>9789814307604</v>
      </c>
      <c r="H1238" t="s">
        <v>110</v>
      </c>
      <c r="I1238">
        <v>4.3499999999999996</v>
      </c>
      <c r="J1238" t="s">
        <v>2859</v>
      </c>
      <c r="K1238" t="s">
        <v>73</v>
      </c>
      <c r="N1238" t="s">
        <v>74</v>
      </c>
      <c r="O1238" t="s">
        <v>75</v>
      </c>
      <c r="P1238" t="s">
        <v>74</v>
      </c>
      <c r="Q1238" t="s">
        <v>76</v>
      </c>
      <c r="R1238" t="s">
        <v>73</v>
      </c>
      <c r="S1238">
        <v>0</v>
      </c>
      <c r="W1238" s="20">
        <v>9.618055555555555E-3</v>
      </c>
      <c r="X1238" t="s">
        <v>2860</v>
      </c>
      <c r="Y1238">
        <v>62</v>
      </c>
      <c r="Z1238">
        <v>3</v>
      </c>
      <c r="AA1238" t="s">
        <v>2861</v>
      </c>
      <c r="AB1238">
        <v>32</v>
      </c>
      <c r="AC1238" t="s">
        <v>78</v>
      </c>
      <c r="AD1238">
        <v>0</v>
      </c>
      <c r="AE1238">
        <v>10674388</v>
      </c>
      <c r="AF1238" t="s">
        <v>79</v>
      </c>
      <c r="AG1238" t="s">
        <v>2846</v>
      </c>
    </row>
    <row r="1239" spans="1:33" x14ac:dyDescent="0.35">
      <c r="A1239" s="18">
        <v>44448.788194444445</v>
      </c>
      <c r="B1239">
        <v>5558400</v>
      </c>
      <c r="C1239" t="s">
        <v>1990</v>
      </c>
      <c r="D1239" t="s">
        <v>70</v>
      </c>
      <c r="E1239" s="19">
        <v>43396</v>
      </c>
      <c r="F1239" t="str">
        <f>"9781119516200"</f>
        <v>9781119516200</v>
      </c>
      <c r="G1239" t="str">
        <f>"9781119516187"</f>
        <v>9781119516187</v>
      </c>
      <c r="H1239" t="s">
        <v>128</v>
      </c>
      <c r="I1239">
        <v>307.76</v>
      </c>
      <c r="J1239" t="s">
        <v>1991</v>
      </c>
      <c r="K1239" t="s">
        <v>73</v>
      </c>
      <c r="N1239" t="s">
        <v>74</v>
      </c>
      <c r="O1239" t="s">
        <v>75</v>
      </c>
      <c r="P1239" t="s">
        <v>74</v>
      </c>
      <c r="Q1239" t="s">
        <v>76</v>
      </c>
      <c r="R1239" t="s">
        <v>73</v>
      </c>
      <c r="S1239">
        <v>0</v>
      </c>
      <c r="W1239" s="20">
        <v>1.6666666666666668E-3</v>
      </c>
      <c r="X1239" t="s">
        <v>2862</v>
      </c>
      <c r="Y1239">
        <v>6</v>
      </c>
      <c r="Z1239">
        <v>0</v>
      </c>
      <c r="AA1239" t="s">
        <v>78</v>
      </c>
      <c r="AB1239">
        <v>0</v>
      </c>
      <c r="AC1239" t="s">
        <v>78</v>
      </c>
      <c r="AD1239">
        <v>0</v>
      </c>
      <c r="AE1239">
        <v>-1</v>
      </c>
      <c r="AF1239" t="s">
        <v>79</v>
      </c>
      <c r="AG1239" t="s">
        <v>2364</v>
      </c>
    </row>
    <row r="1240" spans="1:33" x14ac:dyDescent="0.35">
      <c r="A1240" s="18">
        <v>44448.719444444447</v>
      </c>
      <c r="B1240">
        <v>3405014</v>
      </c>
      <c r="C1240" t="s">
        <v>2863</v>
      </c>
      <c r="D1240" t="s">
        <v>1332</v>
      </c>
      <c r="E1240" s="19">
        <v>31382</v>
      </c>
      <c r="F1240" t="str">
        <f>"9781613991596"</f>
        <v>9781613991596</v>
      </c>
      <c r="G1240" t="str">
        <f>"9781555630010"</f>
        <v>9781555630010</v>
      </c>
      <c r="H1240" t="s">
        <v>179</v>
      </c>
      <c r="I1240">
        <v>622.18280000000004</v>
      </c>
      <c r="J1240" t="s">
        <v>2864</v>
      </c>
      <c r="K1240" t="s">
        <v>73</v>
      </c>
      <c r="N1240" t="s">
        <v>74</v>
      </c>
      <c r="O1240" t="s">
        <v>75</v>
      </c>
      <c r="P1240" t="s">
        <v>74</v>
      </c>
      <c r="Q1240" t="s">
        <v>76</v>
      </c>
      <c r="R1240" t="s">
        <v>73</v>
      </c>
      <c r="S1240">
        <v>1</v>
      </c>
      <c r="W1240" s="20">
        <v>0</v>
      </c>
      <c r="X1240" t="s">
        <v>78</v>
      </c>
      <c r="Y1240">
        <v>0</v>
      </c>
      <c r="Z1240">
        <v>0</v>
      </c>
      <c r="AA1240" t="s">
        <v>78</v>
      </c>
      <c r="AB1240">
        <v>0</v>
      </c>
      <c r="AC1240" t="s">
        <v>78</v>
      </c>
      <c r="AD1240">
        <v>0</v>
      </c>
      <c r="AE1240">
        <v>10619585</v>
      </c>
      <c r="AF1240" t="s">
        <v>88</v>
      </c>
      <c r="AG1240" t="s">
        <v>2560</v>
      </c>
    </row>
    <row r="1241" spans="1:33" x14ac:dyDescent="0.35">
      <c r="A1241" s="18">
        <v>44448.711111111108</v>
      </c>
      <c r="B1241">
        <v>1143305</v>
      </c>
      <c r="C1241" t="s">
        <v>2858</v>
      </c>
      <c r="D1241" t="s">
        <v>239</v>
      </c>
      <c r="E1241" s="19">
        <v>40633</v>
      </c>
      <c r="F1241" t="str">
        <f>"9789814307611"</f>
        <v>9789814307611</v>
      </c>
      <c r="G1241" t="str">
        <f>"9789814307604"</f>
        <v>9789814307604</v>
      </c>
      <c r="H1241" t="s">
        <v>110</v>
      </c>
      <c r="I1241">
        <v>4.3499999999999996</v>
      </c>
      <c r="J1241" t="s">
        <v>2859</v>
      </c>
      <c r="K1241" t="s">
        <v>73</v>
      </c>
      <c r="N1241" t="s">
        <v>74</v>
      </c>
      <c r="O1241" t="s">
        <v>75</v>
      </c>
      <c r="P1241" t="s">
        <v>74</v>
      </c>
      <c r="Q1241" t="s">
        <v>76</v>
      </c>
      <c r="R1241" t="s">
        <v>73</v>
      </c>
      <c r="S1241">
        <v>0</v>
      </c>
      <c r="W1241" s="20">
        <v>5.7638888888888887E-3</v>
      </c>
      <c r="X1241" t="s">
        <v>2865</v>
      </c>
      <c r="Y1241">
        <v>17</v>
      </c>
      <c r="Z1241">
        <v>2</v>
      </c>
      <c r="AA1241" t="s">
        <v>2866</v>
      </c>
      <c r="AB1241">
        <v>16</v>
      </c>
      <c r="AC1241" t="s">
        <v>78</v>
      </c>
      <c r="AD1241">
        <v>0</v>
      </c>
      <c r="AE1241">
        <v>10674388</v>
      </c>
      <c r="AF1241" t="s">
        <v>88</v>
      </c>
      <c r="AG1241" t="s">
        <v>2846</v>
      </c>
    </row>
    <row r="1242" spans="1:33" x14ac:dyDescent="0.35">
      <c r="A1242" s="18">
        <v>44448.609722222223</v>
      </c>
      <c r="B1242">
        <v>1111317</v>
      </c>
      <c r="C1242" t="s">
        <v>479</v>
      </c>
      <c r="D1242" t="s">
        <v>127</v>
      </c>
      <c r="E1242" s="19">
        <v>37587</v>
      </c>
      <c r="F1242" t="str">
        <f>"9781136129223"</f>
        <v>9781136129223</v>
      </c>
      <c r="G1242" t="str">
        <f>"9780700716074"</f>
        <v>9780700716074</v>
      </c>
      <c r="H1242" t="s">
        <v>308</v>
      </c>
      <c r="I1242" t="s">
        <v>480</v>
      </c>
      <c r="J1242" t="s">
        <v>481</v>
      </c>
      <c r="K1242" t="s">
        <v>73</v>
      </c>
      <c r="N1242" t="s">
        <v>74</v>
      </c>
      <c r="O1242" t="s">
        <v>75</v>
      </c>
      <c r="P1242" t="s">
        <v>74</v>
      </c>
      <c r="Q1242" t="s">
        <v>76</v>
      </c>
      <c r="R1242" t="s">
        <v>73</v>
      </c>
      <c r="S1242">
        <v>0</v>
      </c>
      <c r="W1242" s="20">
        <v>4.2592592592592595E-3</v>
      </c>
      <c r="X1242" t="s">
        <v>2867</v>
      </c>
      <c r="Y1242">
        <v>13</v>
      </c>
      <c r="Z1242">
        <v>0</v>
      </c>
      <c r="AA1242" t="s">
        <v>78</v>
      </c>
      <c r="AB1242">
        <v>0</v>
      </c>
      <c r="AC1242" t="s">
        <v>78</v>
      </c>
      <c r="AD1242">
        <v>0</v>
      </c>
      <c r="AE1242">
        <v>10645721</v>
      </c>
      <c r="AF1242" t="s">
        <v>79</v>
      </c>
      <c r="AG1242" t="s">
        <v>2364</v>
      </c>
    </row>
    <row r="1243" spans="1:33" x14ac:dyDescent="0.35">
      <c r="A1243" s="18">
        <v>44448.609027777777</v>
      </c>
      <c r="B1243">
        <v>4585770</v>
      </c>
      <c r="C1243" t="s">
        <v>1614</v>
      </c>
      <c r="D1243" t="s">
        <v>827</v>
      </c>
      <c r="E1243" s="19">
        <v>41471</v>
      </c>
      <c r="F1243" t="str">
        <f>"9780300195101"</f>
        <v>9780300195101</v>
      </c>
      <c r="G1243" t="str">
        <f>"9780300185959"</f>
        <v>9780300185959</v>
      </c>
      <c r="H1243" t="s">
        <v>308</v>
      </c>
      <c r="I1243">
        <v>297.21100000000001</v>
      </c>
      <c r="J1243" t="s">
        <v>1615</v>
      </c>
      <c r="K1243" t="s">
        <v>73</v>
      </c>
      <c r="N1243" t="s">
        <v>74</v>
      </c>
      <c r="O1243" t="s">
        <v>75</v>
      </c>
      <c r="P1243" t="s">
        <v>74</v>
      </c>
      <c r="Q1243" t="s">
        <v>76</v>
      </c>
      <c r="R1243" t="s">
        <v>73</v>
      </c>
      <c r="S1243">
        <v>0</v>
      </c>
      <c r="W1243" s="20">
        <v>3.0775462962962966E-2</v>
      </c>
      <c r="X1243" t="s">
        <v>2868</v>
      </c>
      <c r="Y1243">
        <v>30</v>
      </c>
      <c r="Z1243">
        <v>0</v>
      </c>
      <c r="AA1243" t="s">
        <v>78</v>
      </c>
      <c r="AB1243">
        <v>0</v>
      </c>
      <c r="AC1243" t="s">
        <v>78</v>
      </c>
      <c r="AD1243">
        <v>0</v>
      </c>
      <c r="AE1243">
        <v>11234884</v>
      </c>
      <c r="AF1243" t="s">
        <v>79</v>
      </c>
      <c r="AG1243" t="s">
        <v>2364</v>
      </c>
    </row>
    <row r="1244" spans="1:33" x14ac:dyDescent="0.35">
      <c r="A1244" s="18">
        <v>44448.472222222219</v>
      </c>
      <c r="B1244">
        <v>199321</v>
      </c>
      <c r="C1244" t="s">
        <v>1374</v>
      </c>
      <c r="D1244" t="s">
        <v>127</v>
      </c>
      <c r="E1244" s="19">
        <v>37858</v>
      </c>
      <c r="F1244" t="str">
        <f>"9780203696965"</f>
        <v>9780203696965</v>
      </c>
      <c r="G1244" t="str">
        <f>"9780415283038"</f>
        <v>9780415283038</v>
      </c>
      <c r="H1244" t="s">
        <v>128</v>
      </c>
      <c r="I1244" t="s">
        <v>1375</v>
      </c>
      <c r="J1244" t="s">
        <v>1376</v>
      </c>
      <c r="K1244" t="s">
        <v>73</v>
      </c>
      <c r="N1244" t="s">
        <v>74</v>
      </c>
      <c r="O1244" t="s">
        <v>75</v>
      </c>
      <c r="P1244" t="s">
        <v>74</v>
      </c>
      <c r="Q1244" t="s">
        <v>76</v>
      </c>
      <c r="R1244" t="s">
        <v>73</v>
      </c>
      <c r="S1244">
        <v>0</v>
      </c>
      <c r="W1244" s="20">
        <v>5.7870370370370378E-4</v>
      </c>
      <c r="X1244" t="s">
        <v>2869</v>
      </c>
      <c r="Y1244">
        <v>11</v>
      </c>
      <c r="Z1244">
        <v>0</v>
      </c>
      <c r="AA1244" t="s">
        <v>78</v>
      </c>
      <c r="AB1244">
        <v>0</v>
      </c>
      <c r="AC1244" t="s">
        <v>78</v>
      </c>
      <c r="AD1244">
        <v>0</v>
      </c>
      <c r="AE1244">
        <v>10099796</v>
      </c>
      <c r="AF1244" t="s">
        <v>79</v>
      </c>
      <c r="AG1244" t="s">
        <v>2560</v>
      </c>
    </row>
    <row r="1245" spans="1:33" x14ac:dyDescent="0.35">
      <c r="A1245" s="18">
        <v>44448.265972222223</v>
      </c>
      <c r="B1245">
        <v>1111317</v>
      </c>
      <c r="C1245" t="s">
        <v>479</v>
      </c>
      <c r="D1245" t="s">
        <v>127</v>
      </c>
      <c r="E1245" s="19">
        <v>37587</v>
      </c>
      <c r="F1245" t="str">
        <f>"9781136129223"</f>
        <v>9781136129223</v>
      </c>
      <c r="G1245" t="str">
        <f>"9780700716074"</f>
        <v>9780700716074</v>
      </c>
      <c r="H1245" t="s">
        <v>308</v>
      </c>
      <c r="I1245" t="s">
        <v>480</v>
      </c>
      <c r="J1245" t="s">
        <v>481</v>
      </c>
      <c r="K1245" t="s">
        <v>73</v>
      </c>
      <c r="N1245" t="s">
        <v>74</v>
      </c>
      <c r="O1245" t="s">
        <v>75</v>
      </c>
      <c r="P1245" t="s">
        <v>74</v>
      </c>
      <c r="Q1245" t="s">
        <v>76</v>
      </c>
      <c r="R1245" t="s">
        <v>73</v>
      </c>
      <c r="S1245">
        <v>0</v>
      </c>
      <c r="W1245" s="20">
        <v>2.9259259259259259E-2</v>
      </c>
      <c r="X1245" t="s">
        <v>2870</v>
      </c>
      <c r="Y1245">
        <v>66</v>
      </c>
      <c r="Z1245">
        <v>0</v>
      </c>
      <c r="AA1245" t="s">
        <v>78</v>
      </c>
      <c r="AB1245">
        <v>0</v>
      </c>
      <c r="AC1245" t="s">
        <v>78</v>
      </c>
      <c r="AD1245">
        <v>0</v>
      </c>
      <c r="AE1245">
        <v>10645721</v>
      </c>
      <c r="AF1245" t="s">
        <v>79</v>
      </c>
      <c r="AG1245" t="s">
        <v>2364</v>
      </c>
    </row>
    <row r="1246" spans="1:33" x14ac:dyDescent="0.35">
      <c r="A1246" s="18">
        <v>44447.861805555556</v>
      </c>
      <c r="B1246">
        <v>1111317</v>
      </c>
      <c r="C1246" t="s">
        <v>479</v>
      </c>
      <c r="D1246" t="s">
        <v>127</v>
      </c>
      <c r="E1246" s="19">
        <v>37587</v>
      </c>
      <c r="F1246" t="str">
        <f>"9781136129223"</f>
        <v>9781136129223</v>
      </c>
      <c r="G1246" t="str">
        <f>"9780700716074"</f>
        <v>9780700716074</v>
      </c>
      <c r="H1246" t="s">
        <v>308</v>
      </c>
      <c r="I1246" t="s">
        <v>480</v>
      </c>
      <c r="J1246" t="s">
        <v>481</v>
      </c>
      <c r="K1246" t="s">
        <v>73</v>
      </c>
      <c r="N1246" t="s">
        <v>74</v>
      </c>
      <c r="O1246" t="s">
        <v>75</v>
      </c>
      <c r="P1246" t="s">
        <v>74</v>
      </c>
      <c r="Q1246" t="s">
        <v>76</v>
      </c>
      <c r="R1246" t="s">
        <v>73</v>
      </c>
      <c r="S1246">
        <v>0</v>
      </c>
      <c r="W1246" s="20">
        <v>2.1736111111111112E-2</v>
      </c>
      <c r="X1246" t="s">
        <v>2871</v>
      </c>
      <c r="Y1246">
        <v>40</v>
      </c>
      <c r="Z1246">
        <v>0</v>
      </c>
      <c r="AA1246" t="s">
        <v>78</v>
      </c>
      <c r="AB1246">
        <v>0</v>
      </c>
      <c r="AC1246" t="s">
        <v>78</v>
      </c>
      <c r="AD1246">
        <v>0</v>
      </c>
      <c r="AE1246">
        <v>10645721</v>
      </c>
      <c r="AF1246" t="s">
        <v>79</v>
      </c>
      <c r="AG1246" t="s">
        <v>2364</v>
      </c>
    </row>
    <row r="1247" spans="1:33" x14ac:dyDescent="0.35">
      <c r="A1247" s="18">
        <v>44447.815972222219</v>
      </c>
      <c r="B1247">
        <v>1111317</v>
      </c>
      <c r="C1247" t="s">
        <v>479</v>
      </c>
      <c r="D1247" t="s">
        <v>127</v>
      </c>
      <c r="E1247" s="19">
        <v>37587</v>
      </c>
      <c r="F1247" t="str">
        <f>"9781136129223"</f>
        <v>9781136129223</v>
      </c>
      <c r="G1247" t="str">
        <f>"9780700716074"</f>
        <v>9780700716074</v>
      </c>
      <c r="H1247" t="s">
        <v>308</v>
      </c>
      <c r="I1247" t="s">
        <v>480</v>
      </c>
      <c r="J1247" t="s">
        <v>481</v>
      </c>
      <c r="K1247" t="s">
        <v>73</v>
      </c>
      <c r="N1247" t="s">
        <v>74</v>
      </c>
      <c r="O1247" t="s">
        <v>75</v>
      </c>
      <c r="P1247" t="s">
        <v>74</v>
      </c>
      <c r="Q1247" t="s">
        <v>76</v>
      </c>
      <c r="R1247" t="s">
        <v>73</v>
      </c>
      <c r="S1247">
        <v>0</v>
      </c>
      <c r="W1247" s="20">
        <v>3.0092592592592595E-4</v>
      </c>
      <c r="X1247" t="s">
        <v>2872</v>
      </c>
      <c r="Y1247">
        <v>8</v>
      </c>
      <c r="Z1247">
        <v>0</v>
      </c>
      <c r="AA1247" t="s">
        <v>78</v>
      </c>
      <c r="AB1247">
        <v>0</v>
      </c>
      <c r="AC1247" t="s">
        <v>78</v>
      </c>
      <c r="AD1247">
        <v>0</v>
      </c>
      <c r="AE1247">
        <v>10645721</v>
      </c>
      <c r="AF1247" t="s">
        <v>79</v>
      </c>
      <c r="AG1247" t="s">
        <v>2364</v>
      </c>
    </row>
    <row r="1248" spans="1:33" x14ac:dyDescent="0.35">
      <c r="A1248" s="18">
        <v>44447.8125</v>
      </c>
      <c r="B1248">
        <v>4585770</v>
      </c>
      <c r="C1248" t="s">
        <v>1614</v>
      </c>
      <c r="D1248" t="s">
        <v>827</v>
      </c>
      <c r="E1248" s="19">
        <v>41471</v>
      </c>
      <c r="F1248" t="str">
        <f>"9780300195101"</f>
        <v>9780300195101</v>
      </c>
      <c r="G1248" t="str">
        <f>"9780300185959"</f>
        <v>9780300185959</v>
      </c>
      <c r="H1248" t="s">
        <v>308</v>
      </c>
      <c r="I1248">
        <v>297.21100000000001</v>
      </c>
      <c r="J1248" t="s">
        <v>1615</v>
      </c>
      <c r="K1248" t="s">
        <v>73</v>
      </c>
      <c r="N1248" t="s">
        <v>74</v>
      </c>
      <c r="O1248" t="s">
        <v>75</v>
      </c>
      <c r="P1248" t="s">
        <v>74</v>
      </c>
      <c r="Q1248" t="s">
        <v>76</v>
      </c>
      <c r="R1248" t="s">
        <v>73</v>
      </c>
      <c r="S1248">
        <v>0</v>
      </c>
      <c r="W1248" s="20">
        <v>4.1666666666666669E-4</v>
      </c>
      <c r="X1248" t="s">
        <v>2873</v>
      </c>
      <c r="Y1248">
        <v>8</v>
      </c>
      <c r="Z1248">
        <v>0</v>
      </c>
      <c r="AA1248" t="s">
        <v>78</v>
      </c>
      <c r="AB1248">
        <v>0</v>
      </c>
      <c r="AC1248" t="s">
        <v>78</v>
      </c>
      <c r="AD1248">
        <v>0</v>
      </c>
      <c r="AE1248">
        <v>11234884</v>
      </c>
      <c r="AF1248" t="s">
        <v>79</v>
      </c>
      <c r="AG1248" t="s">
        <v>2364</v>
      </c>
    </row>
    <row r="1249" spans="1:33" x14ac:dyDescent="0.35">
      <c r="A1249" s="18">
        <v>44447.804861111108</v>
      </c>
      <c r="B1249">
        <v>882731</v>
      </c>
      <c r="C1249" t="s">
        <v>2309</v>
      </c>
      <c r="D1249" t="s">
        <v>70</v>
      </c>
      <c r="E1249" s="19">
        <v>40973</v>
      </c>
      <c r="F1249" t="str">
        <f>"9781444355857"</f>
        <v>9781444355857</v>
      </c>
      <c r="G1249" t="str">
        <f>"9781444332872"</f>
        <v>9781444332872</v>
      </c>
      <c r="H1249" t="s">
        <v>2310</v>
      </c>
      <c r="I1249">
        <v>175</v>
      </c>
      <c r="J1249" t="s">
        <v>2311</v>
      </c>
      <c r="K1249" t="s">
        <v>73</v>
      </c>
      <c r="N1249" t="s">
        <v>74</v>
      </c>
      <c r="O1249" t="s">
        <v>75</v>
      </c>
      <c r="P1249" t="s">
        <v>74</v>
      </c>
      <c r="Q1249" t="s">
        <v>76</v>
      </c>
      <c r="R1249" t="s">
        <v>73</v>
      </c>
      <c r="S1249">
        <v>0</v>
      </c>
      <c r="W1249" s="20">
        <v>1.1921296296296296E-3</v>
      </c>
      <c r="X1249" t="s">
        <v>2874</v>
      </c>
      <c r="Y1249">
        <v>19</v>
      </c>
      <c r="Z1249">
        <v>0</v>
      </c>
      <c r="AA1249" t="s">
        <v>78</v>
      </c>
      <c r="AB1249">
        <v>0</v>
      </c>
      <c r="AC1249" t="s">
        <v>78</v>
      </c>
      <c r="AD1249">
        <v>0</v>
      </c>
      <c r="AE1249">
        <v>10630487</v>
      </c>
      <c r="AF1249" t="s">
        <v>79</v>
      </c>
      <c r="AG1249" t="s">
        <v>2364</v>
      </c>
    </row>
    <row r="1250" spans="1:33" x14ac:dyDescent="0.35">
      <c r="A1250" s="18">
        <v>44447.668749999997</v>
      </c>
      <c r="B1250">
        <v>882731</v>
      </c>
      <c r="C1250" t="s">
        <v>2309</v>
      </c>
      <c r="D1250" t="s">
        <v>70</v>
      </c>
      <c r="E1250" s="19">
        <v>40973</v>
      </c>
      <c r="F1250" t="str">
        <f>"9781444355857"</f>
        <v>9781444355857</v>
      </c>
      <c r="G1250" t="str">
        <f>"9781444332872"</f>
        <v>9781444332872</v>
      </c>
      <c r="H1250" t="s">
        <v>2310</v>
      </c>
      <c r="I1250">
        <v>175</v>
      </c>
      <c r="J1250" t="s">
        <v>2311</v>
      </c>
      <c r="K1250" t="s">
        <v>73</v>
      </c>
      <c r="N1250" t="s">
        <v>74</v>
      </c>
      <c r="O1250" t="s">
        <v>75</v>
      </c>
      <c r="P1250" t="s">
        <v>74</v>
      </c>
      <c r="Q1250" t="s">
        <v>76</v>
      </c>
      <c r="R1250" t="s">
        <v>73</v>
      </c>
      <c r="S1250">
        <v>0</v>
      </c>
      <c r="W1250" s="20">
        <v>8.1018518518518516E-5</v>
      </c>
      <c r="X1250" t="s">
        <v>360</v>
      </c>
      <c r="Y1250">
        <v>2</v>
      </c>
      <c r="Z1250">
        <v>0</v>
      </c>
      <c r="AA1250" t="s">
        <v>78</v>
      </c>
      <c r="AB1250">
        <v>0</v>
      </c>
      <c r="AC1250" t="s">
        <v>78</v>
      </c>
      <c r="AD1250">
        <v>0</v>
      </c>
      <c r="AE1250">
        <v>10630487</v>
      </c>
      <c r="AF1250" t="s">
        <v>79</v>
      </c>
      <c r="AG1250" t="s">
        <v>2364</v>
      </c>
    </row>
    <row r="1251" spans="1:33" x14ac:dyDescent="0.35">
      <c r="A1251" s="18">
        <v>44447.585416666669</v>
      </c>
      <c r="B1251">
        <v>442837</v>
      </c>
      <c r="C1251" t="s">
        <v>2469</v>
      </c>
      <c r="D1251" t="s">
        <v>538</v>
      </c>
      <c r="E1251" s="19">
        <v>39933</v>
      </c>
      <c r="F1251" t="str">
        <f>"9780511539039"</f>
        <v>9780511539039</v>
      </c>
      <c r="G1251" t="str">
        <f>"9780521861366"</f>
        <v>9780521861366</v>
      </c>
      <c r="H1251" t="s">
        <v>1561</v>
      </c>
      <c r="I1251">
        <v>552.05999999999995</v>
      </c>
      <c r="J1251" t="s">
        <v>2470</v>
      </c>
      <c r="K1251" t="s">
        <v>73</v>
      </c>
      <c r="N1251" t="s">
        <v>74</v>
      </c>
      <c r="O1251" t="s">
        <v>75</v>
      </c>
      <c r="P1251" t="s">
        <v>74</v>
      </c>
      <c r="Q1251" t="s">
        <v>76</v>
      </c>
      <c r="R1251" t="s">
        <v>73</v>
      </c>
      <c r="S1251">
        <v>0</v>
      </c>
      <c r="W1251" s="20">
        <v>6.4814814814814813E-4</v>
      </c>
      <c r="X1251" t="s">
        <v>2875</v>
      </c>
      <c r="Y1251">
        <v>4</v>
      </c>
      <c r="Z1251">
        <v>1</v>
      </c>
      <c r="AA1251" t="s">
        <v>2876</v>
      </c>
      <c r="AB1251">
        <v>60</v>
      </c>
      <c r="AC1251" t="s">
        <v>78</v>
      </c>
      <c r="AD1251">
        <v>0</v>
      </c>
      <c r="AE1251">
        <v>10313031</v>
      </c>
      <c r="AF1251" t="s">
        <v>79</v>
      </c>
      <c r="AG1251" t="s">
        <v>333</v>
      </c>
    </row>
    <row r="1252" spans="1:33" x14ac:dyDescent="0.35">
      <c r="A1252" s="18">
        <v>44447.578472222223</v>
      </c>
      <c r="B1252">
        <v>1204633</v>
      </c>
      <c r="C1252" t="s">
        <v>1560</v>
      </c>
      <c r="D1252" t="s">
        <v>70</v>
      </c>
      <c r="E1252" s="19">
        <v>41512</v>
      </c>
      <c r="F1252" t="str">
        <f>"9781118450444"</f>
        <v>9781118450444</v>
      </c>
      <c r="G1252" t="str">
        <f>"9780470673768"</f>
        <v>9780470673768</v>
      </c>
      <c r="H1252" t="s">
        <v>1561</v>
      </c>
      <c r="I1252">
        <v>552.5</v>
      </c>
      <c r="J1252" t="s">
        <v>1562</v>
      </c>
      <c r="K1252" t="s">
        <v>73</v>
      </c>
      <c r="N1252" t="s">
        <v>74</v>
      </c>
      <c r="O1252" t="s">
        <v>75</v>
      </c>
      <c r="P1252" t="s">
        <v>74</v>
      </c>
      <c r="Q1252" t="s">
        <v>76</v>
      </c>
      <c r="R1252" t="s">
        <v>73</v>
      </c>
      <c r="S1252">
        <v>0</v>
      </c>
      <c r="W1252" s="20">
        <v>3.5752314814814813E-2</v>
      </c>
      <c r="X1252" t="s">
        <v>2877</v>
      </c>
      <c r="Y1252">
        <v>8</v>
      </c>
      <c r="Z1252">
        <v>2</v>
      </c>
      <c r="AA1252" t="s">
        <v>2878</v>
      </c>
      <c r="AB1252">
        <v>78</v>
      </c>
      <c r="AC1252" t="s">
        <v>78</v>
      </c>
      <c r="AD1252">
        <v>0</v>
      </c>
      <c r="AE1252">
        <v>10713576</v>
      </c>
      <c r="AF1252" t="s">
        <v>79</v>
      </c>
      <c r="AG1252" t="s">
        <v>2560</v>
      </c>
    </row>
    <row r="1253" spans="1:33" x14ac:dyDescent="0.35">
      <c r="A1253" s="18">
        <v>44447.411805555559</v>
      </c>
      <c r="B1253">
        <v>3338641</v>
      </c>
      <c r="C1253" t="s">
        <v>2879</v>
      </c>
      <c r="D1253" t="s">
        <v>300</v>
      </c>
      <c r="E1253" s="19">
        <v>39143</v>
      </c>
      <c r="F1253" t="str">
        <f>"9780262282888"</f>
        <v>9780262282888</v>
      </c>
      <c r="G1253" t="str">
        <f>"9780262195577"</f>
        <v>9780262195577</v>
      </c>
      <c r="H1253" t="s">
        <v>595</v>
      </c>
      <c r="I1253" t="s">
        <v>2880</v>
      </c>
      <c r="J1253" t="s">
        <v>2881</v>
      </c>
      <c r="K1253" t="s">
        <v>73</v>
      </c>
      <c r="N1253" t="s">
        <v>74</v>
      </c>
      <c r="O1253" t="s">
        <v>75</v>
      </c>
      <c r="P1253" t="s">
        <v>74</v>
      </c>
      <c r="Q1253" t="s">
        <v>76</v>
      </c>
      <c r="R1253" t="s">
        <v>73</v>
      </c>
      <c r="S1253">
        <v>0</v>
      </c>
      <c r="W1253" s="20">
        <v>1.6863425925925928E-2</v>
      </c>
      <c r="X1253" t="s">
        <v>2882</v>
      </c>
      <c r="Y1253">
        <v>6</v>
      </c>
      <c r="Z1253">
        <v>0</v>
      </c>
      <c r="AA1253" t="s">
        <v>78</v>
      </c>
      <c r="AB1253">
        <v>0</v>
      </c>
      <c r="AC1253" t="s">
        <v>78</v>
      </c>
      <c r="AD1253">
        <v>0</v>
      </c>
      <c r="AE1253">
        <v>10173702</v>
      </c>
      <c r="AF1253" t="s">
        <v>79</v>
      </c>
      <c r="AG1253" t="s">
        <v>2560</v>
      </c>
    </row>
    <row r="1254" spans="1:33" x14ac:dyDescent="0.35">
      <c r="A1254" s="18">
        <v>44446.893055555556</v>
      </c>
      <c r="B1254">
        <v>882731</v>
      </c>
      <c r="C1254" t="s">
        <v>2309</v>
      </c>
      <c r="D1254" t="s">
        <v>70</v>
      </c>
      <c r="E1254" s="19">
        <v>40973</v>
      </c>
      <c r="F1254" t="str">
        <f>"9781444355857"</f>
        <v>9781444355857</v>
      </c>
      <c r="G1254" t="str">
        <f>"9781444332872"</f>
        <v>9781444332872</v>
      </c>
      <c r="H1254" t="s">
        <v>2310</v>
      </c>
      <c r="I1254">
        <v>175</v>
      </c>
      <c r="J1254" t="s">
        <v>2311</v>
      </c>
      <c r="K1254" t="s">
        <v>73</v>
      </c>
      <c r="N1254" t="s">
        <v>74</v>
      </c>
      <c r="O1254" t="s">
        <v>75</v>
      </c>
      <c r="P1254" t="s">
        <v>74</v>
      </c>
      <c r="Q1254" t="s">
        <v>76</v>
      </c>
      <c r="R1254" t="s">
        <v>73</v>
      </c>
      <c r="S1254">
        <v>0</v>
      </c>
      <c r="W1254" s="20">
        <v>1.7013888888888892E-3</v>
      </c>
      <c r="X1254" t="s">
        <v>2883</v>
      </c>
      <c r="Y1254">
        <v>13</v>
      </c>
      <c r="Z1254">
        <v>0</v>
      </c>
      <c r="AA1254" t="s">
        <v>78</v>
      </c>
      <c r="AB1254">
        <v>0</v>
      </c>
      <c r="AC1254" t="s">
        <v>78</v>
      </c>
      <c r="AD1254">
        <v>0</v>
      </c>
      <c r="AE1254">
        <v>10630487</v>
      </c>
      <c r="AF1254" t="s">
        <v>79</v>
      </c>
      <c r="AG1254" t="s">
        <v>2364</v>
      </c>
    </row>
    <row r="1255" spans="1:33" x14ac:dyDescent="0.35">
      <c r="A1255" s="18">
        <v>44446.811805555553</v>
      </c>
      <c r="B1255">
        <v>932449</v>
      </c>
      <c r="C1255" t="s">
        <v>1292</v>
      </c>
      <c r="D1255" t="s">
        <v>314</v>
      </c>
      <c r="E1255" s="19">
        <v>39407</v>
      </c>
      <c r="F1255" t="str">
        <f>"9780748631346"</f>
        <v>9780748631346</v>
      </c>
      <c r="G1255" t="str">
        <f>"9780748626052"</f>
        <v>9780748626052</v>
      </c>
      <c r="H1255" t="s">
        <v>308</v>
      </c>
      <c r="I1255">
        <v>297.41000000000003</v>
      </c>
      <c r="J1255" t="s">
        <v>1293</v>
      </c>
      <c r="K1255" t="s">
        <v>73</v>
      </c>
      <c r="N1255" t="s">
        <v>74</v>
      </c>
      <c r="O1255" t="s">
        <v>75</v>
      </c>
      <c r="P1255" t="s">
        <v>74</v>
      </c>
      <c r="Q1255" t="s">
        <v>76</v>
      </c>
      <c r="R1255" t="s">
        <v>73</v>
      </c>
      <c r="S1255">
        <v>0</v>
      </c>
      <c r="W1255" s="20">
        <v>6.4120370370370364E-3</v>
      </c>
      <c r="X1255" t="s">
        <v>2884</v>
      </c>
      <c r="Y1255">
        <v>5</v>
      </c>
      <c r="Z1255">
        <v>0</v>
      </c>
      <c r="AA1255" t="s">
        <v>78</v>
      </c>
      <c r="AB1255">
        <v>0</v>
      </c>
      <c r="AC1255" t="s">
        <v>78</v>
      </c>
      <c r="AD1255">
        <v>0</v>
      </c>
      <c r="AE1255">
        <v>10569454</v>
      </c>
      <c r="AF1255" t="s">
        <v>79</v>
      </c>
      <c r="AG1255" t="s">
        <v>2364</v>
      </c>
    </row>
    <row r="1256" spans="1:33" x14ac:dyDescent="0.35">
      <c r="A1256" s="18">
        <v>44446.731249999997</v>
      </c>
      <c r="B1256">
        <v>3408265</v>
      </c>
      <c r="C1256" t="s">
        <v>2885</v>
      </c>
      <c r="D1256" t="s">
        <v>517</v>
      </c>
      <c r="E1256" s="19">
        <v>32660</v>
      </c>
      <c r="F1256" t="str">
        <f>"9780791498989"</f>
        <v>9780791498989</v>
      </c>
      <c r="G1256" t="str">
        <f>"9780887068843"</f>
        <v>9780887068843</v>
      </c>
      <c r="H1256" t="s">
        <v>308</v>
      </c>
      <c r="I1256" t="s">
        <v>2886</v>
      </c>
      <c r="J1256" t="s">
        <v>2887</v>
      </c>
      <c r="K1256" t="s">
        <v>73</v>
      </c>
      <c r="N1256" t="s">
        <v>74</v>
      </c>
      <c r="O1256" t="s">
        <v>75</v>
      </c>
      <c r="P1256" t="s">
        <v>74</v>
      </c>
      <c r="Q1256" t="s">
        <v>76</v>
      </c>
      <c r="R1256" t="s">
        <v>73</v>
      </c>
      <c r="S1256">
        <v>0</v>
      </c>
      <c r="W1256" s="20">
        <v>2.615740740740741E-3</v>
      </c>
      <c r="X1256" t="s">
        <v>2888</v>
      </c>
      <c r="Y1256">
        <v>17</v>
      </c>
      <c r="Z1256">
        <v>0</v>
      </c>
      <c r="AA1256" t="s">
        <v>78</v>
      </c>
      <c r="AB1256">
        <v>0</v>
      </c>
      <c r="AC1256" t="s">
        <v>78</v>
      </c>
      <c r="AD1256">
        <v>0</v>
      </c>
      <c r="AE1256">
        <v>10588815</v>
      </c>
      <c r="AF1256" t="s">
        <v>79</v>
      </c>
      <c r="AG1256" t="s">
        <v>2889</v>
      </c>
    </row>
    <row r="1257" spans="1:33" x14ac:dyDescent="0.35">
      <c r="A1257" s="18">
        <v>44446.662499999999</v>
      </c>
      <c r="B1257">
        <v>882731</v>
      </c>
      <c r="C1257" t="s">
        <v>2309</v>
      </c>
      <c r="D1257" t="s">
        <v>70</v>
      </c>
      <c r="E1257" s="19">
        <v>40973</v>
      </c>
      <c r="F1257" t="str">
        <f>"9781444355857"</f>
        <v>9781444355857</v>
      </c>
      <c r="G1257" t="str">
        <f>"9781444332872"</f>
        <v>9781444332872</v>
      </c>
      <c r="H1257" t="s">
        <v>2310</v>
      </c>
      <c r="I1257">
        <v>175</v>
      </c>
      <c r="J1257" t="s">
        <v>2311</v>
      </c>
      <c r="K1257" t="s">
        <v>73</v>
      </c>
      <c r="N1257" t="s">
        <v>74</v>
      </c>
      <c r="O1257" t="s">
        <v>75</v>
      </c>
      <c r="P1257" t="s">
        <v>74</v>
      </c>
      <c r="Q1257" t="s">
        <v>76</v>
      </c>
      <c r="R1257" t="s">
        <v>73</v>
      </c>
      <c r="S1257">
        <v>0</v>
      </c>
      <c r="W1257" s="20">
        <v>3.9849537037037037E-2</v>
      </c>
      <c r="X1257" t="s">
        <v>2890</v>
      </c>
      <c r="Y1257">
        <v>21</v>
      </c>
      <c r="Z1257">
        <v>0</v>
      </c>
      <c r="AA1257" t="s">
        <v>78</v>
      </c>
      <c r="AB1257">
        <v>0</v>
      </c>
      <c r="AC1257" t="s">
        <v>2891</v>
      </c>
      <c r="AD1257">
        <v>6</v>
      </c>
      <c r="AE1257">
        <v>10630487</v>
      </c>
      <c r="AF1257" t="s">
        <v>79</v>
      </c>
      <c r="AG1257" t="s">
        <v>2364</v>
      </c>
    </row>
    <row r="1258" spans="1:33" x14ac:dyDescent="0.35">
      <c r="A1258" s="18">
        <v>44446.573611111111</v>
      </c>
      <c r="B1258">
        <v>882731</v>
      </c>
      <c r="C1258" t="s">
        <v>2309</v>
      </c>
      <c r="D1258" t="s">
        <v>70</v>
      </c>
      <c r="E1258" s="19">
        <v>40973</v>
      </c>
      <c r="F1258" t="str">
        <f>"9781444355857"</f>
        <v>9781444355857</v>
      </c>
      <c r="G1258" t="str">
        <f>"9781444332872"</f>
        <v>9781444332872</v>
      </c>
      <c r="H1258" t="s">
        <v>2310</v>
      </c>
      <c r="I1258">
        <v>175</v>
      </c>
      <c r="J1258" t="s">
        <v>2311</v>
      </c>
      <c r="K1258" t="s">
        <v>73</v>
      </c>
      <c r="N1258" t="s">
        <v>74</v>
      </c>
      <c r="O1258" t="s">
        <v>75</v>
      </c>
      <c r="P1258" t="s">
        <v>74</v>
      </c>
      <c r="Q1258" t="s">
        <v>76</v>
      </c>
      <c r="R1258" t="s">
        <v>73</v>
      </c>
      <c r="S1258">
        <v>0</v>
      </c>
      <c r="W1258" s="20">
        <v>1.3900462962962962E-2</v>
      </c>
      <c r="X1258" t="s">
        <v>2892</v>
      </c>
      <c r="Y1258">
        <v>15</v>
      </c>
      <c r="Z1258">
        <v>0</v>
      </c>
      <c r="AA1258" t="s">
        <v>78</v>
      </c>
      <c r="AB1258">
        <v>0</v>
      </c>
      <c r="AC1258" t="s">
        <v>78</v>
      </c>
      <c r="AD1258">
        <v>0</v>
      </c>
      <c r="AE1258">
        <v>10630487</v>
      </c>
      <c r="AF1258" t="s">
        <v>79</v>
      </c>
      <c r="AG1258" t="s">
        <v>2364</v>
      </c>
    </row>
    <row r="1259" spans="1:33" x14ac:dyDescent="0.35">
      <c r="A1259" s="18">
        <v>44446.545138888891</v>
      </c>
      <c r="B1259">
        <v>1724953</v>
      </c>
      <c r="C1259" t="s">
        <v>2815</v>
      </c>
      <c r="D1259" t="s">
        <v>550</v>
      </c>
      <c r="E1259" s="19">
        <v>41674</v>
      </c>
      <c r="F1259" t="str">
        <f>"9781443862349"</f>
        <v>9781443862349</v>
      </c>
      <c r="G1259" t="str">
        <f>"9781443853941"</f>
        <v>9781443853941</v>
      </c>
      <c r="H1259" t="s">
        <v>1631</v>
      </c>
      <c r="I1259">
        <v>794.8</v>
      </c>
      <c r="J1259" t="s">
        <v>2816</v>
      </c>
      <c r="K1259" t="s">
        <v>73</v>
      </c>
      <c r="N1259" t="s">
        <v>74</v>
      </c>
      <c r="O1259" t="s">
        <v>75</v>
      </c>
      <c r="P1259" t="s">
        <v>74</v>
      </c>
      <c r="Q1259" t="s">
        <v>76</v>
      </c>
      <c r="R1259" t="s">
        <v>73</v>
      </c>
      <c r="S1259">
        <v>0</v>
      </c>
      <c r="W1259" s="20">
        <v>6.9444444444444447E-4</v>
      </c>
      <c r="X1259" t="s">
        <v>2893</v>
      </c>
      <c r="Y1259">
        <v>4</v>
      </c>
      <c r="Z1259">
        <v>0</v>
      </c>
      <c r="AA1259" t="s">
        <v>78</v>
      </c>
      <c r="AB1259">
        <v>0</v>
      </c>
      <c r="AC1259" t="s">
        <v>78</v>
      </c>
      <c r="AD1259">
        <v>0</v>
      </c>
      <c r="AE1259">
        <v>10898052</v>
      </c>
      <c r="AF1259" t="s">
        <v>79</v>
      </c>
      <c r="AG1259" t="s">
        <v>2818</v>
      </c>
    </row>
    <row r="1260" spans="1:33" x14ac:dyDescent="0.35">
      <c r="A1260" s="18">
        <v>44446.477777777778</v>
      </c>
      <c r="B1260">
        <v>5558400</v>
      </c>
      <c r="C1260" t="s">
        <v>1990</v>
      </c>
      <c r="D1260" t="s">
        <v>70</v>
      </c>
      <c r="E1260" s="19">
        <v>43396</v>
      </c>
      <c r="F1260" t="str">
        <f>"9781119516200"</f>
        <v>9781119516200</v>
      </c>
      <c r="G1260" t="str">
        <f>"9781119516187"</f>
        <v>9781119516187</v>
      </c>
      <c r="H1260" t="s">
        <v>128</v>
      </c>
      <c r="I1260">
        <v>307.76</v>
      </c>
      <c r="J1260" t="s">
        <v>1991</v>
      </c>
      <c r="K1260" t="s">
        <v>73</v>
      </c>
      <c r="N1260" t="s">
        <v>74</v>
      </c>
      <c r="O1260" t="s">
        <v>75</v>
      </c>
      <c r="P1260" t="s">
        <v>74</v>
      </c>
      <c r="Q1260" t="s">
        <v>76</v>
      </c>
      <c r="R1260" t="s">
        <v>73</v>
      </c>
      <c r="S1260">
        <v>0</v>
      </c>
      <c r="W1260" s="20">
        <v>3.7037037037037035E-4</v>
      </c>
      <c r="X1260" t="s">
        <v>2459</v>
      </c>
      <c r="Y1260">
        <v>5</v>
      </c>
      <c r="Z1260">
        <v>0</v>
      </c>
      <c r="AA1260" t="s">
        <v>78</v>
      </c>
      <c r="AB1260">
        <v>0</v>
      </c>
      <c r="AC1260" t="s">
        <v>78</v>
      </c>
      <c r="AD1260">
        <v>0</v>
      </c>
      <c r="AE1260">
        <v>-1</v>
      </c>
      <c r="AF1260" t="s">
        <v>79</v>
      </c>
      <c r="AG1260" t="s">
        <v>2560</v>
      </c>
    </row>
    <row r="1261" spans="1:33" x14ac:dyDescent="0.35">
      <c r="A1261" s="18">
        <v>44446.448611111111</v>
      </c>
      <c r="B1261">
        <v>5558400</v>
      </c>
      <c r="C1261" t="s">
        <v>1990</v>
      </c>
      <c r="D1261" t="s">
        <v>70</v>
      </c>
      <c r="E1261" s="19">
        <v>43396</v>
      </c>
      <c r="F1261" t="str">
        <f>"9781119516200"</f>
        <v>9781119516200</v>
      </c>
      <c r="G1261" t="str">
        <f>"9781119516187"</f>
        <v>9781119516187</v>
      </c>
      <c r="H1261" t="s">
        <v>128</v>
      </c>
      <c r="I1261">
        <v>307.76</v>
      </c>
      <c r="J1261" t="s">
        <v>1991</v>
      </c>
      <c r="K1261" t="s">
        <v>73</v>
      </c>
      <c r="N1261" t="s">
        <v>74</v>
      </c>
      <c r="O1261" t="s">
        <v>75</v>
      </c>
      <c r="P1261" t="s">
        <v>74</v>
      </c>
      <c r="Q1261" t="s">
        <v>76</v>
      </c>
      <c r="R1261" t="s">
        <v>73</v>
      </c>
      <c r="S1261">
        <v>0</v>
      </c>
      <c r="W1261" s="20">
        <v>2.5462962962962961E-4</v>
      </c>
      <c r="X1261" t="s">
        <v>2130</v>
      </c>
      <c r="Y1261">
        <v>4</v>
      </c>
      <c r="Z1261">
        <v>0</v>
      </c>
      <c r="AA1261" t="s">
        <v>78</v>
      </c>
      <c r="AB1261">
        <v>0</v>
      </c>
      <c r="AC1261" t="s">
        <v>78</v>
      </c>
      <c r="AD1261">
        <v>0</v>
      </c>
      <c r="AE1261">
        <v>-1</v>
      </c>
      <c r="AF1261" t="s">
        <v>79</v>
      </c>
      <c r="AG1261" t="s">
        <v>2560</v>
      </c>
    </row>
    <row r="1262" spans="1:33" x14ac:dyDescent="0.35">
      <c r="A1262" s="18">
        <v>44445.948611111111</v>
      </c>
      <c r="B1262">
        <v>5150092</v>
      </c>
      <c r="C1262" t="s">
        <v>2122</v>
      </c>
      <c r="D1262" t="s">
        <v>70</v>
      </c>
      <c r="E1262" s="19">
        <v>43109</v>
      </c>
      <c r="F1262" t="str">
        <f>"9781119054528"</f>
        <v>9781119054528</v>
      </c>
      <c r="G1262" t="str">
        <f>"9781119054498"</f>
        <v>9781119054498</v>
      </c>
      <c r="H1262" t="s">
        <v>2123</v>
      </c>
      <c r="I1262">
        <v>771.3</v>
      </c>
      <c r="J1262" t="s">
        <v>2124</v>
      </c>
      <c r="K1262" t="s">
        <v>73</v>
      </c>
      <c r="N1262" t="s">
        <v>74</v>
      </c>
      <c r="O1262" t="s">
        <v>75</v>
      </c>
      <c r="P1262" t="s">
        <v>74</v>
      </c>
      <c r="Q1262" t="s">
        <v>76</v>
      </c>
      <c r="R1262" t="s">
        <v>73</v>
      </c>
      <c r="S1262">
        <v>1</v>
      </c>
      <c r="W1262" s="20">
        <v>1.1574074074074073E-4</v>
      </c>
      <c r="X1262" t="s">
        <v>2894</v>
      </c>
      <c r="Y1262">
        <v>2</v>
      </c>
      <c r="Z1262">
        <v>0</v>
      </c>
      <c r="AA1262" t="s">
        <v>78</v>
      </c>
      <c r="AB1262">
        <v>0</v>
      </c>
      <c r="AC1262" t="s">
        <v>78</v>
      </c>
      <c r="AD1262">
        <v>0</v>
      </c>
      <c r="AE1262">
        <v>11467816</v>
      </c>
      <c r="AF1262" t="s">
        <v>88</v>
      </c>
      <c r="AG1262" t="s">
        <v>2560</v>
      </c>
    </row>
    <row r="1263" spans="1:33" x14ac:dyDescent="0.35">
      <c r="A1263" s="18">
        <v>44445.944444444445</v>
      </c>
      <c r="B1263">
        <v>3338641</v>
      </c>
      <c r="C1263" t="s">
        <v>2879</v>
      </c>
      <c r="D1263" t="s">
        <v>300</v>
      </c>
      <c r="E1263" s="19">
        <v>39143</v>
      </c>
      <c r="F1263" t="str">
        <f>"9780262282888"</f>
        <v>9780262282888</v>
      </c>
      <c r="G1263" t="str">
        <f>"9780262195577"</f>
        <v>9780262195577</v>
      </c>
      <c r="H1263" t="s">
        <v>595</v>
      </c>
      <c r="I1263" t="s">
        <v>2880</v>
      </c>
      <c r="J1263" t="s">
        <v>2881</v>
      </c>
      <c r="K1263" t="s">
        <v>73</v>
      </c>
      <c r="N1263" t="s">
        <v>74</v>
      </c>
      <c r="O1263" t="s">
        <v>75</v>
      </c>
      <c r="P1263" t="s">
        <v>74</v>
      </c>
      <c r="Q1263" t="s">
        <v>76</v>
      </c>
      <c r="R1263" t="s">
        <v>73</v>
      </c>
      <c r="S1263">
        <v>0</v>
      </c>
      <c r="W1263" s="20">
        <v>3.5879629629629635E-4</v>
      </c>
      <c r="X1263" t="s">
        <v>2895</v>
      </c>
      <c r="Y1263">
        <v>4</v>
      </c>
      <c r="Z1263">
        <v>0</v>
      </c>
      <c r="AA1263" t="s">
        <v>78</v>
      </c>
      <c r="AB1263">
        <v>0</v>
      </c>
      <c r="AC1263" t="s">
        <v>536</v>
      </c>
      <c r="AD1263">
        <v>1</v>
      </c>
      <c r="AE1263">
        <v>10173702</v>
      </c>
      <c r="AF1263" t="s">
        <v>79</v>
      </c>
      <c r="AG1263" t="s">
        <v>2560</v>
      </c>
    </row>
    <row r="1264" spans="1:33" x14ac:dyDescent="0.35">
      <c r="A1264" s="18">
        <v>44445.934027777781</v>
      </c>
      <c r="B1264">
        <v>5150092</v>
      </c>
      <c r="C1264" t="s">
        <v>2122</v>
      </c>
      <c r="D1264" t="s">
        <v>70</v>
      </c>
      <c r="E1264" s="19">
        <v>43109</v>
      </c>
      <c r="F1264" t="str">
        <f>"9781119054528"</f>
        <v>9781119054528</v>
      </c>
      <c r="G1264" t="str">
        <f>"9781119054498"</f>
        <v>9781119054498</v>
      </c>
      <c r="H1264" t="s">
        <v>2123</v>
      </c>
      <c r="I1264">
        <v>771.3</v>
      </c>
      <c r="J1264" t="s">
        <v>2124</v>
      </c>
      <c r="K1264" t="s">
        <v>73</v>
      </c>
      <c r="N1264" t="s">
        <v>74</v>
      </c>
      <c r="O1264" t="s">
        <v>75</v>
      </c>
      <c r="P1264" t="s">
        <v>74</v>
      </c>
      <c r="Q1264" t="s">
        <v>76</v>
      </c>
      <c r="R1264" t="s">
        <v>73</v>
      </c>
      <c r="S1264">
        <v>0</v>
      </c>
      <c r="W1264" s="20">
        <v>1.4178240740740741E-2</v>
      </c>
      <c r="X1264" t="s">
        <v>2896</v>
      </c>
      <c r="Y1264">
        <v>12</v>
      </c>
      <c r="Z1264">
        <v>1</v>
      </c>
      <c r="AA1264" t="s">
        <v>2897</v>
      </c>
      <c r="AB1264">
        <v>11</v>
      </c>
      <c r="AC1264" t="s">
        <v>78</v>
      </c>
      <c r="AD1264">
        <v>0</v>
      </c>
      <c r="AE1264">
        <v>11467816</v>
      </c>
      <c r="AF1264" t="s">
        <v>88</v>
      </c>
      <c r="AG1264" t="s">
        <v>2560</v>
      </c>
    </row>
    <row r="1265" spans="1:33" x14ac:dyDescent="0.35">
      <c r="A1265" s="18">
        <v>44445.900694444441</v>
      </c>
      <c r="B1265">
        <v>1707320</v>
      </c>
      <c r="C1265" t="s">
        <v>2898</v>
      </c>
      <c r="D1265" t="s">
        <v>2899</v>
      </c>
      <c r="E1265" s="19">
        <v>41788</v>
      </c>
      <c r="F1265" t="str">
        <f>"9781611476330"</f>
        <v>9781611476330</v>
      </c>
      <c r="G1265" t="str">
        <f>"9781611476323"</f>
        <v>9781611476323</v>
      </c>
      <c r="H1265" t="s">
        <v>822</v>
      </c>
      <c r="I1265">
        <v>791.43023309</v>
      </c>
      <c r="J1265" t="s">
        <v>2900</v>
      </c>
      <c r="K1265" t="s">
        <v>73</v>
      </c>
      <c r="N1265" t="s">
        <v>74</v>
      </c>
      <c r="O1265" t="s">
        <v>75</v>
      </c>
      <c r="P1265" t="s">
        <v>74</v>
      </c>
      <c r="Q1265" t="s">
        <v>76</v>
      </c>
      <c r="R1265" t="s">
        <v>73</v>
      </c>
      <c r="S1265">
        <v>0</v>
      </c>
      <c r="W1265" s="20">
        <v>1.3888888888888889E-4</v>
      </c>
      <c r="X1265" t="s">
        <v>2901</v>
      </c>
      <c r="Y1265">
        <v>3</v>
      </c>
      <c r="Z1265">
        <v>0</v>
      </c>
      <c r="AA1265" t="s">
        <v>78</v>
      </c>
      <c r="AB1265">
        <v>0</v>
      </c>
      <c r="AC1265" t="s">
        <v>78</v>
      </c>
      <c r="AD1265">
        <v>0</v>
      </c>
      <c r="AE1265">
        <v>10880335</v>
      </c>
      <c r="AF1265" t="s">
        <v>79</v>
      </c>
      <c r="AG1265" t="s">
        <v>2560</v>
      </c>
    </row>
    <row r="1266" spans="1:33" x14ac:dyDescent="0.35">
      <c r="A1266" s="18">
        <v>44445.899305555555</v>
      </c>
      <c r="B1266">
        <v>1113451</v>
      </c>
      <c r="C1266" t="s">
        <v>2902</v>
      </c>
      <c r="D1266" t="s">
        <v>2903</v>
      </c>
      <c r="E1266" s="19">
        <v>41324</v>
      </c>
      <c r="F1266" t="str">
        <f>"9781621039280"</f>
        <v>9781621039280</v>
      </c>
      <c r="G1266" t="str">
        <f>"9781617037412"</f>
        <v>9781617037412</v>
      </c>
      <c r="H1266" t="s">
        <v>822</v>
      </c>
      <c r="I1266">
        <v>777</v>
      </c>
      <c r="J1266" t="s">
        <v>2904</v>
      </c>
      <c r="K1266" t="s">
        <v>73</v>
      </c>
      <c r="N1266" t="s">
        <v>74</v>
      </c>
      <c r="O1266" t="s">
        <v>75</v>
      </c>
      <c r="P1266" t="s">
        <v>74</v>
      </c>
      <c r="Q1266" t="s">
        <v>76</v>
      </c>
      <c r="R1266" t="s">
        <v>73</v>
      </c>
      <c r="S1266">
        <v>0</v>
      </c>
      <c r="W1266" s="20">
        <v>1.1921296296296296E-3</v>
      </c>
      <c r="X1266" t="s">
        <v>2905</v>
      </c>
      <c r="Y1266">
        <v>9</v>
      </c>
      <c r="Z1266">
        <v>0</v>
      </c>
      <c r="AA1266" t="s">
        <v>78</v>
      </c>
      <c r="AB1266">
        <v>0</v>
      </c>
      <c r="AC1266" t="s">
        <v>78</v>
      </c>
      <c r="AD1266">
        <v>0</v>
      </c>
      <c r="AE1266">
        <v>10662089</v>
      </c>
      <c r="AF1266" t="s">
        <v>79</v>
      </c>
      <c r="AG1266" t="s">
        <v>2560</v>
      </c>
    </row>
    <row r="1267" spans="1:33" x14ac:dyDescent="0.35">
      <c r="A1267" s="18">
        <v>44445.898611111108</v>
      </c>
      <c r="B1267">
        <v>180072</v>
      </c>
      <c r="C1267" t="s">
        <v>2906</v>
      </c>
      <c r="D1267" t="s">
        <v>127</v>
      </c>
      <c r="E1267" s="19">
        <v>35194</v>
      </c>
      <c r="F1267" t="str">
        <f>"9780203403600"</f>
        <v>9780203403600</v>
      </c>
      <c r="G1267" t="str">
        <f>"9780415020633"</f>
        <v>9780415020633</v>
      </c>
      <c r="H1267" t="s">
        <v>2907</v>
      </c>
      <c r="I1267" t="s">
        <v>2908</v>
      </c>
      <c r="J1267" t="s">
        <v>2909</v>
      </c>
      <c r="K1267" t="s">
        <v>73</v>
      </c>
      <c r="N1267" t="s">
        <v>74</v>
      </c>
      <c r="O1267" t="s">
        <v>75</v>
      </c>
      <c r="P1267" t="s">
        <v>74</v>
      </c>
      <c r="Q1267" t="s">
        <v>76</v>
      </c>
      <c r="R1267" t="s">
        <v>73</v>
      </c>
      <c r="S1267">
        <v>0</v>
      </c>
      <c r="W1267" s="20">
        <v>4.5138888888888892E-4</v>
      </c>
      <c r="X1267" t="s">
        <v>2910</v>
      </c>
      <c r="Y1267">
        <v>5</v>
      </c>
      <c r="Z1267">
        <v>0</v>
      </c>
      <c r="AA1267" t="s">
        <v>78</v>
      </c>
      <c r="AB1267">
        <v>0</v>
      </c>
      <c r="AC1267" t="s">
        <v>2911</v>
      </c>
      <c r="AD1267">
        <v>1</v>
      </c>
      <c r="AE1267">
        <v>11163958</v>
      </c>
      <c r="AF1267" t="s">
        <v>79</v>
      </c>
      <c r="AG1267" t="s">
        <v>2560</v>
      </c>
    </row>
    <row r="1268" spans="1:33" x14ac:dyDescent="0.35">
      <c r="A1268" s="18">
        <v>44445.887499999997</v>
      </c>
      <c r="B1268">
        <v>3338641</v>
      </c>
      <c r="C1268" t="s">
        <v>2879</v>
      </c>
      <c r="D1268" t="s">
        <v>300</v>
      </c>
      <c r="E1268" s="19">
        <v>39143</v>
      </c>
      <c r="F1268" t="str">
        <f>"9780262282888"</f>
        <v>9780262282888</v>
      </c>
      <c r="G1268" t="str">
        <f>"9780262195577"</f>
        <v>9780262195577</v>
      </c>
      <c r="H1268" t="s">
        <v>595</v>
      </c>
      <c r="I1268" t="s">
        <v>2880</v>
      </c>
      <c r="J1268" t="s">
        <v>2881</v>
      </c>
      <c r="K1268" t="s">
        <v>73</v>
      </c>
      <c r="N1268" t="s">
        <v>74</v>
      </c>
      <c r="O1268" t="s">
        <v>75</v>
      </c>
      <c r="P1268" t="s">
        <v>74</v>
      </c>
      <c r="Q1268" t="s">
        <v>76</v>
      </c>
      <c r="R1268" t="s">
        <v>73</v>
      </c>
      <c r="S1268">
        <v>0</v>
      </c>
      <c r="W1268" s="20">
        <v>1.0416666666666667E-3</v>
      </c>
      <c r="X1268" t="s">
        <v>2912</v>
      </c>
      <c r="Y1268">
        <v>6</v>
      </c>
      <c r="Z1268">
        <v>0</v>
      </c>
      <c r="AA1268" t="s">
        <v>78</v>
      </c>
      <c r="AB1268">
        <v>0</v>
      </c>
      <c r="AC1268" t="s">
        <v>2913</v>
      </c>
      <c r="AD1268">
        <v>1</v>
      </c>
      <c r="AE1268">
        <v>10173702</v>
      </c>
      <c r="AF1268" t="s">
        <v>79</v>
      </c>
      <c r="AG1268" t="s">
        <v>2560</v>
      </c>
    </row>
    <row r="1269" spans="1:33" x14ac:dyDescent="0.35">
      <c r="A1269" s="18">
        <v>44445.884722222225</v>
      </c>
      <c r="B1269">
        <v>5150092</v>
      </c>
      <c r="C1269" t="s">
        <v>2122</v>
      </c>
      <c r="D1269" t="s">
        <v>70</v>
      </c>
      <c r="E1269" s="19">
        <v>43109</v>
      </c>
      <c r="F1269" t="str">
        <f>"9781119054528"</f>
        <v>9781119054528</v>
      </c>
      <c r="G1269" t="str">
        <f>"9781119054498"</f>
        <v>9781119054498</v>
      </c>
      <c r="H1269" t="s">
        <v>2123</v>
      </c>
      <c r="I1269">
        <v>771.3</v>
      </c>
      <c r="J1269" t="s">
        <v>2124</v>
      </c>
      <c r="K1269" t="s">
        <v>73</v>
      </c>
      <c r="N1269" t="s">
        <v>74</v>
      </c>
      <c r="O1269" t="s">
        <v>75</v>
      </c>
      <c r="P1269" t="s">
        <v>74</v>
      </c>
      <c r="Q1269" t="s">
        <v>76</v>
      </c>
      <c r="R1269" t="s">
        <v>73</v>
      </c>
      <c r="S1269">
        <v>0</v>
      </c>
      <c r="W1269" s="20">
        <v>3.0092592592592595E-4</v>
      </c>
      <c r="X1269" t="s">
        <v>2132</v>
      </c>
      <c r="Y1269">
        <v>3</v>
      </c>
      <c r="Z1269">
        <v>0</v>
      </c>
      <c r="AA1269" t="s">
        <v>78</v>
      </c>
      <c r="AB1269">
        <v>0</v>
      </c>
      <c r="AC1269" t="s">
        <v>78</v>
      </c>
      <c r="AD1269">
        <v>0</v>
      </c>
      <c r="AE1269">
        <v>11467816</v>
      </c>
      <c r="AF1269" t="s">
        <v>79</v>
      </c>
      <c r="AG1269" t="s">
        <v>2560</v>
      </c>
    </row>
    <row r="1270" spans="1:33" x14ac:dyDescent="0.35">
      <c r="A1270" s="18">
        <v>44445.831250000003</v>
      </c>
      <c r="B1270">
        <v>422614</v>
      </c>
      <c r="C1270" t="s">
        <v>2914</v>
      </c>
      <c r="D1270" t="s">
        <v>102</v>
      </c>
      <c r="E1270" s="19">
        <v>38575</v>
      </c>
      <c r="F1270" t="str">
        <f>"9780191523830"</f>
        <v>9780191523830</v>
      </c>
      <c r="G1270" t="str">
        <f>"9780198529378"</f>
        <v>9780198529378</v>
      </c>
      <c r="H1270" t="s">
        <v>115</v>
      </c>
      <c r="I1270">
        <v>510.9</v>
      </c>
      <c r="J1270" t="s">
        <v>2915</v>
      </c>
      <c r="K1270" t="s">
        <v>73</v>
      </c>
      <c r="N1270" t="s">
        <v>74</v>
      </c>
      <c r="O1270" t="s">
        <v>75</v>
      </c>
      <c r="P1270" t="s">
        <v>74</v>
      </c>
      <c r="Q1270" t="s">
        <v>76</v>
      </c>
      <c r="R1270" t="s">
        <v>73</v>
      </c>
      <c r="S1270">
        <v>0</v>
      </c>
      <c r="W1270" s="20">
        <v>6.5972222222222213E-4</v>
      </c>
      <c r="X1270" t="s">
        <v>960</v>
      </c>
      <c r="Y1270">
        <v>1</v>
      </c>
      <c r="Z1270">
        <v>0</v>
      </c>
      <c r="AA1270" t="s">
        <v>78</v>
      </c>
      <c r="AB1270">
        <v>0</v>
      </c>
      <c r="AC1270" t="s">
        <v>2916</v>
      </c>
      <c r="AD1270">
        <v>2</v>
      </c>
      <c r="AE1270">
        <v>10233653</v>
      </c>
      <c r="AF1270" t="s">
        <v>79</v>
      </c>
      <c r="AG1270" t="s">
        <v>2560</v>
      </c>
    </row>
    <row r="1271" spans="1:33" x14ac:dyDescent="0.35">
      <c r="A1271" s="18">
        <v>44445.82916666667</v>
      </c>
      <c r="B1271">
        <v>180072</v>
      </c>
      <c r="C1271" t="s">
        <v>2906</v>
      </c>
      <c r="D1271" t="s">
        <v>127</v>
      </c>
      <c r="E1271" s="19">
        <v>35194</v>
      </c>
      <c r="F1271" t="str">
        <f>"9780203403600"</f>
        <v>9780203403600</v>
      </c>
      <c r="G1271" t="str">
        <f>"9780415020633"</f>
        <v>9780415020633</v>
      </c>
      <c r="H1271" t="s">
        <v>2907</v>
      </c>
      <c r="I1271" t="s">
        <v>2908</v>
      </c>
      <c r="J1271" t="s">
        <v>2909</v>
      </c>
      <c r="K1271" t="s">
        <v>73</v>
      </c>
      <c r="N1271" t="s">
        <v>74</v>
      </c>
      <c r="O1271" t="s">
        <v>75</v>
      </c>
      <c r="P1271" t="s">
        <v>74</v>
      </c>
      <c r="Q1271" t="s">
        <v>76</v>
      </c>
      <c r="R1271" t="s">
        <v>73</v>
      </c>
      <c r="S1271">
        <v>0</v>
      </c>
      <c r="W1271" s="20">
        <v>2.199074074074074E-4</v>
      </c>
      <c r="X1271" t="s">
        <v>2917</v>
      </c>
      <c r="Y1271">
        <v>1</v>
      </c>
      <c r="Z1271">
        <v>0</v>
      </c>
      <c r="AA1271" t="s">
        <v>78</v>
      </c>
      <c r="AB1271">
        <v>0</v>
      </c>
      <c r="AC1271" t="s">
        <v>78</v>
      </c>
      <c r="AD1271">
        <v>0</v>
      </c>
      <c r="AE1271">
        <v>11163958</v>
      </c>
      <c r="AF1271" t="s">
        <v>79</v>
      </c>
      <c r="AG1271" t="s">
        <v>2560</v>
      </c>
    </row>
    <row r="1272" spans="1:33" x14ac:dyDescent="0.35">
      <c r="A1272" s="18">
        <v>44445.827777777777</v>
      </c>
      <c r="B1272">
        <v>297086</v>
      </c>
      <c r="C1272" t="s">
        <v>2918</v>
      </c>
      <c r="D1272" t="s">
        <v>158</v>
      </c>
      <c r="E1272" s="19">
        <v>39412</v>
      </c>
      <c r="F1272" t="str">
        <f>"9780080494210"</f>
        <v>9780080494210</v>
      </c>
      <c r="G1272" t="str">
        <f>"9780444530967"</f>
        <v>9780444530967</v>
      </c>
      <c r="H1272" t="s">
        <v>391</v>
      </c>
      <c r="I1272">
        <v>660.01</v>
      </c>
      <c r="J1272" t="s">
        <v>2919</v>
      </c>
      <c r="K1272" t="s">
        <v>73</v>
      </c>
      <c r="N1272" t="s">
        <v>74</v>
      </c>
      <c r="O1272" t="s">
        <v>75</v>
      </c>
      <c r="P1272" t="s">
        <v>74</v>
      </c>
      <c r="Q1272" t="s">
        <v>76</v>
      </c>
      <c r="R1272" t="s">
        <v>73</v>
      </c>
      <c r="S1272">
        <v>0</v>
      </c>
      <c r="W1272" s="20">
        <v>1.6446759259259262E-2</v>
      </c>
      <c r="X1272" t="s">
        <v>2920</v>
      </c>
      <c r="Y1272">
        <v>12</v>
      </c>
      <c r="Z1272">
        <v>0</v>
      </c>
      <c r="AA1272" t="s">
        <v>78</v>
      </c>
      <c r="AB1272">
        <v>0</v>
      </c>
      <c r="AC1272" t="s">
        <v>78</v>
      </c>
      <c r="AD1272">
        <v>0</v>
      </c>
      <c r="AE1272">
        <v>10180912</v>
      </c>
      <c r="AF1272" t="s">
        <v>79</v>
      </c>
      <c r="AG1272" t="s">
        <v>702</v>
      </c>
    </row>
    <row r="1273" spans="1:33" x14ac:dyDescent="0.35">
      <c r="A1273" s="18">
        <v>44445.754166666666</v>
      </c>
      <c r="B1273">
        <v>422614</v>
      </c>
      <c r="C1273" t="s">
        <v>2914</v>
      </c>
      <c r="D1273" t="s">
        <v>102</v>
      </c>
      <c r="E1273" s="19">
        <v>38575</v>
      </c>
      <c r="F1273" t="str">
        <f>"9780191523830"</f>
        <v>9780191523830</v>
      </c>
      <c r="G1273" t="str">
        <f>"9780198529378"</f>
        <v>9780198529378</v>
      </c>
      <c r="H1273" t="s">
        <v>115</v>
      </c>
      <c r="I1273">
        <v>510.9</v>
      </c>
      <c r="J1273" t="s">
        <v>2915</v>
      </c>
      <c r="K1273" t="s">
        <v>73</v>
      </c>
      <c r="N1273" t="s">
        <v>74</v>
      </c>
      <c r="O1273" t="s">
        <v>75</v>
      </c>
      <c r="P1273" t="s">
        <v>74</v>
      </c>
      <c r="Q1273" t="s">
        <v>76</v>
      </c>
      <c r="R1273" t="s">
        <v>73</v>
      </c>
      <c r="S1273">
        <v>0</v>
      </c>
      <c r="W1273" s="20">
        <v>1.0532407407407407E-3</v>
      </c>
      <c r="X1273" t="s">
        <v>2921</v>
      </c>
      <c r="Y1273">
        <v>2</v>
      </c>
      <c r="Z1273">
        <v>0</v>
      </c>
      <c r="AA1273" t="s">
        <v>78</v>
      </c>
      <c r="AB1273">
        <v>0</v>
      </c>
      <c r="AC1273" t="s">
        <v>78</v>
      </c>
      <c r="AD1273">
        <v>0</v>
      </c>
      <c r="AE1273">
        <v>10233653</v>
      </c>
      <c r="AF1273" t="s">
        <v>79</v>
      </c>
      <c r="AG1273" t="s">
        <v>2560</v>
      </c>
    </row>
    <row r="1274" spans="1:33" x14ac:dyDescent="0.35">
      <c r="A1274" s="18">
        <v>44445.736805555556</v>
      </c>
      <c r="B1274">
        <v>882731</v>
      </c>
      <c r="C1274" t="s">
        <v>2309</v>
      </c>
      <c r="D1274" t="s">
        <v>70</v>
      </c>
      <c r="E1274" s="19">
        <v>40973</v>
      </c>
      <c r="F1274" t="str">
        <f>"9781444355857"</f>
        <v>9781444355857</v>
      </c>
      <c r="G1274" t="str">
        <f>"9781444332872"</f>
        <v>9781444332872</v>
      </c>
      <c r="H1274" t="s">
        <v>2310</v>
      </c>
      <c r="I1274">
        <v>175</v>
      </c>
      <c r="J1274" t="s">
        <v>2311</v>
      </c>
      <c r="K1274" t="s">
        <v>73</v>
      </c>
      <c r="N1274" t="s">
        <v>74</v>
      </c>
      <c r="O1274" t="s">
        <v>75</v>
      </c>
      <c r="P1274" t="s">
        <v>74</v>
      </c>
      <c r="Q1274" t="s">
        <v>76</v>
      </c>
      <c r="R1274" t="s">
        <v>73</v>
      </c>
      <c r="S1274">
        <v>1</v>
      </c>
      <c r="W1274" s="20">
        <v>5.3125000000000004E-3</v>
      </c>
      <c r="X1274" t="s">
        <v>2922</v>
      </c>
      <c r="Y1274">
        <v>34</v>
      </c>
      <c r="Z1274">
        <v>1</v>
      </c>
      <c r="AA1274" t="s">
        <v>615</v>
      </c>
      <c r="AB1274">
        <v>4</v>
      </c>
      <c r="AC1274" t="s">
        <v>78</v>
      </c>
      <c r="AD1274">
        <v>0</v>
      </c>
      <c r="AE1274">
        <v>10630487</v>
      </c>
      <c r="AF1274" t="s">
        <v>88</v>
      </c>
      <c r="AG1274" t="s">
        <v>333</v>
      </c>
    </row>
    <row r="1275" spans="1:33" x14ac:dyDescent="0.35">
      <c r="A1275" s="18">
        <v>44445.736805555556</v>
      </c>
      <c r="B1275">
        <v>180072</v>
      </c>
      <c r="C1275" t="s">
        <v>2906</v>
      </c>
      <c r="D1275" t="s">
        <v>127</v>
      </c>
      <c r="E1275" s="19">
        <v>35194</v>
      </c>
      <c r="F1275" t="str">
        <f>"9780203403600"</f>
        <v>9780203403600</v>
      </c>
      <c r="G1275" t="str">
        <f>"9780415020633"</f>
        <v>9780415020633</v>
      </c>
      <c r="H1275" t="s">
        <v>2907</v>
      </c>
      <c r="I1275" t="s">
        <v>2908</v>
      </c>
      <c r="J1275" t="s">
        <v>2909</v>
      </c>
      <c r="K1275" t="s">
        <v>73</v>
      </c>
      <c r="N1275" t="s">
        <v>74</v>
      </c>
      <c r="O1275" t="s">
        <v>75</v>
      </c>
      <c r="P1275" t="s">
        <v>74</v>
      </c>
      <c r="Q1275" t="s">
        <v>76</v>
      </c>
      <c r="R1275" t="s">
        <v>73</v>
      </c>
      <c r="S1275">
        <v>0</v>
      </c>
      <c r="W1275" s="20">
        <v>5.9027777777777778E-4</v>
      </c>
      <c r="X1275" t="s">
        <v>2923</v>
      </c>
      <c r="Y1275">
        <v>2</v>
      </c>
      <c r="Z1275">
        <v>3</v>
      </c>
      <c r="AA1275" t="s">
        <v>2924</v>
      </c>
      <c r="AB1275">
        <v>90</v>
      </c>
      <c r="AC1275" t="s">
        <v>78</v>
      </c>
      <c r="AD1275">
        <v>0</v>
      </c>
      <c r="AE1275">
        <v>11163958</v>
      </c>
      <c r="AF1275" t="s">
        <v>79</v>
      </c>
      <c r="AG1275" t="s">
        <v>2560</v>
      </c>
    </row>
    <row r="1276" spans="1:33" x14ac:dyDescent="0.35">
      <c r="A1276" s="18">
        <v>44445.509722222225</v>
      </c>
      <c r="B1276">
        <v>6145035</v>
      </c>
      <c r="C1276" t="s">
        <v>2925</v>
      </c>
      <c r="D1276" t="s">
        <v>2926</v>
      </c>
      <c r="E1276" s="19">
        <v>41593</v>
      </c>
      <c r="F1276" t="str">
        <f>"9781617119781"</f>
        <v>9781617119781</v>
      </c>
      <c r="G1276" t="str">
        <f>"9781617119774"</f>
        <v>9781617119774</v>
      </c>
      <c r="H1276" t="s">
        <v>222</v>
      </c>
      <c r="I1276">
        <v>617.03</v>
      </c>
      <c r="J1276" t="s">
        <v>2927</v>
      </c>
      <c r="K1276" t="s">
        <v>85</v>
      </c>
      <c r="N1276" t="s">
        <v>86</v>
      </c>
      <c r="P1276" t="s">
        <v>1850</v>
      </c>
      <c r="Q1276" t="s">
        <v>76</v>
      </c>
      <c r="R1276" t="s">
        <v>73</v>
      </c>
      <c r="S1276">
        <v>0</v>
      </c>
      <c r="W1276" s="20">
        <v>1.7708333333333332E-3</v>
      </c>
      <c r="X1276" t="s">
        <v>2928</v>
      </c>
      <c r="Y1276">
        <v>6</v>
      </c>
      <c r="Z1276">
        <v>3</v>
      </c>
      <c r="AA1276" t="s">
        <v>2929</v>
      </c>
      <c r="AB1276">
        <v>70</v>
      </c>
      <c r="AC1276" t="s">
        <v>78</v>
      </c>
      <c r="AD1276">
        <v>0</v>
      </c>
      <c r="AE1276">
        <v>-1</v>
      </c>
      <c r="AF1276" t="s">
        <v>79</v>
      </c>
      <c r="AG1276" t="s">
        <v>702</v>
      </c>
    </row>
    <row r="1277" spans="1:33" x14ac:dyDescent="0.35">
      <c r="A1277" s="18">
        <v>44445.506944444445</v>
      </c>
      <c r="B1277">
        <v>882731</v>
      </c>
      <c r="C1277" t="s">
        <v>2309</v>
      </c>
      <c r="D1277" t="s">
        <v>70</v>
      </c>
      <c r="E1277" s="19">
        <v>40973</v>
      </c>
      <c r="F1277" t="str">
        <f>"9781444355857"</f>
        <v>9781444355857</v>
      </c>
      <c r="G1277" t="str">
        <f>"9781444332872"</f>
        <v>9781444332872</v>
      </c>
      <c r="H1277" t="s">
        <v>2310</v>
      </c>
      <c r="I1277">
        <v>175</v>
      </c>
      <c r="J1277" t="s">
        <v>2311</v>
      </c>
      <c r="K1277" t="s">
        <v>73</v>
      </c>
      <c r="N1277" t="s">
        <v>74</v>
      </c>
      <c r="O1277" t="s">
        <v>75</v>
      </c>
      <c r="P1277" t="s">
        <v>74</v>
      </c>
      <c r="Q1277" t="s">
        <v>76</v>
      </c>
      <c r="R1277" t="s">
        <v>73</v>
      </c>
      <c r="S1277">
        <v>0</v>
      </c>
      <c r="W1277" s="20">
        <v>2.2523148148148143E-2</v>
      </c>
      <c r="X1277" t="s">
        <v>2930</v>
      </c>
      <c r="Y1277">
        <v>20</v>
      </c>
      <c r="Z1277">
        <v>0</v>
      </c>
      <c r="AA1277" t="s">
        <v>78</v>
      </c>
      <c r="AB1277">
        <v>0</v>
      </c>
      <c r="AC1277" t="s">
        <v>78</v>
      </c>
      <c r="AD1277">
        <v>0</v>
      </c>
      <c r="AE1277">
        <v>10630487</v>
      </c>
      <c r="AF1277" t="s">
        <v>79</v>
      </c>
      <c r="AG1277" t="s">
        <v>2560</v>
      </c>
    </row>
    <row r="1278" spans="1:33" x14ac:dyDescent="0.35">
      <c r="A1278" s="18">
        <v>44445.436111111114</v>
      </c>
      <c r="B1278">
        <v>3377053</v>
      </c>
      <c r="C1278" t="s">
        <v>2931</v>
      </c>
      <c r="D1278" t="s">
        <v>351</v>
      </c>
      <c r="E1278" s="19">
        <v>35377</v>
      </c>
      <c r="F1278" t="str">
        <f>"9780309553124"</f>
        <v>9780309553124</v>
      </c>
      <c r="G1278" t="str">
        <f>"9780309055314"</f>
        <v>9780309055314</v>
      </c>
      <c r="H1278" t="s">
        <v>222</v>
      </c>
      <c r="I1278">
        <v>610.28545999999994</v>
      </c>
      <c r="J1278" t="s">
        <v>2932</v>
      </c>
      <c r="K1278" t="s">
        <v>73</v>
      </c>
      <c r="N1278" t="s">
        <v>74</v>
      </c>
      <c r="O1278" t="s">
        <v>75</v>
      </c>
      <c r="P1278" t="s">
        <v>230</v>
      </c>
      <c r="Q1278" t="s">
        <v>76</v>
      </c>
      <c r="R1278" t="s">
        <v>85</v>
      </c>
      <c r="S1278">
        <v>0</v>
      </c>
      <c r="W1278" s="20">
        <v>1.4837962962962963E-2</v>
      </c>
      <c r="X1278" t="s">
        <v>2933</v>
      </c>
      <c r="Y1278">
        <v>51</v>
      </c>
      <c r="Z1278">
        <v>0</v>
      </c>
      <c r="AA1278" t="s">
        <v>78</v>
      </c>
      <c r="AB1278">
        <v>0</v>
      </c>
      <c r="AC1278" t="s">
        <v>2934</v>
      </c>
      <c r="AD1278">
        <v>4</v>
      </c>
      <c r="AE1278">
        <v>10063013</v>
      </c>
      <c r="AF1278" t="s">
        <v>88</v>
      </c>
      <c r="AG1278" t="s">
        <v>2560</v>
      </c>
    </row>
    <row r="1279" spans="1:33" x14ac:dyDescent="0.35">
      <c r="A1279" s="18">
        <v>44445.355555555558</v>
      </c>
      <c r="B1279">
        <v>6124234</v>
      </c>
      <c r="C1279" t="s">
        <v>2935</v>
      </c>
      <c r="D1279" t="s">
        <v>2550</v>
      </c>
      <c r="E1279" s="19">
        <v>43887</v>
      </c>
      <c r="F1279" t="str">
        <f>"9781838552886"</f>
        <v>9781838552886</v>
      </c>
      <c r="G1279" t="str">
        <f>"9781838551308"</f>
        <v>9781838551308</v>
      </c>
      <c r="H1279" t="s">
        <v>1122</v>
      </c>
      <c r="I1279">
        <v>629.89200000000005</v>
      </c>
      <c r="J1279" t="s">
        <v>2936</v>
      </c>
      <c r="K1279" t="s">
        <v>85</v>
      </c>
      <c r="Q1279" t="s">
        <v>76</v>
      </c>
      <c r="R1279" t="s">
        <v>73</v>
      </c>
      <c r="S1279">
        <v>0</v>
      </c>
      <c r="W1279" s="20">
        <v>1.8969907407407408E-2</v>
      </c>
      <c r="X1279" t="s">
        <v>2937</v>
      </c>
      <c r="Y1279">
        <v>8</v>
      </c>
      <c r="Z1279">
        <v>0</v>
      </c>
      <c r="AA1279" t="s">
        <v>78</v>
      </c>
      <c r="AB1279">
        <v>0</v>
      </c>
      <c r="AC1279" t="s">
        <v>78</v>
      </c>
      <c r="AD1279">
        <v>0</v>
      </c>
      <c r="AE1279">
        <v>-1</v>
      </c>
      <c r="AF1279" t="s">
        <v>79</v>
      </c>
      <c r="AG1279" t="s">
        <v>2560</v>
      </c>
    </row>
    <row r="1280" spans="1:33" x14ac:dyDescent="0.35">
      <c r="A1280" s="18">
        <v>44444.973611111112</v>
      </c>
      <c r="B1280">
        <v>667711</v>
      </c>
      <c r="C1280" t="s">
        <v>2938</v>
      </c>
      <c r="D1280" t="s">
        <v>158</v>
      </c>
      <c r="E1280" s="19">
        <v>40617</v>
      </c>
      <c r="F1280" t="str">
        <f>"9780123814760"</f>
        <v>9780123814760</v>
      </c>
      <c r="G1280" t="str">
        <f>"9780123814753"</f>
        <v>9780123814753</v>
      </c>
      <c r="H1280" t="s">
        <v>2939</v>
      </c>
      <c r="I1280" t="s">
        <v>2940</v>
      </c>
      <c r="J1280" t="s">
        <v>2941</v>
      </c>
      <c r="K1280" t="s">
        <v>85</v>
      </c>
      <c r="N1280" t="s">
        <v>86</v>
      </c>
      <c r="P1280" t="s">
        <v>87</v>
      </c>
      <c r="Q1280" t="s">
        <v>76</v>
      </c>
      <c r="R1280" t="s">
        <v>73</v>
      </c>
      <c r="S1280">
        <v>0</v>
      </c>
      <c r="W1280" s="20">
        <v>2.1296296296296298E-3</v>
      </c>
      <c r="X1280" t="s">
        <v>2942</v>
      </c>
      <c r="Y1280">
        <v>19</v>
      </c>
      <c r="Z1280">
        <v>0</v>
      </c>
      <c r="AA1280" t="s">
        <v>78</v>
      </c>
      <c r="AB1280">
        <v>0</v>
      </c>
      <c r="AC1280" t="s">
        <v>78</v>
      </c>
      <c r="AD1280">
        <v>0</v>
      </c>
      <c r="AE1280">
        <v>10446587</v>
      </c>
      <c r="AF1280" t="s">
        <v>79</v>
      </c>
      <c r="AG1280" t="s">
        <v>1009</v>
      </c>
    </row>
    <row r="1281" spans="1:33" x14ac:dyDescent="0.35">
      <c r="A1281" s="18">
        <v>44444.890277777777</v>
      </c>
      <c r="B1281">
        <v>6148234</v>
      </c>
      <c r="C1281" t="s">
        <v>2943</v>
      </c>
      <c r="D1281" t="s">
        <v>127</v>
      </c>
      <c r="E1281" s="19">
        <v>43941</v>
      </c>
      <c r="F1281" t="str">
        <f>"9780429561177"</f>
        <v>9780429561177</v>
      </c>
      <c r="G1281" t="str">
        <f>"9780367217907"</f>
        <v>9780367217907</v>
      </c>
      <c r="H1281" t="s">
        <v>1122</v>
      </c>
      <c r="I1281">
        <v>629.46</v>
      </c>
      <c r="J1281" t="s">
        <v>2944</v>
      </c>
      <c r="K1281" t="s">
        <v>85</v>
      </c>
      <c r="Q1281" t="s">
        <v>76</v>
      </c>
      <c r="R1281" t="s">
        <v>73</v>
      </c>
      <c r="S1281">
        <v>0</v>
      </c>
      <c r="W1281" s="20">
        <v>4.2824074074074075E-4</v>
      </c>
      <c r="X1281" t="s">
        <v>78</v>
      </c>
      <c r="Y1281">
        <v>0</v>
      </c>
      <c r="Z1281">
        <v>0</v>
      </c>
      <c r="AA1281" t="s">
        <v>78</v>
      </c>
      <c r="AB1281">
        <v>0</v>
      </c>
      <c r="AC1281" t="s">
        <v>78</v>
      </c>
      <c r="AD1281">
        <v>0</v>
      </c>
      <c r="AE1281">
        <v>-1</v>
      </c>
      <c r="AF1281" t="s">
        <v>88</v>
      </c>
      <c r="AG1281" t="s">
        <v>2945</v>
      </c>
    </row>
    <row r="1282" spans="1:33" x14ac:dyDescent="0.35">
      <c r="A1282" s="18">
        <v>44444.777777777781</v>
      </c>
      <c r="B1282">
        <v>232141</v>
      </c>
      <c r="C1282" t="s">
        <v>2946</v>
      </c>
      <c r="D1282" t="s">
        <v>158</v>
      </c>
      <c r="E1282" s="19">
        <v>38457</v>
      </c>
      <c r="F1282" t="str">
        <f>"9780080476520"</f>
        <v>9780080476520</v>
      </c>
      <c r="G1282" t="str">
        <f>"9780120884933"</f>
        <v>9780120884933</v>
      </c>
      <c r="H1282" t="s">
        <v>222</v>
      </c>
      <c r="I1282" t="s">
        <v>2947</v>
      </c>
      <c r="J1282" t="s">
        <v>2948</v>
      </c>
      <c r="K1282" t="s">
        <v>73</v>
      </c>
      <c r="N1282" t="s">
        <v>74</v>
      </c>
      <c r="O1282" t="s">
        <v>75</v>
      </c>
      <c r="P1282" t="s">
        <v>74</v>
      </c>
      <c r="Q1282" t="s">
        <v>76</v>
      </c>
      <c r="R1282" t="s">
        <v>73</v>
      </c>
      <c r="S1282">
        <v>0</v>
      </c>
      <c r="W1282" s="20">
        <v>1.5046296296296297E-4</v>
      </c>
      <c r="X1282" t="s">
        <v>1492</v>
      </c>
      <c r="Y1282">
        <v>2</v>
      </c>
      <c r="Z1282">
        <v>0</v>
      </c>
      <c r="AA1282" t="s">
        <v>78</v>
      </c>
      <c r="AB1282">
        <v>0</v>
      </c>
      <c r="AC1282" t="s">
        <v>78</v>
      </c>
      <c r="AD1282">
        <v>0</v>
      </c>
      <c r="AE1282">
        <v>10127908</v>
      </c>
      <c r="AF1282" t="s">
        <v>79</v>
      </c>
      <c r="AG1282" t="s">
        <v>2949</v>
      </c>
    </row>
    <row r="1283" spans="1:33" x14ac:dyDescent="0.35">
      <c r="A1283" s="18">
        <v>44444.681944444441</v>
      </c>
      <c r="B1283">
        <v>882731</v>
      </c>
      <c r="C1283" t="s">
        <v>2309</v>
      </c>
      <c r="D1283" t="s">
        <v>70</v>
      </c>
      <c r="E1283" s="19">
        <v>40973</v>
      </c>
      <c r="F1283" t="str">
        <f>"9781444355857"</f>
        <v>9781444355857</v>
      </c>
      <c r="G1283" t="str">
        <f>"9781444332872"</f>
        <v>9781444332872</v>
      </c>
      <c r="H1283" t="s">
        <v>2310</v>
      </c>
      <c r="I1283">
        <v>175</v>
      </c>
      <c r="J1283" t="s">
        <v>2311</v>
      </c>
      <c r="K1283" t="s">
        <v>73</v>
      </c>
      <c r="N1283" t="s">
        <v>74</v>
      </c>
      <c r="O1283" t="s">
        <v>75</v>
      </c>
      <c r="P1283" t="s">
        <v>74</v>
      </c>
      <c r="Q1283" t="s">
        <v>76</v>
      </c>
      <c r="R1283" t="s">
        <v>73</v>
      </c>
      <c r="S1283">
        <v>0</v>
      </c>
      <c r="W1283" s="20">
        <v>2.685185185185185E-3</v>
      </c>
      <c r="X1283" t="s">
        <v>2950</v>
      </c>
      <c r="Y1283">
        <v>12</v>
      </c>
      <c r="Z1283">
        <v>0</v>
      </c>
      <c r="AA1283" t="s">
        <v>2951</v>
      </c>
      <c r="AB1283">
        <v>17</v>
      </c>
      <c r="AC1283" t="s">
        <v>78</v>
      </c>
      <c r="AD1283">
        <v>0</v>
      </c>
      <c r="AE1283">
        <v>10630487</v>
      </c>
      <c r="AF1283" t="s">
        <v>79</v>
      </c>
      <c r="AG1283" t="s">
        <v>2364</v>
      </c>
    </row>
    <row r="1284" spans="1:33" x14ac:dyDescent="0.35">
      <c r="A1284" s="18">
        <v>44444.637499999997</v>
      </c>
      <c r="B1284">
        <v>1204633</v>
      </c>
      <c r="C1284" t="s">
        <v>1560</v>
      </c>
      <c r="D1284" t="s">
        <v>70</v>
      </c>
      <c r="E1284" s="19">
        <v>41512</v>
      </c>
      <c r="F1284" t="str">
        <f>"9781118450444"</f>
        <v>9781118450444</v>
      </c>
      <c r="G1284" t="str">
        <f>"9780470673768"</f>
        <v>9780470673768</v>
      </c>
      <c r="H1284" t="s">
        <v>1561</v>
      </c>
      <c r="I1284">
        <v>552.5</v>
      </c>
      <c r="J1284" t="s">
        <v>1562</v>
      </c>
      <c r="K1284" t="s">
        <v>73</v>
      </c>
      <c r="N1284" t="s">
        <v>74</v>
      </c>
      <c r="O1284" t="s">
        <v>75</v>
      </c>
      <c r="P1284" t="s">
        <v>74</v>
      </c>
      <c r="Q1284" t="s">
        <v>76</v>
      </c>
      <c r="R1284" t="s">
        <v>73</v>
      </c>
      <c r="S1284">
        <v>0</v>
      </c>
      <c r="W1284" s="20">
        <v>2.0717592592592593E-3</v>
      </c>
      <c r="X1284" t="s">
        <v>2952</v>
      </c>
      <c r="Y1284">
        <v>4</v>
      </c>
      <c r="Z1284">
        <v>1</v>
      </c>
      <c r="AA1284" t="s">
        <v>2953</v>
      </c>
      <c r="AB1284">
        <v>31</v>
      </c>
      <c r="AC1284" t="s">
        <v>78</v>
      </c>
      <c r="AD1284">
        <v>0</v>
      </c>
      <c r="AE1284">
        <v>10713576</v>
      </c>
      <c r="AF1284" t="s">
        <v>79</v>
      </c>
      <c r="AG1284" t="s">
        <v>2560</v>
      </c>
    </row>
    <row r="1285" spans="1:33" x14ac:dyDescent="0.35">
      <c r="A1285" s="18">
        <v>44444.602777777778</v>
      </c>
      <c r="B1285">
        <v>882731</v>
      </c>
      <c r="C1285" t="s">
        <v>2309</v>
      </c>
      <c r="D1285" t="s">
        <v>70</v>
      </c>
      <c r="E1285" s="19">
        <v>40973</v>
      </c>
      <c r="F1285" t="str">
        <f>"9781444355857"</f>
        <v>9781444355857</v>
      </c>
      <c r="G1285" t="str">
        <f>"9781444332872"</f>
        <v>9781444332872</v>
      </c>
      <c r="H1285" t="s">
        <v>2310</v>
      </c>
      <c r="I1285">
        <v>175</v>
      </c>
      <c r="J1285" t="s">
        <v>2311</v>
      </c>
      <c r="K1285" t="s">
        <v>73</v>
      </c>
      <c r="N1285" t="s">
        <v>74</v>
      </c>
      <c r="O1285" t="s">
        <v>75</v>
      </c>
      <c r="P1285" t="s">
        <v>74</v>
      </c>
      <c r="Q1285" t="s">
        <v>76</v>
      </c>
      <c r="R1285" t="s">
        <v>73</v>
      </c>
      <c r="S1285">
        <v>0</v>
      </c>
      <c r="W1285" s="20">
        <v>2.2569444444444447E-3</v>
      </c>
      <c r="X1285" t="s">
        <v>2726</v>
      </c>
      <c r="Y1285">
        <v>5</v>
      </c>
      <c r="Z1285">
        <v>0</v>
      </c>
      <c r="AA1285" t="s">
        <v>78</v>
      </c>
      <c r="AB1285">
        <v>0</v>
      </c>
      <c r="AC1285" t="s">
        <v>78</v>
      </c>
      <c r="AD1285">
        <v>0</v>
      </c>
      <c r="AE1285">
        <v>10630487</v>
      </c>
      <c r="AF1285" t="s">
        <v>79</v>
      </c>
      <c r="AG1285" t="s">
        <v>2560</v>
      </c>
    </row>
    <row r="1286" spans="1:33" x14ac:dyDescent="0.35">
      <c r="A1286" s="18">
        <v>44444.521527777775</v>
      </c>
      <c r="B1286">
        <v>882731</v>
      </c>
      <c r="C1286" t="s">
        <v>2309</v>
      </c>
      <c r="D1286" t="s">
        <v>70</v>
      </c>
      <c r="E1286" s="19">
        <v>40973</v>
      </c>
      <c r="F1286" t="str">
        <f>"9781444355857"</f>
        <v>9781444355857</v>
      </c>
      <c r="G1286" t="str">
        <f>"9781444332872"</f>
        <v>9781444332872</v>
      </c>
      <c r="H1286" t="s">
        <v>2310</v>
      </c>
      <c r="I1286">
        <v>175</v>
      </c>
      <c r="J1286" t="s">
        <v>2311</v>
      </c>
      <c r="K1286" t="s">
        <v>73</v>
      </c>
      <c r="N1286" t="s">
        <v>74</v>
      </c>
      <c r="O1286" t="s">
        <v>75</v>
      </c>
      <c r="P1286" t="s">
        <v>74</v>
      </c>
      <c r="Q1286" t="s">
        <v>76</v>
      </c>
      <c r="R1286" t="s">
        <v>73</v>
      </c>
      <c r="S1286">
        <v>0</v>
      </c>
      <c r="W1286" s="20">
        <v>6.3310185185185197E-3</v>
      </c>
      <c r="X1286" t="s">
        <v>2954</v>
      </c>
      <c r="Y1286">
        <v>19</v>
      </c>
      <c r="Z1286">
        <v>0</v>
      </c>
      <c r="AA1286" t="s">
        <v>78</v>
      </c>
      <c r="AB1286">
        <v>0</v>
      </c>
      <c r="AC1286" t="s">
        <v>78</v>
      </c>
      <c r="AD1286">
        <v>0</v>
      </c>
      <c r="AE1286">
        <v>10630487</v>
      </c>
      <c r="AF1286" t="s">
        <v>79</v>
      </c>
      <c r="AG1286" t="s">
        <v>2560</v>
      </c>
    </row>
    <row r="1287" spans="1:33" x14ac:dyDescent="0.35">
      <c r="A1287" s="18">
        <v>44444.490277777775</v>
      </c>
      <c r="B1287">
        <v>4187267</v>
      </c>
      <c r="C1287" t="s">
        <v>2955</v>
      </c>
      <c r="D1287" t="s">
        <v>70</v>
      </c>
      <c r="E1287" s="19">
        <v>42310</v>
      </c>
      <c r="F1287" t="str">
        <f>"9781119002062"</f>
        <v>9781119002062</v>
      </c>
      <c r="G1287" t="str">
        <f>"9781119002253"</f>
        <v>9781119002253</v>
      </c>
      <c r="H1287" t="s">
        <v>2956</v>
      </c>
      <c r="I1287">
        <v>1.4226000000000001</v>
      </c>
      <c r="J1287" t="s">
        <v>2957</v>
      </c>
      <c r="K1287" t="s">
        <v>73</v>
      </c>
      <c r="N1287" t="s">
        <v>74</v>
      </c>
      <c r="O1287" t="s">
        <v>75</v>
      </c>
      <c r="P1287" t="s">
        <v>74</v>
      </c>
      <c r="Q1287" t="s">
        <v>76</v>
      </c>
      <c r="R1287" t="s">
        <v>73</v>
      </c>
      <c r="S1287">
        <v>0</v>
      </c>
      <c r="W1287" s="20">
        <v>2.8124999999999995E-3</v>
      </c>
      <c r="X1287" t="s">
        <v>2958</v>
      </c>
      <c r="Y1287">
        <v>7</v>
      </c>
      <c r="Z1287">
        <v>1</v>
      </c>
      <c r="AA1287" t="s">
        <v>2959</v>
      </c>
      <c r="AB1287">
        <v>10</v>
      </c>
      <c r="AC1287" t="s">
        <v>78</v>
      </c>
      <c r="AD1287">
        <v>0</v>
      </c>
      <c r="AE1287">
        <v>11128117</v>
      </c>
      <c r="AF1287" t="s">
        <v>88</v>
      </c>
      <c r="AG1287" t="s">
        <v>2560</v>
      </c>
    </row>
    <row r="1288" spans="1:33" x14ac:dyDescent="0.35">
      <c r="A1288" s="18">
        <v>44444.479861111111</v>
      </c>
      <c r="B1288">
        <v>5754433</v>
      </c>
      <c r="C1288" t="s">
        <v>649</v>
      </c>
      <c r="D1288" t="s">
        <v>158</v>
      </c>
      <c r="E1288" s="19">
        <v>41474</v>
      </c>
      <c r="F1288" t="str">
        <f>"9780124058934"</f>
        <v>9780124058934</v>
      </c>
      <c r="G1288" t="str">
        <f>"9780124058767"</f>
        <v>9780124058767</v>
      </c>
      <c r="H1288" t="s">
        <v>115</v>
      </c>
      <c r="I1288">
        <v>518.02855299999999</v>
      </c>
      <c r="J1288" t="s">
        <v>652</v>
      </c>
      <c r="K1288" t="s">
        <v>73</v>
      </c>
      <c r="N1288" t="s">
        <v>74</v>
      </c>
      <c r="O1288" t="s">
        <v>75</v>
      </c>
      <c r="P1288" t="s">
        <v>74</v>
      </c>
      <c r="Q1288" t="s">
        <v>76</v>
      </c>
      <c r="R1288" t="s">
        <v>73</v>
      </c>
      <c r="S1288">
        <v>0</v>
      </c>
      <c r="W1288" s="20">
        <v>2.1180555555555553E-3</v>
      </c>
      <c r="X1288" t="s">
        <v>2960</v>
      </c>
      <c r="Y1288">
        <v>38</v>
      </c>
      <c r="Z1288">
        <v>0</v>
      </c>
      <c r="AA1288" t="s">
        <v>78</v>
      </c>
      <c r="AB1288">
        <v>0</v>
      </c>
      <c r="AC1288" t="s">
        <v>78</v>
      </c>
      <c r="AD1288">
        <v>0</v>
      </c>
      <c r="AE1288">
        <v>-1</v>
      </c>
      <c r="AF1288" t="s">
        <v>79</v>
      </c>
      <c r="AG1288" t="s">
        <v>2560</v>
      </c>
    </row>
    <row r="1289" spans="1:33" x14ac:dyDescent="0.35">
      <c r="A1289" s="18">
        <v>44444.448611111111</v>
      </c>
      <c r="B1289">
        <v>4044598</v>
      </c>
      <c r="C1289" t="s">
        <v>2961</v>
      </c>
      <c r="D1289" t="s">
        <v>70</v>
      </c>
      <c r="E1289" s="19">
        <v>42282</v>
      </c>
      <c r="F1289" t="str">
        <f>"9783527684168"</f>
        <v>9783527684168</v>
      </c>
      <c r="G1289" t="str">
        <f>"9783527413249"</f>
        <v>9783527413249</v>
      </c>
      <c r="H1289" t="s">
        <v>2962</v>
      </c>
      <c r="I1289" t="s">
        <v>2963</v>
      </c>
      <c r="J1289" t="s">
        <v>2964</v>
      </c>
      <c r="K1289" t="s">
        <v>73</v>
      </c>
      <c r="N1289" t="s">
        <v>74</v>
      </c>
      <c r="O1289" t="s">
        <v>75</v>
      </c>
      <c r="P1289" t="s">
        <v>74</v>
      </c>
      <c r="Q1289" t="s">
        <v>76</v>
      </c>
      <c r="R1289" t="s">
        <v>73</v>
      </c>
      <c r="S1289">
        <v>2</v>
      </c>
      <c r="W1289" s="20">
        <v>0</v>
      </c>
      <c r="X1289" t="s">
        <v>78</v>
      </c>
      <c r="Y1289">
        <v>0</v>
      </c>
      <c r="Z1289">
        <v>3</v>
      </c>
      <c r="AA1289" t="s">
        <v>2965</v>
      </c>
      <c r="AB1289">
        <v>42</v>
      </c>
      <c r="AC1289" t="s">
        <v>78</v>
      </c>
      <c r="AD1289">
        <v>0</v>
      </c>
      <c r="AE1289">
        <v>11116437</v>
      </c>
      <c r="AF1289" t="s">
        <v>88</v>
      </c>
      <c r="AG1289" t="s">
        <v>2560</v>
      </c>
    </row>
    <row r="1290" spans="1:33" x14ac:dyDescent="0.35">
      <c r="A1290" s="18">
        <v>44444.447916666664</v>
      </c>
      <c r="B1290">
        <v>4183001</v>
      </c>
      <c r="C1290" t="s">
        <v>580</v>
      </c>
      <c r="D1290" t="s">
        <v>70</v>
      </c>
      <c r="E1290" s="19">
        <v>42359</v>
      </c>
      <c r="F1290" t="str">
        <f>"9781118972311"</f>
        <v>9781118972311</v>
      </c>
      <c r="G1290" t="str">
        <f>"9781118972304"</f>
        <v>9781118972304</v>
      </c>
      <c r="H1290" t="s">
        <v>308</v>
      </c>
      <c r="I1290">
        <v>297</v>
      </c>
      <c r="J1290" t="s">
        <v>581</v>
      </c>
      <c r="K1290" t="s">
        <v>73</v>
      </c>
      <c r="N1290" t="s">
        <v>74</v>
      </c>
      <c r="O1290" t="s">
        <v>75</v>
      </c>
      <c r="P1290" t="s">
        <v>74</v>
      </c>
      <c r="Q1290" t="s">
        <v>76</v>
      </c>
      <c r="R1290" t="s">
        <v>73</v>
      </c>
      <c r="S1290">
        <v>1</v>
      </c>
      <c r="W1290" s="20">
        <v>0</v>
      </c>
      <c r="X1290" t="s">
        <v>78</v>
      </c>
      <c r="Y1290">
        <v>0</v>
      </c>
      <c r="Z1290">
        <v>0</v>
      </c>
      <c r="AA1290" t="s">
        <v>78</v>
      </c>
      <c r="AB1290">
        <v>0</v>
      </c>
      <c r="AC1290" t="s">
        <v>78</v>
      </c>
      <c r="AD1290">
        <v>0</v>
      </c>
      <c r="AE1290">
        <v>11124854</v>
      </c>
      <c r="AF1290" t="s">
        <v>88</v>
      </c>
      <c r="AG1290" t="s">
        <v>2966</v>
      </c>
    </row>
    <row r="1291" spans="1:33" x14ac:dyDescent="0.35">
      <c r="A1291" s="18">
        <v>44444.444444444445</v>
      </c>
      <c r="B1291">
        <v>3137255</v>
      </c>
      <c r="C1291" t="s">
        <v>2967</v>
      </c>
      <c r="D1291" t="s">
        <v>2968</v>
      </c>
      <c r="E1291" s="19">
        <v>39052</v>
      </c>
      <c r="F1291" t="str">
        <f>"9786155211409"</f>
        <v>9786155211409</v>
      </c>
      <c r="G1291" t="str">
        <f>"9789637326738"</f>
        <v>9789637326738</v>
      </c>
      <c r="H1291" t="s">
        <v>1620</v>
      </c>
      <c r="I1291" t="s">
        <v>2969</v>
      </c>
      <c r="J1291" t="s">
        <v>2970</v>
      </c>
      <c r="K1291" t="s">
        <v>73</v>
      </c>
      <c r="N1291" t="s">
        <v>74</v>
      </c>
      <c r="O1291" t="s">
        <v>75</v>
      </c>
      <c r="P1291" t="s">
        <v>230</v>
      </c>
      <c r="Q1291" t="s">
        <v>76</v>
      </c>
      <c r="R1291" t="s">
        <v>85</v>
      </c>
      <c r="S1291">
        <v>1</v>
      </c>
      <c r="W1291" s="20">
        <v>0</v>
      </c>
      <c r="X1291" t="s">
        <v>78</v>
      </c>
      <c r="Y1291">
        <v>0</v>
      </c>
      <c r="Z1291">
        <v>0</v>
      </c>
      <c r="AA1291" t="s">
        <v>78</v>
      </c>
      <c r="AB1291">
        <v>0</v>
      </c>
      <c r="AC1291" t="s">
        <v>78</v>
      </c>
      <c r="AD1291">
        <v>0</v>
      </c>
      <c r="AE1291">
        <v>10202442</v>
      </c>
      <c r="AF1291" t="s">
        <v>88</v>
      </c>
      <c r="AG1291" t="s">
        <v>2966</v>
      </c>
    </row>
    <row r="1292" spans="1:33" x14ac:dyDescent="0.35">
      <c r="A1292" s="18">
        <v>44444.416666666664</v>
      </c>
      <c r="B1292">
        <v>1895205</v>
      </c>
      <c r="C1292" t="s">
        <v>2354</v>
      </c>
      <c r="D1292" t="s">
        <v>70</v>
      </c>
      <c r="E1292" s="19">
        <v>42121</v>
      </c>
      <c r="F1292" t="str">
        <f>"9781118999882"</f>
        <v>9781118999882</v>
      </c>
      <c r="G1292" t="str">
        <f>"9781118999875"</f>
        <v>9781118999875</v>
      </c>
      <c r="H1292" t="s">
        <v>110</v>
      </c>
      <c r="I1292">
        <v>5.4459999999999997</v>
      </c>
      <c r="J1292" t="s">
        <v>2355</v>
      </c>
      <c r="K1292" t="s">
        <v>73</v>
      </c>
      <c r="N1292" t="s">
        <v>74</v>
      </c>
      <c r="O1292" t="s">
        <v>75</v>
      </c>
      <c r="P1292" t="s">
        <v>74</v>
      </c>
      <c r="Q1292" t="s">
        <v>76</v>
      </c>
      <c r="R1292" t="s">
        <v>73</v>
      </c>
      <c r="S1292">
        <v>0</v>
      </c>
      <c r="W1292" s="20">
        <v>5.7870370370370378E-4</v>
      </c>
      <c r="X1292" t="s">
        <v>2971</v>
      </c>
      <c r="Y1292">
        <v>3</v>
      </c>
      <c r="Z1292">
        <v>0</v>
      </c>
      <c r="AA1292" t="s">
        <v>78</v>
      </c>
      <c r="AB1292">
        <v>0</v>
      </c>
      <c r="AC1292" t="s">
        <v>78</v>
      </c>
      <c r="AD1292">
        <v>0</v>
      </c>
      <c r="AE1292">
        <v>11047025</v>
      </c>
      <c r="AF1292" t="s">
        <v>79</v>
      </c>
      <c r="AG1292" t="s">
        <v>2972</v>
      </c>
    </row>
    <row r="1293" spans="1:33" x14ac:dyDescent="0.35">
      <c r="A1293" s="18">
        <v>44444.100694444445</v>
      </c>
      <c r="B1293">
        <v>294136</v>
      </c>
      <c r="C1293" t="s">
        <v>2973</v>
      </c>
      <c r="D1293" t="s">
        <v>158</v>
      </c>
      <c r="E1293" s="19">
        <v>38050</v>
      </c>
      <c r="F1293" t="str">
        <f>"9780080477893"</f>
        <v>9780080477893</v>
      </c>
      <c r="G1293" t="str">
        <f>"9780750661645"</f>
        <v>9780750661645</v>
      </c>
      <c r="H1293" t="s">
        <v>97</v>
      </c>
      <c r="I1293">
        <v>624.15015117999997</v>
      </c>
      <c r="J1293" t="s">
        <v>2974</v>
      </c>
      <c r="K1293" t="s">
        <v>73</v>
      </c>
      <c r="N1293" t="s">
        <v>74</v>
      </c>
      <c r="O1293" t="s">
        <v>75</v>
      </c>
      <c r="P1293" t="s">
        <v>74</v>
      </c>
      <c r="Q1293" t="s">
        <v>76</v>
      </c>
      <c r="R1293" t="s">
        <v>73</v>
      </c>
      <c r="S1293">
        <v>0</v>
      </c>
      <c r="W1293" s="20">
        <v>6.9444444444444444E-5</v>
      </c>
      <c r="X1293" t="s">
        <v>928</v>
      </c>
      <c r="Y1293">
        <v>1</v>
      </c>
      <c r="Z1293">
        <v>0</v>
      </c>
      <c r="AA1293" t="s">
        <v>78</v>
      </c>
      <c r="AB1293">
        <v>0</v>
      </c>
      <c r="AC1293" t="s">
        <v>78</v>
      </c>
      <c r="AD1293">
        <v>0</v>
      </c>
      <c r="AE1293">
        <v>10185998</v>
      </c>
      <c r="AF1293" t="s">
        <v>79</v>
      </c>
      <c r="AG1293" t="s">
        <v>2364</v>
      </c>
    </row>
    <row r="1294" spans="1:33" x14ac:dyDescent="0.35">
      <c r="A1294" s="18">
        <v>44444.030555555553</v>
      </c>
      <c r="B1294">
        <v>294136</v>
      </c>
      <c r="C1294" t="s">
        <v>2973</v>
      </c>
      <c r="D1294" t="s">
        <v>158</v>
      </c>
      <c r="E1294" s="19">
        <v>38050</v>
      </c>
      <c r="F1294" t="str">
        <f>"9780080477893"</f>
        <v>9780080477893</v>
      </c>
      <c r="G1294" t="str">
        <f>"9780750661645"</f>
        <v>9780750661645</v>
      </c>
      <c r="H1294" t="s">
        <v>97</v>
      </c>
      <c r="I1294">
        <v>624.15015117999997</v>
      </c>
      <c r="J1294" t="s">
        <v>2974</v>
      </c>
      <c r="K1294" t="s">
        <v>73</v>
      </c>
      <c r="N1294" t="s">
        <v>74</v>
      </c>
      <c r="O1294" t="s">
        <v>75</v>
      </c>
      <c r="P1294" t="s">
        <v>74</v>
      </c>
      <c r="Q1294" t="s">
        <v>76</v>
      </c>
      <c r="R1294" t="s">
        <v>73</v>
      </c>
      <c r="S1294">
        <v>1</v>
      </c>
      <c r="W1294" s="20">
        <v>8.3449074074074085E-3</v>
      </c>
      <c r="X1294" t="s">
        <v>2975</v>
      </c>
      <c r="Y1294">
        <v>16</v>
      </c>
      <c r="Z1294">
        <v>0</v>
      </c>
      <c r="AA1294" t="s">
        <v>78</v>
      </c>
      <c r="AB1294">
        <v>0</v>
      </c>
      <c r="AC1294" t="s">
        <v>78</v>
      </c>
      <c r="AD1294">
        <v>0</v>
      </c>
      <c r="AE1294">
        <v>10185998</v>
      </c>
      <c r="AF1294" t="s">
        <v>88</v>
      </c>
      <c r="AG1294" t="s">
        <v>2364</v>
      </c>
    </row>
    <row r="1295" spans="1:33" x14ac:dyDescent="0.35">
      <c r="A1295" s="18">
        <v>44444.029166666667</v>
      </c>
      <c r="B1295">
        <v>294136</v>
      </c>
      <c r="C1295" t="s">
        <v>2973</v>
      </c>
      <c r="D1295" t="s">
        <v>158</v>
      </c>
      <c r="E1295" s="19">
        <v>38050</v>
      </c>
      <c r="F1295" t="str">
        <f>"9780080477893"</f>
        <v>9780080477893</v>
      </c>
      <c r="G1295" t="str">
        <f>"9780750661645"</f>
        <v>9780750661645</v>
      </c>
      <c r="H1295" t="s">
        <v>97</v>
      </c>
      <c r="I1295">
        <v>624.15015117999997</v>
      </c>
      <c r="J1295" t="s">
        <v>2974</v>
      </c>
      <c r="K1295" t="s">
        <v>73</v>
      </c>
      <c r="N1295" t="s">
        <v>74</v>
      </c>
      <c r="O1295" t="s">
        <v>75</v>
      </c>
      <c r="P1295" t="s">
        <v>74</v>
      </c>
      <c r="Q1295" t="s">
        <v>76</v>
      </c>
      <c r="R1295" t="s">
        <v>73</v>
      </c>
      <c r="S1295">
        <v>0</v>
      </c>
      <c r="W1295" s="20">
        <v>1.6319444444444445E-3</v>
      </c>
      <c r="X1295" t="s">
        <v>2976</v>
      </c>
      <c r="Y1295">
        <v>6</v>
      </c>
      <c r="Z1295">
        <v>0</v>
      </c>
      <c r="AA1295" t="s">
        <v>78</v>
      </c>
      <c r="AB1295">
        <v>0</v>
      </c>
      <c r="AC1295" t="s">
        <v>78</v>
      </c>
      <c r="AD1295">
        <v>0</v>
      </c>
      <c r="AE1295">
        <v>10185998</v>
      </c>
      <c r="AF1295" t="s">
        <v>88</v>
      </c>
      <c r="AG1295" t="s">
        <v>2364</v>
      </c>
    </row>
    <row r="1296" spans="1:33" x14ac:dyDescent="0.35">
      <c r="A1296" s="18">
        <v>44443.974305555559</v>
      </c>
      <c r="B1296">
        <v>294136</v>
      </c>
      <c r="C1296" t="s">
        <v>2973</v>
      </c>
      <c r="D1296" t="s">
        <v>158</v>
      </c>
      <c r="E1296" s="19">
        <v>38050</v>
      </c>
      <c r="F1296" t="str">
        <f>"9780080477893"</f>
        <v>9780080477893</v>
      </c>
      <c r="G1296" t="str">
        <f>"9780750661645"</f>
        <v>9780750661645</v>
      </c>
      <c r="H1296" t="s">
        <v>97</v>
      </c>
      <c r="I1296">
        <v>624.15015117999997</v>
      </c>
      <c r="J1296" t="s">
        <v>2974</v>
      </c>
      <c r="K1296" t="s">
        <v>73</v>
      </c>
      <c r="N1296" t="s">
        <v>74</v>
      </c>
      <c r="O1296" t="s">
        <v>75</v>
      </c>
      <c r="P1296" t="s">
        <v>74</v>
      </c>
      <c r="Q1296" t="s">
        <v>76</v>
      </c>
      <c r="R1296" t="s">
        <v>73</v>
      </c>
      <c r="S1296">
        <v>0</v>
      </c>
      <c r="W1296" s="20">
        <v>5.5555555555555558E-3</v>
      </c>
      <c r="X1296" t="s">
        <v>2977</v>
      </c>
      <c r="Y1296">
        <v>15</v>
      </c>
      <c r="Z1296">
        <v>0</v>
      </c>
      <c r="AA1296" t="s">
        <v>78</v>
      </c>
      <c r="AB1296">
        <v>0</v>
      </c>
      <c r="AC1296" t="s">
        <v>78</v>
      </c>
      <c r="AD1296">
        <v>0</v>
      </c>
      <c r="AE1296">
        <v>10185998</v>
      </c>
      <c r="AF1296" t="s">
        <v>79</v>
      </c>
      <c r="AG1296" t="s">
        <v>2364</v>
      </c>
    </row>
    <row r="1297" spans="1:33" x14ac:dyDescent="0.35">
      <c r="A1297" s="18">
        <v>44443.931250000001</v>
      </c>
      <c r="B1297">
        <v>1117147</v>
      </c>
      <c r="C1297" t="s">
        <v>2978</v>
      </c>
      <c r="D1297" t="s">
        <v>209</v>
      </c>
      <c r="E1297" s="19">
        <v>41291</v>
      </c>
      <c r="F1297" t="str">
        <f>"9780739175460"</f>
        <v>9780739175460</v>
      </c>
      <c r="G1297" t="str">
        <f>"9780739175453"</f>
        <v>9780739175453</v>
      </c>
      <c r="H1297" t="s">
        <v>822</v>
      </c>
      <c r="I1297">
        <v>780.95609999999999</v>
      </c>
      <c r="J1297" t="s">
        <v>2979</v>
      </c>
      <c r="K1297" t="s">
        <v>73</v>
      </c>
      <c r="N1297" t="s">
        <v>74</v>
      </c>
      <c r="O1297" t="s">
        <v>75</v>
      </c>
      <c r="P1297" t="s">
        <v>74</v>
      </c>
      <c r="Q1297" t="s">
        <v>76</v>
      </c>
      <c r="R1297" t="s">
        <v>73</v>
      </c>
      <c r="S1297">
        <v>1</v>
      </c>
      <c r="W1297" s="20">
        <v>1.4004629629629629E-3</v>
      </c>
      <c r="X1297" t="s">
        <v>2980</v>
      </c>
      <c r="Y1297">
        <v>4</v>
      </c>
      <c r="Z1297">
        <v>1</v>
      </c>
      <c r="AA1297" t="s">
        <v>2981</v>
      </c>
      <c r="AB1297">
        <v>5</v>
      </c>
      <c r="AC1297" t="s">
        <v>78</v>
      </c>
      <c r="AD1297">
        <v>0</v>
      </c>
      <c r="AE1297">
        <v>10655627</v>
      </c>
      <c r="AF1297" t="s">
        <v>88</v>
      </c>
      <c r="AG1297" t="s">
        <v>1009</v>
      </c>
    </row>
    <row r="1298" spans="1:33" x14ac:dyDescent="0.35">
      <c r="A1298" s="18">
        <v>44443.929166666669</v>
      </c>
      <c r="B1298">
        <v>1117147</v>
      </c>
      <c r="C1298" t="s">
        <v>2978</v>
      </c>
      <c r="D1298" t="s">
        <v>209</v>
      </c>
      <c r="E1298" s="19">
        <v>41291</v>
      </c>
      <c r="F1298" t="str">
        <f>"9780739175460"</f>
        <v>9780739175460</v>
      </c>
      <c r="G1298" t="str">
        <f>"9780739175453"</f>
        <v>9780739175453</v>
      </c>
      <c r="H1298" t="s">
        <v>822</v>
      </c>
      <c r="I1298">
        <v>780.95609999999999</v>
      </c>
      <c r="J1298" t="s">
        <v>2979</v>
      </c>
      <c r="K1298" t="s">
        <v>73</v>
      </c>
      <c r="N1298" t="s">
        <v>74</v>
      </c>
      <c r="O1298" t="s">
        <v>75</v>
      </c>
      <c r="P1298" t="s">
        <v>74</v>
      </c>
      <c r="Q1298" t="s">
        <v>76</v>
      </c>
      <c r="R1298" t="s">
        <v>73</v>
      </c>
      <c r="S1298">
        <v>0</v>
      </c>
      <c r="W1298" s="20">
        <v>1.6435185185185183E-3</v>
      </c>
      <c r="X1298" t="s">
        <v>2982</v>
      </c>
      <c r="Y1298">
        <v>4</v>
      </c>
      <c r="Z1298">
        <v>0</v>
      </c>
      <c r="AA1298" t="s">
        <v>78</v>
      </c>
      <c r="AB1298">
        <v>0</v>
      </c>
      <c r="AC1298" t="s">
        <v>78</v>
      </c>
      <c r="AD1298">
        <v>0</v>
      </c>
      <c r="AE1298">
        <v>10655627</v>
      </c>
      <c r="AF1298" t="s">
        <v>88</v>
      </c>
      <c r="AG1298" t="s">
        <v>1009</v>
      </c>
    </row>
    <row r="1299" spans="1:33" x14ac:dyDescent="0.35">
      <c r="A1299" s="18">
        <v>44442.713194444441</v>
      </c>
      <c r="B1299">
        <v>367068</v>
      </c>
      <c r="C1299" t="s">
        <v>2983</v>
      </c>
      <c r="D1299" t="s">
        <v>538</v>
      </c>
      <c r="E1299" s="19">
        <v>39722</v>
      </c>
      <c r="F1299" t="str">
        <f>"9780511436390"</f>
        <v>9780511436390</v>
      </c>
      <c r="G1299" t="str">
        <f>"9780521874373"</f>
        <v>9780521874373</v>
      </c>
      <c r="H1299" t="s">
        <v>222</v>
      </c>
      <c r="I1299">
        <v>616.8107</v>
      </c>
      <c r="J1299" t="s">
        <v>2984</v>
      </c>
      <c r="K1299" t="s">
        <v>73</v>
      </c>
      <c r="N1299" t="s">
        <v>74</v>
      </c>
      <c r="O1299" t="s">
        <v>75</v>
      </c>
      <c r="P1299" t="s">
        <v>74</v>
      </c>
      <c r="Q1299" t="s">
        <v>76</v>
      </c>
      <c r="R1299" t="s">
        <v>73</v>
      </c>
      <c r="S1299">
        <v>0</v>
      </c>
      <c r="W1299" s="20">
        <v>1.3888888888888889E-3</v>
      </c>
      <c r="X1299" t="s">
        <v>2985</v>
      </c>
      <c r="Y1299">
        <v>4</v>
      </c>
      <c r="Z1299">
        <v>0</v>
      </c>
      <c r="AA1299" t="s">
        <v>78</v>
      </c>
      <c r="AB1299">
        <v>0</v>
      </c>
      <c r="AC1299" t="s">
        <v>78</v>
      </c>
      <c r="AD1299">
        <v>0</v>
      </c>
      <c r="AE1299">
        <v>10257504</v>
      </c>
      <c r="AF1299" t="s">
        <v>79</v>
      </c>
      <c r="AG1299" t="s">
        <v>2837</v>
      </c>
    </row>
    <row r="1300" spans="1:33" x14ac:dyDescent="0.35">
      <c r="A1300" s="18">
        <v>44442.602777777778</v>
      </c>
      <c r="B1300">
        <v>882731</v>
      </c>
      <c r="C1300" t="s">
        <v>2309</v>
      </c>
      <c r="D1300" t="s">
        <v>70</v>
      </c>
      <c r="E1300" s="19">
        <v>40973</v>
      </c>
      <c r="F1300" t="str">
        <f>"9781444355857"</f>
        <v>9781444355857</v>
      </c>
      <c r="G1300" t="str">
        <f>"9781444332872"</f>
        <v>9781444332872</v>
      </c>
      <c r="H1300" t="s">
        <v>2310</v>
      </c>
      <c r="I1300">
        <v>175</v>
      </c>
      <c r="J1300" t="s">
        <v>2311</v>
      </c>
      <c r="K1300" t="s">
        <v>73</v>
      </c>
      <c r="N1300" t="s">
        <v>74</v>
      </c>
      <c r="O1300" t="s">
        <v>75</v>
      </c>
      <c r="P1300" t="s">
        <v>74</v>
      </c>
      <c r="Q1300" t="s">
        <v>76</v>
      </c>
      <c r="R1300" t="s">
        <v>73</v>
      </c>
      <c r="S1300">
        <v>0</v>
      </c>
      <c r="W1300" s="20">
        <v>8.3333333333333339E-4</v>
      </c>
      <c r="X1300" t="s">
        <v>2986</v>
      </c>
      <c r="Y1300">
        <v>10</v>
      </c>
      <c r="Z1300">
        <v>0</v>
      </c>
      <c r="AA1300" t="s">
        <v>78</v>
      </c>
      <c r="AB1300">
        <v>0</v>
      </c>
      <c r="AC1300" t="s">
        <v>78</v>
      </c>
      <c r="AD1300">
        <v>0</v>
      </c>
      <c r="AE1300">
        <v>10630487</v>
      </c>
      <c r="AF1300" t="s">
        <v>79</v>
      </c>
      <c r="AG1300" t="s">
        <v>2560</v>
      </c>
    </row>
    <row r="1301" spans="1:33" x14ac:dyDescent="0.35">
      <c r="A1301" s="18">
        <v>44442.602083333331</v>
      </c>
      <c r="B1301">
        <v>3052833</v>
      </c>
      <c r="C1301" t="s">
        <v>2987</v>
      </c>
      <c r="D1301" t="s">
        <v>102</v>
      </c>
      <c r="E1301" s="19">
        <v>36636</v>
      </c>
      <c r="F1301" t="str">
        <f>"9780191519192"</f>
        <v>9780191519192</v>
      </c>
      <c r="G1301" t="str">
        <f>"9780198237273"</f>
        <v>9780198237273</v>
      </c>
      <c r="H1301" t="s">
        <v>528</v>
      </c>
      <c r="I1301">
        <v>170</v>
      </c>
      <c r="J1301" t="s">
        <v>2988</v>
      </c>
      <c r="K1301" t="s">
        <v>73</v>
      </c>
      <c r="N1301" t="s">
        <v>74</v>
      </c>
      <c r="O1301" t="s">
        <v>75</v>
      </c>
      <c r="P1301" t="s">
        <v>74</v>
      </c>
      <c r="Q1301" t="s">
        <v>76</v>
      </c>
      <c r="R1301" t="s">
        <v>73</v>
      </c>
      <c r="S1301">
        <v>0</v>
      </c>
      <c r="W1301" s="20">
        <v>8.1018518518518516E-5</v>
      </c>
      <c r="X1301" t="s">
        <v>360</v>
      </c>
      <c r="Y1301">
        <v>2</v>
      </c>
      <c r="Z1301">
        <v>0</v>
      </c>
      <c r="AA1301" t="s">
        <v>78</v>
      </c>
      <c r="AB1301">
        <v>0</v>
      </c>
      <c r="AC1301" t="s">
        <v>78</v>
      </c>
      <c r="AD1301">
        <v>0</v>
      </c>
      <c r="AE1301">
        <v>10273310</v>
      </c>
      <c r="AF1301" t="s">
        <v>79</v>
      </c>
      <c r="AG1301" t="s">
        <v>2560</v>
      </c>
    </row>
    <row r="1302" spans="1:33" x14ac:dyDescent="0.35">
      <c r="A1302" s="18">
        <v>44442.576388888891</v>
      </c>
      <c r="B1302">
        <v>5558400</v>
      </c>
      <c r="C1302" t="s">
        <v>1990</v>
      </c>
      <c r="D1302" t="s">
        <v>70</v>
      </c>
      <c r="E1302" s="19">
        <v>43396</v>
      </c>
      <c r="F1302" t="str">
        <f>"9781119516200"</f>
        <v>9781119516200</v>
      </c>
      <c r="G1302" t="str">
        <f>"9781119516187"</f>
        <v>9781119516187</v>
      </c>
      <c r="H1302" t="s">
        <v>128</v>
      </c>
      <c r="I1302">
        <v>307.76</v>
      </c>
      <c r="J1302" t="s">
        <v>1991</v>
      </c>
      <c r="K1302" t="s">
        <v>73</v>
      </c>
      <c r="N1302" t="s">
        <v>74</v>
      </c>
      <c r="O1302" t="s">
        <v>75</v>
      </c>
      <c r="P1302" t="s">
        <v>74</v>
      </c>
      <c r="Q1302" t="s">
        <v>76</v>
      </c>
      <c r="R1302" t="s">
        <v>73</v>
      </c>
      <c r="S1302">
        <v>0</v>
      </c>
      <c r="W1302" s="20">
        <v>9.6064814814814808E-4</v>
      </c>
      <c r="X1302" t="s">
        <v>2989</v>
      </c>
      <c r="Y1302">
        <v>9</v>
      </c>
      <c r="Z1302">
        <v>0</v>
      </c>
      <c r="AA1302" t="s">
        <v>78</v>
      </c>
      <c r="AB1302">
        <v>0</v>
      </c>
      <c r="AC1302" t="s">
        <v>78</v>
      </c>
      <c r="AD1302">
        <v>0</v>
      </c>
      <c r="AE1302">
        <v>-1</v>
      </c>
      <c r="AF1302" t="s">
        <v>79</v>
      </c>
      <c r="AG1302" t="s">
        <v>2560</v>
      </c>
    </row>
    <row r="1303" spans="1:33" x14ac:dyDescent="0.35">
      <c r="A1303" s="18">
        <v>44442.574999999997</v>
      </c>
      <c r="B1303">
        <v>5989398</v>
      </c>
      <c r="C1303" t="s">
        <v>2990</v>
      </c>
      <c r="D1303" t="s">
        <v>127</v>
      </c>
      <c r="E1303" s="19">
        <v>43822</v>
      </c>
      <c r="F1303" t="str">
        <f>"9780429846908"</f>
        <v>9780429846908</v>
      </c>
      <c r="G1303" t="str">
        <f>"9781138318090"</f>
        <v>9781138318090</v>
      </c>
      <c r="H1303" t="s">
        <v>2991</v>
      </c>
      <c r="K1303" t="s">
        <v>85</v>
      </c>
      <c r="N1303" t="s">
        <v>186</v>
      </c>
      <c r="P1303" t="s">
        <v>87</v>
      </c>
      <c r="Q1303" t="s">
        <v>76</v>
      </c>
      <c r="R1303" t="s">
        <v>73</v>
      </c>
      <c r="S1303">
        <v>0</v>
      </c>
      <c r="W1303" s="20">
        <v>1.0532407407407407E-3</v>
      </c>
      <c r="X1303" t="s">
        <v>2992</v>
      </c>
      <c r="Y1303">
        <v>7</v>
      </c>
      <c r="Z1303">
        <v>0</v>
      </c>
      <c r="AA1303" t="s">
        <v>78</v>
      </c>
      <c r="AB1303">
        <v>0</v>
      </c>
      <c r="AC1303" t="s">
        <v>78</v>
      </c>
      <c r="AD1303">
        <v>0</v>
      </c>
      <c r="AE1303">
        <v>-1</v>
      </c>
      <c r="AF1303" t="s">
        <v>79</v>
      </c>
      <c r="AG1303" t="s">
        <v>2560</v>
      </c>
    </row>
    <row r="1304" spans="1:33" x14ac:dyDescent="0.35">
      <c r="A1304" s="18">
        <v>44442.451388888891</v>
      </c>
      <c r="B1304">
        <v>2031840</v>
      </c>
      <c r="C1304" t="s">
        <v>2993</v>
      </c>
      <c r="D1304" t="s">
        <v>1823</v>
      </c>
      <c r="E1304" s="19">
        <v>40700</v>
      </c>
      <c r="F1304" t="str">
        <f>"9781469821634"</f>
        <v>9781469821634</v>
      </c>
      <c r="G1304" t="str">
        <f>"9781608311934"</f>
        <v>9781608311934</v>
      </c>
      <c r="H1304" t="s">
        <v>222</v>
      </c>
      <c r="I1304" t="s">
        <v>2994</v>
      </c>
      <c r="J1304" t="s">
        <v>2995</v>
      </c>
      <c r="K1304" t="s">
        <v>73</v>
      </c>
      <c r="N1304" t="s">
        <v>74</v>
      </c>
      <c r="O1304" t="s">
        <v>75</v>
      </c>
      <c r="P1304" t="s">
        <v>74</v>
      </c>
      <c r="Q1304" t="s">
        <v>76</v>
      </c>
      <c r="R1304" t="s">
        <v>73</v>
      </c>
      <c r="S1304">
        <v>0</v>
      </c>
      <c r="W1304" s="20">
        <v>2.6504629629629625E-3</v>
      </c>
      <c r="X1304" t="s">
        <v>2996</v>
      </c>
      <c r="Y1304">
        <v>16</v>
      </c>
      <c r="Z1304">
        <v>0</v>
      </c>
      <c r="AA1304" t="s">
        <v>78</v>
      </c>
      <c r="AB1304">
        <v>0</v>
      </c>
      <c r="AC1304" t="s">
        <v>78</v>
      </c>
      <c r="AD1304">
        <v>0</v>
      </c>
      <c r="AE1304">
        <v>10825754</v>
      </c>
      <c r="AF1304" t="s">
        <v>79</v>
      </c>
      <c r="AG1304" t="s">
        <v>2560</v>
      </c>
    </row>
    <row r="1305" spans="1:33" x14ac:dyDescent="0.35">
      <c r="A1305" s="18">
        <v>44441.84097222222</v>
      </c>
      <c r="B1305">
        <v>6274099</v>
      </c>
      <c r="C1305" t="s">
        <v>2997</v>
      </c>
      <c r="D1305" t="s">
        <v>2998</v>
      </c>
      <c r="E1305" s="19">
        <v>44075</v>
      </c>
      <c r="F1305" t="str">
        <f>"9781000217063"</f>
        <v>9781000217063</v>
      </c>
      <c r="G1305" t="str">
        <f>"9781859468654"</f>
        <v>9781859468654</v>
      </c>
      <c r="H1305" t="s">
        <v>2999</v>
      </c>
      <c r="I1305">
        <v>728</v>
      </c>
      <c r="J1305" t="s">
        <v>3000</v>
      </c>
      <c r="K1305" t="s">
        <v>85</v>
      </c>
      <c r="N1305" t="s">
        <v>186</v>
      </c>
      <c r="P1305" t="s">
        <v>87</v>
      </c>
      <c r="Q1305" t="s">
        <v>76</v>
      </c>
      <c r="R1305" t="s">
        <v>73</v>
      </c>
      <c r="S1305">
        <v>0</v>
      </c>
      <c r="W1305" s="20">
        <v>1.9675925925925926E-4</v>
      </c>
      <c r="X1305" t="s">
        <v>1109</v>
      </c>
      <c r="Y1305">
        <v>3</v>
      </c>
      <c r="Z1305">
        <v>0</v>
      </c>
      <c r="AA1305" t="s">
        <v>78</v>
      </c>
      <c r="AB1305">
        <v>0</v>
      </c>
      <c r="AC1305" t="s">
        <v>1720</v>
      </c>
      <c r="AD1305">
        <v>1</v>
      </c>
      <c r="AE1305">
        <v>-1</v>
      </c>
      <c r="AF1305" t="s">
        <v>79</v>
      </c>
      <c r="AG1305" t="s">
        <v>293</v>
      </c>
    </row>
    <row r="1306" spans="1:33" x14ac:dyDescent="0.35">
      <c r="A1306" s="18">
        <v>44441.67291666667</v>
      </c>
      <c r="B1306">
        <v>6274099</v>
      </c>
      <c r="C1306" t="s">
        <v>2997</v>
      </c>
      <c r="D1306" t="s">
        <v>2998</v>
      </c>
      <c r="E1306" s="19">
        <v>44075</v>
      </c>
      <c r="F1306" t="str">
        <f>"9781000217063"</f>
        <v>9781000217063</v>
      </c>
      <c r="G1306" t="str">
        <f>"9781859468654"</f>
        <v>9781859468654</v>
      </c>
      <c r="H1306" t="s">
        <v>2999</v>
      </c>
      <c r="I1306">
        <v>728</v>
      </c>
      <c r="J1306" t="s">
        <v>3000</v>
      </c>
      <c r="K1306" t="s">
        <v>85</v>
      </c>
      <c r="N1306" t="s">
        <v>186</v>
      </c>
      <c r="P1306" t="s">
        <v>87</v>
      </c>
      <c r="Q1306" t="s">
        <v>76</v>
      </c>
      <c r="R1306" t="s">
        <v>73</v>
      </c>
      <c r="S1306">
        <v>0</v>
      </c>
      <c r="W1306" s="20">
        <v>3.0787037037037037E-3</v>
      </c>
      <c r="X1306" t="s">
        <v>3001</v>
      </c>
      <c r="Y1306">
        <v>21</v>
      </c>
      <c r="Z1306">
        <v>0</v>
      </c>
      <c r="AA1306" t="s">
        <v>78</v>
      </c>
      <c r="AB1306">
        <v>0</v>
      </c>
      <c r="AC1306" t="s">
        <v>3002</v>
      </c>
      <c r="AD1306">
        <v>1</v>
      </c>
      <c r="AE1306">
        <v>-1</v>
      </c>
      <c r="AF1306" t="s">
        <v>79</v>
      </c>
      <c r="AG1306" t="s">
        <v>293</v>
      </c>
    </row>
    <row r="1307" spans="1:33" x14ac:dyDescent="0.35">
      <c r="A1307" s="18">
        <v>44441.63958333333</v>
      </c>
      <c r="B1307">
        <v>6274099</v>
      </c>
      <c r="C1307" t="s">
        <v>2997</v>
      </c>
      <c r="D1307" t="s">
        <v>2998</v>
      </c>
      <c r="E1307" s="19">
        <v>44075</v>
      </c>
      <c r="F1307" t="str">
        <f>"9781000217063"</f>
        <v>9781000217063</v>
      </c>
      <c r="G1307" t="str">
        <f>"9781859468654"</f>
        <v>9781859468654</v>
      </c>
      <c r="H1307" t="s">
        <v>2999</v>
      </c>
      <c r="I1307">
        <v>728</v>
      </c>
      <c r="J1307" t="s">
        <v>3000</v>
      </c>
      <c r="K1307" t="s">
        <v>85</v>
      </c>
      <c r="N1307" t="s">
        <v>186</v>
      </c>
      <c r="P1307" t="s">
        <v>87</v>
      </c>
      <c r="Q1307" t="s">
        <v>76</v>
      </c>
      <c r="R1307" t="s">
        <v>73</v>
      </c>
      <c r="S1307">
        <v>0</v>
      </c>
      <c r="W1307" s="20">
        <v>7.6388888888888893E-4</v>
      </c>
      <c r="X1307" t="s">
        <v>3003</v>
      </c>
      <c r="Y1307">
        <v>11</v>
      </c>
      <c r="Z1307">
        <v>0</v>
      </c>
      <c r="AA1307" t="s">
        <v>78</v>
      </c>
      <c r="AB1307">
        <v>0</v>
      </c>
      <c r="AC1307" t="s">
        <v>3004</v>
      </c>
      <c r="AD1307">
        <v>1</v>
      </c>
      <c r="AE1307">
        <v>-1</v>
      </c>
      <c r="AF1307" t="s">
        <v>79</v>
      </c>
      <c r="AG1307" t="s">
        <v>293</v>
      </c>
    </row>
    <row r="1308" spans="1:33" x14ac:dyDescent="0.35">
      <c r="A1308" s="18">
        <v>44441.570138888892</v>
      </c>
      <c r="B1308">
        <v>3329851</v>
      </c>
      <c r="C1308" t="s">
        <v>3005</v>
      </c>
      <c r="D1308" t="s">
        <v>3006</v>
      </c>
      <c r="E1308" s="19">
        <v>36192</v>
      </c>
      <c r="F1308" t="str">
        <f>""</f>
        <v/>
      </c>
      <c r="G1308" t="str">
        <f>""</f>
        <v/>
      </c>
      <c r="H1308" t="s">
        <v>3007</v>
      </c>
      <c r="J1308" t="s">
        <v>3008</v>
      </c>
      <c r="K1308" t="s">
        <v>73</v>
      </c>
      <c r="N1308" t="s">
        <v>74</v>
      </c>
      <c r="O1308" t="s">
        <v>75</v>
      </c>
      <c r="P1308" t="s">
        <v>74</v>
      </c>
      <c r="Q1308" t="s">
        <v>76</v>
      </c>
      <c r="R1308" t="s">
        <v>73</v>
      </c>
      <c r="S1308">
        <v>0</v>
      </c>
      <c r="W1308" s="20">
        <v>6.9444444444444444E-5</v>
      </c>
      <c r="X1308" t="s">
        <v>132</v>
      </c>
      <c r="Y1308">
        <v>1</v>
      </c>
      <c r="Z1308">
        <v>0</v>
      </c>
      <c r="AA1308" t="s">
        <v>78</v>
      </c>
      <c r="AB1308">
        <v>0</v>
      </c>
      <c r="AC1308" t="s">
        <v>78</v>
      </c>
      <c r="AD1308">
        <v>0</v>
      </c>
      <c r="AE1308">
        <v>10002692</v>
      </c>
      <c r="AF1308" t="s">
        <v>79</v>
      </c>
      <c r="AG1308" t="s">
        <v>2794</v>
      </c>
    </row>
    <row r="1309" spans="1:33" x14ac:dyDescent="0.35">
      <c r="A1309" s="18">
        <v>44441.192361111112</v>
      </c>
      <c r="B1309">
        <v>6274099</v>
      </c>
      <c r="C1309" t="s">
        <v>2997</v>
      </c>
      <c r="D1309" t="s">
        <v>2998</v>
      </c>
      <c r="E1309" s="19">
        <v>44075</v>
      </c>
      <c r="F1309" t="str">
        <f>"9781000217063"</f>
        <v>9781000217063</v>
      </c>
      <c r="G1309" t="str">
        <f>"9781859468654"</f>
        <v>9781859468654</v>
      </c>
      <c r="H1309" t="s">
        <v>2999</v>
      </c>
      <c r="I1309">
        <v>728</v>
      </c>
      <c r="J1309" t="s">
        <v>3000</v>
      </c>
      <c r="K1309" t="s">
        <v>85</v>
      </c>
      <c r="N1309" t="s">
        <v>186</v>
      </c>
      <c r="P1309" t="s">
        <v>87</v>
      </c>
      <c r="Q1309" t="s">
        <v>76</v>
      </c>
      <c r="R1309" t="s">
        <v>73</v>
      </c>
      <c r="S1309">
        <v>0</v>
      </c>
      <c r="W1309" s="20">
        <v>1.8796296296296297E-2</v>
      </c>
      <c r="X1309" t="s">
        <v>3009</v>
      </c>
      <c r="Y1309">
        <v>7</v>
      </c>
      <c r="Z1309">
        <v>0</v>
      </c>
      <c r="AA1309" t="s">
        <v>78</v>
      </c>
      <c r="AB1309">
        <v>0</v>
      </c>
      <c r="AC1309" t="s">
        <v>3010</v>
      </c>
      <c r="AD1309">
        <v>2</v>
      </c>
      <c r="AE1309">
        <v>-1</v>
      </c>
      <c r="AF1309" t="s">
        <v>79</v>
      </c>
      <c r="AG1309" t="s">
        <v>293</v>
      </c>
    </row>
    <row r="1310" spans="1:33" x14ac:dyDescent="0.35">
      <c r="A1310" s="18">
        <v>44441.045138888891</v>
      </c>
      <c r="B1310">
        <v>6274099</v>
      </c>
      <c r="C1310" t="s">
        <v>2997</v>
      </c>
      <c r="D1310" t="s">
        <v>2998</v>
      </c>
      <c r="E1310" s="19">
        <v>44075</v>
      </c>
      <c r="F1310" t="str">
        <f>"9781000217063"</f>
        <v>9781000217063</v>
      </c>
      <c r="G1310" t="str">
        <f>"9781859468654"</f>
        <v>9781859468654</v>
      </c>
      <c r="H1310" t="s">
        <v>2999</v>
      </c>
      <c r="I1310">
        <v>728</v>
      </c>
      <c r="J1310" t="s">
        <v>3000</v>
      </c>
      <c r="K1310" t="s">
        <v>85</v>
      </c>
      <c r="N1310" t="s">
        <v>186</v>
      </c>
      <c r="P1310" t="s">
        <v>87</v>
      </c>
      <c r="Q1310" t="s">
        <v>76</v>
      </c>
      <c r="R1310" t="s">
        <v>73</v>
      </c>
      <c r="S1310">
        <v>0</v>
      </c>
      <c r="W1310" s="20">
        <v>4.0347222222222222E-2</v>
      </c>
      <c r="X1310" t="s">
        <v>3011</v>
      </c>
      <c r="Y1310">
        <v>123</v>
      </c>
      <c r="Z1310">
        <v>0</v>
      </c>
      <c r="AA1310" t="s">
        <v>78</v>
      </c>
      <c r="AB1310">
        <v>0</v>
      </c>
      <c r="AC1310" t="s">
        <v>3012</v>
      </c>
      <c r="AD1310">
        <v>9</v>
      </c>
      <c r="AE1310">
        <v>-1</v>
      </c>
      <c r="AF1310" t="s">
        <v>79</v>
      </c>
      <c r="AG1310" t="s">
        <v>293</v>
      </c>
    </row>
    <row r="1311" spans="1:33" x14ac:dyDescent="0.35">
      <c r="A1311" s="18">
        <v>44440.947916666664</v>
      </c>
      <c r="B1311">
        <v>6274099</v>
      </c>
      <c r="C1311" t="s">
        <v>2997</v>
      </c>
      <c r="D1311" t="s">
        <v>2998</v>
      </c>
      <c r="E1311" s="19">
        <v>44075</v>
      </c>
      <c r="F1311" t="str">
        <f>"9781000217063"</f>
        <v>9781000217063</v>
      </c>
      <c r="G1311" t="str">
        <f>"9781859468654"</f>
        <v>9781859468654</v>
      </c>
      <c r="H1311" t="s">
        <v>2999</v>
      </c>
      <c r="I1311">
        <v>728</v>
      </c>
      <c r="J1311" t="s">
        <v>3000</v>
      </c>
      <c r="K1311" t="s">
        <v>85</v>
      </c>
      <c r="N1311" t="s">
        <v>186</v>
      </c>
      <c r="P1311" t="s">
        <v>87</v>
      </c>
      <c r="Q1311" t="s">
        <v>76</v>
      </c>
      <c r="R1311" t="s">
        <v>73</v>
      </c>
      <c r="S1311">
        <v>0</v>
      </c>
      <c r="W1311" s="20">
        <v>3.1527777777777773E-2</v>
      </c>
      <c r="X1311" t="s">
        <v>3013</v>
      </c>
      <c r="Y1311">
        <v>100</v>
      </c>
      <c r="Z1311">
        <v>0</v>
      </c>
      <c r="AA1311" t="s">
        <v>78</v>
      </c>
      <c r="AB1311">
        <v>0</v>
      </c>
      <c r="AC1311" t="s">
        <v>3014</v>
      </c>
      <c r="AD1311">
        <v>10</v>
      </c>
      <c r="AE1311">
        <v>-1</v>
      </c>
      <c r="AF1311" t="s">
        <v>79</v>
      </c>
      <c r="AG1311" t="s">
        <v>293</v>
      </c>
    </row>
    <row r="1312" spans="1:33" x14ac:dyDescent="0.35">
      <c r="A1312" s="18">
        <v>44440.84097222222</v>
      </c>
      <c r="B1312">
        <v>6274099</v>
      </c>
      <c r="C1312" t="s">
        <v>2997</v>
      </c>
      <c r="D1312" t="s">
        <v>2998</v>
      </c>
      <c r="E1312" s="19">
        <v>44075</v>
      </c>
      <c r="F1312" t="str">
        <f>"9781000217063"</f>
        <v>9781000217063</v>
      </c>
      <c r="G1312" t="str">
        <f>"9781859468654"</f>
        <v>9781859468654</v>
      </c>
      <c r="H1312" t="s">
        <v>2999</v>
      </c>
      <c r="I1312">
        <v>728</v>
      </c>
      <c r="J1312" t="s">
        <v>3000</v>
      </c>
      <c r="K1312" t="s">
        <v>85</v>
      </c>
      <c r="N1312" t="s">
        <v>186</v>
      </c>
      <c r="P1312" t="s">
        <v>87</v>
      </c>
      <c r="Q1312" t="s">
        <v>76</v>
      </c>
      <c r="R1312" t="s">
        <v>73</v>
      </c>
      <c r="S1312">
        <v>0</v>
      </c>
      <c r="W1312" s="20">
        <v>1.3055555555555556E-2</v>
      </c>
      <c r="X1312" t="s">
        <v>3015</v>
      </c>
      <c r="Y1312">
        <v>30</v>
      </c>
      <c r="Z1312">
        <v>0</v>
      </c>
      <c r="AA1312" t="s">
        <v>78</v>
      </c>
      <c r="AB1312">
        <v>0</v>
      </c>
      <c r="AC1312" t="s">
        <v>3016</v>
      </c>
      <c r="AD1312">
        <v>3</v>
      </c>
      <c r="AE1312">
        <v>-1</v>
      </c>
      <c r="AF1312" t="s">
        <v>79</v>
      </c>
      <c r="AG1312" t="s">
        <v>293</v>
      </c>
    </row>
    <row r="1313" spans="1:33" x14ac:dyDescent="0.35">
      <c r="A1313" s="18">
        <v>44440.744444444441</v>
      </c>
      <c r="B1313">
        <v>1711046</v>
      </c>
      <c r="C1313" t="s">
        <v>3017</v>
      </c>
      <c r="D1313" t="s">
        <v>780</v>
      </c>
      <c r="E1313" s="19">
        <v>41943</v>
      </c>
      <c r="F1313" t="str">
        <f>"9780520958944"</f>
        <v>9780520958944</v>
      </c>
      <c r="G1313" t="str">
        <f>"9780520283114"</f>
        <v>9780520283114</v>
      </c>
      <c r="H1313" t="s">
        <v>822</v>
      </c>
      <c r="I1313">
        <v>781.63095195000005</v>
      </c>
      <c r="J1313" t="s">
        <v>3018</v>
      </c>
      <c r="K1313" t="s">
        <v>73</v>
      </c>
      <c r="N1313" t="s">
        <v>74</v>
      </c>
      <c r="O1313" t="s">
        <v>75</v>
      </c>
      <c r="P1313" t="s">
        <v>230</v>
      </c>
      <c r="Q1313" t="s">
        <v>76</v>
      </c>
      <c r="R1313" t="s">
        <v>85</v>
      </c>
      <c r="S1313">
        <v>0</v>
      </c>
      <c r="W1313" s="20">
        <v>2.3148148148148146E-4</v>
      </c>
      <c r="X1313" t="s">
        <v>792</v>
      </c>
      <c r="Y1313">
        <v>3</v>
      </c>
      <c r="Z1313">
        <v>0</v>
      </c>
      <c r="AA1313" t="s">
        <v>78</v>
      </c>
      <c r="AB1313">
        <v>0</v>
      </c>
      <c r="AC1313" t="s">
        <v>78</v>
      </c>
      <c r="AD1313">
        <v>0</v>
      </c>
      <c r="AE1313">
        <v>10941659</v>
      </c>
      <c r="AF1313" t="s">
        <v>79</v>
      </c>
      <c r="AG1313" t="s">
        <v>3019</v>
      </c>
    </row>
    <row r="1314" spans="1:33" x14ac:dyDescent="0.35">
      <c r="A1314" s="18">
        <v>44440.609027777777</v>
      </c>
      <c r="B1314">
        <v>697542</v>
      </c>
      <c r="C1314" t="s">
        <v>3020</v>
      </c>
      <c r="D1314" t="s">
        <v>70</v>
      </c>
      <c r="E1314" s="19">
        <v>40792</v>
      </c>
      <c r="F1314" t="str">
        <f>"9781118017562"</f>
        <v>9781118017562</v>
      </c>
      <c r="G1314" t="str">
        <f>"9780470592076"</f>
        <v>9780470592076</v>
      </c>
      <c r="H1314" t="s">
        <v>868</v>
      </c>
      <c r="I1314" t="s">
        <v>3021</v>
      </c>
      <c r="J1314" t="s">
        <v>3022</v>
      </c>
      <c r="K1314" t="s">
        <v>73</v>
      </c>
      <c r="N1314" t="s">
        <v>74</v>
      </c>
      <c r="O1314" t="s">
        <v>75</v>
      </c>
      <c r="P1314" t="s">
        <v>74</v>
      </c>
      <c r="Q1314" t="s">
        <v>76</v>
      </c>
      <c r="R1314" t="s">
        <v>73</v>
      </c>
      <c r="S1314">
        <v>0</v>
      </c>
      <c r="W1314" s="20">
        <v>5.3240740740740744E-4</v>
      </c>
      <c r="X1314" t="s">
        <v>404</v>
      </c>
      <c r="Y1314">
        <v>9</v>
      </c>
      <c r="Z1314">
        <v>0</v>
      </c>
      <c r="AA1314" t="s">
        <v>78</v>
      </c>
      <c r="AB1314">
        <v>0</v>
      </c>
      <c r="AC1314" t="s">
        <v>78</v>
      </c>
      <c r="AD1314">
        <v>0</v>
      </c>
      <c r="AE1314">
        <v>10490644</v>
      </c>
      <c r="AF1314" t="s">
        <v>79</v>
      </c>
      <c r="AG1314" t="s">
        <v>293</v>
      </c>
    </row>
    <row r="1315" spans="1:33" x14ac:dyDescent="0.35">
      <c r="A1315" s="18">
        <v>44440.427083333336</v>
      </c>
      <c r="B1315">
        <v>669780</v>
      </c>
      <c r="C1315" t="s">
        <v>3023</v>
      </c>
      <c r="D1315" t="s">
        <v>3024</v>
      </c>
      <c r="E1315" s="19">
        <v>40492</v>
      </c>
      <c r="F1315" t="str">
        <f>"9780833051905"</f>
        <v>9780833051905</v>
      </c>
      <c r="G1315" t="str">
        <f>"9780833050564"</f>
        <v>9780833050564</v>
      </c>
      <c r="H1315" t="s">
        <v>1128</v>
      </c>
      <c r="J1315" t="s">
        <v>3025</v>
      </c>
      <c r="K1315" t="s">
        <v>73</v>
      </c>
      <c r="N1315" t="s">
        <v>74</v>
      </c>
      <c r="O1315" t="s">
        <v>75</v>
      </c>
      <c r="P1315" t="s">
        <v>230</v>
      </c>
      <c r="Q1315" t="s">
        <v>76</v>
      </c>
      <c r="R1315" t="s">
        <v>85</v>
      </c>
      <c r="S1315">
        <v>0</v>
      </c>
      <c r="W1315" s="20">
        <v>8.6805555555555551E-4</v>
      </c>
      <c r="X1315" t="s">
        <v>3026</v>
      </c>
      <c r="Y1315">
        <v>13</v>
      </c>
      <c r="Z1315">
        <v>0</v>
      </c>
      <c r="AA1315" t="s">
        <v>78</v>
      </c>
      <c r="AB1315">
        <v>0</v>
      </c>
      <c r="AC1315" t="s">
        <v>78</v>
      </c>
      <c r="AD1315">
        <v>0</v>
      </c>
      <c r="AE1315">
        <v>10453186</v>
      </c>
      <c r="AF1315" t="s">
        <v>79</v>
      </c>
      <c r="AG1315" t="s">
        <v>2560</v>
      </c>
    </row>
    <row r="1316" spans="1:33" x14ac:dyDescent="0.35">
      <c r="A1316" s="18">
        <v>44439.936111111114</v>
      </c>
      <c r="B1316">
        <v>226776</v>
      </c>
      <c r="C1316" t="s">
        <v>3027</v>
      </c>
      <c r="D1316" t="s">
        <v>158</v>
      </c>
      <c r="E1316" s="19">
        <v>38307</v>
      </c>
      <c r="F1316" t="str">
        <f>"9780080477480"</f>
        <v>9780080477480</v>
      </c>
      <c r="G1316" t="str">
        <f>"9780121709600"</f>
        <v>9780121709600</v>
      </c>
      <c r="H1316" t="s">
        <v>466</v>
      </c>
      <c r="I1316">
        <v>621.29999999999995</v>
      </c>
      <c r="J1316" t="s">
        <v>3028</v>
      </c>
      <c r="K1316" t="s">
        <v>73</v>
      </c>
      <c r="N1316" t="s">
        <v>74</v>
      </c>
      <c r="O1316" t="s">
        <v>75</v>
      </c>
      <c r="P1316" t="s">
        <v>74</v>
      </c>
      <c r="Q1316" t="s">
        <v>76</v>
      </c>
      <c r="R1316" t="s">
        <v>73</v>
      </c>
      <c r="S1316">
        <v>0</v>
      </c>
      <c r="W1316" s="20">
        <v>4.3981481481481481E-4</v>
      </c>
      <c r="X1316" t="s">
        <v>3029</v>
      </c>
      <c r="Y1316">
        <v>7</v>
      </c>
      <c r="Z1316">
        <v>0</v>
      </c>
      <c r="AA1316" t="s">
        <v>78</v>
      </c>
      <c r="AB1316">
        <v>0</v>
      </c>
      <c r="AC1316" t="s">
        <v>78</v>
      </c>
      <c r="AD1316">
        <v>0</v>
      </c>
      <c r="AE1316">
        <v>10128130</v>
      </c>
      <c r="AF1316" t="s">
        <v>88</v>
      </c>
      <c r="AG1316" t="s">
        <v>2560</v>
      </c>
    </row>
    <row r="1317" spans="1:33" x14ac:dyDescent="0.35">
      <c r="A1317" s="18">
        <v>44439.924305555556</v>
      </c>
      <c r="B1317">
        <v>3008566</v>
      </c>
      <c r="C1317" t="s">
        <v>3030</v>
      </c>
      <c r="D1317" t="s">
        <v>3031</v>
      </c>
      <c r="E1317" s="19">
        <v>36861</v>
      </c>
      <c r="F1317" t="str">
        <f>"9781901843651"</f>
        <v>9781901843651</v>
      </c>
      <c r="G1317" t="str">
        <f>""</f>
        <v/>
      </c>
      <c r="H1317" t="s">
        <v>636</v>
      </c>
      <c r="I1317" t="s">
        <v>3032</v>
      </c>
      <c r="J1317" t="s">
        <v>3033</v>
      </c>
      <c r="K1317" t="s">
        <v>73</v>
      </c>
      <c r="N1317" t="s">
        <v>74</v>
      </c>
      <c r="O1317" t="s">
        <v>75</v>
      </c>
      <c r="P1317" t="s">
        <v>74</v>
      </c>
      <c r="Q1317" t="s">
        <v>76</v>
      </c>
      <c r="R1317" t="s">
        <v>73</v>
      </c>
      <c r="S1317">
        <v>1</v>
      </c>
      <c r="W1317" s="20">
        <v>0</v>
      </c>
      <c r="X1317" t="s">
        <v>78</v>
      </c>
      <c r="Y1317">
        <v>0</v>
      </c>
      <c r="Z1317">
        <v>0</v>
      </c>
      <c r="AA1317" t="s">
        <v>78</v>
      </c>
      <c r="AB1317">
        <v>0</v>
      </c>
      <c r="AC1317" t="s">
        <v>78</v>
      </c>
      <c r="AD1317">
        <v>0</v>
      </c>
      <c r="AE1317">
        <v>2001768</v>
      </c>
      <c r="AF1317" t="s">
        <v>88</v>
      </c>
      <c r="AG1317" t="s">
        <v>702</v>
      </c>
    </row>
    <row r="1318" spans="1:33" x14ac:dyDescent="0.35">
      <c r="A1318" s="18">
        <v>44439.905555555553</v>
      </c>
      <c r="B1318">
        <v>231640</v>
      </c>
      <c r="C1318" t="s">
        <v>419</v>
      </c>
      <c r="D1318" t="s">
        <v>205</v>
      </c>
      <c r="E1318" s="19">
        <v>38472</v>
      </c>
      <c r="F1318" t="str">
        <f>"9781580533669"</f>
        <v>9781580533669</v>
      </c>
      <c r="G1318" t="str">
        <f>"9781580536103"</f>
        <v>9781580536103</v>
      </c>
      <c r="H1318" t="s">
        <v>71</v>
      </c>
      <c r="I1318" t="s">
        <v>420</v>
      </c>
      <c r="J1318" t="s">
        <v>421</v>
      </c>
      <c r="K1318" t="s">
        <v>73</v>
      </c>
      <c r="N1318" t="s">
        <v>74</v>
      </c>
      <c r="O1318" t="s">
        <v>75</v>
      </c>
      <c r="P1318" t="s">
        <v>74</v>
      </c>
      <c r="Q1318" t="s">
        <v>76</v>
      </c>
      <c r="R1318" t="s">
        <v>73</v>
      </c>
      <c r="S1318">
        <v>0</v>
      </c>
      <c r="W1318" s="20">
        <v>1.5393518518518519E-3</v>
      </c>
      <c r="X1318" t="s">
        <v>3034</v>
      </c>
      <c r="Y1318">
        <v>13</v>
      </c>
      <c r="Z1318">
        <v>0</v>
      </c>
      <c r="AA1318" t="s">
        <v>78</v>
      </c>
      <c r="AB1318">
        <v>0</v>
      </c>
      <c r="AC1318" t="s">
        <v>78</v>
      </c>
      <c r="AD1318">
        <v>0</v>
      </c>
      <c r="AE1318">
        <v>10081926</v>
      </c>
      <c r="AF1318" t="s">
        <v>88</v>
      </c>
      <c r="AG1318" t="s">
        <v>2560</v>
      </c>
    </row>
    <row r="1319" spans="1:33" x14ac:dyDescent="0.35">
      <c r="A1319" s="18">
        <v>44439.558333333334</v>
      </c>
      <c r="B1319">
        <v>2076799</v>
      </c>
      <c r="C1319" t="s">
        <v>3035</v>
      </c>
      <c r="D1319" t="s">
        <v>550</v>
      </c>
      <c r="E1319" s="19">
        <v>42032</v>
      </c>
      <c r="F1319" t="str">
        <f>"9781443875202"</f>
        <v>9781443875202</v>
      </c>
      <c r="G1319" t="str">
        <f>"9781443870771"</f>
        <v>9781443870771</v>
      </c>
      <c r="H1319" t="s">
        <v>1194</v>
      </c>
      <c r="I1319">
        <v>625.1</v>
      </c>
      <c r="J1319" t="s">
        <v>3036</v>
      </c>
      <c r="K1319" t="s">
        <v>73</v>
      </c>
      <c r="N1319" t="s">
        <v>74</v>
      </c>
      <c r="O1319" t="s">
        <v>75</v>
      </c>
      <c r="P1319" t="s">
        <v>74</v>
      </c>
      <c r="Q1319" t="s">
        <v>76</v>
      </c>
      <c r="R1319" t="s">
        <v>73</v>
      </c>
      <c r="S1319">
        <v>0</v>
      </c>
      <c r="W1319" s="20">
        <v>9.4907407407407408E-4</v>
      </c>
      <c r="X1319" t="s">
        <v>3037</v>
      </c>
      <c r="Y1319">
        <v>14</v>
      </c>
      <c r="Z1319">
        <v>2</v>
      </c>
      <c r="AA1319" t="s">
        <v>3038</v>
      </c>
      <c r="AB1319">
        <v>20</v>
      </c>
      <c r="AC1319" t="s">
        <v>78</v>
      </c>
      <c r="AD1319">
        <v>0</v>
      </c>
      <c r="AE1319">
        <v>11019551</v>
      </c>
      <c r="AF1319" t="s">
        <v>79</v>
      </c>
      <c r="AG1319" t="s">
        <v>2560</v>
      </c>
    </row>
    <row r="1320" spans="1:33" x14ac:dyDescent="0.35">
      <c r="A1320" s="18">
        <v>44439.51666666667</v>
      </c>
      <c r="B1320">
        <v>2076799</v>
      </c>
      <c r="C1320" t="s">
        <v>3035</v>
      </c>
      <c r="D1320" t="s">
        <v>550</v>
      </c>
      <c r="E1320" s="19">
        <v>42032</v>
      </c>
      <c r="F1320" t="str">
        <f>"9781443875202"</f>
        <v>9781443875202</v>
      </c>
      <c r="G1320" t="str">
        <f>"9781443870771"</f>
        <v>9781443870771</v>
      </c>
      <c r="H1320" t="s">
        <v>1194</v>
      </c>
      <c r="I1320">
        <v>625.1</v>
      </c>
      <c r="J1320" t="s">
        <v>3036</v>
      </c>
      <c r="K1320" t="s">
        <v>73</v>
      </c>
      <c r="N1320" t="s">
        <v>74</v>
      </c>
      <c r="O1320" t="s">
        <v>75</v>
      </c>
      <c r="P1320" t="s">
        <v>74</v>
      </c>
      <c r="Q1320" t="s">
        <v>76</v>
      </c>
      <c r="R1320" t="s">
        <v>73</v>
      </c>
      <c r="S1320">
        <v>0</v>
      </c>
      <c r="W1320" s="20">
        <v>4.3981481481481481E-4</v>
      </c>
      <c r="X1320" t="s">
        <v>3039</v>
      </c>
      <c r="Y1320">
        <v>3</v>
      </c>
      <c r="Z1320">
        <v>3</v>
      </c>
      <c r="AA1320" t="s">
        <v>3040</v>
      </c>
      <c r="AB1320">
        <v>66</v>
      </c>
      <c r="AC1320" t="s">
        <v>78</v>
      </c>
      <c r="AD1320">
        <v>0</v>
      </c>
      <c r="AE1320">
        <v>11019551</v>
      </c>
      <c r="AF1320" t="s">
        <v>79</v>
      </c>
      <c r="AG1320" t="s">
        <v>2560</v>
      </c>
    </row>
    <row r="1321" spans="1:33" x14ac:dyDescent="0.35">
      <c r="A1321" s="18">
        <v>44438.942361111112</v>
      </c>
      <c r="B1321">
        <v>313751</v>
      </c>
      <c r="C1321" t="s">
        <v>3041</v>
      </c>
      <c r="D1321" t="s">
        <v>158</v>
      </c>
      <c r="E1321" s="19">
        <v>34817</v>
      </c>
      <c r="F1321" t="str">
        <f>"9780080540818"</f>
        <v>9780080540818</v>
      </c>
      <c r="G1321" t="str">
        <f>"9780750637152"</f>
        <v>9780750637152</v>
      </c>
      <c r="H1321" t="s">
        <v>1905</v>
      </c>
      <c r="I1321">
        <v>551.46010000000001</v>
      </c>
      <c r="J1321" t="s">
        <v>3042</v>
      </c>
      <c r="K1321" t="s">
        <v>73</v>
      </c>
      <c r="N1321" t="s">
        <v>74</v>
      </c>
      <c r="O1321" t="s">
        <v>75</v>
      </c>
      <c r="P1321" t="s">
        <v>74</v>
      </c>
      <c r="Q1321" t="s">
        <v>76</v>
      </c>
      <c r="R1321" t="s">
        <v>73</v>
      </c>
      <c r="S1321">
        <v>0</v>
      </c>
      <c r="W1321" s="20">
        <v>4.2824074074074075E-4</v>
      </c>
      <c r="X1321" t="s">
        <v>3043</v>
      </c>
      <c r="Y1321">
        <v>3</v>
      </c>
      <c r="Z1321">
        <v>0</v>
      </c>
      <c r="AA1321" t="s">
        <v>78</v>
      </c>
      <c r="AB1321">
        <v>0</v>
      </c>
      <c r="AC1321" t="s">
        <v>78</v>
      </c>
      <c r="AD1321">
        <v>0</v>
      </c>
      <c r="AE1321">
        <v>10190965</v>
      </c>
      <c r="AF1321" t="s">
        <v>79</v>
      </c>
      <c r="AG1321" t="s">
        <v>2560</v>
      </c>
    </row>
    <row r="1322" spans="1:33" x14ac:dyDescent="0.35">
      <c r="A1322" s="18">
        <v>44438.899305555555</v>
      </c>
      <c r="B1322">
        <v>3017388</v>
      </c>
      <c r="C1322" t="s">
        <v>745</v>
      </c>
      <c r="D1322" t="s">
        <v>234</v>
      </c>
      <c r="E1322" s="19">
        <v>39783</v>
      </c>
      <c r="F1322" t="str">
        <f>"9788122429206"</f>
        <v>9788122429206</v>
      </c>
      <c r="G1322" t="str">
        <f>"9788122426984"</f>
        <v>9788122426984</v>
      </c>
      <c r="H1322" t="s">
        <v>115</v>
      </c>
      <c r="J1322" t="s">
        <v>746</v>
      </c>
      <c r="K1322" t="s">
        <v>73</v>
      </c>
      <c r="N1322" t="s">
        <v>74</v>
      </c>
      <c r="O1322" t="s">
        <v>75</v>
      </c>
      <c r="P1322" t="s">
        <v>74</v>
      </c>
      <c r="Q1322" t="s">
        <v>76</v>
      </c>
      <c r="R1322" t="s">
        <v>73</v>
      </c>
      <c r="S1322">
        <v>2</v>
      </c>
      <c r="W1322" s="20">
        <v>0</v>
      </c>
      <c r="X1322" t="s">
        <v>78</v>
      </c>
      <c r="Y1322">
        <v>0</v>
      </c>
      <c r="Z1322">
        <v>0</v>
      </c>
      <c r="AA1322" t="s">
        <v>78</v>
      </c>
      <c r="AB1322">
        <v>0</v>
      </c>
      <c r="AC1322" t="s">
        <v>78</v>
      </c>
      <c r="AD1322">
        <v>0</v>
      </c>
      <c r="AE1322">
        <v>10355537</v>
      </c>
      <c r="AF1322" t="s">
        <v>88</v>
      </c>
      <c r="AG1322" t="s">
        <v>2560</v>
      </c>
    </row>
    <row r="1323" spans="1:33" x14ac:dyDescent="0.35">
      <c r="A1323" s="18">
        <v>44438.898611111108</v>
      </c>
      <c r="B1323">
        <v>1110717</v>
      </c>
      <c r="C1323" t="s">
        <v>3044</v>
      </c>
      <c r="D1323" t="s">
        <v>338</v>
      </c>
      <c r="E1323" s="19">
        <v>41289</v>
      </c>
      <c r="F1323" t="str">
        <f>"9780124058538"</f>
        <v>9780124058538</v>
      </c>
      <c r="G1323" t="str">
        <f>"9780124052123"</f>
        <v>9780124052123</v>
      </c>
      <c r="H1323" t="s">
        <v>3045</v>
      </c>
      <c r="I1323">
        <v>5.4249999999999998</v>
      </c>
      <c r="J1323" t="s">
        <v>3046</v>
      </c>
      <c r="K1323" t="s">
        <v>73</v>
      </c>
      <c r="N1323" t="s">
        <v>74</v>
      </c>
      <c r="O1323" t="s">
        <v>75</v>
      </c>
      <c r="P1323" t="s">
        <v>74</v>
      </c>
      <c r="Q1323" t="s">
        <v>76</v>
      </c>
      <c r="R1323" t="s">
        <v>73</v>
      </c>
      <c r="S1323">
        <v>2</v>
      </c>
      <c r="W1323" s="20">
        <v>0</v>
      </c>
      <c r="X1323" t="s">
        <v>3047</v>
      </c>
      <c r="Y1323">
        <v>1</v>
      </c>
      <c r="Z1323">
        <v>0</v>
      </c>
      <c r="AA1323" t="s">
        <v>78</v>
      </c>
      <c r="AB1323">
        <v>0</v>
      </c>
      <c r="AC1323" t="s">
        <v>78</v>
      </c>
      <c r="AD1323">
        <v>0</v>
      </c>
      <c r="AE1323">
        <v>10642623</v>
      </c>
      <c r="AF1323" t="s">
        <v>88</v>
      </c>
      <c r="AG1323" t="s">
        <v>2560</v>
      </c>
    </row>
    <row r="1324" spans="1:33" x14ac:dyDescent="0.35">
      <c r="A1324" s="18">
        <v>44438.897222222222</v>
      </c>
      <c r="B1324">
        <v>1110717</v>
      </c>
      <c r="C1324" t="s">
        <v>3044</v>
      </c>
      <c r="D1324" t="s">
        <v>338</v>
      </c>
      <c r="E1324" s="19">
        <v>41289</v>
      </c>
      <c r="F1324" t="str">
        <f>"9780124058538"</f>
        <v>9780124058538</v>
      </c>
      <c r="G1324" t="str">
        <f>"9780124052123"</f>
        <v>9780124052123</v>
      </c>
      <c r="H1324" t="s">
        <v>3045</v>
      </c>
      <c r="I1324">
        <v>5.4249999999999998</v>
      </c>
      <c r="J1324" t="s">
        <v>3046</v>
      </c>
      <c r="K1324" t="s">
        <v>73</v>
      </c>
      <c r="N1324" t="s">
        <v>74</v>
      </c>
      <c r="O1324" t="s">
        <v>75</v>
      </c>
      <c r="P1324" t="s">
        <v>74</v>
      </c>
      <c r="Q1324" t="s">
        <v>76</v>
      </c>
      <c r="R1324" t="s">
        <v>73</v>
      </c>
      <c r="S1324">
        <v>0</v>
      </c>
      <c r="W1324" s="20">
        <v>8.2175925925925917E-4</v>
      </c>
      <c r="X1324" t="s">
        <v>3048</v>
      </c>
      <c r="Y1324">
        <v>16</v>
      </c>
      <c r="Z1324">
        <v>0</v>
      </c>
      <c r="AA1324" t="s">
        <v>78</v>
      </c>
      <c r="AB1324">
        <v>0</v>
      </c>
      <c r="AC1324" t="s">
        <v>78</v>
      </c>
      <c r="AD1324">
        <v>0</v>
      </c>
      <c r="AE1324">
        <v>10642623</v>
      </c>
      <c r="AF1324" t="s">
        <v>88</v>
      </c>
      <c r="AG1324" t="s">
        <v>2560</v>
      </c>
    </row>
    <row r="1325" spans="1:33" x14ac:dyDescent="0.35">
      <c r="A1325" s="18">
        <v>44438.895833333336</v>
      </c>
      <c r="B1325">
        <v>5754433</v>
      </c>
      <c r="C1325" t="s">
        <v>649</v>
      </c>
      <c r="D1325" t="s">
        <v>158</v>
      </c>
      <c r="E1325" s="19">
        <v>41474</v>
      </c>
      <c r="F1325" t="str">
        <f>"9780124058934"</f>
        <v>9780124058934</v>
      </c>
      <c r="G1325" t="str">
        <f>"9780124058767"</f>
        <v>9780124058767</v>
      </c>
      <c r="H1325" t="s">
        <v>115</v>
      </c>
      <c r="I1325">
        <v>518.02855299999999</v>
      </c>
      <c r="J1325" t="s">
        <v>652</v>
      </c>
      <c r="K1325" t="s">
        <v>73</v>
      </c>
      <c r="N1325" t="s">
        <v>74</v>
      </c>
      <c r="O1325" t="s">
        <v>75</v>
      </c>
      <c r="P1325" t="s">
        <v>74</v>
      </c>
      <c r="Q1325" t="s">
        <v>76</v>
      </c>
      <c r="R1325" t="s">
        <v>73</v>
      </c>
      <c r="S1325">
        <v>1</v>
      </c>
      <c r="W1325" s="20">
        <v>2.3148148148148147E-5</v>
      </c>
      <c r="X1325" t="s">
        <v>3049</v>
      </c>
      <c r="Y1325">
        <v>2</v>
      </c>
      <c r="Z1325">
        <v>0</v>
      </c>
      <c r="AA1325" t="s">
        <v>78</v>
      </c>
      <c r="AB1325">
        <v>0</v>
      </c>
      <c r="AC1325" t="s">
        <v>78</v>
      </c>
      <c r="AD1325">
        <v>0</v>
      </c>
      <c r="AE1325">
        <v>-1</v>
      </c>
      <c r="AF1325" t="s">
        <v>88</v>
      </c>
      <c r="AG1325" t="s">
        <v>2560</v>
      </c>
    </row>
    <row r="1326" spans="1:33" x14ac:dyDescent="0.35">
      <c r="A1326" s="18">
        <v>44438.895138888889</v>
      </c>
      <c r="B1326">
        <v>1517435</v>
      </c>
      <c r="C1326" t="s">
        <v>867</v>
      </c>
      <c r="D1326" t="s">
        <v>158</v>
      </c>
      <c r="E1326" s="19">
        <v>41605</v>
      </c>
      <c r="F1326" t="str">
        <f>"9780123838377"</f>
        <v>9780123838377</v>
      </c>
      <c r="G1326" t="str">
        <f>"9780123838360"</f>
        <v>9780123838360</v>
      </c>
      <c r="H1326" t="s">
        <v>868</v>
      </c>
      <c r="I1326">
        <v>612.79999999999995</v>
      </c>
      <c r="J1326" t="s">
        <v>869</v>
      </c>
      <c r="K1326" t="s">
        <v>73</v>
      </c>
      <c r="N1326" t="s">
        <v>74</v>
      </c>
      <c r="O1326" t="s">
        <v>75</v>
      </c>
      <c r="P1326" t="s">
        <v>74</v>
      </c>
      <c r="Q1326" t="s">
        <v>76</v>
      </c>
      <c r="R1326" t="s">
        <v>73</v>
      </c>
      <c r="S1326">
        <v>0</v>
      </c>
      <c r="W1326" s="20">
        <v>2.1412037037037038E-3</v>
      </c>
      <c r="X1326" t="s">
        <v>3050</v>
      </c>
      <c r="Y1326">
        <v>9</v>
      </c>
      <c r="Z1326">
        <v>0</v>
      </c>
      <c r="AA1326" t="s">
        <v>78</v>
      </c>
      <c r="AB1326">
        <v>0</v>
      </c>
      <c r="AC1326" t="s">
        <v>78</v>
      </c>
      <c r="AD1326">
        <v>0</v>
      </c>
      <c r="AE1326">
        <v>10791987</v>
      </c>
      <c r="AF1326" t="s">
        <v>88</v>
      </c>
      <c r="AG1326" t="s">
        <v>2560</v>
      </c>
    </row>
    <row r="1327" spans="1:33" x14ac:dyDescent="0.35">
      <c r="A1327" s="18">
        <v>44438.894444444442</v>
      </c>
      <c r="B1327">
        <v>3017388</v>
      </c>
      <c r="C1327" t="s">
        <v>745</v>
      </c>
      <c r="D1327" t="s">
        <v>234</v>
      </c>
      <c r="E1327" s="19">
        <v>39783</v>
      </c>
      <c r="F1327" t="str">
        <f>"9788122429206"</f>
        <v>9788122429206</v>
      </c>
      <c r="G1327" t="str">
        <f>"9788122426984"</f>
        <v>9788122426984</v>
      </c>
      <c r="H1327" t="s">
        <v>115</v>
      </c>
      <c r="J1327" t="s">
        <v>746</v>
      </c>
      <c r="K1327" t="s">
        <v>73</v>
      </c>
      <c r="N1327" t="s">
        <v>74</v>
      </c>
      <c r="O1327" t="s">
        <v>75</v>
      </c>
      <c r="P1327" t="s">
        <v>74</v>
      </c>
      <c r="Q1327" t="s">
        <v>76</v>
      </c>
      <c r="R1327" t="s">
        <v>73</v>
      </c>
      <c r="S1327">
        <v>0</v>
      </c>
      <c r="W1327" s="20">
        <v>4.5254629629629629E-3</v>
      </c>
      <c r="X1327" t="s">
        <v>3051</v>
      </c>
      <c r="Y1327">
        <v>12</v>
      </c>
      <c r="Z1327">
        <v>0</v>
      </c>
      <c r="AA1327" t="s">
        <v>78</v>
      </c>
      <c r="AB1327">
        <v>0</v>
      </c>
      <c r="AC1327" t="s">
        <v>78</v>
      </c>
      <c r="AD1327">
        <v>0</v>
      </c>
      <c r="AE1327">
        <v>10355537</v>
      </c>
      <c r="AF1327" t="s">
        <v>88</v>
      </c>
      <c r="AG1327" t="s">
        <v>2560</v>
      </c>
    </row>
    <row r="1328" spans="1:33" x14ac:dyDescent="0.35">
      <c r="A1328" s="18">
        <v>44438.894444444442</v>
      </c>
      <c r="B1328">
        <v>739037</v>
      </c>
      <c r="C1328" t="s">
        <v>649</v>
      </c>
      <c r="D1328" t="s">
        <v>158</v>
      </c>
      <c r="E1328" s="19">
        <v>40788</v>
      </c>
      <c r="F1328" t="str">
        <f>"9780123850829"</f>
        <v>9780123850829</v>
      </c>
      <c r="G1328" t="str">
        <f>"9780123850812"</f>
        <v>9780123850812</v>
      </c>
      <c r="H1328" t="s">
        <v>115</v>
      </c>
      <c r="I1328">
        <v>518.02855299999999</v>
      </c>
      <c r="J1328" t="s">
        <v>650</v>
      </c>
      <c r="K1328" t="s">
        <v>73</v>
      </c>
      <c r="N1328" t="s">
        <v>74</v>
      </c>
      <c r="O1328" t="s">
        <v>75</v>
      </c>
      <c r="P1328" t="s">
        <v>74</v>
      </c>
      <c r="Q1328" t="s">
        <v>76</v>
      </c>
      <c r="R1328" t="s">
        <v>73</v>
      </c>
      <c r="S1328">
        <v>0</v>
      </c>
      <c r="W1328" s="20">
        <v>3.2407407407407406E-4</v>
      </c>
      <c r="X1328" t="s">
        <v>3052</v>
      </c>
      <c r="Y1328">
        <v>7</v>
      </c>
      <c r="Z1328">
        <v>0</v>
      </c>
      <c r="AA1328" t="s">
        <v>78</v>
      </c>
      <c r="AB1328">
        <v>0</v>
      </c>
      <c r="AC1328" t="s">
        <v>78</v>
      </c>
      <c r="AD1328">
        <v>0</v>
      </c>
      <c r="AE1328">
        <v>10483436</v>
      </c>
      <c r="AF1328" t="s">
        <v>79</v>
      </c>
      <c r="AG1328" t="s">
        <v>2560</v>
      </c>
    </row>
    <row r="1329" spans="1:33" x14ac:dyDescent="0.35">
      <c r="A1329" s="18">
        <v>44438.884027777778</v>
      </c>
      <c r="B1329">
        <v>5754433</v>
      </c>
      <c r="C1329" t="s">
        <v>649</v>
      </c>
      <c r="D1329" t="s">
        <v>158</v>
      </c>
      <c r="E1329" s="19">
        <v>41474</v>
      </c>
      <c r="F1329" t="str">
        <f>"9780124058934"</f>
        <v>9780124058934</v>
      </c>
      <c r="G1329" t="str">
        <f>"9780124058767"</f>
        <v>9780124058767</v>
      </c>
      <c r="H1329" t="s">
        <v>115</v>
      </c>
      <c r="I1329">
        <v>518.02855299999999</v>
      </c>
      <c r="J1329" t="s">
        <v>652</v>
      </c>
      <c r="K1329" t="s">
        <v>73</v>
      </c>
      <c r="N1329" t="s">
        <v>74</v>
      </c>
      <c r="O1329" t="s">
        <v>75</v>
      </c>
      <c r="P1329" t="s">
        <v>74</v>
      </c>
      <c r="Q1329" t="s">
        <v>76</v>
      </c>
      <c r="R1329" t="s">
        <v>73</v>
      </c>
      <c r="S1329">
        <v>0</v>
      </c>
      <c r="W1329" s="20">
        <v>1.1840277777777778E-2</v>
      </c>
      <c r="X1329" t="s">
        <v>3053</v>
      </c>
      <c r="Y1329">
        <v>23</v>
      </c>
      <c r="Z1329">
        <v>0</v>
      </c>
      <c r="AA1329" t="s">
        <v>78</v>
      </c>
      <c r="AB1329">
        <v>0</v>
      </c>
      <c r="AC1329" t="s">
        <v>78</v>
      </c>
      <c r="AD1329">
        <v>0</v>
      </c>
      <c r="AE1329">
        <v>-1</v>
      </c>
      <c r="AF1329" t="s">
        <v>88</v>
      </c>
      <c r="AG1329" t="s">
        <v>2560</v>
      </c>
    </row>
    <row r="1330" spans="1:33" x14ac:dyDescent="0.35">
      <c r="A1330" s="18">
        <v>44438.765972222223</v>
      </c>
      <c r="B1330">
        <v>5324453</v>
      </c>
      <c r="C1330" t="s">
        <v>3054</v>
      </c>
      <c r="D1330" t="s">
        <v>3055</v>
      </c>
      <c r="E1330" s="19">
        <v>41352</v>
      </c>
      <c r="F1330" t="str">
        <f>"9781783320042"</f>
        <v>9781783320042</v>
      </c>
      <c r="G1330" t="str">
        <f>"9781842658215"</f>
        <v>9781842658215</v>
      </c>
      <c r="H1330" t="s">
        <v>2606</v>
      </c>
      <c r="I1330">
        <v>530</v>
      </c>
      <c r="J1330" t="s">
        <v>3056</v>
      </c>
      <c r="K1330" t="s">
        <v>73</v>
      </c>
      <c r="N1330" t="s">
        <v>74</v>
      </c>
      <c r="O1330" t="s">
        <v>75</v>
      </c>
      <c r="P1330" t="s">
        <v>74</v>
      </c>
      <c r="Q1330" t="s">
        <v>76</v>
      </c>
      <c r="R1330" t="s">
        <v>73</v>
      </c>
      <c r="S1330">
        <v>0</v>
      </c>
      <c r="W1330" s="20">
        <v>2.8356481481481479E-3</v>
      </c>
      <c r="X1330" t="s">
        <v>3057</v>
      </c>
      <c r="Y1330">
        <v>31</v>
      </c>
      <c r="Z1330">
        <v>0</v>
      </c>
      <c r="AA1330" t="s">
        <v>78</v>
      </c>
      <c r="AB1330">
        <v>0</v>
      </c>
      <c r="AC1330" t="s">
        <v>78</v>
      </c>
      <c r="AD1330">
        <v>0</v>
      </c>
      <c r="AE1330">
        <v>11532030</v>
      </c>
      <c r="AF1330" t="s">
        <v>88</v>
      </c>
      <c r="AG1330" t="s">
        <v>3058</v>
      </c>
    </row>
    <row r="1331" spans="1:33" x14ac:dyDescent="0.35">
      <c r="A1331" s="18">
        <v>44438.726388888892</v>
      </c>
      <c r="B1331">
        <v>4037275</v>
      </c>
      <c r="C1331" t="s">
        <v>1999</v>
      </c>
      <c r="D1331" t="s">
        <v>1711</v>
      </c>
      <c r="E1331" s="19">
        <v>42233</v>
      </c>
      <c r="F1331" t="str">
        <f>"9781118652671"</f>
        <v>9781118652671</v>
      </c>
      <c r="G1331" t="str">
        <f>"9781118652732"</f>
        <v>9781118652732</v>
      </c>
      <c r="H1331" t="s">
        <v>1561</v>
      </c>
      <c r="I1331" t="s">
        <v>2000</v>
      </c>
      <c r="J1331" t="s">
        <v>2001</v>
      </c>
      <c r="K1331" t="s">
        <v>73</v>
      </c>
      <c r="N1331" t="s">
        <v>74</v>
      </c>
      <c r="O1331" t="s">
        <v>75</v>
      </c>
      <c r="P1331" t="s">
        <v>74</v>
      </c>
      <c r="Q1331" t="s">
        <v>76</v>
      </c>
      <c r="R1331" t="s">
        <v>73</v>
      </c>
      <c r="S1331">
        <v>0</v>
      </c>
      <c r="W1331" s="20">
        <v>3.4722222222222224E-4</v>
      </c>
      <c r="X1331" t="s">
        <v>3059</v>
      </c>
      <c r="Y1331">
        <v>7</v>
      </c>
      <c r="Z1331">
        <v>0</v>
      </c>
      <c r="AA1331" t="s">
        <v>78</v>
      </c>
      <c r="AB1331">
        <v>0</v>
      </c>
      <c r="AC1331" t="s">
        <v>78</v>
      </c>
      <c r="AD1331">
        <v>0</v>
      </c>
      <c r="AE1331">
        <v>11111615</v>
      </c>
      <c r="AF1331" t="s">
        <v>79</v>
      </c>
      <c r="AG1331" t="s">
        <v>3060</v>
      </c>
    </row>
    <row r="1332" spans="1:33" x14ac:dyDescent="0.35">
      <c r="A1332" s="18">
        <v>44438.722222222219</v>
      </c>
      <c r="B1332">
        <v>4037275</v>
      </c>
      <c r="C1332" t="s">
        <v>1999</v>
      </c>
      <c r="D1332" t="s">
        <v>1711</v>
      </c>
      <c r="E1332" s="19">
        <v>42233</v>
      </c>
      <c r="F1332" t="str">
        <f>"9781118652671"</f>
        <v>9781118652671</v>
      </c>
      <c r="G1332" t="str">
        <f>"9781118652732"</f>
        <v>9781118652732</v>
      </c>
      <c r="H1332" t="s">
        <v>1561</v>
      </c>
      <c r="I1332" t="s">
        <v>2000</v>
      </c>
      <c r="J1332" t="s">
        <v>2001</v>
      </c>
      <c r="K1332" t="s">
        <v>73</v>
      </c>
      <c r="N1332" t="s">
        <v>74</v>
      </c>
      <c r="O1332" t="s">
        <v>75</v>
      </c>
      <c r="P1332" t="s">
        <v>74</v>
      </c>
      <c r="Q1332" t="s">
        <v>76</v>
      </c>
      <c r="R1332" t="s">
        <v>73</v>
      </c>
      <c r="S1332">
        <v>0</v>
      </c>
      <c r="W1332" s="20">
        <v>1.0185185185185186E-3</v>
      </c>
      <c r="X1332" t="s">
        <v>3061</v>
      </c>
      <c r="Y1332">
        <v>13</v>
      </c>
      <c r="Z1332">
        <v>1</v>
      </c>
      <c r="AA1332" t="s">
        <v>3062</v>
      </c>
      <c r="AB1332">
        <v>169</v>
      </c>
      <c r="AC1332" t="s">
        <v>78</v>
      </c>
      <c r="AD1332">
        <v>0</v>
      </c>
      <c r="AE1332">
        <v>11111615</v>
      </c>
      <c r="AF1332" t="s">
        <v>79</v>
      </c>
      <c r="AG1332" t="s">
        <v>2560</v>
      </c>
    </row>
    <row r="1333" spans="1:33" x14ac:dyDescent="0.35">
      <c r="A1333" s="18">
        <v>44438.720833333333</v>
      </c>
      <c r="B1333">
        <v>706517</v>
      </c>
      <c r="C1333" t="s">
        <v>3063</v>
      </c>
      <c r="D1333" t="s">
        <v>70</v>
      </c>
      <c r="E1333" s="19">
        <v>39567</v>
      </c>
      <c r="F1333" t="str">
        <f>"9781118078976"</f>
        <v>9781118078976</v>
      </c>
      <c r="G1333" t="str">
        <f>"9780470258231"</f>
        <v>9780470258231</v>
      </c>
      <c r="H1333" t="s">
        <v>391</v>
      </c>
      <c r="I1333">
        <v>668.40285535999999</v>
      </c>
      <c r="J1333" t="s">
        <v>3064</v>
      </c>
      <c r="K1333" t="s">
        <v>73</v>
      </c>
      <c r="N1333" t="s">
        <v>74</v>
      </c>
      <c r="O1333" t="s">
        <v>75</v>
      </c>
      <c r="P1333" t="s">
        <v>74</v>
      </c>
      <c r="Q1333" t="s">
        <v>76</v>
      </c>
      <c r="R1333" t="s">
        <v>73</v>
      </c>
      <c r="S1333">
        <v>0</v>
      </c>
      <c r="W1333" s="20">
        <v>1.1817129629629629E-2</v>
      </c>
      <c r="X1333" t="s">
        <v>3065</v>
      </c>
      <c r="Y1333">
        <v>8</v>
      </c>
      <c r="Z1333">
        <v>0</v>
      </c>
      <c r="AA1333" t="s">
        <v>78</v>
      </c>
      <c r="AB1333">
        <v>0</v>
      </c>
      <c r="AC1333" t="s">
        <v>78</v>
      </c>
      <c r="AD1333">
        <v>0</v>
      </c>
      <c r="AE1333">
        <v>10700382</v>
      </c>
      <c r="AF1333" t="s">
        <v>79</v>
      </c>
      <c r="AG1333" t="s">
        <v>2560</v>
      </c>
    </row>
    <row r="1334" spans="1:33" x14ac:dyDescent="0.35">
      <c r="A1334" s="18">
        <v>44438.713194444441</v>
      </c>
      <c r="B1334">
        <v>1744502</v>
      </c>
      <c r="C1334" t="s">
        <v>3066</v>
      </c>
      <c r="D1334" t="s">
        <v>338</v>
      </c>
      <c r="E1334" s="19">
        <v>41843</v>
      </c>
      <c r="F1334" t="str">
        <f>"9780444537713"</f>
        <v>9780444537713</v>
      </c>
      <c r="G1334" t="str">
        <f>"9780444537706"</f>
        <v>9780444537706</v>
      </c>
      <c r="H1334" t="s">
        <v>3067</v>
      </c>
      <c r="I1334">
        <v>669.9</v>
      </c>
      <c r="J1334" t="s">
        <v>3068</v>
      </c>
      <c r="K1334" t="s">
        <v>73</v>
      </c>
      <c r="N1334" t="s">
        <v>74</v>
      </c>
      <c r="O1334" t="s">
        <v>75</v>
      </c>
      <c r="P1334" t="s">
        <v>74</v>
      </c>
      <c r="Q1334" t="s">
        <v>76</v>
      </c>
      <c r="R1334" t="s">
        <v>73</v>
      </c>
      <c r="S1334">
        <v>0</v>
      </c>
      <c r="W1334" s="20">
        <v>3.5879629629629635E-4</v>
      </c>
      <c r="X1334" t="s">
        <v>3069</v>
      </c>
      <c r="Y1334">
        <v>3</v>
      </c>
      <c r="Z1334">
        <v>0</v>
      </c>
      <c r="AA1334" t="s">
        <v>78</v>
      </c>
      <c r="AB1334">
        <v>0</v>
      </c>
      <c r="AC1334" t="s">
        <v>78</v>
      </c>
      <c r="AD1334">
        <v>0</v>
      </c>
      <c r="AE1334">
        <v>10896663</v>
      </c>
      <c r="AF1334" t="s">
        <v>79</v>
      </c>
      <c r="AG1334" t="s">
        <v>2560</v>
      </c>
    </row>
    <row r="1335" spans="1:33" x14ac:dyDescent="0.35">
      <c r="A1335" s="18">
        <v>44438.711805555555</v>
      </c>
      <c r="B1335">
        <v>344673</v>
      </c>
      <c r="C1335" t="s">
        <v>3070</v>
      </c>
      <c r="D1335" t="s">
        <v>158</v>
      </c>
      <c r="E1335" s="19">
        <v>35104</v>
      </c>
      <c r="F1335" t="str">
        <f>"9780080538945"</f>
        <v>9780080538945</v>
      </c>
      <c r="G1335" t="str">
        <f>"9780444898753"</f>
        <v>9780444898753</v>
      </c>
      <c r="H1335" t="s">
        <v>3071</v>
      </c>
      <c r="I1335">
        <v>669.9</v>
      </c>
      <c r="J1335" t="s">
        <v>3072</v>
      </c>
      <c r="K1335" t="s">
        <v>73</v>
      </c>
      <c r="N1335" t="s">
        <v>74</v>
      </c>
      <c r="O1335" t="s">
        <v>75</v>
      </c>
      <c r="P1335" t="s">
        <v>74</v>
      </c>
      <c r="Q1335" t="s">
        <v>76</v>
      </c>
      <c r="R1335" t="s">
        <v>73</v>
      </c>
      <c r="S1335">
        <v>0</v>
      </c>
      <c r="W1335" s="20">
        <v>0</v>
      </c>
      <c r="X1335" t="s">
        <v>78</v>
      </c>
      <c r="Y1335">
        <v>0</v>
      </c>
      <c r="Z1335">
        <v>1</v>
      </c>
      <c r="AA1335" t="s">
        <v>3073</v>
      </c>
      <c r="AB1335">
        <v>88</v>
      </c>
      <c r="AC1335" t="s">
        <v>78</v>
      </c>
      <c r="AD1335">
        <v>0</v>
      </c>
      <c r="AE1335">
        <v>10229410</v>
      </c>
      <c r="AF1335" t="s">
        <v>79</v>
      </c>
      <c r="AG1335" t="s">
        <v>2560</v>
      </c>
    </row>
    <row r="1336" spans="1:33" x14ac:dyDescent="0.35">
      <c r="A1336" s="18">
        <v>44438.643055555556</v>
      </c>
      <c r="B1336">
        <v>1185860</v>
      </c>
      <c r="C1336" t="s">
        <v>3074</v>
      </c>
      <c r="D1336" t="s">
        <v>1637</v>
      </c>
      <c r="E1336" s="19">
        <v>37565</v>
      </c>
      <c r="F1336" t="str">
        <f>"9781847559463"</f>
        <v>9781847559463</v>
      </c>
      <c r="G1336" t="str">
        <f>"9781904007401"</f>
        <v>9781904007401</v>
      </c>
      <c r="H1336" t="s">
        <v>724</v>
      </c>
      <c r="I1336">
        <v>613.20941000000005</v>
      </c>
      <c r="J1336" t="s">
        <v>3075</v>
      </c>
      <c r="K1336" t="s">
        <v>73</v>
      </c>
      <c r="N1336" t="s">
        <v>74</v>
      </c>
      <c r="O1336" t="s">
        <v>75</v>
      </c>
      <c r="P1336" t="s">
        <v>74</v>
      </c>
      <c r="Q1336" t="s">
        <v>76</v>
      </c>
      <c r="R1336" t="s">
        <v>73</v>
      </c>
      <c r="S1336">
        <v>0</v>
      </c>
      <c r="W1336" s="20">
        <v>2.4305555555555552E-4</v>
      </c>
      <c r="X1336" t="s">
        <v>951</v>
      </c>
      <c r="Y1336">
        <v>5</v>
      </c>
      <c r="Z1336">
        <v>0</v>
      </c>
      <c r="AA1336" t="s">
        <v>78</v>
      </c>
      <c r="AB1336">
        <v>0</v>
      </c>
      <c r="AC1336" t="s">
        <v>78</v>
      </c>
      <c r="AD1336">
        <v>0</v>
      </c>
      <c r="AE1336">
        <v>10618674</v>
      </c>
      <c r="AF1336" t="s">
        <v>79</v>
      </c>
      <c r="AG1336" t="s">
        <v>3076</v>
      </c>
    </row>
    <row r="1337" spans="1:33" x14ac:dyDescent="0.35">
      <c r="A1337" s="18">
        <v>44438.444444444445</v>
      </c>
      <c r="B1337">
        <v>1185860</v>
      </c>
      <c r="C1337" t="s">
        <v>3074</v>
      </c>
      <c r="D1337" t="s">
        <v>1637</v>
      </c>
      <c r="E1337" s="19">
        <v>37565</v>
      </c>
      <c r="F1337" t="str">
        <f>"9781847559463"</f>
        <v>9781847559463</v>
      </c>
      <c r="G1337" t="str">
        <f>"9781904007401"</f>
        <v>9781904007401</v>
      </c>
      <c r="H1337" t="s">
        <v>724</v>
      </c>
      <c r="I1337">
        <v>613.20941000000005</v>
      </c>
      <c r="J1337" t="s">
        <v>3075</v>
      </c>
      <c r="K1337" t="s">
        <v>73</v>
      </c>
      <c r="N1337" t="s">
        <v>74</v>
      </c>
      <c r="O1337" t="s">
        <v>75</v>
      </c>
      <c r="P1337" t="s">
        <v>74</v>
      </c>
      <c r="Q1337" t="s">
        <v>76</v>
      </c>
      <c r="R1337" t="s">
        <v>73</v>
      </c>
      <c r="S1337">
        <v>3</v>
      </c>
      <c r="W1337" s="20">
        <v>6.134259259259259E-4</v>
      </c>
      <c r="X1337" t="s">
        <v>3077</v>
      </c>
      <c r="Y1337">
        <v>10</v>
      </c>
      <c r="Z1337">
        <v>1</v>
      </c>
      <c r="AA1337" t="s">
        <v>125</v>
      </c>
      <c r="AB1337">
        <v>2</v>
      </c>
      <c r="AC1337" t="s">
        <v>78</v>
      </c>
      <c r="AD1337">
        <v>0</v>
      </c>
      <c r="AE1337">
        <v>10618674</v>
      </c>
      <c r="AF1337" t="s">
        <v>88</v>
      </c>
      <c r="AG1337" t="s">
        <v>3076</v>
      </c>
    </row>
    <row r="1338" spans="1:33" x14ac:dyDescent="0.35">
      <c r="A1338" s="18">
        <v>44437.990972222222</v>
      </c>
      <c r="B1338">
        <v>4183001</v>
      </c>
      <c r="C1338" t="s">
        <v>580</v>
      </c>
      <c r="D1338" t="s">
        <v>70</v>
      </c>
      <c r="E1338" s="19">
        <v>42359</v>
      </c>
      <c r="F1338" t="str">
        <f>"9781118972311"</f>
        <v>9781118972311</v>
      </c>
      <c r="G1338" t="str">
        <f>"9781118972304"</f>
        <v>9781118972304</v>
      </c>
      <c r="H1338" t="s">
        <v>308</v>
      </c>
      <c r="I1338">
        <v>297</v>
      </c>
      <c r="J1338" t="s">
        <v>581</v>
      </c>
      <c r="K1338" t="s">
        <v>73</v>
      </c>
      <c r="N1338" t="s">
        <v>74</v>
      </c>
      <c r="O1338" t="s">
        <v>75</v>
      </c>
      <c r="P1338" t="s">
        <v>74</v>
      </c>
      <c r="Q1338" t="s">
        <v>76</v>
      </c>
      <c r="R1338" t="s">
        <v>73</v>
      </c>
      <c r="S1338">
        <v>0</v>
      </c>
      <c r="W1338" s="20">
        <v>1.5046296296296294E-3</v>
      </c>
      <c r="X1338" t="s">
        <v>3078</v>
      </c>
      <c r="Y1338">
        <v>5</v>
      </c>
      <c r="Z1338">
        <v>0</v>
      </c>
      <c r="AA1338" t="s">
        <v>78</v>
      </c>
      <c r="AB1338">
        <v>0</v>
      </c>
      <c r="AC1338" t="s">
        <v>78</v>
      </c>
      <c r="AD1338">
        <v>0</v>
      </c>
      <c r="AE1338">
        <v>11124854</v>
      </c>
      <c r="AF1338" t="s">
        <v>79</v>
      </c>
      <c r="AG1338" t="s">
        <v>1921</v>
      </c>
    </row>
    <row r="1339" spans="1:33" x14ac:dyDescent="0.35">
      <c r="A1339" s="18">
        <v>44437.760416666664</v>
      </c>
      <c r="B1339">
        <v>3008581</v>
      </c>
      <c r="C1339" t="s">
        <v>3079</v>
      </c>
      <c r="D1339" t="s">
        <v>3031</v>
      </c>
      <c r="E1339" s="19">
        <v>36861</v>
      </c>
      <c r="F1339" t="str">
        <f>"9781901843675"</f>
        <v>9781901843675</v>
      </c>
      <c r="G1339" t="str">
        <f>""</f>
        <v/>
      </c>
      <c r="H1339" t="s">
        <v>636</v>
      </c>
      <c r="J1339" t="s">
        <v>3080</v>
      </c>
      <c r="K1339" t="s">
        <v>73</v>
      </c>
      <c r="N1339" t="s">
        <v>74</v>
      </c>
      <c r="O1339" t="s">
        <v>75</v>
      </c>
      <c r="P1339" t="s">
        <v>74</v>
      </c>
      <c r="Q1339" t="s">
        <v>76</v>
      </c>
      <c r="R1339" t="s">
        <v>73</v>
      </c>
      <c r="S1339">
        <v>3</v>
      </c>
      <c r="W1339" s="20">
        <v>3.4722222222222222E-5</v>
      </c>
      <c r="X1339" t="s">
        <v>3081</v>
      </c>
      <c r="Y1339">
        <v>2</v>
      </c>
      <c r="Z1339">
        <v>0</v>
      </c>
      <c r="AA1339" t="s">
        <v>78</v>
      </c>
      <c r="AB1339">
        <v>0</v>
      </c>
      <c r="AC1339" t="s">
        <v>78</v>
      </c>
      <c r="AD1339">
        <v>0</v>
      </c>
      <c r="AE1339">
        <v>2001786</v>
      </c>
      <c r="AF1339" t="s">
        <v>88</v>
      </c>
      <c r="AG1339" t="s">
        <v>702</v>
      </c>
    </row>
    <row r="1340" spans="1:33" x14ac:dyDescent="0.35">
      <c r="A1340" s="18">
        <v>44437.759722222225</v>
      </c>
      <c r="B1340">
        <v>3008581</v>
      </c>
      <c r="C1340" t="s">
        <v>3079</v>
      </c>
      <c r="D1340" t="s">
        <v>3031</v>
      </c>
      <c r="E1340" s="19">
        <v>36861</v>
      </c>
      <c r="F1340" t="str">
        <f>"9781901843675"</f>
        <v>9781901843675</v>
      </c>
      <c r="G1340" t="str">
        <f>""</f>
        <v/>
      </c>
      <c r="H1340" t="s">
        <v>636</v>
      </c>
      <c r="J1340" t="s">
        <v>3080</v>
      </c>
      <c r="K1340" t="s">
        <v>73</v>
      </c>
      <c r="N1340" t="s">
        <v>74</v>
      </c>
      <c r="O1340" t="s">
        <v>75</v>
      </c>
      <c r="P1340" t="s">
        <v>74</v>
      </c>
      <c r="Q1340" t="s">
        <v>76</v>
      </c>
      <c r="R1340" t="s">
        <v>73</v>
      </c>
      <c r="S1340">
        <v>0</v>
      </c>
      <c r="W1340" s="20">
        <v>7.8703703703703705E-4</v>
      </c>
      <c r="X1340" t="s">
        <v>3082</v>
      </c>
      <c r="Y1340">
        <v>4</v>
      </c>
      <c r="Z1340">
        <v>0</v>
      </c>
      <c r="AA1340" t="s">
        <v>78</v>
      </c>
      <c r="AB1340">
        <v>0</v>
      </c>
      <c r="AC1340" t="s">
        <v>78</v>
      </c>
      <c r="AD1340">
        <v>0</v>
      </c>
      <c r="AE1340">
        <v>2001786</v>
      </c>
      <c r="AF1340" t="s">
        <v>88</v>
      </c>
      <c r="AG1340" t="s">
        <v>702</v>
      </c>
    </row>
    <row r="1341" spans="1:33" x14ac:dyDescent="0.35">
      <c r="A1341" s="18">
        <v>44437.570138888892</v>
      </c>
      <c r="B1341">
        <v>4732981</v>
      </c>
      <c r="C1341" t="s">
        <v>3083</v>
      </c>
      <c r="D1341" t="s">
        <v>502</v>
      </c>
      <c r="E1341" s="19">
        <v>42444</v>
      </c>
      <c r="F1341" t="str">
        <f>"9781780407807"</f>
        <v>9781780407807</v>
      </c>
      <c r="G1341" t="str">
        <f>""</f>
        <v/>
      </c>
      <c r="H1341" t="s">
        <v>374</v>
      </c>
      <c r="I1341">
        <v>628.16200000000003</v>
      </c>
      <c r="J1341" t="s">
        <v>3084</v>
      </c>
      <c r="K1341" t="s">
        <v>73</v>
      </c>
      <c r="N1341" t="s">
        <v>74</v>
      </c>
      <c r="O1341" t="s">
        <v>75</v>
      </c>
      <c r="P1341" t="s">
        <v>74</v>
      </c>
      <c r="Q1341" t="s">
        <v>76</v>
      </c>
      <c r="R1341" t="s">
        <v>73</v>
      </c>
      <c r="S1341">
        <v>0</v>
      </c>
      <c r="W1341" s="20">
        <v>3.5879629629629635E-4</v>
      </c>
      <c r="X1341" t="s">
        <v>3085</v>
      </c>
      <c r="Y1341">
        <v>6</v>
      </c>
      <c r="Z1341">
        <v>0</v>
      </c>
      <c r="AA1341" t="s">
        <v>78</v>
      </c>
      <c r="AB1341">
        <v>0</v>
      </c>
      <c r="AC1341" t="s">
        <v>78</v>
      </c>
      <c r="AD1341">
        <v>0</v>
      </c>
      <c r="AE1341">
        <v>11294801</v>
      </c>
      <c r="AF1341" t="s">
        <v>79</v>
      </c>
      <c r="AG1341" t="s">
        <v>2945</v>
      </c>
    </row>
    <row r="1342" spans="1:33" x14ac:dyDescent="0.35">
      <c r="A1342" s="18">
        <v>44437.556250000001</v>
      </c>
      <c r="B1342">
        <v>1185660</v>
      </c>
      <c r="C1342" t="s">
        <v>3086</v>
      </c>
      <c r="D1342" t="s">
        <v>1637</v>
      </c>
      <c r="E1342" s="19">
        <v>38099</v>
      </c>
      <c r="F1342" t="str">
        <f>"9781847551177"</f>
        <v>9781847551177</v>
      </c>
      <c r="G1342" t="str">
        <f>"9780854045907"</f>
        <v>9780854045907</v>
      </c>
      <c r="H1342" t="s">
        <v>149</v>
      </c>
      <c r="I1342">
        <v>572.29999999999995</v>
      </c>
      <c r="J1342">
        <v>2006283264</v>
      </c>
      <c r="K1342" t="s">
        <v>73</v>
      </c>
      <c r="N1342" t="s">
        <v>74</v>
      </c>
      <c r="O1342" t="s">
        <v>75</v>
      </c>
      <c r="P1342" t="s">
        <v>74</v>
      </c>
      <c r="Q1342" t="s">
        <v>76</v>
      </c>
      <c r="R1342" t="s">
        <v>73</v>
      </c>
      <c r="S1342">
        <v>0</v>
      </c>
      <c r="W1342" s="20">
        <v>6.9444444444444444E-5</v>
      </c>
      <c r="X1342" t="s">
        <v>132</v>
      </c>
      <c r="Y1342">
        <v>1</v>
      </c>
      <c r="Z1342">
        <v>0</v>
      </c>
      <c r="AA1342" t="s">
        <v>78</v>
      </c>
      <c r="AB1342">
        <v>0</v>
      </c>
      <c r="AC1342" t="s">
        <v>78</v>
      </c>
      <c r="AD1342">
        <v>0</v>
      </c>
      <c r="AE1342">
        <v>10621214</v>
      </c>
      <c r="AF1342" t="s">
        <v>79</v>
      </c>
      <c r="AG1342" t="s">
        <v>2945</v>
      </c>
    </row>
    <row r="1343" spans="1:33" x14ac:dyDescent="0.35">
      <c r="A1343" s="18">
        <v>44437.421527777777</v>
      </c>
      <c r="B1343">
        <v>4037275</v>
      </c>
      <c r="C1343" t="s">
        <v>1999</v>
      </c>
      <c r="D1343" t="s">
        <v>1711</v>
      </c>
      <c r="E1343" s="19">
        <v>42233</v>
      </c>
      <c r="F1343" t="str">
        <f>"9781118652671"</f>
        <v>9781118652671</v>
      </c>
      <c r="G1343" t="str">
        <f>"9781118652732"</f>
        <v>9781118652732</v>
      </c>
      <c r="H1343" t="s">
        <v>1561</v>
      </c>
      <c r="I1343" t="s">
        <v>2000</v>
      </c>
      <c r="J1343" t="s">
        <v>2001</v>
      </c>
      <c r="K1343" t="s">
        <v>73</v>
      </c>
      <c r="N1343" t="s">
        <v>74</v>
      </c>
      <c r="O1343" t="s">
        <v>75</v>
      </c>
      <c r="P1343" t="s">
        <v>74</v>
      </c>
      <c r="Q1343" t="s">
        <v>76</v>
      </c>
      <c r="R1343" t="s">
        <v>73</v>
      </c>
      <c r="S1343">
        <v>0</v>
      </c>
      <c r="W1343" s="20">
        <v>0</v>
      </c>
      <c r="X1343" t="s">
        <v>78</v>
      </c>
      <c r="Y1343">
        <v>0</v>
      </c>
      <c r="Z1343">
        <v>1</v>
      </c>
      <c r="AA1343" t="s">
        <v>3087</v>
      </c>
      <c r="AB1343">
        <v>59</v>
      </c>
      <c r="AC1343" t="s">
        <v>78</v>
      </c>
      <c r="AD1343">
        <v>0</v>
      </c>
      <c r="AE1343">
        <v>11111615</v>
      </c>
      <c r="AF1343" t="s">
        <v>79</v>
      </c>
      <c r="AG1343" t="s">
        <v>2560</v>
      </c>
    </row>
    <row r="1344" spans="1:33" x14ac:dyDescent="0.35">
      <c r="A1344" s="18">
        <v>44436.78125</v>
      </c>
      <c r="B1344">
        <v>5485197</v>
      </c>
      <c r="C1344" t="s">
        <v>3088</v>
      </c>
      <c r="D1344" t="s">
        <v>3089</v>
      </c>
      <c r="E1344" s="19">
        <v>43347</v>
      </c>
      <c r="F1344" t="str">
        <f>"9781683922957"</f>
        <v>9781683922957</v>
      </c>
      <c r="G1344" t="str">
        <f>""</f>
        <v/>
      </c>
      <c r="H1344" t="s">
        <v>1194</v>
      </c>
      <c r="I1344">
        <v>620.00151000000005</v>
      </c>
      <c r="J1344" t="s">
        <v>3090</v>
      </c>
      <c r="K1344" t="s">
        <v>73</v>
      </c>
      <c r="N1344" t="s">
        <v>74</v>
      </c>
      <c r="O1344" t="s">
        <v>75</v>
      </c>
      <c r="P1344" t="s">
        <v>74</v>
      </c>
      <c r="Q1344" t="s">
        <v>76</v>
      </c>
      <c r="R1344" t="s">
        <v>73</v>
      </c>
      <c r="S1344">
        <v>0</v>
      </c>
      <c r="W1344" s="20">
        <v>1.4699074074074074E-3</v>
      </c>
      <c r="X1344" t="s">
        <v>3091</v>
      </c>
      <c r="Y1344">
        <v>16</v>
      </c>
      <c r="Z1344">
        <v>0</v>
      </c>
      <c r="AA1344" t="s">
        <v>78</v>
      </c>
      <c r="AB1344">
        <v>0</v>
      </c>
      <c r="AC1344" t="s">
        <v>78</v>
      </c>
      <c r="AD1344">
        <v>0</v>
      </c>
      <c r="AE1344">
        <v>11598102</v>
      </c>
      <c r="AF1344" t="s">
        <v>79</v>
      </c>
      <c r="AG1344" t="s">
        <v>2560</v>
      </c>
    </row>
    <row r="1345" spans="1:33" x14ac:dyDescent="0.35">
      <c r="A1345" s="18">
        <v>44436.693749999999</v>
      </c>
      <c r="B1345">
        <v>1447246</v>
      </c>
      <c r="C1345" t="s">
        <v>3092</v>
      </c>
      <c r="D1345" t="s">
        <v>1311</v>
      </c>
      <c r="E1345" s="19">
        <v>40449</v>
      </c>
      <c r="F1345" t="str">
        <f>"9781439894552"</f>
        <v>9781439894552</v>
      </c>
      <c r="G1345" t="str">
        <f>"9781439805336"</f>
        <v>9781439805336</v>
      </c>
      <c r="H1345" t="s">
        <v>2185</v>
      </c>
      <c r="I1345">
        <v>621.40200000000004</v>
      </c>
      <c r="J1345" t="s">
        <v>3093</v>
      </c>
      <c r="K1345" t="s">
        <v>73</v>
      </c>
      <c r="N1345" t="s">
        <v>74</v>
      </c>
      <c r="O1345" t="s">
        <v>75</v>
      </c>
      <c r="P1345" t="s">
        <v>74</v>
      </c>
      <c r="Q1345" t="s">
        <v>76</v>
      </c>
      <c r="R1345" t="s">
        <v>73</v>
      </c>
      <c r="S1345">
        <v>1</v>
      </c>
      <c r="W1345" s="20">
        <v>1.1574074074074073E-5</v>
      </c>
      <c r="X1345" t="s">
        <v>78</v>
      </c>
      <c r="Y1345">
        <v>0</v>
      </c>
      <c r="Z1345">
        <v>0</v>
      </c>
      <c r="AA1345" t="s">
        <v>78</v>
      </c>
      <c r="AB1345">
        <v>0</v>
      </c>
      <c r="AC1345" t="s">
        <v>78</v>
      </c>
      <c r="AD1345">
        <v>0</v>
      </c>
      <c r="AE1345">
        <v>11166262</v>
      </c>
      <c r="AF1345" t="s">
        <v>88</v>
      </c>
      <c r="AG1345" t="s">
        <v>2560</v>
      </c>
    </row>
    <row r="1346" spans="1:33" x14ac:dyDescent="0.35">
      <c r="A1346" s="18">
        <v>44436.688194444447</v>
      </c>
      <c r="B1346">
        <v>5450869</v>
      </c>
      <c r="C1346" t="s">
        <v>411</v>
      </c>
      <c r="D1346" t="s">
        <v>127</v>
      </c>
      <c r="E1346" s="19">
        <v>43287</v>
      </c>
      <c r="F1346" t="str">
        <f>"9781351714198"</f>
        <v>9781351714198</v>
      </c>
      <c r="G1346" t="str">
        <f>"9781138943841"</f>
        <v>9781138943841</v>
      </c>
      <c r="H1346" t="s">
        <v>412</v>
      </c>
      <c r="I1346">
        <v>621.40223000000003</v>
      </c>
      <c r="J1346" t="s">
        <v>413</v>
      </c>
      <c r="K1346" t="s">
        <v>85</v>
      </c>
      <c r="N1346" t="s">
        <v>86</v>
      </c>
      <c r="P1346" t="s">
        <v>297</v>
      </c>
      <c r="Q1346" t="s">
        <v>76</v>
      </c>
      <c r="R1346" t="s">
        <v>73</v>
      </c>
      <c r="S1346">
        <v>2</v>
      </c>
      <c r="T1346">
        <v>1</v>
      </c>
      <c r="U1346" s="18">
        <v>44436.688194444447</v>
      </c>
      <c r="V1346" s="18">
        <v>44437.688194444447</v>
      </c>
      <c r="W1346" s="20">
        <v>0</v>
      </c>
      <c r="X1346" t="s">
        <v>3094</v>
      </c>
      <c r="Y1346">
        <v>2</v>
      </c>
      <c r="Z1346">
        <v>1</v>
      </c>
      <c r="AA1346" t="s">
        <v>3095</v>
      </c>
      <c r="AB1346">
        <v>2</v>
      </c>
      <c r="AC1346" t="s">
        <v>78</v>
      </c>
      <c r="AD1346">
        <v>0</v>
      </c>
      <c r="AE1346">
        <v>-1</v>
      </c>
      <c r="AF1346" t="s">
        <v>88</v>
      </c>
      <c r="AG1346" t="s">
        <v>2560</v>
      </c>
    </row>
    <row r="1347" spans="1:33" x14ac:dyDescent="0.35">
      <c r="A1347" s="18">
        <v>44436.686805555553</v>
      </c>
      <c r="B1347">
        <v>5450869</v>
      </c>
      <c r="C1347" t="s">
        <v>411</v>
      </c>
      <c r="D1347" t="s">
        <v>127</v>
      </c>
      <c r="E1347" s="19">
        <v>43287</v>
      </c>
      <c r="F1347" t="str">
        <f>"9781351714198"</f>
        <v>9781351714198</v>
      </c>
      <c r="G1347" t="str">
        <f>"9781138943841"</f>
        <v>9781138943841</v>
      </c>
      <c r="H1347" t="s">
        <v>412</v>
      </c>
      <c r="I1347">
        <v>621.40223000000003</v>
      </c>
      <c r="J1347" t="s">
        <v>413</v>
      </c>
      <c r="K1347" t="s">
        <v>85</v>
      </c>
      <c r="N1347" t="s">
        <v>86</v>
      </c>
      <c r="P1347" t="s">
        <v>297</v>
      </c>
      <c r="Q1347" t="s">
        <v>76</v>
      </c>
      <c r="R1347" t="s">
        <v>73</v>
      </c>
      <c r="S1347">
        <v>0</v>
      </c>
      <c r="W1347" s="20">
        <v>1.8287037037037037E-3</v>
      </c>
      <c r="X1347" t="s">
        <v>3096</v>
      </c>
      <c r="Y1347">
        <v>3</v>
      </c>
      <c r="Z1347">
        <v>0</v>
      </c>
      <c r="AA1347" t="s">
        <v>78</v>
      </c>
      <c r="AB1347">
        <v>0</v>
      </c>
      <c r="AC1347" t="s">
        <v>78</v>
      </c>
      <c r="AD1347">
        <v>0</v>
      </c>
      <c r="AE1347">
        <v>-1</v>
      </c>
      <c r="AF1347" t="s">
        <v>88</v>
      </c>
      <c r="AG1347" t="s">
        <v>2560</v>
      </c>
    </row>
    <row r="1348" spans="1:33" x14ac:dyDescent="0.35">
      <c r="A1348" s="18">
        <v>44436.631249999999</v>
      </c>
      <c r="B1348">
        <v>4187267</v>
      </c>
      <c r="C1348" t="s">
        <v>2955</v>
      </c>
      <c r="D1348" t="s">
        <v>70</v>
      </c>
      <c r="E1348" s="19">
        <v>42310</v>
      </c>
      <c r="F1348" t="str">
        <f>"9781119002062"</f>
        <v>9781119002062</v>
      </c>
      <c r="G1348" t="str">
        <f>"9781119002253"</f>
        <v>9781119002253</v>
      </c>
      <c r="H1348" t="s">
        <v>2956</v>
      </c>
      <c r="I1348">
        <v>1.4226000000000001</v>
      </c>
      <c r="J1348" t="s">
        <v>2957</v>
      </c>
      <c r="K1348" t="s">
        <v>73</v>
      </c>
      <c r="N1348" t="s">
        <v>74</v>
      </c>
      <c r="O1348" t="s">
        <v>75</v>
      </c>
      <c r="P1348" t="s">
        <v>74</v>
      </c>
      <c r="Q1348" t="s">
        <v>76</v>
      </c>
      <c r="R1348" t="s">
        <v>73</v>
      </c>
      <c r="S1348">
        <v>0</v>
      </c>
      <c r="W1348" s="20">
        <v>8.1018518518518516E-4</v>
      </c>
      <c r="X1348" t="s">
        <v>3097</v>
      </c>
      <c r="Y1348">
        <v>8</v>
      </c>
      <c r="Z1348">
        <v>2</v>
      </c>
      <c r="AA1348" t="s">
        <v>3098</v>
      </c>
      <c r="AB1348">
        <v>25</v>
      </c>
      <c r="AC1348" t="s">
        <v>78</v>
      </c>
      <c r="AD1348">
        <v>0</v>
      </c>
      <c r="AE1348">
        <v>11128117</v>
      </c>
      <c r="AF1348" t="s">
        <v>79</v>
      </c>
      <c r="AG1348" t="s">
        <v>3099</v>
      </c>
    </row>
    <row r="1349" spans="1:33" x14ac:dyDescent="0.35">
      <c r="A1349" s="18">
        <v>44435.958333333336</v>
      </c>
      <c r="B1349">
        <v>3115707</v>
      </c>
      <c r="C1349" t="s">
        <v>3100</v>
      </c>
      <c r="D1349" t="s">
        <v>346</v>
      </c>
      <c r="E1349" s="19">
        <v>41974</v>
      </c>
      <c r="F1349" t="str">
        <f>"9780784478912"</f>
        <v>9780784478912</v>
      </c>
      <c r="G1349" t="str">
        <f>"9780784413678"</f>
        <v>9780784413678</v>
      </c>
      <c r="H1349" t="s">
        <v>3101</v>
      </c>
      <c r="I1349" t="s">
        <v>3102</v>
      </c>
      <c r="J1349" t="s">
        <v>3103</v>
      </c>
      <c r="K1349" t="s">
        <v>73</v>
      </c>
      <c r="N1349" t="s">
        <v>74</v>
      </c>
      <c r="O1349" t="s">
        <v>75</v>
      </c>
      <c r="P1349" t="s">
        <v>74</v>
      </c>
      <c r="Q1349" t="s">
        <v>76</v>
      </c>
      <c r="R1349" t="s">
        <v>73</v>
      </c>
      <c r="S1349">
        <v>0</v>
      </c>
      <c r="W1349" s="20">
        <v>1.261574074074074E-3</v>
      </c>
      <c r="X1349" t="s">
        <v>3104</v>
      </c>
      <c r="Y1349">
        <v>9</v>
      </c>
      <c r="Z1349">
        <v>2</v>
      </c>
      <c r="AA1349" t="s">
        <v>3105</v>
      </c>
      <c r="AB1349">
        <v>6</v>
      </c>
      <c r="AC1349" t="s">
        <v>78</v>
      </c>
      <c r="AD1349">
        <v>0</v>
      </c>
      <c r="AE1349">
        <v>11018361</v>
      </c>
      <c r="AF1349" t="s">
        <v>88</v>
      </c>
      <c r="AG1349" t="s">
        <v>3106</v>
      </c>
    </row>
    <row r="1350" spans="1:33" x14ac:dyDescent="0.35">
      <c r="A1350" s="18">
        <v>44435.918055555558</v>
      </c>
      <c r="B1350">
        <v>3115707</v>
      </c>
      <c r="C1350" t="s">
        <v>3100</v>
      </c>
      <c r="D1350" t="s">
        <v>346</v>
      </c>
      <c r="E1350" s="19">
        <v>41974</v>
      </c>
      <c r="F1350" t="str">
        <f>"9780784478912"</f>
        <v>9780784478912</v>
      </c>
      <c r="G1350" t="str">
        <f>"9780784413678"</f>
        <v>9780784413678</v>
      </c>
      <c r="H1350" t="s">
        <v>3101</v>
      </c>
      <c r="I1350" t="s">
        <v>3102</v>
      </c>
      <c r="J1350" t="s">
        <v>3103</v>
      </c>
      <c r="K1350" t="s">
        <v>73</v>
      </c>
      <c r="N1350" t="s">
        <v>74</v>
      </c>
      <c r="O1350" t="s">
        <v>75</v>
      </c>
      <c r="P1350" t="s">
        <v>74</v>
      </c>
      <c r="Q1350" t="s">
        <v>76</v>
      </c>
      <c r="R1350" t="s">
        <v>73</v>
      </c>
      <c r="S1350">
        <v>0</v>
      </c>
      <c r="W1350" s="20">
        <v>3.7523148148148146E-2</v>
      </c>
      <c r="X1350" t="s">
        <v>3107</v>
      </c>
      <c r="Y1350">
        <v>41</v>
      </c>
      <c r="Z1350">
        <v>0</v>
      </c>
      <c r="AA1350" t="s">
        <v>78</v>
      </c>
      <c r="AB1350">
        <v>0</v>
      </c>
      <c r="AC1350" t="s">
        <v>78</v>
      </c>
      <c r="AD1350">
        <v>0</v>
      </c>
      <c r="AE1350">
        <v>11018361</v>
      </c>
      <c r="AF1350" t="s">
        <v>79</v>
      </c>
      <c r="AG1350" t="s">
        <v>3108</v>
      </c>
    </row>
    <row r="1351" spans="1:33" x14ac:dyDescent="0.35">
      <c r="A1351" s="18">
        <v>44435.881249999999</v>
      </c>
      <c r="B1351">
        <v>3001381</v>
      </c>
      <c r="C1351" t="s">
        <v>3109</v>
      </c>
      <c r="D1351" t="s">
        <v>3110</v>
      </c>
      <c r="E1351" s="19">
        <v>37863</v>
      </c>
      <c r="F1351" t="str">
        <f>"9780313057502"</f>
        <v>9780313057502</v>
      </c>
      <c r="G1351" t="str">
        <f>"9780275979768"</f>
        <v>9780275979768</v>
      </c>
      <c r="H1351" t="s">
        <v>128</v>
      </c>
      <c r="I1351">
        <v>361.3</v>
      </c>
      <c r="J1351" t="s">
        <v>3111</v>
      </c>
      <c r="K1351" t="s">
        <v>73</v>
      </c>
      <c r="N1351" t="s">
        <v>74</v>
      </c>
      <c r="O1351" t="s">
        <v>75</v>
      </c>
      <c r="P1351" t="s">
        <v>74</v>
      </c>
      <c r="Q1351" t="s">
        <v>76</v>
      </c>
      <c r="R1351" t="s">
        <v>73</v>
      </c>
      <c r="S1351">
        <v>1</v>
      </c>
      <c r="W1351" s="20">
        <v>0</v>
      </c>
      <c r="X1351" t="s">
        <v>78</v>
      </c>
      <c r="Y1351">
        <v>0</v>
      </c>
      <c r="Z1351">
        <v>2</v>
      </c>
      <c r="AA1351" t="s">
        <v>3112</v>
      </c>
      <c r="AB1351">
        <v>126</v>
      </c>
      <c r="AC1351" t="s">
        <v>78</v>
      </c>
      <c r="AD1351">
        <v>0</v>
      </c>
      <c r="AE1351">
        <v>10349849</v>
      </c>
      <c r="AF1351" t="s">
        <v>88</v>
      </c>
      <c r="AG1351" t="s">
        <v>2560</v>
      </c>
    </row>
    <row r="1352" spans="1:33" x14ac:dyDescent="0.35">
      <c r="A1352" s="18">
        <v>44435.65347222222</v>
      </c>
      <c r="B1352">
        <v>1446474</v>
      </c>
      <c r="C1352" t="s">
        <v>3113</v>
      </c>
      <c r="D1352" t="s">
        <v>127</v>
      </c>
      <c r="E1352" s="19">
        <v>41151</v>
      </c>
      <c r="F1352" t="str">
        <f>"9781466578302"</f>
        <v>9781466578302</v>
      </c>
      <c r="G1352" t="str">
        <f>"9781591690375"</f>
        <v>9781591690375</v>
      </c>
      <c r="H1352" t="s">
        <v>1158</v>
      </c>
      <c r="I1352">
        <v>532.05015153529996</v>
      </c>
      <c r="J1352" t="s">
        <v>3114</v>
      </c>
      <c r="K1352" t="s">
        <v>73</v>
      </c>
      <c r="N1352" t="s">
        <v>74</v>
      </c>
      <c r="O1352" t="s">
        <v>75</v>
      </c>
      <c r="P1352" t="s">
        <v>74</v>
      </c>
      <c r="Q1352" t="s">
        <v>76</v>
      </c>
      <c r="R1352" t="s">
        <v>73</v>
      </c>
      <c r="S1352">
        <v>0</v>
      </c>
      <c r="W1352" s="20">
        <v>1.1574074074074073E-4</v>
      </c>
      <c r="X1352" t="s">
        <v>125</v>
      </c>
      <c r="Y1352">
        <v>2</v>
      </c>
      <c r="Z1352">
        <v>0</v>
      </c>
      <c r="AA1352" t="s">
        <v>78</v>
      </c>
      <c r="AB1352">
        <v>0</v>
      </c>
      <c r="AC1352" t="s">
        <v>78</v>
      </c>
      <c r="AD1352">
        <v>0</v>
      </c>
      <c r="AE1352">
        <v>11166027</v>
      </c>
      <c r="AF1352" t="s">
        <v>79</v>
      </c>
      <c r="AG1352" t="s">
        <v>2747</v>
      </c>
    </row>
    <row r="1353" spans="1:33" x14ac:dyDescent="0.35">
      <c r="A1353" s="18">
        <v>44435.652777777781</v>
      </c>
      <c r="B1353">
        <v>5450869</v>
      </c>
      <c r="C1353" t="s">
        <v>411</v>
      </c>
      <c r="D1353" t="s">
        <v>127</v>
      </c>
      <c r="E1353" s="19">
        <v>43287</v>
      </c>
      <c r="F1353" t="str">
        <f>"9781351714198"</f>
        <v>9781351714198</v>
      </c>
      <c r="G1353" t="str">
        <f>"9781138943841"</f>
        <v>9781138943841</v>
      </c>
      <c r="H1353" t="s">
        <v>412</v>
      </c>
      <c r="I1353">
        <v>621.40223000000003</v>
      </c>
      <c r="J1353" t="s">
        <v>413</v>
      </c>
      <c r="K1353" t="s">
        <v>85</v>
      </c>
      <c r="N1353" t="s">
        <v>86</v>
      </c>
      <c r="P1353" t="s">
        <v>297</v>
      </c>
      <c r="Q1353" t="s">
        <v>76</v>
      </c>
      <c r="R1353" t="s">
        <v>73</v>
      </c>
      <c r="S1353">
        <v>0</v>
      </c>
      <c r="W1353" s="20">
        <v>3.4722222222222222E-5</v>
      </c>
      <c r="X1353" t="s">
        <v>3115</v>
      </c>
      <c r="Y1353">
        <v>1</v>
      </c>
      <c r="Z1353">
        <v>0</v>
      </c>
      <c r="AA1353" t="s">
        <v>78</v>
      </c>
      <c r="AB1353">
        <v>0</v>
      </c>
      <c r="AC1353" t="s">
        <v>78</v>
      </c>
      <c r="AD1353">
        <v>0</v>
      </c>
      <c r="AE1353">
        <v>-1</v>
      </c>
      <c r="AF1353" t="s">
        <v>79</v>
      </c>
      <c r="AG1353" t="s">
        <v>2747</v>
      </c>
    </row>
    <row r="1354" spans="1:33" x14ac:dyDescent="0.35">
      <c r="A1354" s="18">
        <v>44435.628472222219</v>
      </c>
      <c r="B1354">
        <v>5450869</v>
      </c>
      <c r="C1354" t="s">
        <v>411</v>
      </c>
      <c r="D1354" t="s">
        <v>127</v>
      </c>
      <c r="E1354" s="19">
        <v>43287</v>
      </c>
      <c r="F1354" t="str">
        <f>"9781351714198"</f>
        <v>9781351714198</v>
      </c>
      <c r="G1354" t="str">
        <f>"9781138943841"</f>
        <v>9781138943841</v>
      </c>
      <c r="H1354" t="s">
        <v>412</v>
      </c>
      <c r="I1354">
        <v>621.40223000000003</v>
      </c>
      <c r="J1354" t="s">
        <v>413</v>
      </c>
      <c r="K1354" t="s">
        <v>85</v>
      </c>
      <c r="N1354" t="s">
        <v>86</v>
      </c>
      <c r="P1354" t="s">
        <v>297</v>
      </c>
      <c r="Q1354" t="s">
        <v>76</v>
      </c>
      <c r="R1354" t="s">
        <v>73</v>
      </c>
      <c r="S1354">
        <v>0</v>
      </c>
      <c r="W1354" s="20">
        <v>2.1759259259259258E-3</v>
      </c>
      <c r="X1354" t="s">
        <v>3116</v>
      </c>
      <c r="Y1354">
        <v>29</v>
      </c>
      <c r="Z1354">
        <v>1</v>
      </c>
      <c r="AA1354" t="s">
        <v>3117</v>
      </c>
      <c r="AB1354">
        <v>32</v>
      </c>
      <c r="AC1354" t="s">
        <v>78</v>
      </c>
      <c r="AD1354">
        <v>0</v>
      </c>
      <c r="AE1354">
        <v>-1</v>
      </c>
      <c r="AF1354" t="s">
        <v>79</v>
      </c>
      <c r="AG1354" t="s">
        <v>2747</v>
      </c>
    </row>
    <row r="1355" spans="1:33" x14ac:dyDescent="0.35">
      <c r="A1355" s="18">
        <v>44434.849305555559</v>
      </c>
      <c r="B1355">
        <v>3115707</v>
      </c>
      <c r="C1355" t="s">
        <v>3100</v>
      </c>
      <c r="D1355" t="s">
        <v>346</v>
      </c>
      <c r="E1355" s="19">
        <v>41974</v>
      </c>
      <c r="F1355" t="str">
        <f>"9780784478912"</f>
        <v>9780784478912</v>
      </c>
      <c r="G1355" t="str">
        <f>"9780784413678"</f>
        <v>9780784413678</v>
      </c>
      <c r="H1355" t="s">
        <v>3101</v>
      </c>
      <c r="I1355" t="s">
        <v>3102</v>
      </c>
      <c r="J1355" t="s">
        <v>3103</v>
      </c>
      <c r="K1355" t="s">
        <v>73</v>
      </c>
      <c r="N1355" t="s">
        <v>74</v>
      </c>
      <c r="O1355" t="s">
        <v>75</v>
      </c>
      <c r="P1355" t="s">
        <v>74</v>
      </c>
      <c r="Q1355" t="s">
        <v>76</v>
      </c>
      <c r="R1355" t="s">
        <v>73</v>
      </c>
      <c r="S1355">
        <v>0</v>
      </c>
      <c r="W1355" s="20">
        <v>1.0416666666666667E-4</v>
      </c>
      <c r="X1355" t="s">
        <v>132</v>
      </c>
      <c r="Y1355">
        <v>1</v>
      </c>
      <c r="Z1355">
        <v>0</v>
      </c>
      <c r="AA1355" t="s">
        <v>78</v>
      </c>
      <c r="AB1355">
        <v>0</v>
      </c>
      <c r="AC1355" t="s">
        <v>78</v>
      </c>
      <c r="AD1355">
        <v>0</v>
      </c>
      <c r="AE1355">
        <v>11018361</v>
      </c>
      <c r="AF1355" t="s">
        <v>79</v>
      </c>
      <c r="AG1355" t="s">
        <v>3108</v>
      </c>
    </row>
    <row r="1356" spans="1:33" x14ac:dyDescent="0.35">
      <c r="A1356" s="18">
        <v>44434.581250000003</v>
      </c>
      <c r="B1356">
        <v>3021220</v>
      </c>
      <c r="C1356" t="s">
        <v>3118</v>
      </c>
      <c r="D1356" t="s">
        <v>226</v>
      </c>
      <c r="E1356" s="19">
        <v>40848</v>
      </c>
      <c r="F1356" t="str">
        <f>"9781620814857"</f>
        <v>9781620814857</v>
      </c>
      <c r="G1356" t="str">
        <f>"9781613240199"</f>
        <v>9781613240199</v>
      </c>
      <c r="H1356" t="s">
        <v>1466</v>
      </c>
      <c r="I1356">
        <v>6.3</v>
      </c>
      <c r="J1356" t="s">
        <v>3119</v>
      </c>
      <c r="K1356" t="s">
        <v>73</v>
      </c>
      <c r="N1356" t="s">
        <v>74</v>
      </c>
      <c r="O1356" t="s">
        <v>75</v>
      </c>
      <c r="P1356" t="s">
        <v>230</v>
      </c>
      <c r="Q1356" t="s">
        <v>76</v>
      </c>
      <c r="R1356" t="s">
        <v>85</v>
      </c>
      <c r="S1356">
        <v>0</v>
      </c>
      <c r="W1356" s="20">
        <v>1.0416666666666667E-4</v>
      </c>
      <c r="X1356" t="s">
        <v>125</v>
      </c>
      <c r="Y1356">
        <v>2</v>
      </c>
      <c r="Z1356">
        <v>0</v>
      </c>
      <c r="AA1356" t="s">
        <v>78</v>
      </c>
      <c r="AB1356">
        <v>0</v>
      </c>
      <c r="AC1356" t="s">
        <v>78</v>
      </c>
      <c r="AD1356">
        <v>0</v>
      </c>
      <c r="AE1356">
        <v>10681420</v>
      </c>
      <c r="AF1356" t="s">
        <v>79</v>
      </c>
      <c r="AG1356" t="s">
        <v>2560</v>
      </c>
    </row>
    <row r="1357" spans="1:33" x14ac:dyDescent="0.35">
      <c r="A1357" s="18">
        <v>44434.533333333333</v>
      </c>
      <c r="B1357">
        <v>3115707</v>
      </c>
      <c r="C1357" t="s">
        <v>3100</v>
      </c>
      <c r="D1357" t="s">
        <v>346</v>
      </c>
      <c r="E1357" s="19">
        <v>41974</v>
      </c>
      <c r="F1357" t="str">
        <f>"9780784478912"</f>
        <v>9780784478912</v>
      </c>
      <c r="G1357" t="str">
        <f>"9780784413678"</f>
        <v>9780784413678</v>
      </c>
      <c r="H1357" t="s">
        <v>3101</v>
      </c>
      <c r="I1357" t="s">
        <v>3102</v>
      </c>
      <c r="J1357" t="s">
        <v>3103</v>
      </c>
      <c r="K1357" t="s">
        <v>73</v>
      </c>
      <c r="N1357" t="s">
        <v>74</v>
      </c>
      <c r="O1357" t="s">
        <v>75</v>
      </c>
      <c r="P1357" t="s">
        <v>74</v>
      </c>
      <c r="Q1357" t="s">
        <v>76</v>
      </c>
      <c r="R1357" t="s">
        <v>73</v>
      </c>
      <c r="S1357">
        <v>0</v>
      </c>
      <c r="W1357" s="20">
        <v>1.7708333333333332E-3</v>
      </c>
      <c r="X1357" t="s">
        <v>3120</v>
      </c>
      <c r="Y1357">
        <v>7</v>
      </c>
      <c r="Z1357">
        <v>0</v>
      </c>
      <c r="AA1357" t="s">
        <v>78</v>
      </c>
      <c r="AB1357">
        <v>0</v>
      </c>
      <c r="AC1357" t="s">
        <v>78</v>
      </c>
      <c r="AD1357">
        <v>0</v>
      </c>
      <c r="AE1357">
        <v>11018361</v>
      </c>
      <c r="AF1357" t="s">
        <v>79</v>
      </c>
      <c r="AG1357" t="s">
        <v>3108</v>
      </c>
    </row>
    <row r="1358" spans="1:33" x14ac:dyDescent="0.35">
      <c r="A1358" s="18">
        <v>44434.486111111109</v>
      </c>
      <c r="B1358">
        <v>873243</v>
      </c>
      <c r="C1358" t="s">
        <v>3121</v>
      </c>
      <c r="D1358" t="s">
        <v>3122</v>
      </c>
      <c r="E1358" s="19">
        <v>40980</v>
      </c>
      <c r="F1358" t="str">
        <f>"9781780171302"</f>
        <v>9781780171302</v>
      </c>
      <c r="G1358" t="str">
        <f>""</f>
        <v/>
      </c>
      <c r="H1358" t="s">
        <v>110</v>
      </c>
      <c r="I1358">
        <v>4.6782000000000004</v>
      </c>
      <c r="J1358" t="s">
        <v>3123</v>
      </c>
      <c r="K1358" t="s">
        <v>73</v>
      </c>
      <c r="N1358" t="s">
        <v>74</v>
      </c>
      <c r="O1358" t="s">
        <v>75</v>
      </c>
      <c r="P1358" t="s">
        <v>230</v>
      </c>
      <c r="Q1358" t="s">
        <v>76</v>
      </c>
      <c r="R1358" t="s">
        <v>85</v>
      </c>
      <c r="S1358">
        <v>0</v>
      </c>
      <c r="W1358" s="20">
        <v>2.6620370370370372E-4</v>
      </c>
      <c r="X1358" t="s">
        <v>951</v>
      </c>
      <c r="Y1358">
        <v>5</v>
      </c>
      <c r="Z1358">
        <v>0</v>
      </c>
      <c r="AA1358" t="s">
        <v>78</v>
      </c>
      <c r="AB1358">
        <v>0</v>
      </c>
      <c r="AC1358" t="s">
        <v>78</v>
      </c>
      <c r="AD1358">
        <v>0</v>
      </c>
      <c r="AE1358">
        <v>10582848</v>
      </c>
      <c r="AF1358" t="s">
        <v>79</v>
      </c>
      <c r="AG1358" t="s">
        <v>2560</v>
      </c>
    </row>
    <row r="1359" spans="1:33" x14ac:dyDescent="0.35">
      <c r="A1359" s="18">
        <v>44434.473611111112</v>
      </c>
      <c r="B1359">
        <v>1185660</v>
      </c>
      <c r="C1359" t="s">
        <v>3086</v>
      </c>
      <c r="D1359" t="s">
        <v>1637</v>
      </c>
      <c r="E1359" s="19">
        <v>38099</v>
      </c>
      <c r="F1359" t="str">
        <f>"9781847551177"</f>
        <v>9781847551177</v>
      </c>
      <c r="G1359" t="str">
        <f>"9780854045907"</f>
        <v>9780854045907</v>
      </c>
      <c r="H1359" t="s">
        <v>149</v>
      </c>
      <c r="I1359">
        <v>572.29999999999995</v>
      </c>
      <c r="J1359">
        <v>2006283264</v>
      </c>
      <c r="K1359" t="s">
        <v>73</v>
      </c>
      <c r="N1359" t="s">
        <v>74</v>
      </c>
      <c r="O1359" t="s">
        <v>75</v>
      </c>
      <c r="P1359" t="s">
        <v>74</v>
      </c>
      <c r="Q1359" t="s">
        <v>76</v>
      </c>
      <c r="R1359" t="s">
        <v>73</v>
      </c>
      <c r="S1359">
        <v>0</v>
      </c>
      <c r="W1359" s="20">
        <v>1.273148148148148E-4</v>
      </c>
      <c r="X1359" t="s">
        <v>3124</v>
      </c>
      <c r="Y1359">
        <v>2</v>
      </c>
      <c r="Z1359">
        <v>0</v>
      </c>
      <c r="AA1359" t="s">
        <v>78</v>
      </c>
      <c r="AB1359">
        <v>0</v>
      </c>
      <c r="AC1359" t="s">
        <v>78</v>
      </c>
      <c r="AD1359">
        <v>0</v>
      </c>
      <c r="AE1359">
        <v>10621214</v>
      </c>
      <c r="AF1359" t="s">
        <v>79</v>
      </c>
      <c r="AG1359" t="s">
        <v>2732</v>
      </c>
    </row>
    <row r="1360" spans="1:33" x14ac:dyDescent="0.35">
      <c r="A1360" s="18">
        <v>44433.504166666666</v>
      </c>
      <c r="B1360">
        <v>5046647</v>
      </c>
      <c r="C1360" t="s">
        <v>3125</v>
      </c>
      <c r="D1360" t="s">
        <v>1311</v>
      </c>
      <c r="E1360" s="19">
        <v>42979</v>
      </c>
      <c r="F1360" t="str">
        <f>"9781498777872"</f>
        <v>9781498777872</v>
      </c>
      <c r="G1360" t="str">
        <f>"9781498777827"</f>
        <v>9781498777827</v>
      </c>
      <c r="H1360" t="s">
        <v>83</v>
      </c>
      <c r="I1360">
        <v>629.89251330000002</v>
      </c>
      <c r="J1360" t="s">
        <v>3126</v>
      </c>
      <c r="K1360" t="s">
        <v>85</v>
      </c>
      <c r="N1360" t="s">
        <v>86</v>
      </c>
      <c r="P1360" t="s">
        <v>297</v>
      </c>
      <c r="Q1360" t="s">
        <v>76</v>
      </c>
      <c r="R1360" t="s">
        <v>73</v>
      </c>
      <c r="S1360">
        <v>0</v>
      </c>
      <c r="W1360" s="20">
        <v>6.018518518518519E-4</v>
      </c>
      <c r="X1360" t="s">
        <v>3127</v>
      </c>
      <c r="Y1360">
        <v>11</v>
      </c>
      <c r="Z1360">
        <v>3</v>
      </c>
      <c r="AA1360" t="s">
        <v>3128</v>
      </c>
      <c r="AB1360">
        <v>90</v>
      </c>
      <c r="AC1360" t="s">
        <v>78</v>
      </c>
      <c r="AD1360">
        <v>0</v>
      </c>
      <c r="AE1360">
        <v>11440998</v>
      </c>
      <c r="AF1360" t="s">
        <v>79</v>
      </c>
      <c r="AG1360" t="s">
        <v>2560</v>
      </c>
    </row>
    <row r="1361" spans="1:33" x14ac:dyDescent="0.35">
      <c r="A1361" s="18">
        <v>44432.762499999997</v>
      </c>
      <c r="B1361">
        <v>6420045</v>
      </c>
      <c r="C1361" t="s">
        <v>3129</v>
      </c>
      <c r="D1361" t="s">
        <v>70</v>
      </c>
      <c r="E1361" s="19">
        <v>44180</v>
      </c>
      <c r="F1361" t="str">
        <f>"9781119682370"</f>
        <v>9781119682370</v>
      </c>
      <c r="G1361" t="str">
        <f>"9781119682363"</f>
        <v>9781119682363</v>
      </c>
      <c r="H1361" t="s">
        <v>3130</v>
      </c>
      <c r="I1361">
        <v>6.31</v>
      </c>
      <c r="J1361" t="s">
        <v>3131</v>
      </c>
      <c r="K1361" t="s">
        <v>85</v>
      </c>
      <c r="Q1361" t="s">
        <v>76</v>
      </c>
      <c r="R1361" t="s">
        <v>73</v>
      </c>
      <c r="S1361">
        <v>0</v>
      </c>
      <c r="W1361" s="20">
        <v>1.0763888888888889E-3</v>
      </c>
      <c r="X1361" t="s">
        <v>3132</v>
      </c>
      <c r="Y1361">
        <v>26</v>
      </c>
      <c r="Z1361">
        <v>0</v>
      </c>
      <c r="AA1361" t="s">
        <v>78</v>
      </c>
      <c r="AB1361">
        <v>0</v>
      </c>
      <c r="AC1361" t="s">
        <v>78</v>
      </c>
      <c r="AD1361">
        <v>0</v>
      </c>
      <c r="AE1361">
        <v>-1</v>
      </c>
      <c r="AF1361" t="s">
        <v>79</v>
      </c>
      <c r="AG1361" t="s">
        <v>2560</v>
      </c>
    </row>
    <row r="1362" spans="1:33" x14ac:dyDescent="0.35">
      <c r="A1362" s="18">
        <v>44432.759027777778</v>
      </c>
      <c r="B1362">
        <v>5915715</v>
      </c>
      <c r="C1362" t="s">
        <v>3133</v>
      </c>
      <c r="D1362" t="s">
        <v>2112</v>
      </c>
      <c r="E1362" s="19">
        <v>43740</v>
      </c>
      <c r="F1362" t="str">
        <f>"9781484249475"</f>
        <v>9781484249475</v>
      </c>
      <c r="G1362" t="str">
        <f>"9781484249468"</f>
        <v>9781484249468</v>
      </c>
      <c r="H1362" t="s">
        <v>110</v>
      </c>
      <c r="I1362" t="s">
        <v>3134</v>
      </c>
      <c r="J1362" t="s">
        <v>2113</v>
      </c>
      <c r="K1362" t="s">
        <v>85</v>
      </c>
      <c r="Q1362" t="s">
        <v>76</v>
      </c>
      <c r="R1362" t="s">
        <v>73</v>
      </c>
      <c r="S1362">
        <v>0</v>
      </c>
      <c r="W1362" s="20">
        <v>2.6967592592592594E-3</v>
      </c>
      <c r="X1362" t="s">
        <v>3135</v>
      </c>
      <c r="Y1362">
        <v>35</v>
      </c>
      <c r="Z1362">
        <v>0</v>
      </c>
      <c r="AA1362" t="s">
        <v>78</v>
      </c>
      <c r="AB1362">
        <v>0</v>
      </c>
      <c r="AC1362" t="s">
        <v>78</v>
      </c>
      <c r="AD1362">
        <v>0</v>
      </c>
      <c r="AE1362">
        <v>-1</v>
      </c>
      <c r="AF1362" t="s">
        <v>79</v>
      </c>
      <c r="AG1362" t="s">
        <v>2560</v>
      </c>
    </row>
    <row r="1363" spans="1:33" x14ac:dyDescent="0.35">
      <c r="A1363" s="18">
        <v>44432.731944444444</v>
      </c>
      <c r="B1363">
        <v>5735490</v>
      </c>
      <c r="C1363" t="s">
        <v>3136</v>
      </c>
      <c r="D1363" t="s">
        <v>1311</v>
      </c>
      <c r="E1363" s="19">
        <v>43567</v>
      </c>
      <c r="F1363" t="str">
        <f>"9780429608827"</f>
        <v>9780429608827</v>
      </c>
      <c r="G1363" t="str">
        <f>"9781498773218"</f>
        <v>9781498773218</v>
      </c>
      <c r="H1363" t="s">
        <v>115</v>
      </c>
      <c r="I1363">
        <v>519.54999999999995</v>
      </c>
      <c r="J1363" t="s">
        <v>3137</v>
      </c>
      <c r="K1363" t="s">
        <v>85</v>
      </c>
      <c r="Q1363" t="s">
        <v>76</v>
      </c>
      <c r="R1363" t="s">
        <v>73</v>
      </c>
      <c r="S1363">
        <v>0</v>
      </c>
      <c r="W1363" s="20">
        <v>9.2592592592592585E-4</v>
      </c>
      <c r="X1363" t="s">
        <v>3138</v>
      </c>
      <c r="Y1363">
        <v>19</v>
      </c>
      <c r="Z1363">
        <v>0</v>
      </c>
      <c r="AA1363" t="s">
        <v>78</v>
      </c>
      <c r="AB1363">
        <v>0</v>
      </c>
      <c r="AC1363" t="s">
        <v>78</v>
      </c>
      <c r="AD1363">
        <v>0</v>
      </c>
      <c r="AE1363">
        <v>-1</v>
      </c>
      <c r="AF1363" t="s">
        <v>79</v>
      </c>
      <c r="AG1363" t="s">
        <v>2560</v>
      </c>
    </row>
    <row r="1364" spans="1:33" x14ac:dyDescent="0.35">
      <c r="A1364" s="18">
        <v>44432.598611111112</v>
      </c>
      <c r="B1364">
        <v>3338578</v>
      </c>
      <c r="C1364" t="s">
        <v>3139</v>
      </c>
      <c r="D1364" t="s">
        <v>300</v>
      </c>
      <c r="E1364" s="19">
        <v>39164</v>
      </c>
      <c r="F1364" t="str">
        <f>"9780262256292"</f>
        <v>9780262256292</v>
      </c>
      <c r="G1364" t="str">
        <f>"9780262072816"</f>
        <v>9780262072816</v>
      </c>
      <c r="H1364" t="s">
        <v>3045</v>
      </c>
      <c r="I1364" t="s">
        <v>1873</v>
      </c>
      <c r="J1364" t="s">
        <v>3140</v>
      </c>
      <c r="K1364" t="s">
        <v>73</v>
      </c>
      <c r="N1364" t="s">
        <v>74</v>
      </c>
      <c r="O1364" t="s">
        <v>75</v>
      </c>
      <c r="P1364" t="s">
        <v>74</v>
      </c>
      <c r="Q1364" t="s">
        <v>76</v>
      </c>
      <c r="R1364" t="s">
        <v>73</v>
      </c>
      <c r="S1364">
        <v>0</v>
      </c>
      <c r="W1364" s="20">
        <v>2.0949074074074073E-3</v>
      </c>
      <c r="X1364" t="s">
        <v>3141</v>
      </c>
      <c r="Y1364">
        <v>12</v>
      </c>
      <c r="Z1364">
        <v>0</v>
      </c>
      <c r="AA1364" t="s">
        <v>78</v>
      </c>
      <c r="AB1364">
        <v>0</v>
      </c>
      <c r="AC1364" t="s">
        <v>78</v>
      </c>
      <c r="AD1364">
        <v>0</v>
      </c>
      <c r="AE1364">
        <v>10173636</v>
      </c>
      <c r="AF1364" t="s">
        <v>88</v>
      </c>
      <c r="AG1364" t="s">
        <v>2560</v>
      </c>
    </row>
    <row r="1365" spans="1:33" x14ac:dyDescent="0.35">
      <c r="A1365" s="18">
        <v>44432.59652777778</v>
      </c>
      <c r="B1365">
        <v>827051</v>
      </c>
      <c r="C1365" t="s">
        <v>3142</v>
      </c>
      <c r="D1365" t="s">
        <v>70</v>
      </c>
      <c r="E1365" s="19">
        <v>41086</v>
      </c>
      <c r="F1365" t="str">
        <f>"9781118250068"</f>
        <v>9781118250068</v>
      </c>
      <c r="G1365" t="str">
        <f>"9780813801261"</f>
        <v>9780813801261</v>
      </c>
      <c r="H1365" t="s">
        <v>285</v>
      </c>
      <c r="I1365">
        <v>639.79999999999995</v>
      </c>
      <c r="J1365" t="s">
        <v>3143</v>
      </c>
      <c r="K1365" t="s">
        <v>73</v>
      </c>
      <c r="N1365" t="s">
        <v>74</v>
      </c>
      <c r="O1365" t="s">
        <v>75</v>
      </c>
      <c r="P1365" t="s">
        <v>74</v>
      </c>
      <c r="Q1365" t="s">
        <v>76</v>
      </c>
      <c r="R1365" t="s">
        <v>73</v>
      </c>
      <c r="S1365">
        <v>0</v>
      </c>
      <c r="W1365" s="20">
        <v>1.9675925925925928E-3</v>
      </c>
      <c r="X1365" t="s">
        <v>3144</v>
      </c>
      <c r="Y1365">
        <v>17</v>
      </c>
      <c r="Z1365">
        <v>0</v>
      </c>
      <c r="AA1365" t="s">
        <v>78</v>
      </c>
      <c r="AB1365">
        <v>0</v>
      </c>
      <c r="AC1365" t="s">
        <v>78</v>
      </c>
      <c r="AD1365">
        <v>0</v>
      </c>
      <c r="AE1365">
        <v>10540899</v>
      </c>
      <c r="AF1365" t="s">
        <v>79</v>
      </c>
      <c r="AG1365" t="s">
        <v>2560</v>
      </c>
    </row>
    <row r="1366" spans="1:33" x14ac:dyDescent="0.35">
      <c r="A1366" s="18">
        <v>44432.580555555556</v>
      </c>
      <c r="B1366">
        <v>566084</v>
      </c>
      <c r="C1366" t="s">
        <v>3145</v>
      </c>
      <c r="D1366" t="s">
        <v>127</v>
      </c>
      <c r="E1366" s="19">
        <v>40374</v>
      </c>
      <c r="F1366" t="str">
        <f>"9781439814895"</f>
        <v>9781439814895</v>
      </c>
      <c r="G1366" t="str">
        <f>"9781439814888"</f>
        <v>9781439814888</v>
      </c>
      <c r="H1366" t="s">
        <v>149</v>
      </c>
      <c r="I1366">
        <v>572.80285000000003</v>
      </c>
      <c r="J1366" t="s">
        <v>3146</v>
      </c>
      <c r="K1366" t="s">
        <v>73</v>
      </c>
      <c r="N1366" t="s">
        <v>74</v>
      </c>
      <c r="O1366" t="s">
        <v>75</v>
      </c>
      <c r="P1366" t="s">
        <v>74</v>
      </c>
      <c r="Q1366" t="s">
        <v>76</v>
      </c>
      <c r="R1366" t="s">
        <v>73</v>
      </c>
      <c r="S1366">
        <v>0</v>
      </c>
      <c r="W1366" s="20">
        <v>1.3888888888888889E-4</v>
      </c>
      <c r="X1366" t="s">
        <v>3147</v>
      </c>
      <c r="Y1366">
        <v>2</v>
      </c>
      <c r="Z1366">
        <v>0</v>
      </c>
      <c r="AA1366" t="s">
        <v>78</v>
      </c>
      <c r="AB1366">
        <v>0</v>
      </c>
      <c r="AC1366" t="s">
        <v>78</v>
      </c>
      <c r="AD1366">
        <v>0</v>
      </c>
      <c r="AE1366">
        <v>10405048</v>
      </c>
      <c r="AF1366" t="s">
        <v>79</v>
      </c>
      <c r="AG1366" t="s">
        <v>2972</v>
      </c>
    </row>
    <row r="1367" spans="1:33" x14ac:dyDescent="0.35">
      <c r="A1367" s="18">
        <v>44432.568749999999</v>
      </c>
      <c r="B1367">
        <v>1204633</v>
      </c>
      <c r="C1367" t="s">
        <v>1560</v>
      </c>
      <c r="D1367" t="s">
        <v>70</v>
      </c>
      <c r="E1367" s="19">
        <v>41512</v>
      </c>
      <c r="F1367" t="str">
        <f>"9781118450444"</f>
        <v>9781118450444</v>
      </c>
      <c r="G1367" t="str">
        <f>"9780470673768"</f>
        <v>9780470673768</v>
      </c>
      <c r="H1367" t="s">
        <v>1561</v>
      </c>
      <c r="I1367">
        <v>552.5</v>
      </c>
      <c r="J1367" t="s">
        <v>1562</v>
      </c>
      <c r="K1367" t="s">
        <v>73</v>
      </c>
      <c r="N1367" t="s">
        <v>74</v>
      </c>
      <c r="O1367" t="s">
        <v>75</v>
      </c>
      <c r="P1367" t="s">
        <v>74</v>
      </c>
      <c r="Q1367" t="s">
        <v>76</v>
      </c>
      <c r="R1367" t="s">
        <v>73</v>
      </c>
      <c r="S1367">
        <v>0</v>
      </c>
      <c r="W1367" s="20">
        <v>2.7708333333333331E-2</v>
      </c>
      <c r="X1367" t="s">
        <v>3148</v>
      </c>
      <c r="Y1367">
        <v>21</v>
      </c>
      <c r="Z1367">
        <v>2</v>
      </c>
      <c r="AA1367" t="s">
        <v>3149</v>
      </c>
      <c r="AB1367">
        <v>62</v>
      </c>
      <c r="AC1367" t="s">
        <v>78</v>
      </c>
      <c r="AD1367">
        <v>0</v>
      </c>
      <c r="AE1367">
        <v>10713576</v>
      </c>
      <c r="AF1367" t="s">
        <v>79</v>
      </c>
      <c r="AG1367" t="s">
        <v>2560</v>
      </c>
    </row>
    <row r="1368" spans="1:33" x14ac:dyDescent="0.35">
      <c r="A1368" s="18">
        <v>44432.556944444441</v>
      </c>
      <c r="B1368">
        <v>1185660</v>
      </c>
      <c r="C1368" t="s">
        <v>3086</v>
      </c>
      <c r="D1368" t="s">
        <v>1637</v>
      </c>
      <c r="E1368" s="19">
        <v>38099</v>
      </c>
      <c r="F1368" t="str">
        <f>"9781847551177"</f>
        <v>9781847551177</v>
      </c>
      <c r="G1368" t="str">
        <f>"9780854045907"</f>
        <v>9780854045907</v>
      </c>
      <c r="H1368" t="s">
        <v>149</v>
      </c>
      <c r="I1368">
        <v>572.29999999999995</v>
      </c>
      <c r="J1368">
        <v>2006283264</v>
      </c>
      <c r="K1368" t="s">
        <v>73</v>
      </c>
      <c r="N1368" t="s">
        <v>74</v>
      </c>
      <c r="O1368" t="s">
        <v>75</v>
      </c>
      <c r="P1368" t="s">
        <v>74</v>
      </c>
      <c r="Q1368" t="s">
        <v>76</v>
      </c>
      <c r="R1368" t="s">
        <v>73</v>
      </c>
      <c r="S1368">
        <v>0</v>
      </c>
      <c r="W1368" s="20">
        <v>4.8726851851851856E-3</v>
      </c>
      <c r="X1368" t="s">
        <v>3150</v>
      </c>
      <c r="Y1368">
        <v>31</v>
      </c>
      <c r="Z1368">
        <v>0</v>
      </c>
      <c r="AA1368" t="s">
        <v>3151</v>
      </c>
      <c r="AB1368">
        <v>82</v>
      </c>
      <c r="AC1368" t="s">
        <v>78</v>
      </c>
      <c r="AD1368">
        <v>0</v>
      </c>
      <c r="AE1368">
        <v>10621214</v>
      </c>
      <c r="AF1368" t="s">
        <v>79</v>
      </c>
      <c r="AG1368" t="s">
        <v>2732</v>
      </c>
    </row>
    <row r="1369" spans="1:33" x14ac:dyDescent="0.35">
      <c r="A1369" s="18">
        <v>44432.522222222222</v>
      </c>
      <c r="B1369">
        <v>1185660</v>
      </c>
      <c r="C1369" t="s">
        <v>3086</v>
      </c>
      <c r="D1369" t="s">
        <v>1637</v>
      </c>
      <c r="E1369" s="19">
        <v>38099</v>
      </c>
      <c r="F1369" t="str">
        <f>"9781847551177"</f>
        <v>9781847551177</v>
      </c>
      <c r="G1369" t="str">
        <f>"9780854045907"</f>
        <v>9780854045907</v>
      </c>
      <c r="H1369" t="s">
        <v>149</v>
      </c>
      <c r="I1369">
        <v>572.29999999999995</v>
      </c>
      <c r="J1369">
        <v>2006283264</v>
      </c>
      <c r="K1369" t="s">
        <v>73</v>
      </c>
      <c r="N1369" t="s">
        <v>74</v>
      </c>
      <c r="O1369" t="s">
        <v>75</v>
      </c>
      <c r="P1369" t="s">
        <v>74</v>
      </c>
      <c r="Q1369" t="s">
        <v>76</v>
      </c>
      <c r="R1369" t="s">
        <v>73</v>
      </c>
      <c r="S1369">
        <v>4</v>
      </c>
      <c r="W1369" s="20">
        <v>6.5509259259259262E-3</v>
      </c>
      <c r="X1369" t="s">
        <v>3152</v>
      </c>
      <c r="Y1369">
        <v>35</v>
      </c>
      <c r="Z1369">
        <v>0</v>
      </c>
      <c r="AA1369" t="s">
        <v>3153</v>
      </c>
      <c r="AB1369">
        <v>130</v>
      </c>
      <c r="AC1369" t="s">
        <v>78</v>
      </c>
      <c r="AD1369">
        <v>0</v>
      </c>
      <c r="AE1369">
        <v>10621214</v>
      </c>
      <c r="AF1369" t="s">
        <v>88</v>
      </c>
      <c r="AG1369" t="s">
        <v>2732</v>
      </c>
    </row>
    <row r="1370" spans="1:33" x14ac:dyDescent="0.35">
      <c r="A1370" s="18">
        <v>44432.509027777778</v>
      </c>
      <c r="B1370">
        <v>270919</v>
      </c>
      <c r="C1370" t="s">
        <v>3154</v>
      </c>
      <c r="D1370" t="s">
        <v>102</v>
      </c>
      <c r="E1370" s="19">
        <v>31281</v>
      </c>
      <c r="F1370" t="str">
        <f>"9780195365214"</f>
        <v>9780195365214</v>
      </c>
      <c r="G1370" t="str">
        <f>"9780195035469"</f>
        <v>9780195035469</v>
      </c>
      <c r="H1370" t="s">
        <v>83</v>
      </c>
      <c r="I1370">
        <v>621.47</v>
      </c>
      <c r="J1370" t="s">
        <v>3155</v>
      </c>
      <c r="K1370" t="s">
        <v>73</v>
      </c>
      <c r="N1370" t="s">
        <v>74</v>
      </c>
      <c r="O1370" t="s">
        <v>75</v>
      </c>
      <c r="P1370" t="s">
        <v>74</v>
      </c>
      <c r="Q1370" t="s">
        <v>76</v>
      </c>
      <c r="R1370" t="s">
        <v>73</v>
      </c>
      <c r="S1370">
        <v>1</v>
      </c>
      <c r="W1370" s="20">
        <v>0</v>
      </c>
      <c r="X1370" t="s">
        <v>78</v>
      </c>
      <c r="Y1370">
        <v>0</v>
      </c>
      <c r="Z1370">
        <v>0</v>
      </c>
      <c r="AA1370" t="s">
        <v>78</v>
      </c>
      <c r="AB1370">
        <v>0</v>
      </c>
      <c r="AC1370" t="s">
        <v>78</v>
      </c>
      <c r="AD1370">
        <v>0</v>
      </c>
      <c r="AE1370">
        <v>10142048</v>
      </c>
      <c r="AF1370" t="s">
        <v>88</v>
      </c>
      <c r="AG1370" t="s">
        <v>2560</v>
      </c>
    </row>
    <row r="1371" spans="1:33" x14ac:dyDescent="0.35">
      <c r="A1371" s="18">
        <v>44432.457638888889</v>
      </c>
      <c r="B1371">
        <v>270919</v>
      </c>
      <c r="C1371" t="s">
        <v>3154</v>
      </c>
      <c r="D1371" t="s">
        <v>102</v>
      </c>
      <c r="E1371" s="19">
        <v>31281</v>
      </c>
      <c r="F1371" t="str">
        <f>"9780195365214"</f>
        <v>9780195365214</v>
      </c>
      <c r="G1371" t="str">
        <f>"9780195035469"</f>
        <v>9780195035469</v>
      </c>
      <c r="H1371" t="s">
        <v>83</v>
      </c>
      <c r="I1371">
        <v>621.47</v>
      </c>
      <c r="J1371" t="s">
        <v>3155</v>
      </c>
      <c r="K1371" t="s">
        <v>73</v>
      </c>
      <c r="N1371" t="s">
        <v>74</v>
      </c>
      <c r="O1371" t="s">
        <v>75</v>
      </c>
      <c r="P1371" t="s">
        <v>74</v>
      </c>
      <c r="Q1371" t="s">
        <v>76</v>
      </c>
      <c r="R1371" t="s">
        <v>73</v>
      </c>
      <c r="S1371">
        <v>0</v>
      </c>
      <c r="W1371" s="20">
        <v>0</v>
      </c>
      <c r="X1371" t="s">
        <v>78</v>
      </c>
      <c r="Y1371">
        <v>0</v>
      </c>
      <c r="Z1371">
        <v>0</v>
      </c>
      <c r="AA1371" t="s">
        <v>78</v>
      </c>
      <c r="AB1371">
        <v>0</v>
      </c>
      <c r="AC1371" t="s">
        <v>78</v>
      </c>
      <c r="AD1371">
        <v>0</v>
      </c>
      <c r="AE1371">
        <v>10142048</v>
      </c>
      <c r="AF1371" t="s">
        <v>79</v>
      </c>
      <c r="AG1371" t="s">
        <v>2560</v>
      </c>
    </row>
    <row r="1372" spans="1:33" x14ac:dyDescent="0.35">
      <c r="A1372" s="18">
        <v>44432.425694444442</v>
      </c>
      <c r="B1372">
        <v>270919</v>
      </c>
      <c r="C1372" t="s">
        <v>3154</v>
      </c>
      <c r="D1372" t="s">
        <v>102</v>
      </c>
      <c r="E1372" s="19">
        <v>31281</v>
      </c>
      <c r="F1372" t="str">
        <f>"9780195365214"</f>
        <v>9780195365214</v>
      </c>
      <c r="G1372" t="str">
        <f>"9780195035469"</f>
        <v>9780195035469</v>
      </c>
      <c r="H1372" t="s">
        <v>83</v>
      </c>
      <c r="I1372">
        <v>621.47</v>
      </c>
      <c r="J1372" t="s">
        <v>3155</v>
      </c>
      <c r="K1372" t="s">
        <v>73</v>
      </c>
      <c r="N1372" t="s">
        <v>74</v>
      </c>
      <c r="O1372" t="s">
        <v>75</v>
      </c>
      <c r="P1372" t="s">
        <v>74</v>
      </c>
      <c r="Q1372" t="s">
        <v>76</v>
      </c>
      <c r="R1372" t="s">
        <v>73</v>
      </c>
      <c r="S1372">
        <v>0</v>
      </c>
      <c r="W1372" s="20">
        <v>2.0949074074074073E-3</v>
      </c>
      <c r="X1372" t="s">
        <v>3156</v>
      </c>
      <c r="Y1372">
        <v>39</v>
      </c>
      <c r="Z1372">
        <v>0</v>
      </c>
      <c r="AA1372" t="s">
        <v>78</v>
      </c>
      <c r="AB1372">
        <v>0</v>
      </c>
      <c r="AC1372" t="s">
        <v>78</v>
      </c>
      <c r="AD1372">
        <v>0</v>
      </c>
      <c r="AE1372">
        <v>10142048</v>
      </c>
      <c r="AF1372" t="s">
        <v>88</v>
      </c>
      <c r="AG1372" t="s">
        <v>2560</v>
      </c>
    </row>
    <row r="1373" spans="1:33" x14ac:dyDescent="0.35">
      <c r="A1373" s="18">
        <v>44432.414583333331</v>
      </c>
      <c r="B1373">
        <v>3020847</v>
      </c>
      <c r="C1373" t="s">
        <v>3157</v>
      </c>
      <c r="D1373" t="s">
        <v>226</v>
      </c>
      <c r="E1373" s="19">
        <v>40452</v>
      </c>
      <c r="F1373" t="str">
        <f>"9781617287008"</f>
        <v>9781617287008</v>
      </c>
      <c r="G1373" t="str">
        <f>"9781617282904"</f>
        <v>9781617282904</v>
      </c>
      <c r="H1373" t="s">
        <v>3158</v>
      </c>
      <c r="I1373">
        <v>174.2</v>
      </c>
      <c r="J1373" t="s">
        <v>3159</v>
      </c>
      <c r="K1373" t="s">
        <v>73</v>
      </c>
      <c r="N1373" t="s">
        <v>74</v>
      </c>
      <c r="O1373" t="s">
        <v>75</v>
      </c>
      <c r="P1373" t="s">
        <v>230</v>
      </c>
      <c r="Q1373" t="s">
        <v>76</v>
      </c>
      <c r="R1373" t="s">
        <v>85</v>
      </c>
      <c r="S1373">
        <v>0</v>
      </c>
      <c r="W1373" s="20">
        <v>3.2407407407407406E-3</v>
      </c>
      <c r="X1373" t="s">
        <v>3160</v>
      </c>
      <c r="Y1373">
        <v>8</v>
      </c>
      <c r="Z1373">
        <v>0</v>
      </c>
      <c r="AA1373" t="s">
        <v>78</v>
      </c>
      <c r="AB1373">
        <v>0</v>
      </c>
      <c r="AC1373" t="s">
        <v>78</v>
      </c>
      <c r="AD1373">
        <v>0</v>
      </c>
      <c r="AE1373">
        <v>10680985</v>
      </c>
      <c r="AF1373" t="s">
        <v>79</v>
      </c>
      <c r="AG1373" t="s">
        <v>3161</v>
      </c>
    </row>
    <row r="1374" spans="1:33" x14ac:dyDescent="0.35">
      <c r="A1374" s="18">
        <v>44431.745833333334</v>
      </c>
      <c r="B1374">
        <v>583642</v>
      </c>
      <c r="C1374" t="s">
        <v>2337</v>
      </c>
      <c r="D1374" t="s">
        <v>205</v>
      </c>
      <c r="E1374" s="19">
        <v>40210</v>
      </c>
      <c r="F1374" t="str">
        <f>"9781596930902"</f>
        <v>9781596930902</v>
      </c>
      <c r="G1374" t="str">
        <f>"9781596930896"</f>
        <v>9781596930896</v>
      </c>
      <c r="H1374" t="s">
        <v>2338</v>
      </c>
      <c r="I1374">
        <v>621.38482999999997</v>
      </c>
      <c r="J1374" t="s">
        <v>2339</v>
      </c>
      <c r="K1374" t="s">
        <v>73</v>
      </c>
      <c r="N1374" t="s">
        <v>74</v>
      </c>
      <c r="O1374" t="s">
        <v>75</v>
      </c>
      <c r="P1374" t="s">
        <v>74</v>
      </c>
      <c r="Q1374" t="s">
        <v>76</v>
      </c>
      <c r="R1374" t="s">
        <v>73</v>
      </c>
      <c r="S1374">
        <v>0</v>
      </c>
      <c r="W1374" s="20">
        <v>5.7870370370370366E-5</v>
      </c>
      <c r="X1374" t="s">
        <v>132</v>
      </c>
      <c r="Y1374">
        <v>1</v>
      </c>
      <c r="Z1374">
        <v>0</v>
      </c>
      <c r="AA1374" t="s">
        <v>78</v>
      </c>
      <c r="AB1374">
        <v>0</v>
      </c>
      <c r="AC1374" t="s">
        <v>78</v>
      </c>
      <c r="AD1374">
        <v>0</v>
      </c>
      <c r="AE1374">
        <v>10393271</v>
      </c>
      <c r="AF1374" t="s">
        <v>79</v>
      </c>
      <c r="AG1374" t="s">
        <v>2560</v>
      </c>
    </row>
    <row r="1375" spans="1:33" x14ac:dyDescent="0.35">
      <c r="A1375" s="18">
        <v>44431.623611111114</v>
      </c>
      <c r="B1375">
        <v>5379950</v>
      </c>
      <c r="C1375" t="s">
        <v>3162</v>
      </c>
      <c r="D1375" t="s">
        <v>369</v>
      </c>
      <c r="E1375" s="19">
        <v>43194</v>
      </c>
      <c r="F1375" t="str">
        <f>"9783319700250"</f>
        <v>9783319700250</v>
      </c>
      <c r="G1375" t="str">
        <f>"9783319700243"</f>
        <v>9783319700243</v>
      </c>
      <c r="H1375" t="s">
        <v>3163</v>
      </c>
      <c r="I1375">
        <v>307.14160950000002</v>
      </c>
      <c r="J1375" t="s">
        <v>3164</v>
      </c>
      <c r="K1375" t="s">
        <v>85</v>
      </c>
      <c r="N1375" t="s">
        <v>86</v>
      </c>
      <c r="P1375" t="s">
        <v>87</v>
      </c>
      <c r="Q1375" t="s">
        <v>76</v>
      </c>
      <c r="R1375" t="s">
        <v>73</v>
      </c>
      <c r="S1375">
        <v>0</v>
      </c>
      <c r="W1375" s="20">
        <v>2.1874999999999998E-3</v>
      </c>
      <c r="X1375" t="s">
        <v>3165</v>
      </c>
      <c r="Y1375">
        <v>5</v>
      </c>
      <c r="Z1375">
        <v>1</v>
      </c>
      <c r="AA1375" t="s">
        <v>3166</v>
      </c>
      <c r="AB1375">
        <v>13</v>
      </c>
      <c r="AC1375" t="s">
        <v>78</v>
      </c>
      <c r="AD1375">
        <v>0</v>
      </c>
      <c r="AE1375">
        <v>11554845</v>
      </c>
      <c r="AF1375" t="s">
        <v>88</v>
      </c>
      <c r="AG1375" t="s">
        <v>702</v>
      </c>
    </row>
    <row r="1376" spans="1:33" x14ac:dyDescent="0.35">
      <c r="A1376" s="18">
        <v>44431.418055555558</v>
      </c>
      <c r="B1376">
        <v>4529310</v>
      </c>
      <c r="C1376" t="s">
        <v>3167</v>
      </c>
      <c r="D1376" t="s">
        <v>70</v>
      </c>
      <c r="E1376" s="19">
        <v>42388</v>
      </c>
      <c r="F1376" t="str">
        <f>"9781119015499"</f>
        <v>9781119015499</v>
      </c>
      <c r="G1376" t="str">
        <f>"9781119015451"</f>
        <v>9781119015451</v>
      </c>
      <c r="H1376" t="s">
        <v>110</v>
      </c>
      <c r="I1376" t="s">
        <v>3168</v>
      </c>
      <c r="J1376" t="s">
        <v>3169</v>
      </c>
      <c r="K1376" t="s">
        <v>73</v>
      </c>
      <c r="N1376" t="s">
        <v>74</v>
      </c>
      <c r="O1376" t="s">
        <v>75</v>
      </c>
      <c r="P1376" t="s">
        <v>74</v>
      </c>
      <c r="Q1376" t="s">
        <v>76</v>
      </c>
      <c r="R1376" t="s">
        <v>73</v>
      </c>
      <c r="S1376">
        <v>0</v>
      </c>
      <c r="W1376" s="20">
        <v>2.2569444444444447E-3</v>
      </c>
      <c r="X1376" t="s">
        <v>3170</v>
      </c>
      <c r="Y1376">
        <v>18</v>
      </c>
      <c r="Z1376">
        <v>0</v>
      </c>
      <c r="AA1376" t="s">
        <v>78</v>
      </c>
      <c r="AB1376">
        <v>0</v>
      </c>
      <c r="AC1376" t="s">
        <v>78</v>
      </c>
      <c r="AD1376">
        <v>0</v>
      </c>
      <c r="AE1376">
        <v>11387604</v>
      </c>
      <c r="AF1376" t="s">
        <v>79</v>
      </c>
      <c r="AG1376" t="s">
        <v>2732</v>
      </c>
    </row>
    <row r="1377" spans="1:33" x14ac:dyDescent="0.35">
      <c r="A1377" s="18">
        <v>44431.415277777778</v>
      </c>
      <c r="B1377">
        <v>1895824</v>
      </c>
      <c r="C1377" t="s">
        <v>3171</v>
      </c>
      <c r="D1377" t="s">
        <v>70</v>
      </c>
      <c r="E1377" s="19">
        <v>42072</v>
      </c>
      <c r="F1377" t="str">
        <f>"9781118965788"</f>
        <v>9781118965788</v>
      </c>
      <c r="G1377" t="str">
        <f>"9781118965832"</f>
        <v>9781118965832</v>
      </c>
      <c r="H1377" t="s">
        <v>143</v>
      </c>
      <c r="I1377">
        <v>658.40380285000003</v>
      </c>
      <c r="J1377" t="s">
        <v>3172</v>
      </c>
      <c r="K1377" t="s">
        <v>73</v>
      </c>
      <c r="N1377" t="s">
        <v>74</v>
      </c>
      <c r="O1377" t="s">
        <v>75</v>
      </c>
      <c r="P1377" t="s">
        <v>74</v>
      </c>
      <c r="Q1377" t="s">
        <v>76</v>
      </c>
      <c r="R1377" t="s">
        <v>73</v>
      </c>
      <c r="S1377">
        <v>0</v>
      </c>
      <c r="W1377" s="20">
        <v>7.1990740740740739E-3</v>
      </c>
      <c r="X1377" t="s">
        <v>3173</v>
      </c>
      <c r="Y1377">
        <v>28</v>
      </c>
      <c r="Z1377">
        <v>0</v>
      </c>
      <c r="AA1377" t="s">
        <v>78</v>
      </c>
      <c r="AB1377">
        <v>0</v>
      </c>
      <c r="AC1377" t="s">
        <v>78</v>
      </c>
      <c r="AD1377">
        <v>0</v>
      </c>
      <c r="AE1377">
        <v>11004540</v>
      </c>
      <c r="AF1377" t="s">
        <v>79</v>
      </c>
      <c r="AG1377" t="s">
        <v>2732</v>
      </c>
    </row>
    <row r="1378" spans="1:33" x14ac:dyDescent="0.35">
      <c r="A1378" s="18">
        <v>44430.942361111112</v>
      </c>
      <c r="B1378">
        <v>1414034</v>
      </c>
      <c r="C1378" t="s">
        <v>3174</v>
      </c>
      <c r="D1378" t="s">
        <v>3175</v>
      </c>
      <c r="E1378" s="19">
        <v>41541</v>
      </c>
      <c r="F1378" t="str">
        <f>"9781455731916"</f>
        <v>9781455731916</v>
      </c>
      <c r="G1378" t="str">
        <f>"9781455731893"</f>
        <v>9781455731893</v>
      </c>
      <c r="H1378" t="s">
        <v>1638</v>
      </c>
      <c r="I1378">
        <v>620.5</v>
      </c>
      <c r="J1378" t="s">
        <v>3176</v>
      </c>
      <c r="K1378" t="s">
        <v>73</v>
      </c>
      <c r="N1378" t="s">
        <v>74</v>
      </c>
      <c r="O1378" t="s">
        <v>75</v>
      </c>
      <c r="P1378" t="s">
        <v>74</v>
      </c>
      <c r="Q1378" t="s">
        <v>76</v>
      </c>
      <c r="R1378" t="s">
        <v>73</v>
      </c>
      <c r="S1378">
        <v>0</v>
      </c>
      <c r="W1378" s="20">
        <v>0</v>
      </c>
      <c r="X1378" t="s">
        <v>78</v>
      </c>
      <c r="Y1378">
        <v>0</v>
      </c>
      <c r="Z1378">
        <v>0</v>
      </c>
      <c r="AA1378" t="s">
        <v>78</v>
      </c>
      <c r="AB1378">
        <v>0</v>
      </c>
      <c r="AC1378" t="s">
        <v>78</v>
      </c>
      <c r="AD1378">
        <v>0</v>
      </c>
      <c r="AE1378">
        <v>10767945</v>
      </c>
      <c r="AF1378" t="s">
        <v>79</v>
      </c>
      <c r="AG1378" t="s">
        <v>3177</v>
      </c>
    </row>
    <row r="1379" spans="1:33" x14ac:dyDescent="0.35">
      <c r="A1379" s="18">
        <v>44430.749305555553</v>
      </c>
      <c r="B1379">
        <v>231640</v>
      </c>
      <c r="C1379" t="s">
        <v>419</v>
      </c>
      <c r="D1379" t="s">
        <v>205</v>
      </c>
      <c r="E1379" s="19">
        <v>38472</v>
      </c>
      <c r="F1379" t="str">
        <f>"9781580533669"</f>
        <v>9781580533669</v>
      </c>
      <c r="G1379" t="str">
        <f>"9781580536103"</f>
        <v>9781580536103</v>
      </c>
      <c r="H1379" t="s">
        <v>71</v>
      </c>
      <c r="I1379" t="s">
        <v>420</v>
      </c>
      <c r="J1379" t="s">
        <v>421</v>
      </c>
      <c r="K1379" t="s">
        <v>73</v>
      </c>
      <c r="N1379" t="s">
        <v>74</v>
      </c>
      <c r="O1379" t="s">
        <v>75</v>
      </c>
      <c r="P1379" t="s">
        <v>74</v>
      </c>
      <c r="Q1379" t="s">
        <v>76</v>
      </c>
      <c r="R1379" t="s">
        <v>73</v>
      </c>
      <c r="S1379">
        <v>1</v>
      </c>
      <c r="W1379" s="20">
        <v>0</v>
      </c>
      <c r="X1379" t="s">
        <v>78</v>
      </c>
      <c r="Y1379">
        <v>0</v>
      </c>
      <c r="Z1379">
        <v>0</v>
      </c>
      <c r="AA1379" t="s">
        <v>78</v>
      </c>
      <c r="AB1379">
        <v>0</v>
      </c>
      <c r="AC1379" t="s">
        <v>78</v>
      </c>
      <c r="AD1379">
        <v>0</v>
      </c>
      <c r="AE1379">
        <v>10081926</v>
      </c>
      <c r="AF1379" t="s">
        <v>88</v>
      </c>
      <c r="AG1379" t="s">
        <v>3178</v>
      </c>
    </row>
    <row r="1380" spans="1:33" x14ac:dyDescent="0.35">
      <c r="A1380" s="18">
        <v>44430.746527777781</v>
      </c>
      <c r="B1380">
        <v>231640</v>
      </c>
      <c r="C1380" t="s">
        <v>419</v>
      </c>
      <c r="D1380" t="s">
        <v>205</v>
      </c>
      <c r="E1380" s="19">
        <v>38472</v>
      </c>
      <c r="F1380" t="str">
        <f>"9781580533669"</f>
        <v>9781580533669</v>
      </c>
      <c r="G1380" t="str">
        <f>"9781580536103"</f>
        <v>9781580536103</v>
      </c>
      <c r="H1380" t="s">
        <v>71</v>
      </c>
      <c r="I1380" t="s">
        <v>420</v>
      </c>
      <c r="J1380" t="s">
        <v>421</v>
      </c>
      <c r="K1380" t="s">
        <v>73</v>
      </c>
      <c r="N1380" t="s">
        <v>74</v>
      </c>
      <c r="O1380" t="s">
        <v>75</v>
      </c>
      <c r="P1380" t="s">
        <v>74</v>
      </c>
      <c r="Q1380" t="s">
        <v>76</v>
      </c>
      <c r="R1380" t="s">
        <v>73</v>
      </c>
      <c r="S1380">
        <v>0</v>
      </c>
      <c r="W1380" s="20">
        <v>2.4189814814814816E-3</v>
      </c>
      <c r="X1380" t="s">
        <v>3179</v>
      </c>
      <c r="Y1380">
        <v>2</v>
      </c>
      <c r="Z1380">
        <v>0</v>
      </c>
      <c r="AA1380" t="s">
        <v>78</v>
      </c>
      <c r="AB1380">
        <v>0</v>
      </c>
      <c r="AC1380" t="s">
        <v>78</v>
      </c>
      <c r="AD1380">
        <v>0</v>
      </c>
      <c r="AE1380">
        <v>10081926</v>
      </c>
      <c r="AF1380" t="s">
        <v>88</v>
      </c>
      <c r="AG1380" t="s">
        <v>3178</v>
      </c>
    </row>
    <row r="1381" spans="1:33" x14ac:dyDescent="0.35">
      <c r="A1381" s="18">
        <v>44430.72152777778</v>
      </c>
      <c r="B1381">
        <v>1204633</v>
      </c>
      <c r="C1381" t="s">
        <v>1560</v>
      </c>
      <c r="D1381" t="s">
        <v>70</v>
      </c>
      <c r="E1381" s="19">
        <v>41512</v>
      </c>
      <c r="F1381" t="str">
        <f>"9781118450444"</f>
        <v>9781118450444</v>
      </c>
      <c r="G1381" t="str">
        <f>"9780470673768"</f>
        <v>9780470673768</v>
      </c>
      <c r="H1381" t="s">
        <v>1561</v>
      </c>
      <c r="I1381">
        <v>552.5</v>
      </c>
      <c r="J1381" t="s">
        <v>1562</v>
      </c>
      <c r="K1381" t="s">
        <v>73</v>
      </c>
      <c r="N1381" t="s">
        <v>74</v>
      </c>
      <c r="O1381" t="s">
        <v>75</v>
      </c>
      <c r="P1381" t="s">
        <v>74</v>
      </c>
      <c r="Q1381" t="s">
        <v>76</v>
      </c>
      <c r="R1381" t="s">
        <v>73</v>
      </c>
      <c r="S1381">
        <v>0</v>
      </c>
      <c r="W1381" s="20">
        <v>7.7546296296296304E-4</v>
      </c>
      <c r="X1381" t="s">
        <v>3180</v>
      </c>
      <c r="Y1381">
        <v>16</v>
      </c>
      <c r="Z1381">
        <v>0</v>
      </c>
      <c r="AA1381" t="s">
        <v>78</v>
      </c>
      <c r="AB1381">
        <v>0</v>
      </c>
      <c r="AC1381" t="s">
        <v>78</v>
      </c>
      <c r="AD1381">
        <v>0</v>
      </c>
      <c r="AE1381">
        <v>10713576</v>
      </c>
      <c r="AF1381" t="s">
        <v>79</v>
      </c>
      <c r="AG1381" t="s">
        <v>2560</v>
      </c>
    </row>
    <row r="1382" spans="1:33" x14ac:dyDescent="0.35">
      <c r="A1382" s="18">
        <v>44430.660416666666</v>
      </c>
      <c r="B1382">
        <v>5446363</v>
      </c>
      <c r="C1382" t="s">
        <v>3181</v>
      </c>
      <c r="D1382" t="s">
        <v>3182</v>
      </c>
      <c r="E1382" s="19">
        <v>38651</v>
      </c>
      <c r="F1382" t="str">
        <f>"9781467787031"</f>
        <v>9781467787031</v>
      </c>
      <c r="G1382" t="str">
        <f>""</f>
        <v/>
      </c>
      <c r="H1382" t="s">
        <v>636</v>
      </c>
      <c r="I1382" t="s">
        <v>3032</v>
      </c>
      <c r="J1382" t="s">
        <v>3183</v>
      </c>
      <c r="K1382" t="s">
        <v>73</v>
      </c>
      <c r="N1382" t="s">
        <v>74</v>
      </c>
      <c r="O1382" t="s">
        <v>75</v>
      </c>
      <c r="P1382" t="s">
        <v>74</v>
      </c>
      <c r="Q1382" t="s">
        <v>76</v>
      </c>
      <c r="R1382" t="s">
        <v>73</v>
      </c>
      <c r="S1382">
        <v>0</v>
      </c>
      <c r="W1382" s="20">
        <v>2.5462962962962961E-4</v>
      </c>
      <c r="X1382" t="s">
        <v>3184</v>
      </c>
      <c r="Y1382">
        <v>7</v>
      </c>
      <c r="Z1382">
        <v>0</v>
      </c>
      <c r="AA1382" t="s">
        <v>78</v>
      </c>
      <c r="AB1382">
        <v>0</v>
      </c>
      <c r="AC1382" t="s">
        <v>78</v>
      </c>
      <c r="AD1382">
        <v>0</v>
      </c>
      <c r="AE1382">
        <v>11590806</v>
      </c>
      <c r="AF1382" t="s">
        <v>79</v>
      </c>
      <c r="AG1382" t="s">
        <v>3185</v>
      </c>
    </row>
    <row r="1383" spans="1:33" x14ac:dyDescent="0.35">
      <c r="A1383" s="18">
        <v>44430.574999999997</v>
      </c>
      <c r="B1383">
        <v>4742052</v>
      </c>
      <c r="C1383" t="s">
        <v>3186</v>
      </c>
      <c r="D1383" t="s">
        <v>3187</v>
      </c>
      <c r="E1383" s="19">
        <v>42444</v>
      </c>
      <c r="F1383" t="str">
        <f>"9781780236155"</f>
        <v>9781780236155</v>
      </c>
      <c r="G1383" t="str">
        <f>"9781780235806"</f>
        <v>9781780235806</v>
      </c>
      <c r="H1383" t="s">
        <v>756</v>
      </c>
      <c r="I1383">
        <v>953.57</v>
      </c>
      <c r="J1383" t="s">
        <v>3188</v>
      </c>
      <c r="K1383" t="s">
        <v>73</v>
      </c>
      <c r="N1383" t="s">
        <v>74</v>
      </c>
      <c r="O1383" t="s">
        <v>75</v>
      </c>
      <c r="P1383" t="s">
        <v>74</v>
      </c>
      <c r="Q1383" t="s">
        <v>76</v>
      </c>
      <c r="R1383" t="s">
        <v>73</v>
      </c>
      <c r="S1383">
        <v>0</v>
      </c>
      <c r="W1383" s="20">
        <v>2.1412037037037035E-2</v>
      </c>
      <c r="X1383" t="s">
        <v>3189</v>
      </c>
      <c r="Y1383">
        <v>10</v>
      </c>
      <c r="Z1383">
        <v>0</v>
      </c>
      <c r="AA1383" t="s">
        <v>78</v>
      </c>
      <c r="AB1383">
        <v>0</v>
      </c>
      <c r="AC1383" t="s">
        <v>78</v>
      </c>
      <c r="AD1383">
        <v>0</v>
      </c>
      <c r="AE1383">
        <v>11297932</v>
      </c>
      <c r="AF1383" t="s">
        <v>79</v>
      </c>
      <c r="AG1383" t="s">
        <v>2560</v>
      </c>
    </row>
    <row r="1384" spans="1:33" x14ac:dyDescent="0.35">
      <c r="A1384" s="18">
        <v>44430.487500000003</v>
      </c>
      <c r="B1384">
        <v>1414034</v>
      </c>
      <c r="C1384" t="s">
        <v>3174</v>
      </c>
      <c r="D1384" t="s">
        <v>3175</v>
      </c>
      <c r="E1384" s="19">
        <v>41541</v>
      </c>
      <c r="F1384" t="str">
        <f>"9781455731916"</f>
        <v>9781455731916</v>
      </c>
      <c r="G1384" t="str">
        <f>"9781455731893"</f>
        <v>9781455731893</v>
      </c>
      <c r="H1384" t="s">
        <v>1638</v>
      </c>
      <c r="I1384">
        <v>620.5</v>
      </c>
      <c r="J1384" t="s">
        <v>3176</v>
      </c>
      <c r="K1384" t="s">
        <v>73</v>
      </c>
      <c r="N1384" t="s">
        <v>74</v>
      </c>
      <c r="O1384" t="s">
        <v>75</v>
      </c>
      <c r="P1384" t="s">
        <v>74</v>
      </c>
      <c r="Q1384" t="s">
        <v>76</v>
      </c>
      <c r="R1384" t="s">
        <v>73</v>
      </c>
      <c r="S1384">
        <v>0</v>
      </c>
      <c r="W1384" s="20">
        <v>3.7037037037037035E-4</v>
      </c>
      <c r="X1384" t="s">
        <v>3190</v>
      </c>
      <c r="Y1384">
        <v>6</v>
      </c>
      <c r="Z1384">
        <v>0</v>
      </c>
      <c r="AA1384" t="s">
        <v>78</v>
      </c>
      <c r="AB1384">
        <v>0</v>
      </c>
      <c r="AC1384" t="s">
        <v>928</v>
      </c>
      <c r="AD1384">
        <v>1</v>
      </c>
      <c r="AE1384">
        <v>10767945</v>
      </c>
      <c r="AF1384" t="s">
        <v>88</v>
      </c>
      <c r="AG1384" t="s">
        <v>3177</v>
      </c>
    </row>
    <row r="1385" spans="1:33" x14ac:dyDescent="0.35">
      <c r="A1385" s="18">
        <v>44430.197916666664</v>
      </c>
      <c r="B1385">
        <v>4037275</v>
      </c>
      <c r="C1385" t="s">
        <v>1999</v>
      </c>
      <c r="D1385" t="s">
        <v>1711</v>
      </c>
      <c r="E1385" s="19">
        <v>42233</v>
      </c>
      <c r="F1385" t="str">
        <f>"9781118652671"</f>
        <v>9781118652671</v>
      </c>
      <c r="G1385" t="str">
        <f>"9781118652732"</f>
        <v>9781118652732</v>
      </c>
      <c r="H1385" t="s">
        <v>1561</v>
      </c>
      <c r="I1385" t="s">
        <v>2000</v>
      </c>
      <c r="J1385" t="s">
        <v>2001</v>
      </c>
      <c r="K1385" t="s">
        <v>73</v>
      </c>
      <c r="N1385" t="s">
        <v>74</v>
      </c>
      <c r="O1385" t="s">
        <v>75</v>
      </c>
      <c r="P1385" t="s">
        <v>74</v>
      </c>
      <c r="Q1385" t="s">
        <v>76</v>
      </c>
      <c r="R1385" t="s">
        <v>73</v>
      </c>
      <c r="S1385">
        <v>0</v>
      </c>
      <c r="W1385" s="20">
        <v>1.3425925925925925E-3</v>
      </c>
      <c r="X1385" t="s">
        <v>3191</v>
      </c>
      <c r="Y1385">
        <v>5</v>
      </c>
      <c r="Z1385">
        <v>0</v>
      </c>
      <c r="AA1385" t="s">
        <v>78</v>
      </c>
      <c r="AB1385">
        <v>0</v>
      </c>
      <c r="AC1385" t="s">
        <v>78</v>
      </c>
      <c r="AD1385">
        <v>0</v>
      </c>
      <c r="AE1385">
        <v>11111615</v>
      </c>
      <c r="AF1385" t="s">
        <v>79</v>
      </c>
      <c r="AG1385" t="s">
        <v>3192</v>
      </c>
    </row>
    <row r="1386" spans="1:33" x14ac:dyDescent="0.35">
      <c r="A1386" s="18">
        <v>44430.033333333333</v>
      </c>
      <c r="B1386">
        <v>530043</v>
      </c>
      <c r="C1386" t="s">
        <v>3193</v>
      </c>
      <c r="D1386" t="s">
        <v>70</v>
      </c>
      <c r="E1386" s="19">
        <v>40315</v>
      </c>
      <c r="F1386" t="str">
        <f>"9780470710340"</f>
        <v>9780470710340</v>
      </c>
      <c r="G1386" t="str">
        <f>"9780470741849"</f>
        <v>9780470741849</v>
      </c>
      <c r="H1386" t="s">
        <v>149</v>
      </c>
      <c r="I1386">
        <v>572.82929999999999</v>
      </c>
      <c r="J1386" t="s">
        <v>3194</v>
      </c>
      <c r="K1386" t="s">
        <v>85</v>
      </c>
      <c r="N1386" t="s">
        <v>86</v>
      </c>
      <c r="P1386" t="s">
        <v>87</v>
      </c>
      <c r="Q1386" t="s">
        <v>76</v>
      </c>
      <c r="R1386" t="s">
        <v>73</v>
      </c>
      <c r="S1386">
        <v>0</v>
      </c>
      <c r="W1386" s="20">
        <v>4.8611111111111104E-4</v>
      </c>
      <c r="X1386" t="s">
        <v>3195</v>
      </c>
      <c r="Y1386">
        <v>7</v>
      </c>
      <c r="Z1386">
        <v>0</v>
      </c>
      <c r="AA1386" t="s">
        <v>78</v>
      </c>
      <c r="AB1386">
        <v>0</v>
      </c>
      <c r="AC1386" t="s">
        <v>78</v>
      </c>
      <c r="AD1386">
        <v>0</v>
      </c>
      <c r="AE1386">
        <v>10385874</v>
      </c>
      <c r="AF1386" t="s">
        <v>79</v>
      </c>
      <c r="AG1386" t="s">
        <v>3196</v>
      </c>
    </row>
    <row r="1387" spans="1:33" x14ac:dyDescent="0.35">
      <c r="A1387" s="18">
        <v>44430.022916666669</v>
      </c>
      <c r="B1387">
        <v>1895602</v>
      </c>
      <c r="C1387" t="s">
        <v>3197</v>
      </c>
      <c r="D1387" t="s">
        <v>70</v>
      </c>
      <c r="E1387" s="19">
        <v>42219</v>
      </c>
      <c r="F1387" t="str">
        <f>"9781118789100"</f>
        <v>9781118789100</v>
      </c>
      <c r="G1387" t="str">
        <f>"9780471235996"</f>
        <v>9780471235996</v>
      </c>
      <c r="H1387" t="s">
        <v>149</v>
      </c>
      <c r="I1387">
        <v>599.9</v>
      </c>
      <c r="J1387" t="s">
        <v>3198</v>
      </c>
      <c r="K1387" t="s">
        <v>73</v>
      </c>
      <c r="N1387" t="s">
        <v>74</v>
      </c>
      <c r="O1387" t="s">
        <v>75</v>
      </c>
      <c r="P1387" t="s">
        <v>74</v>
      </c>
      <c r="Q1387" t="s">
        <v>76</v>
      </c>
      <c r="R1387" t="s">
        <v>73</v>
      </c>
      <c r="S1387">
        <v>0</v>
      </c>
      <c r="W1387" s="20">
        <v>0</v>
      </c>
      <c r="X1387" t="s">
        <v>78</v>
      </c>
      <c r="Y1387">
        <v>0</v>
      </c>
      <c r="Z1387">
        <v>1</v>
      </c>
      <c r="AA1387" t="s">
        <v>3199</v>
      </c>
      <c r="AB1387">
        <v>12</v>
      </c>
      <c r="AC1387" t="s">
        <v>78</v>
      </c>
      <c r="AD1387">
        <v>0</v>
      </c>
      <c r="AE1387">
        <v>11061325</v>
      </c>
      <c r="AF1387" t="s">
        <v>88</v>
      </c>
      <c r="AG1387" t="s">
        <v>2747</v>
      </c>
    </row>
    <row r="1388" spans="1:33" x14ac:dyDescent="0.35">
      <c r="A1388" s="18">
        <v>44429.705555555556</v>
      </c>
      <c r="B1388">
        <v>4701982</v>
      </c>
      <c r="C1388" t="s">
        <v>3200</v>
      </c>
      <c r="D1388" t="s">
        <v>102</v>
      </c>
      <c r="E1388" s="19">
        <v>39871</v>
      </c>
      <c r="F1388" t="str">
        <f>"9780199709816"</f>
        <v>9780199709816</v>
      </c>
      <c r="G1388" t="str">
        <f>"9780195367997"</f>
        <v>9780195367997</v>
      </c>
      <c r="H1388" t="s">
        <v>848</v>
      </c>
      <c r="I1388">
        <v>540</v>
      </c>
      <c r="J1388" t="s">
        <v>3201</v>
      </c>
      <c r="K1388" t="s">
        <v>73</v>
      </c>
      <c r="N1388" t="s">
        <v>74</v>
      </c>
      <c r="O1388" t="s">
        <v>75</v>
      </c>
      <c r="P1388" t="s">
        <v>74</v>
      </c>
      <c r="Q1388" t="s">
        <v>76</v>
      </c>
      <c r="R1388" t="s">
        <v>73</v>
      </c>
      <c r="S1388">
        <v>0</v>
      </c>
      <c r="W1388" s="20">
        <v>2.2685185185185182E-3</v>
      </c>
      <c r="X1388" t="s">
        <v>3202</v>
      </c>
      <c r="Y1388">
        <v>6</v>
      </c>
      <c r="Z1388">
        <v>0</v>
      </c>
      <c r="AA1388" t="s">
        <v>78</v>
      </c>
      <c r="AB1388">
        <v>0</v>
      </c>
      <c r="AC1388" t="s">
        <v>78</v>
      </c>
      <c r="AD1388">
        <v>0</v>
      </c>
      <c r="AE1388">
        <v>11273356</v>
      </c>
      <c r="AF1388" t="s">
        <v>88</v>
      </c>
      <c r="AG1388" t="s">
        <v>2560</v>
      </c>
    </row>
    <row r="1389" spans="1:33" x14ac:dyDescent="0.35">
      <c r="A1389" s="18">
        <v>44428.697916666664</v>
      </c>
      <c r="B1389">
        <v>266652</v>
      </c>
      <c r="C1389" t="s">
        <v>3203</v>
      </c>
      <c r="D1389" t="s">
        <v>538</v>
      </c>
      <c r="E1389" s="19">
        <v>38139</v>
      </c>
      <c r="F1389" t="str">
        <f>"9780511211416"</f>
        <v>9780511211416</v>
      </c>
      <c r="G1389" t="str">
        <f>"9780521838368"</f>
        <v>9780521838368</v>
      </c>
      <c r="H1389" t="s">
        <v>3204</v>
      </c>
      <c r="I1389">
        <v>514</v>
      </c>
      <c r="J1389" t="s">
        <v>3205</v>
      </c>
      <c r="K1389" t="s">
        <v>73</v>
      </c>
      <c r="N1389" t="s">
        <v>74</v>
      </c>
      <c r="O1389" t="s">
        <v>75</v>
      </c>
      <c r="P1389" t="s">
        <v>74</v>
      </c>
      <c r="Q1389" t="s">
        <v>76</v>
      </c>
      <c r="R1389" t="s">
        <v>73</v>
      </c>
      <c r="S1389">
        <v>0</v>
      </c>
      <c r="W1389" s="20">
        <v>1.6203703703703703E-4</v>
      </c>
      <c r="X1389" t="s">
        <v>615</v>
      </c>
      <c r="Y1389">
        <v>4</v>
      </c>
      <c r="Z1389">
        <v>0</v>
      </c>
      <c r="AA1389" t="s">
        <v>78</v>
      </c>
      <c r="AB1389">
        <v>0</v>
      </c>
      <c r="AC1389" t="s">
        <v>78</v>
      </c>
      <c r="AD1389">
        <v>0</v>
      </c>
      <c r="AE1389">
        <v>10131629</v>
      </c>
      <c r="AF1389" t="s">
        <v>79</v>
      </c>
      <c r="AG1389" t="s">
        <v>3192</v>
      </c>
    </row>
    <row r="1390" spans="1:33" x14ac:dyDescent="0.35">
      <c r="A1390" s="18">
        <v>44427.716666666667</v>
      </c>
      <c r="B1390">
        <v>6274099</v>
      </c>
      <c r="C1390" t="s">
        <v>2997</v>
      </c>
      <c r="D1390" t="s">
        <v>2998</v>
      </c>
      <c r="E1390" s="19">
        <v>44075</v>
      </c>
      <c r="F1390" t="str">
        <f>"9781000217063"</f>
        <v>9781000217063</v>
      </c>
      <c r="G1390" t="str">
        <f>"9781859468654"</f>
        <v>9781859468654</v>
      </c>
      <c r="H1390" t="s">
        <v>2999</v>
      </c>
      <c r="I1390">
        <v>728</v>
      </c>
      <c r="J1390" t="s">
        <v>3000</v>
      </c>
      <c r="K1390" t="s">
        <v>85</v>
      </c>
      <c r="N1390" t="s">
        <v>186</v>
      </c>
      <c r="P1390" t="s">
        <v>87</v>
      </c>
      <c r="Q1390" t="s">
        <v>76</v>
      </c>
      <c r="R1390" t="s">
        <v>73</v>
      </c>
      <c r="S1390">
        <v>0</v>
      </c>
      <c r="W1390" s="20">
        <v>3.4722222222222222E-5</v>
      </c>
      <c r="X1390" t="s">
        <v>132</v>
      </c>
      <c r="Y1390">
        <v>1</v>
      </c>
      <c r="Z1390">
        <v>0</v>
      </c>
      <c r="AA1390" t="s">
        <v>78</v>
      </c>
      <c r="AB1390">
        <v>0</v>
      </c>
      <c r="AC1390" t="s">
        <v>78</v>
      </c>
      <c r="AD1390">
        <v>0</v>
      </c>
      <c r="AE1390">
        <v>-1</v>
      </c>
      <c r="AF1390" t="s">
        <v>79</v>
      </c>
      <c r="AG1390" t="s">
        <v>333</v>
      </c>
    </row>
    <row r="1391" spans="1:33" x14ac:dyDescent="0.35">
      <c r="A1391" s="18">
        <v>44427.681250000001</v>
      </c>
      <c r="B1391">
        <v>3020663</v>
      </c>
      <c r="C1391" t="s">
        <v>3206</v>
      </c>
      <c r="D1391" t="s">
        <v>226</v>
      </c>
      <c r="E1391" s="19">
        <v>40817</v>
      </c>
      <c r="F1391" t="str">
        <f>"9781617611445"</f>
        <v>9781617611445</v>
      </c>
      <c r="G1391" t="str">
        <f>"9781617288579"</f>
        <v>9781617288579</v>
      </c>
      <c r="H1391" t="s">
        <v>97</v>
      </c>
      <c r="I1391" t="s">
        <v>3207</v>
      </c>
      <c r="J1391" t="s">
        <v>3208</v>
      </c>
      <c r="K1391" t="s">
        <v>73</v>
      </c>
      <c r="N1391" t="s">
        <v>74</v>
      </c>
      <c r="O1391" t="s">
        <v>75</v>
      </c>
      <c r="P1391" t="s">
        <v>230</v>
      </c>
      <c r="Q1391" t="s">
        <v>76</v>
      </c>
      <c r="R1391" t="s">
        <v>85</v>
      </c>
      <c r="S1391">
        <v>0</v>
      </c>
      <c r="W1391" s="20">
        <v>2.0833333333333335E-4</v>
      </c>
      <c r="X1391" t="s">
        <v>3209</v>
      </c>
      <c r="Y1391">
        <v>5</v>
      </c>
      <c r="Z1391">
        <v>0</v>
      </c>
      <c r="AA1391" t="s">
        <v>78</v>
      </c>
      <c r="AB1391">
        <v>0</v>
      </c>
      <c r="AC1391" t="s">
        <v>78</v>
      </c>
      <c r="AD1391">
        <v>0</v>
      </c>
      <c r="AE1391">
        <v>10680801</v>
      </c>
      <c r="AF1391" t="s">
        <v>88</v>
      </c>
      <c r="AG1391" t="s">
        <v>333</v>
      </c>
    </row>
    <row r="1392" spans="1:33" x14ac:dyDescent="0.35">
      <c r="A1392" s="18">
        <v>44427.628472222219</v>
      </c>
      <c r="B1392">
        <v>6274099</v>
      </c>
      <c r="C1392" t="s">
        <v>2997</v>
      </c>
      <c r="D1392" t="s">
        <v>2998</v>
      </c>
      <c r="E1392" s="19">
        <v>44075</v>
      </c>
      <c r="F1392" t="str">
        <f>"9781000217063"</f>
        <v>9781000217063</v>
      </c>
      <c r="G1392" t="str">
        <f>"9781859468654"</f>
        <v>9781859468654</v>
      </c>
      <c r="H1392" t="s">
        <v>2999</v>
      </c>
      <c r="I1392">
        <v>728</v>
      </c>
      <c r="J1392" t="s">
        <v>3000</v>
      </c>
      <c r="K1392" t="s">
        <v>85</v>
      </c>
      <c r="N1392" t="s">
        <v>186</v>
      </c>
      <c r="P1392" t="s">
        <v>87</v>
      </c>
      <c r="Q1392" t="s">
        <v>76</v>
      </c>
      <c r="R1392" t="s">
        <v>73</v>
      </c>
      <c r="S1392">
        <v>1</v>
      </c>
      <c r="T1392">
        <v>1</v>
      </c>
      <c r="U1392" s="18">
        <v>44427.628472222219</v>
      </c>
      <c r="V1392" s="18">
        <v>44428.628472222219</v>
      </c>
      <c r="W1392" s="20">
        <v>4.7592592592592596E-2</v>
      </c>
      <c r="X1392" t="s">
        <v>3210</v>
      </c>
      <c r="Y1392">
        <v>216</v>
      </c>
      <c r="Z1392">
        <v>0</v>
      </c>
      <c r="AA1392" t="s">
        <v>78</v>
      </c>
      <c r="AB1392">
        <v>0</v>
      </c>
      <c r="AC1392" t="s">
        <v>78</v>
      </c>
      <c r="AD1392">
        <v>0</v>
      </c>
      <c r="AE1392">
        <v>-1</v>
      </c>
      <c r="AF1392" t="s">
        <v>88</v>
      </c>
      <c r="AG1392" t="s">
        <v>333</v>
      </c>
    </row>
    <row r="1393" spans="1:33" x14ac:dyDescent="0.35">
      <c r="A1393" s="18">
        <v>44427.627083333333</v>
      </c>
      <c r="B1393">
        <v>6274099</v>
      </c>
      <c r="C1393" t="s">
        <v>2997</v>
      </c>
      <c r="D1393" t="s">
        <v>2998</v>
      </c>
      <c r="E1393" s="19">
        <v>44075</v>
      </c>
      <c r="F1393" t="str">
        <f>"9781000217063"</f>
        <v>9781000217063</v>
      </c>
      <c r="G1393" t="str">
        <f>"9781859468654"</f>
        <v>9781859468654</v>
      </c>
      <c r="H1393" t="s">
        <v>2999</v>
      </c>
      <c r="I1393">
        <v>728</v>
      </c>
      <c r="J1393" t="s">
        <v>3000</v>
      </c>
      <c r="K1393" t="s">
        <v>85</v>
      </c>
      <c r="N1393" t="s">
        <v>186</v>
      </c>
      <c r="P1393" t="s">
        <v>87</v>
      </c>
      <c r="Q1393" t="s">
        <v>76</v>
      </c>
      <c r="R1393" t="s">
        <v>73</v>
      </c>
      <c r="S1393">
        <v>0</v>
      </c>
      <c r="W1393" s="20">
        <v>5.7870370370370366E-5</v>
      </c>
      <c r="X1393" t="s">
        <v>132</v>
      </c>
      <c r="Y1393">
        <v>1</v>
      </c>
      <c r="Z1393">
        <v>0</v>
      </c>
      <c r="AA1393" t="s">
        <v>78</v>
      </c>
      <c r="AB1393">
        <v>0</v>
      </c>
      <c r="AC1393" t="s">
        <v>78</v>
      </c>
      <c r="AD1393">
        <v>0</v>
      </c>
      <c r="AE1393">
        <v>-1</v>
      </c>
      <c r="AF1393" t="s">
        <v>79</v>
      </c>
      <c r="AG1393" t="s">
        <v>333</v>
      </c>
    </row>
    <row r="1394" spans="1:33" x14ac:dyDescent="0.35">
      <c r="A1394" s="18">
        <v>44427.606944444444</v>
      </c>
      <c r="B1394">
        <v>6326219</v>
      </c>
      <c r="C1394" t="s">
        <v>3211</v>
      </c>
      <c r="D1394" t="s">
        <v>127</v>
      </c>
      <c r="E1394" s="19">
        <v>44075</v>
      </c>
      <c r="F1394" t="str">
        <f>"9780429662911"</f>
        <v>9780429662911</v>
      </c>
      <c r="G1394" t="str">
        <f>"9780367085872"</f>
        <v>9780367085872</v>
      </c>
      <c r="H1394" t="s">
        <v>391</v>
      </c>
      <c r="I1394">
        <v>662.88</v>
      </c>
      <c r="J1394" t="s">
        <v>3212</v>
      </c>
      <c r="K1394" t="s">
        <v>85</v>
      </c>
      <c r="Q1394" t="s">
        <v>76</v>
      </c>
      <c r="R1394" t="s">
        <v>73</v>
      </c>
      <c r="S1394">
        <v>0</v>
      </c>
      <c r="W1394" s="20">
        <v>7.291666666666667E-4</v>
      </c>
      <c r="X1394" t="s">
        <v>3213</v>
      </c>
      <c r="Y1394">
        <v>5</v>
      </c>
      <c r="Z1394">
        <v>0</v>
      </c>
      <c r="AA1394" t="s">
        <v>78</v>
      </c>
      <c r="AB1394">
        <v>0</v>
      </c>
      <c r="AC1394" t="s">
        <v>78</v>
      </c>
      <c r="AD1394">
        <v>0</v>
      </c>
      <c r="AE1394">
        <v>-1</v>
      </c>
      <c r="AF1394" t="s">
        <v>79</v>
      </c>
      <c r="AG1394" t="s">
        <v>2889</v>
      </c>
    </row>
    <row r="1395" spans="1:33" x14ac:dyDescent="0.35">
      <c r="A1395" s="18">
        <v>44427.474999999999</v>
      </c>
      <c r="B1395">
        <v>6118421</v>
      </c>
      <c r="C1395" t="s">
        <v>3214</v>
      </c>
      <c r="D1395" t="s">
        <v>990</v>
      </c>
      <c r="E1395" s="19">
        <v>43896</v>
      </c>
      <c r="F1395" t="str">
        <f>"9780190093501"</f>
        <v>9780190093501</v>
      </c>
      <c r="G1395" t="str">
        <f>"9780190093488"</f>
        <v>9780190093488</v>
      </c>
      <c r="H1395" t="s">
        <v>135</v>
      </c>
      <c r="I1395">
        <v>320.95100000000002</v>
      </c>
      <c r="J1395" t="s">
        <v>3215</v>
      </c>
      <c r="K1395" t="s">
        <v>85</v>
      </c>
      <c r="N1395" t="s">
        <v>86</v>
      </c>
      <c r="P1395" t="s">
        <v>1850</v>
      </c>
      <c r="Q1395" t="s">
        <v>76</v>
      </c>
      <c r="R1395" t="s">
        <v>73</v>
      </c>
      <c r="S1395">
        <v>0</v>
      </c>
      <c r="W1395" s="20">
        <v>9.5370370370370366E-3</v>
      </c>
      <c r="X1395" t="s">
        <v>3216</v>
      </c>
      <c r="Y1395">
        <v>34</v>
      </c>
      <c r="Z1395">
        <v>5</v>
      </c>
      <c r="AA1395" t="s">
        <v>3217</v>
      </c>
      <c r="AB1395">
        <v>74</v>
      </c>
      <c r="AC1395" t="s">
        <v>78</v>
      </c>
      <c r="AD1395">
        <v>0</v>
      </c>
      <c r="AE1395">
        <v>-1</v>
      </c>
      <c r="AF1395" t="s">
        <v>79</v>
      </c>
      <c r="AG1395" t="s">
        <v>2837</v>
      </c>
    </row>
    <row r="1396" spans="1:33" x14ac:dyDescent="0.35">
      <c r="A1396" s="18">
        <v>44427.048611111109</v>
      </c>
      <c r="B1396">
        <v>4816342</v>
      </c>
      <c r="C1396" t="s">
        <v>3218</v>
      </c>
      <c r="D1396" t="s">
        <v>70</v>
      </c>
      <c r="E1396" s="19">
        <v>42787</v>
      </c>
      <c r="F1396" t="str">
        <f>"9781118978009"</f>
        <v>9781118978009</v>
      </c>
      <c r="G1396" t="str">
        <f>"9781118977996"</f>
        <v>9781118977996</v>
      </c>
      <c r="H1396" t="s">
        <v>964</v>
      </c>
      <c r="I1396" t="s">
        <v>3219</v>
      </c>
      <c r="J1396" t="s">
        <v>3220</v>
      </c>
      <c r="K1396" t="s">
        <v>73</v>
      </c>
      <c r="N1396" t="s">
        <v>74</v>
      </c>
      <c r="O1396" t="s">
        <v>75</v>
      </c>
      <c r="P1396" t="s">
        <v>74</v>
      </c>
      <c r="Q1396" t="s">
        <v>76</v>
      </c>
      <c r="R1396" t="s">
        <v>73</v>
      </c>
      <c r="S1396">
        <v>0</v>
      </c>
      <c r="W1396" s="20">
        <v>2.0833333333333335E-4</v>
      </c>
      <c r="X1396" t="s">
        <v>3221</v>
      </c>
      <c r="Y1396">
        <v>4</v>
      </c>
      <c r="Z1396">
        <v>0</v>
      </c>
      <c r="AA1396" t="s">
        <v>78</v>
      </c>
      <c r="AB1396">
        <v>0</v>
      </c>
      <c r="AC1396" t="s">
        <v>78</v>
      </c>
      <c r="AD1396">
        <v>0</v>
      </c>
      <c r="AE1396">
        <v>11355623</v>
      </c>
      <c r="AF1396" t="s">
        <v>88</v>
      </c>
      <c r="AG1396" t="s">
        <v>2889</v>
      </c>
    </row>
    <row r="1397" spans="1:33" x14ac:dyDescent="0.35">
      <c r="A1397" s="18">
        <v>44427.043749999997</v>
      </c>
      <c r="B1397">
        <v>4816160</v>
      </c>
      <c r="C1397" t="s">
        <v>3222</v>
      </c>
      <c r="D1397" t="s">
        <v>70</v>
      </c>
      <c r="E1397" s="19">
        <v>42856</v>
      </c>
      <c r="F1397" t="str">
        <f>"9781118876541"</f>
        <v>9781118876541</v>
      </c>
      <c r="G1397" t="str">
        <f>"9781118876497"</f>
        <v>9781118876497</v>
      </c>
      <c r="H1397" t="s">
        <v>968</v>
      </c>
      <c r="I1397">
        <v>338.47624183400001</v>
      </c>
      <c r="J1397" t="s">
        <v>3223</v>
      </c>
      <c r="K1397" t="s">
        <v>73</v>
      </c>
      <c r="N1397" t="s">
        <v>74</v>
      </c>
      <c r="O1397" t="s">
        <v>75</v>
      </c>
      <c r="P1397" t="s">
        <v>74</v>
      </c>
      <c r="Q1397" t="s">
        <v>76</v>
      </c>
      <c r="R1397" t="s">
        <v>73</v>
      </c>
      <c r="S1397">
        <v>0</v>
      </c>
      <c r="W1397" s="20">
        <v>2.2685185185185182E-3</v>
      </c>
      <c r="X1397" t="s">
        <v>3224</v>
      </c>
      <c r="Y1397">
        <v>7</v>
      </c>
      <c r="Z1397">
        <v>0</v>
      </c>
      <c r="AA1397" t="s">
        <v>78</v>
      </c>
      <c r="AB1397">
        <v>0</v>
      </c>
      <c r="AC1397" t="s">
        <v>78</v>
      </c>
      <c r="AD1397">
        <v>0</v>
      </c>
      <c r="AE1397">
        <v>11355494</v>
      </c>
      <c r="AF1397" t="s">
        <v>88</v>
      </c>
      <c r="AG1397" t="s">
        <v>2889</v>
      </c>
    </row>
    <row r="1398" spans="1:33" x14ac:dyDescent="0.35">
      <c r="A1398" s="18">
        <v>44427.032638888886</v>
      </c>
      <c r="B1398">
        <v>6274099</v>
      </c>
      <c r="C1398" t="s">
        <v>2997</v>
      </c>
      <c r="D1398" t="s">
        <v>2998</v>
      </c>
      <c r="E1398" s="19">
        <v>44075</v>
      </c>
      <c r="F1398" t="str">
        <f>"9781000217063"</f>
        <v>9781000217063</v>
      </c>
      <c r="G1398" t="str">
        <f>"9781859468654"</f>
        <v>9781859468654</v>
      </c>
      <c r="H1398" t="s">
        <v>2999</v>
      </c>
      <c r="I1398">
        <v>728</v>
      </c>
      <c r="J1398" t="s">
        <v>3000</v>
      </c>
      <c r="K1398" t="s">
        <v>85</v>
      </c>
      <c r="Q1398" t="s">
        <v>76</v>
      </c>
      <c r="R1398" t="s">
        <v>73</v>
      </c>
      <c r="S1398">
        <v>0</v>
      </c>
      <c r="W1398" s="20">
        <v>1.3564814814814816E-2</v>
      </c>
      <c r="X1398" t="s">
        <v>3225</v>
      </c>
      <c r="Y1398">
        <v>36</v>
      </c>
      <c r="Z1398">
        <v>0</v>
      </c>
      <c r="AA1398" t="s">
        <v>78</v>
      </c>
      <c r="AB1398">
        <v>0</v>
      </c>
      <c r="AC1398" t="s">
        <v>78</v>
      </c>
      <c r="AD1398">
        <v>0</v>
      </c>
      <c r="AE1398">
        <v>-1</v>
      </c>
      <c r="AF1398" t="s">
        <v>88</v>
      </c>
      <c r="AG1398" t="s">
        <v>2889</v>
      </c>
    </row>
    <row r="1399" spans="1:33" x14ac:dyDescent="0.35">
      <c r="A1399" s="18">
        <v>44426.621527777781</v>
      </c>
      <c r="B1399">
        <v>5056557</v>
      </c>
      <c r="C1399" t="s">
        <v>3226</v>
      </c>
      <c r="D1399" t="s">
        <v>502</v>
      </c>
      <c r="E1399" s="19">
        <v>42993</v>
      </c>
      <c r="F1399" t="str">
        <f>"9781780407197"</f>
        <v>9781780407197</v>
      </c>
      <c r="G1399" t="str">
        <f>"9781780407180"</f>
        <v>9781780407180</v>
      </c>
      <c r="H1399" t="s">
        <v>374</v>
      </c>
      <c r="I1399">
        <v>628.16499999999996</v>
      </c>
      <c r="J1399" t="s">
        <v>3227</v>
      </c>
      <c r="K1399" t="s">
        <v>73</v>
      </c>
      <c r="N1399" t="s">
        <v>74</v>
      </c>
      <c r="O1399" t="s">
        <v>75</v>
      </c>
      <c r="P1399" t="s">
        <v>74</v>
      </c>
      <c r="Q1399" t="s">
        <v>76</v>
      </c>
      <c r="R1399" t="s">
        <v>73</v>
      </c>
      <c r="S1399">
        <v>0</v>
      </c>
      <c r="W1399" s="20">
        <v>2.0162037037037037E-2</v>
      </c>
      <c r="X1399" t="s">
        <v>3228</v>
      </c>
      <c r="Y1399">
        <v>10</v>
      </c>
      <c r="Z1399">
        <v>2</v>
      </c>
      <c r="AA1399" t="s">
        <v>3229</v>
      </c>
      <c r="AB1399">
        <v>72</v>
      </c>
      <c r="AC1399" t="s">
        <v>3230</v>
      </c>
      <c r="AD1399">
        <v>4</v>
      </c>
      <c r="AE1399">
        <v>11445425</v>
      </c>
      <c r="AF1399" t="s">
        <v>79</v>
      </c>
      <c r="AG1399" t="s">
        <v>3231</v>
      </c>
    </row>
    <row r="1400" spans="1:33" x14ac:dyDescent="0.35">
      <c r="A1400" s="18">
        <v>44426.372916666667</v>
      </c>
      <c r="B1400">
        <v>3376505</v>
      </c>
      <c r="C1400" t="s">
        <v>3232</v>
      </c>
      <c r="D1400" t="s">
        <v>351</v>
      </c>
      <c r="E1400" s="19">
        <v>27364</v>
      </c>
      <c r="F1400" t="str">
        <f>"9780309574037"</f>
        <v>9780309574037</v>
      </c>
      <c r="G1400" t="str">
        <f>"9780309022200"</f>
        <v>9780309022200</v>
      </c>
      <c r="H1400" t="s">
        <v>979</v>
      </c>
      <c r="I1400">
        <v>620.1</v>
      </c>
      <c r="J1400" t="s">
        <v>3233</v>
      </c>
      <c r="K1400" t="s">
        <v>73</v>
      </c>
      <c r="N1400" t="s">
        <v>74</v>
      </c>
      <c r="O1400" t="s">
        <v>75</v>
      </c>
      <c r="P1400" t="s">
        <v>230</v>
      </c>
      <c r="Q1400" t="s">
        <v>76</v>
      </c>
      <c r="R1400" t="s">
        <v>85</v>
      </c>
      <c r="S1400">
        <v>0</v>
      </c>
      <c r="W1400" s="20">
        <v>1.4895833333333332E-2</v>
      </c>
      <c r="X1400" t="s">
        <v>3234</v>
      </c>
      <c r="Y1400">
        <v>46</v>
      </c>
      <c r="Z1400">
        <v>1</v>
      </c>
      <c r="AA1400" t="s">
        <v>3235</v>
      </c>
      <c r="AB1400">
        <v>2</v>
      </c>
      <c r="AC1400" t="s">
        <v>78</v>
      </c>
      <c r="AD1400">
        <v>0</v>
      </c>
      <c r="AE1400">
        <v>10056778</v>
      </c>
      <c r="AF1400" t="s">
        <v>79</v>
      </c>
      <c r="AG1400" t="s">
        <v>2837</v>
      </c>
    </row>
    <row r="1401" spans="1:33" x14ac:dyDescent="0.35">
      <c r="A1401" s="18">
        <v>44426.37222222222</v>
      </c>
      <c r="B1401">
        <v>5746505</v>
      </c>
      <c r="C1401" t="s">
        <v>3236</v>
      </c>
      <c r="D1401" t="s">
        <v>226</v>
      </c>
      <c r="E1401" s="19">
        <v>43532</v>
      </c>
      <c r="F1401" t="str">
        <f>"9781536152715"</f>
        <v>9781536152715</v>
      </c>
      <c r="G1401" t="str">
        <f>"9781536152708"</f>
        <v>9781536152708</v>
      </c>
      <c r="H1401" t="s">
        <v>448</v>
      </c>
      <c r="I1401">
        <v>620.11</v>
      </c>
      <c r="J1401" t="s">
        <v>3237</v>
      </c>
      <c r="K1401" t="s">
        <v>85</v>
      </c>
      <c r="Q1401" t="s">
        <v>76</v>
      </c>
      <c r="R1401" t="s">
        <v>73</v>
      </c>
      <c r="S1401">
        <v>0</v>
      </c>
      <c r="W1401" s="20">
        <v>1.1574074074074073E-4</v>
      </c>
      <c r="X1401" t="s">
        <v>3238</v>
      </c>
      <c r="Y1401">
        <v>3</v>
      </c>
      <c r="Z1401">
        <v>0</v>
      </c>
      <c r="AA1401" t="s">
        <v>78</v>
      </c>
      <c r="AB1401">
        <v>0</v>
      </c>
      <c r="AC1401" t="s">
        <v>78</v>
      </c>
      <c r="AD1401">
        <v>0</v>
      </c>
      <c r="AE1401">
        <v>-1</v>
      </c>
      <c r="AF1401" t="s">
        <v>79</v>
      </c>
      <c r="AG1401" t="s">
        <v>2837</v>
      </c>
    </row>
    <row r="1402" spans="1:33" x14ac:dyDescent="0.35">
      <c r="A1402" s="18">
        <v>44426.37222222222</v>
      </c>
      <c r="B1402">
        <v>6319194</v>
      </c>
      <c r="C1402" t="s">
        <v>3239</v>
      </c>
      <c r="D1402" t="s">
        <v>973</v>
      </c>
      <c r="E1402" s="19">
        <v>43994</v>
      </c>
      <c r="F1402" t="str">
        <f>"9783035737035"</f>
        <v>9783035737035</v>
      </c>
      <c r="G1402" t="str">
        <f>""</f>
        <v/>
      </c>
      <c r="H1402" t="s">
        <v>1194</v>
      </c>
      <c r="I1402">
        <v>620.11</v>
      </c>
      <c r="J1402" t="s">
        <v>3240</v>
      </c>
      <c r="K1402" t="s">
        <v>85</v>
      </c>
      <c r="Q1402" t="s">
        <v>76</v>
      </c>
      <c r="R1402" t="s">
        <v>73</v>
      </c>
      <c r="S1402">
        <v>0</v>
      </c>
      <c r="W1402" s="20">
        <v>4.2824074074074075E-4</v>
      </c>
      <c r="X1402" t="s">
        <v>3241</v>
      </c>
      <c r="Y1402">
        <v>5</v>
      </c>
      <c r="Z1402">
        <v>0</v>
      </c>
      <c r="AA1402" t="s">
        <v>78</v>
      </c>
      <c r="AB1402">
        <v>0</v>
      </c>
      <c r="AC1402" t="s">
        <v>78</v>
      </c>
      <c r="AD1402">
        <v>0</v>
      </c>
      <c r="AE1402">
        <v>-1</v>
      </c>
      <c r="AF1402" t="s">
        <v>79</v>
      </c>
      <c r="AG1402" t="s">
        <v>2837</v>
      </c>
    </row>
    <row r="1403" spans="1:33" x14ac:dyDescent="0.35">
      <c r="A1403" s="18">
        <v>44426.369444444441</v>
      </c>
      <c r="B1403">
        <v>688514</v>
      </c>
      <c r="C1403" t="s">
        <v>3242</v>
      </c>
      <c r="D1403" t="s">
        <v>127</v>
      </c>
      <c r="E1403" s="19">
        <v>40596</v>
      </c>
      <c r="F1403" t="str">
        <f>"9781439811054"</f>
        <v>9781439811054</v>
      </c>
      <c r="G1403" t="str">
        <f>"9781439811047"</f>
        <v>9781439811047</v>
      </c>
      <c r="H1403" t="s">
        <v>3243</v>
      </c>
      <c r="I1403">
        <v>620.11599999999999</v>
      </c>
      <c r="J1403" t="s">
        <v>3244</v>
      </c>
      <c r="K1403" t="s">
        <v>73</v>
      </c>
      <c r="N1403" t="s">
        <v>74</v>
      </c>
      <c r="O1403" t="s">
        <v>75</v>
      </c>
      <c r="P1403" t="s">
        <v>74</v>
      </c>
      <c r="Q1403" t="s">
        <v>76</v>
      </c>
      <c r="R1403" t="s">
        <v>73</v>
      </c>
      <c r="S1403">
        <v>0</v>
      </c>
      <c r="W1403" s="20">
        <v>1.2847222222222223E-3</v>
      </c>
      <c r="X1403" t="s">
        <v>3245</v>
      </c>
      <c r="Y1403">
        <v>10</v>
      </c>
      <c r="Z1403">
        <v>1</v>
      </c>
      <c r="AA1403" t="s">
        <v>3246</v>
      </c>
      <c r="AB1403">
        <v>34</v>
      </c>
      <c r="AC1403" t="s">
        <v>78</v>
      </c>
      <c r="AD1403">
        <v>0</v>
      </c>
      <c r="AE1403">
        <v>10464607</v>
      </c>
      <c r="AF1403" t="s">
        <v>79</v>
      </c>
      <c r="AG1403" t="s">
        <v>2837</v>
      </c>
    </row>
    <row r="1404" spans="1:33" x14ac:dyDescent="0.35">
      <c r="A1404" s="18">
        <v>44425.723611111112</v>
      </c>
      <c r="B1404">
        <v>771406</v>
      </c>
      <c r="C1404" t="s">
        <v>2081</v>
      </c>
      <c r="D1404" t="s">
        <v>2082</v>
      </c>
      <c r="E1404" s="19">
        <v>40299</v>
      </c>
      <c r="F1404" t="str">
        <f>"9780335238866"</f>
        <v>9780335238866</v>
      </c>
      <c r="G1404" t="str">
        <f>"9780335238859"</f>
        <v>9780335238859</v>
      </c>
      <c r="H1404" t="s">
        <v>621</v>
      </c>
      <c r="I1404">
        <v>362.10720409999999</v>
      </c>
      <c r="J1404" t="s">
        <v>2083</v>
      </c>
      <c r="K1404" t="s">
        <v>73</v>
      </c>
      <c r="N1404" t="s">
        <v>74</v>
      </c>
      <c r="O1404" t="s">
        <v>75</v>
      </c>
      <c r="P1404" t="s">
        <v>74</v>
      </c>
      <c r="Q1404" t="s">
        <v>76</v>
      </c>
      <c r="R1404" t="s">
        <v>73</v>
      </c>
      <c r="S1404">
        <v>0</v>
      </c>
      <c r="W1404" s="20">
        <v>1.7824074074074072E-3</v>
      </c>
      <c r="X1404" t="s">
        <v>3247</v>
      </c>
      <c r="Y1404">
        <v>9</v>
      </c>
      <c r="Z1404">
        <v>0</v>
      </c>
      <c r="AA1404" t="s">
        <v>78</v>
      </c>
      <c r="AB1404">
        <v>0</v>
      </c>
      <c r="AC1404" t="s">
        <v>3248</v>
      </c>
      <c r="AD1404">
        <v>1</v>
      </c>
      <c r="AE1404">
        <v>10413319</v>
      </c>
      <c r="AF1404" t="s">
        <v>79</v>
      </c>
      <c r="AG1404" t="s">
        <v>2837</v>
      </c>
    </row>
    <row r="1405" spans="1:33" x14ac:dyDescent="0.35">
      <c r="A1405" s="18">
        <v>44425.598611111112</v>
      </c>
      <c r="B1405">
        <v>771406</v>
      </c>
      <c r="C1405" t="s">
        <v>2081</v>
      </c>
      <c r="D1405" t="s">
        <v>2082</v>
      </c>
      <c r="E1405" s="19">
        <v>40299</v>
      </c>
      <c r="F1405" t="str">
        <f>"9780335238866"</f>
        <v>9780335238866</v>
      </c>
      <c r="G1405" t="str">
        <f>"9780335238859"</f>
        <v>9780335238859</v>
      </c>
      <c r="H1405" t="s">
        <v>621</v>
      </c>
      <c r="I1405">
        <v>362.10720409999999</v>
      </c>
      <c r="J1405" t="s">
        <v>2083</v>
      </c>
      <c r="K1405" t="s">
        <v>73</v>
      </c>
      <c r="N1405" t="s">
        <v>74</v>
      </c>
      <c r="O1405" t="s">
        <v>75</v>
      </c>
      <c r="P1405" t="s">
        <v>74</v>
      </c>
      <c r="Q1405" t="s">
        <v>76</v>
      </c>
      <c r="R1405" t="s">
        <v>73</v>
      </c>
      <c r="S1405">
        <v>0</v>
      </c>
      <c r="W1405" s="20">
        <v>3.243055555555556E-2</v>
      </c>
      <c r="X1405" t="s">
        <v>3249</v>
      </c>
      <c r="Y1405">
        <v>114</v>
      </c>
      <c r="Z1405">
        <v>0</v>
      </c>
      <c r="AA1405" t="s">
        <v>78</v>
      </c>
      <c r="AB1405">
        <v>0</v>
      </c>
      <c r="AC1405" t="s">
        <v>3250</v>
      </c>
      <c r="AD1405">
        <v>17</v>
      </c>
      <c r="AE1405">
        <v>10413319</v>
      </c>
      <c r="AF1405" t="s">
        <v>79</v>
      </c>
      <c r="AG1405" t="s">
        <v>2837</v>
      </c>
    </row>
    <row r="1406" spans="1:33" x14ac:dyDescent="0.35">
      <c r="A1406" s="18">
        <v>44425.580555555556</v>
      </c>
      <c r="B1406">
        <v>5855524</v>
      </c>
      <c r="C1406" t="s">
        <v>3251</v>
      </c>
      <c r="D1406" t="s">
        <v>3252</v>
      </c>
      <c r="E1406" s="19">
        <v>43696</v>
      </c>
      <c r="F1406" t="str">
        <f>"9781509529285"</f>
        <v>9781509529285</v>
      </c>
      <c r="G1406" t="str">
        <f>"9781509529261"</f>
        <v>9781509529261</v>
      </c>
      <c r="H1406" t="s">
        <v>128</v>
      </c>
      <c r="I1406" t="s">
        <v>646</v>
      </c>
      <c r="J1406" t="s">
        <v>3253</v>
      </c>
      <c r="K1406" t="s">
        <v>85</v>
      </c>
      <c r="N1406" t="s">
        <v>86</v>
      </c>
      <c r="P1406" t="s">
        <v>87</v>
      </c>
      <c r="Q1406" t="s">
        <v>76</v>
      </c>
      <c r="R1406" t="s">
        <v>73</v>
      </c>
      <c r="S1406">
        <v>0</v>
      </c>
      <c r="W1406" s="20">
        <v>3.2407407407407406E-4</v>
      </c>
      <c r="X1406" t="s">
        <v>1617</v>
      </c>
      <c r="Y1406">
        <v>3</v>
      </c>
      <c r="Z1406">
        <v>0</v>
      </c>
      <c r="AA1406" t="s">
        <v>78</v>
      </c>
      <c r="AB1406">
        <v>0</v>
      </c>
      <c r="AC1406" t="s">
        <v>78</v>
      </c>
      <c r="AD1406">
        <v>0</v>
      </c>
      <c r="AE1406">
        <v>-1</v>
      </c>
      <c r="AF1406" t="s">
        <v>79</v>
      </c>
      <c r="AG1406" t="s">
        <v>2837</v>
      </c>
    </row>
    <row r="1407" spans="1:33" x14ac:dyDescent="0.35">
      <c r="A1407" s="18">
        <v>44424.853472222225</v>
      </c>
      <c r="B1407">
        <v>4915360</v>
      </c>
      <c r="C1407" t="s">
        <v>730</v>
      </c>
      <c r="D1407" t="s">
        <v>731</v>
      </c>
      <c r="E1407" s="19">
        <v>42346</v>
      </c>
      <c r="F1407" t="str">
        <f>"9780760361061"</f>
        <v>9780760361061</v>
      </c>
      <c r="G1407" t="str">
        <f>"9780785833529"</f>
        <v>9780785833529</v>
      </c>
      <c r="H1407" t="s">
        <v>143</v>
      </c>
      <c r="I1407">
        <v>650.1</v>
      </c>
      <c r="J1407" t="s">
        <v>732</v>
      </c>
      <c r="K1407" t="s">
        <v>73</v>
      </c>
      <c r="N1407" t="s">
        <v>74</v>
      </c>
      <c r="O1407" t="s">
        <v>75</v>
      </c>
      <c r="P1407" t="s">
        <v>74</v>
      </c>
      <c r="Q1407" t="s">
        <v>76</v>
      </c>
      <c r="R1407" t="s">
        <v>73</v>
      </c>
      <c r="S1407">
        <v>1</v>
      </c>
      <c r="W1407" s="20">
        <v>0</v>
      </c>
      <c r="X1407" t="s">
        <v>78</v>
      </c>
      <c r="Y1407">
        <v>0</v>
      </c>
      <c r="Z1407">
        <v>0</v>
      </c>
      <c r="AA1407" t="s">
        <v>78</v>
      </c>
      <c r="AB1407">
        <v>0</v>
      </c>
      <c r="AC1407" t="s">
        <v>78</v>
      </c>
      <c r="AD1407">
        <v>0</v>
      </c>
      <c r="AE1407">
        <v>11412495</v>
      </c>
      <c r="AF1407" t="s">
        <v>88</v>
      </c>
      <c r="AG1407" t="s">
        <v>3254</v>
      </c>
    </row>
    <row r="1408" spans="1:33" x14ac:dyDescent="0.35">
      <c r="A1408" s="18">
        <v>44424.417361111111</v>
      </c>
      <c r="B1408">
        <v>1650826</v>
      </c>
      <c r="C1408" t="s">
        <v>3255</v>
      </c>
      <c r="D1408" t="s">
        <v>70</v>
      </c>
      <c r="E1408" s="19">
        <v>41655</v>
      </c>
      <c r="F1408" t="str">
        <f>"9781118584293"</f>
        <v>9781118584293</v>
      </c>
      <c r="G1408" t="str">
        <f>"9780470656426"</f>
        <v>9780470656426</v>
      </c>
      <c r="H1408" t="s">
        <v>3256</v>
      </c>
      <c r="I1408">
        <v>306.44</v>
      </c>
      <c r="J1408" t="s">
        <v>3257</v>
      </c>
      <c r="K1408" t="s">
        <v>73</v>
      </c>
      <c r="N1408" t="s">
        <v>74</v>
      </c>
      <c r="O1408" t="s">
        <v>75</v>
      </c>
      <c r="P1408" t="s">
        <v>74</v>
      </c>
      <c r="Q1408" t="s">
        <v>76</v>
      </c>
      <c r="R1408" t="s">
        <v>73</v>
      </c>
      <c r="S1408">
        <v>0</v>
      </c>
      <c r="W1408" s="20">
        <v>7.2418981481481473E-2</v>
      </c>
      <c r="X1408" t="s">
        <v>3258</v>
      </c>
      <c r="Y1408">
        <v>117</v>
      </c>
      <c r="Z1408">
        <v>0</v>
      </c>
      <c r="AA1408" t="s">
        <v>78</v>
      </c>
      <c r="AB1408">
        <v>0</v>
      </c>
      <c r="AC1408" t="s">
        <v>3259</v>
      </c>
      <c r="AD1408">
        <v>1</v>
      </c>
      <c r="AE1408">
        <v>10849267</v>
      </c>
      <c r="AF1408" t="s">
        <v>79</v>
      </c>
      <c r="AG1408" t="s">
        <v>3260</v>
      </c>
    </row>
    <row r="1409" spans="1:33" x14ac:dyDescent="0.35">
      <c r="A1409" s="18">
        <v>44423.602083333331</v>
      </c>
      <c r="B1409">
        <v>1790404</v>
      </c>
      <c r="C1409" t="s">
        <v>3261</v>
      </c>
      <c r="D1409" t="s">
        <v>635</v>
      </c>
      <c r="E1409" s="19">
        <v>41947</v>
      </c>
      <c r="F1409" t="str">
        <f>"9781497675889"</f>
        <v>9781497675889</v>
      </c>
      <c r="G1409" t="str">
        <f>""</f>
        <v/>
      </c>
      <c r="H1409" t="s">
        <v>2907</v>
      </c>
      <c r="I1409">
        <v>508.1</v>
      </c>
      <c r="J1409" t="s">
        <v>3262</v>
      </c>
      <c r="K1409" t="s">
        <v>73</v>
      </c>
      <c r="N1409" t="s">
        <v>74</v>
      </c>
      <c r="O1409" t="s">
        <v>75</v>
      </c>
      <c r="P1409" t="s">
        <v>74</v>
      </c>
      <c r="Q1409" t="s">
        <v>76</v>
      </c>
      <c r="R1409" t="s">
        <v>73</v>
      </c>
      <c r="S1409">
        <v>0</v>
      </c>
      <c r="W1409" s="20">
        <v>2.8935185185185189E-4</v>
      </c>
      <c r="X1409" t="s">
        <v>3263</v>
      </c>
      <c r="Y1409">
        <v>9</v>
      </c>
      <c r="Z1409">
        <v>0</v>
      </c>
      <c r="AA1409" t="s">
        <v>78</v>
      </c>
      <c r="AB1409">
        <v>0</v>
      </c>
      <c r="AC1409" t="s">
        <v>78</v>
      </c>
      <c r="AD1409">
        <v>0</v>
      </c>
      <c r="AE1409">
        <v>-1</v>
      </c>
      <c r="AF1409" t="s">
        <v>79</v>
      </c>
      <c r="AG1409" t="s">
        <v>2837</v>
      </c>
    </row>
    <row r="1410" spans="1:33" x14ac:dyDescent="0.35">
      <c r="A1410" s="18">
        <v>44423.48541666667</v>
      </c>
      <c r="B1410">
        <v>4843199</v>
      </c>
      <c r="C1410" t="s">
        <v>3264</v>
      </c>
      <c r="D1410" t="s">
        <v>390</v>
      </c>
      <c r="E1410" s="19">
        <v>42835</v>
      </c>
      <c r="F1410" t="str">
        <f>"9783110435856"</f>
        <v>9783110435856</v>
      </c>
      <c r="G1410" t="str">
        <f>"9783110441895"</f>
        <v>9783110441895</v>
      </c>
      <c r="H1410" t="s">
        <v>174</v>
      </c>
      <c r="I1410">
        <v>540</v>
      </c>
      <c r="J1410" t="s">
        <v>3265</v>
      </c>
      <c r="K1410" t="s">
        <v>73</v>
      </c>
      <c r="N1410" t="s">
        <v>74</v>
      </c>
      <c r="O1410" t="s">
        <v>75</v>
      </c>
      <c r="P1410" t="s">
        <v>74</v>
      </c>
      <c r="Q1410" t="s">
        <v>76</v>
      </c>
      <c r="R1410" t="s">
        <v>73</v>
      </c>
      <c r="S1410">
        <v>1</v>
      </c>
      <c r="W1410" s="20">
        <v>0</v>
      </c>
      <c r="X1410" t="s">
        <v>78</v>
      </c>
      <c r="Y1410">
        <v>0</v>
      </c>
      <c r="Z1410">
        <v>0</v>
      </c>
      <c r="AA1410" t="s">
        <v>78</v>
      </c>
      <c r="AB1410">
        <v>0</v>
      </c>
      <c r="AC1410" t="s">
        <v>78</v>
      </c>
      <c r="AD1410">
        <v>0</v>
      </c>
      <c r="AE1410">
        <v>11375515</v>
      </c>
      <c r="AF1410" t="s">
        <v>88</v>
      </c>
      <c r="AG1410" t="s">
        <v>2837</v>
      </c>
    </row>
    <row r="1411" spans="1:33" x14ac:dyDescent="0.35">
      <c r="A1411" s="18">
        <v>44423.477083333331</v>
      </c>
      <c r="B1411">
        <v>860886</v>
      </c>
      <c r="C1411" t="s">
        <v>3266</v>
      </c>
      <c r="D1411" t="s">
        <v>70</v>
      </c>
      <c r="E1411" s="19">
        <v>41022</v>
      </c>
      <c r="F1411" t="str">
        <f>"9781119940739"</f>
        <v>9781119940739</v>
      </c>
      <c r="G1411" t="str">
        <f>"9780470972014"</f>
        <v>9780470972014</v>
      </c>
      <c r="H1411" t="s">
        <v>3267</v>
      </c>
      <c r="I1411">
        <v>543</v>
      </c>
      <c r="J1411" t="s">
        <v>3268</v>
      </c>
      <c r="K1411" t="s">
        <v>73</v>
      </c>
      <c r="N1411" t="s">
        <v>74</v>
      </c>
      <c r="O1411" t="s">
        <v>75</v>
      </c>
      <c r="P1411" t="s">
        <v>74</v>
      </c>
      <c r="Q1411" t="s">
        <v>76</v>
      </c>
      <c r="R1411" t="s">
        <v>73</v>
      </c>
      <c r="S1411">
        <v>1</v>
      </c>
      <c r="W1411" s="20">
        <v>0</v>
      </c>
      <c r="X1411" t="s">
        <v>78</v>
      </c>
      <c r="Y1411">
        <v>0</v>
      </c>
      <c r="Z1411">
        <v>0</v>
      </c>
      <c r="AA1411" t="s">
        <v>78</v>
      </c>
      <c r="AB1411">
        <v>0</v>
      </c>
      <c r="AC1411" t="s">
        <v>78</v>
      </c>
      <c r="AD1411">
        <v>0</v>
      </c>
      <c r="AE1411">
        <v>10538706</v>
      </c>
      <c r="AF1411" t="s">
        <v>88</v>
      </c>
      <c r="AG1411" t="s">
        <v>2837</v>
      </c>
    </row>
    <row r="1412" spans="1:33" x14ac:dyDescent="0.35">
      <c r="A1412" s="18">
        <v>44423.390277777777</v>
      </c>
      <c r="B1412">
        <v>5721576</v>
      </c>
      <c r="C1412" t="s">
        <v>3269</v>
      </c>
      <c r="D1412" t="s">
        <v>550</v>
      </c>
      <c r="E1412" s="19">
        <v>43524</v>
      </c>
      <c r="F1412" t="str">
        <f>"9781527528444"</f>
        <v>9781527528444</v>
      </c>
      <c r="G1412" t="str">
        <f>"9781527527744"</f>
        <v>9781527527744</v>
      </c>
      <c r="H1412" t="s">
        <v>3270</v>
      </c>
      <c r="I1412">
        <v>16.823913999999998</v>
      </c>
      <c r="J1412" t="s">
        <v>3271</v>
      </c>
      <c r="K1412" t="s">
        <v>85</v>
      </c>
      <c r="Q1412" t="s">
        <v>76</v>
      </c>
      <c r="R1412" t="s">
        <v>73</v>
      </c>
      <c r="S1412">
        <v>0</v>
      </c>
      <c r="W1412" s="20">
        <v>4.8611111111111104E-4</v>
      </c>
      <c r="X1412" t="s">
        <v>3272</v>
      </c>
      <c r="Y1412">
        <v>6</v>
      </c>
      <c r="Z1412">
        <v>0</v>
      </c>
      <c r="AA1412" t="s">
        <v>78</v>
      </c>
      <c r="AB1412">
        <v>0</v>
      </c>
      <c r="AC1412" t="s">
        <v>78</v>
      </c>
      <c r="AD1412">
        <v>0</v>
      </c>
      <c r="AE1412">
        <v>-1</v>
      </c>
      <c r="AF1412" t="s">
        <v>79</v>
      </c>
      <c r="AG1412" t="s">
        <v>2889</v>
      </c>
    </row>
    <row r="1413" spans="1:33" x14ac:dyDescent="0.35">
      <c r="A1413" s="18">
        <v>44421.472916666666</v>
      </c>
      <c r="B1413">
        <v>2035697</v>
      </c>
      <c r="C1413" t="s">
        <v>3273</v>
      </c>
      <c r="D1413" t="s">
        <v>1823</v>
      </c>
      <c r="E1413" s="19">
        <v>41986</v>
      </c>
      <c r="F1413" t="str">
        <f>"9781496324672"</f>
        <v>9781496324672</v>
      </c>
      <c r="G1413" t="str">
        <f>"9781451192940"</f>
        <v>9781451192940</v>
      </c>
      <c r="H1413" t="s">
        <v>222</v>
      </c>
      <c r="I1413" t="s">
        <v>3274</v>
      </c>
      <c r="J1413" t="s">
        <v>3275</v>
      </c>
      <c r="K1413" t="s">
        <v>73</v>
      </c>
      <c r="N1413" t="s">
        <v>74</v>
      </c>
      <c r="O1413" t="s">
        <v>75</v>
      </c>
      <c r="P1413" t="s">
        <v>74</v>
      </c>
      <c r="Q1413" t="s">
        <v>76</v>
      </c>
      <c r="R1413" t="s">
        <v>73</v>
      </c>
      <c r="S1413">
        <v>1</v>
      </c>
      <c r="W1413" s="20">
        <v>0</v>
      </c>
      <c r="X1413" t="s">
        <v>132</v>
      </c>
      <c r="Y1413">
        <v>1</v>
      </c>
      <c r="Z1413">
        <v>0</v>
      </c>
      <c r="AA1413" t="s">
        <v>78</v>
      </c>
      <c r="AB1413">
        <v>0</v>
      </c>
      <c r="AC1413" t="s">
        <v>78</v>
      </c>
      <c r="AD1413">
        <v>0</v>
      </c>
      <c r="AE1413">
        <v>11292973</v>
      </c>
      <c r="AF1413" t="s">
        <v>88</v>
      </c>
      <c r="AG1413" t="s">
        <v>3196</v>
      </c>
    </row>
    <row r="1414" spans="1:33" x14ac:dyDescent="0.35">
      <c r="A1414" s="18">
        <v>44421.47152777778</v>
      </c>
      <c r="B1414">
        <v>2035697</v>
      </c>
      <c r="C1414" t="s">
        <v>3273</v>
      </c>
      <c r="D1414" t="s">
        <v>1823</v>
      </c>
      <c r="E1414" s="19">
        <v>41986</v>
      </c>
      <c r="F1414" t="str">
        <f>"9781496324672"</f>
        <v>9781496324672</v>
      </c>
      <c r="G1414" t="str">
        <f>"9781451192940"</f>
        <v>9781451192940</v>
      </c>
      <c r="H1414" t="s">
        <v>222</v>
      </c>
      <c r="I1414" t="s">
        <v>3274</v>
      </c>
      <c r="J1414" t="s">
        <v>3275</v>
      </c>
      <c r="K1414" t="s">
        <v>73</v>
      </c>
      <c r="N1414" t="s">
        <v>74</v>
      </c>
      <c r="O1414" t="s">
        <v>75</v>
      </c>
      <c r="P1414" t="s">
        <v>74</v>
      </c>
      <c r="Q1414" t="s">
        <v>76</v>
      </c>
      <c r="R1414" t="s">
        <v>73</v>
      </c>
      <c r="S1414">
        <v>0</v>
      </c>
      <c r="W1414" s="20">
        <v>1.6782407407407406E-3</v>
      </c>
      <c r="X1414" t="s">
        <v>3276</v>
      </c>
      <c r="Y1414">
        <v>5</v>
      </c>
      <c r="Z1414">
        <v>0</v>
      </c>
      <c r="AA1414" t="s">
        <v>78</v>
      </c>
      <c r="AB1414">
        <v>0</v>
      </c>
      <c r="AC1414" t="s">
        <v>78</v>
      </c>
      <c r="AD1414">
        <v>0</v>
      </c>
      <c r="AE1414">
        <v>11292973</v>
      </c>
      <c r="AF1414" t="s">
        <v>88</v>
      </c>
      <c r="AG1414" t="s">
        <v>3196</v>
      </c>
    </row>
    <row r="1415" spans="1:33" x14ac:dyDescent="0.35">
      <c r="A1415" s="18">
        <v>44421.468055555553</v>
      </c>
      <c r="B1415">
        <v>4876960</v>
      </c>
      <c r="C1415" t="s">
        <v>3277</v>
      </c>
      <c r="D1415" t="s">
        <v>741</v>
      </c>
      <c r="E1415" s="19">
        <v>42004</v>
      </c>
      <c r="F1415" t="str">
        <f>"9781423224167"</f>
        <v>9781423224167</v>
      </c>
      <c r="G1415" t="str">
        <f>"9781423224150"</f>
        <v>9781423224150</v>
      </c>
      <c r="H1415" t="s">
        <v>3278</v>
      </c>
      <c r="I1415">
        <v>611</v>
      </c>
      <c r="J1415" t="s">
        <v>3279</v>
      </c>
      <c r="K1415" t="s">
        <v>73</v>
      </c>
      <c r="N1415" t="s">
        <v>74</v>
      </c>
      <c r="O1415" t="s">
        <v>75</v>
      </c>
      <c r="P1415" t="s">
        <v>74</v>
      </c>
      <c r="Q1415" t="s">
        <v>76</v>
      </c>
      <c r="R1415" t="s">
        <v>73</v>
      </c>
      <c r="S1415">
        <v>1</v>
      </c>
      <c r="W1415" s="20">
        <v>0</v>
      </c>
      <c r="X1415" t="s">
        <v>78</v>
      </c>
      <c r="Y1415">
        <v>0</v>
      </c>
      <c r="Z1415">
        <v>0</v>
      </c>
      <c r="AA1415" t="s">
        <v>78</v>
      </c>
      <c r="AB1415">
        <v>0</v>
      </c>
      <c r="AC1415" t="s">
        <v>78</v>
      </c>
      <c r="AD1415">
        <v>0</v>
      </c>
      <c r="AE1415">
        <v>11397661</v>
      </c>
      <c r="AF1415" t="s">
        <v>88</v>
      </c>
      <c r="AG1415" t="s">
        <v>3196</v>
      </c>
    </row>
    <row r="1416" spans="1:33" x14ac:dyDescent="0.35">
      <c r="A1416" s="18">
        <v>44421.461111111108</v>
      </c>
      <c r="B1416">
        <v>773008</v>
      </c>
      <c r="C1416" t="s">
        <v>3280</v>
      </c>
      <c r="D1416" t="s">
        <v>189</v>
      </c>
      <c r="E1416" s="19">
        <v>37530</v>
      </c>
      <c r="F1416" t="str">
        <f>"9783110221046"</f>
        <v>9783110221046</v>
      </c>
      <c r="G1416" t="str">
        <f>"9783110165616"</f>
        <v>9783110165616</v>
      </c>
      <c r="H1416" t="s">
        <v>3278</v>
      </c>
      <c r="I1416">
        <v>611</v>
      </c>
      <c r="J1416" t="s">
        <v>3281</v>
      </c>
      <c r="K1416" t="s">
        <v>73</v>
      </c>
      <c r="N1416" t="s">
        <v>74</v>
      </c>
      <c r="O1416" t="s">
        <v>75</v>
      </c>
      <c r="P1416" t="s">
        <v>74</v>
      </c>
      <c r="Q1416" t="s">
        <v>76</v>
      </c>
      <c r="R1416" t="s">
        <v>73</v>
      </c>
      <c r="S1416">
        <v>0</v>
      </c>
      <c r="W1416" s="20">
        <v>4.9768518518518521E-3</v>
      </c>
      <c r="X1416" t="s">
        <v>3282</v>
      </c>
      <c r="Y1416">
        <v>18</v>
      </c>
      <c r="Z1416">
        <v>0</v>
      </c>
      <c r="AA1416" t="s">
        <v>78</v>
      </c>
      <c r="AB1416">
        <v>0</v>
      </c>
      <c r="AC1416" t="s">
        <v>78</v>
      </c>
      <c r="AD1416">
        <v>0</v>
      </c>
      <c r="AE1416">
        <v>10498673</v>
      </c>
      <c r="AF1416" t="s">
        <v>88</v>
      </c>
      <c r="AG1416" t="s">
        <v>3196</v>
      </c>
    </row>
    <row r="1417" spans="1:33" x14ac:dyDescent="0.35">
      <c r="A1417" s="18">
        <v>44421.455555555556</v>
      </c>
      <c r="B1417">
        <v>4876966</v>
      </c>
      <c r="C1417" t="s">
        <v>3283</v>
      </c>
      <c r="D1417" t="s">
        <v>741</v>
      </c>
      <c r="E1417" s="19">
        <v>41790</v>
      </c>
      <c r="F1417" t="str">
        <f>"9781423223559"</f>
        <v>9781423223559</v>
      </c>
      <c r="G1417" t="str">
        <f>"9781423223542"</f>
        <v>9781423223542</v>
      </c>
      <c r="H1417" t="s">
        <v>3278</v>
      </c>
      <c r="I1417">
        <v>611.08399999999995</v>
      </c>
      <c r="J1417" t="s">
        <v>3284</v>
      </c>
      <c r="K1417" t="s">
        <v>73</v>
      </c>
      <c r="N1417" t="s">
        <v>74</v>
      </c>
      <c r="O1417" t="s">
        <v>75</v>
      </c>
      <c r="P1417" t="s">
        <v>74</v>
      </c>
      <c r="Q1417" t="s">
        <v>76</v>
      </c>
      <c r="R1417" t="s">
        <v>73</v>
      </c>
      <c r="S1417">
        <v>1</v>
      </c>
      <c r="W1417" s="20">
        <v>0</v>
      </c>
      <c r="X1417" t="s">
        <v>78</v>
      </c>
      <c r="Y1417">
        <v>0</v>
      </c>
      <c r="Z1417">
        <v>0</v>
      </c>
      <c r="AA1417" t="s">
        <v>78</v>
      </c>
      <c r="AB1417">
        <v>0</v>
      </c>
      <c r="AC1417" t="s">
        <v>78</v>
      </c>
      <c r="AD1417">
        <v>0</v>
      </c>
      <c r="AE1417">
        <v>11397667</v>
      </c>
      <c r="AF1417" t="s">
        <v>88</v>
      </c>
      <c r="AG1417" t="s">
        <v>3196</v>
      </c>
    </row>
    <row r="1418" spans="1:33" x14ac:dyDescent="0.35">
      <c r="A1418" s="18">
        <v>44421.351388888892</v>
      </c>
      <c r="B1418">
        <v>530043</v>
      </c>
      <c r="C1418" t="s">
        <v>3193</v>
      </c>
      <c r="D1418" t="s">
        <v>70</v>
      </c>
      <c r="E1418" s="19">
        <v>40315</v>
      </c>
      <c r="F1418" t="str">
        <f>"9780470710340"</f>
        <v>9780470710340</v>
      </c>
      <c r="G1418" t="str">
        <f>"9780470741849"</f>
        <v>9780470741849</v>
      </c>
      <c r="H1418" t="s">
        <v>149</v>
      </c>
      <c r="I1418">
        <v>572.82929999999999</v>
      </c>
      <c r="J1418" t="s">
        <v>3194</v>
      </c>
      <c r="K1418" t="s">
        <v>85</v>
      </c>
      <c r="N1418" t="s">
        <v>86</v>
      </c>
      <c r="P1418" t="s">
        <v>87</v>
      </c>
      <c r="Q1418" t="s">
        <v>76</v>
      </c>
      <c r="R1418" t="s">
        <v>73</v>
      </c>
      <c r="S1418">
        <v>0</v>
      </c>
      <c r="W1418" s="20">
        <v>8.2175925925925917E-4</v>
      </c>
      <c r="X1418" t="s">
        <v>3285</v>
      </c>
      <c r="Y1418">
        <v>4</v>
      </c>
      <c r="Z1418">
        <v>0</v>
      </c>
      <c r="AA1418" t="s">
        <v>78</v>
      </c>
      <c r="AB1418">
        <v>0</v>
      </c>
      <c r="AC1418" t="s">
        <v>78</v>
      </c>
      <c r="AD1418">
        <v>0</v>
      </c>
      <c r="AE1418">
        <v>10385874</v>
      </c>
      <c r="AF1418" t="s">
        <v>79</v>
      </c>
      <c r="AG1418" t="s">
        <v>3286</v>
      </c>
    </row>
    <row r="1419" spans="1:33" x14ac:dyDescent="0.35">
      <c r="A1419" s="18">
        <v>44420.79583333333</v>
      </c>
      <c r="B1419">
        <v>5183752</v>
      </c>
      <c r="C1419" t="s">
        <v>3287</v>
      </c>
      <c r="D1419" t="s">
        <v>3089</v>
      </c>
      <c r="E1419" s="19">
        <v>43045</v>
      </c>
      <c r="F1419" t="str">
        <f>"9781683921462"</f>
        <v>9781683921462</v>
      </c>
      <c r="G1419" t="str">
        <f>""</f>
        <v/>
      </c>
      <c r="H1419" t="s">
        <v>3288</v>
      </c>
      <c r="I1419">
        <v>536.70000000000005</v>
      </c>
      <c r="J1419" t="s">
        <v>3289</v>
      </c>
      <c r="K1419" t="s">
        <v>73</v>
      </c>
      <c r="N1419" t="s">
        <v>74</v>
      </c>
      <c r="O1419" t="s">
        <v>75</v>
      </c>
      <c r="P1419" t="s">
        <v>74</v>
      </c>
      <c r="Q1419" t="s">
        <v>76</v>
      </c>
      <c r="R1419" t="s">
        <v>73</v>
      </c>
      <c r="S1419">
        <v>0</v>
      </c>
      <c r="W1419" s="20">
        <v>2.5462962962962961E-4</v>
      </c>
      <c r="X1419" t="s">
        <v>3290</v>
      </c>
      <c r="Y1419">
        <v>5</v>
      </c>
      <c r="Z1419">
        <v>0</v>
      </c>
      <c r="AA1419" t="s">
        <v>78</v>
      </c>
      <c r="AB1419">
        <v>0</v>
      </c>
      <c r="AC1419" t="s">
        <v>78</v>
      </c>
      <c r="AD1419">
        <v>0</v>
      </c>
      <c r="AE1419">
        <v>11480875</v>
      </c>
      <c r="AF1419" t="s">
        <v>79</v>
      </c>
      <c r="AG1419" t="s">
        <v>3291</v>
      </c>
    </row>
    <row r="1420" spans="1:33" x14ac:dyDescent="0.35">
      <c r="A1420" s="18">
        <v>44419.910416666666</v>
      </c>
      <c r="B1420">
        <v>5264862</v>
      </c>
      <c r="C1420" t="s">
        <v>3292</v>
      </c>
      <c r="D1420" t="s">
        <v>3293</v>
      </c>
      <c r="E1420" s="19">
        <v>41565</v>
      </c>
      <c r="F1420" t="str">
        <f>"9781604067323"</f>
        <v>9781604067323</v>
      </c>
      <c r="G1420" t="str">
        <f>"9781604067309"</f>
        <v>9781604067309</v>
      </c>
      <c r="H1420" t="s">
        <v>222</v>
      </c>
      <c r="I1420">
        <v>616.13</v>
      </c>
      <c r="J1420" t="s">
        <v>3294</v>
      </c>
      <c r="K1420" t="s">
        <v>73</v>
      </c>
      <c r="N1420" t="s">
        <v>74</v>
      </c>
      <c r="O1420" t="s">
        <v>75</v>
      </c>
      <c r="P1420" t="s">
        <v>74</v>
      </c>
      <c r="Q1420" t="s">
        <v>76</v>
      </c>
      <c r="R1420" t="s">
        <v>73</v>
      </c>
      <c r="S1420">
        <v>0</v>
      </c>
      <c r="W1420" s="20">
        <v>3.8657407407407408E-3</v>
      </c>
      <c r="X1420" t="s">
        <v>3295</v>
      </c>
      <c r="Y1420">
        <v>3</v>
      </c>
      <c r="Z1420">
        <v>0</v>
      </c>
      <c r="AA1420" t="s">
        <v>78</v>
      </c>
      <c r="AB1420">
        <v>0</v>
      </c>
      <c r="AC1420" t="s">
        <v>78</v>
      </c>
      <c r="AD1420">
        <v>0</v>
      </c>
      <c r="AE1420">
        <v>11509883</v>
      </c>
      <c r="AF1420" t="s">
        <v>79</v>
      </c>
      <c r="AG1420" t="s">
        <v>3296</v>
      </c>
    </row>
    <row r="1421" spans="1:33" x14ac:dyDescent="0.35">
      <c r="A1421" s="18">
        <v>44419.629861111112</v>
      </c>
      <c r="B1421">
        <v>4853304</v>
      </c>
      <c r="C1421" t="s">
        <v>3297</v>
      </c>
      <c r="D1421" t="s">
        <v>3298</v>
      </c>
      <c r="E1421" s="19">
        <v>42353</v>
      </c>
      <c r="F1421" t="str">
        <f>"9789201187192"</f>
        <v>9789201187192</v>
      </c>
      <c r="G1421" t="str">
        <f>"9789201032157"</f>
        <v>9789201032157</v>
      </c>
      <c r="H1421" t="s">
        <v>3299</v>
      </c>
      <c r="I1421">
        <v>363.17989999999901</v>
      </c>
      <c r="J1421" t="s">
        <v>3300</v>
      </c>
      <c r="K1421" t="s">
        <v>73</v>
      </c>
      <c r="N1421" t="s">
        <v>74</v>
      </c>
      <c r="O1421" t="s">
        <v>75</v>
      </c>
      <c r="P1421" t="s">
        <v>74</v>
      </c>
      <c r="Q1421" t="s">
        <v>76</v>
      </c>
      <c r="R1421" t="s">
        <v>73</v>
      </c>
      <c r="S1421">
        <v>0</v>
      </c>
      <c r="W1421" s="20">
        <v>1.3078703703703705E-3</v>
      </c>
      <c r="X1421" t="s">
        <v>404</v>
      </c>
      <c r="Y1421">
        <v>9</v>
      </c>
      <c r="Z1421">
        <v>0</v>
      </c>
      <c r="AA1421" t="s">
        <v>78</v>
      </c>
      <c r="AB1421">
        <v>0</v>
      </c>
      <c r="AC1421" t="s">
        <v>78</v>
      </c>
      <c r="AD1421">
        <v>0</v>
      </c>
      <c r="AE1421">
        <v>11384227</v>
      </c>
      <c r="AF1421" t="s">
        <v>79</v>
      </c>
      <c r="AG1421" t="s">
        <v>3260</v>
      </c>
    </row>
    <row r="1422" spans="1:33" x14ac:dyDescent="0.35">
      <c r="A1422" s="18">
        <v>44418.593055555553</v>
      </c>
      <c r="B1422">
        <v>425614</v>
      </c>
      <c r="C1422" t="s">
        <v>3301</v>
      </c>
      <c r="D1422" t="s">
        <v>127</v>
      </c>
      <c r="E1422" s="19">
        <v>39931</v>
      </c>
      <c r="F1422" t="str">
        <f>"9780203879696"</f>
        <v>9780203879696</v>
      </c>
      <c r="G1422" t="str">
        <f>"9780415445009"</f>
        <v>9780415445009</v>
      </c>
      <c r="H1422" t="s">
        <v>3302</v>
      </c>
      <c r="I1422" t="s">
        <v>3303</v>
      </c>
      <c r="J1422" t="s">
        <v>3304</v>
      </c>
      <c r="K1422" t="s">
        <v>73</v>
      </c>
      <c r="N1422" t="s">
        <v>74</v>
      </c>
      <c r="O1422" t="s">
        <v>75</v>
      </c>
      <c r="P1422" t="s">
        <v>74</v>
      </c>
      <c r="Q1422" t="s">
        <v>76</v>
      </c>
      <c r="R1422" t="s">
        <v>73</v>
      </c>
      <c r="S1422">
        <v>0</v>
      </c>
      <c r="W1422" s="20">
        <v>3.1250000000000001E-4</v>
      </c>
      <c r="X1422" t="s">
        <v>3305</v>
      </c>
      <c r="Y1422">
        <v>9</v>
      </c>
      <c r="Z1422">
        <v>0</v>
      </c>
      <c r="AA1422" t="s">
        <v>78</v>
      </c>
      <c r="AB1422">
        <v>0</v>
      </c>
      <c r="AC1422" t="s">
        <v>78</v>
      </c>
      <c r="AD1422">
        <v>0</v>
      </c>
      <c r="AE1422">
        <v>10289074</v>
      </c>
      <c r="AF1422" t="s">
        <v>79</v>
      </c>
      <c r="AG1422" t="s">
        <v>2837</v>
      </c>
    </row>
    <row r="1423" spans="1:33" x14ac:dyDescent="0.35">
      <c r="A1423" s="18">
        <v>44417.499305555553</v>
      </c>
      <c r="B1423">
        <v>4767314</v>
      </c>
      <c r="C1423" t="s">
        <v>3306</v>
      </c>
      <c r="D1423" t="s">
        <v>127</v>
      </c>
      <c r="E1423" s="19">
        <v>42713</v>
      </c>
      <c r="F1423" t="str">
        <f>"9781317214342"</f>
        <v>9781317214342</v>
      </c>
      <c r="G1423" t="str">
        <f>"9781138665972"</f>
        <v>9781138665972</v>
      </c>
      <c r="H1423" t="s">
        <v>2472</v>
      </c>
      <c r="I1423">
        <v>327.536</v>
      </c>
      <c r="J1423" t="s">
        <v>3307</v>
      </c>
      <c r="K1423" t="s">
        <v>85</v>
      </c>
      <c r="N1423" t="s">
        <v>86</v>
      </c>
      <c r="P1423" t="s">
        <v>87</v>
      </c>
      <c r="Q1423" t="s">
        <v>76</v>
      </c>
      <c r="R1423" t="s">
        <v>73</v>
      </c>
      <c r="S1423">
        <v>0</v>
      </c>
      <c r="W1423" s="20">
        <v>2.4768518518518516E-3</v>
      </c>
      <c r="X1423" t="s">
        <v>3308</v>
      </c>
      <c r="Y1423">
        <v>9</v>
      </c>
      <c r="Z1423">
        <v>0</v>
      </c>
      <c r="AA1423" t="s">
        <v>78</v>
      </c>
      <c r="AB1423">
        <v>0</v>
      </c>
      <c r="AC1423" t="s">
        <v>78</v>
      </c>
      <c r="AD1423">
        <v>0</v>
      </c>
      <c r="AE1423">
        <v>11316295</v>
      </c>
      <c r="AF1423" t="s">
        <v>79</v>
      </c>
      <c r="AG1423" t="s">
        <v>3309</v>
      </c>
    </row>
    <row r="1424" spans="1:33" x14ac:dyDescent="0.35">
      <c r="A1424" s="18">
        <v>44417.457638888889</v>
      </c>
      <c r="B1424">
        <v>3386305</v>
      </c>
      <c r="C1424" t="s">
        <v>3310</v>
      </c>
      <c r="D1424" t="s">
        <v>3311</v>
      </c>
      <c r="E1424" s="19">
        <v>40305</v>
      </c>
      <c r="F1424" t="str">
        <f>"9781849645621"</f>
        <v>9781849645621</v>
      </c>
      <c r="G1424" t="str">
        <f>"9780745330082"</f>
        <v>9780745330082</v>
      </c>
      <c r="H1424" t="s">
        <v>968</v>
      </c>
      <c r="I1424">
        <v>330.12200000000001</v>
      </c>
      <c r="J1424" t="s">
        <v>3312</v>
      </c>
      <c r="K1424" t="s">
        <v>73</v>
      </c>
      <c r="N1424" t="s">
        <v>74</v>
      </c>
      <c r="O1424" t="s">
        <v>75</v>
      </c>
      <c r="P1424" t="s">
        <v>74</v>
      </c>
      <c r="Q1424" t="s">
        <v>76</v>
      </c>
      <c r="R1424" t="s">
        <v>73</v>
      </c>
      <c r="S1424">
        <v>0</v>
      </c>
      <c r="W1424" s="20">
        <v>9.2592592592592588E-5</v>
      </c>
      <c r="X1424" t="s">
        <v>360</v>
      </c>
      <c r="Y1424">
        <v>2</v>
      </c>
      <c r="Z1424">
        <v>0</v>
      </c>
      <c r="AA1424" t="s">
        <v>78</v>
      </c>
      <c r="AB1424">
        <v>0</v>
      </c>
      <c r="AC1424" t="s">
        <v>78</v>
      </c>
      <c r="AD1424">
        <v>0</v>
      </c>
      <c r="AE1424">
        <v>10479834</v>
      </c>
      <c r="AF1424" t="s">
        <v>79</v>
      </c>
      <c r="AG1424" t="s">
        <v>2837</v>
      </c>
    </row>
    <row r="1425" spans="1:33" x14ac:dyDescent="0.35">
      <c r="A1425" s="18">
        <v>44417.361805555556</v>
      </c>
      <c r="B1425">
        <v>6417005</v>
      </c>
      <c r="C1425" t="s">
        <v>3313</v>
      </c>
      <c r="D1425" t="s">
        <v>827</v>
      </c>
      <c r="E1425" s="19">
        <v>44222</v>
      </c>
      <c r="F1425" t="str">
        <f>"9780300256123"</f>
        <v>9780300256123</v>
      </c>
      <c r="G1425" t="str">
        <f>"9780300242799"</f>
        <v>9780300242799</v>
      </c>
      <c r="H1425" t="s">
        <v>115</v>
      </c>
      <c r="I1425" t="s">
        <v>3314</v>
      </c>
      <c r="J1425" t="s">
        <v>3315</v>
      </c>
      <c r="K1425" t="s">
        <v>85</v>
      </c>
      <c r="Q1425" t="s">
        <v>76</v>
      </c>
      <c r="R1425" t="s">
        <v>73</v>
      </c>
      <c r="S1425">
        <v>0</v>
      </c>
      <c r="W1425" s="20">
        <v>4.1435185185185186E-3</v>
      </c>
      <c r="X1425" t="s">
        <v>3316</v>
      </c>
      <c r="Y1425">
        <v>24</v>
      </c>
      <c r="Z1425">
        <v>0</v>
      </c>
      <c r="AA1425" t="s">
        <v>78</v>
      </c>
      <c r="AB1425">
        <v>0</v>
      </c>
      <c r="AC1425" t="s">
        <v>78</v>
      </c>
      <c r="AD1425">
        <v>0</v>
      </c>
      <c r="AE1425">
        <v>-1</v>
      </c>
      <c r="AF1425" t="s">
        <v>79</v>
      </c>
      <c r="AG1425" t="s">
        <v>2837</v>
      </c>
    </row>
    <row r="1426" spans="1:33" x14ac:dyDescent="0.35">
      <c r="A1426" s="18">
        <v>44416.981249999997</v>
      </c>
      <c r="B1426">
        <v>1185311</v>
      </c>
      <c r="C1426" t="s">
        <v>3317</v>
      </c>
      <c r="D1426" t="s">
        <v>1637</v>
      </c>
      <c r="E1426" s="19">
        <v>40729</v>
      </c>
      <c r="F1426" t="str">
        <f>"9781849732963"</f>
        <v>9781849732963</v>
      </c>
      <c r="G1426" t="str">
        <f>"9781849731324"</f>
        <v>9781849731324</v>
      </c>
      <c r="H1426" t="s">
        <v>848</v>
      </c>
      <c r="I1426">
        <v>543</v>
      </c>
      <c r="J1426" t="s">
        <v>3318</v>
      </c>
      <c r="K1426" t="s">
        <v>73</v>
      </c>
      <c r="N1426" t="s">
        <v>74</v>
      </c>
      <c r="O1426" t="s">
        <v>75</v>
      </c>
      <c r="P1426" t="s">
        <v>74</v>
      </c>
      <c r="Q1426" t="s">
        <v>76</v>
      </c>
      <c r="R1426" t="s">
        <v>73</v>
      </c>
      <c r="S1426">
        <v>0</v>
      </c>
      <c r="W1426" s="20">
        <v>1.273148148148148E-4</v>
      </c>
      <c r="X1426" t="s">
        <v>639</v>
      </c>
      <c r="Y1426">
        <v>3</v>
      </c>
      <c r="Z1426">
        <v>0</v>
      </c>
      <c r="AA1426" t="s">
        <v>78</v>
      </c>
      <c r="AB1426">
        <v>0</v>
      </c>
      <c r="AC1426" t="s">
        <v>78</v>
      </c>
      <c r="AD1426">
        <v>0</v>
      </c>
      <c r="AE1426">
        <v>10627721</v>
      </c>
      <c r="AF1426" t="s">
        <v>79</v>
      </c>
      <c r="AG1426" t="s">
        <v>2837</v>
      </c>
    </row>
    <row r="1427" spans="1:33" x14ac:dyDescent="0.35">
      <c r="A1427" s="18">
        <v>44416.460416666669</v>
      </c>
      <c r="B1427">
        <v>1681469</v>
      </c>
      <c r="C1427" t="s">
        <v>3319</v>
      </c>
      <c r="D1427" t="s">
        <v>239</v>
      </c>
      <c r="E1427" s="19">
        <v>37011</v>
      </c>
      <c r="F1427" t="str">
        <f>"9789812810298"</f>
        <v>9789812810298</v>
      </c>
      <c r="G1427" t="str">
        <f>"9789810245214"</f>
        <v>9789810245214</v>
      </c>
      <c r="H1427" t="s">
        <v>3320</v>
      </c>
      <c r="I1427">
        <v>530.15</v>
      </c>
      <c r="J1427" t="s">
        <v>3321</v>
      </c>
      <c r="K1427" t="s">
        <v>73</v>
      </c>
      <c r="N1427" t="s">
        <v>74</v>
      </c>
      <c r="O1427" t="s">
        <v>75</v>
      </c>
      <c r="P1427" t="s">
        <v>74</v>
      </c>
      <c r="Q1427" t="s">
        <v>76</v>
      </c>
      <c r="R1427" t="s">
        <v>73</v>
      </c>
      <c r="S1427">
        <v>1</v>
      </c>
      <c r="W1427" s="20">
        <v>0</v>
      </c>
      <c r="X1427" t="s">
        <v>78</v>
      </c>
      <c r="Y1427">
        <v>0</v>
      </c>
      <c r="Z1427">
        <v>0</v>
      </c>
      <c r="AA1427" t="s">
        <v>78</v>
      </c>
      <c r="AB1427">
        <v>0</v>
      </c>
      <c r="AC1427" t="s">
        <v>78</v>
      </c>
      <c r="AD1427">
        <v>0</v>
      </c>
      <c r="AE1427">
        <v>10255910</v>
      </c>
      <c r="AF1427" t="s">
        <v>88</v>
      </c>
      <c r="AG1427" t="s">
        <v>2837</v>
      </c>
    </row>
    <row r="1428" spans="1:33" x14ac:dyDescent="0.35">
      <c r="A1428" s="18">
        <v>44416.445833333331</v>
      </c>
      <c r="B1428">
        <v>1681469</v>
      </c>
      <c r="C1428" t="s">
        <v>3319</v>
      </c>
      <c r="D1428" t="s">
        <v>239</v>
      </c>
      <c r="E1428" s="19">
        <v>37011</v>
      </c>
      <c r="F1428" t="str">
        <f>"9789812810298"</f>
        <v>9789812810298</v>
      </c>
      <c r="G1428" t="str">
        <f>"9789810245214"</f>
        <v>9789810245214</v>
      </c>
      <c r="H1428" t="s">
        <v>3320</v>
      </c>
      <c r="I1428">
        <v>530.15</v>
      </c>
      <c r="J1428" t="s">
        <v>3321</v>
      </c>
      <c r="K1428" t="s">
        <v>73</v>
      </c>
      <c r="N1428" t="s">
        <v>74</v>
      </c>
      <c r="O1428" t="s">
        <v>75</v>
      </c>
      <c r="P1428" t="s">
        <v>74</v>
      </c>
      <c r="Q1428" t="s">
        <v>76</v>
      </c>
      <c r="R1428" t="s">
        <v>73</v>
      </c>
      <c r="S1428">
        <v>1</v>
      </c>
      <c r="W1428" s="20">
        <v>0</v>
      </c>
      <c r="X1428" t="s">
        <v>78</v>
      </c>
      <c r="Y1428">
        <v>0</v>
      </c>
      <c r="Z1428">
        <v>0</v>
      </c>
      <c r="AA1428" t="s">
        <v>78</v>
      </c>
      <c r="AB1428">
        <v>0</v>
      </c>
      <c r="AC1428" t="s">
        <v>78</v>
      </c>
      <c r="AD1428">
        <v>0</v>
      </c>
      <c r="AE1428">
        <v>10255910</v>
      </c>
      <c r="AF1428" t="s">
        <v>88</v>
      </c>
      <c r="AG1428" t="s">
        <v>2837</v>
      </c>
    </row>
    <row r="1429" spans="1:33" x14ac:dyDescent="0.35">
      <c r="A1429" s="18">
        <v>44416.428472222222</v>
      </c>
      <c r="B1429">
        <v>6546221</v>
      </c>
      <c r="C1429" t="s">
        <v>178</v>
      </c>
      <c r="D1429" t="s">
        <v>158</v>
      </c>
      <c r="E1429" s="19">
        <v>44299</v>
      </c>
      <c r="F1429" t="str">
        <f>"9780128219300"</f>
        <v>9780128219300</v>
      </c>
      <c r="G1429" t="str">
        <f>"9780128219294"</f>
        <v>9780128219294</v>
      </c>
      <c r="H1429" t="s">
        <v>179</v>
      </c>
      <c r="I1429">
        <v>622.33802856310001</v>
      </c>
      <c r="J1429" t="s">
        <v>180</v>
      </c>
      <c r="K1429" t="s">
        <v>85</v>
      </c>
      <c r="N1429" t="s">
        <v>86</v>
      </c>
      <c r="P1429" t="s">
        <v>87</v>
      </c>
      <c r="Q1429" t="s">
        <v>76</v>
      </c>
      <c r="R1429" t="s">
        <v>73</v>
      </c>
      <c r="S1429">
        <v>1</v>
      </c>
      <c r="T1429">
        <v>1</v>
      </c>
      <c r="U1429" s="18">
        <v>44416.428472222222</v>
      </c>
      <c r="V1429" s="18">
        <v>44417.428472222222</v>
      </c>
      <c r="W1429" s="20">
        <v>5.208333333333333E-3</v>
      </c>
      <c r="X1429" t="s">
        <v>3322</v>
      </c>
      <c r="Y1429">
        <v>19</v>
      </c>
      <c r="Z1429">
        <v>0</v>
      </c>
      <c r="AA1429" t="s">
        <v>3323</v>
      </c>
      <c r="AB1429">
        <v>4</v>
      </c>
      <c r="AC1429" t="s">
        <v>78</v>
      </c>
      <c r="AD1429">
        <v>0</v>
      </c>
      <c r="AE1429">
        <v>-1</v>
      </c>
      <c r="AF1429" t="s">
        <v>88</v>
      </c>
      <c r="AG1429" t="s">
        <v>3324</v>
      </c>
    </row>
    <row r="1430" spans="1:33" x14ac:dyDescent="0.35">
      <c r="A1430" s="18">
        <v>44415.75</v>
      </c>
      <c r="B1430">
        <v>5475444</v>
      </c>
      <c r="C1430" t="s">
        <v>3325</v>
      </c>
      <c r="D1430" t="s">
        <v>127</v>
      </c>
      <c r="E1430" s="19">
        <v>42908</v>
      </c>
      <c r="F1430" t="str">
        <f>"9781466595170"</f>
        <v>9781466595170</v>
      </c>
      <c r="G1430" t="str">
        <f>"9781466595163"</f>
        <v>9781466595163</v>
      </c>
      <c r="H1430" t="s">
        <v>1088</v>
      </c>
      <c r="I1430" t="s">
        <v>3326</v>
      </c>
      <c r="J1430" t="s">
        <v>3327</v>
      </c>
      <c r="K1430" t="s">
        <v>73</v>
      </c>
      <c r="N1430" t="s">
        <v>74</v>
      </c>
      <c r="O1430" t="s">
        <v>75</v>
      </c>
      <c r="P1430" t="s">
        <v>74</v>
      </c>
      <c r="Q1430" t="s">
        <v>76</v>
      </c>
      <c r="R1430" t="s">
        <v>73</v>
      </c>
      <c r="S1430">
        <v>1</v>
      </c>
      <c r="W1430" s="20">
        <v>1.6203703703703703E-4</v>
      </c>
      <c r="X1430" t="s">
        <v>132</v>
      </c>
      <c r="Y1430">
        <v>1</v>
      </c>
      <c r="Z1430">
        <v>0</v>
      </c>
      <c r="AA1430" t="s">
        <v>78</v>
      </c>
      <c r="AB1430">
        <v>0</v>
      </c>
      <c r="AC1430" t="s">
        <v>78</v>
      </c>
      <c r="AD1430">
        <v>0</v>
      </c>
      <c r="AE1430">
        <v>11595450</v>
      </c>
      <c r="AF1430" t="s">
        <v>88</v>
      </c>
      <c r="AG1430" t="s">
        <v>2837</v>
      </c>
    </row>
    <row r="1431" spans="1:33" x14ac:dyDescent="0.35">
      <c r="A1431" s="18">
        <v>44415.671527777777</v>
      </c>
      <c r="B1431">
        <v>3239531</v>
      </c>
      <c r="C1431" t="s">
        <v>3328</v>
      </c>
      <c r="D1431" t="s">
        <v>3329</v>
      </c>
      <c r="E1431" s="19">
        <v>40422</v>
      </c>
      <c r="F1431" t="str">
        <f>"9780823233786"</f>
        <v>9780823233786</v>
      </c>
      <c r="G1431" t="str">
        <f>"9780823233762"</f>
        <v>9780823233762</v>
      </c>
      <c r="H1431" t="s">
        <v>528</v>
      </c>
      <c r="I1431">
        <v>193</v>
      </c>
      <c r="J1431" t="s">
        <v>3330</v>
      </c>
      <c r="K1431" t="s">
        <v>73</v>
      </c>
      <c r="N1431" t="s">
        <v>74</v>
      </c>
      <c r="O1431" t="s">
        <v>75</v>
      </c>
      <c r="P1431" t="s">
        <v>74</v>
      </c>
      <c r="Q1431" t="s">
        <v>76</v>
      </c>
      <c r="R1431" t="s">
        <v>73</v>
      </c>
      <c r="S1431">
        <v>1</v>
      </c>
      <c r="W1431" s="20">
        <v>1.1574074074074073E-5</v>
      </c>
      <c r="X1431" t="s">
        <v>78</v>
      </c>
      <c r="Y1431">
        <v>0</v>
      </c>
      <c r="Z1431">
        <v>0</v>
      </c>
      <c r="AA1431" t="s">
        <v>78</v>
      </c>
      <c r="AB1431">
        <v>0</v>
      </c>
      <c r="AC1431" t="s">
        <v>78</v>
      </c>
      <c r="AD1431">
        <v>0</v>
      </c>
      <c r="AE1431">
        <v>10420274</v>
      </c>
      <c r="AF1431" t="s">
        <v>88</v>
      </c>
      <c r="AG1431" t="s">
        <v>3178</v>
      </c>
    </row>
    <row r="1432" spans="1:33" x14ac:dyDescent="0.35">
      <c r="A1432" s="18">
        <v>44414.429166666669</v>
      </c>
      <c r="B1432">
        <v>3339806</v>
      </c>
      <c r="C1432" t="s">
        <v>3331</v>
      </c>
      <c r="D1432" t="s">
        <v>300</v>
      </c>
      <c r="E1432" s="19">
        <v>41754</v>
      </c>
      <c r="F1432" t="str">
        <f>"9780262323253"</f>
        <v>9780262323253</v>
      </c>
      <c r="G1432" t="str">
        <f>"9780262027380"</f>
        <v>9780262027380</v>
      </c>
      <c r="H1432" t="s">
        <v>1179</v>
      </c>
      <c r="I1432" t="s">
        <v>3332</v>
      </c>
      <c r="J1432" t="s">
        <v>3333</v>
      </c>
      <c r="K1432" t="s">
        <v>73</v>
      </c>
      <c r="N1432" t="s">
        <v>74</v>
      </c>
      <c r="O1432" t="s">
        <v>75</v>
      </c>
      <c r="P1432" t="s">
        <v>74</v>
      </c>
      <c r="Q1432" t="s">
        <v>76</v>
      </c>
      <c r="R1432" t="s">
        <v>73</v>
      </c>
      <c r="S1432">
        <v>0</v>
      </c>
      <c r="W1432" s="20">
        <v>1.5891203703703703E-2</v>
      </c>
      <c r="X1432" t="s">
        <v>3334</v>
      </c>
      <c r="Y1432">
        <v>20</v>
      </c>
      <c r="Z1432">
        <v>0</v>
      </c>
      <c r="AA1432" t="s">
        <v>78</v>
      </c>
      <c r="AB1432">
        <v>0</v>
      </c>
      <c r="AC1432" t="s">
        <v>78</v>
      </c>
      <c r="AD1432">
        <v>0</v>
      </c>
      <c r="AE1432">
        <v>10869356</v>
      </c>
      <c r="AF1432" t="s">
        <v>79</v>
      </c>
      <c r="AG1432" t="s">
        <v>2837</v>
      </c>
    </row>
    <row r="1433" spans="1:33" x14ac:dyDescent="0.35">
      <c r="A1433" s="18">
        <v>44413.557638888888</v>
      </c>
      <c r="B1433">
        <v>3239531</v>
      </c>
      <c r="C1433" t="s">
        <v>3328</v>
      </c>
      <c r="D1433" t="s">
        <v>3329</v>
      </c>
      <c r="E1433" s="19">
        <v>40422</v>
      </c>
      <c r="F1433" t="str">
        <f>"9780823233786"</f>
        <v>9780823233786</v>
      </c>
      <c r="G1433" t="str">
        <f>"9780823233762"</f>
        <v>9780823233762</v>
      </c>
      <c r="H1433" t="s">
        <v>528</v>
      </c>
      <c r="I1433">
        <v>193</v>
      </c>
      <c r="J1433" t="s">
        <v>3330</v>
      </c>
      <c r="K1433" t="s">
        <v>73</v>
      </c>
      <c r="N1433" t="s">
        <v>74</v>
      </c>
      <c r="O1433" t="s">
        <v>75</v>
      </c>
      <c r="P1433" t="s">
        <v>74</v>
      </c>
      <c r="Q1433" t="s">
        <v>76</v>
      </c>
      <c r="R1433" t="s">
        <v>73</v>
      </c>
      <c r="S1433">
        <v>0</v>
      </c>
      <c r="W1433" s="20">
        <v>0.10994212962962963</v>
      </c>
      <c r="X1433" t="s">
        <v>3335</v>
      </c>
      <c r="Y1433">
        <v>75</v>
      </c>
      <c r="Z1433">
        <v>0</v>
      </c>
      <c r="AA1433" t="s">
        <v>78</v>
      </c>
      <c r="AB1433">
        <v>0</v>
      </c>
      <c r="AC1433" t="s">
        <v>78</v>
      </c>
      <c r="AD1433">
        <v>0</v>
      </c>
      <c r="AE1433">
        <v>10420274</v>
      </c>
      <c r="AF1433" t="s">
        <v>79</v>
      </c>
      <c r="AG1433" t="s">
        <v>2837</v>
      </c>
    </row>
    <row r="1434" spans="1:33" x14ac:dyDescent="0.35">
      <c r="A1434" s="18">
        <v>44413.498611111114</v>
      </c>
      <c r="B1434">
        <v>5926035</v>
      </c>
      <c r="C1434" t="s">
        <v>3336</v>
      </c>
      <c r="D1434" t="s">
        <v>369</v>
      </c>
      <c r="E1434" s="19">
        <v>43651</v>
      </c>
      <c r="F1434" t="str">
        <f>"9783030229689"</f>
        <v>9783030229689</v>
      </c>
      <c r="G1434" t="str">
        <f>"9783030229672"</f>
        <v>9783030229672</v>
      </c>
      <c r="H1434" t="s">
        <v>110</v>
      </c>
      <c r="I1434">
        <v>6.3</v>
      </c>
      <c r="J1434" t="s">
        <v>2113</v>
      </c>
      <c r="K1434" t="s">
        <v>85</v>
      </c>
      <c r="Q1434" t="s">
        <v>76</v>
      </c>
      <c r="R1434" t="s">
        <v>73</v>
      </c>
      <c r="S1434">
        <v>0</v>
      </c>
      <c r="W1434" s="20">
        <v>4.8611111111111104E-4</v>
      </c>
      <c r="X1434" t="s">
        <v>3337</v>
      </c>
      <c r="Y1434">
        <v>3</v>
      </c>
      <c r="Z1434">
        <v>0</v>
      </c>
      <c r="AA1434" t="s">
        <v>78</v>
      </c>
      <c r="AB1434">
        <v>0</v>
      </c>
      <c r="AC1434" t="s">
        <v>78</v>
      </c>
      <c r="AD1434">
        <v>0</v>
      </c>
      <c r="AE1434">
        <v>-1</v>
      </c>
      <c r="AF1434" t="s">
        <v>88</v>
      </c>
      <c r="AG1434" t="s">
        <v>2837</v>
      </c>
    </row>
    <row r="1435" spans="1:33" x14ac:dyDescent="0.35">
      <c r="A1435" s="18">
        <v>44413.494444444441</v>
      </c>
      <c r="B1435">
        <v>6630776</v>
      </c>
      <c r="C1435" t="s">
        <v>3338</v>
      </c>
      <c r="D1435" t="s">
        <v>127</v>
      </c>
      <c r="E1435" s="19">
        <v>44440</v>
      </c>
      <c r="F1435" t="str">
        <f>"9781000387216"</f>
        <v>9781000387216</v>
      </c>
      <c r="G1435" t="str">
        <f>"9780367260729"</f>
        <v>9780367260729</v>
      </c>
      <c r="H1435" t="s">
        <v>3339</v>
      </c>
      <c r="I1435" t="s">
        <v>3340</v>
      </c>
      <c r="K1435" t="s">
        <v>85</v>
      </c>
      <c r="N1435" t="s">
        <v>86</v>
      </c>
      <c r="P1435" t="s">
        <v>87</v>
      </c>
      <c r="Q1435" t="s">
        <v>76</v>
      </c>
      <c r="R1435" t="s">
        <v>73</v>
      </c>
      <c r="S1435">
        <v>0</v>
      </c>
      <c r="W1435" s="20">
        <v>1.0416666666666667E-4</v>
      </c>
      <c r="X1435" t="s">
        <v>1492</v>
      </c>
      <c r="Y1435">
        <v>2</v>
      </c>
      <c r="Z1435">
        <v>0</v>
      </c>
      <c r="AA1435" t="s">
        <v>78</v>
      </c>
      <c r="AB1435">
        <v>0</v>
      </c>
      <c r="AC1435" t="s">
        <v>78</v>
      </c>
      <c r="AD1435">
        <v>0</v>
      </c>
      <c r="AE1435">
        <v>-1</v>
      </c>
      <c r="AF1435" t="s">
        <v>79</v>
      </c>
      <c r="AG1435" t="s">
        <v>2837</v>
      </c>
    </row>
    <row r="1436" spans="1:33" x14ac:dyDescent="0.35">
      <c r="A1436" s="18">
        <v>44413.492361111108</v>
      </c>
      <c r="B1436">
        <v>583642</v>
      </c>
      <c r="C1436" t="s">
        <v>2337</v>
      </c>
      <c r="D1436" t="s">
        <v>205</v>
      </c>
      <c r="E1436" s="19">
        <v>40210</v>
      </c>
      <c r="F1436" t="str">
        <f>"9781596930902"</f>
        <v>9781596930902</v>
      </c>
      <c r="G1436" t="str">
        <f>"9781596930896"</f>
        <v>9781596930896</v>
      </c>
      <c r="H1436" t="s">
        <v>2338</v>
      </c>
      <c r="I1436">
        <v>621.38482999999997</v>
      </c>
      <c r="J1436" t="s">
        <v>2339</v>
      </c>
      <c r="K1436" t="s">
        <v>73</v>
      </c>
      <c r="N1436" t="s">
        <v>74</v>
      </c>
      <c r="O1436" t="s">
        <v>75</v>
      </c>
      <c r="P1436" t="s">
        <v>74</v>
      </c>
      <c r="Q1436" t="s">
        <v>76</v>
      </c>
      <c r="R1436" t="s">
        <v>73</v>
      </c>
      <c r="S1436">
        <v>0</v>
      </c>
      <c r="W1436" s="20">
        <v>6.9444444444444444E-5</v>
      </c>
      <c r="X1436" t="s">
        <v>249</v>
      </c>
      <c r="Y1436">
        <v>2</v>
      </c>
      <c r="Z1436">
        <v>0</v>
      </c>
      <c r="AA1436" t="s">
        <v>78</v>
      </c>
      <c r="AB1436">
        <v>0</v>
      </c>
      <c r="AC1436" t="s">
        <v>78</v>
      </c>
      <c r="AD1436">
        <v>0</v>
      </c>
      <c r="AE1436">
        <v>10393271</v>
      </c>
      <c r="AF1436" t="s">
        <v>88</v>
      </c>
      <c r="AG1436" t="s">
        <v>2837</v>
      </c>
    </row>
    <row r="1437" spans="1:33" x14ac:dyDescent="0.35">
      <c r="A1437" s="18">
        <v>44412.522222222222</v>
      </c>
      <c r="B1437">
        <v>3339851</v>
      </c>
      <c r="C1437" t="s">
        <v>3341</v>
      </c>
      <c r="D1437" t="s">
        <v>300</v>
      </c>
      <c r="E1437" s="19">
        <v>41873</v>
      </c>
      <c r="F1437" t="str">
        <f>"9780262325745"</f>
        <v>9780262325745</v>
      </c>
      <c r="G1437" t="str">
        <f>"9780262028189"</f>
        <v>9780262028189</v>
      </c>
      <c r="H1437" t="s">
        <v>1466</v>
      </c>
      <c r="I1437" t="s">
        <v>3342</v>
      </c>
      <c r="J1437" t="s">
        <v>3343</v>
      </c>
      <c r="K1437" t="s">
        <v>73</v>
      </c>
      <c r="N1437" t="s">
        <v>74</v>
      </c>
      <c r="O1437" t="s">
        <v>75</v>
      </c>
      <c r="P1437" t="s">
        <v>74</v>
      </c>
      <c r="Q1437" t="s">
        <v>76</v>
      </c>
      <c r="R1437" t="s">
        <v>73</v>
      </c>
      <c r="S1437">
        <v>0</v>
      </c>
      <c r="W1437" s="20">
        <v>9.2592592592592585E-4</v>
      </c>
      <c r="X1437" t="s">
        <v>3344</v>
      </c>
      <c r="Y1437">
        <v>24</v>
      </c>
      <c r="Z1437">
        <v>1</v>
      </c>
      <c r="AA1437" t="s">
        <v>951</v>
      </c>
      <c r="AB1437">
        <v>5</v>
      </c>
      <c r="AC1437" t="s">
        <v>78</v>
      </c>
      <c r="AD1437">
        <v>0</v>
      </c>
      <c r="AE1437">
        <v>10919034</v>
      </c>
      <c r="AF1437" t="s">
        <v>79</v>
      </c>
      <c r="AG1437" t="s">
        <v>2837</v>
      </c>
    </row>
    <row r="1438" spans="1:33" x14ac:dyDescent="0.35">
      <c r="A1438" s="18">
        <v>44412.368055555555</v>
      </c>
      <c r="B1438">
        <v>474531</v>
      </c>
      <c r="C1438" t="s">
        <v>2647</v>
      </c>
      <c r="D1438" t="s">
        <v>2648</v>
      </c>
      <c r="E1438" s="19">
        <v>38749</v>
      </c>
      <c r="F1438" t="str">
        <f>"9781889057613"</f>
        <v>9781889057613</v>
      </c>
      <c r="G1438" t="str">
        <f>"9781889057361"</f>
        <v>9781889057361</v>
      </c>
      <c r="H1438" t="s">
        <v>1179</v>
      </c>
      <c r="I1438">
        <v>378.1662</v>
      </c>
      <c r="J1438" t="s">
        <v>2649</v>
      </c>
      <c r="K1438" t="s">
        <v>73</v>
      </c>
      <c r="N1438" t="s">
        <v>74</v>
      </c>
      <c r="O1438" t="s">
        <v>75</v>
      </c>
      <c r="P1438" t="s">
        <v>74</v>
      </c>
      <c r="Q1438" t="s">
        <v>76</v>
      </c>
      <c r="R1438" t="s">
        <v>73</v>
      </c>
      <c r="S1438">
        <v>0</v>
      </c>
      <c r="W1438" s="20">
        <v>2.5462962962962961E-4</v>
      </c>
      <c r="X1438" t="s">
        <v>1533</v>
      </c>
      <c r="Y1438">
        <v>3</v>
      </c>
      <c r="Z1438">
        <v>0</v>
      </c>
      <c r="AA1438" t="s">
        <v>78</v>
      </c>
      <c r="AB1438">
        <v>0</v>
      </c>
      <c r="AC1438" t="s">
        <v>78</v>
      </c>
      <c r="AD1438">
        <v>0</v>
      </c>
      <c r="AE1438">
        <v>10347278</v>
      </c>
      <c r="AF1438" t="s">
        <v>79</v>
      </c>
      <c r="AG1438" t="s">
        <v>3345</v>
      </c>
    </row>
    <row r="1439" spans="1:33" x14ac:dyDescent="0.35">
      <c r="A1439" s="18">
        <v>44411.652083333334</v>
      </c>
      <c r="B1439">
        <v>461134</v>
      </c>
      <c r="C1439" t="s">
        <v>3346</v>
      </c>
      <c r="D1439" t="s">
        <v>538</v>
      </c>
      <c r="E1439" s="19">
        <v>40057</v>
      </c>
      <c r="F1439" t="str">
        <f>"9780511603709"</f>
        <v>9780511603709</v>
      </c>
      <c r="G1439" t="str">
        <f>"9780521514354"</f>
        <v>9780521514354</v>
      </c>
      <c r="H1439" t="s">
        <v>756</v>
      </c>
      <c r="I1439">
        <v>953.65</v>
      </c>
      <c r="J1439" t="s">
        <v>3347</v>
      </c>
      <c r="K1439" t="s">
        <v>73</v>
      </c>
      <c r="N1439" t="s">
        <v>74</v>
      </c>
      <c r="O1439" t="s">
        <v>75</v>
      </c>
      <c r="P1439" t="s">
        <v>74</v>
      </c>
      <c r="Q1439" t="s">
        <v>76</v>
      </c>
      <c r="R1439" t="s">
        <v>73</v>
      </c>
      <c r="S1439">
        <v>0</v>
      </c>
      <c r="W1439" s="20">
        <v>1.4583333333333334E-3</v>
      </c>
      <c r="X1439" t="s">
        <v>3348</v>
      </c>
      <c r="Y1439">
        <v>12</v>
      </c>
      <c r="Z1439">
        <v>0</v>
      </c>
      <c r="AA1439" t="s">
        <v>78</v>
      </c>
      <c r="AB1439">
        <v>0</v>
      </c>
      <c r="AC1439" t="s">
        <v>78</v>
      </c>
      <c r="AD1439">
        <v>0</v>
      </c>
      <c r="AE1439">
        <v>10338521</v>
      </c>
      <c r="AF1439" t="s">
        <v>79</v>
      </c>
      <c r="AG1439" t="s">
        <v>3185</v>
      </c>
    </row>
    <row r="1440" spans="1:33" x14ac:dyDescent="0.35">
      <c r="A1440" s="18">
        <v>44411.652083333334</v>
      </c>
      <c r="B1440">
        <v>4817242</v>
      </c>
      <c r="C1440" t="s">
        <v>3349</v>
      </c>
      <c r="D1440" t="s">
        <v>127</v>
      </c>
      <c r="E1440" s="19">
        <v>37922</v>
      </c>
      <c r="F1440" t="str">
        <f>"9781351909952"</f>
        <v>9781351909952</v>
      </c>
      <c r="G1440" t="str">
        <f>"9780754632207"</f>
        <v>9780754632207</v>
      </c>
      <c r="H1440" t="s">
        <v>1878</v>
      </c>
      <c r="I1440">
        <v>338.95350000000002</v>
      </c>
      <c r="J1440">
        <v>2003102976</v>
      </c>
      <c r="K1440" t="s">
        <v>73</v>
      </c>
      <c r="N1440" t="s">
        <v>74</v>
      </c>
      <c r="O1440" t="s">
        <v>75</v>
      </c>
      <c r="P1440" t="s">
        <v>74</v>
      </c>
      <c r="Q1440" t="s">
        <v>76</v>
      </c>
      <c r="R1440" t="s">
        <v>73</v>
      </c>
      <c r="S1440">
        <v>0</v>
      </c>
      <c r="W1440" s="20">
        <v>5.5555555555555556E-4</v>
      </c>
      <c r="X1440" t="s">
        <v>3350</v>
      </c>
      <c r="Y1440">
        <v>6</v>
      </c>
      <c r="Z1440">
        <v>0</v>
      </c>
      <c r="AA1440" t="s">
        <v>78</v>
      </c>
      <c r="AB1440">
        <v>0</v>
      </c>
      <c r="AC1440" t="s">
        <v>78</v>
      </c>
      <c r="AD1440">
        <v>0</v>
      </c>
      <c r="AE1440">
        <v>11356413</v>
      </c>
      <c r="AF1440" t="s">
        <v>79</v>
      </c>
      <c r="AG1440" t="s">
        <v>3185</v>
      </c>
    </row>
    <row r="1441" spans="1:33" x14ac:dyDescent="0.35">
      <c r="A1441" s="18">
        <v>44411.480555555558</v>
      </c>
      <c r="B1441">
        <v>3035374</v>
      </c>
      <c r="C1441" t="s">
        <v>3351</v>
      </c>
      <c r="D1441" t="s">
        <v>978</v>
      </c>
      <c r="E1441" s="19">
        <v>36647</v>
      </c>
      <c r="F1441" t="str">
        <f>"9780306468568"</f>
        <v>9780306468568</v>
      </c>
      <c r="G1441" t="str">
        <f>"9780306462429"</f>
        <v>9780306462429</v>
      </c>
      <c r="H1441" t="s">
        <v>848</v>
      </c>
      <c r="I1441">
        <v>547</v>
      </c>
      <c r="J1441" t="s">
        <v>1350</v>
      </c>
      <c r="K1441" t="s">
        <v>73</v>
      </c>
      <c r="N1441" t="s">
        <v>74</v>
      </c>
      <c r="O1441" t="s">
        <v>75</v>
      </c>
      <c r="P1441" t="s">
        <v>74</v>
      </c>
      <c r="Q1441" t="s">
        <v>76</v>
      </c>
      <c r="R1441" t="s">
        <v>73</v>
      </c>
      <c r="S1441">
        <v>2</v>
      </c>
      <c r="W1441" s="20">
        <v>0</v>
      </c>
      <c r="X1441" t="s">
        <v>78</v>
      </c>
      <c r="Y1441">
        <v>0</v>
      </c>
      <c r="Z1441">
        <v>0</v>
      </c>
      <c r="AA1441" t="s">
        <v>78</v>
      </c>
      <c r="AB1441">
        <v>0</v>
      </c>
      <c r="AC1441" t="s">
        <v>78</v>
      </c>
      <c r="AD1441">
        <v>0</v>
      </c>
      <c r="AE1441">
        <v>10046999</v>
      </c>
      <c r="AF1441" t="s">
        <v>88</v>
      </c>
      <c r="AG1441" t="s">
        <v>3185</v>
      </c>
    </row>
    <row r="1442" spans="1:33" x14ac:dyDescent="0.35">
      <c r="A1442" s="18">
        <v>44411.401388888888</v>
      </c>
      <c r="B1442">
        <v>711056</v>
      </c>
      <c r="C1442" t="s">
        <v>3352</v>
      </c>
      <c r="D1442" t="s">
        <v>1240</v>
      </c>
      <c r="E1442" s="19">
        <v>39621</v>
      </c>
      <c r="F1442" t="str">
        <f>"9781441152718"</f>
        <v>9781441152718</v>
      </c>
      <c r="G1442" t="str">
        <f>"9781847060440"</f>
        <v>9781847060440</v>
      </c>
      <c r="H1442" t="s">
        <v>528</v>
      </c>
      <c r="I1442">
        <v>188</v>
      </c>
      <c r="J1442" t="s">
        <v>3353</v>
      </c>
      <c r="K1442" t="s">
        <v>73</v>
      </c>
      <c r="N1442" t="s">
        <v>74</v>
      </c>
      <c r="O1442" t="s">
        <v>75</v>
      </c>
      <c r="P1442" t="s">
        <v>74</v>
      </c>
      <c r="Q1442" t="s">
        <v>76</v>
      </c>
      <c r="R1442" t="s">
        <v>73</v>
      </c>
      <c r="S1442">
        <v>0</v>
      </c>
      <c r="W1442" s="20">
        <v>7.6388888888888893E-4</v>
      </c>
      <c r="X1442" t="s">
        <v>3354</v>
      </c>
      <c r="Y1442">
        <v>12</v>
      </c>
      <c r="Z1442">
        <v>0</v>
      </c>
      <c r="AA1442" t="s">
        <v>78</v>
      </c>
      <c r="AB1442">
        <v>0</v>
      </c>
      <c r="AC1442" t="s">
        <v>78</v>
      </c>
      <c r="AD1442">
        <v>0</v>
      </c>
      <c r="AE1442">
        <v>10472218</v>
      </c>
      <c r="AF1442" t="s">
        <v>79</v>
      </c>
      <c r="AG1442" t="s">
        <v>3291</v>
      </c>
    </row>
    <row r="1443" spans="1:33" x14ac:dyDescent="0.35">
      <c r="A1443" s="18">
        <v>44410.440972222219</v>
      </c>
      <c r="B1443">
        <v>4669384</v>
      </c>
      <c r="C1443" t="s">
        <v>3355</v>
      </c>
      <c r="D1443" t="s">
        <v>798</v>
      </c>
      <c r="E1443" s="19">
        <v>22995</v>
      </c>
      <c r="F1443" t="str">
        <f>"9781442632417"</f>
        <v>9781442632417</v>
      </c>
      <c r="G1443" t="str">
        <f>"9781442652248"</f>
        <v>9781442652248</v>
      </c>
      <c r="H1443" t="s">
        <v>222</v>
      </c>
      <c r="I1443">
        <v>617.76199999999903</v>
      </c>
      <c r="J1443" t="s">
        <v>3356</v>
      </c>
      <c r="K1443" t="s">
        <v>73</v>
      </c>
      <c r="N1443" t="s">
        <v>74</v>
      </c>
      <c r="O1443" t="s">
        <v>75</v>
      </c>
      <c r="P1443" t="s">
        <v>74</v>
      </c>
      <c r="Q1443" t="s">
        <v>76</v>
      </c>
      <c r="R1443" t="s">
        <v>73</v>
      </c>
      <c r="S1443">
        <v>0</v>
      </c>
      <c r="W1443" s="20">
        <v>1.0925925925925924E-2</v>
      </c>
      <c r="X1443" t="s">
        <v>3357</v>
      </c>
      <c r="Y1443">
        <v>33</v>
      </c>
      <c r="Z1443">
        <v>0</v>
      </c>
      <c r="AA1443" t="s">
        <v>3358</v>
      </c>
      <c r="AB1443">
        <v>16</v>
      </c>
      <c r="AC1443" t="s">
        <v>78</v>
      </c>
      <c r="AD1443">
        <v>0</v>
      </c>
      <c r="AE1443">
        <v>11255923</v>
      </c>
      <c r="AF1443" t="s">
        <v>79</v>
      </c>
      <c r="AG1443" t="s">
        <v>3359</v>
      </c>
    </row>
    <row r="1444" spans="1:33" x14ac:dyDescent="0.35">
      <c r="A1444" s="18">
        <v>44409.461111111108</v>
      </c>
      <c r="B1444">
        <v>1157393</v>
      </c>
      <c r="C1444" t="s">
        <v>3360</v>
      </c>
      <c r="D1444" t="s">
        <v>158</v>
      </c>
      <c r="E1444" s="19">
        <v>41369</v>
      </c>
      <c r="F1444" t="str">
        <f>"9780080993683"</f>
        <v>9780080993683</v>
      </c>
      <c r="G1444" t="str">
        <f>"9780080983325"</f>
        <v>9780080983325</v>
      </c>
      <c r="H1444" t="s">
        <v>469</v>
      </c>
      <c r="I1444">
        <v>621.46</v>
      </c>
      <c r="J1444" t="s">
        <v>3361</v>
      </c>
      <c r="K1444" t="s">
        <v>73</v>
      </c>
      <c r="N1444" t="s">
        <v>74</v>
      </c>
      <c r="O1444" t="s">
        <v>75</v>
      </c>
      <c r="P1444" t="s">
        <v>74</v>
      </c>
      <c r="Q1444" t="s">
        <v>76</v>
      </c>
      <c r="R1444" t="s">
        <v>73</v>
      </c>
      <c r="S1444">
        <v>0</v>
      </c>
      <c r="W1444" s="20">
        <v>5.0925925925925921E-4</v>
      </c>
      <c r="X1444" t="s">
        <v>3362</v>
      </c>
      <c r="Y1444">
        <v>3</v>
      </c>
      <c r="Z1444">
        <v>0</v>
      </c>
      <c r="AA1444" t="s">
        <v>78</v>
      </c>
      <c r="AB1444">
        <v>0</v>
      </c>
      <c r="AC1444" t="s">
        <v>78</v>
      </c>
      <c r="AD1444">
        <v>0</v>
      </c>
      <c r="AE1444">
        <v>10661890</v>
      </c>
      <c r="AF1444" t="s">
        <v>79</v>
      </c>
      <c r="AG1444" t="s">
        <v>3363</v>
      </c>
    </row>
    <row r="1445" spans="1:33" x14ac:dyDescent="0.35">
      <c r="A1445" s="18">
        <v>44409.399305555555</v>
      </c>
      <c r="B1445">
        <v>1157393</v>
      </c>
      <c r="C1445" t="s">
        <v>3360</v>
      </c>
      <c r="D1445" t="s">
        <v>158</v>
      </c>
      <c r="E1445" s="19">
        <v>41369</v>
      </c>
      <c r="F1445" t="str">
        <f>"9780080993683"</f>
        <v>9780080993683</v>
      </c>
      <c r="G1445" t="str">
        <f>"9780080983325"</f>
        <v>9780080983325</v>
      </c>
      <c r="H1445" t="s">
        <v>469</v>
      </c>
      <c r="I1445">
        <v>621.46</v>
      </c>
      <c r="J1445" t="s">
        <v>3361</v>
      </c>
      <c r="K1445" t="s">
        <v>73</v>
      </c>
      <c r="N1445" t="s">
        <v>74</v>
      </c>
      <c r="O1445" t="s">
        <v>75</v>
      </c>
      <c r="P1445" t="s">
        <v>74</v>
      </c>
      <c r="Q1445" t="s">
        <v>76</v>
      </c>
      <c r="R1445" t="s">
        <v>73</v>
      </c>
      <c r="S1445">
        <v>0</v>
      </c>
      <c r="W1445" s="20">
        <v>5.4398148148148144E-4</v>
      </c>
      <c r="X1445" t="s">
        <v>3364</v>
      </c>
      <c r="Y1445">
        <v>4</v>
      </c>
      <c r="Z1445">
        <v>0</v>
      </c>
      <c r="AA1445" t="s">
        <v>78</v>
      </c>
      <c r="AB1445">
        <v>0</v>
      </c>
      <c r="AC1445" t="s">
        <v>78</v>
      </c>
      <c r="AD1445">
        <v>0</v>
      </c>
      <c r="AE1445">
        <v>10661890</v>
      </c>
      <c r="AF1445" t="s">
        <v>79</v>
      </c>
      <c r="AG1445" t="s">
        <v>3363</v>
      </c>
    </row>
    <row r="1446" spans="1:33" x14ac:dyDescent="0.35">
      <c r="A1446" s="18">
        <v>44409.361111111109</v>
      </c>
      <c r="B1446">
        <v>1157393</v>
      </c>
      <c r="C1446" t="s">
        <v>3360</v>
      </c>
      <c r="D1446" t="s">
        <v>158</v>
      </c>
      <c r="E1446" s="19">
        <v>41369</v>
      </c>
      <c r="F1446" t="str">
        <f>"9780080993683"</f>
        <v>9780080993683</v>
      </c>
      <c r="G1446" t="str">
        <f>"9780080983325"</f>
        <v>9780080983325</v>
      </c>
      <c r="H1446" t="s">
        <v>469</v>
      </c>
      <c r="I1446">
        <v>621.46</v>
      </c>
      <c r="J1446" t="s">
        <v>3361</v>
      </c>
      <c r="K1446" t="s">
        <v>73</v>
      </c>
      <c r="N1446" t="s">
        <v>74</v>
      </c>
      <c r="O1446" t="s">
        <v>75</v>
      </c>
      <c r="P1446" t="s">
        <v>74</v>
      </c>
      <c r="Q1446" t="s">
        <v>76</v>
      </c>
      <c r="R1446" t="s">
        <v>73</v>
      </c>
      <c r="S1446">
        <v>0</v>
      </c>
      <c r="W1446" s="20">
        <v>1.5231481481481483E-2</v>
      </c>
      <c r="X1446" t="s">
        <v>3365</v>
      </c>
      <c r="Y1446">
        <v>28</v>
      </c>
      <c r="Z1446">
        <v>0</v>
      </c>
      <c r="AA1446" t="s">
        <v>78</v>
      </c>
      <c r="AB1446">
        <v>0</v>
      </c>
      <c r="AC1446" t="s">
        <v>78</v>
      </c>
      <c r="AD1446">
        <v>0</v>
      </c>
      <c r="AE1446">
        <v>10661890</v>
      </c>
      <c r="AF1446" t="s">
        <v>79</v>
      </c>
      <c r="AG1446" t="s">
        <v>3363</v>
      </c>
    </row>
    <row r="1447" spans="1:33" x14ac:dyDescent="0.35">
      <c r="A1447" s="18">
        <v>44408.116666666669</v>
      </c>
      <c r="B1447">
        <v>2012870</v>
      </c>
      <c r="C1447" t="s">
        <v>3366</v>
      </c>
      <c r="D1447" t="s">
        <v>102</v>
      </c>
      <c r="E1447" s="19">
        <v>36076</v>
      </c>
      <c r="F1447" t="str">
        <f>"9780195352108"</f>
        <v>9780195352108</v>
      </c>
      <c r="G1447" t="str">
        <f>"9780195126600"</f>
        <v>9780195126600</v>
      </c>
      <c r="H1447" t="s">
        <v>128</v>
      </c>
      <c r="I1447" t="s">
        <v>3367</v>
      </c>
      <c r="J1447" t="s">
        <v>3368</v>
      </c>
      <c r="K1447" t="s">
        <v>73</v>
      </c>
      <c r="N1447" t="s">
        <v>74</v>
      </c>
      <c r="O1447" t="s">
        <v>75</v>
      </c>
      <c r="P1447" t="s">
        <v>74</v>
      </c>
      <c r="Q1447" t="s">
        <v>76</v>
      </c>
      <c r="R1447" t="s">
        <v>73</v>
      </c>
      <c r="S1447">
        <v>0</v>
      </c>
      <c r="W1447" s="20">
        <v>3.0092592592592595E-4</v>
      </c>
      <c r="X1447" t="s">
        <v>3369</v>
      </c>
      <c r="Y1447">
        <v>4</v>
      </c>
      <c r="Z1447">
        <v>0</v>
      </c>
      <c r="AA1447" t="s">
        <v>78</v>
      </c>
      <c r="AB1447">
        <v>0</v>
      </c>
      <c r="AC1447" t="s">
        <v>78</v>
      </c>
      <c r="AD1447">
        <v>0</v>
      </c>
      <c r="AE1447">
        <v>10279371</v>
      </c>
      <c r="AF1447" t="s">
        <v>79</v>
      </c>
      <c r="AG1447" t="s">
        <v>3309</v>
      </c>
    </row>
    <row r="1448" spans="1:33" x14ac:dyDescent="0.35">
      <c r="A1448" s="18">
        <v>44407.851388888892</v>
      </c>
      <c r="B1448">
        <v>4451906</v>
      </c>
      <c r="C1448" t="s">
        <v>3370</v>
      </c>
      <c r="D1448" t="s">
        <v>70</v>
      </c>
      <c r="E1448" s="19">
        <v>42492</v>
      </c>
      <c r="F1448" t="str">
        <f>"9781119106593"</f>
        <v>9781119106593</v>
      </c>
      <c r="G1448" t="str">
        <f>"9781119106616"</f>
        <v>9781119106616</v>
      </c>
      <c r="H1448" t="s">
        <v>3371</v>
      </c>
      <c r="I1448" t="s">
        <v>3372</v>
      </c>
      <c r="J1448" t="s">
        <v>3373</v>
      </c>
      <c r="K1448" t="s">
        <v>73</v>
      </c>
      <c r="N1448" t="s">
        <v>74</v>
      </c>
      <c r="O1448" t="s">
        <v>75</v>
      </c>
      <c r="P1448" t="s">
        <v>74</v>
      </c>
      <c r="Q1448" t="s">
        <v>76</v>
      </c>
      <c r="R1448" t="s">
        <v>73</v>
      </c>
      <c r="S1448">
        <v>1</v>
      </c>
      <c r="W1448" s="20">
        <v>0</v>
      </c>
      <c r="X1448" t="s">
        <v>78</v>
      </c>
      <c r="Y1448">
        <v>0</v>
      </c>
      <c r="Z1448">
        <v>0</v>
      </c>
      <c r="AA1448" t="s">
        <v>78</v>
      </c>
      <c r="AB1448">
        <v>0</v>
      </c>
      <c r="AC1448" t="s">
        <v>78</v>
      </c>
      <c r="AD1448">
        <v>0</v>
      </c>
      <c r="AE1448">
        <v>11172319</v>
      </c>
      <c r="AF1448" t="s">
        <v>88</v>
      </c>
      <c r="AG1448" t="s">
        <v>3185</v>
      </c>
    </row>
    <row r="1449" spans="1:33" x14ac:dyDescent="0.35">
      <c r="A1449" s="18">
        <v>44405.394444444442</v>
      </c>
      <c r="B1449">
        <v>5849368</v>
      </c>
      <c r="C1449" t="s">
        <v>3374</v>
      </c>
      <c r="D1449" t="s">
        <v>338</v>
      </c>
      <c r="E1449" s="19">
        <v>43687</v>
      </c>
      <c r="F1449" t="str">
        <f>"9780128169551"</f>
        <v>9780128169551</v>
      </c>
      <c r="G1449" t="str">
        <f>"9780128169544"</f>
        <v>9780128169544</v>
      </c>
      <c r="H1449" t="s">
        <v>1194</v>
      </c>
      <c r="I1449">
        <v>620.11802855099995</v>
      </c>
      <c r="J1449" t="s">
        <v>3375</v>
      </c>
      <c r="K1449" t="s">
        <v>85</v>
      </c>
      <c r="Q1449" t="s">
        <v>76</v>
      </c>
      <c r="R1449" t="s">
        <v>73</v>
      </c>
      <c r="S1449">
        <v>0</v>
      </c>
      <c r="W1449" s="20">
        <v>1.8518518518518518E-4</v>
      </c>
      <c r="X1449" t="s">
        <v>3376</v>
      </c>
      <c r="Y1449">
        <v>5</v>
      </c>
      <c r="Z1449">
        <v>0</v>
      </c>
      <c r="AA1449" t="s">
        <v>78</v>
      </c>
      <c r="AB1449">
        <v>0</v>
      </c>
      <c r="AC1449" t="s">
        <v>78</v>
      </c>
      <c r="AD1449">
        <v>0</v>
      </c>
      <c r="AE1449">
        <v>-1</v>
      </c>
      <c r="AF1449" t="s">
        <v>79</v>
      </c>
      <c r="AG1449" t="s">
        <v>3185</v>
      </c>
    </row>
    <row r="1450" spans="1:33" x14ac:dyDescent="0.35">
      <c r="A1450" s="18">
        <v>44404.854166666664</v>
      </c>
      <c r="B1450">
        <v>583642</v>
      </c>
      <c r="C1450" t="s">
        <v>2337</v>
      </c>
      <c r="D1450" t="s">
        <v>205</v>
      </c>
      <c r="E1450" s="19">
        <v>40210</v>
      </c>
      <c r="F1450" t="str">
        <f>"9781596930902"</f>
        <v>9781596930902</v>
      </c>
      <c r="G1450" t="str">
        <f>"9781596930896"</f>
        <v>9781596930896</v>
      </c>
      <c r="H1450" t="s">
        <v>2338</v>
      </c>
      <c r="I1450">
        <v>621.38482999999997</v>
      </c>
      <c r="J1450" t="s">
        <v>2339</v>
      </c>
      <c r="K1450" t="s">
        <v>73</v>
      </c>
      <c r="N1450" t="s">
        <v>74</v>
      </c>
      <c r="O1450" t="s">
        <v>75</v>
      </c>
      <c r="P1450" t="s">
        <v>74</v>
      </c>
      <c r="Q1450" t="s">
        <v>76</v>
      </c>
      <c r="R1450" t="s">
        <v>73</v>
      </c>
      <c r="S1450">
        <v>0</v>
      </c>
      <c r="W1450" s="20">
        <v>1.667824074074074E-2</v>
      </c>
      <c r="X1450" t="s">
        <v>3377</v>
      </c>
      <c r="Y1450">
        <v>18</v>
      </c>
      <c r="Z1450">
        <v>0</v>
      </c>
      <c r="AA1450" t="s">
        <v>78</v>
      </c>
      <c r="AB1450">
        <v>0</v>
      </c>
      <c r="AC1450" t="s">
        <v>78</v>
      </c>
      <c r="AD1450">
        <v>0</v>
      </c>
      <c r="AE1450">
        <v>10393271</v>
      </c>
      <c r="AF1450" t="s">
        <v>88</v>
      </c>
      <c r="AG1450" t="s">
        <v>3185</v>
      </c>
    </row>
    <row r="1451" spans="1:33" x14ac:dyDescent="0.35">
      <c r="A1451" s="18">
        <v>44404.518750000003</v>
      </c>
      <c r="B1451">
        <v>330980</v>
      </c>
      <c r="C1451" t="s">
        <v>3378</v>
      </c>
      <c r="D1451" t="s">
        <v>127</v>
      </c>
      <c r="E1451" s="19">
        <v>39517</v>
      </c>
      <c r="F1451" t="str">
        <f>"9780203932834"</f>
        <v>9780203932834</v>
      </c>
      <c r="G1451" t="str">
        <f>"9780805860436"</f>
        <v>9780805860436</v>
      </c>
      <c r="H1451" t="s">
        <v>1204</v>
      </c>
      <c r="I1451">
        <v>428.00760000000002</v>
      </c>
      <c r="J1451" t="s">
        <v>3379</v>
      </c>
      <c r="K1451" t="s">
        <v>73</v>
      </c>
      <c r="N1451" t="s">
        <v>74</v>
      </c>
      <c r="O1451" t="s">
        <v>75</v>
      </c>
      <c r="P1451" t="s">
        <v>74</v>
      </c>
      <c r="Q1451" t="s">
        <v>76</v>
      </c>
      <c r="R1451" t="s">
        <v>73</v>
      </c>
      <c r="S1451">
        <v>0</v>
      </c>
      <c r="W1451" s="20">
        <v>9.8379629629629642E-4</v>
      </c>
      <c r="X1451" t="s">
        <v>3380</v>
      </c>
      <c r="Y1451">
        <v>12</v>
      </c>
      <c r="Z1451">
        <v>0</v>
      </c>
      <c r="AA1451" t="s">
        <v>78</v>
      </c>
      <c r="AB1451">
        <v>0</v>
      </c>
      <c r="AC1451" t="s">
        <v>78</v>
      </c>
      <c r="AD1451">
        <v>0</v>
      </c>
      <c r="AE1451">
        <v>10228376</v>
      </c>
      <c r="AF1451" t="s">
        <v>79</v>
      </c>
      <c r="AG1451" t="s">
        <v>3185</v>
      </c>
    </row>
    <row r="1452" spans="1:33" x14ac:dyDescent="0.35">
      <c r="A1452" s="18">
        <v>44402.956250000003</v>
      </c>
      <c r="B1452">
        <v>4767314</v>
      </c>
      <c r="C1452" t="s">
        <v>3306</v>
      </c>
      <c r="D1452" t="s">
        <v>127</v>
      </c>
      <c r="E1452" s="19">
        <v>42713</v>
      </c>
      <c r="F1452" t="str">
        <f>"9781317214342"</f>
        <v>9781317214342</v>
      </c>
      <c r="G1452" t="str">
        <f>"9781138665972"</f>
        <v>9781138665972</v>
      </c>
      <c r="H1452" t="s">
        <v>2472</v>
      </c>
      <c r="I1452">
        <v>327.536</v>
      </c>
      <c r="J1452" t="s">
        <v>3307</v>
      </c>
      <c r="K1452" t="s">
        <v>85</v>
      </c>
      <c r="N1452" t="s">
        <v>86</v>
      </c>
      <c r="P1452" t="s">
        <v>87</v>
      </c>
      <c r="Q1452" t="s">
        <v>76</v>
      </c>
      <c r="R1452" t="s">
        <v>73</v>
      </c>
      <c r="S1452">
        <v>0</v>
      </c>
      <c r="W1452" s="20">
        <v>6.4814814814814813E-4</v>
      </c>
      <c r="X1452" t="s">
        <v>3381</v>
      </c>
      <c r="Y1452">
        <v>9</v>
      </c>
      <c r="Z1452">
        <v>0</v>
      </c>
      <c r="AA1452" t="s">
        <v>78</v>
      </c>
      <c r="AB1452">
        <v>0</v>
      </c>
      <c r="AC1452" t="s">
        <v>78</v>
      </c>
      <c r="AD1452">
        <v>0</v>
      </c>
      <c r="AE1452">
        <v>11316295</v>
      </c>
      <c r="AF1452" t="s">
        <v>79</v>
      </c>
      <c r="AG1452" t="s">
        <v>3382</v>
      </c>
    </row>
    <row r="1453" spans="1:33" x14ac:dyDescent="0.35">
      <c r="A1453" s="18">
        <v>44402.822222222225</v>
      </c>
      <c r="B1453">
        <v>4183024</v>
      </c>
      <c r="C1453" t="s">
        <v>3383</v>
      </c>
      <c r="D1453" t="s">
        <v>70</v>
      </c>
      <c r="E1453" s="19">
        <v>42388</v>
      </c>
      <c r="F1453" t="str">
        <f>"9781119072546"</f>
        <v>9781119072546</v>
      </c>
      <c r="G1453" t="str">
        <f>"9781119072577"</f>
        <v>9781119072577</v>
      </c>
      <c r="H1453" t="s">
        <v>227</v>
      </c>
      <c r="I1453" t="s">
        <v>3384</v>
      </c>
      <c r="J1453" t="s">
        <v>3385</v>
      </c>
      <c r="K1453" t="s">
        <v>73</v>
      </c>
      <c r="N1453" t="s">
        <v>74</v>
      </c>
      <c r="O1453" t="s">
        <v>75</v>
      </c>
      <c r="P1453" t="s">
        <v>74</v>
      </c>
      <c r="Q1453" t="s">
        <v>76</v>
      </c>
      <c r="R1453" t="s">
        <v>73</v>
      </c>
      <c r="S1453">
        <v>0</v>
      </c>
      <c r="W1453" s="20">
        <v>0</v>
      </c>
      <c r="X1453" t="s">
        <v>78</v>
      </c>
      <c r="Y1453">
        <v>0</v>
      </c>
      <c r="Z1453">
        <v>0</v>
      </c>
      <c r="AA1453" t="s">
        <v>78</v>
      </c>
      <c r="AB1453">
        <v>0</v>
      </c>
      <c r="AC1453" t="s">
        <v>78</v>
      </c>
      <c r="AD1453">
        <v>0</v>
      </c>
      <c r="AE1453">
        <v>11124860</v>
      </c>
      <c r="AF1453" t="s">
        <v>79</v>
      </c>
      <c r="AG1453" t="s">
        <v>3386</v>
      </c>
    </row>
    <row r="1454" spans="1:33" x14ac:dyDescent="0.35">
      <c r="A1454" s="18">
        <v>44402.004166666666</v>
      </c>
      <c r="B1454">
        <v>2084471</v>
      </c>
      <c r="C1454" t="s">
        <v>3387</v>
      </c>
      <c r="D1454" t="s">
        <v>102</v>
      </c>
      <c r="E1454" s="19">
        <v>42263</v>
      </c>
      <c r="F1454" t="str">
        <f>"9780191060021"</f>
        <v>9780191060021</v>
      </c>
      <c r="G1454" t="str">
        <f>"9780198739593"</f>
        <v>9780198739593</v>
      </c>
      <c r="H1454" t="s">
        <v>636</v>
      </c>
      <c r="I1454">
        <v>809.3</v>
      </c>
      <c r="J1454" t="s">
        <v>3388</v>
      </c>
      <c r="K1454" t="s">
        <v>73</v>
      </c>
      <c r="N1454" t="s">
        <v>74</v>
      </c>
      <c r="O1454" t="s">
        <v>75</v>
      </c>
      <c r="P1454" t="s">
        <v>74</v>
      </c>
      <c r="Q1454" t="s">
        <v>76</v>
      </c>
      <c r="R1454" t="s">
        <v>73</v>
      </c>
      <c r="S1454">
        <v>1</v>
      </c>
      <c r="W1454" s="20">
        <v>0</v>
      </c>
      <c r="X1454" t="s">
        <v>78</v>
      </c>
      <c r="Y1454">
        <v>0</v>
      </c>
      <c r="Z1454">
        <v>0</v>
      </c>
      <c r="AA1454" t="s">
        <v>78</v>
      </c>
      <c r="AB1454">
        <v>0</v>
      </c>
      <c r="AC1454" t="s">
        <v>78</v>
      </c>
      <c r="AD1454">
        <v>0</v>
      </c>
      <c r="AE1454">
        <v>11071298</v>
      </c>
      <c r="AF1454" t="s">
        <v>88</v>
      </c>
      <c r="AG1454" t="s">
        <v>3254</v>
      </c>
    </row>
    <row r="1455" spans="1:33" x14ac:dyDescent="0.35">
      <c r="A1455" s="18">
        <v>44401.521527777775</v>
      </c>
      <c r="B1455">
        <v>622553</v>
      </c>
      <c r="C1455" t="s">
        <v>3389</v>
      </c>
      <c r="D1455" t="s">
        <v>1360</v>
      </c>
      <c r="E1455" s="19">
        <v>36814</v>
      </c>
      <c r="F1455" t="str">
        <f>"9789027299918"</f>
        <v>9789027299918</v>
      </c>
      <c r="G1455" t="str">
        <f>"9789027251435"</f>
        <v>9789027251435</v>
      </c>
      <c r="H1455" t="s">
        <v>584</v>
      </c>
      <c r="I1455">
        <v>616.89</v>
      </c>
      <c r="J1455" t="s">
        <v>3390</v>
      </c>
      <c r="K1455" t="s">
        <v>73</v>
      </c>
      <c r="N1455" t="s">
        <v>74</v>
      </c>
      <c r="O1455" t="s">
        <v>75</v>
      </c>
      <c r="P1455" t="s">
        <v>74</v>
      </c>
      <c r="Q1455" t="s">
        <v>76</v>
      </c>
      <c r="R1455" t="s">
        <v>73</v>
      </c>
      <c r="S1455">
        <v>0</v>
      </c>
      <c r="W1455" s="20">
        <v>1.9560185185185184E-3</v>
      </c>
      <c r="X1455" t="s">
        <v>3391</v>
      </c>
      <c r="Y1455">
        <v>6</v>
      </c>
      <c r="Z1455">
        <v>0</v>
      </c>
      <c r="AA1455" t="s">
        <v>78</v>
      </c>
      <c r="AB1455">
        <v>0</v>
      </c>
      <c r="AC1455" t="s">
        <v>78</v>
      </c>
      <c r="AD1455">
        <v>0</v>
      </c>
      <c r="AE1455">
        <v>5000240</v>
      </c>
      <c r="AF1455" t="s">
        <v>79</v>
      </c>
      <c r="AG1455" t="s">
        <v>2299</v>
      </c>
    </row>
    <row r="1456" spans="1:33" x14ac:dyDescent="0.35">
      <c r="A1456" s="18">
        <v>44398.486111111109</v>
      </c>
      <c r="B1456">
        <v>3011280</v>
      </c>
      <c r="C1456" t="s">
        <v>3392</v>
      </c>
      <c r="D1456" t="s">
        <v>153</v>
      </c>
      <c r="E1456" s="19">
        <v>39783</v>
      </c>
      <c r="F1456" t="str">
        <f>"9789350434116"</f>
        <v>9789350434116</v>
      </c>
      <c r="G1456" t="str">
        <f>"9788183188098"</f>
        <v>9788183188098</v>
      </c>
      <c r="H1456" t="s">
        <v>3320</v>
      </c>
      <c r="J1456" t="s">
        <v>3393</v>
      </c>
      <c r="K1456" t="s">
        <v>73</v>
      </c>
      <c r="N1456" t="s">
        <v>74</v>
      </c>
      <c r="O1456" t="s">
        <v>75</v>
      </c>
      <c r="P1456" t="s">
        <v>74</v>
      </c>
      <c r="Q1456" t="s">
        <v>76</v>
      </c>
      <c r="R1456" t="s">
        <v>73</v>
      </c>
      <c r="S1456">
        <v>0</v>
      </c>
      <c r="W1456" s="20">
        <v>3.472222222222222E-3</v>
      </c>
      <c r="X1456" t="s">
        <v>3394</v>
      </c>
      <c r="Y1456">
        <v>42</v>
      </c>
      <c r="Z1456">
        <v>0</v>
      </c>
      <c r="AA1456" t="s">
        <v>78</v>
      </c>
      <c r="AB1456">
        <v>0</v>
      </c>
      <c r="AC1456" t="s">
        <v>78</v>
      </c>
      <c r="AD1456">
        <v>0</v>
      </c>
      <c r="AE1456">
        <v>10415627</v>
      </c>
      <c r="AF1456" t="s">
        <v>79</v>
      </c>
      <c r="AG1456" t="s">
        <v>3395</v>
      </c>
    </row>
    <row r="1457" spans="1:33" x14ac:dyDescent="0.35">
      <c r="A1457" s="18">
        <v>44398.242361111108</v>
      </c>
      <c r="B1457">
        <v>5139938</v>
      </c>
      <c r="C1457" t="s">
        <v>3396</v>
      </c>
      <c r="D1457" t="s">
        <v>3397</v>
      </c>
      <c r="E1457" s="19">
        <v>41852</v>
      </c>
      <c r="F1457" t="str">
        <f>"9781613994078"</f>
        <v>9781613994078</v>
      </c>
      <c r="G1457" t="str">
        <f>"9781613993286"</f>
        <v>9781613993286</v>
      </c>
      <c r="H1457" t="s">
        <v>179</v>
      </c>
      <c r="I1457">
        <v>622.33820000000003</v>
      </c>
      <c r="J1457" t="s">
        <v>3398</v>
      </c>
      <c r="K1457" t="s">
        <v>73</v>
      </c>
      <c r="N1457" t="s">
        <v>74</v>
      </c>
      <c r="O1457" t="s">
        <v>75</v>
      </c>
      <c r="P1457" t="s">
        <v>74</v>
      </c>
      <c r="Q1457" t="s">
        <v>76</v>
      </c>
      <c r="R1457" t="s">
        <v>73</v>
      </c>
      <c r="S1457">
        <v>0</v>
      </c>
      <c r="W1457" s="20">
        <v>1.068287037037037E-2</v>
      </c>
      <c r="X1457" t="s">
        <v>3399</v>
      </c>
      <c r="Y1457">
        <v>8</v>
      </c>
      <c r="Z1457">
        <v>1</v>
      </c>
      <c r="AA1457" t="s">
        <v>3400</v>
      </c>
      <c r="AB1457">
        <v>18</v>
      </c>
      <c r="AC1457" t="s">
        <v>78</v>
      </c>
      <c r="AD1457">
        <v>0</v>
      </c>
      <c r="AE1457">
        <v>11465346</v>
      </c>
      <c r="AF1457" t="s">
        <v>79</v>
      </c>
      <c r="AG1457" t="s">
        <v>3395</v>
      </c>
    </row>
    <row r="1458" spans="1:33" x14ac:dyDescent="0.35">
      <c r="A1458" s="18">
        <v>44397.277083333334</v>
      </c>
      <c r="B1458">
        <v>3404978</v>
      </c>
      <c r="C1458" t="s">
        <v>3401</v>
      </c>
      <c r="D1458" t="s">
        <v>1332</v>
      </c>
      <c r="E1458" s="19">
        <v>39052</v>
      </c>
      <c r="F1458" t="str">
        <f>"9781555633356"</f>
        <v>9781555633356</v>
      </c>
      <c r="G1458" t="str">
        <f>"9781555631208"</f>
        <v>9781555631208</v>
      </c>
      <c r="H1458" t="s">
        <v>289</v>
      </c>
      <c r="I1458">
        <v>622.33820000000003</v>
      </c>
      <c r="J1458" t="s">
        <v>3402</v>
      </c>
      <c r="K1458" t="s">
        <v>73</v>
      </c>
      <c r="N1458" t="s">
        <v>74</v>
      </c>
      <c r="O1458" t="s">
        <v>75</v>
      </c>
      <c r="P1458" t="s">
        <v>74</v>
      </c>
      <c r="Q1458" t="s">
        <v>76</v>
      </c>
      <c r="R1458" t="s">
        <v>73</v>
      </c>
      <c r="S1458">
        <v>0</v>
      </c>
      <c r="W1458" s="20">
        <v>1.273148148148148E-4</v>
      </c>
      <c r="X1458" t="s">
        <v>3403</v>
      </c>
      <c r="Y1458">
        <v>1</v>
      </c>
      <c r="Z1458">
        <v>1</v>
      </c>
      <c r="AA1458" t="s">
        <v>3404</v>
      </c>
      <c r="AB1458">
        <v>24</v>
      </c>
      <c r="AC1458" t="s">
        <v>78</v>
      </c>
      <c r="AD1458">
        <v>0</v>
      </c>
      <c r="AE1458">
        <v>10619549</v>
      </c>
      <c r="AF1458" t="s">
        <v>79</v>
      </c>
      <c r="AG1458" t="s">
        <v>3395</v>
      </c>
    </row>
    <row r="1459" spans="1:33" x14ac:dyDescent="0.35">
      <c r="A1459" s="18">
        <v>44395.583333333336</v>
      </c>
      <c r="B1459">
        <v>3117000</v>
      </c>
      <c r="C1459" t="s">
        <v>3405</v>
      </c>
      <c r="D1459" t="s">
        <v>3406</v>
      </c>
      <c r="E1459" s="19">
        <v>33966</v>
      </c>
      <c r="F1459" t="str">
        <f>""</f>
        <v/>
      </c>
      <c r="G1459" t="str">
        <f>"9781560521297"</f>
        <v>9781560521297</v>
      </c>
      <c r="H1459" t="s">
        <v>3407</v>
      </c>
      <c r="I1459" t="s">
        <v>3408</v>
      </c>
      <c r="J1459" t="s">
        <v>3409</v>
      </c>
      <c r="K1459" t="s">
        <v>73</v>
      </c>
      <c r="N1459" t="s">
        <v>74</v>
      </c>
      <c r="O1459" t="s">
        <v>75</v>
      </c>
      <c r="P1459" t="s">
        <v>74</v>
      </c>
      <c r="Q1459" t="s">
        <v>76</v>
      </c>
      <c r="R1459" t="s">
        <v>73</v>
      </c>
      <c r="S1459">
        <v>0</v>
      </c>
      <c r="W1459" s="20">
        <v>8.564814814814815E-4</v>
      </c>
      <c r="X1459" t="s">
        <v>3410</v>
      </c>
      <c r="Y1459">
        <v>14</v>
      </c>
      <c r="Z1459">
        <v>0</v>
      </c>
      <c r="AA1459" t="s">
        <v>78</v>
      </c>
      <c r="AB1459">
        <v>0</v>
      </c>
      <c r="AC1459" t="s">
        <v>78</v>
      </c>
      <c r="AD1459">
        <v>0</v>
      </c>
      <c r="AE1459">
        <v>10060437</v>
      </c>
      <c r="AF1459" t="s">
        <v>79</v>
      </c>
      <c r="AG1459" t="s">
        <v>3309</v>
      </c>
    </row>
    <row r="1460" spans="1:33" x14ac:dyDescent="0.35">
      <c r="A1460" s="18">
        <v>44395.575694444444</v>
      </c>
      <c r="B1460">
        <v>1707761</v>
      </c>
      <c r="C1460" t="s">
        <v>3411</v>
      </c>
      <c r="D1460" t="s">
        <v>3412</v>
      </c>
      <c r="E1460" s="19">
        <v>41885</v>
      </c>
      <c r="F1460" t="str">
        <f>"9780814433942"</f>
        <v>9780814433942</v>
      </c>
      <c r="G1460" t="str">
        <f>"9780814433935"</f>
        <v>9780814433935</v>
      </c>
      <c r="H1460" t="s">
        <v>143</v>
      </c>
      <c r="I1460" t="s">
        <v>3413</v>
      </c>
      <c r="J1460" t="s">
        <v>3414</v>
      </c>
      <c r="K1460" t="s">
        <v>73</v>
      </c>
      <c r="N1460" t="s">
        <v>74</v>
      </c>
      <c r="O1460" t="s">
        <v>75</v>
      </c>
      <c r="P1460" t="s">
        <v>74</v>
      </c>
      <c r="Q1460" t="s">
        <v>76</v>
      </c>
      <c r="R1460" t="s">
        <v>73</v>
      </c>
      <c r="S1460">
        <v>0</v>
      </c>
      <c r="W1460" s="20">
        <v>6.9791666666666674E-3</v>
      </c>
      <c r="X1460" t="s">
        <v>3415</v>
      </c>
      <c r="Y1460">
        <v>45</v>
      </c>
      <c r="Z1460">
        <v>0</v>
      </c>
      <c r="AA1460" t="s">
        <v>78</v>
      </c>
      <c r="AB1460">
        <v>0</v>
      </c>
      <c r="AC1460" t="s">
        <v>78</v>
      </c>
      <c r="AD1460">
        <v>0</v>
      </c>
      <c r="AE1460">
        <v>10905804</v>
      </c>
      <c r="AF1460" t="s">
        <v>79</v>
      </c>
      <c r="AG1460" t="s">
        <v>3309</v>
      </c>
    </row>
    <row r="1461" spans="1:33" x14ac:dyDescent="0.35">
      <c r="A1461" s="18">
        <v>44394.569444444445</v>
      </c>
      <c r="B1461">
        <v>3404978</v>
      </c>
      <c r="C1461" t="s">
        <v>3401</v>
      </c>
      <c r="D1461" t="s">
        <v>1332</v>
      </c>
      <c r="E1461" s="19">
        <v>39052</v>
      </c>
      <c r="F1461" t="str">
        <f>"9781555633356"</f>
        <v>9781555633356</v>
      </c>
      <c r="G1461" t="str">
        <f>"9781555631208"</f>
        <v>9781555631208</v>
      </c>
      <c r="H1461" t="s">
        <v>289</v>
      </c>
      <c r="I1461">
        <v>622.33820000000003</v>
      </c>
      <c r="J1461" t="s">
        <v>3402</v>
      </c>
      <c r="K1461" t="s">
        <v>73</v>
      </c>
      <c r="N1461" t="s">
        <v>74</v>
      </c>
      <c r="O1461" t="s">
        <v>75</v>
      </c>
      <c r="P1461" t="s">
        <v>74</v>
      </c>
      <c r="Q1461" t="s">
        <v>76</v>
      </c>
      <c r="R1461" t="s">
        <v>73</v>
      </c>
      <c r="S1461">
        <v>0</v>
      </c>
      <c r="W1461" s="20">
        <v>1.0300925925925926E-3</v>
      </c>
      <c r="X1461" t="s">
        <v>3416</v>
      </c>
      <c r="Y1461">
        <v>5</v>
      </c>
      <c r="Z1461">
        <v>3</v>
      </c>
      <c r="AA1461" t="s">
        <v>3417</v>
      </c>
      <c r="AB1461">
        <v>48</v>
      </c>
      <c r="AC1461" t="s">
        <v>78</v>
      </c>
      <c r="AD1461">
        <v>0</v>
      </c>
      <c r="AE1461">
        <v>10619549</v>
      </c>
      <c r="AF1461" t="s">
        <v>79</v>
      </c>
      <c r="AG1461" t="s">
        <v>3395</v>
      </c>
    </row>
    <row r="1462" spans="1:33" x14ac:dyDescent="0.35">
      <c r="A1462" s="18">
        <v>44394.545138888891</v>
      </c>
      <c r="B1462">
        <v>5139938</v>
      </c>
      <c r="C1462" t="s">
        <v>3396</v>
      </c>
      <c r="D1462" t="s">
        <v>3397</v>
      </c>
      <c r="E1462" s="19">
        <v>41852</v>
      </c>
      <c r="F1462" t="str">
        <f>"9781613994078"</f>
        <v>9781613994078</v>
      </c>
      <c r="G1462" t="str">
        <f>"9781613993286"</f>
        <v>9781613993286</v>
      </c>
      <c r="H1462" t="s">
        <v>179</v>
      </c>
      <c r="I1462">
        <v>622.33820000000003</v>
      </c>
      <c r="J1462" t="s">
        <v>3398</v>
      </c>
      <c r="K1462" t="s">
        <v>73</v>
      </c>
      <c r="N1462" t="s">
        <v>74</v>
      </c>
      <c r="O1462" t="s">
        <v>75</v>
      </c>
      <c r="P1462" t="s">
        <v>74</v>
      </c>
      <c r="Q1462" t="s">
        <v>76</v>
      </c>
      <c r="R1462" t="s">
        <v>73</v>
      </c>
      <c r="S1462">
        <v>0</v>
      </c>
      <c r="W1462" s="20">
        <v>4.7453703703703703E-3</v>
      </c>
      <c r="X1462" t="s">
        <v>3418</v>
      </c>
      <c r="Y1462">
        <v>7</v>
      </c>
      <c r="Z1462">
        <v>0</v>
      </c>
      <c r="AA1462" t="s">
        <v>78</v>
      </c>
      <c r="AB1462">
        <v>0</v>
      </c>
      <c r="AC1462" t="s">
        <v>78</v>
      </c>
      <c r="AD1462">
        <v>0</v>
      </c>
      <c r="AE1462">
        <v>11465346</v>
      </c>
      <c r="AF1462" t="s">
        <v>79</v>
      </c>
      <c r="AG1462" t="s">
        <v>3395</v>
      </c>
    </row>
    <row r="1463" spans="1:33" x14ac:dyDescent="0.35">
      <c r="A1463" s="18">
        <v>44394.463888888888</v>
      </c>
      <c r="B1463">
        <v>3001261</v>
      </c>
      <c r="C1463" t="s">
        <v>3419</v>
      </c>
      <c r="D1463" t="s">
        <v>3420</v>
      </c>
      <c r="E1463" s="19">
        <v>39630</v>
      </c>
      <c r="F1463" t="str">
        <f>"9780313352874"</f>
        <v>9780313352874</v>
      </c>
      <c r="G1463" t="str">
        <f>"9780313352867"</f>
        <v>9780313352867</v>
      </c>
      <c r="H1463" t="s">
        <v>3421</v>
      </c>
      <c r="I1463">
        <v>333.79</v>
      </c>
      <c r="J1463" t="s">
        <v>3422</v>
      </c>
      <c r="K1463" t="s">
        <v>73</v>
      </c>
      <c r="N1463" t="s">
        <v>74</v>
      </c>
      <c r="O1463" t="s">
        <v>75</v>
      </c>
      <c r="P1463" t="s">
        <v>74</v>
      </c>
      <c r="Q1463" t="s">
        <v>76</v>
      </c>
      <c r="R1463" t="s">
        <v>73</v>
      </c>
      <c r="S1463">
        <v>0</v>
      </c>
      <c r="W1463" s="20">
        <v>8.1018518518518516E-5</v>
      </c>
      <c r="X1463" t="s">
        <v>132</v>
      </c>
      <c r="Y1463">
        <v>1</v>
      </c>
      <c r="Z1463">
        <v>0</v>
      </c>
      <c r="AA1463" t="s">
        <v>78</v>
      </c>
      <c r="AB1463">
        <v>0</v>
      </c>
      <c r="AC1463" t="s">
        <v>78</v>
      </c>
      <c r="AD1463">
        <v>0</v>
      </c>
      <c r="AE1463">
        <v>10271266</v>
      </c>
      <c r="AF1463" t="s">
        <v>79</v>
      </c>
      <c r="AG1463" t="s">
        <v>1500</v>
      </c>
    </row>
    <row r="1464" spans="1:33" x14ac:dyDescent="0.35">
      <c r="A1464" s="18">
        <v>44393.826388888891</v>
      </c>
      <c r="B1464">
        <v>433786</v>
      </c>
      <c r="C1464" t="s">
        <v>3423</v>
      </c>
      <c r="D1464" t="s">
        <v>70</v>
      </c>
      <c r="E1464" s="19">
        <v>39916</v>
      </c>
      <c r="F1464" t="str">
        <f>"9780470447703"</f>
        <v>9780470447703</v>
      </c>
      <c r="G1464" t="str">
        <f>"9780470373170"</f>
        <v>9780470373170</v>
      </c>
      <c r="H1464" t="s">
        <v>3320</v>
      </c>
      <c r="I1464" t="s">
        <v>3424</v>
      </c>
      <c r="J1464" t="s">
        <v>3425</v>
      </c>
      <c r="K1464" t="s">
        <v>73</v>
      </c>
      <c r="N1464" t="s">
        <v>74</v>
      </c>
      <c r="O1464" t="s">
        <v>75</v>
      </c>
      <c r="P1464" t="s">
        <v>74</v>
      </c>
      <c r="Q1464" t="s">
        <v>76</v>
      </c>
      <c r="R1464" t="s">
        <v>73</v>
      </c>
      <c r="S1464">
        <v>1</v>
      </c>
      <c r="W1464" s="20">
        <v>0</v>
      </c>
      <c r="X1464" t="s">
        <v>78</v>
      </c>
      <c r="Y1464">
        <v>0</v>
      </c>
      <c r="Z1464">
        <v>0</v>
      </c>
      <c r="AA1464" t="s">
        <v>78</v>
      </c>
      <c r="AB1464">
        <v>0</v>
      </c>
      <c r="AC1464" t="s">
        <v>78</v>
      </c>
      <c r="AD1464">
        <v>0</v>
      </c>
      <c r="AE1464">
        <v>10313627</v>
      </c>
      <c r="AF1464" t="s">
        <v>88</v>
      </c>
      <c r="AG1464" t="s">
        <v>3309</v>
      </c>
    </row>
    <row r="1465" spans="1:33" x14ac:dyDescent="0.35">
      <c r="A1465" s="18">
        <v>44393.824999999997</v>
      </c>
      <c r="B1465">
        <v>433786</v>
      </c>
      <c r="C1465" t="s">
        <v>3423</v>
      </c>
      <c r="D1465" t="s">
        <v>70</v>
      </c>
      <c r="E1465" s="19">
        <v>39916</v>
      </c>
      <c r="F1465" t="str">
        <f>"9780470447703"</f>
        <v>9780470447703</v>
      </c>
      <c r="G1465" t="str">
        <f>"9780470373170"</f>
        <v>9780470373170</v>
      </c>
      <c r="H1465" t="s">
        <v>3320</v>
      </c>
      <c r="I1465" t="s">
        <v>3424</v>
      </c>
      <c r="J1465" t="s">
        <v>3425</v>
      </c>
      <c r="K1465" t="s">
        <v>73</v>
      </c>
      <c r="N1465" t="s">
        <v>74</v>
      </c>
      <c r="O1465" t="s">
        <v>75</v>
      </c>
      <c r="P1465" t="s">
        <v>74</v>
      </c>
      <c r="Q1465" t="s">
        <v>76</v>
      </c>
      <c r="R1465" t="s">
        <v>73</v>
      </c>
      <c r="S1465">
        <v>0</v>
      </c>
      <c r="W1465" s="20">
        <v>1.2962962962962963E-3</v>
      </c>
      <c r="X1465" t="s">
        <v>3426</v>
      </c>
      <c r="Y1465">
        <v>3</v>
      </c>
      <c r="Z1465">
        <v>0</v>
      </c>
      <c r="AA1465" t="s">
        <v>78</v>
      </c>
      <c r="AB1465">
        <v>0</v>
      </c>
      <c r="AC1465" t="s">
        <v>78</v>
      </c>
      <c r="AD1465">
        <v>0</v>
      </c>
      <c r="AE1465">
        <v>10313627</v>
      </c>
      <c r="AF1465" t="s">
        <v>88</v>
      </c>
      <c r="AG1465" t="s">
        <v>3309</v>
      </c>
    </row>
    <row r="1466" spans="1:33" x14ac:dyDescent="0.35">
      <c r="A1466" s="18">
        <v>44393.336111111108</v>
      </c>
      <c r="B1466">
        <v>6346764</v>
      </c>
      <c r="C1466" t="s">
        <v>3427</v>
      </c>
      <c r="D1466" t="s">
        <v>338</v>
      </c>
      <c r="E1466" s="19">
        <v>44082</v>
      </c>
      <c r="F1466" t="str">
        <f>"9780128183441"</f>
        <v>9780128183441</v>
      </c>
      <c r="G1466" t="str">
        <f>"9780128183434"</f>
        <v>9780128183434</v>
      </c>
      <c r="H1466" t="s">
        <v>179</v>
      </c>
      <c r="I1466">
        <v>622.33826999999997</v>
      </c>
      <c r="J1466" t="s">
        <v>3428</v>
      </c>
      <c r="K1466" t="s">
        <v>85</v>
      </c>
      <c r="Q1466" t="s">
        <v>76</v>
      </c>
      <c r="R1466" t="s">
        <v>73</v>
      </c>
      <c r="S1466">
        <v>0</v>
      </c>
      <c r="W1466" s="20">
        <v>4.6296296296296294E-5</v>
      </c>
      <c r="X1466" t="s">
        <v>3429</v>
      </c>
      <c r="Y1466">
        <v>1</v>
      </c>
      <c r="Z1466">
        <v>0</v>
      </c>
      <c r="AA1466" t="s">
        <v>78</v>
      </c>
      <c r="AB1466">
        <v>0</v>
      </c>
      <c r="AC1466" t="s">
        <v>78</v>
      </c>
      <c r="AD1466">
        <v>0</v>
      </c>
      <c r="AE1466">
        <v>-1</v>
      </c>
      <c r="AF1466" t="s">
        <v>79</v>
      </c>
      <c r="AG1466" t="s">
        <v>3395</v>
      </c>
    </row>
    <row r="1467" spans="1:33" x14ac:dyDescent="0.35">
      <c r="A1467" s="18">
        <v>44393.324999999997</v>
      </c>
      <c r="B1467">
        <v>4769055</v>
      </c>
      <c r="C1467" t="s">
        <v>3430</v>
      </c>
      <c r="D1467" t="s">
        <v>70</v>
      </c>
      <c r="E1467" s="19">
        <v>42716</v>
      </c>
      <c r="F1467" t="str">
        <f>"9781119293835"</f>
        <v>9781119293835</v>
      </c>
      <c r="G1467" t="str">
        <f>"9781119293828"</f>
        <v>9781119293828</v>
      </c>
      <c r="H1467" t="s">
        <v>179</v>
      </c>
      <c r="I1467" t="s">
        <v>3431</v>
      </c>
      <c r="J1467" t="s">
        <v>3432</v>
      </c>
      <c r="K1467" t="s">
        <v>73</v>
      </c>
      <c r="N1467" t="s">
        <v>74</v>
      </c>
      <c r="O1467" t="s">
        <v>75</v>
      </c>
      <c r="P1467" t="s">
        <v>74</v>
      </c>
      <c r="Q1467" t="s">
        <v>76</v>
      </c>
      <c r="R1467" t="s">
        <v>73</v>
      </c>
      <c r="S1467">
        <v>0</v>
      </c>
      <c r="W1467" s="20">
        <v>2.5462962962962961E-4</v>
      </c>
      <c r="X1467" t="s">
        <v>3433</v>
      </c>
      <c r="Y1467">
        <v>9</v>
      </c>
      <c r="Z1467">
        <v>0</v>
      </c>
      <c r="AA1467" t="s">
        <v>78</v>
      </c>
      <c r="AB1467">
        <v>0</v>
      </c>
      <c r="AC1467" t="s">
        <v>78</v>
      </c>
      <c r="AD1467">
        <v>0</v>
      </c>
      <c r="AE1467">
        <v>11316833</v>
      </c>
      <c r="AF1467" t="s">
        <v>79</v>
      </c>
      <c r="AG1467" t="s">
        <v>3395</v>
      </c>
    </row>
    <row r="1468" spans="1:33" x14ac:dyDescent="0.35">
      <c r="A1468" s="18">
        <v>44393.318749999999</v>
      </c>
      <c r="B1468">
        <v>3019863</v>
      </c>
      <c r="C1468" t="s">
        <v>3434</v>
      </c>
      <c r="D1468" t="s">
        <v>226</v>
      </c>
      <c r="E1468" s="19">
        <v>40878</v>
      </c>
      <c r="F1468" t="str">
        <f>"9781614702986"</f>
        <v>9781614702986</v>
      </c>
      <c r="G1468" t="str">
        <f>"9781614701736"</f>
        <v>9781614701736</v>
      </c>
      <c r="H1468" t="s">
        <v>179</v>
      </c>
      <c r="I1468" t="s">
        <v>3435</v>
      </c>
      <c r="J1468" t="s">
        <v>3436</v>
      </c>
      <c r="K1468" t="s">
        <v>73</v>
      </c>
      <c r="N1468" t="s">
        <v>74</v>
      </c>
      <c r="O1468" t="s">
        <v>75</v>
      </c>
      <c r="P1468" t="s">
        <v>230</v>
      </c>
      <c r="Q1468" t="s">
        <v>76</v>
      </c>
      <c r="R1468" t="s">
        <v>85</v>
      </c>
      <c r="S1468">
        <v>0</v>
      </c>
      <c r="W1468" s="20">
        <v>1.1574074074074073E-4</v>
      </c>
      <c r="X1468" t="s">
        <v>866</v>
      </c>
      <c r="Y1468">
        <v>5</v>
      </c>
      <c r="Z1468">
        <v>0</v>
      </c>
      <c r="AA1468" t="s">
        <v>78</v>
      </c>
      <c r="AB1468">
        <v>0</v>
      </c>
      <c r="AC1468" t="s">
        <v>78</v>
      </c>
      <c r="AD1468">
        <v>0</v>
      </c>
      <c r="AE1468">
        <v>10671428</v>
      </c>
      <c r="AF1468" t="s">
        <v>79</v>
      </c>
      <c r="AG1468" t="s">
        <v>3395</v>
      </c>
    </row>
    <row r="1469" spans="1:33" x14ac:dyDescent="0.35">
      <c r="A1469" s="18">
        <v>44391.693055555559</v>
      </c>
      <c r="B1469">
        <v>436119</v>
      </c>
      <c r="C1469" t="s">
        <v>3437</v>
      </c>
      <c r="D1469" t="s">
        <v>1240</v>
      </c>
      <c r="E1469" s="19">
        <v>37368</v>
      </c>
      <c r="F1469" t="str">
        <f>"9781441153104"</f>
        <v>9781441153104</v>
      </c>
      <c r="G1469" t="str">
        <f>"9780826457288"</f>
        <v>9780826457288</v>
      </c>
      <c r="H1469" t="s">
        <v>528</v>
      </c>
      <c r="I1469">
        <v>194</v>
      </c>
      <c r="J1469" t="s">
        <v>3438</v>
      </c>
      <c r="K1469" t="s">
        <v>73</v>
      </c>
      <c r="N1469" t="s">
        <v>74</v>
      </c>
      <c r="O1469" t="s">
        <v>75</v>
      </c>
      <c r="P1469" t="s">
        <v>74</v>
      </c>
      <c r="Q1469" t="s">
        <v>76</v>
      </c>
      <c r="R1469" t="s">
        <v>73</v>
      </c>
      <c r="S1469">
        <v>0</v>
      </c>
      <c r="W1469" s="20">
        <v>6.6435185185185182E-3</v>
      </c>
      <c r="X1469" t="s">
        <v>3439</v>
      </c>
      <c r="Y1469">
        <v>10</v>
      </c>
      <c r="Z1469">
        <v>0</v>
      </c>
      <c r="AA1469" t="s">
        <v>78</v>
      </c>
      <c r="AB1469">
        <v>0</v>
      </c>
      <c r="AC1469" t="s">
        <v>78</v>
      </c>
      <c r="AD1469">
        <v>0</v>
      </c>
      <c r="AE1469">
        <v>10285137</v>
      </c>
      <c r="AF1469" t="s">
        <v>79</v>
      </c>
      <c r="AG1469" t="s">
        <v>2299</v>
      </c>
    </row>
    <row r="1470" spans="1:33" x14ac:dyDescent="0.35">
      <c r="A1470" s="18">
        <v>44391.560416666667</v>
      </c>
      <c r="B1470">
        <v>436119</v>
      </c>
      <c r="C1470" t="s">
        <v>3437</v>
      </c>
      <c r="D1470" t="s">
        <v>1240</v>
      </c>
      <c r="E1470" s="19">
        <v>37368</v>
      </c>
      <c r="F1470" t="str">
        <f>"9781441153104"</f>
        <v>9781441153104</v>
      </c>
      <c r="G1470" t="str">
        <f>"9780826457288"</f>
        <v>9780826457288</v>
      </c>
      <c r="H1470" t="s">
        <v>528</v>
      </c>
      <c r="I1470">
        <v>194</v>
      </c>
      <c r="J1470" t="s">
        <v>3438</v>
      </c>
      <c r="K1470" t="s">
        <v>73</v>
      </c>
      <c r="N1470" t="s">
        <v>74</v>
      </c>
      <c r="O1470" t="s">
        <v>75</v>
      </c>
      <c r="P1470" t="s">
        <v>74</v>
      </c>
      <c r="Q1470" t="s">
        <v>76</v>
      </c>
      <c r="R1470" t="s">
        <v>73</v>
      </c>
      <c r="S1470">
        <v>0</v>
      </c>
      <c r="W1470" s="20">
        <v>3.9386574074074074E-2</v>
      </c>
      <c r="X1470" t="s">
        <v>3440</v>
      </c>
      <c r="Y1470">
        <v>29</v>
      </c>
      <c r="Z1470">
        <v>0</v>
      </c>
      <c r="AA1470" t="s">
        <v>78</v>
      </c>
      <c r="AB1470">
        <v>0</v>
      </c>
      <c r="AC1470" t="s">
        <v>3441</v>
      </c>
      <c r="AD1470">
        <v>2</v>
      </c>
      <c r="AE1470">
        <v>10285137</v>
      </c>
      <c r="AF1470" t="s">
        <v>79</v>
      </c>
      <c r="AG1470" t="s">
        <v>2299</v>
      </c>
    </row>
    <row r="1471" spans="1:33" x14ac:dyDescent="0.35">
      <c r="A1471" s="18">
        <v>44391.507638888892</v>
      </c>
      <c r="B1471">
        <v>415581</v>
      </c>
      <c r="C1471" t="s">
        <v>3442</v>
      </c>
      <c r="D1471" t="s">
        <v>990</v>
      </c>
      <c r="E1471" s="19">
        <v>39882</v>
      </c>
      <c r="F1471" t="str">
        <f>"9780199702800"</f>
        <v>9780199702800</v>
      </c>
      <c r="G1471" t="str">
        <f>"9780195378542"</f>
        <v>9780195378542</v>
      </c>
      <c r="H1471" t="s">
        <v>584</v>
      </c>
      <c r="I1471" t="s">
        <v>3443</v>
      </c>
      <c r="J1471" t="s">
        <v>3444</v>
      </c>
      <c r="K1471" t="s">
        <v>73</v>
      </c>
      <c r="N1471" t="s">
        <v>74</v>
      </c>
      <c r="O1471" t="s">
        <v>75</v>
      </c>
      <c r="P1471" t="s">
        <v>74</v>
      </c>
      <c r="Q1471" t="s">
        <v>76</v>
      </c>
      <c r="R1471" t="s">
        <v>73</v>
      </c>
      <c r="S1471">
        <v>0</v>
      </c>
      <c r="W1471" s="20">
        <v>4.4560185185185189E-3</v>
      </c>
      <c r="X1471" t="s">
        <v>3445</v>
      </c>
      <c r="Y1471">
        <v>29</v>
      </c>
      <c r="Z1471">
        <v>0</v>
      </c>
      <c r="AA1471" t="s">
        <v>78</v>
      </c>
      <c r="AB1471">
        <v>0</v>
      </c>
      <c r="AC1471" t="s">
        <v>78</v>
      </c>
      <c r="AD1471">
        <v>0</v>
      </c>
      <c r="AE1471">
        <v>10288350</v>
      </c>
      <c r="AF1471" t="s">
        <v>79</v>
      </c>
      <c r="AG1471" t="s">
        <v>515</v>
      </c>
    </row>
    <row r="1472" spans="1:33" x14ac:dyDescent="0.35">
      <c r="A1472" s="18">
        <v>44391.416666666664</v>
      </c>
      <c r="B1472">
        <v>456796</v>
      </c>
      <c r="C1472" t="s">
        <v>3446</v>
      </c>
      <c r="D1472" t="s">
        <v>844</v>
      </c>
      <c r="E1472" s="19">
        <v>36455</v>
      </c>
      <c r="F1472" t="str">
        <f>"9781849206976"</f>
        <v>9781849206976</v>
      </c>
      <c r="G1472" t="str">
        <f>"9780761965251"</f>
        <v>9780761965251</v>
      </c>
      <c r="H1472" t="s">
        <v>128</v>
      </c>
      <c r="I1472">
        <v>300.72000000000003</v>
      </c>
      <c r="J1472">
        <v>500289</v>
      </c>
      <c r="K1472" t="s">
        <v>73</v>
      </c>
      <c r="N1472" t="s">
        <v>74</v>
      </c>
      <c r="O1472" t="s">
        <v>75</v>
      </c>
      <c r="P1472" t="s">
        <v>74</v>
      </c>
      <c r="Q1472" t="s">
        <v>76</v>
      </c>
      <c r="R1472" t="s">
        <v>73</v>
      </c>
      <c r="S1472">
        <v>0</v>
      </c>
      <c r="W1472" s="20">
        <v>1.3888888888888889E-4</v>
      </c>
      <c r="X1472" t="s">
        <v>3124</v>
      </c>
      <c r="Y1472">
        <v>2</v>
      </c>
      <c r="Z1472">
        <v>0</v>
      </c>
      <c r="AA1472" t="s">
        <v>78</v>
      </c>
      <c r="AB1472">
        <v>0</v>
      </c>
      <c r="AC1472" t="s">
        <v>78</v>
      </c>
      <c r="AD1472">
        <v>0</v>
      </c>
      <c r="AE1472">
        <v>10326865</v>
      </c>
      <c r="AF1472" t="s">
        <v>79</v>
      </c>
      <c r="AG1472" t="s">
        <v>3447</v>
      </c>
    </row>
    <row r="1473" spans="1:33" x14ac:dyDescent="0.35">
      <c r="A1473" s="18">
        <v>44390.680555555555</v>
      </c>
      <c r="B1473">
        <v>3407197</v>
      </c>
      <c r="C1473" t="s">
        <v>3448</v>
      </c>
      <c r="D1473" t="s">
        <v>517</v>
      </c>
      <c r="E1473" s="19">
        <v>40878</v>
      </c>
      <c r="F1473" t="str">
        <f>"9781438439594"</f>
        <v>9781438439594</v>
      </c>
      <c r="G1473" t="str">
        <f>"9781438439570"</f>
        <v>9781438439570</v>
      </c>
      <c r="H1473" t="s">
        <v>528</v>
      </c>
      <c r="I1473">
        <v>194</v>
      </c>
      <c r="J1473" t="s">
        <v>3449</v>
      </c>
      <c r="K1473" t="s">
        <v>73</v>
      </c>
      <c r="N1473" t="s">
        <v>74</v>
      </c>
      <c r="O1473" t="s">
        <v>75</v>
      </c>
      <c r="P1473" t="s">
        <v>74</v>
      </c>
      <c r="Q1473" t="s">
        <v>76</v>
      </c>
      <c r="R1473" t="s">
        <v>73</v>
      </c>
      <c r="S1473">
        <v>1</v>
      </c>
      <c r="W1473" s="20">
        <v>0</v>
      </c>
      <c r="X1473" t="s">
        <v>78</v>
      </c>
      <c r="Y1473">
        <v>0</v>
      </c>
      <c r="Z1473">
        <v>0</v>
      </c>
      <c r="AA1473" t="s">
        <v>78</v>
      </c>
      <c r="AB1473">
        <v>0</v>
      </c>
      <c r="AC1473" t="s">
        <v>78</v>
      </c>
      <c r="AD1473">
        <v>0</v>
      </c>
      <c r="AE1473">
        <v>10574058</v>
      </c>
      <c r="AF1473" t="s">
        <v>88</v>
      </c>
      <c r="AG1473" t="s">
        <v>2299</v>
      </c>
    </row>
    <row r="1474" spans="1:33" x14ac:dyDescent="0.35">
      <c r="A1474" s="18">
        <v>44390.64166666667</v>
      </c>
      <c r="B1474">
        <v>3407197</v>
      </c>
      <c r="C1474" t="s">
        <v>3448</v>
      </c>
      <c r="D1474" t="s">
        <v>517</v>
      </c>
      <c r="E1474" s="19">
        <v>40878</v>
      </c>
      <c r="F1474" t="str">
        <f>"9781438439594"</f>
        <v>9781438439594</v>
      </c>
      <c r="G1474" t="str">
        <f>"9781438439570"</f>
        <v>9781438439570</v>
      </c>
      <c r="H1474" t="s">
        <v>528</v>
      </c>
      <c r="I1474">
        <v>194</v>
      </c>
      <c r="J1474" t="s">
        <v>3449</v>
      </c>
      <c r="K1474" t="s">
        <v>73</v>
      </c>
      <c r="N1474" t="s">
        <v>74</v>
      </c>
      <c r="O1474" t="s">
        <v>75</v>
      </c>
      <c r="P1474" t="s">
        <v>74</v>
      </c>
      <c r="Q1474" t="s">
        <v>76</v>
      </c>
      <c r="R1474" t="s">
        <v>73</v>
      </c>
      <c r="S1474">
        <v>0</v>
      </c>
      <c r="W1474" s="20">
        <v>3.876157407407408E-2</v>
      </c>
      <c r="X1474" t="s">
        <v>3450</v>
      </c>
      <c r="Y1474">
        <v>35</v>
      </c>
      <c r="Z1474">
        <v>0</v>
      </c>
      <c r="AA1474" t="s">
        <v>78</v>
      </c>
      <c r="AB1474">
        <v>0</v>
      </c>
      <c r="AC1474" t="s">
        <v>78</v>
      </c>
      <c r="AD1474">
        <v>0</v>
      </c>
      <c r="AE1474">
        <v>10574058</v>
      </c>
      <c r="AF1474" t="s">
        <v>88</v>
      </c>
      <c r="AG1474" t="s">
        <v>2299</v>
      </c>
    </row>
    <row r="1475" spans="1:33" x14ac:dyDescent="0.35">
      <c r="A1475" s="18">
        <v>44388.77847222222</v>
      </c>
      <c r="B1475">
        <v>4895083</v>
      </c>
      <c r="C1475" t="s">
        <v>3451</v>
      </c>
      <c r="D1475" t="s">
        <v>3089</v>
      </c>
      <c r="E1475" s="19">
        <v>42702</v>
      </c>
      <c r="F1475" t="str">
        <f>"9781944534752"</f>
        <v>9781944534752</v>
      </c>
      <c r="G1475" t="str">
        <f>""</f>
        <v/>
      </c>
      <c r="H1475" t="s">
        <v>110</v>
      </c>
      <c r="I1475">
        <v>5.133</v>
      </c>
      <c r="J1475" t="s">
        <v>3452</v>
      </c>
      <c r="K1475" t="s">
        <v>73</v>
      </c>
      <c r="N1475" t="s">
        <v>74</v>
      </c>
      <c r="O1475" t="s">
        <v>75</v>
      </c>
      <c r="P1475" t="s">
        <v>74</v>
      </c>
      <c r="Q1475" t="s">
        <v>76</v>
      </c>
      <c r="R1475" t="s">
        <v>73</v>
      </c>
      <c r="S1475">
        <v>2</v>
      </c>
      <c r="W1475" s="20">
        <v>3.2175925925925926E-3</v>
      </c>
      <c r="X1475" t="s">
        <v>3453</v>
      </c>
      <c r="Y1475">
        <v>26</v>
      </c>
      <c r="Z1475">
        <v>0</v>
      </c>
      <c r="AA1475" t="s">
        <v>78</v>
      </c>
      <c r="AB1475">
        <v>0</v>
      </c>
      <c r="AC1475" t="s">
        <v>78</v>
      </c>
      <c r="AD1475">
        <v>0</v>
      </c>
      <c r="AE1475">
        <v>11405515</v>
      </c>
      <c r="AF1475" t="s">
        <v>88</v>
      </c>
      <c r="AG1475" t="s">
        <v>3309</v>
      </c>
    </row>
    <row r="1476" spans="1:33" x14ac:dyDescent="0.35">
      <c r="A1476" s="18">
        <v>44388.777083333334</v>
      </c>
      <c r="B1476">
        <v>4895083</v>
      </c>
      <c r="C1476" t="s">
        <v>3451</v>
      </c>
      <c r="D1476" t="s">
        <v>3089</v>
      </c>
      <c r="E1476" s="19">
        <v>42702</v>
      </c>
      <c r="F1476" t="str">
        <f>"9781944534752"</f>
        <v>9781944534752</v>
      </c>
      <c r="G1476" t="str">
        <f>""</f>
        <v/>
      </c>
      <c r="H1476" t="s">
        <v>110</v>
      </c>
      <c r="I1476">
        <v>5.133</v>
      </c>
      <c r="J1476" t="s">
        <v>3452</v>
      </c>
      <c r="K1476" t="s">
        <v>73</v>
      </c>
      <c r="N1476" t="s">
        <v>74</v>
      </c>
      <c r="O1476" t="s">
        <v>75</v>
      </c>
      <c r="P1476" t="s">
        <v>74</v>
      </c>
      <c r="Q1476" t="s">
        <v>76</v>
      </c>
      <c r="R1476" t="s">
        <v>73</v>
      </c>
      <c r="S1476">
        <v>0</v>
      </c>
      <c r="W1476" s="20">
        <v>1.2152777777777778E-3</v>
      </c>
      <c r="X1476" t="s">
        <v>132</v>
      </c>
      <c r="Y1476">
        <v>1</v>
      </c>
      <c r="Z1476">
        <v>0</v>
      </c>
      <c r="AA1476" t="s">
        <v>78</v>
      </c>
      <c r="AB1476">
        <v>0</v>
      </c>
      <c r="AC1476" t="s">
        <v>78</v>
      </c>
      <c r="AD1476">
        <v>0</v>
      </c>
      <c r="AE1476">
        <v>11405515</v>
      </c>
      <c r="AF1476" t="s">
        <v>79</v>
      </c>
      <c r="AG1476" t="s">
        <v>3309</v>
      </c>
    </row>
    <row r="1477" spans="1:33" x14ac:dyDescent="0.35">
      <c r="A1477" s="18">
        <v>44388.776388888888</v>
      </c>
      <c r="B1477">
        <v>5596841</v>
      </c>
      <c r="C1477" t="s">
        <v>3454</v>
      </c>
      <c r="D1477" t="s">
        <v>1311</v>
      </c>
      <c r="E1477" s="19">
        <v>43411</v>
      </c>
      <c r="F1477" t="str">
        <f>"9781351013222"</f>
        <v>9781351013222</v>
      </c>
      <c r="G1477" t="str">
        <f>"9780815394372"</f>
        <v>9780815394372</v>
      </c>
      <c r="H1477" t="s">
        <v>110</v>
      </c>
      <c r="I1477" t="s">
        <v>3134</v>
      </c>
      <c r="K1477" t="s">
        <v>85</v>
      </c>
      <c r="Q1477" t="s">
        <v>76</v>
      </c>
      <c r="R1477" t="s">
        <v>73</v>
      </c>
      <c r="S1477">
        <v>0</v>
      </c>
      <c r="W1477" s="20">
        <v>4.6527777777777774E-3</v>
      </c>
      <c r="X1477" t="s">
        <v>3455</v>
      </c>
      <c r="Y1477">
        <v>5</v>
      </c>
      <c r="Z1477">
        <v>0</v>
      </c>
      <c r="AA1477" t="s">
        <v>78</v>
      </c>
      <c r="AB1477">
        <v>0</v>
      </c>
      <c r="AC1477" t="s">
        <v>78</v>
      </c>
      <c r="AD1477">
        <v>0</v>
      </c>
      <c r="AE1477">
        <v>-1</v>
      </c>
      <c r="AF1477" t="s">
        <v>88</v>
      </c>
      <c r="AG1477" t="s">
        <v>3309</v>
      </c>
    </row>
    <row r="1478" spans="1:33" x14ac:dyDescent="0.35">
      <c r="A1478" s="18">
        <v>44388.677777777775</v>
      </c>
      <c r="B1478">
        <v>1707324</v>
      </c>
      <c r="C1478" t="s">
        <v>3456</v>
      </c>
      <c r="D1478" t="s">
        <v>183</v>
      </c>
      <c r="E1478" s="19">
        <v>41815</v>
      </c>
      <c r="F1478" t="str">
        <f>"9780804791373"</f>
        <v>9780804791373</v>
      </c>
      <c r="G1478" t="str">
        <f>"9780804785433"</f>
        <v>9780804785433</v>
      </c>
      <c r="H1478" t="s">
        <v>128</v>
      </c>
      <c r="I1478" t="s">
        <v>3457</v>
      </c>
      <c r="J1478" t="s">
        <v>3458</v>
      </c>
      <c r="K1478" t="s">
        <v>73</v>
      </c>
      <c r="N1478" t="s">
        <v>74</v>
      </c>
      <c r="O1478" t="s">
        <v>75</v>
      </c>
      <c r="P1478" t="s">
        <v>74</v>
      </c>
      <c r="Q1478" t="s">
        <v>76</v>
      </c>
      <c r="R1478" t="s">
        <v>73</v>
      </c>
      <c r="S1478">
        <v>0</v>
      </c>
      <c r="W1478" s="20">
        <v>2.9745370370370373E-3</v>
      </c>
      <c r="X1478" t="s">
        <v>3459</v>
      </c>
      <c r="Y1478">
        <v>7</v>
      </c>
      <c r="Z1478">
        <v>0</v>
      </c>
      <c r="AA1478" t="s">
        <v>78</v>
      </c>
      <c r="AB1478">
        <v>0</v>
      </c>
      <c r="AC1478" t="s">
        <v>78</v>
      </c>
      <c r="AD1478">
        <v>0</v>
      </c>
      <c r="AE1478">
        <v>10891131</v>
      </c>
      <c r="AF1478" t="s">
        <v>88</v>
      </c>
      <c r="AG1478" t="s">
        <v>3460</v>
      </c>
    </row>
    <row r="1479" spans="1:33" x14ac:dyDescent="0.35">
      <c r="A1479" s="18">
        <v>44388.675000000003</v>
      </c>
      <c r="B1479">
        <v>1822935</v>
      </c>
      <c r="C1479" t="s">
        <v>3461</v>
      </c>
      <c r="D1479" t="s">
        <v>1426</v>
      </c>
      <c r="E1479" s="19">
        <v>42016</v>
      </c>
      <c r="F1479" t="str">
        <f>"9780253014139"</f>
        <v>9780253014139</v>
      </c>
      <c r="G1479" t="str">
        <f>"9780253014092"</f>
        <v>9780253014092</v>
      </c>
      <c r="H1479" t="s">
        <v>822</v>
      </c>
      <c r="I1479">
        <v>746.92096000000004</v>
      </c>
      <c r="J1479" t="s">
        <v>3462</v>
      </c>
      <c r="K1479" t="s">
        <v>73</v>
      </c>
      <c r="N1479" t="s">
        <v>74</v>
      </c>
      <c r="O1479" t="s">
        <v>75</v>
      </c>
      <c r="P1479" t="s">
        <v>74</v>
      </c>
      <c r="Q1479" t="s">
        <v>76</v>
      </c>
      <c r="R1479" t="s">
        <v>73</v>
      </c>
      <c r="S1479">
        <v>1</v>
      </c>
      <c r="W1479" s="20">
        <v>0</v>
      </c>
      <c r="X1479" t="s">
        <v>78</v>
      </c>
      <c r="Y1479">
        <v>0</v>
      </c>
      <c r="Z1479">
        <v>0</v>
      </c>
      <c r="AA1479" t="s">
        <v>78</v>
      </c>
      <c r="AB1479">
        <v>0</v>
      </c>
      <c r="AC1479" t="s">
        <v>78</v>
      </c>
      <c r="AD1479">
        <v>0</v>
      </c>
      <c r="AE1479">
        <v>10957191</v>
      </c>
      <c r="AF1479" t="s">
        <v>88</v>
      </c>
      <c r="AG1479" t="s">
        <v>3460</v>
      </c>
    </row>
    <row r="1480" spans="1:33" x14ac:dyDescent="0.35">
      <c r="A1480" s="18">
        <v>44388.668749999997</v>
      </c>
      <c r="B1480">
        <v>713678</v>
      </c>
      <c r="C1480" t="s">
        <v>3463</v>
      </c>
      <c r="D1480" t="s">
        <v>1426</v>
      </c>
      <c r="E1480" s="19">
        <v>40455</v>
      </c>
      <c r="F1480" t="str">
        <f>"9780253001405"</f>
        <v>9780253001405</v>
      </c>
      <c r="G1480" t="str">
        <f>"9780253222565"</f>
        <v>9780253222565</v>
      </c>
      <c r="H1480" t="s">
        <v>822</v>
      </c>
      <c r="I1480" t="s">
        <v>3464</v>
      </c>
      <c r="J1480" t="s">
        <v>3465</v>
      </c>
      <c r="K1480" t="s">
        <v>73</v>
      </c>
      <c r="N1480" t="s">
        <v>74</v>
      </c>
      <c r="O1480" t="s">
        <v>75</v>
      </c>
      <c r="P1480" t="s">
        <v>74</v>
      </c>
      <c r="Q1480" t="s">
        <v>76</v>
      </c>
      <c r="R1480" t="s">
        <v>73</v>
      </c>
      <c r="S1480">
        <v>2</v>
      </c>
      <c r="W1480" s="20">
        <v>0</v>
      </c>
      <c r="X1480" t="s">
        <v>78</v>
      </c>
      <c r="Y1480">
        <v>0</v>
      </c>
      <c r="Z1480">
        <v>0</v>
      </c>
      <c r="AA1480" t="s">
        <v>78</v>
      </c>
      <c r="AB1480">
        <v>0</v>
      </c>
      <c r="AC1480" t="s">
        <v>78</v>
      </c>
      <c r="AD1480">
        <v>0</v>
      </c>
      <c r="AE1480">
        <v>10481742</v>
      </c>
      <c r="AF1480" t="s">
        <v>88</v>
      </c>
      <c r="AG1480" t="s">
        <v>3460</v>
      </c>
    </row>
    <row r="1481" spans="1:33" x14ac:dyDescent="0.35">
      <c r="A1481" s="18">
        <v>44388.652083333334</v>
      </c>
      <c r="B1481">
        <v>713678</v>
      </c>
      <c r="C1481" t="s">
        <v>3463</v>
      </c>
      <c r="D1481" t="s">
        <v>1426</v>
      </c>
      <c r="E1481" s="19">
        <v>40455</v>
      </c>
      <c r="F1481" t="str">
        <f>"9780253001405"</f>
        <v>9780253001405</v>
      </c>
      <c r="G1481" t="str">
        <f>"9780253222565"</f>
        <v>9780253222565</v>
      </c>
      <c r="H1481" t="s">
        <v>822</v>
      </c>
      <c r="I1481" t="s">
        <v>3464</v>
      </c>
      <c r="J1481" t="s">
        <v>3465</v>
      </c>
      <c r="K1481" t="s">
        <v>73</v>
      </c>
      <c r="N1481" t="s">
        <v>74</v>
      </c>
      <c r="O1481" t="s">
        <v>75</v>
      </c>
      <c r="P1481" t="s">
        <v>74</v>
      </c>
      <c r="Q1481" t="s">
        <v>76</v>
      </c>
      <c r="R1481" t="s">
        <v>73</v>
      </c>
      <c r="S1481">
        <v>0</v>
      </c>
      <c r="W1481" s="20">
        <v>1.6921296296296299E-2</v>
      </c>
      <c r="X1481" t="s">
        <v>3466</v>
      </c>
      <c r="Y1481">
        <v>10</v>
      </c>
      <c r="Z1481">
        <v>0</v>
      </c>
      <c r="AA1481" t="s">
        <v>78</v>
      </c>
      <c r="AB1481">
        <v>0</v>
      </c>
      <c r="AC1481" t="s">
        <v>78</v>
      </c>
      <c r="AD1481">
        <v>0</v>
      </c>
      <c r="AE1481">
        <v>10481742</v>
      </c>
      <c r="AF1481" t="s">
        <v>88</v>
      </c>
      <c r="AG1481" t="s">
        <v>3460</v>
      </c>
    </row>
    <row r="1482" spans="1:33" x14ac:dyDescent="0.35">
      <c r="A1482" s="18">
        <v>44388.484027777777</v>
      </c>
      <c r="B1482">
        <v>5596841</v>
      </c>
      <c r="C1482" t="s">
        <v>3454</v>
      </c>
      <c r="D1482" t="s">
        <v>1311</v>
      </c>
      <c r="E1482" s="19">
        <v>43411</v>
      </c>
      <c r="F1482" t="str">
        <f>"9781351013222"</f>
        <v>9781351013222</v>
      </c>
      <c r="G1482" t="str">
        <f>"9780815394372"</f>
        <v>9780815394372</v>
      </c>
      <c r="H1482" t="s">
        <v>110</v>
      </c>
      <c r="I1482" t="s">
        <v>3134</v>
      </c>
      <c r="K1482" t="s">
        <v>85</v>
      </c>
      <c r="Q1482" t="s">
        <v>76</v>
      </c>
      <c r="R1482" t="s">
        <v>73</v>
      </c>
      <c r="S1482">
        <v>0</v>
      </c>
      <c r="W1482" s="20">
        <v>2.1874999999999998E-3</v>
      </c>
      <c r="X1482" t="s">
        <v>3467</v>
      </c>
      <c r="Y1482">
        <v>23</v>
      </c>
      <c r="Z1482">
        <v>0</v>
      </c>
      <c r="AA1482" t="s">
        <v>78</v>
      </c>
      <c r="AB1482">
        <v>0</v>
      </c>
      <c r="AC1482" t="s">
        <v>78</v>
      </c>
      <c r="AD1482">
        <v>0</v>
      </c>
      <c r="AE1482">
        <v>-1</v>
      </c>
      <c r="AF1482" t="s">
        <v>79</v>
      </c>
      <c r="AG1482" t="s">
        <v>3309</v>
      </c>
    </row>
    <row r="1483" spans="1:33" x14ac:dyDescent="0.35">
      <c r="A1483" s="18">
        <v>44388.48333333333</v>
      </c>
      <c r="B1483">
        <v>293982</v>
      </c>
      <c r="C1483" t="s">
        <v>3468</v>
      </c>
      <c r="D1483" t="s">
        <v>158</v>
      </c>
      <c r="E1483" s="19">
        <v>37553</v>
      </c>
      <c r="F1483" t="str">
        <f>"9780080478692"</f>
        <v>9780080478692</v>
      </c>
      <c r="G1483" t="str">
        <f>"9780750675314"</f>
        <v>9780750675314</v>
      </c>
      <c r="H1483" t="s">
        <v>143</v>
      </c>
      <c r="I1483" t="s">
        <v>3469</v>
      </c>
      <c r="J1483">
        <v>2001056670</v>
      </c>
      <c r="K1483" t="s">
        <v>73</v>
      </c>
      <c r="N1483" t="s">
        <v>74</v>
      </c>
      <c r="O1483" t="s">
        <v>75</v>
      </c>
      <c r="P1483" t="s">
        <v>74</v>
      </c>
      <c r="Q1483" t="s">
        <v>76</v>
      </c>
      <c r="R1483" t="s">
        <v>73</v>
      </c>
      <c r="S1483">
        <v>0</v>
      </c>
      <c r="W1483" s="20">
        <v>4.5370370370370365E-3</v>
      </c>
      <c r="X1483" t="s">
        <v>3470</v>
      </c>
      <c r="Y1483">
        <v>10</v>
      </c>
      <c r="Z1483">
        <v>0</v>
      </c>
      <c r="AA1483" t="s">
        <v>78</v>
      </c>
      <c r="AB1483">
        <v>0</v>
      </c>
      <c r="AC1483" t="s">
        <v>78</v>
      </c>
      <c r="AD1483">
        <v>0</v>
      </c>
      <c r="AE1483">
        <v>10186146</v>
      </c>
      <c r="AF1483" t="s">
        <v>79</v>
      </c>
      <c r="AG1483" t="s">
        <v>3309</v>
      </c>
    </row>
    <row r="1484" spans="1:33" x14ac:dyDescent="0.35">
      <c r="A1484" s="18">
        <v>44387.555555555555</v>
      </c>
      <c r="B1484">
        <v>3111611</v>
      </c>
      <c r="C1484" t="s">
        <v>3471</v>
      </c>
      <c r="D1484" t="s">
        <v>1117</v>
      </c>
      <c r="E1484" s="19">
        <v>35796</v>
      </c>
      <c r="F1484" t="str">
        <f>"9781600864339"</f>
        <v>9781600864339</v>
      </c>
      <c r="G1484" t="str">
        <f>"9781563472763"</f>
        <v>9781563472763</v>
      </c>
      <c r="H1484" t="s">
        <v>1502</v>
      </c>
      <c r="I1484" t="s">
        <v>3472</v>
      </c>
      <c r="J1484" t="s">
        <v>3473</v>
      </c>
      <c r="K1484" t="s">
        <v>73</v>
      </c>
      <c r="N1484" t="s">
        <v>74</v>
      </c>
      <c r="O1484" t="s">
        <v>75</v>
      </c>
      <c r="P1484" t="s">
        <v>74</v>
      </c>
      <c r="Q1484" t="s">
        <v>76</v>
      </c>
      <c r="R1484" t="s">
        <v>73</v>
      </c>
      <c r="S1484">
        <v>0</v>
      </c>
      <c r="W1484" s="20">
        <v>1.712962962962963E-3</v>
      </c>
      <c r="X1484" t="s">
        <v>3474</v>
      </c>
      <c r="Y1484">
        <v>18</v>
      </c>
      <c r="Z1484">
        <v>1</v>
      </c>
      <c r="AA1484" t="s">
        <v>3475</v>
      </c>
      <c r="AB1484">
        <v>56</v>
      </c>
      <c r="AC1484" t="s">
        <v>78</v>
      </c>
      <c r="AD1484">
        <v>0</v>
      </c>
      <c r="AE1484">
        <v>10516716</v>
      </c>
      <c r="AF1484" t="s">
        <v>79</v>
      </c>
      <c r="AG1484" t="s">
        <v>3476</v>
      </c>
    </row>
    <row r="1485" spans="1:33" x14ac:dyDescent="0.35">
      <c r="A1485" s="18">
        <v>44387.519444444442</v>
      </c>
      <c r="B1485">
        <v>535803</v>
      </c>
      <c r="C1485" t="s">
        <v>3477</v>
      </c>
      <c r="D1485" t="s">
        <v>3478</v>
      </c>
      <c r="E1485" s="19">
        <v>40179</v>
      </c>
      <c r="F1485" t="str">
        <f>"9781607803447"</f>
        <v>9781607803447</v>
      </c>
      <c r="G1485" t="str">
        <f>""</f>
        <v/>
      </c>
      <c r="H1485" t="s">
        <v>3302</v>
      </c>
      <c r="I1485">
        <v>301.2</v>
      </c>
      <c r="J1485" t="s">
        <v>3479</v>
      </c>
      <c r="K1485" t="s">
        <v>73</v>
      </c>
      <c r="N1485" t="s">
        <v>74</v>
      </c>
      <c r="O1485" t="s">
        <v>75</v>
      </c>
      <c r="P1485" t="s">
        <v>74</v>
      </c>
      <c r="Q1485" t="s">
        <v>76</v>
      </c>
      <c r="R1485" t="s">
        <v>73</v>
      </c>
      <c r="S1485">
        <v>0</v>
      </c>
      <c r="W1485" s="20">
        <v>5.7870370370370366E-5</v>
      </c>
      <c r="X1485" t="s">
        <v>132</v>
      </c>
      <c r="Y1485">
        <v>1</v>
      </c>
      <c r="Z1485">
        <v>0</v>
      </c>
      <c r="AA1485" t="s">
        <v>78</v>
      </c>
      <c r="AB1485">
        <v>0</v>
      </c>
      <c r="AC1485" t="s">
        <v>78</v>
      </c>
      <c r="AD1485">
        <v>0</v>
      </c>
      <c r="AE1485">
        <v>10389032</v>
      </c>
      <c r="AF1485" t="s">
        <v>79</v>
      </c>
      <c r="AG1485" t="s">
        <v>3309</v>
      </c>
    </row>
    <row r="1486" spans="1:33" x14ac:dyDescent="0.35">
      <c r="A1486" s="18">
        <v>44387.429166666669</v>
      </c>
      <c r="B1486">
        <v>6235109</v>
      </c>
      <c r="C1486" t="s">
        <v>3480</v>
      </c>
      <c r="D1486" t="s">
        <v>538</v>
      </c>
      <c r="E1486" s="19">
        <v>43986</v>
      </c>
      <c r="F1486" t="str">
        <f>"9781108802338"</f>
        <v>9781108802338</v>
      </c>
      <c r="G1486" t="str">
        <f>"9781108488372"</f>
        <v>9781108488372</v>
      </c>
      <c r="H1486" t="s">
        <v>461</v>
      </c>
      <c r="I1486">
        <v>355.03305360904102</v>
      </c>
      <c r="J1486" t="s">
        <v>3481</v>
      </c>
      <c r="K1486" t="s">
        <v>85</v>
      </c>
      <c r="N1486" t="s">
        <v>86</v>
      </c>
      <c r="P1486" t="s">
        <v>1850</v>
      </c>
      <c r="Q1486" t="s">
        <v>76</v>
      </c>
      <c r="R1486" t="s">
        <v>73</v>
      </c>
      <c r="S1486">
        <v>0</v>
      </c>
      <c r="W1486" s="20">
        <v>8.1018518518518516E-5</v>
      </c>
      <c r="X1486" t="s">
        <v>132</v>
      </c>
      <c r="Y1486">
        <v>1</v>
      </c>
      <c r="Z1486">
        <v>0</v>
      </c>
      <c r="AA1486" t="s">
        <v>78</v>
      </c>
      <c r="AB1486">
        <v>0</v>
      </c>
      <c r="AC1486" t="s">
        <v>78</v>
      </c>
      <c r="AD1486">
        <v>0</v>
      </c>
      <c r="AE1486">
        <v>-1</v>
      </c>
      <c r="AF1486" t="s">
        <v>79</v>
      </c>
      <c r="AG1486" t="s">
        <v>3309</v>
      </c>
    </row>
    <row r="1487" spans="1:33" x14ac:dyDescent="0.35">
      <c r="A1487" s="18">
        <v>44386.968055555553</v>
      </c>
      <c r="B1487">
        <v>6235109</v>
      </c>
      <c r="C1487" t="s">
        <v>3480</v>
      </c>
      <c r="D1487" t="s">
        <v>538</v>
      </c>
      <c r="E1487" s="19">
        <v>43986</v>
      </c>
      <c r="F1487" t="str">
        <f>"9781108802338"</f>
        <v>9781108802338</v>
      </c>
      <c r="G1487" t="str">
        <f>"9781108488372"</f>
        <v>9781108488372</v>
      </c>
      <c r="H1487" t="s">
        <v>461</v>
      </c>
      <c r="I1487">
        <v>355.03305360904102</v>
      </c>
      <c r="J1487" t="s">
        <v>3481</v>
      </c>
      <c r="K1487" t="s">
        <v>85</v>
      </c>
      <c r="N1487" t="s">
        <v>86</v>
      </c>
      <c r="P1487" t="s">
        <v>1850</v>
      </c>
      <c r="Q1487" t="s">
        <v>76</v>
      </c>
      <c r="R1487" t="s">
        <v>73</v>
      </c>
      <c r="S1487">
        <v>0</v>
      </c>
      <c r="W1487" s="20">
        <v>5.9027777777777778E-4</v>
      </c>
      <c r="X1487" t="s">
        <v>360</v>
      </c>
      <c r="Y1487">
        <v>2</v>
      </c>
      <c r="Z1487">
        <v>0</v>
      </c>
      <c r="AA1487" t="s">
        <v>78</v>
      </c>
      <c r="AB1487">
        <v>0</v>
      </c>
      <c r="AC1487" t="s">
        <v>78</v>
      </c>
      <c r="AD1487">
        <v>0</v>
      </c>
      <c r="AE1487">
        <v>-1</v>
      </c>
      <c r="AF1487" t="s">
        <v>79</v>
      </c>
      <c r="AG1487" t="s">
        <v>3309</v>
      </c>
    </row>
    <row r="1488" spans="1:33" x14ac:dyDescent="0.35">
      <c r="A1488" s="18">
        <v>44386.464583333334</v>
      </c>
      <c r="B1488">
        <v>833045</v>
      </c>
      <c r="C1488" t="s">
        <v>3482</v>
      </c>
      <c r="D1488" t="s">
        <v>677</v>
      </c>
      <c r="E1488" s="19">
        <v>40496</v>
      </c>
      <c r="F1488" t="str">
        <f>"9781400839148"</f>
        <v>9781400839148</v>
      </c>
      <c r="G1488" t="str">
        <f>"9780691150482"</f>
        <v>9780691150482</v>
      </c>
      <c r="H1488" t="s">
        <v>738</v>
      </c>
      <c r="I1488">
        <v>154.63</v>
      </c>
      <c r="J1488" t="s">
        <v>3483</v>
      </c>
      <c r="K1488" t="s">
        <v>73</v>
      </c>
      <c r="N1488" t="s">
        <v>74</v>
      </c>
      <c r="O1488" t="s">
        <v>75</v>
      </c>
      <c r="P1488" t="s">
        <v>74</v>
      </c>
      <c r="Q1488" t="s">
        <v>76</v>
      </c>
      <c r="R1488" t="s">
        <v>73</v>
      </c>
      <c r="S1488">
        <v>0</v>
      </c>
      <c r="W1488" s="20">
        <v>4.6296296296296294E-5</v>
      </c>
      <c r="X1488" t="s">
        <v>137</v>
      </c>
      <c r="Y1488">
        <v>1</v>
      </c>
      <c r="Z1488">
        <v>0</v>
      </c>
      <c r="AA1488" t="s">
        <v>78</v>
      </c>
      <c r="AB1488">
        <v>0</v>
      </c>
      <c r="AC1488" t="s">
        <v>78</v>
      </c>
      <c r="AD1488">
        <v>0</v>
      </c>
      <c r="AE1488">
        <v>10524389</v>
      </c>
      <c r="AF1488" t="s">
        <v>79</v>
      </c>
      <c r="AG1488" t="s">
        <v>3309</v>
      </c>
    </row>
    <row r="1489" spans="1:33" x14ac:dyDescent="0.35">
      <c r="A1489" s="18">
        <v>44385.979166666664</v>
      </c>
      <c r="B1489">
        <v>1118508</v>
      </c>
      <c r="C1489" t="s">
        <v>3484</v>
      </c>
      <c r="D1489" t="s">
        <v>70</v>
      </c>
      <c r="E1489" s="19">
        <v>41316</v>
      </c>
      <c r="F1489" t="str">
        <f>"9781118483572"</f>
        <v>9781118483572</v>
      </c>
      <c r="G1489" t="str">
        <f>"9780470978771"</f>
        <v>9780470978771</v>
      </c>
      <c r="H1489" t="s">
        <v>974</v>
      </c>
      <c r="I1489">
        <v>620.10640000000001</v>
      </c>
      <c r="J1489" t="s">
        <v>3485</v>
      </c>
      <c r="K1489" t="s">
        <v>73</v>
      </c>
      <c r="N1489" t="s">
        <v>74</v>
      </c>
      <c r="O1489" t="s">
        <v>75</v>
      </c>
      <c r="P1489" t="s">
        <v>74</v>
      </c>
      <c r="Q1489" t="s">
        <v>76</v>
      </c>
      <c r="R1489" t="s">
        <v>73</v>
      </c>
      <c r="S1489">
        <v>0</v>
      </c>
      <c r="W1489" s="20">
        <v>1.9444444444444445E-2</v>
      </c>
      <c r="X1489" t="s">
        <v>3486</v>
      </c>
      <c r="Y1489">
        <v>44</v>
      </c>
      <c r="Z1489">
        <v>0</v>
      </c>
      <c r="AA1489" t="s">
        <v>78</v>
      </c>
      <c r="AB1489">
        <v>0</v>
      </c>
      <c r="AC1489" t="s">
        <v>78</v>
      </c>
      <c r="AD1489">
        <v>0</v>
      </c>
      <c r="AE1489">
        <v>10657959</v>
      </c>
      <c r="AF1489" t="s">
        <v>79</v>
      </c>
      <c r="AG1489" t="s">
        <v>3309</v>
      </c>
    </row>
    <row r="1490" spans="1:33" x14ac:dyDescent="0.35">
      <c r="A1490" s="18">
        <v>44385.825694444444</v>
      </c>
      <c r="B1490">
        <v>833045</v>
      </c>
      <c r="C1490" t="s">
        <v>3482</v>
      </c>
      <c r="D1490" t="s">
        <v>677</v>
      </c>
      <c r="E1490" s="19">
        <v>40496</v>
      </c>
      <c r="F1490" t="str">
        <f>"9781400839148"</f>
        <v>9781400839148</v>
      </c>
      <c r="G1490" t="str">
        <f>"9780691150482"</f>
        <v>9780691150482</v>
      </c>
      <c r="H1490" t="s">
        <v>738</v>
      </c>
      <c r="I1490">
        <v>154.63</v>
      </c>
      <c r="J1490" t="s">
        <v>3483</v>
      </c>
      <c r="K1490" t="s">
        <v>73</v>
      </c>
      <c r="N1490" t="s">
        <v>74</v>
      </c>
      <c r="O1490" t="s">
        <v>75</v>
      </c>
      <c r="P1490" t="s">
        <v>74</v>
      </c>
      <c r="Q1490" t="s">
        <v>76</v>
      </c>
      <c r="R1490" t="s">
        <v>73</v>
      </c>
      <c r="S1490">
        <v>0</v>
      </c>
      <c r="W1490" s="20">
        <v>3.5416666666666665E-3</v>
      </c>
      <c r="X1490" t="s">
        <v>3487</v>
      </c>
      <c r="Y1490">
        <v>15</v>
      </c>
      <c r="Z1490">
        <v>0</v>
      </c>
      <c r="AA1490" t="s">
        <v>78</v>
      </c>
      <c r="AB1490">
        <v>0</v>
      </c>
      <c r="AC1490" t="s">
        <v>78</v>
      </c>
      <c r="AD1490">
        <v>0</v>
      </c>
      <c r="AE1490">
        <v>10524389</v>
      </c>
      <c r="AF1490" t="s">
        <v>79</v>
      </c>
      <c r="AG1490" t="s">
        <v>3309</v>
      </c>
    </row>
    <row r="1491" spans="1:33" x14ac:dyDescent="0.35">
      <c r="A1491" s="18">
        <v>44385.595138888886</v>
      </c>
      <c r="B1491">
        <v>5754433</v>
      </c>
      <c r="C1491" t="s">
        <v>649</v>
      </c>
      <c r="D1491" t="s">
        <v>158</v>
      </c>
      <c r="E1491" s="19">
        <v>41474</v>
      </c>
      <c r="F1491" t="str">
        <f>"9780124058934"</f>
        <v>9780124058934</v>
      </c>
      <c r="G1491" t="str">
        <f>"9780124058767"</f>
        <v>9780124058767</v>
      </c>
      <c r="H1491" t="s">
        <v>115</v>
      </c>
      <c r="I1491">
        <v>518.02855299999999</v>
      </c>
      <c r="J1491" t="s">
        <v>652</v>
      </c>
      <c r="K1491" t="s">
        <v>73</v>
      </c>
      <c r="N1491" t="s">
        <v>74</v>
      </c>
      <c r="O1491" t="s">
        <v>75</v>
      </c>
      <c r="P1491" t="s">
        <v>74</v>
      </c>
      <c r="Q1491" t="s">
        <v>76</v>
      </c>
      <c r="R1491" t="s">
        <v>73</v>
      </c>
      <c r="S1491">
        <v>1</v>
      </c>
      <c r="W1491" s="20">
        <v>0</v>
      </c>
      <c r="X1491" t="s">
        <v>78</v>
      </c>
      <c r="Y1491">
        <v>0</v>
      </c>
      <c r="Z1491">
        <v>0</v>
      </c>
      <c r="AA1491" t="s">
        <v>78</v>
      </c>
      <c r="AB1491">
        <v>0</v>
      </c>
      <c r="AC1491" t="s">
        <v>78</v>
      </c>
      <c r="AD1491">
        <v>0</v>
      </c>
      <c r="AE1491">
        <v>-1</v>
      </c>
      <c r="AF1491" t="s">
        <v>88</v>
      </c>
      <c r="AG1491" t="s">
        <v>3309</v>
      </c>
    </row>
    <row r="1492" spans="1:33" x14ac:dyDescent="0.35">
      <c r="A1492" s="18">
        <v>44385.479861111111</v>
      </c>
      <c r="B1492">
        <v>6259016</v>
      </c>
      <c r="C1492" t="s">
        <v>3488</v>
      </c>
      <c r="D1492" t="s">
        <v>1240</v>
      </c>
      <c r="E1492" s="19">
        <v>44091</v>
      </c>
      <c r="F1492" t="str">
        <f>"9781350133808"</f>
        <v>9781350133808</v>
      </c>
      <c r="G1492" t="str">
        <f>"9781350133792"</f>
        <v>9781350133792</v>
      </c>
      <c r="H1492" t="s">
        <v>433</v>
      </c>
      <c r="I1492">
        <v>155.9</v>
      </c>
      <c r="J1492" t="s">
        <v>3489</v>
      </c>
      <c r="K1492" t="s">
        <v>85</v>
      </c>
      <c r="Q1492" t="s">
        <v>76</v>
      </c>
      <c r="R1492" t="s">
        <v>73</v>
      </c>
      <c r="S1492">
        <v>0</v>
      </c>
      <c r="W1492" s="20">
        <v>1.8981481481481482E-3</v>
      </c>
      <c r="X1492" t="s">
        <v>3490</v>
      </c>
      <c r="Y1492">
        <v>11</v>
      </c>
      <c r="Z1492">
        <v>0</v>
      </c>
      <c r="AA1492" t="s">
        <v>78</v>
      </c>
      <c r="AB1492">
        <v>0</v>
      </c>
      <c r="AC1492" t="s">
        <v>78</v>
      </c>
      <c r="AD1492">
        <v>0</v>
      </c>
      <c r="AE1492">
        <v>-1</v>
      </c>
      <c r="AF1492" t="s">
        <v>79</v>
      </c>
      <c r="AG1492" t="s">
        <v>3309</v>
      </c>
    </row>
    <row r="1493" spans="1:33" x14ac:dyDescent="0.35">
      <c r="A1493" s="18">
        <v>44385.051388888889</v>
      </c>
      <c r="B1493">
        <v>3338932</v>
      </c>
      <c r="C1493" t="s">
        <v>3491</v>
      </c>
      <c r="D1493" t="s">
        <v>300</v>
      </c>
      <c r="E1493" s="19">
        <v>39675</v>
      </c>
      <c r="F1493" t="str">
        <f>"9780262281393"</f>
        <v>9780262281393</v>
      </c>
      <c r="G1493" t="str">
        <f>"9780262162562"</f>
        <v>9780262162562</v>
      </c>
      <c r="H1493" t="s">
        <v>128</v>
      </c>
      <c r="I1493">
        <v>302.12</v>
      </c>
      <c r="J1493" t="s">
        <v>3492</v>
      </c>
      <c r="K1493" t="s">
        <v>73</v>
      </c>
      <c r="N1493" t="s">
        <v>74</v>
      </c>
      <c r="O1493" t="s">
        <v>75</v>
      </c>
      <c r="P1493" t="s">
        <v>74</v>
      </c>
      <c r="Q1493" t="s">
        <v>76</v>
      </c>
      <c r="R1493" t="s">
        <v>73</v>
      </c>
      <c r="S1493">
        <v>0</v>
      </c>
      <c r="W1493" s="20">
        <v>1.8888888888888889E-2</v>
      </c>
      <c r="X1493" t="s">
        <v>3493</v>
      </c>
      <c r="Y1493">
        <v>71</v>
      </c>
      <c r="Z1493">
        <v>0</v>
      </c>
      <c r="AA1493" t="s">
        <v>78</v>
      </c>
      <c r="AB1493">
        <v>0</v>
      </c>
      <c r="AC1493" t="s">
        <v>78</v>
      </c>
      <c r="AD1493">
        <v>0</v>
      </c>
      <c r="AE1493">
        <v>10251667</v>
      </c>
      <c r="AF1493" t="s">
        <v>79</v>
      </c>
      <c r="AG1493" t="s">
        <v>515</v>
      </c>
    </row>
    <row r="1494" spans="1:33" x14ac:dyDescent="0.35">
      <c r="A1494" s="18">
        <v>44385.002083333333</v>
      </c>
      <c r="B1494">
        <v>648012</v>
      </c>
      <c r="C1494" t="s">
        <v>3494</v>
      </c>
      <c r="D1494" t="s">
        <v>2648</v>
      </c>
      <c r="E1494" s="19">
        <v>40550</v>
      </c>
      <c r="F1494" t="str">
        <f>"9781889057804"</f>
        <v>9781889057804</v>
      </c>
      <c r="G1494" t="str">
        <f>"9781889057781"</f>
        <v>9781889057781</v>
      </c>
      <c r="H1494" t="s">
        <v>1179</v>
      </c>
      <c r="I1494">
        <v>378.1662</v>
      </c>
      <c r="J1494" t="s">
        <v>3495</v>
      </c>
      <c r="K1494" t="s">
        <v>73</v>
      </c>
      <c r="N1494" t="s">
        <v>74</v>
      </c>
      <c r="O1494" t="s">
        <v>75</v>
      </c>
      <c r="P1494" t="s">
        <v>74</v>
      </c>
      <c r="Q1494" t="s">
        <v>76</v>
      </c>
      <c r="R1494" t="s">
        <v>73</v>
      </c>
      <c r="S1494">
        <v>1</v>
      </c>
      <c r="W1494" s="20">
        <v>0</v>
      </c>
      <c r="X1494" t="s">
        <v>78</v>
      </c>
      <c r="Y1494">
        <v>0</v>
      </c>
      <c r="Z1494">
        <v>0</v>
      </c>
      <c r="AA1494" t="s">
        <v>78</v>
      </c>
      <c r="AB1494">
        <v>0</v>
      </c>
      <c r="AC1494" t="s">
        <v>78</v>
      </c>
      <c r="AD1494">
        <v>0</v>
      </c>
      <c r="AE1494">
        <v>10440680</v>
      </c>
      <c r="AF1494" t="s">
        <v>88</v>
      </c>
      <c r="AG1494" t="s">
        <v>2299</v>
      </c>
    </row>
    <row r="1495" spans="1:33" x14ac:dyDescent="0.35">
      <c r="A1495" s="18">
        <v>44383.944444444445</v>
      </c>
      <c r="B1495">
        <v>535803</v>
      </c>
      <c r="C1495" t="s">
        <v>3477</v>
      </c>
      <c r="D1495" t="s">
        <v>3478</v>
      </c>
      <c r="E1495" s="19">
        <v>40179</v>
      </c>
      <c r="F1495" t="str">
        <f>"9781607803447"</f>
        <v>9781607803447</v>
      </c>
      <c r="G1495" t="str">
        <f>""</f>
        <v/>
      </c>
      <c r="H1495" t="s">
        <v>3302</v>
      </c>
      <c r="I1495">
        <v>301.2</v>
      </c>
      <c r="J1495" t="s">
        <v>3479</v>
      </c>
      <c r="K1495" t="s">
        <v>73</v>
      </c>
      <c r="N1495" t="s">
        <v>74</v>
      </c>
      <c r="O1495" t="s">
        <v>75</v>
      </c>
      <c r="P1495" t="s">
        <v>74</v>
      </c>
      <c r="Q1495" t="s">
        <v>76</v>
      </c>
      <c r="R1495" t="s">
        <v>73</v>
      </c>
      <c r="S1495">
        <v>0</v>
      </c>
      <c r="W1495" s="20">
        <v>1.4930555555555556E-3</v>
      </c>
      <c r="X1495" t="s">
        <v>3496</v>
      </c>
      <c r="Y1495">
        <v>16</v>
      </c>
      <c r="Z1495">
        <v>0</v>
      </c>
      <c r="AA1495" t="s">
        <v>78</v>
      </c>
      <c r="AB1495">
        <v>0</v>
      </c>
      <c r="AC1495" t="s">
        <v>78</v>
      </c>
      <c r="AD1495">
        <v>0</v>
      </c>
      <c r="AE1495">
        <v>10389032</v>
      </c>
      <c r="AF1495" t="s">
        <v>79</v>
      </c>
      <c r="AG1495" t="s">
        <v>3309</v>
      </c>
    </row>
    <row r="1496" spans="1:33" x14ac:dyDescent="0.35">
      <c r="A1496" s="18">
        <v>44383.788194444445</v>
      </c>
      <c r="B1496">
        <v>420262</v>
      </c>
      <c r="C1496" t="s">
        <v>3497</v>
      </c>
      <c r="D1496" t="s">
        <v>3498</v>
      </c>
      <c r="E1496" s="19">
        <v>38718</v>
      </c>
      <c r="F1496" t="str">
        <f>"9789048503971"</f>
        <v>9789048503971</v>
      </c>
      <c r="G1496" t="str">
        <f>"9789053568286"</f>
        <v>9789053568286</v>
      </c>
      <c r="H1496" t="s">
        <v>3499</v>
      </c>
      <c r="I1496" t="s">
        <v>3500</v>
      </c>
      <c r="J1496" t="s">
        <v>3501</v>
      </c>
      <c r="K1496" t="s">
        <v>73</v>
      </c>
      <c r="N1496" t="s">
        <v>74</v>
      </c>
      <c r="O1496" t="s">
        <v>75</v>
      </c>
      <c r="P1496" t="s">
        <v>230</v>
      </c>
      <c r="Q1496" t="s">
        <v>76</v>
      </c>
      <c r="R1496" t="s">
        <v>85</v>
      </c>
      <c r="S1496">
        <v>0</v>
      </c>
      <c r="W1496" s="20">
        <v>2.5462962962962961E-4</v>
      </c>
      <c r="X1496" t="s">
        <v>3502</v>
      </c>
      <c r="Y1496">
        <v>7</v>
      </c>
      <c r="Z1496">
        <v>0</v>
      </c>
      <c r="AA1496" t="s">
        <v>78</v>
      </c>
      <c r="AB1496">
        <v>0</v>
      </c>
      <c r="AC1496" t="s">
        <v>78</v>
      </c>
      <c r="AD1496">
        <v>0</v>
      </c>
      <c r="AE1496">
        <v>10182196</v>
      </c>
      <c r="AF1496" t="s">
        <v>79</v>
      </c>
      <c r="AG1496" t="s">
        <v>3503</v>
      </c>
    </row>
    <row r="1497" spans="1:33" x14ac:dyDescent="0.35">
      <c r="A1497" s="18">
        <v>44383.677777777775</v>
      </c>
      <c r="B1497">
        <v>281254</v>
      </c>
      <c r="C1497" t="s">
        <v>3504</v>
      </c>
      <c r="D1497" t="s">
        <v>102</v>
      </c>
      <c r="E1497" s="19">
        <v>38456</v>
      </c>
      <c r="F1497" t="str">
        <f>"9780198033967"</f>
        <v>9780198033967</v>
      </c>
      <c r="G1497" t="str">
        <f>"9780195148732"</f>
        <v>9780195148732</v>
      </c>
      <c r="H1497" t="s">
        <v>1400</v>
      </c>
      <c r="I1497">
        <v>616.85853999999995</v>
      </c>
      <c r="J1497" t="s">
        <v>3505</v>
      </c>
      <c r="K1497" t="s">
        <v>73</v>
      </c>
      <c r="N1497" t="s">
        <v>74</v>
      </c>
      <c r="O1497" t="s">
        <v>75</v>
      </c>
      <c r="P1497" t="s">
        <v>74</v>
      </c>
      <c r="Q1497" t="s">
        <v>76</v>
      </c>
      <c r="R1497" t="s">
        <v>73</v>
      </c>
      <c r="S1497">
        <v>0</v>
      </c>
      <c r="W1497" s="20">
        <v>8.3333333333333339E-4</v>
      </c>
      <c r="X1497" t="s">
        <v>3506</v>
      </c>
      <c r="Y1497">
        <v>5</v>
      </c>
      <c r="Z1497">
        <v>0</v>
      </c>
      <c r="AA1497" t="s">
        <v>78</v>
      </c>
      <c r="AB1497">
        <v>0</v>
      </c>
      <c r="AC1497" t="s">
        <v>78</v>
      </c>
      <c r="AD1497">
        <v>0</v>
      </c>
      <c r="AE1497">
        <v>10103574</v>
      </c>
      <c r="AF1497" t="s">
        <v>79</v>
      </c>
      <c r="AG1497" t="s">
        <v>3507</v>
      </c>
    </row>
    <row r="1498" spans="1:33" x14ac:dyDescent="0.35">
      <c r="A1498" s="18">
        <v>44383.550694444442</v>
      </c>
      <c r="B1498">
        <v>3111547</v>
      </c>
      <c r="C1498" t="s">
        <v>3508</v>
      </c>
      <c r="D1498" t="s">
        <v>1117</v>
      </c>
      <c r="E1498" s="19">
        <v>32143</v>
      </c>
      <c r="F1498" t="str">
        <f>"9781600860607"</f>
        <v>9781600860607</v>
      </c>
      <c r="G1498" t="str">
        <f>"9780930403454"</f>
        <v>9780930403454</v>
      </c>
      <c r="H1498" t="s">
        <v>1502</v>
      </c>
      <c r="I1498" t="s">
        <v>3509</v>
      </c>
      <c r="J1498" t="s">
        <v>3510</v>
      </c>
      <c r="K1498" t="s">
        <v>73</v>
      </c>
      <c r="N1498" t="s">
        <v>74</v>
      </c>
      <c r="O1498" t="s">
        <v>75</v>
      </c>
      <c r="P1498" t="s">
        <v>74</v>
      </c>
      <c r="Q1498" t="s">
        <v>76</v>
      </c>
      <c r="R1498" t="s">
        <v>73</v>
      </c>
      <c r="S1498">
        <v>1</v>
      </c>
      <c r="W1498" s="20">
        <v>0</v>
      </c>
      <c r="X1498" t="s">
        <v>78</v>
      </c>
      <c r="Y1498">
        <v>0</v>
      </c>
      <c r="Z1498">
        <v>0</v>
      </c>
      <c r="AA1498" t="s">
        <v>78</v>
      </c>
      <c r="AB1498">
        <v>0</v>
      </c>
      <c r="AC1498" t="s">
        <v>78</v>
      </c>
      <c r="AD1498">
        <v>0</v>
      </c>
      <c r="AE1498">
        <v>10516651</v>
      </c>
      <c r="AF1498" t="s">
        <v>88</v>
      </c>
      <c r="AG1498" t="s">
        <v>3309</v>
      </c>
    </row>
    <row r="1499" spans="1:33" x14ac:dyDescent="0.35">
      <c r="A1499" s="18">
        <v>44383.463888888888</v>
      </c>
      <c r="B1499">
        <v>771406</v>
      </c>
      <c r="C1499" t="s">
        <v>2081</v>
      </c>
      <c r="D1499" t="s">
        <v>2082</v>
      </c>
      <c r="E1499" s="19">
        <v>40299</v>
      </c>
      <c r="F1499" t="str">
        <f>"9780335238866"</f>
        <v>9780335238866</v>
      </c>
      <c r="G1499" t="str">
        <f>"9780335238859"</f>
        <v>9780335238859</v>
      </c>
      <c r="H1499" t="s">
        <v>621</v>
      </c>
      <c r="I1499">
        <v>362.10720409999999</v>
      </c>
      <c r="J1499" t="s">
        <v>2083</v>
      </c>
      <c r="K1499" t="s">
        <v>73</v>
      </c>
      <c r="N1499" t="s">
        <v>74</v>
      </c>
      <c r="O1499" t="s">
        <v>75</v>
      </c>
      <c r="P1499" t="s">
        <v>74</v>
      </c>
      <c r="Q1499" t="s">
        <v>76</v>
      </c>
      <c r="R1499" t="s">
        <v>73</v>
      </c>
      <c r="S1499">
        <v>0</v>
      </c>
      <c r="W1499" s="20">
        <v>1.6435185185185183E-3</v>
      </c>
      <c r="X1499" t="s">
        <v>3511</v>
      </c>
      <c r="Y1499">
        <v>4</v>
      </c>
      <c r="Z1499">
        <v>1</v>
      </c>
      <c r="AA1499" t="s">
        <v>3512</v>
      </c>
      <c r="AB1499">
        <v>28</v>
      </c>
      <c r="AC1499" t="s">
        <v>78</v>
      </c>
      <c r="AD1499">
        <v>0</v>
      </c>
      <c r="AE1499">
        <v>10413319</v>
      </c>
      <c r="AF1499" t="s">
        <v>79</v>
      </c>
      <c r="AG1499" t="s">
        <v>3309</v>
      </c>
    </row>
    <row r="1500" spans="1:33" x14ac:dyDescent="0.35">
      <c r="A1500" s="18">
        <v>44383.443749999999</v>
      </c>
      <c r="B1500">
        <v>698854</v>
      </c>
      <c r="C1500" t="s">
        <v>3513</v>
      </c>
      <c r="D1500" t="s">
        <v>70</v>
      </c>
      <c r="E1500" s="19">
        <v>40505</v>
      </c>
      <c r="F1500" t="str">
        <f>"9781118004715"</f>
        <v>9781118004715</v>
      </c>
      <c r="G1500" t="str">
        <f>"9780470496626"</f>
        <v>9780470496626</v>
      </c>
      <c r="H1500" t="s">
        <v>217</v>
      </c>
      <c r="I1500">
        <v>621.40250000000003</v>
      </c>
      <c r="J1500" t="s">
        <v>3514</v>
      </c>
      <c r="K1500" t="s">
        <v>73</v>
      </c>
      <c r="N1500" t="s">
        <v>74</v>
      </c>
      <c r="O1500" t="s">
        <v>75</v>
      </c>
      <c r="P1500" t="s">
        <v>74</v>
      </c>
      <c r="Q1500" t="s">
        <v>76</v>
      </c>
      <c r="R1500" t="s">
        <v>73</v>
      </c>
      <c r="S1500">
        <v>0</v>
      </c>
      <c r="W1500" s="20">
        <v>2.2615740740740742E-2</v>
      </c>
      <c r="X1500" t="s">
        <v>3515</v>
      </c>
      <c r="Y1500">
        <v>41</v>
      </c>
      <c r="Z1500">
        <v>0</v>
      </c>
      <c r="AA1500" t="s">
        <v>78</v>
      </c>
      <c r="AB1500">
        <v>0</v>
      </c>
      <c r="AC1500" t="s">
        <v>78</v>
      </c>
      <c r="AD1500">
        <v>0</v>
      </c>
      <c r="AE1500">
        <v>10469651</v>
      </c>
      <c r="AF1500" t="s">
        <v>79</v>
      </c>
      <c r="AG1500" t="s">
        <v>3516</v>
      </c>
    </row>
    <row r="1501" spans="1:33" x14ac:dyDescent="0.35">
      <c r="A1501" s="18">
        <v>44383.395833333336</v>
      </c>
      <c r="B1501">
        <v>698854</v>
      </c>
      <c r="C1501" t="s">
        <v>3513</v>
      </c>
      <c r="D1501" t="s">
        <v>70</v>
      </c>
      <c r="E1501" s="19">
        <v>40505</v>
      </c>
      <c r="F1501" t="str">
        <f>"9781118004715"</f>
        <v>9781118004715</v>
      </c>
      <c r="G1501" t="str">
        <f>"9780470496626"</f>
        <v>9780470496626</v>
      </c>
      <c r="H1501" t="s">
        <v>217</v>
      </c>
      <c r="I1501">
        <v>621.40250000000003</v>
      </c>
      <c r="J1501" t="s">
        <v>3514</v>
      </c>
      <c r="K1501" t="s">
        <v>73</v>
      </c>
      <c r="N1501" t="s">
        <v>74</v>
      </c>
      <c r="O1501" t="s">
        <v>75</v>
      </c>
      <c r="P1501" t="s">
        <v>74</v>
      </c>
      <c r="Q1501" t="s">
        <v>76</v>
      </c>
      <c r="R1501" t="s">
        <v>73</v>
      </c>
      <c r="S1501">
        <v>0</v>
      </c>
      <c r="W1501" s="20">
        <v>4.6874999999999998E-3</v>
      </c>
      <c r="X1501" t="s">
        <v>3517</v>
      </c>
      <c r="Y1501">
        <v>26</v>
      </c>
      <c r="Z1501">
        <v>0</v>
      </c>
      <c r="AA1501" t="s">
        <v>78</v>
      </c>
      <c r="AB1501">
        <v>0</v>
      </c>
      <c r="AC1501" t="s">
        <v>78</v>
      </c>
      <c r="AD1501">
        <v>0</v>
      </c>
      <c r="AE1501">
        <v>10469651</v>
      </c>
      <c r="AF1501" t="s">
        <v>79</v>
      </c>
      <c r="AG1501" t="s">
        <v>3516</v>
      </c>
    </row>
    <row r="1502" spans="1:33" x14ac:dyDescent="0.35">
      <c r="A1502" s="18">
        <v>44383.374305555553</v>
      </c>
      <c r="B1502">
        <v>771406</v>
      </c>
      <c r="C1502" t="s">
        <v>2081</v>
      </c>
      <c r="D1502" t="s">
        <v>2082</v>
      </c>
      <c r="E1502" s="19">
        <v>40299</v>
      </c>
      <c r="F1502" t="str">
        <f>"9780335238866"</f>
        <v>9780335238866</v>
      </c>
      <c r="G1502" t="str">
        <f>"9780335238859"</f>
        <v>9780335238859</v>
      </c>
      <c r="H1502" t="s">
        <v>621</v>
      </c>
      <c r="I1502">
        <v>362.10720409999999</v>
      </c>
      <c r="J1502" t="s">
        <v>2083</v>
      </c>
      <c r="K1502" t="s">
        <v>73</v>
      </c>
      <c r="N1502" t="s">
        <v>74</v>
      </c>
      <c r="O1502" t="s">
        <v>75</v>
      </c>
      <c r="P1502" t="s">
        <v>74</v>
      </c>
      <c r="Q1502" t="s">
        <v>76</v>
      </c>
      <c r="R1502" t="s">
        <v>73</v>
      </c>
      <c r="S1502">
        <v>0</v>
      </c>
      <c r="W1502" s="20">
        <v>1.7106481481481483E-2</v>
      </c>
      <c r="X1502" t="s">
        <v>3518</v>
      </c>
      <c r="Y1502">
        <v>11</v>
      </c>
      <c r="Z1502">
        <v>0</v>
      </c>
      <c r="AA1502" t="s">
        <v>78</v>
      </c>
      <c r="AB1502">
        <v>0</v>
      </c>
      <c r="AC1502" t="s">
        <v>78</v>
      </c>
      <c r="AD1502">
        <v>0</v>
      </c>
      <c r="AE1502">
        <v>10413319</v>
      </c>
      <c r="AF1502" t="s">
        <v>79</v>
      </c>
      <c r="AG1502" t="s">
        <v>3309</v>
      </c>
    </row>
    <row r="1503" spans="1:33" x14ac:dyDescent="0.35">
      <c r="A1503" s="18">
        <v>44383.355555555558</v>
      </c>
      <c r="B1503">
        <v>3053470</v>
      </c>
      <c r="C1503" t="s">
        <v>1570</v>
      </c>
      <c r="D1503" t="s">
        <v>102</v>
      </c>
      <c r="E1503" s="19">
        <v>38792</v>
      </c>
      <c r="F1503" t="str">
        <f>"9780199744916"</f>
        <v>9780199744916</v>
      </c>
      <c r="G1503" t="str">
        <f>"9780195170320"</f>
        <v>9780195170320</v>
      </c>
      <c r="H1503" t="s">
        <v>222</v>
      </c>
      <c r="I1503">
        <v>617.48</v>
      </c>
      <c r="J1503" t="s">
        <v>1571</v>
      </c>
      <c r="K1503" t="s">
        <v>73</v>
      </c>
      <c r="N1503" t="s">
        <v>74</v>
      </c>
      <c r="O1503" t="s">
        <v>75</v>
      </c>
      <c r="P1503" t="s">
        <v>74</v>
      </c>
      <c r="Q1503" t="s">
        <v>76</v>
      </c>
      <c r="R1503" t="s">
        <v>73</v>
      </c>
      <c r="S1503">
        <v>0</v>
      </c>
      <c r="W1503" s="20">
        <v>0</v>
      </c>
      <c r="X1503" t="s">
        <v>78</v>
      </c>
      <c r="Y1503">
        <v>0</v>
      </c>
      <c r="Z1503">
        <v>1</v>
      </c>
      <c r="AA1503" t="s">
        <v>3519</v>
      </c>
      <c r="AB1503">
        <v>80</v>
      </c>
      <c r="AC1503" t="s">
        <v>78</v>
      </c>
      <c r="AD1503">
        <v>0</v>
      </c>
      <c r="AE1503">
        <v>10317767</v>
      </c>
      <c r="AF1503" t="s">
        <v>79</v>
      </c>
      <c r="AG1503" t="s">
        <v>3359</v>
      </c>
    </row>
    <row r="1504" spans="1:33" x14ac:dyDescent="0.35">
      <c r="A1504" s="18">
        <v>44382.994444444441</v>
      </c>
      <c r="B1504">
        <v>4391227</v>
      </c>
      <c r="C1504" t="s">
        <v>3520</v>
      </c>
      <c r="D1504" t="s">
        <v>127</v>
      </c>
      <c r="E1504" s="19">
        <v>38148</v>
      </c>
      <c r="F1504" t="str">
        <f>"9781135066529"</f>
        <v>9781135066529</v>
      </c>
      <c r="G1504" t="str">
        <f>"9780805895483"</f>
        <v>9780805895483</v>
      </c>
      <c r="H1504" t="s">
        <v>128</v>
      </c>
      <c r="I1504">
        <v>302</v>
      </c>
      <c r="J1504" t="s">
        <v>3521</v>
      </c>
      <c r="K1504" t="s">
        <v>73</v>
      </c>
      <c r="N1504" t="s">
        <v>74</v>
      </c>
      <c r="O1504" t="s">
        <v>75</v>
      </c>
      <c r="P1504" t="s">
        <v>74</v>
      </c>
      <c r="Q1504" t="s">
        <v>76</v>
      </c>
      <c r="R1504" t="s">
        <v>73</v>
      </c>
      <c r="S1504">
        <v>0</v>
      </c>
      <c r="W1504" s="20">
        <v>8.1018518518518516E-5</v>
      </c>
      <c r="X1504" t="s">
        <v>132</v>
      </c>
      <c r="Y1504">
        <v>1</v>
      </c>
      <c r="Z1504">
        <v>0</v>
      </c>
      <c r="AA1504" t="s">
        <v>78</v>
      </c>
      <c r="AB1504">
        <v>0</v>
      </c>
      <c r="AC1504" t="s">
        <v>78</v>
      </c>
      <c r="AD1504">
        <v>0</v>
      </c>
      <c r="AE1504">
        <v>11152748</v>
      </c>
      <c r="AF1504" t="s">
        <v>79</v>
      </c>
      <c r="AG1504" t="s">
        <v>1579</v>
      </c>
    </row>
    <row r="1505" spans="1:33" x14ac:dyDescent="0.35">
      <c r="A1505" s="18">
        <v>44382.442361111112</v>
      </c>
      <c r="B1505">
        <v>799412</v>
      </c>
      <c r="C1505" t="s">
        <v>3522</v>
      </c>
      <c r="D1505" t="s">
        <v>189</v>
      </c>
      <c r="E1505" s="19">
        <v>40833</v>
      </c>
      <c r="F1505" t="str">
        <f>"9783110254181"</f>
        <v>9783110254181</v>
      </c>
      <c r="G1505" t="str">
        <f>"9783110254174"</f>
        <v>9783110254174</v>
      </c>
      <c r="H1505" t="s">
        <v>528</v>
      </c>
      <c r="I1505">
        <v>193</v>
      </c>
      <c r="J1505" t="s">
        <v>3523</v>
      </c>
      <c r="K1505" t="s">
        <v>73</v>
      </c>
      <c r="N1505" t="s">
        <v>74</v>
      </c>
      <c r="O1505" t="s">
        <v>75</v>
      </c>
      <c r="P1505" t="s">
        <v>74</v>
      </c>
      <c r="Q1505" t="s">
        <v>76</v>
      </c>
      <c r="R1505" t="s">
        <v>73</v>
      </c>
      <c r="S1505">
        <v>0</v>
      </c>
      <c r="W1505" s="20">
        <v>1.8518518518518521E-2</v>
      </c>
      <c r="X1505" t="s">
        <v>3524</v>
      </c>
      <c r="Y1505">
        <v>21</v>
      </c>
      <c r="Z1505">
        <v>0</v>
      </c>
      <c r="AA1505" t="s">
        <v>78</v>
      </c>
      <c r="AB1505">
        <v>0</v>
      </c>
      <c r="AC1505" t="s">
        <v>3525</v>
      </c>
      <c r="AD1505">
        <v>2</v>
      </c>
      <c r="AE1505">
        <v>10515796</v>
      </c>
      <c r="AF1505" t="s">
        <v>79</v>
      </c>
      <c r="AG1505" t="s">
        <v>3060</v>
      </c>
    </row>
    <row r="1506" spans="1:33" x14ac:dyDescent="0.35">
      <c r="A1506" s="18">
        <v>44382.05</v>
      </c>
      <c r="B1506">
        <v>1471796</v>
      </c>
      <c r="C1506" t="s">
        <v>3526</v>
      </c>
      <c r="D1506" t="s">
        <v>70</v>
      </c>
      <c r="E1506" s="19">
        <v>41639</v>
      </c>
      <c r="F1506" t="str">
        <f>"9781118534656"</f>
        <v>9781118534656</v>
      </c>
      <c r="G1506" t="str">
        <f>"9781118307984"</f>
        <v>9781118307984</v>
      </c>
      <c r="H1506" t="s">
        <v>1122</v>
      </c>
      <c r="I1506">
        <v>629.11</v>
      </c>
      <c r="J1506" t="s">
        <v>3527</v>
      </c>
      <c r="K1506" t="s">
        <v>73</v>
      </c>
      <c r="N1506" t="s">
        <v>74</v>
      </c>
      <c r="O1506" t="s">
        <v>75</v>
      </c>
      <c r="P1506" t="s">
        <v>74</v>
      </c>
      <c r="Q1506" t="s">
        <v>76</v>
      </c>
      <c r="R1506" t="s">
        <v>73</v>
      </c>
      <c r="S1506">
        <v>0</v>
      </c>
      <c r="W1506" s="20">
        <v>6.2500000000000001E-4</v>
      </c>
      <c r="X1506" t="s">
        <v>3528</v>
      </c>
      <c r="Y1506">
        <v>11</v>
      </c>
      <c r="Z1506">
        <v>0</v>
      </c>
      <c r="AA1506" t="s">
        <v>78</v>
      </c>
      <c r="AB1506">
        <v>0</v>
      </c>
      <c r="AC1506" t="s">
        <v>78</v>
      </c>
      <c r="AD1506">
        <v>0</v>
      </c>
      <c r="AE1506">
        <v>10784811</v>
      </c>
      <c r="AF1506" t="s">
        <v>79</v>
      </c>
      <c r="AG1506" t="s">
        <v>3529</v>
      </c>
    </row>
    <row r="1507" spans="1:33" x14ac:dyDescent="0.35">
      <c r="A1507" s="18">
        <v>44381.939583333333</v>
      </c>
      <c r="B1507">
        <v>661549</v>
      </c>
      <c r="C1507" t="s">
        <v>3530</v>
      </c>
      <c r="D1507" t="s">
        <v>70</v>
      </c>
      <c r="E1507" s="19">
        <v>40576</v>
      </c>
      <c r="F1507" t="str">
        <f>"9781118012208"</f>
        <v>9781118012208</v>
      </c>
      <c r="G1507" t="str">
        <f>"9780470542187"</f>
        <v>9780470542187</v>
      </c>
      <c r="H1507" t="s">
        <v>3531</v>
      </c>
      <c r="I1507">
        <v>362.26</v>
      </c>
      <c r="J1507" t="s">
        <v>3532</v>
      </c>
      <c r="K1507" t="s">
        <v>73</v>
      </c>
      <c r="N1507" t="s">
        <v>74</v>
      </c>
      <c r="O1507" t="s">
        <v>75</v>
      </c>
      <c r="P1507" t="s">
        <v>74</v>
      </c>
      <c r="Q1507" t="s">
        <v>76</v>
      </c>
      <c r="R1507" t="s">
        <v>73</v>
      </c>
      <c r="S1507">
        <v>0</v>
      </c>
      <c r="W1507" s="20">
        <v>1.2534722222222223E-2</v>
      </c>
      <c r="X1507" t="s">
        <v>3533</v>
      </c>
      <c r="Y1507">
        <v>5</v>
      </c>
      <c r="Z1507">
        <v>0</v>
      </c>
      <c r="AA1507" t="s">
        <v>78</v>
      </c>
      <c r="AB1507">
        <v>0</v>
      </c>
      <c r="AC1507" t="s">
        <v>3534</v>
      </c>
      <c r="AD1507">
        <v>5</v>
      </c>
      <c r="AE1507">
        <v>10510558</v>
      </c>
      <c r="AF1507" t="s">
        <v>79</v>
      </c>
      <c r="AG1507" t="s">
        <v>3476</v>
      </c>
    </row>
    <row r="1508" spans="1:33" x14ac:dyDescent="0.35">
      <c r="A1508" s="18">
        <v>44381.872916666667</v>
      </c>
      <c r="B1508">
        <v>661549</v>
      </c>
      <c r="C1508" t="s">
        <v>3530</v>
      </c>
      <c r="D1508" t="s">
        <v>70</v>
      </c>
      <c r="E1508" s="19">
        <v>40576</v>
      </c>
      <c r="F1508" t="str">
        <f>"9781118012208"</f>
        <v>9781118012208</v>
      </c>
      <c r="G1508" t="str">
        <f>"9780470542187"</f>
        <v>9780470542187</v>
      </c>
      <c r="H1508" t="s">
        <v>3531</v>
      </c>
      <c r="I1508">
        <v>362.26</v>
      </c>
      <c r="J1508" t="s">
        <v>3532</v>
      </c>
      <c r="K1508" t="s">
        <v>73</v>
      </c>
      <c r="N1508" t="s">
        <v>74</v>
      </c>
      <c r="O1508" t="s">
        <v>75</v>
      </c>
      <c r="P1508" t="s">
        <v>74</v>
      </c>
      <c r="Q1508" t="s">
        <v>76</v>
      </c>
      <c r="R1508" t="s">
        <v>73</v>
      </c>
      <c r="S1508">
        <v>0</v>
      </c>
      <c r="W1508" s="20">
        <v>2.6759259259259257E-2</v>
      </c>
      <c r="X1508" t="s">
        <v>3535</v>
      </c>
      <c r="Y1508">
        <v>44</v>
      </c>
      <c r="Z1508">
        <v>0</v>
      </c>
      <c r="AA1508" t="s">
        <v>78</v>
      </c>
      <c r="AB1508">
        <v>0</v>
      </c>
      <c r="AC1508" t="s">
        <v>3536</v>
      </c>
      <c r="AD1508">
        <v>2</v>
      </c>
      <c r="AE1508">
        <v>10510558</v>
      </c>
      <c r="AF1508" t="s">
        <v>79</v>
      </c>
      <c r="AG1508" t="s">
        <v>3537</v>
      </c>
    </row>
    <row r="1509" spans="1:33" x14ac:dyDescent="0.35">
      <c r="A1509" s="18">
        <v>44381.773611111108</v>
      </c>
      <c r="B1509">
        <v>301837</v>
      </c>
      <c r="C1509" t="s">
        <v>3538</v>
      </c>
      <c r="D1509" t="s">
        <v>3539</v>
      </c>
      <c r="E1509" s="19">
        <v>39158</v>
      </c>
      <c r="F1509" t="str">
        <f>"9781402053177"</f>
        <v>9781402053177</v>
      </c>
      <c r="G1509" t="str">
        <f>"9781402053160"</f>
        <v>9781402053160</v>
      </c>
      <c r="H1509" t="s">
        <v>3540</v>
      </c>
      <c r="I1509" t="s">
        <v>420</v>
      </c>
      <c r="J1509" t="s">
        <v>202</v>
      </c>
      <c r="K1509" t="s">
        <v>85</v>
      </c>
      <c r="N1509" t="s">
        <v>86</v>
      </c>
      <c r="P1509" t="s">
        <v>3541</v>
      </c>
      <c r="Q1509" t="s">
        <v>76</v>
      </c>
      <c r="R1509" t="s">
        <v>73</v>
      </c>
      <c r="S1509">
        <v>0</v>
      </c>
      <c r="W1509" s="20">
        <v>1.3888888888888889E-3</v>
      </c>
      <c r="X1509" t="s">
        <v>3542</v>
      </c>
      <c r="Y1509">
        <v>14</v>
      </c>
      <c r="Z1509">
        <v>0</v>
      </c>
      <c r="AA1509" t="s">
        <v>78</v>
      </c>
      <c r="AB1509">
        <v>0</v>
      </c>
      <c r="AC1509" t="s">
        <v>78</v>
      </c>
      <c r="AD1509">
        <v>0</v>
      </c>
      <c r="AE1509">
        <v>10176787</v>
      </c>
      <c r="AF1509" t="s">
        <v>79</v>
      </c>
      <c r="AG1509" t="s">
        <v>3309</v>
      </c>
    </row>
    <row r="1510" spans="1:33" x14ac:dyDescent="0.35">
      <c r="A1510" s="18">
        <v>44379.473611111112</v>
      </c>
      <c r="B1510">
        <v>670258</v>
      </c>
      <c r="C1510" t="s">
        <v>3543</v>
      </c>
      <c r="D1510" t="s">
        <v>1426</v>
      </c>
      <c r="E1510" s="19">
        <v>40556</v>
      </c>
      <c r="F1510" t="str">
        <f>"9780253004970"</f>
        <v>9780253004970</v>
      </c>
      <c r="G1510" t="str">
        <f>"9780253355447"</f>
        <v>9780253355447</v>
      </c>
      <c r="H1510" t="s">
        <v>528</v>
      </c>
      <c r="I1510" t="s">
        <v>3544</v>
      </c>
      <c r="J1510" t="s">
        <v>3545</v>
      </c>
      <c r="K1510" t="s">
        <v>73</v>
      </c>
      <c r="N1510" t="s">
        <v>74</v>
      </c>
      <c r="O1510" t="s">
        <v>75</v>
      </c>
      <c r="P1510" t="s">
        <v>74</v>
      </c>
      <c r="Q1510" t="s">
        <v>76</v>
      </c>
      <c r="R1510" t="s">
        <v>73</v>
      </c>
      <c r="S1510">
        <v>0</v>
      </c>
      <c r="W1510" s="20">
        <v>3.2986111111111111E-3</v>
      </c>
      <c r="X1510" t="s">
        <v>3546</v>
      </c>
      <c r="Y1510">
        <v>10</v>
      </c>
      <c r="Z1510">
        <v>0</v>
      </c>
      <c r="AA1510" t="s">
        <v>78</v>
      </c>
      <c r="AB1510">
        <v>0</v>
      </c>
      <c r="AC1510" t="s">
        <v>78</v>
      </c>
      <c r="AD1510">
        <v>0</v>
      </c>
      <c r="AE1510">
        <v>10443353</v>
      </c>
      <c r="AF1510" t="s">
        <v>79</v>
      </c>
      <c r="AG1510" t="s">
        <v>3060</v>
      </c>
    </row>
    <row r="1511" spans="1:33" x14ac:dyDescent="0.35">
      <c r="A1511" s="18">
        <v>44379.418749999997</v>
      </c>
      <c r="B1511">
        <v>4945216</v>
      </c>
      <c r="C1511" t="s">
        <v>3547</v>
      </c>
      <c r="D1511" t="s">
        <v>3329</v>
      </c>
      <c r="E1511" s="19">
        <v>42646</v>
      </c>
      <c r="F1511" t="str">
        <f>"9780823273218"</f>
        <v>9780823273218</v>
      </c>
      <c r="G1511" t="str">
        <f>"9780823273201"</f>
        <v>9780823273201</v>
      </c>
      <c r="H1511" t="s">
        <v>528</v>
      </c>
      <c r="I1511">
        <v>111</v>
      </c>
      <c r="J1511" t="s">
        <v>3548</v>
      </c>
      <c r="K1511" t="s">
        <v>73</v>
      </c>
      <c r="N1511" t="s">
        <v>74</v>
      </c>
      <c r="O1511" t="s">
        <v>75</v>
      </c>
      <c r="P1511" t="s">
        <v>74</v>
      </c>
      <c r="Q1511" t="s">
        <v>76</v>
      </c>
      <c r="R1511" t="s">
        <v>73</v>
      </c>
      <c r="S1511">
        <v>0</v>
      </c>
      <c r="W1511" s="20">
        <v>1.6759259259259258E-2</v>
      </c>
      <c r="X1511" t="s">
        <v>3549</v>
      </c>
      <c r="Y1511">
        <v>9</v>
      </c>
      <c r="Z1511">
        <v>0</v>
      </c>
      <c r="AA1511" t="s">
        <v>78</v>
      </c>
      <c r="AB1511">
        <v>0</v>
      </c>
      <c r="AC1511" t="s">
        <v>78</v>
      </c>
      <c r="AD1511">
        <v>0</v>
      </c>
      <c r="AE1511">
        <v>11492771</v>
      </c>
      <c r="AF1511" t="s">
        <v>79</v>
      </c>
      <c r="AG1511" t="s">
        <v>3060</v>
      </c>
    </row>
    <row r="1512" spans="1:33" x14ac:dyDescent="0.35">
      <c r="A1512" s="18">
        <v>44378.974305555559</v>
      </c>
      <c r="B1512">
        <v>4183001</v>
      </c>
      <c r="C1512" t="s">
        <v>580</v>
      </c>
      <c r="D1512" t="s">
        <v>70</v>
      </c>
      <c r="E1512" s="19">
        <v>42359</v>
      </c>
      <c r="F1512" t="str">
        <f>"9781118972311"</f>
        <v>9781118972311</v>
      </c>
      <c r="G1512" t="str">
        <f>"9781118972304"</f>
        <v>9781118972304</v>
      </c>
      <c r="H1512" t="s">
        <v>308</v>
      </c>
      <c r="I1512">
        <v>297</v>
      </c>
      <c r="J1512" t="s">
        <v>581</v>
      </c>
      <c r="K1512" t="s">
        <v>73</v>
      </c>
      <c r="N1512" t="s">
        <v>74</v>
      </c>
      <c r="O1512" t="s">
        <v>75</v>
      </c>
      <c r="P1512" t="s">
        <v>74</v>
      </c>
      <c r="Q1512" t="s">
        <v>76</v>
      </c>
      <c r="R1512" t="s">
        <v>73</v>
      </c>
      <c r="S1512">
        <v>0</v>
      </c>
      <c r="W1512" s="20">
        <v>4.6296296296296294E-5</v>
      </c>
      <c r="X1512" t="s">
        <v>132</v>
      </c>
      <c r="Y1512">
        <v>1</v>
      </c>
      <c r="Z1512">
        <v>0</v>
      </c>
      <c r="AA1512" t="s">
        <v>78</v>
      </c>
      <c r="AB1512">
        <v>0</v>
      </c>
      <c r="AC1512" t="s">
        <v>78</v>
      </c>
      <c r="AD1512">
        <v>0</v>
      </c>
      <c r="AE1512">
        <v>11124854</v>
      </c>
      <c r="AF1512" t="s">
        <v>79</v>
      </c>
      <c r="AG1512" t="s">
        <v>3537</v>
      </c>
    </row>
    <row r="1513" spans="1:33" x14ac:dyDescent="0.35">
      <c r="A1513" s="18">
        <v>44378.486111111109</v>
      </c>
      <c r="B1513">
        <v>4945216</v>
      </c>
      <c r="C1513" t="s">
        <v>3547</v>
      </c>
      <c r="D1513" t="s">
        <v>3329</v>
      </c>
      <c r="E1513" s="19">
        <v>42646</v>
      </c>
      <c r="F1513" t="str">
        <f>"9780823273218"</f>
        <v>9780823273218</v>
      </c>
      <c r="G1513" t="str">
        <f>"9780823273201"</f>
        <v>9780823273201</v>
      </c>
      <c r="H1513" t="s">
        <v>528</v>
      </c>
      <c r="I1513">
        <v>111</v>
      </c>
      <c r="J1513" t="s">
        <v>3548</v>
      </c>
      <c r="K1513" t="s">
        <v>73</v>
      </c>
      <c r="N1513" t="s">
        <v>74</v>
      </c>
      <c r="O1513" t="s">
        <v>75</v>
      </c>
      <c r="P1513" t="s">
        <v>74</v>
      </c>
      <c r="Q1513" t="s">
        <v>76</v>
      </c>
      <c r="R1513" t="s">
        <v>73</v>
      </c>
      <c r="S1513">
        <v>0</v>
      </c>
      <c r="W1513" s="20">
        <v>8.1018518518518516E-4</v>
      </c>
      <c r="X1513" t="s">
        <v>3550</v>
      </c>
      <c r="Y1513">
        <v>6</v>
      </c>
      <c r="Z1513">
        <v>0</v>
      </c>
      <c r="AA1513" t="s">
        <v>78</v>
      </c>
      <c r="AB1513">
        <v>0</v>
      </c>
      <c r="AC1513" t="s">
        <v>78</v>
      </c>
      <c r="AD1513">
        <v>0</v>
      </c>
      <c r="AE1513">
        <v>11492771</v>
      </c>
      <c r="AF1513" t="s">
        <v>79</v>
      </c>
      <c r="AG1513" t="s">
        <v>3060</v>
      </c>
    </row>
    <row r="1514" spans="1:33" x14ac:dyDescent="0.35">
      <c r="A1514" s="18">
        <v>44378.371527777781</v>
      </c>
      <c r="B1514">
        <v>472381</v>
      </c>
      <c r="C1514" t="s">
        <v>3551</v>
      </c>
      <c r="D1514" t="s">
        <v>102</v>
      </c>
      <c r="E1514" s="19">
        <v>40179</v>
      </c>
      <c r="F1514" t="str">
        <f>"9780191572876"</f>
        <v>9780191572876</v>
      </c>
      <c r="G1514" t="str">
        <f>"9780199545728"</f>
        <v>9780199545728</v>
      </c>
      <c r="H1514" t="s">
        <v>3552</v>
      </c>
      <c r="I1514">
        <v>297.08999999999997</v>
      </c>
      <c r="J1514" t="s">
        <v>3553</v>
      </c>
      <c r="K1514" t="s">
        <v>73</v>
      </c>
      <c r="N1514" t="s">
        <v>74</v>
      </c>
      <c r="O1514" t="s">
        <v>75</v>
      </c>
      <c r="P1514" t="s">
        <v>74</v>
      </c>
      <c r="Q1514" t="s">
        <v>76</v>
      </c>
      <c r="R1514" t="s">
        <v>73</v>
      </c>
      <c r="S1514">
        <v>0</v>
      </c>
      <c r="W1514" s="20">
        <v>1.7361111111111112E-4</v>
      </c>
      <c r="X1514" t="s">
        <v>3554</v>
      </c>
      <c r="Y1514">
        <v>2</v>
      </c>
      <c r="Z1514">
        <v>0</v>
      </c>
      <c r="AA1514" t="s">
        <v>78</v>
      </c>
      <c r="AB1514">
        <v>0</v>
      </c>
      <c r="AC1514" t="s">
        <v>78</v>
      </c>
      <c r="AD1514">
        <v>0</v>
      </c>
      <c r="AE1514">
        <v>10358548</v>
      </c>
      <c r="AF1514" t="s">
        <v>79</v>
      </c>
      <c r="AG1514" t="s">
        <v>3555</v>
      </c>
    </row>
    <row r="1515" spans="1:33" x14ac:dyDescent="0.35">
      <c r="A1515" s="18">
        <v>44378.113194444442</v>
      </c>
      <c r="B1515">
        <v>3420994</v>
      </c>
      <c r="C1515" t="s">
        <v>826</v>
      </c>
      <c r="D1515" t="s">
        <v>827</v>
      </c>
      <c r="E1515" s="19">
        <v>40316</v>
      </c>
      <c r="F1515" t="str">
        <f>"9780300159141"</f>
        <v>9780300159141</v>
      </c>
      <c r="G1515" t="str">
        <f>"9780300159110"</f>
        <v>9780300159110</v>
      </c>
      <c r="H1515" t="s">
        <v>308</v>
      </c>
      <c r="I1515" t="s">
        <v>828</v>
      </c>
      <c r="J1515" t="s">
        <v>829</v>
      </c>
      <c r="K1515" t="s">
        <v>73</v>
      </c>
      <c r="N1515" t="s">
        <v>74</v>
      </c>
      <c r="O1515" t="s">
        <v>75</v>
      </c>
      <c r="P1515" t="s">
        <v>74</v>
      </c>
      <c r="Q1515" t="s">
        <v>76</v>
      </c>
      <c r="R1515" t="s">
        <v>73</v>
      </c>
      <c r="S1515">
        <v>0</v>
      </c>
      <c r="W1515" s="20">
        <v>2.0821759259259259E-2</v>
      </c>
      <c r="X1515" t="s">
        <v>3556</v>
      </c>
      <c r="Y1515">
        <v>15</v>
      </c>
      <c r="Z1515">
        <v>2</v>
      </c>
      <c r="AA1515" t="s">
        <v>3557</v>
      </c>
      <c r="AB1515">
        <v>48</v>
      </c>
      <c r="AC1515" t="s">
        <v>78</v>
      </c>
      <c r="AD1515">
        <v>0</v>
      </c>
      <c r="AE1515">
        <v>10579393</v>
      </c>
      <c r="AF1515" t="s">
        <v>79</v>
      </c>
      <c r="AG1515" t="s">
        <v>3555</v>
      </c>
    </row>
    <row r="1516" spans="1:33" x14ac:dyDescent="0.35">
      <c r="A1516" s="18">
        <v>44377.809027777781</v>
      </c>
      <c r="B1516">
        <v>467991</v>
      </c>
      <c r="C1516" t="s">
        <v>3558</v>
      </c>
      <c r="D1516" t="s">
        <v>506</v>
      </c>
      <c r="E1516" s="19">
        <v>39867</v>
      </c>
      <c r="F1516" t="str">
        <f>"9789047424345"</f>
        <v>9789047424345</v>
      </c>
      <c r="G1516" t="str">
        <f>"9789004171039"</f>
        <v>9789004171039</v>
      </c>
      <c r="H1516" t="s">
        <v>308</v>
      </c>
      <c r="I1516">
        <v>297.2</v>
      </c>
      <c r="J1516" t="s">
        <v>3559</v>
      </c>
      <c r="K1516" t="s">
        <v>73</v>
      </c>
      <c r="N1516" t="s">
        <v>74</v>
      </c>
      <c r="O1516" t="s">
        <v>75</v>
      </c>
      <c r="P1516" t="s">
        <v>74</v>
      </c>
      <c r="Q1516" t="s">
        <v>76</v>
      </c>
      <c r="R1516" t="s">
        <v>73</v>
      </c>
      <c r="S1516">
        <v>0</v>
      </c>
      <c r="W1516" s="20">
        <v>2.0370370370370373E-3</v>
      </c>
      <c r="X1516" t="s">
        <v>3560</v>
      </c>
      <c r="Y1516">
        <v>20</v>
      </c>
      <c r="Z1516">
        <v>0</v>
      </c>
      <c r="AA1516" t="s">
        <v>78</v>
      </c>
      <c r="AB1516">
        <v>0</v>
      </c>
      <c r="AC1516" t="s">
        <v>78</v>
      </c>
      <c r="AD1516">
        <v>0</v>
      </c>
      <c r="AE1516">
        <v>10349152</v>
      </c>
      <c r="AF1516" t="s">
        <v>79</v>
      </c>
      <c r="AG1516" t="s">
        <v>3503</v>
      </c>
    </row>
    <row r="1517" spans="1:33" x14ac:dyDescent="0.35">
      <c r="A1517" s="18">
        <v>44377.636111111111</v>
      </c>
      <c r="B1517">
        <v>4945216</v>
      </c>
      <c r="C1517" t="s">
        <v>3547</v>
      </c>
      <c r="D1517" t="s">
        <v>3329</v>
      </c>
      <c r="E1517" s="19">
        <v>42646</v>
      </c>
      <c r="F1517" t="str">
        <f>"9780823273218"</f>
        <v>9780823273218</v>
      </c>
      <c r="G1517" t="str">
        <f>"9780823273201"</f>
        <v>9780823273201</v>
      </c>
      <c r="H1517" t="s">
        <v>528</v>
      </c>
      <c r="I1517">
        <v>111</v>
      </c>
      <c r="J1517" t="s">
        <v>3548</v>
      </c>
      <c r="K1517" t="s">
        <v>73</v>
      </c>
      <c r="N1517" t="s">
        <v>74</v>
      </c>
      <c r="O1517" t="s">
        <v>75</v>
      </c>
      <c r="P1517" t="s">
        <v>74</v>
      </c>
      <c r="Q1517" t="s">
        <v>76</v>
      </c>
      <c r="R1517" t="s">
        <v>73</v>
      </c>
      <c r="S1517">
        <v>0</v>
      </c>
      <c r="W1517" s="20">
        <v>1.8379629629629628E-2</v>
      </c>
      <c r="X1517" t="s">
        <v>3561</v>
      </c>
      <c r="Y1517">
        <v>17</v>
      </c>
      <c r="Z1517">
        <v>0</v>
      </c>
      <c r="AA1517" t="s">
        <v>78</v>
      </c>
      <c r="AB1517">
        <v>0</v>
      </c>
      <c r="AC1517" t="s">
        <v>78</v>
      </c>
      <c r="AD1517">
        <v>0</v>
      </c>
      <c r="AE1517">
        <v>11492771</v>
      </c>
      <c r="AF1517" t="s">
        <v>79</v>
      </c>
      <c r="AG1517" t="s">
        <v>3060</v>
      </c>
    </row>
    <row r="1518" spans="1:33" x14ac:dyDescent="0.35">
      <c r="A1518" s="18">
        <v>44377.616666666669</v>
      </c>
      <c r="B1518">
        <v>1807217</v>
      </c>
      <c r="C1518" t="s">
        <v>3562</v>
      </c>
      <c r="D1518" t="s">
        <v>635</v>
      </c>
      <c r="E1518" s="19">
        <v>31413</v>
      </c>
      <c r="F1518" t="str">
        <f>"9781480441187"</f>
        <v>9781480441187</v>
      </c>
      <c r="G1518" t="str">
        <f>""</f>
        <v/>
      </c>
      <c r="H1518" t="s">
        <v>3563</v>
      </c>
      <c r="I1518" t="s">
        <v>3564</v>
      </c>
      <c r="J1518" t="s">
        <v>3565</v>
      </c>
      <c r="K1518" t="s">
        <v>73</v>
      </c>
      <c r="N1518" t="s">
        <v>74</v>
      </c>
      <c r="O1518" t="s">
        <v>75</v>
      </c>
      <c r="P1518" t="s">
        <v>74</v>
      </c>
      <c r="Q1518" t="s">
        <v>76</v>
      </c>
      <c r="R1518" t="s">
        <v>73</v>
      </c>
      <c r="S1518">
        <v>0</v>
      </c>
      <c r="W1518" s="20">
        <v>1.9560185185185184E-3</v>
      </c>
      <c r="X1518" t="s">
        <v>3566</v>
      </c>
      <c r="Y1518">
        <v>29</v>
      </c>
      <c r="Z1518">
        <v>0</v>
      </c>
      <c r="AA1518" t="s">
        <v>78</v>
      </c>
      <c r="AB1518">
        <v>0</v>
      </c>
      <c r="AC1518" t="s">
        <v>78</v>
      </c>
      <c r="AD1518">
        <v>0</v>
      </c>
      <c r="AE1518">
        <v>-1</v>
      </c>
      <c r="AF1518" t="s">
        <v>79</v>
      </c>
      <c r="AG1518" t="s">
        <v>3309</v>
      </c>
    </row>
    <row r="1519" spans="1:33" x14ac:dyDescent="0.35">
      <c r="A1519" s="18">
        <v>44377.438194444447</v>
      </c>
      <c r="B1519">
        <v>4183001</v>
      </c>
      <c r="C1519" t="s">
        <v>580</v>
      </c>
      <c r="D1519" t="s">
        <v>70</v>
      </c>
      <c r="E1519" s="19">
        <v>42359</v>
      </c>
      <c r="F1519" t="str">
        <f>"9781118972311"</f>
        <v>9781118972311</v>
      </c>
      <c r="G1519" t="str">
        <f>"9781118972304"</f>
        <v>9781118972304</v>
      </c>
      <c r="H1519" t="s">
        <v>308</v>
      </c>
      <c r="I1519">
        <v>297</v>
      </c>
      <c r="J1519" t="s">
        <v>581</v>
      </c>
      <c r="K1519" t="s">
        <v>73</v>
      </c>
      <c r="N1519" t="s">
        <v>74</v>
      </c>
      <c r="O1519" t="s">
        <v>75</v>
      </c>
      <c r="P1519" t="s">
        <v>74</v>
      </c>
      <c r="Q1519" t="s">
        <v>76</v>
      </c>
      <c r="R1519" t="s">
        <v>73</v>
      </c>
      <c r="S1519">
        <v>0</v>
      </c>
      <c r="W1519" s="20">
        <v>5.6944444444444438E-3</v>
      </c>
      <c r="X1519" t="s">
        <v>3567</v>
      </c>
      <c r="Y1519">
        <v>33</v>
      </c>
      <c r="Z1519">
        <v>0</v>
      </c>
      <c r="AA1519" t="s">
        <v>78</v>
      </c>
      <c r="AB1519">
        <v>0</v>
      </c>
      <c r="AC1519" t="s">
        <v>78</v>
      </c>
      <c r="AD1519">
        <v>0</v>
      </c>
      <c r="AE1519">
        <v>11124854</v>
      </c>
      <c r="AF1519" t="s">
        <v>79</v>
      </c>
      <c r="AG1519" t="s">
        <v>3537</v>
      </c>
    </row>
    <row r="1520" spans="1:33" x14ac:dyDescent="0.35">
      <c r="A1520" s="18">
        <v>44377.429166666669</v>
      </c>
      <c r="B1520">
        <v>5962845</v>
      </c>
      <c r="C1520" t="s">
        <v>3568</v>
      </c>
      <c r="D1520" t="s">
        <v>369</v>
      </c>
      <c r="E1520" s="19">
        <v>43774</v>
      </c>
      <c r="F1520" t="str">
        <f>"9783030278090"</f>
        <v>9783030278090</v>
      </c>
      <c r="G1520" t="str">
        <f>"9783030278083"</f>
        <v>9783030278083</v>
      </c>
      <c r="H1520" t="s">
        <v>222</v>
      </c>
      <c r="I1520">
        <v>616.5</v>
      </c>
      <c r="J1520" t="s">
        <v>370</v>
      </c>
      <c r="K1520" t="s">
        <v>85</v>
      </c>
      <c r="Q1520" t="s">
        <v>76</v>
      </c>
      <c r="R1520" t="s">
        <v>73</v>
      </c>
      <c r="S1520">
        <v>0</v>
      </c>
      <c r="W1520" s="20">
        <v>7.291666666666667E-4</v>
      </c>
      <c r="X1520" t="s">
        <v>3569</v>
      </c>
      <c r="Y1520">
        <v>9</v>
      </c>
      <c r="Z1520">
        <v>0</v>
      </c>
      <c r="AA1520" t="s">
        <v>78</v>
      </c>
      <c r="AB1520">
        <v>0</v>
      </c>
      <c r="AC1520" t="s">
        <v>78</v>
      </c>
      <c r="AD1520">
        <v>0</v>
      </c>
      <c r="AE1520">
        <v>-1</v>
      </c>
      <c r="AF1520" t="s">
        <v>79</v>
      </c>
      <c r="AG1520" t="s">
        <v>3570</v>
      </c>
    </row>
    <row r="1521" spans="1:33" x14ac:dyDescent="0.35">
      <c r="A1521" s="18">
        <v>44377.031944444447</v>
      </c>
      <c r="B1521">
        <v>592989</v>
      </c>
      <c r="C1521" t="s">
        <v>3571</v>
      </c>
      <c r="D1521" t="s">
        <v>127</v>
      </c>
      <c r="E1521" s="19">
        <v>40486</v>
      </c>
      <c r="F1521" t="str">
        <f>"9780203848722"</f>
        <v>9780203848722</v>
      </c>
      <c r="G1521" t="str">
        <f>"9780415474115"</f>
        <v>9780415474115</v>
      </c>
      <c r="H1521" t="s">
        <v>308</v>
      </c>
      <c r="I1521" t="s">
        <v>3572</v>
      </c>
      <c r="J1521" t="s">
        <v>3573</v>
      </c>
      <c r="K1521" t="s">
        <v>73</v>
      </c>
      <c r="N1521" t="s">
        <v>74</v>
      </c>
      <c r="O1521" t="s">
        <v>75</v>
      </c>
      <c r="P1521" t="s">
        <v>74</v>
      </c>
      <c r="Q1521" t="s">
        <v>76</v>
      </c>
      <c r="R1521" t="s">
        <v>73</v>
      </c>
      <c r="S1521">
        <v>0</v>
      </c>
      <c r="W1521" s="20">
        <v>6.3657407407407402E-4</v>
      </c>
      <c r="X1521" t="s">
        <v>3574</v>
      </c>
      <c r="Y1521">
        <v>3</v>
      </c>
      <c r="Z1521">
        <v>1</v>
      </c>
      <c r="AA1521" t="s">
        <v>639</v>
      </c>
      <c r="AB1521">
        <v>3</v>
      </c>
      <c r="AC1521" t="s">
        <v>78</v>
      </c>
      <c r="AD1521">
        <v>0</v>
      </c>
      <c r="AE1521">
        <v>10432401</v>
      </c>
      <c r="AF1521" t="s">
        <v>79</v>
      </c>
      <c r="AG1521" t="s">
        <v>3060</v>
      </c>
    </row>
    <row r="1522" spans="1:33" x14ac:dyDescent="0.35">
      <c r="A1522" s="18">
        <v>44376.813194444447</v>
      </c>
      <c r="B1522">
        <v>3104228</v>
      </c>
      <c r="C1522" t="s">
        <v>3575</v>
      </c>
      <c r="D1522" t="s">
        <v>3539</v>
      </c>
      <c r="E1522" s="19">
        <v>29280</v>
      </c>
      <c r="F1522" t="str">
        <f>"9789400993426"</f>
        <v>9789400993426</v>
      </c>
      <c r="G1522" t="str">
        <f>"9789400993440"</f>
        <v>9789400993440</v>
      </c>
      <c r="H1522" t="s">
        <v>528</v>
      </c>
      <c r="I1522">
        <v>111.82</v>
      </c>
      <c r="J1522" t="s">
        <v>3576</v>
      </c>
      <c r="K1522" t="s">
        <v>73</v>
      </c>
      <c r="N1522" t="s">
        <v>74</v>
      </c>
      <c r="O1522" t="s">
        <v>75</v>
      </c>
      <c r="P1522" t="s">
        <v>74</v>
      </c>
      <c r="Q1522" t="s">
        <v>76</v>
      </c>
      <c r="R1522" t="s">
        <v>73</v>
      </c>
      <c r="S1522">
        <v>0</v>
      </c>
      <c r="W1522" s="20">
        <v>1.0300925925925926E-3</v>
      </c>
      <c r="X1522" t="s">
        <v>3577</v>
      </c>
      <c r="Y1522">
        <v>12</v>
      </c>
      <c r="Z1522">
        <v>0</v>
      </c>
      <c r="AA1522" t="s">
        <v>78</v>
      </c>
      <c r="AB1522">
        <v>0</v>
      </c>
      <c r="AC1522" t="s">
        <v>78</v>
      </c>
      <c r="AD1522">
        <v>0</v>
      </c>
      <c r="AE1522">
        <v>10980034</v>
      </c>
      <c r="AF1522" t="s">
        <v>79</v>
      </c>
      <c r="AG1522" t="s">
        <v>3060</v>
      </c>
    </row>
    <row r="1523" spans="1:33" x14ac:dyDescent="0.35">
      <c r="A1523" s="18">
        <v>44376.798611111109</v>
      </c>
      <c r="B1523">
        <v>4945216</v>
      </c>
      <c r="C1523" t="s">
        <v>3547</v>
      </c>
      <c r="D1523" t="s">
        <v>3329</v>
      </c>
      <c r="E1523" s="19">
        <v>42646</v>
      </c>
      <c r="F1523" t="str">
        <f>"9780823273218"</f>
        <v>9780823273218</v>
      </c>
      <c r="G1523" t="str">
        <f>"9780823273201"</f>
        <v>9780823273201</v>
      </c>
      <c r="H1523" t="s">
        <v>528</v>
      </c>
      <c r="I1523">
        <v>111</v>
      </c>
      <c r="J1523" t="s">
        <v>3548</v>
      </c>
      <c r="K1523" t="s">
        <v>73</v>
      </c>
      <c r="N1523" t="s">
        <v>74</v>
      </c>
      <c r="O1523" t="s">
        <v>75</v>
      </c>
      <c r="P1523" t="s">
        <v>74</v>
      </c>
      <c r="Q1523" t="s">
        <v>76</v>
      </c>
      <c r="R1523" t="s">
        <v>73</v>
      </c>
      <c r="S1523">
        <v>0</v>
      </c>
      <c r="W1523" s="20">
        <v>2.5023148148148145E-2</v>
      </c>
      <c r="X1523" t="s">
        <v>3578</v>
      </c>
      <c r="Y1523">
        <v>8</v>
      </c>
      <c r="Z1523">
        <v>0</v>
      </c>
      <c r="AA1523" t="s">
        <v>78</v>
      </c>
      <c r="AB1523">
        <v>0</v>
      </c>
      <c r="AC1523" t="s">
        <v>3579</v>
      </c>
      <c r="AD1523">
        <v>3</v>
      </c>
      <c r="AE1523">
        <v>11492771</v>
      </c>
      <c r="AF1523" t="s">
        <v>79</v>
      </c>
      <c r="AG1523" t="s">
        <v>3060</v>
      </c>
    </row>
    <row r="1524" spans="1:33" x14ac:dyDescent="0.35">
      <c r="A1524" s="18">
        <v>44376.790972222225</v>
      </c>
      <c r="B1524">
        <v>286737</v>
      </c>
      <c r="C1524" t="s">
        <v>3580</v>
      </c>
      <c r="D1524" t="s">
        <v>158</v>
      </c>
      <c r="E1524" s="19">
        <v>38203</v>
      </c>
      <c r="F1524" t="str">
        <f>"9780080470344"</f>
        <v>9780080470344</v>
      </c>
      <c r="G1524" t="str">
        <f>"9780126561531"</f>
        <v>9780126561531</v>
      </c>
      <c r="H1524" t="s">
        <v>3581</v>
      </c>
      <c r="I1524" t="s">
        <v>3582</v>
      </c>
      <c r="J1524" t="s">
        <v>3583</v>
      </c>
      <c r="K1524" t="s">
        <v>73</v>
      </c>
      <c r="N1524" t="s">
        <v>74</v>
      </c>
      <c r="O1524" t="s">
        <v>75</v>
      </c>
      <c r="P1524" t="s">
        <v>74</v>
      </c>
      <c r="Q1524" t="s">
        <v>76</v>
      </c>
      <c r="R1524" t="s">
        <v>73</v>
      </c>
      <c r="S1524">
        <v>0</v>
      </c>
      <c r="W1524" s="20">
        <v>3.3564814814814812E-4</v>
      </c>
      <c r="X1524" t="s">
        <v>3584</v>
      </c>
      <c r="Y1524">
        <v>3</v>
      </c>
      <c r="Z1524">
        <v>0</v>
      </c>
      <c r="AA1524" t="s">
        <v>78</v>
      </c>
      <c r="AB1524">
        <v>0</v>
      </c>
      <c r="AC1524" t="s">
        <v>78</v>
      </c>
      <c r="AD1524">
        <v>0</v>
      </c>
      <c r="AE1524">
        <v>10166980</v>
      </c>
      <c r="AF1524" t="s">
        <v>79</v>
      </c>
      <c r="AG1524" t="s">
        <v>3309</v>
      </c>
    </row>
    <row r="1525" spans="1:33" x14ac:dyDescent="0.35">
      <c r="A1525" s="18">
        <v>44376.584027777775</v>
      </c>
      <c r="B1525">
        <v>670258</v>
      </c>
      <c r="C1525" t="s">
        <v>3543</v>
      </c>
      <c r="D1525" t="s">
        <v>1426</v>
      </c>
      <c r="E1525" s="19">
        <v>40556</v>
      </c>
      <c r="F1525" t="str">
        <f>"9780253004970"</f>
        <v>9780253004970</v>
      </c>
      <c r="G1525" t="str">
        <f>"9780253355447"</f>
        <v>9780253355447</v>
      </c>
      <c r="H1525" t="s">
        <v>528</v>
      </c>
      <c r="I1525" t="s">
        <v>3544</v>
      </c>
      <c r="J1525" t="s">
        <v>3545</v>
      </c>
      <c r="K1525" t="s">
        <v>73</v>
      </c>
      <c r="N1525" t="s">
        <v>74</v>
      </c>
      <c r="O1525" t="s">
        <v>75</v>
      </c>
      <c r="P1525" t="s">
        <v>74</v>
      </c>
      <c r="Q1525" t="s">
        <v>76</v>
      </c>
      <c r="R1525" t="s">
        <v>73</v>
      </c>
      <c r="S1525">
        <v>0</v>
      </c>
      <c r="W1525" s="20">
        <v>1.9212962962962963E-2</v>
      </c>
      <c r="X1525" t="s">
        <v>3585</v>
      </c>
      <c r="Y1525">
        <v>8</v>
      </c>
      <c r="Z1525">
        <v>0</v>
      </c>
      <c r="AA1525" t="s">
        <v>78</v>
      </c>
      <c r="AB1525">
        <v>0</v>
      </c>
      <c r="AC1525" t="s">
        <v>3586</v>
      </c>
      <c r="AD1525">
        <v>1</v>
      </c>
      <c r="AE1525">
        <v>10443353</v>
      </c>
      <c r="AF1525" t="s">
        <v>79</v>
      </c>
      <c r="AG1525" t="s">
        <v>3060</v>
      </c>
    </row>
    <row r="1526" spans="1:33" x14ac:dyDescent="0.35">
      <c r="A1526" s="18">
        <v>44376.555555555555</v>
      </c>
      <c r="B1526">
        <v>3104228</v>
      </c>
      <c r="C1526" t="s">
        <v>3575</v>
      </c>
      <c r="D1526" t="s">
        <v>3539</v>
      </c>
      <c r="E1526" s="19">
        <v>29280</v>
      </c>
      <c r="F1526" t="str">
        <f>"9789400993426"</f>
        <v>9789400993426</v>
      </c>
      <c r="G1526" t="str">
        <f>"9789400993440"</f>
        <v>9789400993440</v>
      </c>
      <c r="H1526" t="s">
        <v>528</v>
      </c>
      <c r="I1526">
        <v>111.82</v>
      </c>
      <c r="J1526" t="s">
        <v>3576</v>
      </c>
      <c r="K1526" t="s">
        <v>73</v>
      </c>
      <c r="N1526" t="s">
        <v>74</v>
      </c>
      <c r="O1526" t="s">
        <v>75</v>
      </c>
      <c r="P1526" t="s">
        <v>74</v>
      </c>
      <c r="Q1526" t="s">
        <v>76</v>
      </c>
      <c r="R1526" t="s">
        <v>73</v>
      </c>
      <c r="S1526">
        <v>0</v>
      </c>
      <c r="W1526" s="20">
        <v>2.3263888888888887E-3</v>
      </c>
      <c r="X1526" t="s">
        <v>3587</v>
      </c>
      <c r="Y1526">
        <v>12</v>
      </c>
      <c r="Z1526">
        <v>0</v>
      </c>
      <c r="AA1526" t="s">
        <v>78</v>
      </c>
      <c r="AB1526">
        <v>0</v>
      </c>
      <c r="AC1526" t="s">
        <v>78</v>
      </c>
      <c r="AD1526">
        <v>0</v>
      </c>
      <c r="AE1526">
        <v>10980034</v>
      </c>
      <c r="AF1526" t="s">
        <v>79</v>
      </c>
      <c r="AG1526" t="s">
        <v>3060</v>
      </c>
    </row>
    <row r="1527" spans="1:33" x14ac:dyDescent="0.35">
      <c r="A1527" s="18">
        <v>44376.193055555559</v>
      </c>
      <c r="B1527">
        <v>1010562</v>
      </c>
      <c r="C1527" t="s">
        <v>3588</v>
      </c>
      <c r="D1527" t="s">
        <v>506</v>
      </c>
      <c r="E1527" s="19">
        <v>40872</v>
      </c>
      <c r="F1527" t="str">
        <f>"9789004209367"</f>
        <v>9789004209367</v>
      </c>
      <c r="G1527" t="str">
        <f>"9789004211469"</f>
        <v>9789004211469</v>
      </c>
      <c r="H1527" t="s">
        <v>2036</v>
      </c>
      <c r="I1527">
        <v>297.60820000000001</v>
      </c>
      <c r="J1527" t="s">
        <v>3589</v>
      </c>
      <c r="K1527" t="s">
        <v>73</v>
      </c>
      <c r="N1527" t="s">
        <v>74</v>
      </c>
      <c r="O1527" t="s">
        <v>75</v>
      </c>
      <c r="P1527" t="s">
        <v>74</v>
      </c>
      <c r="Q1527" t="s">
        <v>76</v>
      </c>
      <c r="R1527" t="s">
        <v>73</v>
      </c>
      <c r="S1527">
        <v>0</v>
      </c>
      <c r="W1527" s="20">
        <v>3.4722222222222224E-4</v>
      </c>
      <c r="X1527" t="s">
        <v>132</v>
      </c>
      <c r="Y1527">
        <v>1</v>
      </c>
      <c r="Z1527">
        <v>0</v>
      </c>
      <c r="AA1527" t="s">
        <v>78</v>
      </c>
      <c r="AB1527">
        <v>0</v>
      </c>
      <c r="AC1527" t="s">
        <v>78</v>
      </c>
      <c r="AD1527">
        <v>0</v>
      </c>
      <c r="AE1527">
        <v>10518132</v>
      </c>
      <c r="AF1527" t="s">
        <v>79</v>
      </c>
      <c r="AG1527" t="s">
        <v>3060</v>
      </c>
    </row>
    <row r="1528" spans="1:33" x14ac:dyDescent="0.35">
      <c r="A1528" s="18">
        <v>44376.140277777777</v>
      </c>
      <c r="B1528">
        <v>1010562</v>
      </c>
      <c r="C1528" t="s">
        <v>3588</v>
      </c>
      <c r="D1528" t="s">
        <v>506</v>
      </c>
      <c r="E1528" s="19">
        <v>40872</v>
      </c>
      <c r="F1528" t="str">
        <f>"9789004209367"</f>
        <v>9789004209367</v>
      </c>
      <c r="G1528" t="str">
        <f>"9789004211469"</f>
        <v>9789004211469</v>
      </c>
      <c r="H1528" t="s">
        <v>2036</v>
      </c>
      <c r="I1528">
        <v>297.60820000000001</v>
      </c>
      <c r="J1528" t="s">
        <v>3589</v>
      </c>
      <c r="K1528" t="s">
        <v>73</v>
      </c>
      <c r="N1528" t="s">
        <v>74</v>
      </c>
      <c r="O1528" t="s">
        <v>75</v>
      </c>
      <c r="P1528" t="s">
        <v>74</v>
      </c>
      <c r="Q1528" t="s">
        <v>76</v>
      </c>
      <c r="R1528" t="s">
        <v>73</v>
      </c>
      <c r="S1528">
        <v>0</v>
      </c>
      <c r="W1528" s="20">
        <v>1.4467592592592594E-3</v>
      </c>
      <c r="X1528" t="s">
        <v>3590</v>
      </c>
      <c r="Y1528">
        <v>6</v>
      </c>
      <c r="Z1528">
        <v>0</v>
      </c>
      <c r="AA1528" t="s">
        <v>78</v>
      </c>
      <c r="AB1528">
        <v>0</v>
      </c>
      <c r="AC1528" t="s">
        <v>78</v>
      </c>
      <c r="AD1528">
        <v>0</v>
      </c>
      <c r="AE1528">
        <v>10518132</v>
      </c>
      <c r="AF1528" t="s">
        <v>79</v>
      </c>
      <c r="AG1528" t="s">
        <v>3060</v>
      </c>
    </row>
    <row r="1529" spans="1:33" x14ac:dyDescent="0.35">
      <c r="A1529" s="18">
        <v>44376.115972222222</v>
      </c>
      <c r="B1529">
        <v>5842416</v>
      </c>
      <c r="C1529" t="s">
        <v>3591</v>
      </c>
      <c r="D1529" t="s">
        <v>506</v>
      </c>
      <c r="E1529" s="19">
        <v>43636</v>
      </c>
      <c r="F1529" t="str">
        <f>"9789004398795"</f>
        <v>9789004398795</v>
      </c>
      <c r="G1529" t="str">
        <f>"9789004364813"</f>
        <v>9789004364813</v>
      </c>
      <c r="H1529" t="s">
        <v>2036</v>
      </c>
      <c r="I1529">
        <v>297.27</v>
      </c>
      <c r="J1529" t="s">
        <v>3592</v>
      </c>
      <c r="K1529" t="s">
        <v>85</v>
      </c>
      <c r="Q1529" t="s">
        <v>76</v>
      </c>
      <c r="R1529" t="s">
        <v>73</v>
      </c>
      <c r="S1529">
        <v>0</v>
      </c>
      <c r="W1529" s="20">
        <v>1.0347222222222223E-2</v>
      </c>
      <c r="X1529" t="s">
        <v>3593</v>
      </c>
      <c r="Y1529">
        <v>19</v>
      </c>
      <c r="Z1529">
        <v>0</v>
      </c>
      <c r="AA1529" t="s">
        <v>78</v>
      </c>
      <c r="AB1529">
        <v>0</v>
      </c>
      <c r="AC1529" t="s">
        <v>78</v>
      </c>
      <c r="AD1529">
        <v>0</v>
      </c>
      <c r="AE1529">
        <v>-1</v>
      </c>
      <c r="AF1529" t="s">
        <v>88</v>
      </c>
      <c r="AG1529" t="s">
        <v>3537</v>
      </c>
    </row>
    <row r="1530" spans="1:33" x14ac:dyDescent="0.35">
      <c r="A1530" s="18">
        <v>44375.601388888892</v>
      </c>
      <c r="B1530">
        <v>4875240</v>
      </c>
      <c r="C1530" t="s">
        <v>465</v>
      </c>
      <c r="D1530" t="s">
        <v>70</v>
      </c>
      <c r="E1530" s="19">
        <v>42954</v>
      </c>
      <c r="F1530" t="str">
        <f>"9781119329039"</f>
        <v>9781119329039</v>
      </c>
      <c r="G1530" t="str">
        <f>"9781119329053"</f>
        <v>9781119329053</v>
      </c>
      <c r="H1530" t="s">
        <v>466</v>
      </c>
      <c r="I1530">
        <v>621.38104399999997</v>
      </c>
      <c r="J1530" t="s">
        <v>467</v>
      </c>
      <c r="K1530" t="s">
        <v>73</v>
      </c>
      <c r="N1530" t="s">
        <v>74</v>
      </c>
      <c r="O1530" t="s">
        <v>75</v>
      </c>
      <c r="P1530" t="s">
        <v>74</v>
      </c>
      <c r="Q1530" t="s">
        <v>76</v>
      </c>
      <c r="R1530" t="s">
        <v>73</v>
      </c>
      <c r="S1530">
        <v>0</v>
      </c>
      <c r="W1530" s="20">
        <v>5.7870370370370366E-5</v>
      </c>
      <c r="X1530" t="s">
        <v>132</v>
      </c>
      <c r="Y1530">
        <v>1</v>
      </c>
      <c r="Z1530">
        <v>0</v>
      </c>
      <c r="AA1530" t="s">
        <v>78</v>
      </c>
      <c r="AB1530">
        <v>0</v>
      </c>
      <c r="AC1530" t="s">
        <v>78</v>
      </c>
      <c r="AD1530">
        <v>0</v>
      </c>
      <c r="AE1530">
        <v>11395817</v>
      </c>
      <c r="AF1530" t="s">
        <v>79</v>
      </c>
      <c r="AG1530" t="s">
        <v>3060</v>
      </c>
    </row>
    <row r="1531" spans="1:33" x14ac:dyDescent="0.35">
      <c r="A1531" s="18">
        <v>44375.210416666669</v>
      </c>
      <c r="B1531">
        <v>6426891</v>
      </c>
      <c r="C1531" t="s">
        <v>3594</v>
      </c>
      <c r="D1531" t="s">
        <v>70</v>
      </c>
      <c r="E1531" s="19">
        <v>44263</v>
      </c>
      <c r="F1531" t="str">
        <f>"9781119772668"</f>
        <v>9781119772668</v>
      </c>
      <c r="G1531" t="str">
        <f>"9781119772439"</f>
        <v>9781119772439</v>
      </c>
      <c r="H1531" t="s">
        <v>143</v>
      </c>
      <c r="I1531">
        <v>657.02179999999998</v>
      </c>
      <c r="J1531" t="s">
        <v>3595</v>
      </c>
      <c r="K1531" t="s">
        <v>85</v>
      </c>
      <c r="Q1531" t="s">
        <v>76</v>
      </c>
      <c r="R1531" t="s">
        <v>73</v>
      </c>
      <c r="S1531">
        <v>0</v>
      </c>
      <c r="W1531" s="20">
        <v>0</v>
      </c>
      <c r="X1531" t="s">
        <v>78</v>
      </c>
      <c r="Y1531">
        <v>0</v>
      </c>
      <c r="Z1531">
        <v>0</v>
      </c>
      <c r="AA1531" t="s">
        <v>78</v>
      </c>
      <c r="AB1531">
        <v>0</v>
      </c>
      <c r="AC1531" t="s">
        <v>78</v>
      </c>
      <c r="AD1531">
        <v>0</v>
      </c>
      <c r="AE1531">
        <v>-1</v>
      </c>
      <c r="AF1531" t="s">
        <v>88</v>
      </c>
      <c r="AG1531" t="s">
        <v>3460</v>
      </c>
    </row>
    <row r="1532" spans="1:33" x14ac:dyDescent="0.35">
      <c r="A1532" s="18">
        <v>44374.743750000001</v>
      </c>
      <c r="B1532">
        <v>1195810</v>
      </c>
      <c r="C1532" t="s">
        <v>3596</v>
      </c>
      <c r="D1532" t="s">
        <v>127</v>
      </c>
      <c r="E1532" s="19">
        <v>37757</v>
      </c>
      <c r="F1532" t="str">
        <f>"9781136769597"</f>
        <v>9781136769597</v>
      </c>
      <c r="G1532" t="str">
        <f>"9780700712373"</f>
        <v>9780700712373</v>
      </c>
      <c r="H1532" t="s">
        <v>557</v>
      </c>
      <c r="I1532">
        <v>322.10958699999998</v>
      </c>
      <c r="J1532" t="s">
        <v>3597</v>
      </c>
      <c r="K1532" t="s">
        <v>73</v>
      </c>
      <c r="N1532" t="s">
        <v>74</v>
      </c>
      <c r="O1532" t="s">
        <v>75</v>
      </c>
      <c r="P1532" t="s">
        <v>74</v>
      </c>
      <c r="Q1532" t="s">
        <v>76</v>
      </c>
      <c r="R1532" t="s">
        <v>73</v>
      </c>
      <c r="S1532">
        <v>0</v>
      </c>
      <c r="W1532" s="20">
        <v>7.291666666666667E-4</v>
      </c>
      <c r="X1532" t="s">
        <v>3598</v>
      </c>
      <c r="Y1532">
        <v>4</v>
      </c>
      <c r="Z1532">
        <v>0</v>
      </c>
      <c r="AA1532" t="s">
        <v>78</v>
      </c>
      <c r="AB1532">
        <v>0</v>
      </c>
      <c r="AC1532" t="s">
        <v>78</v>
      </c>
      <c r="AD1532">
        <v>0</v>
      </c>
      <c r="AE1532">
        <v>10714784</v>
      </c>
      <c r="AF1532" t="s">
        <v>79</v>
      </c>
      <c r="AG1532" t="s">
        <v>3599</v>
      </c>
    </row>
    <row r="1533" spans="1:33" x14ac:dyDescent="0.35">
      <c r="A1533" s="18">
        <v>44374.722222222219</v>
      </c>
      <c r="B1533">
        <v>773636</v>
      </c>
      <c r="C1533" t="s">
        <v>3600</v>
      </c>
      <c r="D1533" t="s">
        <v>127</v>
      </c>
      <c r="E1533" s="19">
        <v>40826</v>
      </c>
      <c r="F1533" t="str">
        <f>"9781439862070"</f>
        <v>9781439862070</v>
      </c>
      <c r="G1533" t="str">
        <f>"9781439862056"</f>
        <v>9781439862056</v>
      </c>
      <c r="H1533" t="s">
        <v>466</v>
      </c>
      <c r="I1533">
        <v>621.38152000000002</v>
      </c>
      <c r="J1533" t="s">
        <v>3601</v>
      </c>
      <c r="K1533" t="s">
        <v>73</v>
      </c>
      <c r="N1533" t="s">
        <v>74</v>
      </c>
      <c r="O1533" t="s">
        <v>75</v>
      </c>
      <c r="P1533" t="s">
        <v>74</v>
      </c>
      <c r="Q1533" t="s">
        <v>76</v>
      </c>
      <c r="R1533" t="s">
        <v>73</v>
      </c>
      <c r="S1533">
        <v>0</v>
      </c>
      <c r="W1533" s="20">
        <v>3.2407407407407406E-4</v>
      </c>
      <c r="X1533" t="s">
        <v>3602</v>
      </c>
      <c r="Y1533">
        <v>8</v>
      </c>
      <c r="Z1533">
        <v>0</v>
      </c>
      <c r="AA1533" t="s">
        <v>78</v>
      </c>
      <c r="AB1533">
        <v>0</v>
      </c>
      <c r="AC1533" t="s">
        <v>78</v>
      </c>
      <c r="AD1533">
        <v>0</v>
      </c>
      <c r="AE1533">
        <v>10495995</v>
      </c>
      <c r="AF1533" t="s">
        <v>79</v>
      </c>
      <c r="AG1533" t="s">
        <v>3309</v>
      </c>
    </row>
    <row r="1534" spans="1:33" x14ac:dyDescent="0.35">
      <c r="A1534" s="18">
        <v>44374.595138888886</v>
      </c>
      <c r="B1534">
        <v>1579692</v>
      </c>
      <c r="C1534" t="s">
        <v>3603</v>
      </c>
      <c r="D1534" t="s">
        <v>205</v>
      </c>
      <c r="E1534" s="19">
        <v>41639</v>
      </c>
      <c r="F1534" t="str">
        <f>"9781608076987"</f>
        <v>9781608076987</v>
      </c>
      <c r="G1534" t="str">
        <f>"9781608076970"</f>
        <v>9781608076970</v>
      </c>
      <c r="H1534" t="s">
        <v>466</v>
      </c>
      <c r="I1534">
        <v>621.38104599999895</v>
      </c>
      <c r="J1534" t="s">
        <v>3604</v>
      </c>
      <c r="K1534" t="s">
        <v>73</v>
      </c>
      <c r="N1534" t="s">
        <v>74</v>
      </c>
      <c r="O1534" t="s">
        <v>75</v>
      </c>
      <c r="P1534" t="s">
        <v>74</v>
      </c>
      <c r="Q1534" t="s">
        <v>76</v>
      </c>
      <c r="R1534" t="s">
        <v>73</v>
      </c>
      <c r="S1534">
        <v>0</v>
      </c>
      <c r="W1534" s="20">
        <v>2.3495370370370371E-3</v>
      </c>
      <c r="X1534" t="s">
        <v>3605</v>
      </c>
      <c r="Y1534">
        <v>39</v>
      </c>
      <c r="Z1534">
        <v>0</v>
      </c>
      <c r="AA1534" t="s">
        <v>78</v>
      </c>
      <c r="AB1534">
        <v>0</v>
      </c>
      <c r="AC1534" t="s">
        <v>78</v>
      </c>
      <c r="AD1534">
        <v>0</v>
      </c>
      <c r="AE1534">
        <v>11069371</v>
      </c>
      <c r="AF1534" t="s">
        <v>88</v>
      </c>
      <c r="AG1534" t="s">
        <v>3309</v>
      </c>
    </row>
    <row r="1535" spans="1:33" x14ac:dyDescent="0.35">
      <c r="A1535" s="18">
        <v>44374.584722222222</v>
      </c>
      <c r="B1535">
        <v>5741628</v>
      </c>
      <c r="C1535" t="s">
        <v>3606</v>
      </c>
      <c r="D1535" t="s">
        <v>369</v>
      </c>
      <c r="E1535" s="19">
        <v>43559</v>
      </c>
      <c r="F1535" t="str">
        <f>"9783030146900"</f>
        <v>9783030146900</v>
      </c>
      <c r="G1535" t="str">
        <f>"9783030146894"</f>
        <v>9783030146894</v>
      </c>
      <c r="H1535" t="s">
        <v>3607</v>
      </c>
      <c r="I1535">
        <v>621.38400000000001</v>
      </c>
      <c r="J1535" t="s">
        <v>202</v>
      </c>
      <c r="K1535" t="s">
        <v>85</v>
      </c>
      <c r="Q1535" t="s">
        <v>76</v>
      </c>
      <c r="R1535" t="s">
        <v>73</v>
      </c>
      <c r="S1535">
        <v>0</v>
      </c>
      <c r="W1535" s="20">
        <v>1.0092592592592592E-2</v>
      </c>
      <c r="X1535" t="s">
        <v>3608</v>
      </c>
      <c r="Y1535">
        <v>93</v>
      </c>
      <c r="Z1535">
        <v>0</v>
      </c>
      <c r="AA1535" t="s">
        <v>78</v>
      </c>
      <c r="AB1535">
        <v>0</v>
      </c>
      <c r="AC1535" t="s">
        <v>78</v>
      </c>
      <c r="AD1535">
        <v>0</v>
      </c>
      <c r="AE1535">
        <v>-1</v>
      </c>
      <c r="AF1535" t="s">
        <v>88</v>
      </c>
      <c r="AG1535" t="s">
        <v>3309</v>
      </c>
    </row>
    <row r="1536" spans="1:33" x14ac:dyDescent="0.35">
      <c r="A1536" s="18">
        <v>44374.582638888889</v>
      </c>
      <c r="B1536">
        <v>1895200</v>
      </c>
      <c r="C1536" t="s">
        <v>3609</v>
      </c>
      <c r="D1536" t="s">
        <v>70</v>
      </c>
      <c r="E1536" s="19">
        <v>42086</v>
      </c>
      <c r="F1536" t="str">
        <f>"9781118998588"</f>
        <v>9781118998588</v>
      </c>
      <c r="G1536" t="str">
        <f>"9781118998359"</f>
        <v>9781118998359</v>
      </c>
      <c r="H1536" t="s">
        <v>3610</v>
      </c>
      <c r="I1536">
        <v>621.38099999999997</v>
      </c>
      <c r="J1536" t="s">
        <v>3611</v>
      </c>
      <c r="K1536" t="s">
        <v>73</v>
      </c>
      <c r="N1536" t="s">
        <v>74</v>
      </c>
      <c r="O1536" t="s">
        <v>75</v>
      </c>
      <c r="P1536" t="s">
        <v>74</v>
      </c>
      <c r="Q1536" t="s">
        <v>76</v>
      </c>
      <c r="R1536" t="s">
        <v>73</v>
      </c>
      <c r="S1536">
        <v>0</v>
      </c>
      <c r="W1536" s="20">
        <v>6.4814814814814813E-4</v>
      </c>
      <c r="X1536" t="s">
        <v>3612</v>
      </c>
      <c r="Y1536">
        <v>17</v>
      </c>
      <c r="Z1536">
        <v>0</v>
      </c>
      <c r="AA1536" t="s">
        <v>78</v>
      </c>
      <c r="AB1536">
        <v>0</v>
      </c>
      <c r="AC1536" t="s">
        <v>78</v>
      </c>
      <c r="AD1536">
        <v>0</v>
      </c>
      <c r="AE1536">
        <v>11030435</v>
      </c>
      <c r="AF1536" t="s">
        <v>79</v>
      </c>
      <c r="AG1536" t="s">
        <v>3309</v>
      </c>
    </row>
    <row r="1537" spans="1:33" x14ac:dyDescent="0.35">
      <c r="A1537" s="18">
        <v>44374.57916666667</v>
      </c>
      <c r="B1537">
        <v>773636</v>
      </c>
      <c r="C1537" t="s">
        <v>3600</v>
      </c>
      <c r="D1537" t="s">
        <v>127</v>
      </c>
      <c r="E1537" s="19">
        <v>40826</v>
      </c>
      <c r="F1537" t="str">
        <f>"9781439862070"</f>
        <v>9781439862070</v>
      </c>
      <c r="G1537" t="str">
        <f>"9781439862056"</f>
        <v>9781439862056</v>
      </c>
      <c r="H1537" t="s">
        <v>466</v>
      </c>
      <c r="I1537">
        <v>621.38152000000002</v>
      </c>
      <c r="J1537" t="s">
        <v>3601</v>
      </c>
      <c r="K1537" t="s">
        <v>73</v>
      </c>
      <c r="N1537" t="s">
        <v>74</v>
      </c>
      <c r="O1537" t="s">
        <v>75</v>
      </c>
      <c r="P1537" t="s">
        <v>74</v>
      </c>
      <c r="Q1537" t="s">
        <v>76</v>
      </c>
      <c r="R1537" t="s">
        <v>73</v>
      </c>
      <c r="S1537">
        <v>0</v>
      </c>
      <c r="W1537" s="20">
        <v>2.5115740740740741E-3</v>
      </c>
      <c r="X1537" t="s">
        <v>3613</v>
      </c>
      <c r="Y1537">
        <v>25</v>
      </c>
      <c r="Z1537">
        <v>0</v>
      </c>
      <c r="AA1537" t="s">
        <v>78</v>
      </c>
      <c r="AB1537">
        <v>0</v>
      </c>
      <c r="AC1537" t="s">
        <v>78</v>
      </c>
      <c r="AD1537">
        <v>0</v>
      </c>
      <c r="AE1537">
        <v>10495995</v>
      </c>
      <c r="AF1537" t="s">
        <v>79</v>
      </c>
      <c r="AG1537" t="s">
        <v>3309</v>
      </c>
    </row>
    <row r="1538" spans="1:33" x14ac:dyDescent="0.35">
      <c r="A1538" s="18">
        <v>44374.447916666664</v>
      </c>
      <c r="B1538">
        <v>1139647</v>
      </c>
      <c r="C1538" t="s">
        <v>3614</v>
      </c>
      <c r="D1538" t="s">
        <v>538</v>
      </c>
      <c r="E1538" s="19">
        <v>41533</v>
      </c>
      <c r="F1538" t="str">
        <f>"9781107347496"</f>
        <v>9781107347496</v>
      </c>
      <c r="G1538" t="str">
        <f>"9780521853309"</f>
        <v>9780521853309</v>
      </c>
      <c r="H1538" t="s">
        <v>190</v>
      </c>
      <c r="I1538">
        <v>523.4</v>
      </c>
      <c r="J1538" t="s">
        <v>3615</v>
      </c>
      <c r="K1538" t="s">
        <v>73</v>
      </c>
      <c r="N1538" t="s">
        <v>74</v>
      </c>
      <c r="O1538" t="s">
        <v>75</v>
      </c>
      <c r="P1538" t="s">
        <v>74</v>
      </c>
      <c r="Q1538" t="s">
        <v>76</v>
      </c>
      <c r="R1538" t="s">
        <v>73</v>
      </c>
      <c r="S1538">
        <v>0</v>
      </c>
      <c r="W1538" s="20">
        <v>1.0069444444444444E-3</v>
      </c>
      <c r="X1538" t="s">
        <v>3616</v>
      </c>
      <c r="Y1538">
        <v>7</v>
      </c>
      <c r="Z1538">
        <v>0</v>
      </c>
      <c r="AA1538" t="s">
        <v>78</v>
      </c>
      <c r="AB1538">
        <v>0</v>
      </c>
      <c r="AC1538" t="s">
        <v>78</v>
      </c>
      <c r="AD1538">
        <v>0</v>
      </c>
      <c r="AE1538">
        <v>10812136</v>
      </c>
      <c r="AF1538" t="s">
        <v>79</v>
      </c>
      <c r="AG1538" t="s">
        <v>333</v>
      </c>
    </row>
    <row r="1539" spans="1:33" x14ac:dyDescent="0.35">
      <c r="A1539" s="18">
        <v>44374.138888888891</v>
      </c>
      <c r="B1539">
        <v>199898</v>
      </c>
      <c r="C1539" t="s">
        <v>3617</v>
      </c>
      <c r="D1539" t="s">
        <v>127</v>
      </c>
      <c r="E1539" s="19">
        <v>38509</v>
      </c>
      <c r="F1539" t="str">
        <f>"9780203391389"</f>
        <v>9780203391389</v>
      </c>
      <c r="G1539" t="str">
        <f>"9780415329293"</f>
        <v>9780415329293</v>
      </c>
      <c r="H1539" t="s">
        <v>128</v>
      </c>
      <c r="I1539" t="s">
        <v>3618</v>
      </c>
      <c r="J1539" t="s">
        <v>3619</v>
      </c>
      <c r="K1539" t="s">
        <v>73</v>
      </c>
      <c r="N1539" t="s">
        <v>74</v>
      </c>
      <c r="O1539" t="s">
        <v>75</v>
      </c>
      <c r="P1539" t="s">
        <v>74</v>
      </c>
      <c r="Q1539" t="s">
        <v>76</v>
      </c>
      <c r="R1539" t="s">
        <v>73</v>
      </c>
      <c r="S1539">
        <v>0</v>
      </c>
      <c r="W1539" s="20">
        <v>2.7777777777777778E-4</v>
      </c>
      <c r="X1539" t="s">
        <v>851</v>
      </c>
      <c r="Y1539">
        <v>8</v>
      </c>
      <c r="Z1539">
        <v>0</v>
      </c>
      <c r="AA1539" t="s">
        <v>78</v>
      </c>
      <c r="AB1539">
        <v>0</v>
      </c>
      <c r="AC1539" t="s">
        <v>78</v>
      </c>
      <c r="AD1539">
        <v>0</v>
      </c>
      <c r="AE1539">
        <v>10163191</v>
      </c>
      <c r="AF1539" t="s">
        <v>79</v>
      </c>
      <c r="AG1539" t="s">
        <v>3060</v>
      </c>
    </row>
    <row r="1540" spans="1:33" x14ac:dyDescent="0.35">
      <c r="A1540" s="18">
        <v>44371.513194444444</v>
      </c>
      <c r="B1540">
        <v>4945216</v>
      </c>
      <c r="C1540" t="s">
        <v>3547</v>
      </c>
      <c r="D1540" t="s">
        <v>3329</v>
      </c>
      <c r="E1540" s="19">
        <v>42646</v>
      </c>
      <c r="F1540" t="str">
        <f>"9780823273218"</f>
        <v>9780823273218</v>
      </c>
      <c r="G1540" t="str">
        <f>"9780823273201"</f>
        <v>9780823273201</v>
      </c>
      <c r="H1540" t="s">
        <v>528</v>
      </c>
      <c r="I1540">
        <v>111</v>
      </c>
      <c r="J1540" t="s">
        <v>3548</v>
      </c>
      <c r="K1540" t="s">
        <v>73</v>
      </c>
      <c r="N1540" t="s">
        <v>74</v>
      </c>
      <c r="O1540" t="s">
        <v>75</v>
      </c>
      <c r="P1540" t="s">
        <v>74</v>
      </c>
      <c r="Q1540" t="s">
        <v>76</v>
      </c>
      <c r="R1540" t="s">
        <v>73</v>
      </c>
      <c r="S1540">
        <v>0</v>
      </c>
      <c r="W1540" s="20">
        <v>4.8275462962962958E-2</v>
      </c>
      <c r="X1540" t="s">
        <v>3620</v>
      </c>
      <c r="Y1540">
        <v>27</v>
      </c>
      <c r="Z1540">
        <v>0</v>
      </c>
      <c r="AA1540" t="s">
        <v>78</v>
      </c>
      <c r="AB1540">
        <v>0</v>
      </c>
      <c r="AC1540" t="s">
        <v>3621</v>
      </c>
      <c r="AD1540">
        <v>3</v>
      </c>
      <c r="AE1540">
        <v>11492771</v>
      </c>
      <c r="AF1540" t="s">
        <v>79</v>
      </c>
      <c r="AG1540" t="s">
        <v>3622</v>
      </c>
    </row>
    <row r="1541" spans="1:33" x14ac:dyDescent="0.35">
      <c r="A1541" s="18">
        <v>44371.477083333331</v>
      </c>
      <c r="B1541">
        <v>4945216</v>
      </c>
      <c r="C1541" t="s">
        <v>3547</v>
      </c>
      <c r="D1541" t="s">
        <v>3329</v>
      </c>
      <c r="E1541" s="19">
        <v>42646</v>
      </c>
      <c r="F1541" t="str">
        <f>"9780823273218"</f>
        <v>9780823273218</v>
      </c>
      <c r="G1541" t="str">
        <f>"9780823273201"</f>
        <v>9780823273201</v>
      </c>
      <c r="H1541" t="s">
        <v>528</v>
      </c>
      <c r="I1541">
        <v>111</v>
      </c>
      <c r="J1541" t="s">
        <v>3548</v>
      </c>
      <c r="K1541" t="s">
        <v>73</v>
      </c>
      <c r="N1541" t="s">
        <v>74</v>
      </c>
      <c r="O1541" t="s">
        <v>75</v>
      </c>
      <c r="P1541" t="s">
        <v>74</v>
      </c>
      <c r="Q1541" t="s">
        <v>76</v>
      </c>
      <c r="R1541" t="s">
        <v>73</v>
      </c>
      <c r="S1541">
        <v>0</v>
      </c>
      <c r="W1541" s="20">
        <v>4.0277777777777777E-3</v>
      </c>
      <c r="X1541" t="s">
        <v>3623</v>
      </c>
      <c r="Y1541">
        <v>4</v>
      </c>
      <c r="Z1541">
        <v>0</v>
      </c>
      <c r="AA1541" t="s">
        <v>78</v>
      </c>
      <c r="AB1541">
        <v>0</v>
      </c>
      <c r="AC1541" t="s">
        <v>78</v>
      </c>
      <c r="AD1541">
        <v>0</v>
      </c>
      <c r="AE1541">
        <v>11492771</v>
      </c>
      <c r="AF1541" t="s">
        <v>79</v>
      </c>
      <c r="AG1541" t="s">
        <v>3622</v>
      </c>
    </row>
    <row r="1542" spans="1:33" x14ac:dyDescent="0.35">
      <c r="A1542" s="18">
        <v>44371.165277777778</v>
      </c>
      <c r="B1542">
        <v>4414600</v>
      </c>
      <c r="C1542" t="s">
        <v>3624</v>
      </c>
      <c r="D1542" t="s">
        <v>3625</v>
      </c>
      <c r="E1542" s="19">
        <v>42146</v>
      </c>
      <c r="F1542" t="str">
        <f>"9780809334148"</f>
        <v>9780809334148</v>
      </c>
      <c r="G1542" t="str">
        <f>"9780809334131"</f>
        <v>9780809334131</v>
      </c>
      <c r="H1542" t="s">
        <v>636</v>
      </c>
      <c r="I1542">
        <v>808.5</v>
      </c>
      <c r="J1542" t="s">
        <v>3626</v>
      </c>
      <c r="K1542" t="s">
        <v>73</v>
      </c>
      <c r="N1542" t="s">
        <v>74</v>
      </c>
      <c r="O1542" t="s">
        <v>75</v>
      </c>
      <c r="P1542" t="s">
        <v>74</v>
      </c>
      <c r="Q1542" t="s">
        <v>76</v>
      </c>
      <c r="R1542" t="s">
        <v>73</v>
      </c>
      <c r="S1542">
        <v>0</v>
      </c>
      <c r="W1542" s="20">
        <v>5.8796296296296296E-3</v>
      </c>
      <c r="X1542" t="s">
        <v>3627</v>
      </c>
      <c r="Y1542">
        <v>12</v>
      </c>
      <c r="Z1542">
        <v>0</v>
      </c>
      <c r="AA1542" t="s">
        <v>78</v>
      </c>
      <c r="AB1542">
        <v>0</v>
      </c>
      <c r="AC1542" t="s">
        <v>78</v>
      </c>
      <c r="AD1542">
        <v>0</v>
      </c>
      <c r="AE1542">
        <v>11171328</v>
      </c>
      <c r="AF1542" t="s">
        <v>79</v>
      </c>
      <c r="AG1542" t="s">
        <v>3060</v>
      </c>
    </row>
    <row r="1543" spans="1:33" x14ac:dyDescent="0.35">
      <c r="A1543" s="18">
        <v>44370.635416666664</v>
      </c>
      <c r="B1543">
        <v>945473</v>
      </c>
      <c r="C1543" t="s">
        <v>3628</v>
      </c>
      <c r="D1543" t="s">
        <v>127</v>
      </c>
      <c r="E1543" s="19">
        <v>41078</v>
      </c>
      <c r="F1543" t="str">
        <f>"9781439857847"</f>
        <v>9781439857847</v>
      </c>
      <c r="G1543" t="str">
        <f>"9781439857830"</f>
        <v>9781439857830</v>
      </c>
      <c r="H1543" t="s">
        <v>374</v>
      </c>
      <c r="I1543">
        <v>628.53200000000004</v>
      </c>
      <c r="J1543" t="s">
        <v>3629</v>
      </c>
      <c r="K1543" t="s">
        <v>73</v>
      </c>
      <c r="N1543" t="s">
        <v>74</v>
      </c>
      <c r="O1543" t="s">
        <v>75</v>
      </c>
      <c r="P1543" t="s">
        <v>74</v>
      </c>
      <c r="Q1543" t="s">
        <v>76</v>
      </c>
      <c r="R1543" t="s">
        <v>73</v>
      </c>
      <c r="S1543">
        <v>0</v>
      </c>
      <c r="W1543" s="20">
        <v>5.7870370370370366E-5</v>
      </c>
      <c r="X1543" t="s">
        <v>132</v>
      </c>
      <c r="Y1543">
        <v>1</v>
      </c>
      <c r="Z1543">
        <v>0</v>
      </c>
      <c r="AA1543" t="s">
        <v>78</v>
      </c>
      <c r="AB1543">
        <v>0</v>
      </c>
      <c r="AC1543" t="s">
        <v>78</v>
      </c>
      <c r="AD1543">
        <v>0</v>
      </c>
      <c r="AE1543">
        <v>10572493</v>
      </c>
      <c r="AF1543" t="s">
        <v>79</v>
      </c>
      <c r="AG1543" t="s">
        <v>3060</v>
      </c>
    </row>
    <row r="1544" spans="1:33" x14ac:dyDescent="0.35">
      <c r="A1544" s="18">
        <v>44370.533333333333</v>
      </c>
      <c r="B1544">
        <v>4945216</v>
      </c>
      <c r="C1544" t="s">
        <v>3547</v>
      </c>
      <c r="D1544" t="s">
        <v>3329</v>
      </c>
      <c r="E1544" s="19">
        <v>42646</v>
      </c>
      <c r="F1544" t="str">
        <f>"9780823273218"</f>
        <v>9780823273218</v>
      </c>
      <c r="G1544" t="str">
        <f>"9780823273201"</f>
        <v>9780823273201</v>
      </c>
      <c r="H1544" t="s">
        <v>528</v>
      </c>
      <c r="I1544">
        <v>111</v>
      </c>
      <c r="J1544" t="s">
        <v>3548</v>
      </c>
      <c r="K1544" t="s">
        <v>73</v>
      </c>
      <c r="N1544" t="s">
        <v>74</v>
      </c>
      <c r="O1544" t="s">
        <v>75</v>
      </c>
      <c r="P1544" t="s">
        <v>74</v>
      </c>
      <c r="Q1544" t="s">
        <v>76</v>
      </c>
      <c r="R1544" t="s">
        <v>73</v>
      </c>
      <c r="S1544">
        <v>0</v>
      </c>
      <c r="W1544" s="20">
        <v>6.7604166666666674E-2</v>
      </c>
      <c r="X1544" t="s">
        <v>3630</v>
      </c>
      <c r="Y1544">
        <v>23</v>
      </c>
      <c r="Z1544">
        <v>0</v>
      </c>
      <c r="AA1544" t="s">
        <v>78</v>
      </c>
      <c r="AB1544">
        <v>0</v>
      </c>
      <c r="AC1544" t="s">
        <v>3631</v>
      </c>
      <c r="AD1544">
        <v>3</v>
      </c>
      <c r="AE1544">
        <v>11492771</v>
      </c>
      <c r="AF1544" t="s">
        <v>79</v>
      </c>
      <c r="AG1544" t="s">
        <v>3622</v>
      </c>
    </row>
    <row r="1545" spans="1:33" x14ac:dyDescent="0.35">
      <c r="A1545" s="18">
        <v>44369.92083333333</v>
      </c>
      <c r="B1545">
        <v>1099279</v>
      </c>
      <c r="C1545" t="s">
        <v>3632</v>
      </c>
      <c r="D1545" t="s">
        <v>127</v>
      </c>
      <c r="E1545" s="19">
        <v>37824</v>
      </c>
      <c r="F1545" t="str">
        <f>"9781136121227"</f>
        <v>9781136121227</v>
      </c>
      <c r="G1545" t="str">
        <f>"9780700713486"</f>
        <v>9780700713486</v>
      </c>
      <c r="H1545" t="s">
        <v>528</v>
      </c>
      <c r="I1545">
        <v>180</v>
      </c>
      <c r="J1545" t="s">
        <v>3633</v>
      </c>
      <c r="K1545" t="s">
        <v>73</v>
      </c>
      <c r="N1545" t="s">
        <v>74</v>
      </c>
      <c r="O1545" t="s">
        <v>75</v>
      </c>
      <c r="P1545" t="s">
        <v>74</v>
      </c>
      <c r="Q1545" t="s">
        <v>76</v>
      </c>
      <c r="R1545" t="s">
        <v>73</v>
      </c>
      <c r="S1545">
        <v>0</v>
      </c>
      <c r="W1545" s="20">
        <v>3.7037037037037035E-4</v>
      </c>
      <c r="X1545" t="s">
        <v>3634</v>
      </c>
      <c r="Y1545">
        <v>3</v>
      </c>
      <c r="Z1545">
        <v>0</v>
      </c>
      <c r="AA1545" t="s">
        <v>78</v>
      </c>
      <c r="AB1545">
        <v>0</v>
      </c>
      <c r="AC1545" t="s">
        <v>78</v>
      </c>
      <c r="AD1545">
        <v>0</v>
      </c>
      <c r="AE1545">
        <v>10639999</v>
      </c>
      <c r="AF1545" t="s">
        <v>79</v>
      </c>
      <c r="AG1545" t="s">
        <v>3060</v>
      </c>
    </row>
    <row r="1546" spans="1:33" x14ac:dyDescent="0.35">
      <c r="A1546" s="18">
        <v>44369.521527777775</v>
      </c>
      <c r="B1546">
        <v>4945216</v>
      </c>
      <c r="C1546" t="s">
        <v>3547</v>
      </c>
      <c r="D1546" t="s">
        <v>3329</v>
      </c>
      <c r="E1546" s="19">
        <v>42646</v>
      </c>
      <c r="F1546" t="str">
        <f>"9780823273218"</f>
        <v>9780823273218</v>
      </c>
      <c r="G1546" t="str">
        <f>"9780823273201"</f>
        <v>9780823273201</v>
      </c>
      <c r="H1546" t="s">
        <v>528</v>
      </c>
      <c r="I1546">
        <v>111</v>
      </c>
      <c r="J1546" t="s">
        <v>3548</v>
      </c>
      <c r="K1546" t="s">
        <v>73</v>
      </c>
      <c r="N1546" t="s">
        <v>74</v>
      </c>
      <c r="O1546" t="s">
        <v>75</v>
      </c>
      <c r="P1546" t="s">
        <v>74</v>
      </c>
      <c r="Q1546" t="s">
        <v>76</v>
      </c>
      <c r="R1546" t="s">
        <v>73</v>
      </c>
      <c r="S1546">
        <v>0</v>
      </c>
      <c r="W1546" s="20">
        <v>2.8923611111111108E-2</v>
      </c>
      <c r="X1546" t="s">
        <v>3635</v>
      </c>
      <c r="Y1546">
        <v>19</v>
      </c>
      <c r="Z1546">
        <v>0</v>
      </c>
      <c r="AA1546" t="s">
        <v>78</v>
      </c>
      <c r="AB1546">
        <v>0</v>
      </c>
      <c r="AC1546" t="s">
        <v>78</v>
      </c>
      <c r="AD1546">
        <v>0</v>
      </c>
      <c r="AE1546">
        <v>11492771</v>
      </c>
      <c r="AF1546" t="s">
        <v>79</v>
      </c>
      <c r="AG1546" t="s">
        <v>3622</v>
      </c>
    </row>
    <row r="1547" spans="1:33" x14ac:dyDescent="0.35">
      <c r="A1547" s="18">
        <v>44369.5</v>
      </c>
      <c r="B1547">
        <v>3104228</v>
      </c>
      <c r="C1547" t="s">
        <v>3575</v>
      </c>
      <c r="D1547" t="s">
        <v>3539</v>
      </c>
      <c r="E1547" s="19">
        <v>29280</v>
      </c>
      <c r="F1547" t="str">
        <f>"9789400993426"</f>
        <v>9789400993426</v>
      </c>
      <c r="G1547" t="str">
        <f>"9789400993440"</f>
        <v>9789400993440</v>
      </c>
      <c r="H1547" t="s">
        <v>528</v>
      </c>
      <c r="I1547">
        <v>111.82</v>
      </c>
      <c r="J1547" t="s">
        <v>3576</v>
      </c>
      <c r="K1547" t="s">
        <v>73</v>
      </c>
      <c r="N1547" t="s">
        <v>74</v>
      </c>
      <c r="O1547" t="s">
        <v>75</v>
      </c>
      <c r="P1547" t="s">
        <v>74</v>
      </c>
      <c r="Q1547" t="s">
        <v>76</v>
      </c>
      <c r="R1547" t="s">
        <v>73</v>
      </c>
      <c r="S1547">
        <v>0</v>
      </c>
      <c r="W1547" s="20">
        <v>6.9560185185185185E-3</v>
      </c>
      <c r="X1547" t="s">
        <v>3636</v>
      </c>
      <c r="Y1547">
        <v>6</v>
      </c>
      <c r="Z1547">
        <v>0</v>
      </c>
      <c r="AA1547" t="s">
        <v>78</v>
      </c>
      <c r="AB1547">
        <v>0</v>
      </c>
      <c r="AC1547" t="s">
        <v>3637</v>
      </c>
      <c r="AD1547">
        <v>3</v>
      </c>
      <c r="AE1547">
        <v>10980034</v>
      </c>
      <c r="AF1547" t="s">
        <v>79</v>
      </c>
      <c r="AG1547" t="s">
        <v>3622</v>
      </c>
    </row>
    <row r="1548" spans="1:33" x14ac:dyDescent="0.35">
      <c r="A1548" s="18">
        <v>44369.498611111114</v>
      </c>
      <c r="B1548">
        <v>288921</v>
      </c>
      <c r="C1548" t="s">
        <v>3638</v>
      </c>
      <c r="D1548" t="s">
        <v>158</v>
      </c>
      <c r="E1548" s="19">
        <v>38378</v>
      </c>
      <c r="F1548" t="str">
        <f>"9780080468648"</f>
        <v>9780080468648</v>
      </c>
      <c r="G1548" t="str">
        <f>"9780750661683"</f>
        <v>9780750661683</v>
      </c>
      <c r="H1548" t="s">
        <v>979</v>
      </c>
      <c r="I1548" t="s">
        <v>256</v>
      </c>
      <c r="J1548" t="s">
        <v>3639</v>
      </c>
      <c r="K1548" t="s">
        <v>73</v>
      </c>
      <c r="N1548" t="s">
        <v>74</v>
      </c>
      <c r="O1548" t="s">
        <v>75</v>
      </c>
      <c r="P1548" t="s">
        <v>74</v>
      </c>
      <c r="Q1548" t="s">
        <v>76</v>
      </c>
      <c r="R1548" t="s">
        <v>73</v>
      </c>
      <c r="S1548">
        <v>0</v>
      </c>
      <c r="W1548" s="20">
        <v>7.5347222222222213E-3</v>
      </c>
      <c r="X1548" t="s">
        <v>3640</v>
      </c>
      <c r="Y1548">
        <v>13</v>
      </c>
      <c r="Z1548">
        <v>0</v>
      </c>
      <c r="AA1548" t="s">
        <v>78</v>
      </c>
      <c r="AB1548">
        <v>0</v>
      </c>
      <c r="AC1548" t="s">
        <v>78</v>
      </c>
      <c r="AD1548">
        <v>0</v>
      </c>
      <c r="AE1548">
        <v>10169890</v>
      </c>
      <c r="AF1548" t="s">
        <v>79</v>
      </c>
      <c r="AG1548" t="s">
        <v>3460</v>
      </c>
    </row>
    <row r="1549" spans="1:33" x14ac:dyDescent="0.35">
      <c r="A1549" s="18">
        <v>44369.498611111114</v>
      </c>
      <c r="B1549">
        <v>900127</v>
      </c>
      <c r="C1549" t="s">
        <v>3641</v>
      </c>
      <c r="D1549" t="s">
        <v>158</v>
      </c>
      <c r="E1549" s="19">
        <v>41033</v>
      </c>
      <c r="F1549" t="str">
        <f>"9780123859723"</f>
        <v>9780123859723</v>
      </c>
      <c r="G1549" t="str">
        <f>"9780123859716"</f>
        <v>9780123859716</v>
      </c>
      <c r="H1549" t="s">
        <v>1194</v>
      </c>
      <c r="I1549">
        <v>620.11</v>
      </c>
      <c r="J1549" t="s">
        <v>3642</v>
      </c>
      <c r="K1549" t="s">
        <v>73</v>
      </c>
      <c r="N1549" t="s">
        <v>74</v>
      </c>
      <c r="O1549" t="s">
        <v>75</v>
      </c>
      <c r="P1549" t="s">
        <v>74</v>
      </c>
      <c r="Q1549" t="s">
        <v>76</v>
      </c>
      <c r="R1549" t="s">
        <v>73</v>
      </c>
      <c r="S1549">
        <v>0</v>
      </c>
      <c r="W1549" s="20">
        <v>7.0717592592592594E-3</v>
      </c>
      <c r="X1549" t="s">
        <v>3643</v>
      </c>
      <c r="Y1549">
        <v>6</v>
      </c>
      <c r="Z1549">
        <v>2</v>
      </c>
      <c r="AA1549" t="s">
        <v>3644</v>
      </c>
      <c r="AB1549">
        <v>92</v>
      </c>
      <c r="AC1549" t="s">
        <v>78</v>
      </c>
      <c r="AD1549">
        <v>0</v>
      </c>
      <c r="AE1549">
        <v>10562191</v>
      </c>
      <c r="AF1549" t="s">
        <v>79</v>
      </c>
      <c r="AG1549" t="s">
        <v>3460</v>
      </c>
    </row>
    <row r="1550" spans="1:33" x14ac:dyDescent="0.35">
      <c r="A1550" s="18">
        <v>44368.634722222225</v>
      </c>
      <c r="B1550">
        <v>4711351</v>
      </c>
      <c r="C1550" t="s">
        <v>3645</v>
      </c>
      <c r="D1550" t="s">
        <v>127</v>
      </c>
      <c r="E1550" s="19">
        <v>39161</v>
      </c>
      <c r="F1550" t="str">
        <f>"9781138031425"</f>
        <v>9781138031425</v>
      </c>
      <c r="G1550" t="str">
        <f>"9781846191794"</f>
        <v>9781846191794</v>
      </c>
      <c r="H1550" t="s">
        <v>3646</v>
      </c>
      <c r="I1550">
        <v>174.28</v>
      </c>
      <c r="J1550" t="s">
        <v>3647</v>
      </c>
      <c r="K1550" t="s">
        <v>85</v>
      </c>
      <c r="N1550" t="s">
        <v>86</v>
      </c>
      <c r="P1550" t="s">
        <v>297</v>
      </c>
      <c r="Q1550" t="s">
        <v>76</v>
      </c>
      <c r="R1550" t="s">
        <v>73</v>
      </c>
      <c r="S1550">
        <v>2</v>
      </c>
      <c r="T1550">
        <v>1</v>
      </c>
      <c r="U1550" s="18">
        <v>44368.634722222225</v>
      </c>
      <c r="V1550" s="18">
        <v>44369.634722222225</v>
      </c>
      <c r="W1550" s="20">
        <v>1.1574074074074073E-5</v>
      </c>
      <c r="X1550" t="s">
        <v>78</v>
      </c>
      <c r="Y1550">
        <v>0</v>
      </c>
      <c r="Z1550">
        <v>0</v>
      </c>
      <c r="AA1550" t="s">
        <v>78</v>
      </c>
      <c r="AB1550">
        <v>0</v>
      </c>
      <c r="AC1550" t="s">
        <v>78</v>
      </c>
      <c r="AD1550">
        <v>0</v>
      </c>
      <c r="AE1550">
        <v>11276784</v>
      </c>
      <c r="AF1550" t="s">
        <v>88</v>
      </c>
      <c r="AG1550" t="s">
        <v>3460</v>
      </c>
    </row>
    <row r="1551" spans="1:33" x14ac:dyDescent="0.35">
      <c r="A1551" s="18">
        <v>44368.581944444442</v>
      </c>
      <c r="B1551">
        <v>4444898</v>
      </c>
      <c r="C1551" t="s">
        <v>3648</v>
      </c>
      <c r="D1551" t="s">
        <v>70</v>
      </c>
      <c r="E1551" s="19">
        <v>42395</v>
      </c>
      <c r="F1551" t="str">
        <f>"9781119147312"</f>
        <v>9781119147312</v>
      </c>
      <c r="G1551" t="str">
        <f>"9781119147305"</f>
        <v>9781119147305</v>
      </c>
      <c r="H1551" t="s">
        <v>1179</v>
      </c>
      <c r="I1551">
        <v>370.1</v>
      </c>
      <c r="J1551" t="s">
        <v>3649</v>
      </c>
      <c r="K1551" t="s">
        <v>73</v>
      </c>
      <c r="N1551" t="s">
        <v>74</v>
      </c>
      <c r="O1551" t="s">
        <v>75</v>
      </c>
      <c r="P1551" t="s">
        <v>74</v>
      </c>
      <c r="Q1551" t="s">
        <v>76</v>
      </c>
      <c r="R1551" t="s">
        <v>73</v>
      </c>
      <c r="S1551">
        <v>0</v>
      </c>
      <c r="W1551" s="20">
        <v>1.1030092592592591E-2</v>
      </c>
      <c r="X1551" t="s">
        <v>3650</v>
      </c>
      <c r="Y1551">
        <v>15</v>
      </c>
      <c r="Z1551">
        <v>0</v>
      </c>
      <c r="AA1551" t="s">
        <v>78</v>
      </c>
      <c r="AB1551">
        <v>0</v>
      </c>
      <c r="AC1551" t="s">
        <v>3651</v>
      </c>
      <c r="AD1551">
        <v>2</v>
      </c>
      <c r="AE1551">
        <v>11251266</v>
      </c>
      <c r="AF1551" t="s">
        <v>79</v>
      </c>
      <c r="AG1551" t="s">
        <v>3622</v>
      </c>
    </row>
    <row r="1552" spans="1:33" x14ac:dyDescent="0.35">
      <c r="A1552" s="18">
        <v>44368.509722222225</v>
      </c>
      <c r="B1552">
        <v>4830573</v>
      </c>
      <c r="C1552" t="s">
        <v>3652</v>
      </c>
      <c r="D1552" t="s">
        <v>390</v>
      </c>
      <c r="E1552" s="19">
        <v>42814</v>
      </c>
      <c r="F1552" t="str">
        <f>"9783110493764"</f>
        <v>9783110493764</v>
      </c>
      <c r="G1552" t="str">
        <f>"9783110496284"</f>
        <v>9783110496284</v>
      </c>
      <c r="H1552" t="s">
        <v>1145</v>
      </c>
      <c r="I1552">
        <v>616.02773999999999</v>
      </c>
      <c r="J1552" t="s">
        <v>3653</v>
      </c>
      <c r="K1552" t="s">
        <v>73</v>
      </c>
      <c r="N1552" t="s">
        <v>74</v>
      </c>
      <c r="O1552" t="s">
        <v>75</v>
      </c>
      <c r="P1552" t="s">
        <v>74</v>
      </c>
      <c r="Q1552" t="s">
        <v>76</v>
      </c>
      <c r="R1552" t="s">
        <v>73</v>
      </c>
      <c r="S1552">
        <v>0</v>
      </c>
      <c r="W1552" s="20">
        <v>3.1250000000000001E-4</v>
      </c>
      <c r="X1552" t="s">
        <v>3654</v>
      </c>
      <c r="Y1552">
        <v>2</v>
      </c>
      <c r="Z1552">
        <v>1</v>
      </c>
      <c r="AA1552" t="s">
        <v>3655</v>
      </c>
      <c r="AB1552">
        <v>34</v>
      </c>
      <c r="AC1552" t="s">
        <v>78</v>
      </c>
      <c r="AD1552">
        <v>0</v>
      </c>
      <c r="AE1552">
        <v>11369158</v>
      </c>
      <c r="AF1552" t="s">
        <v>79</v>
      </c>
      <c r="AG1552" t="s">
        <v>3622</v>
      </c>
    </row>
    <row r="1553" spans="1:33" x14ac:dyDescent="0.35">
      <c r="A1553" s="18">
        <v>44368.425000000003</v>
      </c>
      <c r="B1553">
        <v>3318207</v>
      </c>
      <c r="C1553" t="s">
        <v>3656</v>
      </c>
      <c r="D1553" t="s">
        <v>998</v>
      </c>
      <c r="E1553" s="19">
        <v>37551</v>
      </c>
      <c r="F1553" t="str">
        <f>"9780801877735"</f>
        <v>9780801877735</v>
      </c>
      <c r="G1553" t="str">
        <f>"9780801870538"</f>
        <v>9780801870538</v>
      </c>
      <c r="H1553" t="s">
        <v>3320</v>
      </c>
      <c r="I1553">
        <v>530.11</v>
      </c>
      <c r="J1553" t="s">
        <v>3657</v>
      </c>
      <c r="K1553" t="s">
        <v>73</v>
      </c>
      <c r="N1553" t="s">
        <v>74</v>
      </c>
      <c r="O1553" t="s">
        <v>75</v>
      </c>
      <c r="P1553" t="s">
        <v>74</v>
      </c>
      <c r="Q1553" t="s">
        <v>76</v>
      </c>
      <c r="R1553" t="s">
        <v>73</v>
      </c>
      <c r="S1553">
        <v>0</v>
      </c>
      <c r="W1553" s="20">
        <v>1.0416666666666667E-4</v>
      </c>
      <c r="X1553" t="s">
        <v>132</v>
      </c>
      <c r="Y1553">
        <v>1</v>
      </c>
      <c r="Z1553">
        <v>0</v>
      </c>
      <c r="AA1553" t="s">
        <v>78</v>
      </c>
      <c r="AB1553">
        <v>0</v>
      </c>
      <c r="AC1553" t="s">
        <v>78</v>
      </c>
      <c r="AD1553">
        <v>0</v>
      </c>
      <c r="AE1553">
        <v>10021688</v>
      </c>
      <c r="AF1553" t="s">
        <v>79</v>
      </c>
      <c r="AG1553" t="s">
        <v>3599</v>
      </c>
    </row>
    <row r="1554" spans="1:33" x14ac:dyDescent="0.35">
      <c r="A1554" s="18">
        <v>44368.181250000001</v>
      </c>
      <c r="B1554">
        <v>5790554</v>
      </c>
      <c r="C1554" t="s">
        <v>1245</v>
      </c>
      <c r="D1554" t="s">
        <v>338</v>
      </c>
      <c r="E1554" s="19">
        <v>43634</v>
      </c>
      <c r="F1554" t="str">
        <f>"9780128144596"</f>
        <v>9780128144596</v>
      </c>
      <c r="G1554" t="str">
        <f>"9780128144589"</f>
        <v>9780128144589</v>
      </c>
      <c r="H1554" t="s">
        <v>1246</v>
      </c>
      <c r="I1554">
        <v>551.14</v>
      </c>
      <c r="J1554" t="s">
        <v>1247</v>
      </c>
      <c r="K1554" t="s">
        <v>85</v>
      </c>
      <c r="Q1554" t="s">
        <v>76</v>
      </c>
      <c r="R1554" t="s">
        <v>73</v>
      </c>
      <c r="S1554">
        <v>0</v>
      </c>
      <c r="W1554" s="20">
        <v>7.3032407407407412E-3</v>
      </c>
      <c r="X1554" t="s">
        <v>3658</v>
      </c>
      <c r="Y1554">
        <v>42</v>
      </c>
      <c r="Z1554">
        <v>0</v>
      </c>
      <c r="AA1554" t="s">
        <v>78</v>
      </c>
      <c r="AB1554">
        <v>0</v>
      </c>
      <c r="AC1554" t="s">
        <v>78</v>
      </c>
      <c r="AD1554">
        <v>0</v>
      </c>
      <c r="AE1554">
        <v>-1</v>
      </c>
      <c r="AF1554" t="s">
        <v>88</v>
      </c>
      <c r="AG1554" t="s">
        <v>3659</v>
      </c>
    </row>
    <row r="1555" spans="1:33" x14ac:dyDescent="0.35">
      <c r="A1555" s="18">
        <v>44368.181250000001</v>
      </c>
      <c r="B1555">
        <v>5811712</v>
      </c>
      <c r="C1555" t="s">
        <v>1251</v>
      </c>
      <c r="D1555" t="s">
        <v>369</v>
      </c>
      <c r="E1555" s="19">
        <v>43662</v>
      </c>
      <c r="F1555" t="str">
        <f>"9783030203276"</f>
        <v>9783030203276</v>
      </c>
      <c r="G1555" t="str">
        <f>"9783030203269"</f>
        <v>9783030203269</v>
      </c>
      <c r="H1555" t="s">
        <v>1252</v>
      </c>
      <c r="I1555">
        <v>551.50916199999995</v>
      </c>
      <c r="J1555" t="s">
        <v>1253</v>
      </c>
      <c r="K1555" t="s">
        <v>85</v>
      </c>
      <c r="Q1555" t="s">
        <v>76</v>
      </c>
      <c r="R1555" t="s">
        <v>73</v>
      </c>
      <c r="S1555">
        <v>0</v>
      </c>
      <c r="W1555" s="20">
        <v>1.0219907407407408E-2</v>
      </c>
      <c r="X1555" t="s">
        <v>3660</v>
      </c>
      <c r="Y1555">
        <v>4</v>
      </c>
      <c r="Z1555">
        <v>0</v>
      </c>
      <c r="AA1555" t="s">
        <v>78</v>
      </c>
      <c r="AB1555">
        <v>0</v>
      </c>
      <c r="AC1555" t="s">
        <v>78</v>
      </c>
      <c r="AD1555">
        <v>0</v>
      </c>
      <c r="AE1555">
        <v>-1</v>
      </c>
      <c r="AF1555" t="s">
        <v>88</v>
      </c>
      <c r="AG1555" t="s">
        <v>3659</v>
      </c>
    </row>
    <row r="1556" spans="1:33" x14ac:dyDescent="0.35">
      <c r="A1556" s="18">
        <v>44367.980555555558</v>
      </c>
      <c r="B1556">
        <v>5778009</v>
      </c>
      <c r="C1556" t="s">
        <v>3661</v>
      </c>
      <c r="D1556" t="s">
        <v>3662</v>
      </c>
      <c r="E1556" s="19">
        <v>43580</v>
      </c>
      <c r="F1556" t="str">
        <f>"9781855845022"</f>
        <v>9781855845022</v>
      </c>
      <c r="G1556" t="str">
        <f>"9781855845565"</f>
        <v>9781855845565</v>
      </c>
      <c r="H1556" t="s">
        <v>738</v>
      </c>
      <c r="I1556">
        <v>153.41999999999999</v>
      </c>
      <c r="J1556" t="s">
        <v>3663</v>
      </c>
      <c r="K1556" t="s">
        <v>73</v>
      </c>
      <c r="Q1556" t="s">
        <v>76</v>
      </c>
      <c r="R1556" t="s">
        <v>73</v>
      </c>
      <c r="S1556">
        <v>0</v>
      </c>
      <c r="W1556" s="20">
        <v>9.4907407407407408E-4</v>
      </c>
      <c r="X1556" t="s">
        <v>3664</v>
      </c>
      <c r="Y1556">
        <v>8</v>
      </c>
      <c r="Z1556">
        <v>0</v>
      </c>
      <c r="AA1556" t="s">
        <v>78</v>
      </c>
      <c r="AB1556">
        <v>0</v>
      </c>
      <c r="AC1556" t="s">
        <v>78</v>
      </c>
      <c r="AD1556">
        <v>0</v>
      </c>
      <c r="AE1556">
        <v>-1</v>
      </c>
      <c r="AF1556" t="s">
        <v>79</v>
      </c>
      <c r="AG1556" t="s">
        <v>3503</v>
      </c>
    </row>
    <row r="1557" spans="1:33" x14ac:dyDescent="0.35">
      <c r="A1557" s="18">
        <v>44367.757638888892</v>
      </c>
      <c r="B1557">
        <v>3300484</v>
      </c>
      <c r="C1557" t="s">
        <v>3665</v>
      </c>
      <c r="D1557" t="s">
        <v>1300</v>
      </c>
      <c r="E1557" s="19">
        <v>39202</v>
      </c>
      <c r="F1557" t="str">
        <f>"9780674027084"</f>
        <v>9780674027084</v>
      </c>
      <c r="G1557" t="str">
        <f>"9780674032378"</f>
        <v>9780674032378</v>
      </c>
      <c r="H1557" t="s">
        <v>528</v>
      </c>
      <c r="I1557" t="s">
        <v>3666</v>
      </c>
      <c r="J1557" t="s">
        <v>3667</v>
      </c>
      <c r="K1557" t="s">
        <v>73</v>
      </c>
      <c r="N1557" t="s">
        <v>74</v>
      </c>
      <c r="O1557" t="s">
        <v>75</v>
      </c>
      <c r="P1557" t="s">
        <v>230</v>
      </c>
      <c r="Q1557" t="s">
        <v>76</v>
      </c>
      <c r="R1557" t="s">
        <v>85</v>
      </c>
      <c r="S1557">
        <v>1</v>
      </c>
      <c r="W1557" s="20">
        <v>0</v>
      </c>
      <c r="X1557" t="s">
        <v>78</v>
      </c>
      <c r="Y1557">
        <v>0</v>
      </c>
      <c r="Z1557">
        <v>0</v>
      </c>
      <c r="AA1557" t="s">
        <v>78</v>
      </c>
      <c r="AB1557">
        <v>0</v>
      </c>
      <c r="AC1557" t="s">
        <v>78</v>
      </c>
      <c r="AD1557">
        <v>0</v>
      </c>
      <c r="AE1557">
        <v>10318478</v>
      </c>
      <c r="AF1557" t="s">
        <v>88</v>
      </c>
      <c r="AG1557" t="s">
        <v>3460</v>
      </c>
    </row>
    <row r="1558" spans="1:33" x14ac:dyDescent="0.35">
      <c r="A1558" s="18">
        <v>44367.742361111108</v>
      </c>
      <c r="B1558">
        <v>3300484</v>
      </c>
      <c r="C1558" t="s">
        <v>3665</v>
      </c>
      <c r="D1558" t="s">
        <v>1300</v>
      </c>
      <c r="E1558" s="19">
        <v>39202</v>
      </c>
      <c r="F1558" t="str">
        <f>"9780674027084"</f>
        <v>9780674027084</v>
      </c>
      <c r="G1558" t="str">
        <f>"9780674032378"</f>
        <v>9780674032378</v>
      </c>
      <c r="H1558" t="s">
        <v>528</v>
      </c>
      <c r="I1558" t="s">
        <v>3666</v>
      </c>
      <c r="J1558" t="s">
        <v>3667</v>
      </c>
      <c r="K1558" t="s">
        <v>73</v>
      </c>
      <c r="N1558" t="s">
        <v>74</v>
      </c>
      <c r="O1558" t="s">
        <v>75</v>
      </c>
      <c r="P1558" t="s">
        <v>230</v>
      </c>
      <c r="Q1558" t="s">
        <v>76</v>
      </c>
      <c r="R1558" t="s">
        <v>85</v>
      </c>
      <c r="S1558">
        <v>0</v>
      </c>
      <c r="W1558" s="20">
        <v>1.3877314814814815E-2</v>
      </c>
      <c r="X1558" t="s">
        <v>3668</v>
      </c>
      <c r="Y1558">
        <v>16</v>
      </c>
      <c r="Z1558">
        <v>0</v>
      </c>
      <c r="AA1558" t="s">
        <v>78</v>
      </c>
      <c r="AB1558">
        <v>0</v>
      </c>
      <c r="AC1558" t="s">
        <v>78</v>
      </c>
      <c r="AD1558">
        <v>0</v>
      </c>
      <c r="AE1558">
        <v>10318478</v>
      </c>
      <c r="AF1558" t="s">
        <v>88</v>
      </c>
      <c r="AG1558" t="s">
        <v>3460</v>
      </c>
    </row>
    <row r="1559" spans="1:33" x14ac:dyDescent="0.35">
      <c r="A1559" s="18">
        <v>44367.731249999997</v>
      </c>
      <c r="B1559">
        <v>1665833</v>
      </c>
      <c r="C1559" t="s">
        <v>3669</v>
      </c>
      <c r="D1559" t="s">
        <v>127</v>
      </c>
      <c r="E1559" s="19">
        <v>38216</v>
      </c>
      <c r="F1559" t="str">
        <f>"9781317852711"</f>
        <v>9781317852711</v>
      </c>
      <c r="G1559" t="str">
        <f>"9780415295734"</f>
        <v>9780415295734</v>
      </c>
      <c r="H1559" t="s">
        <v>528</v>
      </c>
      <c r="I1559">
        <v>170</v>
      </c>
      <c r="J1559" t="s">
        <v>3670</v>
      </c>
      <c r="K1559" t="s">
        <v>73</v>
      </c>
      <c r="N1559" t="s">
        <v>74</v>
      </c>
      <c r="O1559" t="s">
        <v>75</v>
      </c>
      <c r="P1559" t="s">
        <v>74</v>
      </c>
      <c r="Q1559" t="s">
        <v>76</v>
      </c>
      <c r="R1559" t="s">
        <v>73</v>
      </c>
      <c r="S1559">
        <v>0</v>
      </c>
      <c r="W1559" s="20">
        <v>8.7037037037037031E-3</v>
      </c>
      <c r="X1559" t="s">
        <v>3671</v>
      </c>
      <c r="Y1559">
        <v>10</v>
      </c>
      <c r="Z1559">
        <v>0</v>
      </c>
      <c r="AA1559" t="s">
        <v>78</v>
      </c>
      <c r="AB1559">
        <v>0</v>
      </c>
      <c r="AC1559" t="s">
        <v>78</v>
      </c>
      <c r="AD1559">
        <v>0</v>
      </c>
      <c r="AE1559">
        <v>10858658</v>
      </c>
      <c r="AF1559" t="s">
        <v>88</v>
      </c>
      <c r="AG1559" t="s">
        <v>3460</v>
      </c>
    </row>
    <row r="1560" spans="1:33" x14ac:dyDescent="0.35">
      <c r="A1560" s="18">
        <v>44367.661111111112</v>
      </c>
      <c r="B1560">
        <v>1665833</v>
      </c>
      <c r="C1560" t="s">
        <v>3669</v>
      </c>
      <c r="D1560" t="s">
        <v>127</v>
      </c>
      <c r="E1560" s="19">
        <v>38216</v>
      </c>
      <c r="F1560" t="str">
        <f>"9781317852711"</f>
        <v>9781317852711</v>
      </c>
      <c r="G1560" t="str">
        <f>"9780415295734"</f>
        <v>9780415295734</v>
      </c>
      <c r="H1560" t="s">
        <v>528</v>
      </c>
      <c r="I1560">
        <v>170</v>
      </c>
      <c r="J1560" t="s">
        <v>3670</v>
      </c>
      <c r="K1560" t="s">
        <v>73</v>
      </c>
      <c r="N1560" t="s">
        <v>74</v>
      </c>
      <c r="O1560" t="s">
        <v>75</v>
      </c>
      <c r="P1560" t="s">
        <v>74</v>
      </c>
      <c r="Q1560" t="s">
        <v>76</v>
      </c>
      <c r="R1560" t="s">
        <v>73</v>
      </c>
      <c r="S1560">
        <v>0</v>
      </c>
      <c r="W1560" s="20">
        <v>7.4421296296296293E-3</v>
      </c>
      <c r="X1560" t="s">
        <v>3672</v>
      </c>
      <c r="Y1560">
        <v>8</v>
      </c>
      <c r="Z1560">
        <v>0</v>
      </c>
      <c r="AA1560" t="s">
        <v>78</v>
      </c>
      <c r="AB1560">
        <v>0</v>
      </c>
      <c r="AC1560" t="s">
        <v>78</v>
      </c>
      <c r="AD1560">
        <v>0</v>
      </c>
      <c r="AE1560">
        <v>10858658</v>
      </c>
      <c r="AF1560" t="s">
        <v>79</v>
      </c>
      <c r="AG1560" t="s">
        <v>3460</v>
      </c>
    </row>
    <row r="1561" spans="1:33" x14ac:dyDescent="0.35">
      <c r="A1561" s="18">
        <v>44367.65625</v>
      </c>
      <c r="B1561">
        <v>1092825</v>
      </c>
      <c r="C1561" t="s">
        <v>3673</v>
      </c>
      <c r="D1561" t="s">
        <v>127</v>
      </c>
      <c r="E1561" s="19">
        <v>41240</v>
      </c>
      <c r="F1561" t="str">
        <f>"9781135764524"</f>
        <v>9781135764524</v>
      </c>
      <c r="G1561" t="str">
        <f>"9780415782302"</f>
        <v>9780415782302</v>
      </c>
      <c r="H1561" t="s">
        <v>528</v>
      </c>
      <c r="I1561">
        <v>170</v>
      </c>
      <c r="J1561" t="s">
        <v>3674</v>
      </c>
      <c r="K1561" t="s">
        <v>73</v>
      </c>
      <c r="N1561" t="s">
        <v>74</v>
      </c>
      <c r="O1561" t="s">
        <v>75</v>
      </c>
      <c r="P1561" t="s">
        <v>74</v>
      </c>
      <c r="Q1561" t="s">
        <v>76</v>
      </c>
      <c r="R1561" t="s">
        <v>73</v>
      </c>
      <c r="S1561">
        <v>0</v>
      </c>
      <c r="W1561" s="20">
        <v>1.1921296296296296E-3</v>
      </c>
      <c r="X1561" t="s">
        <v>3675</v>
      </c>
      <c r="Y1561">
        <v>25</v>
      </c>
      <c r="Z1561">
        <v>0</v>
      </c>
      <c r="AA1561" t="s">
        <v>78</v>
      </c>
      <c r="AB1561">
        <v>0</v>
      </c>
      <c r="AC1561" t="s">
        <v>78</v>
      </c>
      <c r="AD1561">
        <v>0</v>
      </c>
      <c r="AE1561">
        <v>10632516</v>
      </c>
      <c r="AF1561" t="s">
        <v>79</v>
      </c>
      <c r="AG1561" t="s">
        <v>3460</v>
      </c>
    </row>
    <row r="1562" spans="1:33" x14ac:dyDescent="0.35">
      <c r="A1562" s="18">
        <v>44367.404166666667</v>
      </c>
      <c r="B1562">
        <v>1274276</v>
      </c>
      <c r="C1562" t="s">
        <v>3676</v>
      </c>
      <c r="D1562" t="s">
        <v>102</v>
      </c>
      <c r="E1562" s="19">
        <v>41345</v>
      </c>
      <c r="F1562" t="str">
        <f>"9780199908561"</f>
        <v>9780199908561</v>
      </c>
      <c r="G1562" t="str">
        <f>"9780199754632"</f>
        <v>9780199754632</v>
      </c>
      <c r="H1562" t="s">
        <v>184</v>
      </c>
      <c r="I1562" t="s">
        <v>3677</v>
      </c>
      <c r="J1562" t="s">
        <v>3678</v>
      </c>
      <c r="K1562" t="s">
        <v>73</v>
      </c>
      <c r="N1562" t="s">
        <v>74</v>
      </c>
      <c r="O1562" t="s">
        <v>75</v>
      </c>
      <c r="P1562" t="s">
        <v>74</v>
      </c>
      <c r="Q1562" t="s">
        <v>76</v>
      </c>
      <c r="R1562" t="s">
        <v>73</v>
      </c>
      <c r="S1562">
        <v>0</v>
      </c>
      <c r="W1562" s="20">
        <v>2.5347222222222221E-3</v>
      </c>
      <c r="X1562" t="s">
        <v>3679</v>
      </c>
      <c r="Y1562">
        <v>5</v>
      </c>
      <c r="Z1562">
        <v>0</v>
      </c>
      <c r="AA1562" t="s">
        <v>3680</v>
      </c>
      <c r="AB1562">
        <v>98</v>
      </c>
      <c r="AC1562" t="s">
        <v>78</v>
      </c>
      <c r="AD1562">
        <v>0</v>
      </c>
      <c r="AE1562">
        <v>10727081</v>
      </c>
      <c r="AF1562" t="s">
        <v>79</v>
      </c>
      <c r="AG1562" t="s">
        <v>3359</v>
      </c>
    </row>
    <row r="1563" spans="1:33" x14ac:dyDescent="0.35">
      <c r="A1563" s="18">
        <v>44367.32708333333</v>
      </c>
      <c r="B1563">
        <v>900127</v>
      </c>
      <c r="C1563" t="s">
        <v>3641</v>
      </c>
      <c r="D1563" t="s">
        <v>158</v>
      </c>
      <c r="E1563" s="19">
        <v>41033</v>
      </c>
      <c r="F1563" t="str">
        <f>"9780123859723"</f>
        <v>9780123859723</v>
      </c>
      <c r="G1563" t="str">
        <f>"9780123859716"</f>
        <v>9780123859716</v>
      </c>
      <c r="H1563" t="s">
        <v>1194</v>
      </c>
      <c r="I1563">
        <v>620.11</v>
      </c>
      <c r="J1563" t="s">
        <v>3642</v>
      </c>
      <c r="K1563" t="s">
        <v>73</v>
      </c>
      <c r="N1563" t="s">
        <v>74</v>
      </c>
      <c r="O1563" t="s">
        <v>75</v>
      </c>
      <c r="P1563" t="s">
        <v>74</v>
      </c>
      <c r="Q1563" t="s">
        <v>76</v>
      </c>
      <c r="R1563" t="s">
        <v>73</v>
      </c>
      <c r="S1563">
        <v>0</v>
      </c>
      <c r="W1563" s="20">
        <v>0</v>
      </c>
      <c r="X1563" t="s">
        <v>78</v>
      </c>
      <c r="Y1563">
        <v>0</v>
      </c>
      <c r="Z1563">
        <v>0</v>
      </c>
      <c r="AA1563" t="s">
        <v>78</v>
      </c>
      <c r="AB1563">
        <v>0</v>
      </c>
      <c r="AC1563" t="s">
        <v>78</v>
      </c>
      <c r="AD1563">
        <v>0</v>
      </c>
      <c r="AE1563">
        <v>10562191</v>
      </c>
      <c r="AF1563" t="s">
        <v>79</v>
      </c>
      <c r="AG1563" t="s">
        <v>3460</v>
      </c>
    </row>
    <row r="1564" spans="1:33" x14ac:dyDescent="0.35">
      <c r="A1564" s="18">
        <v>44366.450694444444</v>
      </c>
      <c r="B1564">
        <v>6166926</v>
      </c>
      <c r="C1564" t="s">
        <v>3681</v>
      </c>
      <c r="D1564" t="s">
        <v>158</v>
      </c>
      <c r="E1564" s="19">
        <v>43929</v>
      </c>
      <c r="F1564" t="str">
        <f>"9780128194447"</f>
        <v>9780128194447</v>
      </c>
      <c r="G1564" t="str">
        <f>"9780128194430"</f>
        <v>9780128194430</v>
      </c>
      <c r="H1564" t="s">
        <v>3682</v>
      </c>
      <c r="I1564">
        <v>612.80112999999903</v>
      </c>
      <c r="J1564" t="s">
        <v>3683</v>
      </c>
      <c r="K1564" t="s">
        <v>85</v>
      </c>
      <c r="N1564" t="s">
        <v>86</v>
      </c>
      <c r="P1564" t="s">
        <v>87</v>
      </c>
      <c r="Q1564" t="s">
        <v>76</v>
      </c>
      <c r="R1564" t="s">
        <v>73</v>
      </c>
      <c r="S1564">
        <v>0</v>
      </c>
      <c r="W1564" s="20">
        <v>1.3773148148148147E-3</v>
      </c>
      <c r="X1564" t="s">
        <v>3684</v>
      </c>
      <c r="Y1564">
        <v>10</v>
      </c>
      <c r="Z1564">
        <v>0</v>
      </c>
      <c r="AA1564" t="s">
        <v>78</v>
      </c>
      <c r="AB1564">
        <v>0</v>
      </c>
      <c r="AC1564" t="s">
        <v>78</v>
      </c>
      <c r="AD1564">
        <v>0</v>
      </c>
      <c r="AE1564">
        <v>-1</v>
      </c>
      <c r="AF1564" t="s">
        <v>79</v>
      </c>
      <c r="AG1564" t="s">
        <v>3060</v>
      </c>
    </row>
    <row r="1565" spans="1:33" x14ac:dyDescent="0.35">
      <c r="A1565" s="18">
        <v>44366.439583333333</v>
      </c>
      <c r="B1565">
        <v>5982459</v>
      </c>
      <c r="C1565" t="s">
        <v>3685</v>
      </c>
      <c r="D1565" t="s">
        <v>200</v>
      </c>
      <c r="E1565" s="19">
        <v>43796</v>
      </c>
      <c r="F1565" t="str">
        <f>"9789811371424"</f>
        <v>9789811371424</v>
      </c>
      <c r="G1565" t="str">
        <f>"9789811371417"</f>
        <v>9789811371417</v>
      </c>
      <c r="H1565" t="s">
        <v>222</v>
      </c>
      <c r="I1565">
        <v>610.28</v>
      </c>
      <c r="J1565" t="s">
        <v>3686</v>
      </c>
      <c r="K1565" t="s">
        <v>85</v>
      </c>
      <c r="N1565" t="s">
        <v>86</v>
      </c>
      <c r="P1565" t="s">
        <v>87</v>
      </c>
      <c r="Q1565" t="s">
        <v>76</v>
      </c>
      <c r="R1565" t="s">
        <v>73</v>
      </c>
      <c r="S1565">
        <v>0</v>
      </c>
      <c r="W1565" s="20">
        <v>2.2569444444444447E-3</v>
      </c>
      <c r="X1565" t="s">
        <v>3687</v>
      </c>
      <c r="Y1565">
        <v>26</v>
      </c>
      <c r="Z1565">
        <v>0</v>
      </c>
      <c r="AA1565" t="s">
        <v>78</v>
      </c>
      <c r="AB1565">
        <v>0</v>
      </c>
      <c r="AC1565" t="s">
        <v>78</v>
      </c>
      <c r="AD1565">
        <v>0</v>
      </c>
      <c r="AE1565">
        <v>-1</v>
      </c>
      <c r="AF1565" t="s">
        <v>79</v>
      </c>
      <c r="AG1565" t="s">
        <v>3060</v>
      </c>
    </row>
    <row r="1566" spans="1:33" x14ac:dyDescent="0.35">
      <c r="A1566" s="18">
        <v>44366.015277777777</v>
      </c>
      <c r="B1566">
        <v>200238</v>
      </c>
      <c r="C1566" t="s">
        <v>3688</v>
      </c>
      <c r="D1566" t="s">
        <v>127</v>
      </c>
      <c r="E1566" s="19">
        <v>38231</v>
      </c>
      <c r="F1566" t="str">
        <f>"9780203609002"</f>
        <v>9780203609002</v>
      </c>
      <c r="G1566" t="str">
        <f>"9780415304009"</f>
        <v>9780415304009</v>
      </c>
      <c r="H1566" t="s">
        <v>128</v>
      </c>
      <c r="I1566">
        <v>307.12160956000002</v>
      </c>
      <c r="J1566" t="s">
        <v>3689</v>
      </c>
      <c r="K1566" t="s">
        <v>73</v>
      </c>
      <c r="N1566" t="s">
        <v>74</v>
      </c>
      <c r="O1566" t="s">
        <v>75</v>
      </c>
      <c r="P1566" t="s">
        <v>74</v>
      </c>
      <c r="Q1566" t="s">
        <v>76</v>
      </c>
      <c r="R1566" t="s">
        <v>73</v>
      </c>
      <c r="S1566">
        <v>1</v>
      </c>
      <c r="W1566" s="20">
        <v>0</v>
      </c>
      <c r="X1566" t="s">
        <v>78</v>
      </c>
      <c r="Y1566">
        <v>0</v>
      </c>
      <c r="Z1566">
        <v>0</v>
      </c>
      <c r="AA1566" t="s">
        <v>78</v>
      </c>
      <c r="AB1566">
        <v>0</v>
      </c>
      <c r="AC1566" t="s">
        <v>78</v>
      </c>
      <c r="AD1566">
        <v>0</v>
      </c>
      <c r="AE1566">
        <v>10093645</v>
      </c>
      <c r="AF1566" t="s">
        <v>88</v>
      </c>
      <c r="AG1566" t="s">
        <v>3599</v>
      </c>
    </row>
    <row r="1567" spans="1:33" x14ac:dyDescent="0.35">
      <c r="A1567" s="18">
        <v>44366.010416666664</v>
      </c>
      <c r="B1567">
        <v>773636</v>
      </c>
      <c r="C1567" t="s">
        <v>3600</v>
      </c>
      <c r="D1567" t="s">
        <v>127</v>
      </c>
      <c r="E1567" s="19">
        <v>40826</v>
      </c>
      <c r="F1567" t="str">
        <f>"9781439862070"</f>
        <v>9781439862070</v>
      </c>
      <c r="G1567" t="str">
        <f>"9781439862056"</f>
        <v>9781439862056</v>
      </c>
      <c r="H1567" t="s">
        <v>466</v>
      </c>
      <c r="I1567">
        <v>621.38152000000002</v>
      </c>
      <c r="J1567" t="s">
        <v>3601</v>
      </c>
      <c r="K1567" t="s">
        <v>73</v>
      </c>
      <c r="N1567" t="s">
        <v>74</v>
      </c>
      <c r="O1567" t="s">
        <v>75</v>
      </c>
      <c r="P1567" t="s">
        <v>74</v>
      </c>
      <c r="Q1567" t="s">
        <v>76</v>
      </c>
      <c r="R1567" t="s">
        <v>73</v>
      </c>
      <c r="S1567">
        <v>0</v>
      </c>
      <c r="W1567" s="20">
        <v>1.4120370370370369E-3</v>
      </c>
      <c r="X1567" t="s">
        <v>3690</v>
      </c>
      <c r="Y1567">
        <v>13</v>
      </c>
      <c r="Z1567">
        <v>0</v>
      </c>
      <c r="AA1567" t="s">
        <v>78</v>
      </c>
      <c r="AB1567">
        <v>0</v>
      </c>
      <c r="AC1567" t="s">
        <v>78</v>
      </c>
      <c r="AD1567">
        <v>0</v>
      </c>
      <c r="AE1567">
        <v>10495995</v>
      </c>
      <c r="AF1567" t="s">
        <v>79</v>
      </c>
      <c r="AG1567" t="s">
        <v>3060</v>
      </c>
    </row>
    <row r="1568" spans="1:33" x14ac:dyDescent="0.35">
      <c r="A1568" s="18">
        <v>44366.009027777778</v>
      </c>
      <c r="B1568">
        <v>865036</v>
      </c>
      <c r="C1568" t="s">
        <v>3691</v>
      </c>
      <c r="D1568" t="s">
        <v>70</v>
      </c>
      <c r="E1568" s="19">
        <v>41001</v>
      </c>
      <c r="F1568" t="str">
        <f>"9781119963240"</f>
        <v>9781119963240</v>
      </c>
      <c r="G1568" t="str">
        <f>"9780470662540"</f>
        <v>9780470662540</v>
      </c>
      <c r="H1568" t="s">
        <v>71</v>
      </c>
      <c r="I1568" t="s">
        <v>3692</v>
      </c>
      <c r="J1568" t="s">
        <v>3693</v>
      </c>
      <c r="K1568" t="s">
        <v>85</v>
      </c>
      <c r="N1568" t="s">
        <v>74</v>
      </c>
      <c r="O1568" t="s">
        <v>75</v>
      </c>
      <c r="P1568" t="s">
        <v>74</v>
      </c>
      <c r="Q1568" t="s">
        <v>76</v>
      </c>
      <c r="R1568" t="s">
        <v>73</v>
      </c>
      <c r="S1568">
        <v>0</v>
      </c>
      <c r="W1568" s="20">
        <v>6.2500000000000001E-4</v>
      </c>
      <c r="X1568" t="s">
        <v>3694</v>
      </c>
      <c r="Y1568">
        <v>11</v>
      </c>
      <c r="Z1568">
        <v>0</v>
      </c>
      <c r="AA1568" t="s">
        <v>78</v>
      </c>
      <c r="AB1568">
        <v>0</v>
      </c>
      <c r="AC1568" t="s">
        <v>78</v>
      </c>
      <c r="AD1568">
        <v>0</v>
      </c>
      <c r="AE1568">
        <v>10538596</v>
      </c>
      <c r="AF1568" t="s">
        <v>79</v>
      </c>
      <c r="AG1568" t="s">
        <v>3060</v>
      </c>
    </row>
    <row r="1569" spans="1:33" x14ac:dyDescent="0.35">
      <c r="A1569" s="18">
        <v>44366.007638888892</v>
      </c>
      <c r="B1569">
        <v>4915580</v>
      </c>
      <c r="C1569" t="s">
        <v>3695</v>
      </c>
      <c r="D1569" t="s">
        <v>70</v>
      </c>
      <c r="E1569" s="19">
        <v>42940</v>
      </c>
      <c r="F1569" t="str">
        <f>"9781119046011"</f>
        <v>9781119046011</v>
      </c>
      <c r="G1569" t="str">
        <f>"9781119045939"</f>
        <v>9781119045939</v>
      </c>
      <c r="H1569" t="s">
        <v>466</v>
      </c>
      <c r="I1569">
        <v>621.38149999999996</v>
      </c>
      <c r="J1569" t="s">
        <v>3696</v>
      </c>
      <c r="K1569" t="s">
        <v>73</v>
      </c>
      <c r="N1569" t="s">
        <v>74</v>
      </c>
      <c r="O1569" t="s">
        <v>75</v>
      </c>
      <c r="P1569" t="s">
        <v>74</v>
      </c>
      <c r="Q1569" t="s">
        <v>76</v>
      </c>
      <c r="R1569" t="s">
        <v>73</v>
      </c>
      <c r="S1569">
        <v>0</v>
      </c>
      <c r="W1569" s="20">
        <v>6.8287037037037025E-4</v>
      </c>
      <c r="X1569" t="s">
        <v>3697</v>
      </c>
      <c r="Y1569">
        <v>15</v>
      </c>
      <c r="Z1569">
        <v>0</v>
      </c>
      <c r="AA1569" t="s">
        <v>78</v>
      </c>
      <c r="AB1569">
        <v>0</v>
      </c>
      <c r="AC1569" t="s">
        <v>78</v>
      </c>
      <c r="AD1569">
        <v>0</v>
      </c>
      <c r="AE1569">
        <v>11412608</v>
      </c>
      <c r="AF1569" t="s">
        <v>79</v>
      </c>
      <c r="AG1569" t="s">
        <v>3060</v>
      </c>
    </row>
    <row r="1570" spans="1:33" x14ac:dyDescent="0.35">
      <c r="A1570" s="18">
        <v>44365.547222222223</v>
      </c>
      <c r="B1570">
        <v>670258</v>
      </c>
      <c r="C1570" t="s">
        <v>3543</v>
      </c>
      <c r="D1570" t="s">
        <v>1426</v>
      </c>
      <c r="E1570" s="19">
        <v>40556</v>
      </c>
      <c r="F1570" t="str">
        <f>"9780253004970"</f>
        <v>9780253004970</v>
      </c>
      <c r="G1570" t="str">
        <f>"9780253355447"</f>
        <v>9780253355447</v>
      </c>
      <c r="H1570" t="s">
        <v>528</v>
      </c>
      <c r="I1570" t="s">
        <v>3544</v>
      </c>
      <c r="J1570" t="s">
        <v>3545</v>
      </c>
      <c r="K1570" t="s">
        <v>73</v>
      </c>
      <c r="N1570" t="s">
        <v>74</v>
      </c>
      <c r="O1570" t="s">
        <v>75</v>
      </c>
      <c r="P1570" t="s">
        <v>74</v>
      </c>
      <c r="Q1570" t="s">
        <v>76</v>
      </c>
      <c r="R1570" t="s">
        <v>73</v>
      </c>
      <c r="S1570">
        <v>0</v>
      </c>
      <c r="W1570" s="20">
        <v>9.8495370370370369E-3</v>
      </c>
      <c r="X1570" t="s">
        <v>3698</v>
      </c>
      <c r="Y1570">
        <v>13</v>
      </c>
      <c r="Z1570">
        <v>0</v>
      </c>
      <c r="AA1570" t="s">
        <v>78</v>
      </c>
      <c r="AB1570">
        <v>0</v>
      </c>
      <c r="AC1570" t="s">
        <v>3699</v>
      </c>
      <c r="AD1570">
        <v>1</v>
      </c>
      <c r="AE1570">
        <v>10443353</v>
      </c>
      <c r="AF1570" t="s">
        <v>79</v>
      </c>
      <c r="AG1570" t="s">
        <v>3622</v>
      </c>
    </row>
    <row r="1571" spans="1:33" x14ac:dyDescent="0.35">
      <c r="A1571" s="18">
        <v>44365.511111111111</v>
      </c>
      <c r="B1571">
        <v>670258</v>
      </c>
      <c r="C1571" t="s">
        <v>3543</v>
      </c>
      <c r="D1571" t="s">
        <v>1426</v>
      </c>
      <c r="E1571" s="19">
        <v>40556</v>
      </c>
      <c r="F1571" t="str">
        <f>"9780253004970"</f>
        <v>9780253004970</v>
      </c>
      <c r="G1571" t="str">
        <f>"9780253355447"</f>
        <v>9780253355447</v>
      </c>
      <c r="H1571" t="s">
        <v>528</v>
      </c>
      <c r="I1571" t="s">
        <v>3544</v>
      </c>
      <c r="J1571" t="s">
        <v>3545</v>
      </c>
      <c r="K1571" t="s">
        <v>73</v>
      </c>
      <c r="N1571" t="s">
        <v>74</v>
      </c>
      <c r="O1571" t="s">
        <v>75</v>
      </c>
      <c r="P1571" t="s">
        <v>74</v>
      </c>
      <c r="Q1571" t="s">
        <v>76</v>
      </c>
      <c r="R1571" t="s">
        <v>73</v>
      </c>
      <c r="S1571">
        <v>0</v>
      </c>
      <c r="W1571" s="20">
        <v>6.5972222222222213E-4</v>
      </c>
      <c r="X1571" t="s">
        <v>3700</v>
      </c>
      <c r="Y1571">
        <v>5</v>
      </c>
      <c r="Z1571">
        <v>0</v>
      </c>
      <c r="AA1571" t="s">
        <v>78</v>
      </c>
      <c r="AB1571">
        <v>0</v>
      </c>
      <c r="AC1571" t="s">
        <v>78</v>
      </c>
      <c r="AD1571">
        <v>0</v>
      </c>
      <c r="AE1571">
        <v>10443353</v>
      </c>
      <c r="AF1571" t="s">
        <v>79</v>
      </c>
      <c r="AG1571" t="s">
        <v>3622</v>
      </c>
    </row>
    <row r="1572" spans="1:33" x14ac:dyDescent="0.35">
      <c r="A1572" s="18">
        <v>44365.404861111114</v>
      </c>
      <c r="B1572">
        <v>3318207</v>
      </c>
      <c r="C1572" t="s">
        <v>3656</v>
      </c>
      <c r="D1572" t="s">
        <v>998</v>
      </c>
      <c r="E1572" s="19">
        <v>37551</v>
      </c>
      <c r="F1572" t="str">
        <f>"9780801877735"</f>
        <v>9780801877735</v>
      </c>
      <c r="G1572" t="str">
        <f>"9780801870538"</f>
        <v>9780801870538</v>
      </c>
      <c r="H1572" t="s">
        <v>3320</v>
      </c>
      <c r="I1572">
        <v>530.11</v>
      </c>
      <c r="J1572" t="s">
        <v>3657</v>
      </c>
      <c r="K1572" t="s">
        <v>73</v>
      </c>
      <c r="N1572" t="s">
        <v>74</v>
      </c>
      <c r="O1572" t="s">
        <v>75</v>
      </c>
      <c r="P1572" t="s">
        <v>74</v>
      </c>
      <c r="Q1572" t="s">
        <v>76</v>
      </c>
      <c r="R1572" t="s">
        <v>73</v>
      </c>
      <c r="S1572">
        <v>0</v>
      </c>
      <c r="W1572" s="20">
        <v>8.9120370370370362E-4</v>
      </c>
      <c r="X1572" t="s">
        <v>3701</v>
      </c>
      <c r="Y1572">
        <v>10</v>
      </c>
      <c r="Z1572">
        <v>0</v>
      </c>
      <c r="AA1572" t="s">
        <v>78</v>
      </c>
      <c r="AB1572">
        <v>0</v>
      </c>
      <c r="AC1572" t="s">
        <v>78</v>
      </c>
      <c r="AD1572">
        <v>0</v>
      </c>
      <c r="AE1572">
        <v>10021688</v>
      </c>
      <c r="AF1572" t="s">
        <v>79</v>
      </c>
      <c r="AG1572" t="s">
        <v>3599</v>
      </c>
    </row>
    <row r="1573" spans="1:33" x14ac:dyDescent="0.35">
      <c r="A1573" s="18">
        <v>44364.887499999997</v>
      </c>
      <c r="B1573">
        <v>5655513</v>
      </c>
      <c r="C1573" t="s">
        <v>3702</v>
      </c>
      <c r="D1573" t="s">
        <v>3703</v>
      </c>
      <c r="E1573" s="19">
        <v>43495</v>
      </c>
      <c r="F1573" t="str">
        <f>"9781773615981"</f>
        <v>9781773615981</v>
      </c>
      <c r="G1573" t="str">
        <f>""</f>
        <v/>
      </c>
      <c r="H1573" t="s">
        <v>3704</v>
      </c>
      <c r="I1573">
        <v>670.42700000000002</v>
      </c>
      <c r="J1573" t="s">
        <v>3705</v>
      </c>
      <c r="K1573" t="s">
        <v>85</v>
      </c>
      <c r="Q1573" t="s">
        <v>76</v>
      </c>
      <c r="R1573" t="s">
        <v>73</v>
      </c>
      <c r="S1573">
        <v>0</v>
      </c>
      <c r="W1573" s="20">
        <v>8.2870370370370372E-3</v>
      </c>
      <c r="X1573" t="s">
        <v>3179</v>
      </c>
      <c r="Y1573">
        <v>2</v>
      </c>
      <c r="Z1573">
        <v>0</v>
      </c>
      <c r="AA1573" t="s">
        <v>78</v>
      </c>
      <c r="AB1573">
        <v>0</v>
      </c>
      <c r="AC1573" t="s">
        <v>78</v>
      </c>
      <c r="AD1573">
        <v>0</v>
      </c>
      <c r="AE1573">
        <v>-1</v>
      </c>
      <c r="AF1573" t="s">
        <v>88</v>
      </c>
      <c r="AG1573" t="s">
        <v>3599</v>
      </c>
    </row>
    <row r="1574" spans="1:33" x14ac:dyDescent="0.35">
      <c r="A1574" s="18">
        <v>44364.887499999997</v>
      </c>
      <c r="B1574">
        <v>5738758</v>
      </c>
      <c r="C1574" t="s">
        <v>3706</v>
      </c>
      <c r="D1574" t="s">
        <v>369</v>
      </c>
      <c r="E1574" s="19">
        <v>43553</v>
      </c>
      <c r="F1574" t="str">
        <f>"9783030113049"</f>
        <v>9783030113049</v>
      </c>
      <c r="G1574" t="str">
        <f>"9783030113032"</f>
        <v>9783030113032</v>
      </c>
      <c r="H1574" t="s">
        <v>275</v>
      </c>
      <c r="I1574">
        <v>629.89200000000005</v>
      </c>
      <c r="J1574" t="s">
        <v>202</v>
      </c>
      <c r="K1574" t="s">
        <v>85</v>
      </c>
      <c r="Q1574" t="s">
        <v>76</v>
      </c>
      <c r="R1574" t="s">
        <v>73</v>
      </c>
      <c r="S1574">
        <v>0</v>
      </c>
      <c r="W1574" s="20">
        <v>8.0787037037037043E-3</v>
      </c>
      <c r="X1574" t="s">
        <v>3707</v>
      </c>
      <c r="Y1574">
        <v>32</v>
      </c>
      <c r="Z1574">
        <v>0</v>
      </c>
      <c r="AA1574" t="s">
        <v>78</v>
      </c>
      <c r="AB1574">
        <v>0</v>
      </c>
      <c r="AC1574" t="s">
        <v>78</v>
      </c>
      <c r="AD1574">
        <v>0</v>
      </c>
      <c r="AE1574">
        <v>-1</v>
      </c>
      <c r="AF1574" t="s">
        <v>88</v>
      </c>
      <c r="AG1574" t="s">
        <v>3599</v>
      </c>
    </row>
    <row r="1575" spans="1:33" x14ac:dyDescent="0.35">
      <c r="A1575" s="18">
        <v>44364.886805555558</v>
      </c>
      <c r="B1575">
        <v>5963217</v>
      </c>
      <c r="C1575" t="s">
        <v>3708</v>
      </c>
      <c r="D1575" t="s">
        <v>369</v>
      </c>
      <c r="E1575" s="19">
        <v>43768</v>
      </c>
      <c r="F1575" t="str">
        <f>"9783030287825"</f>
        <v>9783030287825</v>
      </c>
      <c r="G1575" t="str">
        <f>"9783030287818"</f>
        <v>9783030287818</v>
      </c>
      <c r="H1575" t="s">
        <v>3709</v>
      </c>
      <c r="I1575">
        <v>670.42700000000002</v>
      </c>
      <c r="J1575" t="s">
        <v>202</v>
      </c>
      <c r="K1575" t="s">
        <v>85</v>
      </c>
      <c r="Q1575" t="s">
        <v>76</v>
      </c>
      <c r="R1575" t="s">
        <v>73</v>
      </c>
      <c r="S1575">
        <v>0</v>
      </c>
      <c r="W1575" s="20">
        <v>3.0671296296296297E-3</v>
      </c>
      <c r="X1575" t="s">
        <v>3710</v>
      </c>
      <c r="Y1575">
        <v>53</v>
      </c>
      <c r="Z1575">
        <v>0</v>
      </c>
      <c r="AA1575" t="s">
        <v>78</v>
      </c>
      <c r="AB1575">
        <v>0</v>
      </c>
      <c r="AC1575" t="s">
        <v>78</v>
      </c>
      <c r="AD1575">
        <v>0</v>
      </c>
      <c r="AE1575">
        <v>-1</v>
      </c>
      <c r="AF1575" t="s">
        <v>79</v>
      </c>
      <c r="AG1575" t="s">
        <v>3599</v>
      </c>
    </row>
    <row r="1576" spans="1:33" x14ac:dyDescent="0.35">
      <c r="A1576" s="18">
        <v>44364.729166666664</v>
      </c>
      <c r="B1576">
        <v>670258</v>
      </c>
      <c r="C1576" t="s">
        <v>3543</v>
      </c>
      <c r="D1576" t="s">
        <v>1426</v>
      </c>
      <c r="E1576" s="19">
        <v>40556</v>
      </c>
      <c r="F1576" t="str">
        <f>"9780253004970"</f>
        <v>9780253004970</v>
      </c>
      <c r="G1576" t="str">
        <f>"9780253355447"</f>
        <v>9780253355447</v>
      </c>
      <c r="H1576" t="s">
        <v>528</v>
      </c>
      <c r="I1576" t="s">
        <v>3544</v>
      </c>
      <c r="J1576" t="s">
        <v>3545</v>
      </c>
      <c r="K1576" t="s">
        <v>73</v>
      </c>
      <c r="N1576" t="s">
        <v>74</v>
      </c>
      <c r="O1576" t="s">
        <v>75</v>
      </c>
      <c r="P1576" t="s">
        <v>74</v>
      </c>
      <c r="Q1576" t="s">
        <v>76</v>
      </c>
      <c r="R1576" t="s">
        <v>73</v>
      </c>
      <c r="S1576">
        <v>1</v>
      </c>
      <c r="W1576" s="20">
        <v>2.3101851851851849E-2</v>
      </c>
      <c r="X1576" t="s">
        <v>3711</v>
      </c>
      <c r="Y1576">
        <v>21</v>
      </c>
      <c r="Z1576">
        <v>0</v>
      </c>
      <c r="AA1576" t="s">
        <v>78</v>
      </c>
      <c r="AB1576">
        <v>0</v>
      </c>
      <c r="AC1576" t="s">
        <v>3699</v>
      </c>
      <c r="AD1576">
        <v>1</v>
      </c>
      <c r="AE1576">
        <v>10443353</v>
      </c>
      <c r="AF1576" t="s">
        <v>88</v>
      </c>
      <c r="AG1576" t="s">
        <v>3622</v>
      </c>
    </row>
    <row r="1577" spans="1:33" x14ac:dyDescent="0.35">
      <c r="A1577" s="18">
        <v>44364.536111111112</v>
      </c>
      <c r="B1577">
        <v>5754447</v>
      </c>
      <c r="C1577" t="s">
        <v>3712</v>
      </c>
      <c r="D1577" t="s">
        <v>158</v>
      </c>
      <c r="E1577" s="19">
        <v>41717</v>
      </c>
      <c r="F1577" t="str">
        <f>"9780124166363"</f>
        <v>9780124166363</v>
      </c>
      <c r="G1577" t="str">
        <f>"9780124166547"</f>
        <v>9780124166547</v>
      </c>
      <c r="H1577" t="s">
        <v>469</v>
      </c>
      <c r="I1577">
        <v>621.48</v>
      </c>
      <c r="J1577" t="s">
        <v>3713</v>
      </c>
      <c r="K1577" t="s">
        <v>73</v>
      </c>
      <c r="N1577" t="s">
        <v>74</v>
      </c>
      <c r="O1577" t="s">
        <v>75</v>
      </c>
      <c r="P1577" t="s">
        <v>74</v>
      </c>
      <c r="Q1577" t="s">
        <v>76</v>
      </c>
      <c r="R1577" t="s">
        <v>73</v>
      </c>
      <c r="S1577">
        <v>0</v>
      </c>
      <c r="W1577" s="20">
        <v>3.7500000000000003E-3</v>
      </c>
      <c r="X1577" t="s">
        <v>3714</v>
      </c>
      <c r="Y1577">
        <v>32</v>
      </c>
      <c r="Z1577">
        <v>0</v>
      </c>
      <c r="AA1577" t="s">
        <v>78</v>
      </c>
      <c r="AB1577">
        <v>0</v>
      </c>
      <c r="AC1577" t="s">
        <v>78</v>
      </c>
      <c r="AD1577">
        <v>0</v>
      </c>
      <c r="AE1577">
        <v>-1</v>
      </c>
      <c r="AF1577" t="s">
        <v>79</v>
      </c>
      <c r="AG1577" t="s">
        <v>3715</v>
      </c>
    </row>
    <row r="1578" spans="1:33" x14ac:dyDescent="0.35">
      <c r="A1578" s="18">
        <v>44364.02847222222</v>
      </c>
      <c r="B1578">
        <v>4877022</v>
      </c>
      <c r="C1578" t="s">
        <v>3716</v>
      </c>
      <c r="D1578" t="s">
        <v>741</v>
      </c>
      <c r="E1578" s="19">
        <v>42856</v>
      </c>
      <c r="F1578" t="str">
        <f>"9781423234944"</f>
        <v>9781423234944</v>
      </c>
      <c r="G1578" t="str">
        <f>"9781423234739"</f>
        <v>9781423234739</v>
      </c>
      <c r="H1578" t="s">
        <v>1179</v>
      </c>
      <c r="I1578">
        <v>378.1662</v>
      </c>
      <c r="J1578" t="s">
        <v>3717</v>
      </c>
      <c r="K1578" t="s">
        <v>73</v>
      </c>
      <c r="N1578" t="s">
        <v>74</v>
      </c>
      <c r="O1578" t="s">
        <v>75</v>
      </c>
      <c r="P1578" t="s">
        <v>74</v>
      </c>
      <c r="Q1578" t="s">
        <v>76</v>
      </c>
      <c r="R1578" t="s">
        <v>73</v>
      </c>
      <c r="S1578">
        <v>0</v>
      </c>
      <c r="W1578" s="20">
        <v>3.8194444444444446E-4</v>
      </c>
      <c r="X1578" t="s">
        <v>3718</v>
      </c>
      <c r="Y1578">
        <v>6</v>
      </c>
      <c r="Z1578">
        <v>0</v>
      </c>
      <c r="AA1578" t="s">
        <v>78</v>
      </c>
      <c r="AB1578">
        <v>0</v>
      </c>
      <c r="AC1578" t="s">
        <v>78</v>
      </c>
      <c r="AD1578">
        <v>0</v>
      </c>
      <c r="AE1578">
        <v>11397704</v>
      </c>
      <c r="AF1578" t="s">
        <v>79</v>
      </c>
      <c r="AG1578" t="s">
        <v>3599</v>
      </c>
    </row>
    <row r="1579" spans="1:33" x14ac:dyDescent="0.35">
      <c r="A1579" s="18">
        <v>44361.020138888889</v>
      </c>
      <c r="B1579">
        <v>3386228</v>
      </c>
      <c r="C1579" t="s">
        <v>3719</v>
      </c>
      <c r="D1579" t="s">
        <v>3311</v>
      </c>
      <c r="E1579" s="19">
        <v>39588</v>
      </c>
      <c r="F1579" t="str">
        <f>"9781849643818"</f>
        <v>9781849643818</v>
      </c>
      <c r="G1579" t="str">
        <f>"9780745327204"</f>
        <v>9780745327204</v>
      </c>
      <c r="H1579" t="s">
        <v>308</v>
      </c>
      <c r="I1579" t="s">
        <v>3720</v>
      </c>
      <c r="J1579" t="s">
        <v>3721</v>
      </c>
      <c r="K1579" t="s">
        <v>73</v>
      </c>
      <c r="N1579" t="s">
        <v>74</v>
      </c>
      <c r="O1579" t="s">
        <v>75</v>
      </c>
      <c r="P1579" t="s">
        <v>74</v>
      </c>
      <c r="Q1579" t="s">
        <v>76</v>
      </c>
      <c r="R1579" t="s">
        <v>73</v>
      </c>
      <c r="S1579">
        <v>0</v>
      </c>
      <c r="W1579" s="20">
        <v>1.0416666666666667E-4</v>
      </c>
      <c r="X1579" t="s">
        <v>132</v>
      </c>
      <c r="Y1579">
        <v>1</v>
      </c>
      <c r="Z1579">
        <v>0</v>
      </c>
      <c r="AA1579" t="s">
        <v>78</v>
      </c>
      <c r="AB1579">
        <v>0</v>
      </c>
      <c r="AC1579" t="s">
        <v>78</v>
      </c>
      <c r="AD1579">
        <v>0</v>
      </c>
      <c r="AE1579">
        <v>10479722</v>
      </c>
      <c r="AF1579" t="s">
        <v>79</v>
      </c>
      <c r="AG1579" t="s">
        <v>3460</v>
      </c>
    </row>
    <row r="1580" spans="1:33" x14ac:dyDescent="0.35">
      <c r="A1580" s="18">
        <v>44360.925694444442</v>
      </c>
      <c r="B1580">
        <v>819261</v>
      </c>
      <c r="C1580" t="s">
        <v>3722</v>
      </c>
      <c r="D1580" t="s">
        <v>70</v>
      </c>
      <c r="E1580" s="19">
        <v>40889</v>
      </c>
      <c r="F1580" t="str">
        <f>"9781119976486"</f>
        <v>9781119976486</v>
      </c>
      <c r="G1580" t="str">
        <f>"9781119976493"</f>
        <v>9781119976493</v>
      </c>
      <c r="H1580" t="s">
        <v>71</v>
      </c>
      <c r="I1580">
        <v>621.38099999999997</v>
      </c>
      <c r="J1580" t="s">
        <v>3723</v>
      </c>
      <c r="K1580" t="s">
        <v>73</v>
      </c>
      <c r="N1580" t="s">
        <v>74</v>
      </c>
      <c r="O1580" t="s">
        <v>75</v>
      </c>
      <c r="P1580" t="s">
        <v>74</v>
      </c>
      <c r="Q1580" t="s">
        <v>76</v>
      </c>
      <c r="R1580" t="s">
        <v>73</v>
      </c>
      <c r="S1580">
        <v>0</v>
      </c>
      <c r="W1580" s="20">
        <v>3.1250000000000001E-4</v>
      </c>
      <c r="X1580" t="s">
        <v>3724</v>
      </c>
      <c r="Y1580">
        <v>9</v>
      </c>
      <c r="Z1580">
        <v>0</v>
      </c>
      <c r="AA1580" t="s">
        <v>78</v>
      </c>
      <c r="AB1580">
        <v>0</v>
      </c>
      <c r="AC1580" t="s">
        <v>78</v>
      </c>
      <c r="AD1580">
        <v>0</v>
      </c>
      <c r="AE1580">
        <v>10504212</v>
      </c>
      <c r="AF1580" t="s">
        <v>79</v>
      </c>
      <c r="AG1580" t="s">
        <v>3659</v>
      </c>
    </row>
    <row r="1581" spans="1:33" x14ac:dyDescent="0.35">
      <c r="A1581" s="18">
        <v>44360.841666666667</v>
      </c>
      <c r="B1581">
        <v>536977</v>
      </c>
      <c r="C1581" t="s">
        <v>1738</v>
      </c>
      <c r="D1581" t="s">
        <v>314</v>
      </c>
      <c r="E1581" s="19">
        <v>40043</v>
      </c>
      <c r="F1581" t="str">
        <f>"9780748637942"</f>
        <v>9780748637942</v>
      </c>
      <c r="G1581" t="str">
        <f>"9780748637928"</f>
        <v>9780748637928</v>
      </c>
      <c r="H1581" t="s">
        <v>308</v>
      </c>
      <c r="I1581">
        <v>297</v>
      </c>
      <c r="J1581" t="s">
        <v>1739</v>
      </c>
      <c r="K1581" t="s">
        <v>73</v>
      </c>
      <c r="N1581" t="s">
        <v>74</v>
      </c>
      <c r="O1581" t="s">
        <v>75</v>
      </c>
      <c r="P1581" t="s">
        <v>74</v>
      </c>
      <c r="Q1581" t="s">
        <v>76</v>
      </c>
      <c r="R1581" t="s">
        <v>73</v>
      </c>
      <c r="S1581">
        <v>0</v>
      </c>
      <c r="W1581" s="20">
        <v>4.6296296296296294E-5</v>
      </c>
      <c r="X1581" t="s">
        <v>132</v>
      </c>
      <c r="Y1581">
        <v>1</v>
      </c>
      <c r="Z1581">
        <v>0</v>
      </c>
      <c r="AA1581" t="s">
        <v>78</v>
      </c>
      <c r="AB1581">
        <v>0</v>
      </c>
      <c r="AC1581" t="s">
        <v>78</v>
      </c>
      <c r="AD1581">
        <v>0</v>
      </c>
      <c r="AE1581">
        <v>10391780</v>
      </c>
      <c r="AF1581" t="s">
        <v>79</v>
      </c>
      <c r="AG1581" t="s">
        <v>3659</v>
      </c>
    </row>
    <row r="1582" spans="1:33" x14ac:dyDescent="0.35">
      <c r="A1582" s="18">
        <v>44360.660416666666</v>
      </c>
      <c r="B1582">
        <v>4661483</v>
      </c>
      <c r="C1582" t="s">
        <v>3725</v>
      </c>
      <c r="D1582" t="s">
        <v>70</v>
      </c>
      <c r="E1582" s="19">
        <v>42653</v>
      </c>
      <c r="F1582" t="str">
        <f>"9781119069171"</f>
        <v>9781119069171</v>
      </c>
      <c r="G1582" t="str">
        <f>"9781119069119"</f>
        <v>9781119069119</v>
      </c>
      <c r="H1582" t="s">
        <v>71</v>
      </c>
      <c r="I1582">
        <v>621.38099999999997</v>
      </c>
      <c r="J1582" t="s">
        <v>3726</v>
      </c>
      <c r="K1582" t="s">
        <v>73</v>
      </c>
      <c r="N1582" t="s">
        <v>74</v>
      </c>
      <c r="O1582" t="s">
        <v>75</v>
      </c>
      <c r="P1582" t="s">
        <v>74</v>
      </c>
      <c r="Q1582" t="s">
        <v>76</v>
      </c>
      <c r="R1582" t="s">
        <v>73</v>
      </c>
      <c r="S1582">
        <v>0</v>
      </c>
      <c r="W1582" s="20">
        <v>1.2731481481481483E-3</v>
      </c>
      <c r="X1582" t="s">
        <v>3727</v>
      </c>
      <c r="Y1582">
        <v>14</v>
      </c>
      <c r="Z1582">
        <v>0</v>
      </c>
      <c r="AA1582" t="s">
        <v>78</v>
      </c>
      <c r="AB1582">
        <v>0</v>
      </c>
      <c r="AC1582" t="s">
        <v>78</v>
      </c>
      <c r="AD1582">
        <v>0</v>
      </c>
      <c r="AE1582">
        <v>11252973</v>
      </c>
      <c r="AF1582" t="s">
        <v>79</v>
      </c>
      <c r="AG1582" t="s">
        <v>3659</v>
      </c>
    </row>
    <row r="1583" spans="1:33" x14ac:dyDescent="0.35">
      <c r="A1583" s="18">
        <v>44360.656944444447</v>
      </c>
      <c r="B1583">
        <v>1872505</v>
      </c>
      <c r="C1583" t="s">
        <v>3728</v>
      </c>
      <c r="D1583" t="s">
        <v>973</v>
      </c>
      <c r="E1583" s="19">
        <v>40603</v>
      </c>
      <c r="F1583" t="str">
        <f>"9783038135647"</f>
        <v>9783038135647</v>
      </c>
      <c r="G1583" t="str">
        <f>"9780878492251"</f>
        <v>9780878492251</v>
      </c>
      <c r="H1583" t="s">
        <v>979</v>
      </c>
      <c r="I1583" t="s">
        <v>3729</v>
      </c>
      <c r="J1583" t="s">
        <v>3730</v>
      </c>
      <c r="K1583" t="s">
        <v>73</v>
      </c>
      <c r="N1583" t="s">
        <v>74</v>
      </c>
      <c r="O1583" t="s">
        <v>75</v>
      </c>
      <c r="P1583" t="s">
        <v>74</v>
      </c>
      <c r="Q1583" t="s">
        <v>76</v>
      </c>
      <c r="R1583" t="s">
        <v>73</v>
      </c>
      <c r="S1583">
        <v>0</v>
      </c>
      <c r="W1583" s="20">
        <v>8.6805555555555551E-4</v>
      </c>
      <c r="X1583" t="s">
        <v>404</v>
      </c>
      <c r="Y1583">
        <v>9</v>
      </c>
      <c r="Z1583">
        <v>0</v>
      </c>
      <c r="AA1583" t="s">
        <v>78</v>
      </c>
      <c r="AB1583">
        <v>0</v>
      </c>
      <c r="AC1583" t="s">
        <v>78</v>
      </c>
      <c r="AD1583">
        <v>0</v>
      </c>
      <c r="AE1583">
        <v>10814180</v>
      </c>
      <c r="AF1583" t="s">
        <v>79</v>
      </c>
      <c r="AG1583" t="s">
        <v>3659</v>
      </c>
    </row>
    <row r="1584" spans="1:33" x14ac:dyDescent="0.35">
      <c r="A1584" s="18">
        <v>44360.518055555556</v>
      </c>
      <c r="B1584">
        <v>3443837</v>
      </c>
      <c r="C1584" t="s">
        <v>3731</v>
      </c>
      <c r="D1584" t="s">
        <v>3732</v>
      </c>
      <c r="E1584" s="19">
        <v>39322</v>
      </c>
      <c r="F1584" t="str">
        <f>"9781607819608"</f>
        <v>9781607819608</v>
      </c>
      <c r="G1584" t="str">
        <f>"9780874809015"</f>
        <v>9780874809015</v>
      </c>
      <c r="H1584" t="s">
        <v>3733</v>
      </c>
      <c r="I1584" t="s">
        <v>3734</v>
      </c>
      <c r="J1584" t="s">
        <v>3735</v>
      </c>
      <c r="K1584" t="s">
        <v>73</v>
      </c>
      <c r="N1584" t="s">
        <v>74</v>
      </c>
      <c r="O1584" t="s">
        <v>75</v>
      </c>
      <c r="P1584" t="s">
        <v>74</v>
      </c>
      <c r="Q1584" t="s">
        <v>76</v>
      </c>
      <c r="R1584" t="s">
        <v>73</v>
      </c>
      <c r="S1584">
        <v>0</v>
      </c>
      <c r="W1584" s="20">
        <v>9.7106481481481471E-3</v>
      </c>
      <c r="X1584" t="s">
        <v>3323</v>
      </c>
      <c r="Y1584">
        <v>4</v>
      </c>
      <c r="Z1584">
        <v>1</v>
      </c>
      <c r="AA1584" t="s">
        <v>1691</v>
      </c>
      <c r="AB1584">
        <v>7</v>
      </c>
      <c r="AC1584" t="s">
        <v>78</v>
      </c>
      <c r="AD1584">
        <v>0</v>
      </c>
      <c r="AE1584">
        <v>10509237</v>
      </c>
      <c r="AF1584" t="s">
        <v>79</v>
      </c>
      <c r="AG1584" t="s">
        <v>3659</v>
      </c>
    </row>
    <row r="1585" spans="1:33" x14ac:dyDescent="0.35">
      <c r="A1585" s="18">
        <v>44360.489583333336</v>
      </c>
      <c r="B1585">
        <v>1446430</v>
      </c>
      <c r="C1585" t="s">
        <v>1649</v>
      </c>
      <c r="D1585" t="s">
        <v>127</v>
      </c>
      <c r="E1585" s="19">
        <v>40274</v>
      </c>
      <c r="F1585" t="str">
        <f>"9781439882573"</f>
        <v>9781439882573</v>
      </c>
      <c r="G1585" t="str">
        <f>"9781420085983"</f>
        <v>9781420085983</v>
      </c>
      <c r="H1585" t="s">
        <v>979</v>
      </c>
      <c r="I1585" t="s">
        <v>1650</v>
      </c>
      <c r="J1585" t="s">
        <v>1651</v>
      </c>
      <c r="K1585" t="s">
        <v>73</v>
      </c>
      <c r="N1585" t="s">
        <v>74</v>
      </c>
      <c r="O1585" t="s">
        <v>75</v>
      </c>
      <c r="P1585" t="s">
        <v>74</v>
      </c>
      <c r="Q1585" t="s">
        <v>76</v>
      </c>
      <c r="R1585" t="s">
        <v>73</v>
      </c>
      <c r="S1585">
        <v>0</v>
      </c>
      <c r="W1585" s="20">
        <v>1.3888888888888889E-4</v>
      </c>
      <c r="X1585" t="s">
        <v>2249</v>
      </c>
      <c r="Y1585">
        <v>2</v>
      </c>
      <c r="Z1585">
        <v>0</v>
      </c>
      <c r="AA1585" t="s">
        <v>78</v>
      </c>
      <c r="AB1585">
        <v>0</v>
      </c>
      <c r="AC1585" t="s">
        <v>78</v>
      </c>
      <c r="AD1585">
        <v>0</v>
      </c>
      <c r="AE1585">
        <v>11166018</v>
      </c>
      <c r="AF1585" t="s">
        <v>79</v>
      </c>
      <c r="AG1585" t="s">
        <v>3622</v>
      </c>
    </row>
    <row r="1586" spans="1:33" x14ac:dyDescent="0.35">
      <c r="A1586" s="18">
        <v>44360.480555555558</v>
      </c>
      <c r="B1586">
        <v>422419</v>
      </c>
      <c r="C1586" t="s">
        <v>3736</v>
      </c>
      <c r="D1586" t="s">
        <v>102</v>
      </c>
      <c r="E1586" s="19">
        <v>38750</v>
      </c>
      <c r="F1586" t="str">
        <f>"9780191524554"</f>
        <v>9780191524554</v>
      </c>
      <c r="G1586" t="str">
        <f>"9780198568643"</f>
        <v>9780198568643</v>
      </c>
      <c r="H1586" t="s">
        <v>1122</v>
      </c>
      <c r="I1586" t="s">
        <v>3737</v>
      </c>
      <c r="J1586" t="s">
        <v>3738</v>
      </c>
      <c r="K1586" t="s">
        <v>73</v>
      </c>
      <c r="N1586" t="s">
        <v>74</v>
      </c>
      <c r="O1586" t="s">
        <v>75</v>
      </c>
      <c r="P1586" t="s">
        <v>74</v>
      </c>
      <c r="Q1586" t="s">
        <v>76</v>
      </c>
      <c r="R1586" t="s">
        <v>73</v>
      </c>
      <c r="S1586">
        <v>0</v>
      </c>
      <c r="W1586" s="20">
        <v>6.9444444444444444E-5</v>
      </c>
      <c r="X1586" t="s">
        <v>132</v>
      </c>
      <c r="Y1586">
        <v>1</v>
      </c>
      <c r="Z1586">
        <v>1</v>
      </c>
      <c r="AA1586" t="s">
        <v>2543</v>
      </c>
      <c r="AB1586">
        <v>3</v>
      </c>
      <c r="AC1586" t="s">
        <v>78</v>
      </c>
      <c r="AD1586">
        <v>0</v>
      </c>
      <c r="AE1586">
        <v>10167535</v>
      </c>
      <c r="AF1586" t="s">
        <v>79</v>
      </c>
      <c r="AG1586" t="s">
        <v>3622</v>
      </c>
    </row>
    <row r="1587" spans="1:33" x14ac:dyDescent="0.35">
      <c r="A1587" s="18">
        <v>44359.981944444444</v>
      </c>
      <c r="B1587">
        <v>900127</v>
      </c>
      <c r="C1587" t="s">
        <v>3641</v>
      </c>
      <c r="D1587" t="s">
        <v>158</v>
      </c>
      <c r="E1587" s="19">
        <v>41033</v>
      </c>
      <c r="F1587" t="str">
        <f>"9780123859723"</f>
        <v>9780123859723</v>
      </c>
      <c r="G1587" t="str">
        <f>"9780123859716"</f>
        <v>9780123859716</v>
      </c>
      <c r="H1587" t="s">
        <v>1194</v>
      </c>
      <c r="I1587">
        <v>620.11</v>
      </c>
      <c r="J1587" t="s">
        <v>3642</v>
      </c>
      <c r="K1587" t="s">
        <v>73</v>
      </c>
      <c r="N1587" t="s">
        <v>74</v>
      </c>
      <c r="O1587" t="s">
        <v>75</v>
      </c>
      <c r="P1587" t="s">
        <v>74</v>
      </c>
      <c r="Q1587" t="s">
        <v>76</v>
      </c>
      <c r="R1587" t="s">
        <v>73</v>
      </c>
      <c r="S1587">
        <v>0</v>
      </c>
      <c r="W1587" s="20">
        <v>1.2488425925925925E-2</v>
      </c>
      <c r="X1587" t="s">
        <v>3739</v>
      </c>
      <c r="Y1587">
        <v>40</v>
      </c>
      <c r="Z1587">
        <v>1</v>
      </c>
      <c r="AA1587" t="s">
        <v>3740</v>
      </c>
      <c r="AB1587">
        <v>3</v>
      </c>
      <c r="AC1587" t="s">
        <v>78</v>
      </c>
      <c r="AD1587">
        <v>0</v>
      </c>
      <c r="AE1587">
        <v>10562191</v>
      </c>
      <c r="AF1587" t="s">
        <v>79</v>
      </c>
      <c r="AG1587" t="s">
        <v>3460</v>
      </c>
    </row>
    <row r="1588" spans="1:33" x14ac:dyDescent="0.35">
      <c r="A1588" s="18">
        <v>44359.981944444444</v>
      </c>
      <c r="B1588">
        <v>288921</v>
      </c>
      <c r="C1588" t="s">
        <v>3638</v>
      </c>
      <c r="D1588" t="s">
        <v>158</v>
      </c>
      <c r="E1588" s="19">
        <v>38378</v>
      </c>
      <c r="F1588" t="str">
        <f>"9780080468648"</f>
        <v>9780080468648</v>
      </c>
      <c r="G1588" t="str">
        <f>"9780750661683"</f>
        <v>9780750661683</v>
      </c>
      <c r="H1588" t="s">
        <v>979</v>
      </c>
      <c r="I1588" t="s">
        <v>256</v>
      </c>
      <c r="J1588" t="s">
        <v>3639</v>
      </c>
      <c r="K1588" t="s">
        <v>73</v>
      </c>
      <c r="N1588" t="s">
        <v>74</v>
      </c>
      <c r="O1588" t="s">
        <v>75</v>
      </c>
      <c r="P1588" t="s">
        <v>74</v>
      </c>
      <c r="Q1588" t="s">
        <v>76</v>
      </c>
      <c r="R1588" t="s">
        <v>73</v>
      </c>
      <c r="S1588">
        <v>0</v>
      </c>
      <c r="W1588" s="20">
        <v>1.5081018518518516E-2</v>
      </c>
      <c r="X1588" t="s">
        <v>3741</v>
      </c>
      <c r="Y1588">
        <v>49</v>
      </c>
      <c r="Z1588">
        <v>0</v>
      </c>
      <c r="AA1588" t="s">
        <v>78</v>
      </c>
      <c r="AB1588">
        <v>0</v>
      </c>
      <c r="AC1588" t="s">
        <v>78</v>
      </c>
      <c r="AD1588">
        <v>0</v>
      </c>
      <c r="AE1588">
        <v>10169890</v>
      </c>
      <c r="AF1588" t="s">
        <v>79</v>
      </c>
      <c r="AG1588" t="s">
        <v>3460</v>
      </c>
    </row>
    <row r="1589" spans="1:33" x14ac:dyDescent="0.35">
      <c r="A1589" s="18">
        <v>44359.743750000001</v>
      </c>
      <c r="B1589">
        <v>900127</v>
      </c>
      <c r="C1589" t="s">
        <v>3641</v>
      </c>
      <c r="D1589" t="s">
        <v>158</v>
      </c>
      <c r="E1589" s="19">
        <v>41033</v>
      </c>
      <c r="F1589" t="str">
        <f>"9780123859723"</f>
        <v>9780123859723</v>
      </c>
      <c r="G1589" t="str">
        <f>"9780123859716"</f>
        <v>9780123859716</v>
      </c>
      <c r="H1589" t="s">
        <v>1194</v>
      </c>
      <c r="I1589">
        <v>620.11</v>
      </c>
      <c r="J1589" t="s">
        <v>3642</v>
      </c>
      <c r="K1589" t="s">
        <v>73</v>
      </c>
      <c r="N1589" t="s">
        <v>74</v>
      </c>
      <c r="O1589" t="s">
        <v>75</v>
      </c>
      <c r="P1589" t="s">
        <v>74</v>
      </c>
      <c r="Q1589" t="s">
        <v>76</v>
      </c>
      <c r="R1589" t="s">
        <v>73</v>
      </c>
      <c r="S1589">
        <v>0</v>
      </c>
      <c r="W1589" s="20">
        <v>3.1585648148148147E-2</v>
      </c>
      <c r="X1589" t="s">
        <v>3742</v>
      </c>
      <c r="Y1589">
        <v>31</v>
      </c>
      <c r="Z1589">
        <v>0</v>
      </c>
      <c r="AA1589" t="s">
        <v>78</v>
      </c>
      <c r="AB1589">
        <v>0</v>
      </c>
      <c r="AC1589" t="s">
        <v>78</v>
      </c>
      <c r="AD1589">
        <v>0</v>
      </c>
      <c r="AE1589">
        <v>10562191</v>
      </c>
      <c r="AF1589" t="s">
        <v>79</v>
      </c>
      <c r="AG1589" t="s">
        <v>3460</v>
      </c>
    </row>
    <row r="1590" spans="1:33" x14ac:dyDescent="0.35">
      <c r="A1590" s="18">
        <v>44359.743055555555</v>
      </c>
      <c r="B1590">
        <v>288921</v>
      </c>
      <c r="C1590" t="s">
        <v>3638</v>
      </c>
      <c r="D1590" t="s">
        <v>158</v>
      </c>
      <c r="E1590" s="19">
        <v>38378</v>
      </c>
      <c r="F1590" t="str">
        <f>"9780080468648"</f>
        <v>9780080468648</v>
      </c>
      <c r="G1590" t="str">
        <f>"9780750661683"</f>
        <v>9780750661683</v>
      </c>
      <c r="H1590" t="s">
        <v>979</v>
      </c>
      <c r="I1590" t="s">
        <v>256</v>
      </c>
      <c r="J1590" t="s">
        <v>3639</v>
      </c>
      <c r="K1590" t="s">
        <v>73</v>
      </c>
      <c r="N1590" t="s">
        <v>74</v>
      </c>
      <c r="O1590" t="s">
        <v>75</v>
      </c>
      <c r="P1590" t="s">
        <v>74</v>
      </c>
      <c r="Q1590" t="s">
        <v>76</v>
      </c>
      <c r="R1590" t="s">
        <v>73</v>
      </c>
      <c r="S1590">
        <v>0</v>
      </c>
      <c r="W1590" s="20">
        <v>5.7870370370370366E-5</v>
      </c>
      <c r="X1590" t="s">
        <v>132</v>
      </c>
      <c r="Y1590">
        <v>1</v>
      </c>
      <c r="Z1590">
        <v>0</v>
      </c>
      <c r="AA1590" t="s">
        <v>78</v>
      </c>
      <c r="AB1590">
        <v>0</v>
      </c>
      <c r="AC1590" t="s">
        <v>78</v>
      </c>
      <c r="AD1590">
        <v>0</v>
      </c>
      <c r="AE1590">
        <v>10169890</v>
      </c>
      <c r="AF1590" t="s">
        <v>79</v>
      </c>
      <c r="AG1590" t="s">
        <v>3460</v>
      </c>
    </row>
    <row r="1591" spans="1:33" x14ac:dyDescent="0.35">
      <c r="A1591" s="18">
        <v>44358.804166666669</v>
      </c>
      <c r="B1591">
        <v>536977</v>
      </c>
      <c r="C1591" t="s">
        <v>1738</v>
      </c>
      <c r="D1591" t="s">
        <v>314</v>
      </c>
      <c r="E1591" s="19">
        <v>40043</v>
      </c>
      <c r="F1591" t="str">
        <f>"9780748637942"</f>
        <v>9780748637942</v>
      </c>
      <c r="G1591" t="str">
        <f>"9780748637928"</f>
        <v>9780748637928</v>
      </c>
      <c r="H1591" t="s">
        <v>308</v>
      </c>
      <c r="I1591">
        <v>297</v>
      </c>
      <c r="J1591" t="s">
        <v>1739</v>
      </c>
      <c r="K1591" t="s">
        <v>73</v>
      </c>
      <c r="N1591" t="s">
        <v>74</v>
      </c>
      <c r="O1591" t="s">
        <v>75</v>
      </c>
      <c r="P1591" t="s">
        <v>74</v>
      </c>
      <c r="Q1591" t="s">
        <v>76</v>
      </c>
      <c r="R1591" t="s">
        <v>73</v>
      </c>
      <c r="S1591">
        <v>0</v>
      </c>
      <c r="W1591" s="20">
        <v>8.0902777777777778E-3</v>
      </c>
      <c r="X1591" t="s">
        <v>3743</v>
      </c>
      <c r="Y1591">
        <v>7</v>
      </c>
      <c r="Z1591">
        <v>0</v>
      </c>
      <c r="AA1591" t="s">
        <v>78</v>
      </c>
      <c r="AB1591">
        <v>0</v>
      </c>
      <c r="AC1591" t="s">
        <v>78</v>
      </c>
      <c r="AD1591">
        <v>0</v>
      </c>
      <c r="AE1591">
        <v>10391780</v>
      </c>
      <c r="AF1591" t="s">
        <v>79</v>
      </c>
      <c r="AG1591" t="s">
        <v>3622</v>
      </c>
    </row>
    <row r="1592" spans="1:33" x14ac:dyDescent="0.35">
      <c r="A1592" s="18">
        <v>44358.727083333331</v>
      </c>
      <c r="B1592">
        <v>536977</v>
      </c>
      <c r="C1592" t="s">
        <v>1738</v>
      </c>
      <c r="D1592" t="s">
        <v>314</v>
      </c>
      <c r="E1592" s="19">
        <v>40043</v>
      </c>
      <c r="F1592" t="str">
        <f>"9780748637942"</f>
        <v>9780748637942</v>
      </c>
      <c r="G1592" t="str">
        <f>"9780748637928"</f>
        <v>9780748637928</v>
      </c>
      <c r="H1592" t="s">
        <v>308</v>
      </c>
      <c r="I1592">
        <v>297</v>
      </c>
      <c r="J1592" t="s">
        <v>1739</v>
      </c>
      <c r="K1592" t="s">
        <v>73</v>
      </c>
      <c r="N1592" t="s">
        <v>74</v>
      </c>
      <c r="O1592" t="s">
        <v>75</v>
      </c>
      <c r="P1592" t="s">
        <v>74</v>
      </c>
      <c r="Q1592" t="s">
        <v>76</v>
      </c>
      <c r="R1592" t="s">
        <v>73</v>
      </c>
      <c r="S1592">
        <v>0</v>
      </c>
      <c r="W1592" s="20">
        <v>5.5555555555555556E-4</v>
      </c>
      <c r="X1592" t="s">
        <v>3744</v>
      </c>
      <c r="Y1592">
        <v>9</v>
      </c>
      <c r="Z1592">
        <v>0</v>
      </c>
      <c r="AA1592" t="s">
        <v>78</v>
      </c>
      <c r="AB1592">
        <v>0</v>
      </c>
      <c r="AC1592" t="s">
        <v>78</v>
      </c>
      <c r="AD1592">
        <v>0</v>
      </c>
      <c r="AE1592">
        <v>10391780</v>
      </c>
      <c r="AF1592" t="s">
        <v>79</v>
      </c>
      <c r="AG1592" t="s">
        <v>3622</v>
      </c>
    </row>
    <row r="1593" spans="1:33" x14ac:dyDescent="0.35">
      <c r="A1593" s="18">
        <v>44358.715277777781</v>
      </c>
      <c r="B1593">
        <v>536977</v>
      </c>
      <c r="C1593" t="s">
        <v>1738</v>
      </c>
      <c r="D1593" t="s">
        <v>314</v>
      </c>
      <c r="E1593" s="19">
        <v>40043</v>
      </c>
      <c r="F1593" t="str">
        <f>"9780748637942"</f>
        <v>9780748637942</v>
      </c>
      <c r="G1593" t="str">
        <f>"9780748637928"</f>
        <v>9780748637928</v>
      </c>
      <c r="H1593" t="s">
        <v>308</v>
      </c>
      <c r="I1593">
        <v>297</v>
      </c>
      <c r="J1593" t="s">
        <v>1739</v>
      </c>
      <c r="K1593" t="s">
        <v>73</v>
      </c>
      <c r="N1593" t="s">
        <v>74</v>
      </c>
      <c r="O1593" t="s">
        <v>75</v>
      </c>
      <c r="P1593" t="s">
        <v>74</v>
      </c>
      <c r="Q1593" t="s">
        <v>76</v>
      </c>
      <c r="R1593" t="s">
        <v>73</v>
      </c>
      <c r="S1593">
        <v>0</v>
      </c>
      <c r="W1593" s="20">
        <v>0</v>
      </c>
      <c r="X1593" t="s">
        <v>78</v>
      </c>
      <c r="Y1593">
        <v>0</v>
      </c>
      <c r="Z1593">
        <v>0</v>
      </c>
      <c r="AA1593" t="s">
        <v>78</v>
      </c>
      <c r="AB1593">
        <v>0</v>
      </c>
      <c r="AC1593" t="s">
        <v>78</v>
      </c>
      <c r="AD1593">
        <v>0</v>
      </c>
      <c r="AE1593">
        <v>10391780</v>
      </c>
      <c r="AF1593" t="s">
        <v>79</v>
      </c>
      <c r="AG1593" t="s">
        <v>3622</v>
      </c>
    </row>
    <row r="1594" spans="1:33" x14ac:dyDescent="0.35">
      <c r="A1594" s="18">
        <v>44358.645138888889</v>
      </c>
      <c r="B1594">
        <v>536977</v>
      </c>
      <c r="C1594" t="s">
        <v>1738</v>
      </c>
      <c r="D1594" t="s">
        <v>314</v>
      </c>
      <c r="E1594" s="19">
        <v>40043</v>
      </c>
      <c r="F1594" t="str">
        <f>"9780748637942"</f>
        <v>9780748637942</v>
      </c>
      <c r="G1594" t="str">
        <f>"9780748637928"</f>
        <v>9780748637928</v>
      </c>
      <c r="H1594" t="s">
        <v>308</v>
      </c>
      <c r="I1594">
        <v>297</v>
      </c>
      <c r="J1594" t="s">
        <v>1739</v>
      </c>
      <c r="K1594" t="s">
        <v>73</v>
      </c>
      <c r="N1594" t="s">
        <v>74</v>
      </c>
      <c r="O1594" t="s">
        <v>75</v>
      </c>
      <c r="P1594" t="s">
        <v>74</v>
      </c>
      <c r="Q1594" t="s">
        <v>76</v>
      </c>
      <c r="R1594" t="s">
        <v>73</v>
      </c>
      <c r="S1594">
        <v>0</v>
      </c>
      <c r="W1594" s="20">
        <v>1.8437499999999999E-2</v>
      </c>
      <c r="X1594" t="s">
        <v>3745</v>
      </c>
      <c r="Y1594">
        <v>22</v>
      </c>
      <c r="Z1594">
        <v>0</v>
      </c>
      <c r="AA1594" t="s">
        <v>78</v>
      </c>
      <c r="AB1594">
        <v>0</v>
      </c>
      <c r="AC1594" t="s">
        <v>78</v>
      </c>
      <c r="AD1594">
        <v>0</v>
      </c>
      <c r="AE1594">
        <v>10391780</v>
      </c>
      <c r="AF1594" t="s">
        <v>79</v>
      </c>
      <c r="AG1594" t="s">
        <v>3622</v>
      </c>
    </row>
    <row r="1595" spans="1:33" x14ac:dyDescent="0.35">
      <c r="A1595" s="18">
        <v>44358.595833333333</v>
      </c>
      <c r="B1595">
        <v>433786</v>
      </c>
      <c r="C1595" t="s">
        <v>3423</v>
      </c>
      <c r="D1595" t="s">
        <v>70</v>
      </c>
      <c r="E1595" s="19">
        <v>39916</v>
      </c>
      <c r="F1595" t="str">
        <f>"9780470447703"</f>
        <v>9780470447703</v>
      </c>
      <c r="G1595" t="str">
        <f>"9780470373170"</f>
        <v>9780470373170</v>
      </c>
      <c r="H1595" t="s">
        <v>3320</v>
      </c>
      <c r="I1595" t="s">
        <v>3424</v>
      </c>
      <c r="J1595" t="s">
        <v>3425</v>
      </c>
      <c r="K1595" t="s">
        <v>73</v>
      </c>
      <c r="N1595" t="s">
        <v>74</v>
      </c>
      <c r="O1595" t="s">
        <v>75</v>
      </c>
      <c r="P1595" t="s">
        <v>74</v>
      </c>
      <c r="Q1595" t="s">
        <v>76</v>
      </c>
      <c r="R1595" t="s">
        <v>73</v>
      </c>
      <c r="S1595">
        <v>1</v>
      </c>
      <c r="W1595" s="20">
        <v>0</v>
      </c>
      <c r="X1595" t="s">
        <v>78</v>
      </c>
      <c r="Y1595">
        <v>0</v>
      </c>
      <c r="Z1595">
        <v>0</v>
      </c>
      <c r="AA1595" t="s">
        <v>78</v>
      </c>
      <c r="AB1595">
        <v>0</v>
      </c>
      <c r="AC1595" t="s">
        <v>78</v>
      </c>
      <c r="AD1595">
        <v>0</v>
      </c>
      <c r="AE1595">
        <v>10313627</v>
      </c>
      <c r="AF1595" t="s">
        <v>88</v>
      </c>
      <c r="AG1595" t="s">
        <v>3746</v>
      </c>
    </row>
    <row r="1596" spans="1:33" x14ac:dyDescent="0.35">
      <c r="A1596" s="18">
        <v>44358.543749999997</v>
      </c>
      <c r="B1596">
        <v>442128</v>
      </c>
      <c r="C1596" t="s">
        <v>3747</v>
      </c>
      <c r="D1596" t="s">
        <v>234</v>
      </c>
      <c r="E1596" s="19">
        <v>39845</v>
      </c>
      <c r="F1596" t="str">
        <f>"9788122428759"</f>
        <v>9788122428759</v>
      </c>
      <c r="G1596" t="str">
        <f>"9788122426816"</f>
        <v>9788122426816</v>
      </c>
      <c r="H1596" t="s">
        <v>3748</v>
      </c>
      <c r="I1596" t="s">
        <v>3749</v>
      </c>
      <c r="J1596" t="s">
        <v>3750</v>
      </c>
      <c r="K1596" t="s">
        <v>73</v>
      </c>
      <c r="N1596" t="s">
        <v>74</v>
      </c>
      <c r="O1596" t="s">
        <v>75</v>
      </c>
      <c r="P1596" t="s">
        <v>74</v>
      </c>
      <c r="Q1596" t="s">
        <v>76</v>
      </c>
      <c r="R1596" t="s">
        <v>73</v>
      </c>
      <c r="S1596">
        <v>0</v>
      </c>
      <c r="W1596" s="20">
        <v>1.0347222222222223E-2</v>
      </c>
      <c r="X1596" t="s">
        <v>3751</v>
      </c>
      <c r="Y1596">
        <v>33</v>
      </c>
      <c r="Z1596">
        <v>0</v>
      </c>
      <c r="AA1596" t="s">
        <v>78</v>
      </c>
      <c r="AB1596">
        <v>0</v>
      </c>
      <c r="AC1596" t="s">
        <v>78</v>
      </c>
      <c r="AD1596">
        <v>0</v>
      </c>
      <c r="AE1596">
        <v>10318676</v>
      </c>
      <c r="AF1596" t="s">
        <v>79</v>
      </c>
      <c r="AG1596" t="s">
        <v>2640</v>
      </c>
    </row>
    <row r="1597" spans="1:33" x14ac:dyDescent="0.35">
      <c r="A1597" s="18">
        <v>44358.368055555555</v>
      </c>
      <c r="B1597">
        <v>5597960</v>
      </c>
      <c r="C1597" t="s">
        <v>3752</v>
      </c>
      <c r="D1597" t="s">
        <v>990</v>
      </c>
      <c r="E1597" s="19">
        <v>43461</v>
      </c>
      <c r="F1597" t="str">
        <f>"9780190907501"</f>
        <v>9780190907501</v>
      </c>
      <c r="G1597" t="str">
        <f>"9780190907495"</f>
        <v>9780190907495</v>
      </c>
      <c r="H1597" t="s">
        <v>128</v>
      </c>
      <c r="I1597">
        <v>307.76</v>
      </c>
      <c r="J1597" t="s">
        <v>3753</v>
      </c>
      <c r="K1597" t="s">
        <v>85</v>
      </c>
      <c r="N1597" t="s">
        <v>86</v>
      </c>
      <c r="P1597" t="s">
        <v>1850</v>
      </c>
      <c r="Q1597" t="s">
        <v>76</v>
      </c>
      <c r="R1597" t="s">
        <v>73</v>
      </c>
      <c r="S1597">
        <v>0</v>
      </c>
      <c r="W1597" s="20">
        <v>0</v>
      </c>
      <c r="X1597" t="s">
        <v>78</v>
      </c>
      <c r="Y1597">
        <v>0</v>
      </c>
      <c r="Z1597">
        <v>1</v>
      </c>
      <c r="AA1597" t="s">
        <v>3754</v>
      </c>
      <c r="AB1597">
        <v>8</v>
      </c>
      <c r="AC1597" t="s">
        <v>78</v>
      </c>
      <c r="AD1597">
        <v>0</v>
      </c>
      <c r="AE1597">
        <v>11637301</v>
      </c>
      <c r="AF1597" t="s">
        <v>79</v>
      </c>
      <c r="AG1597" t="s">
        <v>3503</v>
      </c>
    </row>
    <row r="1598" spans="1:33" x14ac:dyDescent="0.35">
      <c r="A1598" s="18">
        <v>44358.361805555556</v>
      </c>
      <c r="B1598">
        <v>5438613</v>
      </c>
      <c r="C1598" t="s">
        <v>3755</v>
      </c>
      <c r="D1598" t="s">
        <v>369</v>
      </c>
      <c r="E1598" s="19">
        <v>43291</v>
      </c>
      <c r="F1598" t="str">
        <f>"9783319901312"</f>
        <v>9783319901312</v>
      </c>
      <c r="G1598" t="str">
        <f>"9783319901305"</f>
        <v>9783319901305</v>
      </c>
      <c r="H1598" t="s">
        <v>128</v>
      </c>
      <c r="I1598">
        <v>307.76400000000001</v>
      </c>
      <c r="J1598" t="s">
        <v>3756</v>
      </c>
      <c r="K1598" t="s">
        <v>85</v>
      </c>
      <c r="N1598" t="s">
        <v>86</v>
      </c>
      <c r="P1598" t="s">
        <v>87</v>
      </c>
      <c r="Q1598" t="s">
        <v>76</v>
      </c>
      <c r="R1598" t="s">
        <v>73</v>
      </c>
      <c r="S1598">
        <v>0</v>
      </c>
      <c r="W1598" s="20">
        <v>3.9467592592592592E-3</v>
      </c>
      <c r="X1598" t="s">
        <v>3757</v>
      </c>
      <c r="Y1598">
        <v>4</v>
      </c>
      <c r="Z1598">
        <v>1</v>
      </c>
      <c r="AA1598" t="s">
        <v>3758</v>
      </c>
      <c r="AB1598">
        <v>14</v>
      </c>
      <c r="AC1598" t="s">
        <v>78</v>
      </c>
      <c r="AD1598">
        <v>0</v>
      </c>
      <c r="AE1598">
        <v>-1</v>
      </c>
      <c r="AF1598" t="s">
        <v>79</v>
      </c>
      <c r="AG1598" t="s">
        <v>3503</v>
      </c>
    </row>
    <row r="1599" spans="1:33" x14ac:dyDescent="0.35">
      <c r="A1599" s="18">
        <v>44357.604166666664</v>
      </c>
      <c r="B1599">
        <v>456900</v>
      </c>
      <c r="C1599" t="s">
        <v>3759</v>
      </c>
      <c r="D1599" t="s">
        <v>205</v>
      </c>
      <c r="E1599" s="19">
        <v>39782</v>
      </c>
      <c r="F1599" t="str">
        <f>"9781596932470"</f>
        <v>9781596932470</v>
      </c>
      <c r="G1599" t="str">
        <f>"9781596932463"</f>
        <v>9781596932463</v>
      </c>
      <c r="H1599" t="s">
        <v>466</v>
      </c>
      <c r="I1599" t="s">
        <v>3760</v>
      </c>
      <c r="J1599" t="s">
        <v>3761</v>
      </c>
      <c r="K1599" t="s">
        <v>73</v>
      </c>
      <c r="N1599" t="s">
        <v>74</v>
      </c>
      <c r="O1599" t="s">
        <v>75</v>
      </c>
      <c r="P1599" t="s">
        <v>74</v>
      </c>
      <c r="Q1599" t="s">
        <v>76</v>
      </c>
      <c r="R1599" t="s">
        <v>73</v>
      </c>
      <c r="S1599">
        <v>0</v>
      </c>
      <c r="W1599" s="20">
        <v>1.4004629629629629E-3</v>
      </c>
      <c r="X1599" t="s">
        <v>3762</v>
      </c>
      <c r="Y1599">
        <v>22</v>
      </c>
      <c r="Z1599">
        <v>0</v>
      </c>
      <c r="AA1599" t="s">
        <v>78</v>
      </c>
      <c r="AB1599">
        <v>0</v>
      </c>
      <c r="AC1599" t="s">
        <v>78</v>
      </c>
      <c r="AD1599">
        <v>0</v>
      </c>
      <c r="AE1599">
        <v>10312909</v>
      </c>
      <c r="AF1599" t="s">
        <v>79</v>
      </c>
      <c r="AG1599" t="s">
        <v>3622</v>
      </c>
    </row>
    <row r="1600" spans="1:33" x14ac:dyDescent="0.35">
      <c r="A1600" s="18">
        <v>44357.599999999999</v>
      </c>
      <c r="B1600">
        <v>629950</v>
      </c>
      <c r="C1600" t="s">
        <v>3763</v>
      </c>
      <c r="D1600" t="s">
        <v>3175</v>
      </c>
      <c r="E1600" s="19">
        <v>40361</v>
      </c>
      <c r="F1600" t="str">
        <f>"9780815519805"</f>
        <v>9780815519805</v>
      </c>
      <c r="G1600" t="str">
        <f>"9780815515456"</f>
        <v>9780815515456</v>
      </c>
      <c r="H1600" t="s">
        <v>3764</v>
      </c>
      <c r="I1600">
        <v>670</v>
      </c>
      <c r="J1600" t="s">
        <v>3765</v>
      </c>
      <c r="K1600" t="s">
        <v>73</v>
      </c>
      <c r="N1600" t="s">
        <v>74</v>
      </c>
      <c r="O1600" t="s">
        <v>75</v>
      </c>
      <c r="P1600" t="s">
        <v>74</v>
      </c>
      <c r="Q1600" t="s">
        <v>76</v>
      </c>
      <c r="R1600" t="s">
        <v>73</v>
      </c>
      <c r="S1600">
        <v>0</v>
      </c>
      <c r="W1600" s="20">
        <v>8.2175925925925917E-4</v>
      </c>
      <c r="X1600" t="s">
        <v>3766</v>
      </c>
      <c r="Y1600">
        <v>9</v>
      </c>
      <c r="Z1600">
        <v>0</v>
      </c>
      <c r="AA1600" t="s">
        <v>78</v>
      </c>
      <c r="AB1600">
        <v>0</v>
      </c>
      <c r="AC1600" t="s">
        <v>78</v>
      </c>
      <c r="AD1600">
        <v>0</v>
      </c>
      <c r="AE1600">
        <v>10404660</v>
      </c>
      <c r="AF1600" t="s">
        <v>79</v>
      </c>
      <c r="AG1600" t="s">
        <v>3622</v>
      </c>
    </row>
    <row r="1601" spans="1:33" x14ac:dyDescent="0.35">
      <c r="A1601" s="18">
        <v>44357.570833333331</v>
      </c>
      <c r="B1601">
        <v>487788</v>
      </c>
      <c r="C1601" t="s">
        <v>3767</v>
      </c>
      <c r="D1601" t="s">
        <v>2082</v>
      </c>
      <c r="E1601" s="19">
        <v>39814</v>
      </c>
      <c r="F1601" t="str">
        <f>"9780335240128"</f>
        <v>9780335240128</v>
      </c>
      <c r="G1601" t="str">
        <f>"9780335233823"</f>
        <v>9780335233823</v>
      </c>
      <c r="H1601" t="s">
        <v>1179</v>
      </c>
      <c r="I1601">
        <v>378.24200000000002</v>
      </c>
      <c r="J1601" t="s">
        <v>3768</v>
      </c>
      <c r="K1601" t="s">
        <v>73</v>
      </c>
      <c r="N1601" t="s">
        <v>74</v>
      </c>
      <c r="O1601" t="s">
        <v>75</v>
      </c>
      <c r="P1601" t="s">
        <v>74</v>
      </c>
      <c r="Q1601" t="s">
        <v>76</v>
      </c>
      <c r="R1601" t="s">
        <v>73</v>
      </c>
      <c r="S1601">
        <v>0</v>
      </c>
      <c r="W1601" s="20">
        <v>1.9675925925925926E-4</v>
      </c>
      <c r="X1601" t="s">
        <v>3769</v>
      </c>
      <c r="Y1601">
        <v>6</v>
      </c>
      <c r="Z1601">
        <v>0</v>
      </c>
      <c r="AA1601" t="s">
        <v>78</v>
      </c>
      <c r="AB1601">
        <v>0</v>
      </c>
      <c r="AC1601" t="s">
        <v>78</v>
      </c>
      <c r="AD1601">
        <v>0</v>
      </c>
      <c r="AE1601">
        <v>10394828</v>
      </c>
      <c r="AF1601" t="s">
        <v>79</v>
      </c>
      <c r="AG1601" t="s">
        <v>1256</v>
      </c>
    </row>
    <row r="1602" spans="1:33" x14ac:dyDescent="0.35">
      <c r="A1602" s="18">
        <v>44357.42291666667</v>
      </c>
      <c r="B1602">
        <v>487788</v>
      </c>
      <c r="C1602" t="s">
        <v>3767</v>
      </c>
      <c r="D1602" t="s">
        <v>2082</v>
      </c>
      <c r="E1602" s="19">
        <v>39814</v>
      </c>
      <c r="F1602" t="str">
        <f>"9780335240128"</f>
        <v>9780335240128</v>
      </c>
      <c r="G1602" t="str">
        <f>"9780335233823"</f>
        <v>9780335233823</v>
      </c>
      <c r="H1602" t="s">
        <v>1179</v>
      </c>
      <c r="I1602">
        <v>378.24200000000002</v>
      </c>
      <c r="J1602" t="s">
        <v>3768</v>
      </c>
      <c r="K1602" t="s">
        <v>73</v>
      </c>
      <c r="N1602" t="s">
        <v>74</v>
      </c>
      <c r="O1602" t="s">
        <v>75</v>
      </c>
      <c r="P1602" t="s">
        <v>74</v>
      </c>
      <c r="Q1602" t="s">
        <v>76</v>
      </c>
      <c r="R1602" t="s">
        <v>73</v>
      </c>
      <c r="S1602">
        <v>0</v>
      </c>
      <c r="W1602" s="20">
        <v>5.7870370370370366E-5</v>
      </c>
      <c r="X1602" t="s">
        <v>132</v>
      </c>
      <c r="Y1602">
        <v>1</v>
      </c>
      <c r="Z1602">
        <v>0</v>
      </c>
      <c r="AA1602" t="s">
        <v>78</v>
      </c>
      <c r="AB1602">
        <v>0</v>
      </c>
      <c r="AC1602" t="s">
        <v>78</v>
      </c>
      <c r="AD1602">
        <v>0</v>
      </c>
      <c r="AE1602">
        <v>10394828</v>
      </c>
      <c r="AF1602" t="s">
        <v>79</v>
      </c>
      <c r="AG1602" t="s">
        <v>1256</v>
      </c>
    </row>
    <row r="1603" spans="1:33" x14ac:dyDescent="0.35">
      <c r="A1603" s="18">
        <v>44357.334027777775</v>
      </c>
      <c r="B1603">
        <v>170016</v>
      </c>
      <c r="C1603" t="s">
        <v>3770</v>
      </c>
      <c r="D1603" t="s">
        <v>127</v>
      </c>
      <c r="E1603" s="19">
        <v>34369</v>
      </c>
      <c r="F1603" t="str">
        <f>"9780203413081"</f>
        <v>9780203413081</v>
      </c>
      <c r="G1603" t="str">
        <f>"9780415060639"</f>
        <v>9780415060639</v>
      </c>
      <c r="H1603" t="s">
        <v>2163</v>
      </c>
      <c r="I1603">
        <v>1.42</v>
      </c>
      <c r="J1603" t="s">
        <v>3771</v>
      </c>
      <c r="K1603" t="s">
        <v>73</v>
      </c>
      <c r="N1603" t="s">
        <v>74</v>
      </c>
      <c r="O1603" t="s">
        <v>75</v>
      </c>
      <c r="P1603" t="s">
        <v>74</v>
      </c>
      <c r="Q1603" t="s">
        <v>76</v>
      </c>
      <c r="R1603" t="s">
        <v>73</v>
      </c>
      <c r="S1603">
        <v>0</v>
      </c>
      <c r="W1603" s="20">
        <v>1.0416666666666667E-3</v>
      </c>
      <c r="X1603" t="s">
        <v>3772</v>
      </c>
      <c r="Y1603">
        <v>16</v>
      </c>
      <c r="Z1603">
        <v>0</v>
      </c>
      <c r="AA1603" t="s">
        <v>78</v>
      </c>
      <c r="AB1603">
        <v>0</v>
      </c>
      <c r="AC1603" t="s">
        <v>78</v>
      </c>
      <c r="AD1603">
        <v>0</v>
      </c>
      <c r="AE1603">
        <v>10058303</v>
      </c>
      <c r="AF1603" t="s">
        <v>79</v>
      </c>
      <c r="AG1603" t="s">
        <v>3622</v>
      </c>
    </row>
    <row r="1604" spans="1:33" x14ac:dyDescent="0.35">
      <c r="A1604" s="18">
        <v>44356.55972222222</v>
      </c>
      <c r="B1604">
        <v>415446</v>
      </c>
      <c r="C1604" t="s">
        <v>3773</v>
      </c>
      <c r="D1604" t="s">
        <v>102</v>
      </c>
      <c r="E1604" s="19">
        <v>39289</v>
      </c>
      <c r="F1604" t="str">
        <f>"9780191516504"</f>
        <v>9780191516504</v>
      </c>
      <c r="G1604" t="str">
        <f>"9780192801579"</f>
        <v>9780192801579</v>
      </c>
      <c r="H1604" t="s">
        <v>135</v>
      </c>
      <c r="I1604">
        <v>327</v>
      </c>
      <c r="J1604" t="s">
        <v>3774</v>
      </c>
      <c r="K1604" t="s">
        <v>73</v>
      </c>
      <c r="N1604" t="s">
        <v>74</v>
      </c>
      <c r="O1604" t="s">
        <v>75</v>
      </c>
      <c r="P1604" t="s">
        <v>74</v>
      </c>
      <c r="Q1604" t="s">
        <v>76</v>
      </c>
      <c r="R1604" t="s">
        <v>73</v>
      </c>
      <c r="S1604">
        <v>0</v>
      </c>
      <c r="W1604" s="20">
        <v>0</v>
      </c>
      <c r="X1604" t="s">
        <v>78</v>
      </c>
      <c r="Y1604">
        <v>0</v>
      </c>
      <c r="Z1604">
        <v>2</v>
      </c>
      <c r="AA1604" t="s">
        <v>3775</v>
      </c>
      <c r="AB1604">
        <v>20</v>
      </c>
      <c r="AC1604" t="s">
        <v>78</v>
      </c>
      <c r="AD1604">
        <v>0</v>
      </c>
      <c r="AE1604">
        <v>10271466</v>
      </c>
      <c r="AF1604" t="s">
        <v>79</v>
      </c>
      <c r="AG1604" t="s">
        <v>3622</v>
      </c>
    </row>
    <row r="1605" spans="1:33" x14ac:dyDescent="0.35">
      <c r="A1605" s="18">
        <v>44356.547222222223</v>
      </c>
      <c r="B1605">
        <v>817511</v>
      </c>
      <c r="C1605" t="s">
        <v>3776</v>
      </c>
      <c r="D1605" t="s">
        <v>70</v>
      </c>
      <c r="E1605" s="19">
        <v>40883</v>
      </c>
      <c r="F1605" t="str">
        <f>"9781118182925"</f>
        <v>9781118182925</v>
      </c>
      <c r="G1605" t="str">
        <f>"9780470923917"</f>
        <v>9780470923917</v>
      </c>
      <c r="H1605" t="s">
        <v>143</v>
      </c>
      <c r="I1605">
        <v>657</v>
      </c>
      <c r="J1605" t="s">
        <v>3777</v>
      </c>
      <c r="K1605" t="s">
        <v>73</v>
      </c>
      <c r="N1605" t="s">
        <v>74</v>
      </c>
      <c r="O1605" t="s">
        <v>75</v>
      </c>
      <c r="P1605" t="s">
        <v>74</v>
      </c>
      <c r="Q1605" t="s">
        <v>76</v>
      </c>
      <c r="R1605" t="s">
        <v>73</v>
      </c>
      <c r="S1605">
        <v>0</v>
      </c>
      <c r="W1605" s="20">
        <v>4.6296296296296294E-5</v>
      </c>
      <c r="X1605" t="s">
        <v>132</v>
      </c>
      <c r="Y1605">
        <v>1</v>
      </c>
      <c r="Z1605">
        <v>0</v>
      </c>
      <c r="AA1605" t="s">
        <v>78</v>
      </c>
      <c r="AB1605">
        <v>0</v>
      </c>
      <c r="AC1605" t="s">
        <v>78</v>
      </c>
      <c r="AD1605">
        <v>0</v>
      </c>
      <c r="AE1605">
        <v>10510564</v>
      </c>
      <c r="AF1605" t="s">
        <v>79</v>
      </c>
      <c r="AG1605" t="s">
        <v>3778</v>
      </c>
    </row>
    <row r="1606" spans="1:33" x14ac:dyDescent="0.35">
      <c r="A1606" s="18">
        <v>44356.526388888888</v>
      </c>
      <c r="B1606">
        <v>1694926</v>
      </c>
      <c r="C1606" t="s">
        <v>3779</v>
      </c>
      <c r="D1606" t="s">
        <v>70</v>
      </c>
      <c r="E1606" s="19">
        <v>41799</v>
      </c>
      <c r="F1606" t="str">
        <f>"9781118823828"</f>
        <v>9781118823828</v>
      </c>
      <c r="G1606" t="str">
        <f>"9781118823774"</f>
        <v>9781118823774</v>
      </c>
      <c r="H1606" t="s">
        <v>110</v>
      </c>
      <c r="I1606" t="s">
        <v>3134</v>
      </c>
      <c r="J1606" t="s">
        <v>3780</v>
      </c>
      <c r="K1606" t="s">
        <v>73</v>
      </c>
      <c r="N1606" t="s">
        <v>74</v>
      </c>
      <c r="O1606" t="s">
        <v>75</v>
      </c>
      <c r="P1606" t="s">
        <v>74</v>
      </c>
      <c r="Q1606" t="s">
        <v>76</v>
      </c>
      <c r="R1606" t="s">
        <v>73</v>
      </c>
      <c r="S1606">
        <v>0</v>
      </c>
      <c r="W1606" s="20">
        <v>4.4560185185185189E-3</v>
      </c>
      <c r="X1606" t="s">
        <v>3781</v>
      </c>
      <c r="Y1606">
        <v>31</v>
      </c>
      <c r="Z1606">
        <v>0</v>
      </c>
      <c r="AA1606" t="s">
        <v>78</v>
      </c>
      <c r="AB1606">
        <v>0</v>
      </c>
      <c r="AC1606" t="s">
        <v>78</v>
      </c>
      <c r="AD1606">
        <v>0</v>
      </c>
      <c r="AE1606">
        <v>10876081</v>
      </c>
      <c r="AF1606" t="s">
        <v>79</v>
      </c>
      <c r="AG1606" t="s">
        <v>3782</v>
      </c>
    </row>
    <row r="1607" spans="1:33" x14ac:dyDescent="0.35">
      <c r="A1607" s="18">
        <v>44356.517361111109</v>
      </c>
      <c r="B1607">
        <v>1688626</v>
      </c>
      <c r="C1607" t="s">
        <v>3783</v>
      </c>
      <c r="D1607" t="s">
        <v>2550</v>
      </c>
      <c r="E1607" s="19">
        <v>41852</v>
      </c>
      <c r="F1607" t="str">
        <f>"9781783289806"</f>
        <v>9781783289806</v>
      </c>
      <c r="G1607" t="str">
        <f>"9781783289790"</f>
        <v>9781783289790</v>
      </c>
      <c r="H1607" t="s">
        <v>110</v>
      </c>
      <c r="I1607">
        <v>5.133</v>
      </c>
      <c r="J1607" t="s">
        <v>3784</v>
      </c>
      <c r="K1607" t="s">
        <v>73</v>
      </c>
      <c r="N1607" t="s">
        <v>74</v>
      </c>
      <c r="O1607" t="s">
        <v>75</v>
      </c>
      <c r="P1607" t="s">
        <v>230</v>
      </c>
      <c r="Q1607" t="s">
        <v>76</v>
      </c>
      <c r="R1607" t="s">
        <v>85</v>
      </c>
      <c r="S1607">
        <v>0</v>
      </c>
      <c r="W1607" s="20">
        <v>8.7847222222222233E-3</v>
      </c>
      <c r="X1607" t="s">
        <v>3785</v>
      </c>
      <c r="Y1607">
        <v>35</v>
      </c>
      <c r="Z1607">
        <v>0</v>
      </c>
      <c r="AA1607" t="s">
        <v>78</v>
      </c>
      <c r="AB1607">
        <v>0</v>
      </c>
      <c r="AC1607" t="s">
        <v>78</v>
      </c>
      <c r="AD1607">
        <v>0</v>
      </c>
      <c r="AE1607">
        <v>10906498</v>
      </c>
      <c r="AF1607" t="s">
        <v>79</v>
      </c>
      <c r="AG1607" t="s">
        <v>3782</v>
      </c>
    </row>
    <row r="1608" spans="1:33" x14ac:dyDescent="0.35">
      <c r="A1608" s="18">
        <v>44356.4375</v>
      </c>
      <c r="B1608">
        <v>415446</v>
      </c>
      <c r="C1608" t="s">
        <v>3773</v>
      </c>
      <c r="D1608" t="s">
        <v>102</v>
      </c>
      <c r="E1608" s="19">
        <v>39289</v>
      </c>
      <c r="F1608" t="str">
        <f>"9780191516504"</f>
        <v>9780191516504</v>
      </c>
      <c r="G1608" t="str">
        <f>"9780192801579"</f>
        <v>9780192801579</v>
      </c>
      <c r="H1608" t="s">
        <v>135</v>
      </c>
      <c r="I1608">
        <v>327</v>
      </c>
      <c r="J1608" t="s">
        <v>3774</v>
      </c>
      <c r="K1608" t="s">
        <v>73</v>
      </c>
      <c r="N1608" t="s">
        <v>74</v>
      </c>
      <c r="O1608" t="s">
        <v>75</v>
      </c>
      <c r="P1608" t="s">
        <v>74</v>
      </c>
      <c r="Q1608" t="s">
        <v>76</v>
      </c>
      <c r="R1608" t="s">
        <v>73</v>
      </c>
      <c r="S1608">
        <v>0</v>
      </c>
      <c r="W1608" s="20">
        <v>6.3657407407407402E-4</v>
      </c>
      <c r="X1608" t="s">
        <v>3786</v>
      </c>
      <c r="Y1608">
        <v>8</v>
      </c>
      <c r="Z1608">
        <v>1</v>
      </c>
      <c r="AA1608" t="s">
        <v>851</v>
      </c>
      <c r="AB1608">
        <v>8</v>
      </c>
      <c r="AC1608" t="s">
        <v>78</v>
      </c>
      <c r="AD1608">
        <v>0</v>
      </c>
      <c r="AE1608">
        <v>10271466</v>
      </c>
      <c r="AF1608" t="s">
        <v>79</v>
      </c>
      <c r="AG1608" t="s">
        <v>3622</v>
      </c>
    </row>
    <row r="1609" spans="1:33" x14ac:dyDescent="0.35">
      <c r="A1609" s="18">
        <v>44356.431944444441</v>
      </c>
      <c r="B1609">
        <v>900127</v>
      </c>
      <c r="C1609" t="s">
        <v>3641</v>
      </c>
      <c r="D1609" t="s">
        <v>158</v>
      </c>
      <c r="E1609" s="19">
        <v>41033</v>
      </c>
      <c r="F1609" t="str">
        <f>"9780123859723"</f>
        <v>9780123859723</v>
      </c>
      <c r="G1609" t="str">
        <f>"9780123859716"</f>
        <v>9780123859716</v>
      </c>
      <c r="H1609" t="s">
        <v>1194</v>
      </c>
      <c r="I1609">
        <v>620.11</v>
      </c>
      <c r="J1609" t="s">
        <v>3642</v>
      </c>
      <c r="K1609" t="s">
        <v>73</v>
      </c>
      <c r="N1609" t="s">
        <v>74</v>
      </c>
      <c r="O1609" t="s">
        <v>75</v>
      </c>
      <c r="P1609" t="s">
        <v>74</v>
      </c>
      <c r="Q1609" t="s">
        <v>76</v>
      </c>
      <c r="R1609" t="s">
        <v>73</v>
      </c>
      <c r="S1609">
        <v>0</v>
      </c>
      <c r="W1609" s="20">
        <v>1.8692129629629631E-2</v>
      </c>
      <c r="X1609" t="s">
        <v>3787</v>
      </c>
      <c r="Y1609">
        <v>32</v>
      </c>
      <c r="Z1609">
        <v>0</v>
      </c>
      <c r="AA1609" t="s">
        <v>78</v>
      </c>
      <c r="AB1609">
        <v>0</v>
      </c>
      <c r="AC1609" t="s">
        <v>78</v>
      </c>
      <c r="AD1609">
        <v>0</v>
      </c>
      <c r="AE1609">
        <v>10562191</v>
      </c>
      <c r="AF1609" t="s">
        <v>79</v>
      </c>
      <c r="AG1609" t="s">
        <v>3460</v>
      </c>
    </row>
    <row r="1610" spans="1:33" x14ac:dyDescent="0.35">
      <c r="A1610" s="18">
        <v>44356.429166666669</v>
      </c>
      <c r="B1610">
        <v>992572</v>
      </c>
      <c r="C1610" t="s">
        <v>3788</v>
      </c>
      <c r="D1610" t="s">
        <v>2648</v>
      </c>
      <c r="E1610" s="19">
        <v>41125</v>
      </c>
      <c r="F1610" t="str">
        <f>"9781889057958"</f>
        <v>9781889057958</v>
      </c>
      <c r="G1610" t="str">
        <f>"9781889057941"</f>
        <v>9781889057941</v>
      </c>
      <c r="H1610" t="s">
        <v>1204</v>
      </c>
      <c r="I1610">
        <v>428.24209999999999</v>
      </c>
      <c r="J1610" t="s">
        <v>3789</v>
      </c>
      <c r="K1610" t="s">
        <v>85</v>
      </c>
      <c r="N1610" t="s">
        <v>86</v>
      </c>
      <c r="P1610" t="s">
        <v>87</v>
      </c>
      <c r="Q1610" t="s">
        <v>76</v>
      </c>
      <c r="R1610" t="s">
        <v>73</v>
      </c>
      <c r="S1610">
        <v>0</v>
      </c>
      <c r="W1610" s="20">
        <v>1.3773148148148147E-3</v>
      </c>
      <c r="X1610" t="s">
        <v>3790</v>
      </c>
      <c r="Y1610">
        <v>17</v>
      </c>
      <c r="Z1610">
        <v>1</v>
      </c>
      <c r="AA1610" t="s">
        <v>3791</v>
      </c>
      <c r="AB1610">
        <v>48</v>
      </c>
      <c r="AC1610" t="s">
        <v>78</v>
      </c>
      <c r="AD1610">
        <v>0</v>
      </c>
      <c r="AE1610">
        <v>10589829</v>
      </c>
      <c r="AF1610" t="s">
        <v>79</v>
      </c>
      <c r="AG1610" t="s">
        <v>3622</v>
      </c>
    </row>
    <row r="1611" spans="1:33" x14ac:dyDescent="0.35">
      <c r="A1611" s="18">
        <v>44356.353472222225</v>
      </c>
      <c r="B1611">
        <v>900127</v>
      </c>
      <c r="C1611" t="s">
        <v>3641</v>
      </c>
      <c r="D1611" t="s">
        <v>158</v>
      </c>
      <c r="E1611" s="19">
        <v>41033</v>
      </c>
      <c r="F1611" t="str">
        <f>"9780123859723"</f>
        <v>9780123859723</v>
      </c>
      <c r="G1611" t="str">
        <f>"9780123859716"</f>
        <v>9780123859716</v>
      </c>
      <c r="H1611" t="s">
        <v>1194</v>
      </c>
      <c r="I1611">
        <v>620.11</v>
      </c>
      <c r="J1611" t="s">
        <v>3642</v>
      </c>
      <c r="K1611" t="s">
        <v>73</v>
      </c>
      <c r="N1611" t="s">
        <v>74</v>
      </c>
      <c r="O1611" t="s">
        <v>75</v>
      </c>
      <c r="P1611" t="s">
        <v>74</v>
      </c>
      <c r="Q1611" t="s">
        <v>76</v>
      </c>
      <c r="R1611" t="s">
        <v>73</v>
      </c>
      <c r="S1611">
        <v>0</v>
      </c>
      <c r="W1611" s="20">
        <v>3.2499999999999994E-2</v>
      </c>
      <c r="X1611" t="s">
        <v>3792</v>
      </c>
      <c r="Y1611">
        <v>53</v>
      </c>
      <c r="Z1611">
        <v>1</v>
      </c>
      <c r="AA1611" t="s">
        <v>3793</v>
      </c>
      <c r="AB1611">
        <v>5</v>
      </c>
      <c r="AC1611" t="s">
        <v>78</v>
      </c>
      <c r="AD1611">
        <v>0</v>
      </c>
      <c r="AE1611">
        <v>10562191</v>
      </c>
      <c r="AF1611" t="s">
        <v>79</v>
      </c>
      <c r="AG1611" t="s">
        <v>3460</v>
      </c>
    </row>
    <row r="1612" spans="1:33" x14ac:dyDescent="0.35">
      <c r="A1612" s="18">
        <v>44355.540972222225</v>
      </c>
      <c r="B1612">
        <v>3135056</v>
      </c>
      <c r="C1612" t="s">
        <v>3794</v>
      </c>
      <c r="D1612" t="s">
        <v>3795</v>
      </c>
      <c r="E1612" s="19">
        <v>40134</v>
      </c>
      <c r="F1612" t="str">
        <f>"9780813217543"</f>
        <v>9780813217543</v>
      </c>
      <c r="G1612" t="str">
        <f>"9780813216775"</f>
        <v>9780813216775</v>
      </c>
      <c r="H1612" t="s">
        <v>308</v>
      </c>
      <c r="I1612" t="s">
        <v>3796</v>
      </c>
      <c r="J1612" t="s">
        <v>3797</v>
      </c>
      <c r="K1612" t="s">
        <v>73</v>
      </c>
      <c r="N1612" t="s">
        <v>74</v>
      </c>
      <c r="O1612" t="s">
        <v>75</v>
      </c>
      <c r="P1612" t="s">
        <v>230</v>
      </c>
      <c r="Q1612" t="s">
        <v>76</v>
      </c>
      <c r="R1612" t="s">
        <v>85</v>
      </c>
      <c r="S1612">
        <v>0</v>
      </c>
      <c r="W1612" s="20">
        <v>4.6990740740740743E-3</v>
      </c>
      <c r="X1612" t="s">
        <v>3798</v>
      </c>
      <c r="Y1612">
        <v>19</v>
      </c>
      <c r="Z1612">
        <v>0</v>
      </c>
      <c r="AA1612" t="s">
        <v>78</v>
      </c>
      <c r="AB1612">
        <v>0</v>
      </c>
      <c r="AC1612" t="s">
        <v>78</v>
      </c>
      <c r="AD1612">
        <v>0</v>
      </c>
      <c r="AE1612">
        <v>10642522</v>
      </c>
      <c r="AF1612" t="s">
        <v>79</v>
      </c>
      <c r="AG1612" t="s">
        <v>3622</v>
      </c>
    </row>
    <row r="1613" spans="1:33" x14ac:dyDescent="0.35">
      <c r="A1613" s="18">
        <v>44355.526388888888</v>
      </c>
      <c r="B1613">
        <v>454385</v>
      </c>
      <c r="C1613" t="s">
        <v>3799</v>
      </c>
      <c r="D1613" t="s">
        <v>70</v>
      </c>
      <c r="E1613" s="19">
        <v>40084</v>
      </c>
      <c r="F1613" t="str">
        <f>"9780470746479"</f>
        <v>9780470746479</v>
      </c>
      <c r="G1613" t="str">
        <f>"9780470987254"</f>
        <v>9780470987254</v>
      </c>
      <c r="H1613" t="s">
        <v>848</v>
      </c>
      <c r="I1613" t="s">
        <v>3800</v>
      </c>
      <c r="J1613" t="s">
        <v>3801</v>
      </c>
      <c r="K1613" t="s">
        <v>73</v>
      </c>
      <c r="N1613" t="s">
        <v>74</v>
      </c>
      <c r="O1613" t="s">
        <v>75</v>
      </c>
      <c r="P1613" t="s">
        <v>74</v>
      </c>
      <c r="Q1613" t="s">
        <v>76</v>
      </c>
      <c r="R1613" t="s">
        <v>73</v>
      </c>
      <c r="S1613">
        <v>0</v>
      </c>
      <c r="W1613" s="20">
        <v>9.7222222222222209E-4</v>
      </c>
      <c r="X1613" t="s">
        <v>3802</v>
      </c>
      <c r="Y1613">
        <v>8</v>
      </c>
      <c r="Z1613">
        <v>0</v>
      </c>
      <c r="AA1613" t="s">
        <v>78</v>
      </c>
      <c r="AB1613">
        <v>0</v>
      </c>
      <c r="AC1613" t="s">
        <v>78</v>
      </c>
      <c r="AD1613">
        <v>0</v>
      </c>
      <c r="AE1613">
        <v>10315615</v>
      </c>
      <c r="AF1613" t="s">
        <v>79</v>
      </c>
      <c r="AG1613" t="s">
        <v>3622</v>
      </c>
    </row>
    <row r="1614" spans="1:33" x14ac:dyDescent="0.35">
      <c r="A1614" s="18">
        <v>44355.519444444442</v>
      </c>
      <c r="B1614">
        <v>4653434</v>
      </c>
      <c r="C1614" t="s">
        <v>3803</v>
      </c>
      <c r="D1614" t="s">
        <v>70</v>
      </c>
      <c r="E1614" s="19">
        <v>42626</v>
      </c>
      <c r="F1614" t="str">
        <f>"9781119270898"</f>
        <v>9781119270898</v>
      </c>
      <c r="G1614" t="str">
        <f>"9781119270881"</f>
        <v>9781119270881</v>
      </c>
      <c r="H1614" t="s">
        <v>154</v>
      </c>
      <c r="I1614" t="s">
        <v>3804</v>
      </c>
      <c r="J1614" t="s">
        <v>3805</v>
      </c>
      <c r="K1614" t="s">
        <v>73</v>
      </c>
      <c r="N1614" t="s">
        <v>74</v>
      </c>
      <c r="O1614" t="s">
        <v>75</v>
      </c>
      <c r="P1614" t="s">
        <v>74</v>
      </c>
      <c r="Q1614" t="s">
        <v>76</v>
      </c>
      <c r="R1614" t="s">
        <v>73</v>
      </c>
      <c r="S1614">
        <v>0</v>
      </c>
      <c r="W1614" s="20">
        <v>2.0949074074074073E-3</v>
      </c>
      <c r="X1614" t="s">
        <v>3806</v>
      </c>
      <c r="Y1614">
        <v>24</v>
      </c>
      <c r="Z1614">
        <v>0</v>
      </c>
      <c r="AA1614" t="s">
        <v>78</v>
      </c>
      <c r="AB1614">
        <v>0</v>
      </c>
      <c r="AC1614" t="s">
        <v>78</v>
      </c>
      <c r="AD1614">
        <v>0</v>
      </c>
      <c r="AE1614">
        <v>11250974</v>
      </c>
      <c r="AF1614" t="s">
        <v>79</v>
      </c>
      <c r="AG1614" t="s">
        <v>3622</v>
      </c>
    </row>
    <row r="1615" spans="1:33" x14ac:dyDescent="0.35">
      <c r="A1615" s="18">
        <v>44355.07916666667</v>
      </c>
      <c r="B1615">
        <v>3443837</v>
      </c>
      <c r="C1615" t="s">
        <v>3731</v>
      </c>
      <c r="D1615" t="s">
        <v>3732</v>
      </c>
      <c r="E1615" s="19">
        <v>39322</v>
      </c>
      <c r="F1615" t="str">
        <f>"9781607819608"</f>
        <v>9781607819608</v>
      </c>
      <c r="G1615" t="str">
        <f>"9780874809015"</f>
        <v>9780874809015</v>
      </c>
      <c r="H1615" t="s">
        <v>3733</v>
      </c>
      <c r="I1615" t="s">
        <v>3734</v>
      </c>
      <c r="J1615" t="s">
        <v>3735</v>
      </c>
      <c r="K1615" t="s">
        <v>73</v>
      </c>
      <c r="N1615" t="s">
        <v>74</v>
      </c>
      <c r="O1615" t="s">
        <v>75</v>
      </c>
      <c r="P1615" t="s">
        <v>74</v>
      </c>
      <c r="Q1615" t="s">
        <v>76</v>
      </c>
      <c r="R1615" t="s">
        <v>73</v>
      </c>
      <c r="S1615">
        <v>0</v>
      </c>
      <c r="W1615" s="20">
        <v>3.4722222222222222E-5</v>
      </c>
      <c r="X1615" t="s">
        <v>132</v>
      </c>
      <c r="Y1615">
        <v>1</v>
      </c>
      <c r="Z1615">
        <v>0</v>
      </c>
      <c r="AA1615" t="s">
        <v>78</v>
      </c>
      <c r="AB1615">
        <v>0</v>
      </c>
      <c r="AC1615" t="s">
        <v>78</v>
      </c>
      <c r="AD1615">
        <v>0</v>
      </c>
      <c r="AE1615">
        <v>10509237</v>
      </c>
      <c r="AF1615" t="s">
        <v>88</v>
      </c>
      <c r="AG1615" t="s">
        <v>3622</v>
      </c>
    </row>
    <row r="1616" spans="1:33" x14ac:dyDescent="0.35">
      <c r="A1616" s="18">
        <v>44355.078472222223</v>
      </c>
      <c r="B1616">
        <v>692323</v>
      </c>
      <c r="C1616" t="s">
        <v>3807</v>
      </c>
      <c r="D1616" t="s">
        <v>127</v>
      </c>
      <c r="E1616" s="19">
        <v>40624</v>
      </c>
      <c r="F1616" t="str">
        <f>"9780203817766"</f>
        <v>9780203817766</v>
      </c>
      <c r="G1616" t="str">
        <f>"9780415879767"</f>
        <v>9780415879767</v>
      </c>
      <c r="H1616" t="s">
        <v>1179</v>
      </c>
      <c r="I1616">
        <v>371.077</v>
      </c>
      <c r="J1616" t="s">
        <v>3808</v>
      </c>
      <c r="K1616" t="s">
        <v>73</v>
      </c>
      <c r="N1616" t="s">
        <v>74</v>
      </c>
      <c r="O1616" t="s">
        <v>75</v>
      </c>
      <c r="P1616" t="s">
        <v>74</v>
      </c>
      <c r="Q1616" t="s">
        <v>76</v>
      </c>
      <c r="R1616" t="s">
        <v>73</v>
      </c>
      <c r="S1616">
        <v>1</v>
      </c>
      <c r="W1616" s="20">
        <v>4.3981481481481481E-4</v>
      </c>
      <c r="X1616" t="s">
        <v>3809</v>
      </c>
      <c r="Y1616">
        <v>4</v>
      </c>
      <c r="Z1616">
        <v>0</v>
      </c>
      <c r="AA1616" t="s">
        <v>78</v>
      </c>
      <c r="AB1616">
        <v>0</v>
      </c>
      <c r="AC1616" t="s">
        <v>78</v>
      </c>
      <c r="AD1616">
        <v>0</v>
      </c>
      <c r="AE1616">
        <v>10477522</v>
      </c>
      <c r="AF1616" t="s">
        <v>88</v>
      </c>
      <c r="AG1616" t="s">
        <v>3622</v>
      </c>
    </row>
    <row r="1617" spans="1:33" x14ac:dyDescent="0.35">
      <c r="A1617" s="18">
        <v>44354.707638888889</v>
      </c>
      <c r="B1617">
        <v>3001261</v>
      </c>
      <c r="C1617" t="s">
        <v>3419</v>
      </c>
      <c r="D1617" t="s">
        <v>3420</v>
      </c>
      <c r="E1617" s="19">
        <v>39630</v>
      </c>
      <c r="F1617" t="str">
        <f>"9780313352874"</f>
        <v>9780313352874</v>
      </c>
      <c r="G1617" t="str">
        <f>"9780313352867"</f>
        <v>9780313352867</v>
      </c>
      <c r="H1617" t="s">
        <v>3421</v>
      </c>
      <c r="I1617">
        <v>333.79</v>
      </c>
      <c r="J1617" t="s">
        <v>3422</v>
      </c>
      <c r="K1617" t="s">
        <v>73</v>
      </c>
      <c r="N1617" t="s">
        <v>74</v>
      </c>
      <c r="O1617" t="s">
        <v>75</v>
      </c>
      <c r="P1617" t="s">
        <v>74</v>
      </c>
      <c r="Q1617" t="s">
        <v>76</v>
      </c>
      <c r="R1617" t="s">
        <v>73</v>
      </c>
      <c r="S1617">
        <v>0</v>
      </c>
      <c r="W1617" s="20">
        <v>2.5462962962962961E-4</v>
      </c>
      <c r="X1617" t="s">
        <v>132</v>
      </c>
      <c r="Y1617">
        <v>1</v>
      </c>
      <c r="Z1617">
        <v>0</v>
      </c>
      <c r="AA1617" t="s">
        <v>78</v>
      </c>
      <c r="AB1617">
        <v>0</v>
      </c>
      <c r="AC1617" t="s">
        <v>78</v>
      </c>
      <c r="AD1617">
        <v>0</v>
      </c>
      <c r="AE1617">
        <v>10271266</v>
      </c>
      <c r="AF1617" t="s">
        <v>79</v>
      </c>
      <c r="AG1617" t="s">
        <v>333</v>
      </c>
    </row>
    <row r="1618" spans="1:33" x14ac:dyDescent="0.35">
      <c r="A1618" s="18">
        <v>44353.677777777775</v>
      </c>
      <c r="B1618">
        <v>1688626</v>
      </c>
      <c r="C1618" t="s">
        <v>3783</v>
      </c>
      <c r="D1618" t="s">
        <v>2550</v>
      </c>
      <c r="E1618" s="19">
        <v>41852</v>
      </c>
      <c r="F1618" t="str">
        <f>"9781783289806"</f>
        <v>9781783289806</v>
      </c>
      <c r="G1618" t="str">
        <f>"9781783289790"</f>
        <v>9781783289790</v>
      </c>
      <c r="H1618" t="s">
        <v>110</v>
      </c>
      <c r="I1618">
        <v>5.133</v>
      </c>
      <c r="J1618" t="s">
        <v>3784</v>
      </c>
      <c r="K1618" t="s">
        <v>73</v>
      </c>
      <c r="N1618" t="s">
        <v>74</v>
      </c>
      <c r="O1618" t="s">
        <v>75</v>
      </c>
      <c r="P1618" t="s">
        <v>230</v>
      </c>
      <c r="Q1618" t="s">
        <v>76</v>
      </c>
      <c r="R1618" t="s">
        <v>85</v>
      </c>
      <c r="S1618">
        <v>0</v>
      </c>
      <c r="W1618" s="20">
        <v>1.6087962962962963E-3</v>
      </c>
      <c r="X1618" t="s">
        <v>3810</v>
      </c>
      <c r="Y1618">
        <v>14</v>
      </c>
      <c r="Z1618">
        <v>1</v>
      </c>
      <c r="AA1618" t="s">
        <v>851</v>
      </c>
      <c r="AB1618">
        <v>8</v>
      </c>
      <c r="AC1618" t="s">
        <v>78</v>
      </c>
      <c r="AD1618">
        <v>0</v>
      </c>
      <c r="AE1618">
        <v>10906498</v>
      </c>
      <c r="AF1618" t="s">
        <v>79</v>
      </c>
      <c r="AG1618" t="s">
        <v>3782</v>
      </c>
    </row>
    <row r="1619" spans="1:33" x14ac:dyDescent="0.35">
      <c r="A1619" s="18">
        <v>44353.677777777775</v>
      </c>
      <c r="B1619">
        <v>818960</v>
      </c>
      <c r="C1619" t="s">
        <v>3811</v>
      </c>
      <c r="D1619" t="s">
        <v>70</v>
      </c>
      <c r="E1619" s="19">
        <v>40820</v>
      </c>
      <c r="F1619" t="str">
        <f>"9781118169957"</f>
        <v>9781118169957</v>
      </c>
      <c r="G1619" t="str">
        <f>"9781118545690"</f>
        <v>9781118545690</v>
      </c>
      <c r="H1619" t="s">
        <v>110</v>
      </c>
      <c r="I1619">
        <v>5.133</v>
      </c>
      <c r="J1619" t="s">
        <v>3812</v>
      </c>
      <c r="K1619" t="s">
        <v>73</v>
      </c>
      <c r="N1619" t="s">
        <v>74</v>
      </c>
      <c r="O1619" t="s">
        <v>75</v>
      </c>
      <c r="P1619" t="s">
        <v>74</v>
      </c>
      <c r="Q1619" t="s">
        <v>76</v>
      </c>
      <c r="R1619" t="s">
        <v>73</v>
      </c>
      <c r="S1619">
        <v>0</v>
      </c>
      <c r="W1619" s="20">
        <v>4.5844907407407404E-2</v>
      </c>
      <c r="X1619" t="s">
        <v>3813</v>
      </c>
      <c r="Y1619">
        <v>32</v>
      </c>
      <c r="Z1619">
        <v>3</v>
      </c>
      <c r="AA1619" t="s">
        <v>3814</v>
      </c>
      <c r="AB1619">
        <v>137</v>
      </c>
      <c r="AC1619" t="s">
        <v>78</v>
      </c>
      <c r="AD1619">
        <v>0</v>
      </c>
      <c r="AE1619">
        <v>10510437</v>
      </c>
      <c r="AF1619" t="s">
        <v>79</v>
      </c>
      <c r="AG1619" t="s">
        <v>3782</v>
      </c>
    </row>
    <row r="1620" spans="1:33" x14ac:dyDescent="0.35">
      <c r="A1620" s="18">
        <v>44353.675694444442</v>
      </c>
      <c r="B1620">
        <v>2000929</v>
      </c>
      <c r="C1620" t="s">
        <v>3815</v>
      </c>
      <c r="D1620" t="s">
        <v>2550</v>
      </c>
      <c r="E1620" s="19">
        <v>42089</v>
      </c>
      <c r="F1620" t="str">
        <f>"9781784392888"</f>
        <v>9781784392888</v>
      </c>
      <c r="G1620" t="str">
        <f>"9781784392772"</f>
        <v>9781784392772</v>
      </c>
      <c r="H1620" t="s">
        <v>110</v>
      </c>
      <c r="I1620">
        <v>5.133</v>
      </c>
      <c r="J1620" t="s">
        <v>3816</v>
      </c>
      <c r="K1620" t="s">
        <v>73</v>
      </c>
      <c r="N1620" t="s">
        <v>74</v>
      </c>
      <c r="O1620" t="s">
        <v>75</v>
      </c>
      <c r="P1620" t="s">
        <v>230</v>
      </c>
      <c r="Q1620" t="s">
        <v>76</v>
      </c>
      <c r="R1620" t="s">
        <v>85</v>
      </c>
      <c r="S1620">
        <v>0</v>
      </c>
      <c r="W1620" s="20">
        <v>8.3333333333333339E-4</v>
      </c>
      <c r="X1620" t="s">
        <v>3817</v>
      </c>
      <c r="Y1620">
        <v>12</v>
      </c>
      <c r="Z1620">
        <v>0</v>
      </c>
      <c r="AA1620" t="s">
        <v>78</v>
      </c>
      <c r="AB1620">
        <v>0</v>
      </c>
      <c r="AC1620" t="s">
        <v>78</v>
      </c>
      <c r="AD1620">
        <v>0</v>
      </c>
      <c r="AE1620">
        <v>11037451</v>
      </c>
      <c r="AF1620" t="s">
        <v>79</v>
      </c>
      <c r="AG1620" t="s">
        <v>3782</v>
      </c>
    </row>
    <row r="1621" spans="1:33" x14ac:dyDescent="0.35">
      <c r="A1621" s="18">
        <v>44353.674305555556</v>
      </c>
      <c r="B1621">
        <v>6110795</v>
      </c>
      <c r="C1621" t="s">
        <v>3818</v>
      </c>
      <c r="D1621" t="s">
        <v>3819</v>
      </c>
      <c r="E1621" s="19">
        <v>43891</v>
      </c>
      <c r="F1621" t="str">
        <f>"9788831322140"</f>
        <v>9788831322140</v>
      </c>
      <c r="G1621" t="str">
        <f>"9788831322041"</f>
        <v>9788831322041</v>
      </c>
      <c r="H1621" t="s">
        <v>1466</v>
      </c>
      <c r="I1621">
        <v>6.31</v>
      </c>
      <c r="J1621" t="s">
        <v>3820</v>
      </c>
      <c r="K1621" t="s">
        <v>85</v>
      </c>
      <c r="Q1621" t="s">
        <v>76</v>
      </c>
      <c r="R1621" t="s">
        <v>73</v>
      </c>
      <c r="S1621">
        <v>0</v>
      </c>
      <c r="W1621" s="20">
        <v>1.4930555555555556E-3</v>
      </c>
      <c r="X1621" t="s">
        <v>3821</v>
      </c>
      <c r="Y1621">
        <v>8</v>
      </c>
      <c r="Z1621">
        <v>0</v>
      </c>
      <c r="AA1621" t="s">
        <v>78</v>
      </c>
      <c r="AB1621">
        <v>0</v>
      </c>
      <c r="AC1621" t="s">
        <v>78</v>
      </c>
      <c r="AD1621">
        <v>0</v>
      </c>
      <c r="AE1621">
        <v>-1</v>
      </c>
      <c r="AF1621" t="s">
        <v>79</v>
      </c>
      <c r="AG1621" t="s">
        <v>3782</v>
      </c>
    </row>
    <row r="1622" spans="1:33" x14ac:dyDescent="0.35">
      <c r="A1622" s="18">
        <v>44353.657638888886</v>
      </c>
      <c r="B1622">
        <v>1572905</v>
      </c>
      <c r="C1622" t="s">
        <v>3822</v>
      </c>
      <c r="D1622" t="s">
        <v>2550</v>
      </c>
      <c r="E1622" s="19">
        <v>41603</v>
      </c>
      <c r="F1622" t="str">
        <f>"9781783281947"</f>
        <v>9781783281947</v>
      </c>
      <c r="G1622" t="str">
        <f>"9781783281930"</f>
        <v>9781783281930</v>
      </c>
      <c r="H1622" t="s">
        <v>1466</v>
      </c>
      <c r="I1622">
        <v>6.76</v>
      </c>
      <c r="J1622" t="s">
        <v>3823</v>
      </c>
      <c r="K1622" t="s">
        <v>73</v>
      </c>
      <c r="N1622" t="s">
        <v>74</v>
      </c>
      <c r="O1622" t="s">
        <v>75</v>
      </c>
      <c r="P1622" t="s">
        <v>230</v>
      </c>
      <c r="Q1622" t="s">
        <v>76</v>
      </c>
      <c r="R1622" t="s">
        <v>85</v>
      </c>
      <c r="S1622">
        <v>0</v>
      </c>
      <c r="W1622" s="20">
        <v>1.6331018518518519E-2</v>
      </c>
      <c r="X1622" t="s">
        <v>3824</v>
      </c>
      <c r="Y1622">
        <v>30</v>
      </c>
      <c r="Z1622">
        <v>0</v>
      </c>
      <c r="AA1622" t="s">
        <v>78</v>
      </c>
      <c r="AB1622">
        <v>0</v>
      </c>
      <c r="AC1622" t="s">
        <v>78</v>
      </c>
      <c r="AD1622">
        <v>0</v>
      </c>
      <c r="AE1622">
        <v>10813437</v>
      </c>
      <c r="AF1622" t="s">
        <v>79</v>
      </c>
      <c r="AG1622" t="s">
        <v>3782</v>
      </c>
    </row>
    <row r="1623" spans="1:33" x14ac:dyDescent="0.35">
      <c r="A1623" s="18">
        <v>44353.656944444447</v>
      </c>
      <c r="B1623">
        <v>5655566</v>
      </c>
      <c r="C1623" t="s">
        <v>3825</v>
      </c>
      <c r="D1623" t="s">
        <v>3703</v>
      </c>
      <c r="E1623" s="19">
        <v>43495</v>
      </c>
      <c r="F1623" t="str">
        <f>"9781773616230"</f>
        <v>9781773616230</v>
      </c>
      <c r="G1623" t="str">
        <f>""</f>
        <v/>
      </c>
      <c r="H1623" t="s">
        <v>110</v>
      </c>
      <c r="I1623">
        <v>5.133</v>
      </c>
      <c r="J1623" t="s">
        <v>3826</v>
      </c>
      <c r="K1623" t="s">
        <v>85</v>
      </c>
      <c r="Q1623" t="s">
        <v>76</v>
      </c>
      <c r="R1623" t="s">
        <v>73</v>
      </c>
      <c r="S1623">
        <v>0</v>
      </c>
      <c r="W1623" s="20">
        <v>4.0509259259259258E-4</v>
      </c>
      <c r="X1623" t="s">
        <v>3827</v>
      </c>
      <c r="Y1623">
        <v>5</v>
      </c>
      <c r="Z1623">
        <v>0</v>
      </c>
      <c r="AA1623" t="s">
        <v>78</v>
      </c>
      <c r="AB1623">
        <v>0</v>
      </c>
      <c r="AC1623" t="s">
        <v>78</v>
      </c>
      <c r="AD1623">
        <v>0</v>
      </c>
      <c r="AE1623">
        <v>-1</v>
      </c>
      <c r="AF1623" t="s">
        <v>79</v>
      </c>
      <c r="AG1623" t="s">
        <v>3782</v>
      </c>
    </row>
    <row r="1624" spans="1:33" x14ac:dyDescent="0.35">
      <c r="A1624" s="18">
        <v>44353.585416666669</v>
      </c>
      <c r="B1624">
        <v>3007787</v>
      </c>
      <c r="C1624" t="s">
        <v>3828</v>
      </c>
      <c r="D1624" t="s">
        <v>1094</v>
      </c>
      <c r="E1624" s="19">
        <v>41877</v>
      </c>
      <c r="F1624" t="str">
        <f>"9781617050992"</f>
        <v>9781617050992</v>
      </c>
      <c r="G1624" t="str">
        <f>"9781936287543"</f>
        <v>9781936287543</v>
      </c>
      <c r="H1624" t="s">
        <v>222</v>
      </c>
      <c r="I1624" t="s">
        <v>3829</v>
      </c>
      <c r="J1624" t="s">
        <v>3830</v>
      </c>
      <c r="K1624" t="s">
        <v>73</v>
      </c>
      <c r="N1624" t="s">
        <v>74</v>
      </c>
      <c r="O1624" t="s">
        <v>75</v>
      </c>
      <c r="P1624" t="s">
        <v>74</v>
      </c>
      <c r="Q1624" t="s">
        <v>76</v>
      </c>
      <c r="R1624" t="s">
        <v>73</v>
      </c>
      <c r="S1624">
        <v>0</v>
      </c>
      <c r="W1624" s="20">
        <v>3.6574074074074074E-3</v>
      </c>
      <c r="X1624" t="s">
        <v>3831</v>
      </c>
      <c r="Y1624">
        <v>8</v>
      </c>
      <c r="Z1624">
        <v>5</v>
      </c>
      <c r="AA1624" t="s">
        <v>3832</v>
      </c>
      <c r="AB1624">
        <v>80</v>
      </c>
      <c r="AC1624" t="s">
        <v>78</v>
      </c>
      <c r="AD1624">
        <v>0</v>
      </c>
      <c r="AE1624">
        <v>10929180</v>
      </c>
      <c r="AF1624" t="s">
        <v>79</v>
      </c>
      <c r="AG1624" t="s">
        <v>3833</v>
      </c>
    </row>
    <row r="1625" spans="1:33" x14ac:dyDescent="0.35">
      <c r="A1625" s="18">
        <v>44353.582638888889</v>
      </c>
      <c r="B1625">
        <v>4042995</v>
      </c>
      <c r="C1625" t="s">
        <v>3834</v>
      </c>
      <c r="D1625" t="s">
        <v>70</v>
      </c>
      <c r="E1625" s="19">
        <v>42359</v>
      </c>
      <c r="F1625" t="str">
        <f>"9781118391433"</f>
        <v>9781118391433</v>
      </c>
      <c r="G1625" t="str">
        <f>"9781118390221"</f>
        <v>9781118390221</v>
      </c>
      <c r="H1625" t="s">
        <v>1204</v>
      </c>
      <c r="I1625" t="s">
        <v>3835</v>
      </c>
      <c r="J1625" t="s">
        <v>3836</v>
      </c>
      <c r="K1625" t="s">
        <v>73</v>
      </c>
      <c r="N1625" t="s">
        <v>74</v>
      </c>
      <c r="O1625" t="s">
        <v>75</v>
      </c>
      <c r="P1625" t="s">
        <v>74</v>
      </c>
      <c r="Q1625" t="s">
        <v>76</v>
      </c>
      <c r="R1625" t="s">
        <v>73</v>
      </c>
      <c r="S1625">
        <v>0</v>
      </c>
      <c r="W1625" s="20">
        <v>1.4120370370370369E-3</v>
      </c>
      <c r="X1625" t="s">
        <v>3837</v>
      </c>
      <c r="Y1625">
        <v>20</v>
      </c>
      <c r="Z1625">
        <v>0</v>
      </c>
      <c r="AA1625" t="s">
        <v>78</v>
      </c>
      <c r="AB1625">
        <v>0</v>
      </c>
      <c r="AC1625" t="s">
        <v>3838</v>
      </c>
      <c r="AD1625">
        <v>2</v>
      </c>
      <c r="AE1625">
        <v>11115172</v>
      </c>
      <c r="AF1625" t="s">
        <v>79</v>
      </c>
      <c r="AG1625" t="s">
        <v>3839</v>
      </c>
    </row>
    <row r="1626" spans="1:33" x14ac:dyDescent="0.35">
      <c r="A1626" s="18">
        <v>44353.574999999997</v>
      </c>
      <c r="B1626">
        <v>5989642</v>
      </c>
      <c r="C1626" t="s">
        <v>3840</v>
      </c>
      <c r="D1626" t="s">
        <v>3703</v>
      </c>
      <c r="E1626" s="19">
        <v>43800</v>
      </c>
      <c r="F1626" t="str">
        <f>"9781774074275"</f>
        <v>9781774074275</v>
      </c>
      <c r="G1626" t="str">
        <f>""</f>
        <v/>
      </c>
      <c r="H1626" t="s">
        <v>110</v>
      </c>
      <c r="K1626" t="s">
        <v>85</v>
      </c>
      <c r="Q1626" t="s">
        <v>76</v>
      </c>
      <c r="R1626" t="s">
        <v>73</v>
      </c>
      <c r="S1626">
        <v>0</v>
      </c>
      <c r="W1626" s="20">
        <v>3.5532407407407405E-3</v>
      </c>
      <c r="X1626" t="s">
        <v>3841</v>
      </c>
      <c r="Y1626">
        <v>27</v>
      </c>
      <c r="Z1626">
        <v>0</v>
      </c>
      <c r="AA1626" t="s">
        <v>78</v>
      </c>
      <c r="AB1626">
        <v>0</v>
      </c>
      <c r="AC1626" t="s">
        <v>78</v>
      </c>
      <c r="AD1626">
        <v>0</v>
      </c>
      <c r="AE1626">
        <v>-1</v>
      </c>
      <c r="AF1626" t="s">
        <v>79</v>
      </c>
      <c r="AG1626" t="s">
        <v>3782</v>
      </c>
    </row>
    <row r="1627" spans="1:33" x14ac:dyDescent="0.35">
      <c r="A1627" s="18">
        <v>44353.557638888888</v>
      </c>
      <c r="B1627">
        <v>4617084</v>
      </c>
      <c r="C1627" t="s">
        <v>3842</v>
      </c>
      <c r="D1627" t="s">
        <v>2550</v>
      </c>
      <c r="E1627" s="19">
        <v>42579</v>
      </c>
      <c r="F1627" t="str">
        <f>"9781784393830"</f>
        <v>9781784393830</v>
      </c>
      <c r="G1627" t="str">
        <f>""</f>
        <v/>
      </c>
      <c r="H1627" t="s">
        <v>110</v>
      </c>
      <c r="J1627" t="s">
        <v>3843</v>
      </c>
      <c r="K1627" t="s">
        <v>73</v>
      </c>
      <c r="N1627" t="s">
        <v>74</v>
      </c>
      <c r="O1627" t="s">
        <v>75</v>
      </c>
      <c r="P1627" t="s">
        <v>230</v>
      </c>
      <c r="Q1627" t="s">
        <v>76</v>
      </c>
      <c r="R1627" t="s">
        <v>85</v>
      </c>
      <c r="S1627">
        <v>0</v>
      </c>
      <c r="W1627" s="20">
        <v>4.7337962962962958E-3</v>
      </c>
      <c r="X1627" t="s">
        <v>3844</v>
      </c>
      <c r="Y1627">
        <v>10</v>
      </c>
      <c r="Z1627">
        <v>0</v>
      </c>
      <c r="AA1627" t="s">
        <v>78</v>
      </c>
      <c r="AB1627">
        <v>0</v>
      </c>
      <c r="AC1627" t="s">
        <v>78</v>
      </c>
      <c r="AD1627">
        <v>0</v>
      </c>
      <c r="AE1627">
        <v>11350735</v>
      </c>
      <c r="AF1627" t="s">
        <v>79</v>
      </c>
      <c r="AG1627" t="s">
        <v>3782</v>
      </c>
    </row>
    <row r="1628" spans="1:33" x14ac:dyDescent="0.35">
      <c r="A1628" s="18">
        <v>44353.556250000001</v>
      </c>
      <c r="B1628">
        <v>6040229</v>
      </c>
      <c r="C1628" t="s">
        <v>3845</v>
      </c>
      <c r="D1628" t="s">
        <v>3089</v>
      </c>
      <c r="E1628" s="19">
        <v>43892</v>
      </c>
      <c r="F1628" t="str">
        <f>"9781683924937"</f>
        <v>9781683924937</v>
      </c>
      <c r="G1628" t="str">
        <f>"9781683924951"</f>
        <v>9781683924951</v>
      </c>
      <c r="H1628" t="s">
        <v>110</v>
      </c>
      <c r="I1628">
        <v>5.133</v>
      </c>
      <c r="J1628" t="s">
        <v>3846</v>
      </c>
      <c r="K1628" t="s">
        <v>85</v>
      </c>
      <c r="Q1628" t="s">
        <v>76</v>
      </c>
      <c r="R1628" t="s">
        <v>73</v>
      </c>
      <c r="S1628">
        <v>0</v>
      </c>
      <c r="W1628" s="20">
        <v>8.564814814814815E-4</v>
      </c>
      <c r="X1628" t="s">
        <v>3847</v>
      </c>
      <c r="Y1628">
        <v>11</v>
      </c>
      <c r="Z1628">
        <v>0</v>
      </c>
      <c r="AA1628" t="s">
        <v>78</v>
      </c>
      <c r="AB1628">
        <v>0</v>
      </c>
      <c r="AC1628" t="s">
        <v>78</v>
      </c>
      <c r="AD1628">
        <v>0</v>
      </c>
      <c r="AE1628">
        <v>-1</v>
      </c>
      <c r="AF1628" t="s">
        <v>79</v>
      </c>
      <c r="AG1628" t="s">
        <v>3782</v>
      </c>
    </row>
    <row r="1629" spans="1:33" x14ac:dyDescent="0.35">
      <c r="A1629" s="18">
        <v>44353.53402777778</v>
      </c>
      <c r="B1629">
        <v>5747364</v>
      </c>
      <c r="C1629" t="s">
        <v>3848</v>
      </c>
      <c r="D1629" t="s">
        <v>70</v>
      </c>
      <c r="E1629" s="19">
        <v>43585</v>
      </c>
      <c r="F1629" t="str">
        <f>"9781119545699"</f>
        <v>9781119545699</v>
      </c>
      <c r="G1629" t="str">
        <f>"9781119545637"</f>
        <v>9781119545637</v>
      </c>
      <c r="H1629" t="s">
        <v>110</v>
      </c>
      <c r="I1629">
        <v>5.133</v>
      </c>
      <c r="J1629" t="s">
        <v>3849</v>
      </c>
      <c r="K1629" t="s">
        <v>73</v>
      </c>
      <c r="N1629" t="s">
        <v>74</v>
      </c>
      <c r="O1629" t="s">
        <v>75</v>
      </c>
      <c r="P1629" t="s">
        <v>74</v>
      </c>
      <c r="Q1629" t="s">
        <v>76</v>
      </c>
      <c r="R1629" t="s">
        <v>73</v>
      </c>
      <c r="S1629">
        <v>0</v>
      </c>
      <c r="W1629" s="20">
        <v>1.1226851851851851E-3</v>
      </c>
      <c r="X1629" t="s">
        <v>3850</v>
      </c>
      <c r="Y1629">
        <v>4</v>
      </c>
      <c r="Z1629">
        <v>3</v>
      </c>
      <c r="AA1629" t="s">
        <v>3851</v>
      </c>
      <c r="AB1629">
        <v>29</v>
      </c>
      <c r="AC1629" t="s">
        <v>78</v>
      </c>
      <c r="AD1629">
        <v>0</v>
      </c>
      <c r="AE1629">
        <v>-1</v>
      </c>
      <c r="AF1629" t="s">
        <v>79</v>
      </c>
      <c r="AG1629" t="s">
        <v>3782</v>
      </c>
    </row>
    <row r="1630" spans="1:33" x14ac:dyDescent="0.35">
      <c r="A1630" s="18">
        <v>44353.524305555555</v>
      </c>
      <c r="B1630">
        <v>5747364</v>
      </c>
      <c r="C1630" t="s">
        <v>3848</v>
      </c>
      <c r="D1630" t="s">
        <v>70</v>
      </c>
      <c r="E1630" s="19">
        <v>43585</v>
      </c>
      <c r="F1630" t="str">
        <f>"9781119545699"</f>
        <v>9781119545699</v>
      </c>
      <c r="G1630" t="str">
        <f>"9781119545637"</f>
        <v>9781119545637</v>
      </c>
      <c r="H1630" t="s">
        <v>110</v>
      </c>
      <c r="I1630">
        <v>5.133</v>
      </c>
      <c r="J1630" t="s">
        <v>3849</v>
      </c>
      <c r="K1630" t="s">
        <v>73</v>
      </c>
      <c r="N1630" t="s">
        <v>74</v>
      </c>
      <c r="O1630" t="s">
        <v>75</v>
      </c>
      <c r="P1630" t="s">
        <v>74</v>
      </c>
      <c r="Q1630" t="s">
        <v>76</v>
      </c>
      <c r="R1630" t="s">
        <v>73</v>
      </c>
      <c r="S1630">
        <v>0</v>
      </c>
      <c r="W1630" s="20">
        <v>8.7384259259259255E-3</v>
      </c>
      <c r="X1630" t="s">
        <v>3852</v>
      </c>
      <c r="Y1630">
        <v>5</v>
      </c>
      <c r="Z1630">
        <v>2</v>
      </c>
      <c r="AA1630" t="s">
        <v>3853</v>
      </c>
      <c r="AB1630">
        <v>48</v>
      </c>
      <c r="AC1630" t="s">
        <v>78</v>
      </c>
      <c r="AD1630">
        <v>0</v>
      </c>
      <c r="AE1630">
        <v>-1</v>
      </c>
      <c r="AF1630" t="s">
        <v>79</v>
      </c>
      <c r="AG1630" t="s">
        <v>3782</v>
      </c>
    </row>
    <row r="1631" spans="1:33" x14ac:dyDescent="0.35">
      <c r="A1631" s="18">
        <v>44353.49722222222</v>
      </c>
      <c r="B1631">
        <v>288921</v>
      </c>
      <c r="C1631" t="s">
        <v>3638</v>
      </c>
      <c r="D1631" t="s">
        <v>158</v>
      </c>
      <c r="E1631" s="19">
        <v>38378</v>
      </c>
      <c r="F1631" t="str">
        <f>"9780080468648"</f>
        <v>9780080468648</v>
      </c>
      <c r="G1631" t="str">
        <f>"9780750661683"</f>
        <v>9780750661683</v>
      </c>
      <c r="H1631" t="s">
        <v>979</v>
      </c>
      <c r="I1631" t="s">
        <v>256</v>
      </c>
      <c r="J1631" t="s">
        <v>3639</v>
      </c>
      <c r="K1631" t="s">
        <v>73</v>
      </c>
      <c r="N1631" t="s">
        <v>74</v>
      </c>
      <c r="O1631" t="s">
        <v>75</v>
      </c>
      <c r="P1631" t="s">
        <v>74</v>
      </c>
      <c r="Q1631" t="s">
        <v>76</v>
      </c>
      <c r="R1631" t="s">
        <v>73</v>
      </c>
      <c r="S1631">
        <v>0</v>
      </c>
      <c r="W1631" s="20">
        <v>2.4305555555555552E-4</v>
      </c>
      <c r="X1631" t="s">
        <v>3854</v>
      </c>
      <c r="Y1631">
        <v>4</v>
      </c>
      <c r="Z1631">
        <v>0</v>
      </c>
      <c r="AA1631" t="s">
        <v>78</v>
      </c>
      <c r="AB1631">
        <v>0</v>
      </c>
      <c r="AC1631" t="s">
        <v>78</v>
      </c>
      <c r="AD1631">
        <v>0</v>
      </c>
      <c r="AE1631">
        <v>10169890</v>
      </c>
      <c r="AF1631" t="s">
        <v>79</v>
      </c>
      <c r="AG1631" t="s">
        <v>3460</v>
      </c>
    </row>
    <row r="1632" spans="1:33" x14ac:dyDescent="0.35">
      <c r="A1632" s="18">
        <v>44353.494444444441</v>
      </c>
      <c r="B1632">
        <v>5747364</v>
      </c>
      <c r="C1632" t="s">
        <v>3848</v>
      </c>
      <c r="D1632" t="s">
        <v>70</v>
      </c>
      <c r="E1632" s="19">
        <v>43585</v>
      </c>
      <c r="F1632" t="str">
        <f>"9781119545699"</f>
        <v>9781119545699</v>
      </c>
      <c r="G1632" t="str">
        <f>"9781119545637"</f>
        <v>9781119545637</v>
      </c>
      <c r="H1632" t="s">
        <v>110</v>
      </c>
      <c r="I1632">
        <v>5.133</v>
      </c>
      <c r="J1632" t="s">
        <v>3849</v>
      </c>
      <c r="K1632" t="s">
        <v>73</v>
      </c>
      <c r="N1632" t="s">
        <v>74</v>
      </c>
      <c r="O1632" t="s">
        <v>75</v>
      </c>
      <c r="P1632" t="s">
        <v>74</v>
      </c>
      <c r="Q1632" t="s">
        <v>76</v>
      </c>
      <c r="R1632" t="s">
        <v>73</v>
      </c>
      <c r="S1632">
        <v>0</v>
      </c>
      <c r="W1632" s="20">
        <v>4.9768518518518521E-4</v>
      </c>
      <c r="X1632" t="s">
        <v>3855</v>
      </c>
      <c r="Y1632">
        <v>3</v>
      </c>
      <c r="Z1632">
        <v>1</v>
      </c>
      <c r="AA1632" t="s">
        <v>3856</v>
      </c>
      <c r="AB1632">
        <v>16</v>
      </c>
      <c r="AC1632" t="s">
        <v>78</v>
      </c>
      <c r="AD1632">
        <v>0</v>
      </c>
      <c r="AE1632">
        <v>-1</v>
      </c>
      <c r="AF1632" t="s">
        <v>79</v>
      </c>
      <c r="AG1632" t="s">
        <v>3782</v>
      </c>
    </row>
    <row r="1633" spans="1:33" x14ac:dyDescent="0.35">
      <c r="A1633" s="18">
        <v>44353.488888888889</v>
      </c>
      <c r="B1633">
        <v>5747364</v>
      </c>
      <c r="C1633" t="s">
        <v>3848</v>
      </c>
      <c r="D1633" t="s">
        <v>70</v>
      </c>
      <c r="E1633" s="19">
        <v>43585</v>
      </c>
      <c r="F1633" t="str">
        <f>"9781119545699"</f>
        <v>9781119545699</v>
      </c>
      <c r="G1633" t="str">
        <f>"9781119545637"</f>
        <v>9781119545637</v>
      </c>
      <c r="H1633" t="s">
        <v>110</v>
      </c>
      <c r="I1633">
        <v>5.133</v>
      </c>
      <c r="J1633" t="s">
        <v>3849</v>
      </c>
      <c r="K1633" t="s">
        <v>73</v>
      </c>
      <c r="N1633" t="s">
        <v>74</v>
      </c>
      <c r="O1633" t="s">
        <v>75</v>
      </c>
      <c r="P1633" t="s">
        <v>74</v>
      </c>
      <c r="Q1633" t="s">
        <v>76</v>
      </c>
      <c r="R1633" t="s">
        <v>73</v>
      </c>
      <c r="S1633">
        <v>1</v>
      </c>
      <c r="W1633" s="20">
        <v>1.2152777777777778E-3</v>
      </c>
      <c r="X1633" t="s">
        <v>3857</v>
      </c>
      <c r="Y1633">
        <v>2</v>
      </c>
      <c r="Z1633">
        <v>2</v>
      </c>
      <c r="AA1633" t="s">
        <v>3858</v>
      </c>
      <c r="AB1633">
        <v>54</v>
      </c>
      <c r="AC1633" t="s">
        <v>78</v>
      </c>
      <c r="AD1633">
        <v>0</v>
      </c>
      <c r="AE1633">
        <v>-1</v>
      </c>
      <c r="AF1633" t="s">
        <v>88</v>
      </c>
      <c r="AG1633" t="s">
        <v>3782</v>
      </c>
    </row>
    <row r="1634" spans="1:33" x14ac:dyDescent="0.35">
      <c r="A1634" s="18">
        <v>44353.488194444442</v>
      </c>
      <c r="B1634">
        <v>5747364</v>
      </c>
      <c r="C1634" t="s">
        <v>3848</v>
      </c>
      <c r="D1634" t="s">
        <v>70</v>
      </c>
      <c r="E1634" s="19">
        <v>43585</v>
      </c>
      <c r="F1634" t="str">
        <f>"9781119545699"</f>
        <v>9781119545699</v>
      </c>
      <c r="G1634" t="str">
        <f>"9781119545637"</f>
        <v>9781119545637</v>
      </c>
      <c r="H1634" t="s">
        <v>110</v>
      </c>
      <c r="I1634">
        <v>5.133</v>
      </c>
      <c r="J1634" t="s">
        <v>3849</v>
      </c>
      <c r="K1634" t="s">
        <v>73</v>
      </c>
      <c r="N1634" t="s">
        <v>74</v>
      </c>
      <c r="O1634" t="s">
        <v>75</v>
      </c>
      <c r="P1634" t="s">
        <v>74</v>
      </c>
      <c r="Q1634" t="s">
        <v>76</v>
      </c>
      <c r="R1634" t="s">
        <v>73</v>
      </c>
      <c r="S1634">
        <v>0</v>
      </c>
      <c r="W1634" s="20">
        <v>5.4398148148148144E-4</v>
      </c>
      <c r="X1634" t="s">
        <v>3859</v>
      </c>
      <c r="Y1634">
        <v>2</v>
      </c>
      <c r="Z1634">
        <v>0</v>
      </c>
      <c r="AA1634" t="s">
        <v>78</v>
      </c>
      <c r="AB1634">
        <v>0</v>
      </c>
      <c r="AC1634" t="s">
        <v>78</v>
      </c>
      <c r="AD1634">
        <v>0</v>
      </c>
      <c r="AE1634">
        <v>-1</v>
      </c>
      <c r="AF1634" t="s">
        <v>88</v>
      </c>
      <c r="AG1634" t="s">
        <v>3782</v>
      </c>
    </row>
    <row r="1635" spans="1:33" x14ac:dyDescent="0.35">
      <c r="A1635" s="18">
        <v>44353.486805555556</v>
      </c>
      <c r="B1635">
        <v>900127</v>
      </c>
      <c r="C1635" t="s">
        <v>3641</v>
      </c>
      <c r="D1635" t="s">
        <v>158</v>
      </c>
      <c r="E1635" s="19">
        <v>41033</v>
      </c>
      <c r="F1635" t="str">
        <f>"9780123859723"</f>
        <v>9780123859723</v>
      </c>
      <c r="G1635" t="str">
        <f>"9780123859716"</f>
        <v>9780123859716</v>
      </c>
      <c r="H1635" t="s">
        <v>1194</v>
      </c>
      <c r="I1635">
        <v>620.11</v>
      </c>
      <c r="J1635" t="s">
        <v>3642</v>
      </c>
      <c r="K1635" t="s">
        <v>73</v>
      </c>
      <c r="N1635" t="s">
        <v>74</v>
      </c>
      <c r="O1635" t="s">
        <v>75</v>
      </c>
      <c r="P1635" t="s">
        <v>74</v>
      </c>
      <c r="Q1635" t="s">
        <v>76</v>
      </c>
      <c r="R1635" t="s">
        <v>73</v>
      </c>
      <c r="S1635">
        <v>0</v>
      </c>
      <c r="W1635" s="20">
        <v>1.1817129629629629E-2</v>
      </c>
      <c r="X1635" t="s">
        <v>3860</v>
      </c>
      <c r="Y1635">
        <v>26</v>
      </c>
      <c r="Z1635">
        <v>1</v>
      </c>
      <c r="AA1635" t="s">
        <v>639</v>
      </c>
      <c r="AB1635">
        <v>3</v>
      </c>
      <c r="AC1635" t="s">
        <v>78</v>
      </c>
      <c r="AD1635">
        <v>0</v>
      </c>
      <c r="AE1635">
        <v>10562191</v>
      </c>
      <c r="AF1635" t="s">
        <v>79</v>
      </c>
      <c r="AG1635" t="s">
        <v>3460</v>
      </c>
    </row>
    <row r="1636" spans="1:33" x14ac:dyDescent="0.35">
      <c r="A1636" s="18">
        <v>44353.472916666666</v>
      </c>
      <c r="B1636">
        <v>1120857</v>
      </c>
      <c r="C1636" t="s">
        <v>3861</v>
      </c>
      <c r="D1636" t="s">
        <v>70</v>
      </c>
      <c r="E1636" s="19">
        <v>41303</v>
      </c>
      <c r="F1636" t="str">
        <f>"9781118403327"</f>
        <v>9781118403327</v>
      </c>
      <c r="G1636" t="str">
        <f>"9781118342367"</f>
        <v>9781118342367</v>
      </c>
      <c r="H1636" t="s">
        <v>1122</v>
      </c>
      <c r="I1636" t="s">
        <v>1123</v>
      </c>
      <c r="J1636" t="s">
        <v>3862</v>
      </c>
      <c r="K1636" t="s">
        <v>73</v>
      </c>
      <c r="N1636" t="s">
        <v>74</v>
      </c>
      <c r="O1636" t="s">
        <v>75</v>
      </c>
      <c r="P1636" t="s">
        <v>74</v>
      </c>
      <c r="Q1636" t="s">
        <v>76</v>
      </c>
      <c r="R1636" t="s">
        <v>73</v>
      </c>
      <c r="S1636">
        <v>0</v>
      </c>
      <c r="W1636" s="20">
        <v>1.5046296296296297E-4</v>
      </c>
      <c r="X1636" t="s">
        <v>639</v>
      </c>
      <c r="Y1636">
        <v>3</v>
      </c>
      <c r="Z1636">
        <v>0</v>
      </c>
      <c r="AA1636" t="s">
        <v>78</v>
      </c>
      <c r="AB1636">
        <v>0</v>
      </c>
      <c r="AC1636" t="s">
        <v>78</v>
      </c>
      <c r="AD1636">
        <v>0</v>
      </c>
      <c r="AE1636">
        <v>10657971</v>
      </c>
      <c r="AF1636" t="s">
        <v>79</v>
      </c>
      <c r="AG1636" t="s">
        <v>3622</v>
      </c>
    </row>
    <row r="1637" spans="1:33" x14ac:dyDescent="0.35">
      <c r="A1637" s="18">
        <v>44353.022916666669</v>
      </c>
      <c r="B1637">
        <v>442128</v>
      </c>
      <c r="C1637" t="s">
        <v>3747</v>
      </c>
      <c r="D1637" t="s">
        <v>234</v>
      </c>
      <c r="E1637" s="19">
        <v>39845</v>
      </c>
      <c r="F1637" t="str">
        <f>"9788122428759"</f>
        <v>9788122428759</v>
      </c>
      <c r="G1637" t="str">
        <f>"9788122426816"</f>
        <v>9788122426816</v>
      </c>
      <c r="H1637" t="s">
        <v>3748</v>
      </c>
      <c r="I1637" t="s">
        <v>3749</v>
      </c>
      <c r="J1637" t="s">
        <v>3750</v>
      </c>
      <c r="K1637" t="s">
        <v>73</v>
      </c>
      <c r="N1637" t="s">
        <v>74</v>
      </c>
      <c r="O1637" t="s">
        <v>75</v>
      </c>
      <c r="P1637" t="s">
        <v>74</v>
      </c>
      <c r="Q1637" t="s">
        <v>76</v>
      </c>
      <c r="R1637" t="s">
        <v>73</v>
      </c>
      <c r="S1637">
        <v>0</v>
      </c>
      <c r="W1637" s="20">
        <v>7.2222222222222228E-3</v>
      </c>
      <c r="X1637" t="s">
        <v>3863</v>
      </c>
      <c r="Y1637">
        <v>32</v>
      </c>
      <c r="Z1637">
        <v>0</v>
      </c>
      <c r="AA1637" t="s">
        <v>78</v>
      </c>
      <c r="AB1637">
        <v>0</v>
      </c>
      <c r="AC1637" t="s">
        <v>78</v>
      </c>
      <c r="AD1637">
        <v>0</v>
      </c>
      <c r="AE1637">
        <v>10318676</v>
      </c>
      <c r="AF1637" t="s">
        <v>79</v>
      </c>
      <c r="AG1637" t="s">
        <v>2640</v>
      </c>
    </row>
    <row r="1638" spans="1:33" x14ac:dyDescent="0.35">
      <c r="A1638" s="18">
        <v>44352.936111111114</v>
      </c>
      <c r="B1638">
        <v>900127</v>
      </c>
      <c r="C1638" t="s">
        <v>3641</v>
      </c>
      <c r="D1638" t="s">
        <v>158</v>
      </c>
      <c r="E1638" s="19">
        <v>41033</v>
      </c>
      <c r="F1638" t="str">
        <f>"9780123859723"</f>
        <v>9780123859723</v>
      </c>
      <c r="G1638" t="str">
        <f>"9780123859716"</f>
        <v>9780123859716</v>
      </c>
      <c r="H1638" t="s">
        <v>1194</v>
      </c>
      <c r="I1638">
        <v>620.11</v>
      </c>
      <c r="J1638" t="s">
        <v>3642</v>
      </c>
      <c r="K1638" t="s">
        <v>73</v>
      </c>
      <c r="N1638" t="s">
        <v>74</v>
      </c>
      <c r="O1638" t="s">
        <v>75</v>
      </c>
      <c r="P1638" t="s">
        <v>74</v>
      </c>
      <c r="Q1638" t="s">
        <v>76</v>
      </c>
      <c r="R1638" t="s">
        <v>73</v>
      </c>
      <c r="S1638">
        <v>0</v>
      </c>
      <c r="W1638" s="20">
        <v>3.4722222222222222E-5</v>
      </c>
      <c r="X1638" t="s">
        <v>78</v>
      </c>
      <c r="Y1638">
        <v>0</v>
      </c>
      <c r="Z1638">
        <v>1</v>
      </c>
      <c r="AA1638" t="s">
        <v>3864</v>
      </c>
      <c r="AB1638">
        <v>7</v>
      </c>
      <c r="AC1638" t="s">
        <v>78</v>
      </c>
      <c r="AD1638">
        <v>0</v>
      </c>
      <c r="AE1638">
        <v>10562191</v>
      </c>
      <c r="AF1638" t="s">
        <v>79</v>
      </c>
      <c r="AG1638" t="s">
        <v>3460</v>
      </c>
    </row>
    <row r="1639" spans="1:33" x14ac:dyDescent="0.35">
      <c r="A1639" s="18">
        <v>44352.935416666667</v>
      </c>
      <c r="B1639">
        <v>288921</v>
      </c>
      <c r="C1639" t="s">
        <v>3638</v>
      </c>
      <c r="D1639" t="s">
        <v>158</v>
      </c>
      <c r="E1639" s="19">
        <v>38378</v>
      </c>
      <c r="F1639" t="str">
        <f>"9780080468648"</f>
        <v>9780080468648</v>
      </c>
      <c r="G1639" t="str">
        <f>"9780750661683"</f>
        <v>9780750661683</v>
      </c>
      <c r="H1639" t="s">
        <v>979</v>
      </c>
      <c r="I1639" t="s">
        <v>256</v>
      </c>
      <c r="J1639" t="s">
        <v>3639</v>
      </c>
      <c r="K1639" t="s">
        <v>73</v>
      </c>
      <c r="N1639" t="s">
        <v>74</v>
      </c>
      <c r="O1639" t="s">
        <v>75</v>
      </c>
      <c r="P1639" t="s">
        <v>74</v>
      </c>
      <c r="Q1639" t="s">
        <v>76</v>
      </c>
      <c r="R1639" t="s">
        <v>73</v>
      </c>
      <c r="S1639">
        <v>0</v>
      </c>
      <c r="W1639" s="20">
        <v>4.2824074074074075E-4</v>
      </c>
      <c r="X1639" t="s">
        <v>3865</v>
      </c>
      <c r="Y1639">
        <v>5</v>
      </c>
      <c r="Z1639">
        <v>2</v>
      </c>
      <c r="AA1639" t="s">
        <v>3866</v>
      </c>
      <c r="AB1639">
        <v>96</v>
      </c>
      <c r="AC1639" t="s">
        <v>78</v>
      </c>
      <c r="AD1639">
        <v>0</v>
      </c>
      <c r="AE1639">
        <v>10169890</v>
      </c>
      <c r="AF1639" t="s">
        <v>79</v>
      </c>
      <c r="AG1639" t="s">
        <v>3460</v>
      </c>
    </row>
    <row r="1640" spans="1:33" x14ac:dyDescent="0.35">
      <c r="A1640" s="18">
        <v>44352.887499999997</v>
      </c>
      <c r="B1640">
        <v>900127</v>
      </c>
      <c r="C1640" t="s">
        <v>3641</v>
      </c>
      <c r="D1640" t="s">
        <v>158</v>
      </c>
      <c r="E1640" s="19">
        <v>41033</v>
      </c>
      <c r="F1640" t="str">
        <f>"9780123859723"</f>
        <v>9780123859723</v>
      </c>
      <c r="G1640" t="str">
        <f>"9780123859716"</f>
        <v>9780123859716</v>
      </c>
      <c r="H1640" t="s">
        <v>1194</v>
      </c>
      <c r="I1640">
        <v>620.11</v>
      </c>
      <c r="J1640" t="s">
        <v>3642</v>
      </c>
      <c r="K1640" t="s">
        <v>73</v>
      </c>
      <c r="N1640" t="s">
        <v>74</v>
      </c>
      <c r="O1640" t="s">
        <v>75</v>
      </c>
      <c r="P1640" t="s">
        <v>74</v>
      </c>
      <c r="Q1640" t="s">
        <v>76</v>
      </c>
      <c r="R1640" t="s">
        <v>73</v>
      </c>
      <c r="S1640">
        <v>0</v>
      </c>
      <c r="W1640" s="20">
        <v>9.9768518518518531E-3</v>
      </c>
      <c r="X1640" t="s">
        <v>3867</v>
      </c>
      <c r="Y1640">
        <v>10</v>
      </c>
      <c r="Z1640">
        <v>0</v>
      </c>
      <c r="AA1640" t="s">
        <v>78</v>
      </c>
      <c r="AB1640">
        <v>0</v>
      </c>
      <c r="AC1640" t="s">
        <v>78</v>
      </c>
      <c r="AD1640">
        <v>0</v>
      </c>
      <c r="AE1640">
        <v>10562191</v>
      </c>
      <c r="AF1640" t="s">
        <v>79</v>
      </c>
      <c r="AG1640" t="s">
        <v>3460</v>
      </c>
    </row>
    <row r="1641" spans="1:33" x14ac:dyDescent="0.35">
      <c r="A1641" s="18">
        <v>44352.887499999997</v>
      </c>
      <c r="B1641">
        <v>288921</v>
      </c>
      <c r="C1641" t="s">
        <v>3638</v>
      </c>
      <c r="D1641" t="s">
        <v>158</v>
      </c>
      <c r="E1641" s="19">
        <v>38378</v>
      </c>
      <c r="F1641" t="str">
        <f>"9780080468648"</f>
        <v>9780080468648</v>
      </c>
      <c r="G1641" t="str">
        <f>"9780750661683"</f>
        <v>9780750661683</v>
      </c>
      <c r="H1641" t="s">
        <v>979</v>
      </c>
      <c r="I1641" t="s">
        <v>256</v>
      </c>
      <c r="J1641" t="s">
        <v>3639</v>
      </c>
      <c r="K1641" t="s">
        <v>73</v>
      </c>
      <c r="N1641" t="s">
        <v>74</v>
      </c>
      <c r="O1641" t="s">
        <v>75</v>
      </c>
      <c r="P1641" t="s">
        <v>74</v>
      </c>
      <c r="Q1641" t="s">
        <v>76</v>
      </c>
      <c r="R1641" t="s">
        <v>73</v>
      </c>
      <c r="S1641">
        <v>0</v>
      </c>
      <c r="W1641" s="20">
        <v>1.0115740740740741E-2</v>
      </c>
      <c r="X1641" t="s">
        <v>3868</v>
      </c>
      <c r="Y1641">
        <v>8</v>
      </c>
      <c r="Z1641">
        <v>0</v>
      </c>
      <c r="AA1641" t="s">
        <v>78</v>
      </c>
      <c r="AB1641">
        <v>0</v>
      </c>
      <c r="AC1641" t="s">
        <v>78</v>
      </c>
      <c r="AD1641">
        <v>0</v>
      </c>
      <c r="AE1641">
        <v>10169890</v>
      </c>
      <c r="AF1641" t="s">
        <v>79</v>
      </c>
      <c r="AG1641" t="s">
        <v>3460</v>
      </c>
    </row>
    <row r="1642" spans="1:33" x14ac:dyDescent="0.35">
      <c r="A1642" s="18">
        <v>44352.826388888891</v>
      </c>
      <c r="B1642">
        <v>1446430</v>
      </c>
      <c r="C1642" t="s">
        <v>1649</v>
      </c>
      <c r="D1642" t="s">
        <v>127</v>
      </c>
      <c r="E1642" s="19">
        <v>40274</v>
      </c>
      <c r="F1642" t="str">
        <f>"9781439882573"</f>
        <v>9781439882573</v>
      </c>
      <c r="G1642" t="str">
        <f>"9781420085983"</f>
        <v>9781420085983</v>
      </c>
      <c r="H1642" t="s">
        <v>979</v>
      </c>
      <c r="I1642" t="s">
        <v>1650</v>
      </c>
      <c r="J1642" t="s">
        <v>1651</v>
      </c>
      <c r="K1642" t="s">
        <v>73</v>
      </c>
      <c r="N1642" t="s">
        <v>74</v>
      </c>
      <c r="O1642" t="s">
        <v>75</v>
      </c>
      <c r="P1642" t="s">
        <v>74</v>
      </c>
      <c r="Q1642" t="s">
        <v>76</v>
      </c>
      <c r="R1642" t="s">
        <v>73</v>
      </c>
      <c r="S1642">
        <v>0</v>
      </c>
      <c r="W1642" s="20">
        <v>5.3587962962962964E-3</v>
      </c>
      <c r="X1642" t="s">
        <v>3869</v>
      </c>
      <c r="Y1642">
        <v>33</v>
      </c>
      <c r="Z1642">
        <v>0</v>
      </c>
      <c r="AA1642" t="s">
        <v>78</v>
      </c>
      <c r="AB1642">
        <v>0</v>
      </c>
      <c r="AC1642" t="s">
        <v>78</v>
      </c>
      <c r="AD1642">
        <v>0</v>
      </c>
      <c r="AE1642">
        <v>11166018</v>
      </c>
      <c r="AF1642" t="s">
        <v>79</v>
      </c>
      <c r="AG1642" t="s">
        <v>3622</v>
      </c>
    </row>
    <row r="1643" spans="1:33" x14ac:dyDescent="0.35">
      <c r="A1643" s="18">
        <v>44351.222222222219</v>
      </c>
      <c r="B1643">
        <v>288921</v>
      </c>
      <c r="C1643" t="s">
        <v>3638</v>
      </c>
      <c r="D1643" t="s">
        <v>158</v>
      </c>
      <c r="E1643" s="19">
        <v>38378</v>
      </c>
      <c r="F1643" t="str">
        <f>"9780080468648"</f>
        <v>9780080468648</v>
      </c>
      <c r="G1643" t="str">
        <f>"9780750661683"</f>
        <v>9780750661683</v>
      </c>
      <c r="H1643" t="s">
        <v>979</v>
      </c>
      <c r="I1643" t="s">
        <v>256</v>
      </c>
      <c r="J1643" t="s">
        <v>3639</v>
      </c>
      <c r="K1643" t="s">
        <v>73</v>
      </c>
      <c r="N1643" t="s">
        <v>74</v>
      </c>
      <c r="O1643" t="s">
        <v>75</v>
      </c>
      <c r="P1643" t="s">
        <v>74</v>
      </c>
      <c r="Q1643" t="s">
        <v>76</v>
      </c>
      <c r="R1643" t="s">
        <v>73</v>
      </c>
      <c r="S1643">
        <v>0</v>
      </c>
      <c r="W1643" s="20">
        <v>1.6203703703703703E-4</v>
      </c>
      <c r="X1643" t="s">
        <v>2362</v>
      </c>
      <c r="Y1643">
        <v>4</v>
      </c>
      <c r="Z1643">
        <v>0</v>
      </c>
      <c r="AA1643" t="s">
        <v>78</v>
      </c>
      <c r="AB1643">
        <v>0</v>
      </c>
      <c r="AC1643" t="s">
        <v>78</v>
      </c>
      <c r="AD1643">
        <v>0</v>
      </c>
      <c r="AE1643">
        <v>10169890</v>
      </c>
      <c r="AF1643" t="s">
        <v>79</v>
      </c>
      <c r="AG1643" t="s">
        <v>3460</v>
      </c>
    </row>
    <row r="1644" spans="1:33" x14ac:dyDescent="0.35">
      <c r="A1644" s="18">
        <v>44351.218055555553</v>
      </c>
      <c r="B1644">
        <v>900127</v>
      </c>
      <c r="C1644" t="s">
        <v>3641</v>
      </c>
      <c r="D1644" t="s">
        <v>158</v>
      </c>
      <c r="E1644" s="19">
        <v>41033</v>
      </c>
      <c r="F1644" t="str">
        <f>"9780123859723"</f>
        <v>9780123859723</v>
      </c>
      <c r="G1644" t="str">
        <f>"9780123859716"</f>
        <v>9780123859716</v>
      </c>
      <c r="H1644" t="s">
        <v>1194</v>
      </c>
      <c r="I1644">
        <v>620.11</v>
      </c>
      <c r="J1644" t="s">
        <v>3642</v>
      </c>
      <c r="K1644" t="s">
        <v>73</v>
      </c>
      <c r="N1644" t="s">
        <v>74</v>
      </c>
      <c r="O1644" t="s">
        <v>75</v>
      </c>
      <c r="P1644" t="s">
        <v>74</v>
      </c>
      <c r="Q1644" t="s">
        <v>76</v>
      </c>
      <c r="R1644" t="s">
        <v>73</v>
      </c>
      <c r="S1644">
        <v>0</v>
      </c>
      <c r="W1644" s="20">
        <v>9.6759259259259264E-3</v>
      </c>
      <c r="X1644" t="s">
        <v>3870</v>
      </c>
      <c r="Y1644">
        <v>26</v>
      </c>
      <c r="Z1644">
        <v>0</v>
      </c>
      <c r="AA1644" t="s">
        <v>78</v>
      </c>
      <c r="AB1644">
        <v>0</v>
      </c>
      <c r="AC1644" t="s">
        <v>78</v>
      </c>
      <c r="AD1644">
        <v>0</v>
      </c>
      <c r="AE1644">
        <v>10562191</v>
      </c>
      <c r="AF1644" t="s">
        <v>79</v>
      </c>
      <c r="AG1644" t="s">
        <v>3460</v>
      </c>
    </row>
    <row r="1645" spans="1:33" x14ac:dyDescent="0.35">
      <c r="A1645" s="18">
        <v>44351.18472222222</v>
      </c>
      <c r="B1645">
        <v>288921</v>
      </c>
      <c r="C1645" t="s">
        <v>3638</v>
      </c>
      <c r="D1645" t="s">
        <v>158</v>
      </c>
      <c r="E1645" s="19">
        <v>38378</v>
      </c>
      <c r="F1645" t="str">
        <f>"9780080468648"</f>
        <v>9780080468648</v>
      </c>
      <c r="G1645" t="str">
        <f>"9780750661683"</f>
        <v>9780750661683</v>
      </c>
      <c r="H1645" t="s">
        <v>979</v>
      </c>
      <c r="I1645" t="s">
        <v>256</v>
      </c>
      <c r="J1645" t="s">
        <v>3639</v>
      </c>
      <c r="K1645" t="s">
        <v>73</v>
      </c>
      <c r="N1645" t="s">
        <v>74</v>
      </c>
      <c r="O1645" t="s">
        <v>75</v>
      </c>
      <c r="P1645" t="s">
        <v>74</v>
      </c>
      <c r="Q1645" t="s">
        <v>76</v>
      </c>
      <c r="R1645" t="s">
        <v>73</v>
      </c>
      <c r="S1645">
        <v>0</v>
      </c>
      <c r="W1645" s="20">
        <v>6.8402777777777776E-3</v>
      </c>
      <c r="X1645" t="s">
        <v>3871</v>
      </c>
      <c r="Y1645">
        <v>29</v>
      </c>
      <c r="Z1645">
        <v>0</v>
      </c>
      <c r="AA1645" t="s">
        <v>78</v>
      </c>
      <c r="AB1645">
        <v>0</v>
      </c>
      <c r="AC1645" t="s">
        <v>78</v>
      </c>
      <c r="AD1645">
        <v>0</v>
      </c>
      <c r="AE1645">
        <v>10169890</v>
      </c>
      <c r="AF1645" t="s">
        <v>79</v>
      </c>
      <c r="AG1645" t="s">
        <v>3460</v>
      </c>
    </row>
    <row r="1646" spans="1:33" x14ac:dyDescent="0.35">
      <c r="A1646" s="18">
        <v>44351.177777777775</v>
      </c>
      <c r="B1646">
        <v>900127</v>
      </c>
      <c r="C1646" t="s">
        <v>3641</v>
      </c>
      <c r="D1646" t="s">
        <v>158</v>
      </c>
      <c r="E1646" s="19">
        <v>41033</v>
      </c>
      <c r="F1646" t="str">
        <f>"9780123859723"</f>
        <v>9780123859723</v>
      </c>
      <c r="G1646" t="str">
        <f>"9780123859716"</f>
        <v>9780123859716</v>
      </c>
      <c r="H1646" t="s">
        <v>1194</v>
      </c>
      <c r="I1646">
        <v>620.11</v>
      </c>
      <c r="J1646" t="s">
        <v>3642</v>
      </c>
      <c r="K1646" t="s">
        <v>73</v>
      </c>
      <c r="N1646" t="s">
        <v>74</v>
      </c>
      <c r="O1646" t="s">
        <v>75</v>
      </c>
      <c r="P1646" t="s">
        <v>74</v>
      </c>
      <c r="Q1646" t="s">
        <v>76</v>
      </c>
      <c r="R1646" t="s">
        <v>73</v>
      </c>
      <c r="S1646">
        <v>0</v>
      </c>
      <c r="W1646" s="20">
        <v>1.0104166666666668E-2</v>
      </c>
      <c r="X1646" t="s">
        <v>3872</v>
      </c>
      <c r="Y1646">
        <v>5</v>
      </c>
      <c r="Z1646">
        <v>0</v>
      </c>
      <c r="AA1646" t="s">
        <v>78</v>
      </c>
      <c r="AB1646">
        <v>0</v>
      </c>
      <c r="AC1646" t="s">
        <v>78</v>
      </c>
      <c r="AD1646">
        <v>0</v>
      </c>
      <c r="AE1646">
        <v>10562191</v>
      </c>
      <c r="AF1646" t="s">
        <v>79</v>
      </c>
      <c r="AG1646" t="s">
        <v>3460</v>
      </c>
    </row>
    <row r="1647" spans="1:33" x14ac:dyDescent="0.35">
      <c r="A1647" s="18">
        <v>44350.776388888888</v>
      </c>
      <c r="B1647">
        <v>6040229</v>
      </c>
      <c r="C1647" t="s">
        <v>3845</v>
      </c>
      <c r="D1647" t="s">
        <v>3089</v>
      </c>
      <c r="E1647" s="19">
        <v>43892</v>
      </c>
      <c r="F1647" t="str">
        <f>"9781683924937"</f>
        <v>9781683924937</v>
      </c>
      <c r="G1647" t="str">
        <f>"9781683924951"</f>
        <v>9781683924951</v>
      </c>
      <c r="H1647" t="s">
        <v>110</v>
      </c>
      <c r="I1647">
        <v>5.133</v>
      </c>
      <c r="J1647" t="s">
        <v>3846</v>
      </c>
      <c r="K1647" t="s">
        <v>85</v>
      </c>
      <c r="Q1647" t="s">
        <v>76</v>
      </c>
      <c r="R1647" t="s">
        <v>73</v>
      </c>
      <c r="S1647">
        <v>0</v>
      </c>
      <c r="W1647" s="20">
        <v>4.2013888888888891E-3</v>
      </c>
      <c r="X1647" t="s">
        <v>3873</v>
      </c>
      <c r="Y1647">
        <v>19</v>
      </c>
      <c r="Z1647">
        <v>0</v>
      </c>
      <c r="AA1647" t="s">
        <v>78</v>
      </c>
      <c r="AB1647">
        <v>0</v>
      </c>
      <c r="AC1647" t="s">
        <v>78</v>
      </c>
      <c r="AD1647">
        <v>0</v>
      </c>
      <c r="AE1647">
        <v>-1</v>
      </c>
      <c r="AF1647" t="s">
        <v>88</v>
      </c>
      <c r="AG1647" t="s">
        <v>3782</v>
      </c>
    </row>
    <row r="1648" spans="1:33" x14ac:dyDescent="0.35">
      <c r="A1648" s="18">
        <v>44350.765277777777</v>
      </c>
      <c r="B1648">
        <v>288921</v>
      </c>
      <c r="C1648" t="s">
        <v>3638</v>
      </c>
      <c r="D1648" t="s">
        <v>158</v>
      </c>
      <c r="E1648" s="19">
        <v>38378</v>
      </c>
      <c r="F1648" t="str">
        <f>"9780080468648"</f>
        <v>9780080468648</v>
      </c>
      <c r="G1648" t="str">
        <f>"9780750661683"</f>
        <v>9780750661683</v>
      </c>
      <c r="H1648" t="s">
        <v>979</v>
      </c>
      <c r="I1648" t="s">
        <v>256</v>
      </c>
      <c r="J1648" t="s">
        <v>3639</v>
      </c>
      <c r="K1648" t="s">
        <v>73</v>
      </c>
      <c r="N1648" t="s">
        <v>74</v>
      </c>
      <c r="O1648" t="s">
        <v>75</v>
      </c>
      <c r="P1648" t="s">
        <v>74</v>
      </c>
      <c r="Q1648" t="s">
        <v>76</v>
      </c>
      <c r="R1648" t="s">
        <v>73</v>
      </c>
      <c r="S1648">
        <v>0</v>
      </c>
      <c r="W1648" s="20">
        <v>2.199074074074074E-4</v>
      </c>
      <c r="X1648" t="s">
        <v>3874</v>
      </c>
      <c r="Y1648">
        <v>4</v>
      </c>
      <c r="Z1648">
        <v>0</v>
      </c>
      <c r="AA1648" t="s">
        <v>78</v>
      </c>
      <c r="AB1648">
        <v>0</v>
      </c>
      <c r="AC1648" t="s">
        <v>78</v>
      </c>
      <c r="AD1648">
        <v>0</v>
      </c>
      <c r="AE1648">
        <v>10169890</v>
      </c>
      <c r="AF1648" t="s">
        <v>79</v>
      </c>
      <c r="AG1648" t="s">
        <v>3460</v>
      </c>
    </row>
    <row r="1649" spans="1:33" x14ac:dyDescent="0.35">
      <c r="A1649" s="18">
        <v>44350.763888888891</v>
      </c>
      <c r="B1649">
        <v>900127</v>
      </c>
      <c r="C1649" t="s">
        <v>3641</v>
      </c>
      <c r="D1649" t="s">
        <v>158</v>
      </c>
      <c r="E1649" s="19">
        <v>41033</v>
      </c>
      <c r="F1649" t="str">
        <f>"9780123859723"</f>
        <v>9780123859723</v>
      </c>
      <c r="G1649" t="str">
        <f>"9780123859716"</f>
        <v>9780123859716</v>
      </c>
      <c r="H1649" t="s">
        <v>1194</v>
      </c>
      <c r="I1649">
        <v>620.11</v>
      </c>
      <c r="J1649" t="s">
        <v>3642</v>
      </c>
      <c r="K1649" t="s">
        <v>73</v>
      </c>
      <c r="N1649" t="s">
        <v>74</v>
      </c>
      <c r="O1649" t="s">
        <v>75</v>
      </c>
      <c r="P1649" t="s">
        <v>74</v>
      </c>
      <c r="Q1649" t="s">
        <v>76</v>
      </c>
      <c r="R1649" t="s">
        <v>73</v>
      </c>
      <c r="S1649">
        <v>0</v>
      </c>
      <c r="W1649" s="20">
        <v>9.9537037037037042E-4</v>
      </c>
      <c r="X1649" t="s">
        <v>3875</v>
      </c>
      <c r="Y1649">
        <v>14</v>
      </c>
      <c r="Z1649">
        <v>0</v>
      </c>
      <c r="AA1649" t="s">
        <v>78</v>
      </c>
      <c r="AB1649">
        <v>0</v>
      </c>
      <c r="AC1649" t="s">
        <v>78</v>
      </c>
      <c r="AD1649">
        <v>0</v>
      </c>
      <c r="AE1649">
        <v>10562191</v>
      </c>
      <c r="AF1649" t="s">
        <v>79</v>
      </c>
      <c r="AG1649" t="s">
        <v>3460</v>
      </c>
    </row>
    <row r="1650" spans="1:33" x14ac:dyDescent="0.35">
      <c r="A1650" s="18">
        <v>44350.759027777778</v>
      </c>
      <c r="B1650">
        <v>5747364</v>
      </c>
      <c r="C1650" t="s">
        <v>3848</v>
      </c>
      <c r="D1650" t="s">
        <v>70</v>
      </c>
      <c r="E1650" s="19">
        <v>43585</v>
      </c>
      <c r="F1650" t="str">
        <f>"9781119545699"</f>
        <v>9781119545699</v>
      </c>
      <c r="G1650" t="str">
        <f>"9781119545637"</f>
        <v>9781119545637</v>
      </c>
      <c r="H1650" t="s">
        <v>110</v>
      </c>
      <c r="I1650">
        <v>5.133</v>
      </c>
      <c r="J1650" t="s">
        <v>3849</v>
      </c>
      <c r="K1650" t="s">
        <v>73</v>
      </c>
      <c r="N1650" t="s">
        <v>74</v>
      </c>
      <c r="O1650" t="s">
        <v>75</v>
      </c>
      <c r="P1650" t="s">
        <v>74</v>
      </c>
      <c r="Q1650" t="s">
        <v>76</v>
      </c>
      <c r="R1650" t="s">
        <v>73</v>
      </c>
      <c r="S1650">
        <v>0</v>
      </c>
      <c r="W1650" s="20">
        <v>2.6377314814814815E-2</v>
      </c>
      <c r="X1650" t="s">
        <v>3876</v>
      </c>
      <c r="Y1650">
        <v>58</v>
      </c>
      <c r="Z1650">
        <v>14</v>
      </c>
      <c r="AA1650" t="s">
        <v>3877</v>
      </c>
      <c r="AB1650">
        <v>111</v>
      </c>
      <c r="AC1650" t="s">
        <v>78</v>
      </c>
      <c r="AD1650">
        <v>0</v>
      </c>
      <c r="AE1650">
        <v>-1</v>
      </c>
      <c r="AF1650" t="s">
        <v>88</v>
      </c>
      <c r="AG1650" t="s">
        <v>3782</v>
      </c>
    </row>
    <row r="1651" spans="1:33" x14ac:dyDescent="0.35">
      <c r="A1651" s="18">
        <v>44350.72152777778</v>
      </c>
      <c r="B1651">
        <v>5747364</v>
      </c>
      <c r="C1651" t="s">
        <v>3848</v>
      </c>
      <c r="D1651" t="s">
        <v>70</v>
      </c>
      <c r="E1651" s="19">
        <v>43585</v>
      </c>
      <c r="F1651" t="str">
        <f>"9781119545699"</f>
        <v>9781119545699</v>
      </c>
      <c r="G1651" t="str">
        <f>"9781119545637"</f>
        <v>9781119545637</v>
      </c>
      <c r="H1651" t="s">
        <v>110</v>
      </c>
      <c r="I1651">
        <v>5.133</v>
      </c>
      <c r="J1651" t="s">
        <v>3849</v>
      </c>
      <c r="K1651" t="s">
        <v>73</v>
      </c>
      <c r="N1651" t="s">
        <v>74</v>
      </c>
      <c r="O1651" t="s">
        <v>75</v>
      </c>
      <c r="P1651" t="s">
        <v>74</v>
      </c>
      <c r="Q1651" t="s">
        <v>76</v>
      </c>
      <c r="R1651" t="s">
        <v>73</v>
      </c>
      <c r="S1651">
        <v>1</v>
      </c>
      <c r="W1651" s="20">
        <v>0</v>
      </c>
      <c r="X1651" t="s">
        <v>78</v>
      </c>
      <c r="Y1651">
        <v>0</v>
      </c>
      <c r="Z1651">
        <v>0</v>
      </c>
      <c r="AA1651" t="s">
        <v>78</v>
      </c>
      <c r="AB1651">
        <v>0</v>
      </c>
      <c r="AC1651" t="s">
        <v>78</v>
      </c>
      <c r="AD1651">
        <v>0</v>
      </c>
      <c r="AE1651">
        <v>-1</v>
      </c>
      <c r="AF1651" t="s">
        <v>88</v>
      </c>
      <c r="AG1651" t="s">
        <v>3782</v>
      </c>
    </row>
    <row r="1652" spans="1:33" x14ac:dyDescent="0.35">
      <c r="A1652" s="18">
        <v>44350.486805555556</v>
      </c>
      <c r="B1652">
        <v>5747364</v>
      </c>
      <c r="C1652" t="s">
        <v>3848</v>
      </c>
      <c r="D1652" t="s">
        <v>70</v>
      </c>
      <c r="E1652" s="19">
        <v>43585</v>
      </c>
      <c r="F1652" t="str">
        <f>"9781119545699"</f>
        <v>9781119545699</v>
      </c>
      <c r="G1652" t="str">
        <f>"9781119545637"</f>
        <v>9781119545637</v>
      </c>
      <c r="H1652" t="s">
        <v>110</v>
      </c>
      <c r="I1652">
        <v>5.133</v>
      </c>
      <c r="J1652" t="s">
        <v>3849</v>
      </c>
      <c r="K1652" t="s">
        <v>73</v>
      </c>
      <c r="N1652" t="s">
        <v>74</v>
      </c>
      <c r="O1652" t="s">
        <v>75</v>
      </c>
      <c r="P1652" t="s">
        <v>74</v>
      </c>
      <c r="Q1652" t="s">
        <v>76</v>
      </c>
      <c r="R1652" t="s">
        <v>73</v>
      </c>
      <c r="S1652">
        <v>0</v>
      </c>
      <c r="W1652" s="20">
        <v>7.6388888888888893E-4</v>
      </c>
      <c r="X1652" t="s">
        <v>3878</v>
      </c>
      <c r="Y1652">
        <v>12</v>
      </c>
      <c r="Z1652">
        <v>0</v>
      </c>
      <c r="AA1652" t="s">
        <v>78</v>
      </c>
      <c r="AB1652">
        <v>0</v>
      </c>
      <c r="AC1652" t="s">
        <v>78</v>
      </c>
      <c r="AD1652">
        <v>0</v>
      </c>
      <c r="AE1652">
        <v>-1</v>
      </c>
      <c r="AF1652" t="s">
        <v>79</v>
      </c>
      <c r="AG1652" t="s">
        <v>3782</v>
      </c>
    </row>
    <row r="1653" spans="1:33" x14ac:dyDescent="0.35">
      <c r="A1653" s="18">
        <v>44349.756944444445</v>
      </c>
      <c r="B1653">
        <v>2012870</v>
      </c>
      <c r="C1653" t="s">
        <v>3366</v>
      </c>
      <c r="D1653" t="s">
        <v>102</v>
      </c>
      <c r="E1653" s="19">
        <v>36076</v>
      </c>
      <c r="F1653" t="str">
        <f>"9780195352108"</f>
        <v>9780195352108</v>
      </c>
      <c r="G1653" t="str">
        <f>"9780195126600"</f>
        <v>9780195126600</v>
      </c>
      <c r="H1653" t="s">
        <v>128</v>
      </c>
      <c r="I1653" t="s">
        <v>3367</v>
      </c>
      <c r="J1653" t="s">
        <v>3368</v>
      </c>
      <c r="K1653" t="s">
        <v>73</v>
      </c>
      <c r="N1653" t="s">
        <v>74</v>
      </c>
      <c r="O1653" t="s">
        <v>75</v>
      </c>
      <c r="P1653" t="s">
        <v>74</v>
      </c>
      <c r="Q1653" t="s">
        <v>76</v>
      </c>
      <c r="R1653" t="s">
        <v>73</v>
      </c>
      <c r="S1653">
        <v>0</v>
      </c>
      <c r="W1653" s="20">
        <v>2.4606481481481479E-2</v>
      </c>
      <c r="X1653" t="s">
        <v>3879</v>
      </c>
      <c r="Y1653">
        <v>21</v>
      </c>
      <c r="Z1653">
        <v>0</v>
      </c>
      <c r="AA1653" t="s">
        <v>78</v>
      </c>
      <c r="AB1653">
        <v>0</v>
      </c>
      <c r="AC1653" t="s">
        <v>3880</v>
      </c>
      <c r="AD1653">
        <v>19</v>
      </c>
      <c r="AE1653">
        <v>10279371</v>
      </c>
      <c r="AF1653" t="s">
        <v>79</v>
      </c>
      <c r="AG1653" t="s">
        <v>3746</v>
      </c>
    </row>
    <row r="1654" spans="1:33" x14ac:dyDescent="0.35">
      <c r="A1654" s="18">
        <v>44349.732638888891</v>
      </c>
      <c r="B1654">
        <v>5747364</v>
      </c>
      <c r="C1654" t="s">
        <v>3848</v>
      </c>
      <c r="D1654" t="s">
        <v>70</v>
      </c>
      <c r="E1654" s="19">
        <v>43585</v>
      </c>
      <c r="F1654" t="str">
        <f>"9781119545699"</f>
        <v>9781119545699</v>
      </c>
      <c r="G1654" t="str">
        <f>"9781119545637"</f>
        <v>9781119545637</v>
      </c>
      <c r="H1654" t="s">
        <v>110</v>
      </c>
      <c r="I1654">
        <v>5.133</v>
      </c>
      <c r="J1654" t="s">
        <v>3849</v>
      </c>
      <c r="K1654" t="s">
        <v>73</v>
      </c>
      <c r="N1654" t="s">
        <v>74</v>
      </c>
      <c r="O1654" t="s">
        <v>75</v>
      </c>
      <c r="P1654" t="s">
        <v>74</v>
      </c>
      <c r="Q1654" t="s">
        <v>76</v>
      </c>
      <c r="R1654" t="s">
        <v>73</v>
      </c>
      <c r="S1654">
        <v>1</v>
      </c>
      <c r="W1654" s="20">
        <v>0</v>
      </c>
      <c r="X1654" t="s">
        <v>78</v>
      </c>
      <c r="Y1654">
        <v>0</v>
      </c>
      <c r="Z1654">
        <v>3</v>
      </c>
      <c r="AA1654" t="s">
        <v>3881</v>
      </c>
      <c r="AB1654">
        <v>62</v>
      </c>
      <c r="AC1654" t="s">
        <v>78</v>
      </c>
      <c r="AD1654">
        <v>0</v>
      </c>
      <c r="AE1654">
        <v>-1</v>
      </c>
      <c r="AF1654" t="s">
        <v>88</v>
      </c>
      <c r="AG1654" t="s">
        <v>3882</v>
      </c>
    </row>
    <row r="1655" spans="1:33" x14ac:dyDescent="0.35">
      <c r="A1655" s="18">
        <v>44349.731944444444</v>
      </c>
      <c r="B1655">
        <v>5747364</v>
      </c>
      <c r="C1655" t="s">
        <v>3848</v>
      </c>
      <c r="D1655" t="s">
        <v>70</v>
      </c>
      <c r="E1655" s="19">
        <v>43585</v>
      </c>
      <c r="F1655" t="str">
        <f>"9781119545699"</f>
        <v>9781119545699</v>
      </c>
      <c r="G1655" t="str">
        <f>"9781119545637"</f>
        <v>9781119545637</v>
      </c>
      <c r="H1655" t="s">
        <v>110</v>
      </c>
      <c r="I1655">
        <v>5.133</v>
      </c>
      <c r="J1655" t="s">
        <v>3849</v>
      </c>
      <c r="K1655" t="s">
        <v>73</v>
      </c>
      <c r="N1655" t="s">
        <v>74</v>
      </c>
      <c r="O1655" t="s">
        <v>75</v>
      </c>
      <c r="P1655" t="s">
        <v>74</v>
      </c>
      <c r="Q1655" t="s">
        <v>76</v>
      </c>
      <c r="R1655" t="s">
        <v>73</v>
      </c>
      <c r="S1655">
        <v>1</v>
      </c>
      <c r="W1655" s="20">
        <v>0</v>
      </c>
      <c r="X1655" t="s">
        <v>78</v>
      </c>
      <c r="Y1655">
        <v>0</v>
      </c>
      <c r="Z1655">
        <v>0</v>
      </c>
      <c r="AA1655" t="s">
        <v>78</v>
      </c>
      <c r="AB1655">
        <v>0</v>
      </c>
      <c r="AC1655" t="s">
        <v>78</v>
      </c>
      <c r="AD1655">
        <v>0</v>
      </c>
      <c r="AE1655">
        <v>-1</v>
      </c>
      <c r="AF1655" t="s">
        <v>88</v>
      </c>
      <c r="AG1655" t="s">
        <v>3882</v>
      </c>
    </row>
    <row r="1656" spans="1:33" x14ac:dyDescent="0.35">
      <c r="A1656" s="18">
        <v>44349.706944444442</v>
      </c>
      <c r="B1656">
        <v>3026859</v>
      </c>
      <c r="C1656" t="s">
        <v>3883</v>
      </c>
      <c r="D1656" t="s">
        <v>3884</v>
      </c>
      <c r="E1656" s="19">
        <v>38108</v>
      </c>
      <c r="F1656" t="str">
        <f>"9780821441640"</f>
        <v>9780821441640</v>
      </c>
      <c r="G1656" t="str">
        <f>"9780821415481"</f>
        <v>9780821415481</v>
      </c>
      <c r="H1656" t="s">
        <v>636</v>
      </c>
      <c r="I1656" t="s">
        <v>3885</v>
      </c>
      <c r="J1656" t="s">
        <v>3886</v>
      </c>
      <c r="K1656" t="s">
        <v>73</v>
      </c>
      <c r="N1656" t="s">
        <v>74</v>
      </c>
      <c r="O1656" t="s">
        <v>75</v>
      </c>
      <c r="P1656" t="s">
        <v>74</v>
      </c>
      <c r="Q1656" t="s">
        <v>76</v>
      </c>
      <c r="R1656" t="s">
        <v>73</v>
      </c>
      <c r="S1656">
        <v>0</v>
      </c>
      <c r="W1656" s="20">
        <v>4.7905092592592589E-2</v>
      </c>
      <c r="X1656" t="s">
        <v>3887</v>
      </c>
      <c r="Y1656">
        <v>27</v>
      </c>
      <c r="Z1656">
        <v>0</v>
      </c>
      <c r="AA1656" t="s">
        <v>78</v>
      </c>
      <c r="AB1656">
        <v>0</v>
      </c>
      <c r="AC1656" t="s">
        <v>3888</v>
      </c>
      <c r="AD1656">
        <v>19</v>
      </c>
      <c r="AE1656">
        <v>10118466</v>
      </c>
      <c r="AF1656" t="s">
        <v>79</v>
      </c>
      <c r="AG1656" t="s">
        <v>3746</v>
      </c>
    </row>
    <row r="1657" spans="1:33" x14ac:dyDescent="0.35">
      <c r="A1657" s="18">
        <v>44349.699305555558</v>
      </c>
      <c r="B1657">
        <v>5747364</v>
      </c>
      <c r="C1657" t="s">
        <v>3848</v>
      </c>
      <c r="D1657" t="s">
        <v>70</v>
      </c>
      <c r="E1657" s="19">
        <v>43585</v>
      </c>
      <c r="F1657" t="str">
        <f>"9781119545699"</f>
        <v>9781119545699</v>
      </c>
      <c r="G1657" t="str">
        <f>"9781119545637"</f>
        <v>9781119545637</v>
      </c>
      <c r="H1657" t="s">
        <v>110</v>
      </c>
      <c r="I1657">
        <v>5.133</v>
      </c>
      <c r="J1657" t="s">
        <v>3849</v>
      </c>
      <c r="K1657" t="s">
        <v>73</v>
      </c>
      <c r="N1657" t="s">
        <v>74</v>
      </c>
      <c r="O1657" t="s">
        <v>75</v>
      </c>
      <c r="P1657" t="s">
        <v>74</v>
      </c>
      <c r="Q1657" t="s">
        <v>76</v>
      </c>
      <c r="R1657" t="s">
        <v>73</v>
      </c>
      <c r="S1657">
        <v>0</v>
      </c>
      <c r="W1657" s="20">
        <v>3.2893518518518523E-2</v>
      </c>
      <c r="X1657" t="s">
        <v>3889</v>
      </c>
      <c r="Y1657">
        <v>24</v>
      </c>
      <c r="Z1657">
        <v>0</v>
      </c>
      <c r="AA1657" t="s">
        <v>78</v>
      </c>
      <c r="AB1657">
        <v>0</v>
      </c>
      <c r="AC1657" t="s">
        <v>78</v>
      </c>
      <c r="AD1657">
        <v>0</v>
      </c>
      <c r="AE1657">
        <v>-1</v>
      </c>
      <c r="AF1657" t="s">
        <v>88</v>
      </c>
      <c r="AG1657" t="s">
        <v>3882</v>
      </c>
    </row>
    <row r="1658" spans="1:33" x14ac:dyDescent="0.35">
      <c r="A1658" s="18">
        <v>44349.695138888892</v>
      </c>
      <c r="B1658">
        <v>3339851</v>
      </c>
      <c r="C1658" t="s">
        <v>3341</v>
      </c>
      <c r="D1658" t="s">
        <v>300</v>
      </c>
      <c r="E1658" s="19">
        <v>41873</v>
      </c>
      <c r="F1658" t="str">
        <f>"9780262325745"</f>
        <v>9780262325745</v>
      </c>
      <c r="G1658" t="str">
        <f>"9780262028189"</f>
        <v>9780262028189</v>
      </c>
      <c r="H1658" t="s">
        <v>1466</v>
      </c>
      <c r="I1658" t="s">
        <v>3342</v>
      </c>
      <c r="J1658" t="s">
        <v>3343</v>
      </c>
      <c r="K1658" t="s">
        <v>73</v>
      </c>
      <c r="N1658" t="s">
        <v>74</v>
      </c>
      <c r="O1658" t="s">
        <v>75</v>
      </c>
      <c r="P1658" t="s">
        <v>74</v>
      </c>
      <c r="Q1658" t="s">
        <v>76</v>
      </c>
      <c r="R1658" t="s">
        <v>73</v>
      </c>
      <c r="S1658">
        <v>0</v>
      </c>
      <c r="W1658" s="20">
        <v>3.1481481481481482E-3</v>
      </c>
      <c r="X1658" t="s">
        <v>3890</v>
      </c>
      <c r="Y1658">
        <v>35</v>
      </c>
      <c r="Z1658">
        <v>0</v>
      </c>
      <c r="AA1658" t="s">
        <v>78</v>
      </c>
      <c r="AB1658">
        <v>0</v>
      </c>
      <c r="AC1658" t="s">
        <v>78</v>
      </c>
      <c r="AD1658">
        <v>0</v>
      </c>
      <c r="AE1658">
        <v>10919034</v>
      </c>
      <c r="AF1658" t="s">
        <v>79</v>
      </c>
      <c r="AG1658" t="s">
        <v>3882</v>
      </c>
    </row>
    <row r="1659" spans="1:33" x14ac:dyDescent="0.35">
      <c r="A1659" s="18">
        <v>44349.427777777775</v>
      </c>
      <c r="B1659">
        <v>887116</v>
      </c>
      <c r="C1659" t="s">
        <v>3891</v>
      </c>
      <c r="D1659" t="s">
        <v>189</v>
      </c>
      <c r="E1659" s="19">
        <v>40955</v>
      </c>
      <c r="F1659" t="str">
        <f>"9783110259032"</f>
        <v>9783110259032</v>
      </c>
      <c r="G1659" t="str">
        <f>"9783110259025"</f>
        <v>9783110259025</v>
      </c>
      <c r="H1659" t="s">
        <v>1905</v>
      </c>
      <c r="I1659">
        <v>551.22011299999997</v>
      </c>
      <c r="J1659" t="s">
        <v>3892</v>
      </c>
      <c r="K1659" t="s">
        <v>73</v>
      </c>
      <c r="N1659" t="s">
        <v>74</v>
      </c>
      <c r="O1659" t="s">
        <v>75</v>
      </c>
      <c r="P1659" t="s">
        <v>74</v>
      </c>
      <c r="Q1659" t="s">
        <v>76</v>
      </c>
      <c r="R1659" t="s">
        <v>73</v>
      </c>
      <c r="S1659">
        <v>0</v>
      </c>
      <c r="W1659" s="20">
        <v>1.8055555555555557E-3</v>
      </c>
      <c r="X1659" t="s">
        <v>1279</v>
      </c>
      <c r="Y1659">
        <v>10</v>
      </c>
      <c r="Z1659">
        <v>0</v>
      </c>
      <c r="AA1659" t="s">
        <v>78</v>
      </c>
      <c r="AB1659">
        <v>0</v>
      </c>
      <c r="AC1659" t="s">
        <v>78</v>
      </c>
      <c r="AD1659">
        <v>0</v>
      </c>
      <c r="AE1659">
        <v>10554708</v>
      </c>
      <c r="AF1659" t="s">
        <v>79</v>
      </c>
      <c r="AG1659" t="s">
        <v>3622</v>
      </c>
    </row>
    <row r="1660" spans="1:33" x14ac:dyDescent="0.35">
      <c r="A1660" s="18">
        <v>44348.955555555556</v>
      </c>
      <c r="B1660">
        <v>4183127</v>
      </c>
      <c r="C1660" t="s">
        <v>3893</v>
      </c>
      <c r="D1660" t="s">
        <v>70</v>
      </c>
      <c r="E1660" s="19">
        <v>42310</v>
      </c>
      <c r="F1660" t="str">
        <f>"9783527684649"</f>
        <v>9783527684649</v>
      </c>
      <c r="G1660" t="str">
        <f>"9783527331659"</f>
        <v>9783527331659</v>
      </c>
      <c r="H1660" t="s">
        <v>174</v>
      </c>
      <c r="I1660" t="s">
        <v>3894</v>
      </c>
      <c r="J1660" t="s">
        <v>3895</v>
      </c>
      <c r="K1660" t="s">
        <v>73</v>
      </c>
      <c r="N1660" t="s">
        <v>74</v>
      </c>
      <c r="O1660" t="s">
        <v>75</v>
      </c>
      <c r="P1660" t="s">
        <v>74</v>
      </c>
      <c r="Q1660" t="s">
        <v>76</v>
      </c>
      <c r="R1660" t="s">
        <v>73</v>
      </c>
      <c r="S1660">
        <v>4</v>
      </c>
      <c r="W1660" s="20">
        <v>1.0763888888888889E-3</v>
      </c>
      <c r="X1660" t="s">
        <v>3896</v>
      </c>
      <c r="Y1660">
        <v>13</v>
      </c>
      <c r="Z1660">
        <v>1</v>
      </c>
      <c r="AA1660" t="s">
        <v>1856</v>
      </c>
      <c r="AB1660">
        <v>20</v>
      </c>
      <c r="AC1660" t="s">
        <v>78</v>
      </c>
      <c r="AD1660">
        <v>0</v>
      </c>
      <c r="AE1660">
        <v>11125579</v>
      </c>
      <c r="AF1660" t="s">
        <v>88</v>
      </c>
      <c r="AG1660" t="s">
        <v>333</v>
      </c>
    </row>
    <row r="1661" spans="1:33" x14ac:dyDescent="0.35">
      <c r="A1661" s="18">
        <v>44348.51458333333</v>
      </c>
      <c r="B1661">
        <v>4676134</v>
      </c>
      <c r="C1661" t="s">
        <v>3897</v>
      </c>
      <c r="D1661" t="s">
        <v>158</v>
      </c>
      <c r="E1661" s="19">
        <v>40514</v>
      </c>
      <c r="F1661" t="str">
        <f>"9780080923635"</f>
        <v>9780080923635</v>
      </c>
      <c r="G1661" t="str">
        <f>"9780123751829"</f>
        <v>9780123751829</v>
      </c>
      <c r="H1661" t="s">
        <v>848</v>
      </c>
      <c r="I1661">
        <v>541.226</v>
      </c>
      <c r="J1661" t="s">
        <v>3898</v>
      </c>
      <c r="K1661" t="s">
        <v>73</v>
      </c>
      <c r="N1661" t="s">
        <v>74</v>
      </c>
      <c r="O1661" t="s">
        <v>75</v>
      </c>
      <c r="P1661" t="s">
        <v>74</v>
      </c>
      <c r="Q1661" t="s">
        <v>76</v>
      </c>
      <c r="R1661" t="s">
        <v>73</v>
      </c>
      <c r="S1661">
        <v>0</v>
      </c>
      <c r="W1661" s="20">
        <v>3.37962962962963E-3</v>
      </c>
      <c r="X1661" t="s">
        <v>3899</v>
      </c>
      <c r="Y1661">
        <v>26</v>
      </c>
      <c r="Z1661">
        <v>4</v>
      </c>
      <c r="AA1661" t="s">
        <v>3900</v>
      </c>
      <c r="AB1661">
        <v>41</v>
      </c>
      <c r="AC1661" t="s">
        <v>78</v>
      </c>
      <c r="AD1661">
        <v>0</v>
      </c>
      <c r="AE1661">
        <v>11346495</v>
      </c>
      <c r="AF1661" t="s">
        <v>79</v>
      </c>
      <c r="AG1661" t="s">
        <v>3746</v>
      </c>
    </row>
    <row r="1662" spans="1:33" x14ac:dyDescent="0.35">
      <c r="A1662" s="18">
        <v>44347.817361111112</v>
      </c>
      <c r="B1662">
        <v>4792586</v>
      </c>
      <c r="C1662" t="s">
        <v>3901</v>
      </c>
      <c r="D1662" t="s">
        <v>70</v>
      </c>
      <c r="E1662" s="19">
        <v>42772</v>
      </c>
      <c r="F1662" t="str">
        <f>"9781118718384"</f>
        <v>9781118718384</v>
      </c>
      <c r="G1662" t="str">
        <f>"9781118707852"</f>
        <v>9781118707852</v>
      </c>
      <c r="H1662" t="s">
        <v>636</v>
      </c>
      <c r="I1662">
        <v>801</v>
      </c>
      <c r="J1662" t="s">
        <v>3902</v>
      </c>
      <c r="K1662" t="s">
        <v>73</v>
      </c>
      <c r="N1662" t="s">
        <v>74</v>
      </c>
      <c r="O1662" t="s">
        <v>75</v>
      </c>
      <c r="P1662" t="s">
        <v>74</v>
      </c>
      <c r="Q1662" t="s">
        <v>76</v>
      </c>
      <c r="R1662" t="s">
        <v>73</v>
      </c>
      <c r="S1662">
        <v>0</v>
      </c>
      <c r="W1662" s="20">
        <v>6.018518518518519E-4</v>
      </c>
      <c r="X1662" t="s">
        <v>3903</v>
      </c>
      <c r="Y1662">
        <v>3</v>
      </c>
      <c r="Z1662">
        <v>0</v>
      </c>
      <c r="AA1662" t="s">
        <v>78</v>
      </c>
      <c r="AB1662">
        <v>0</v>
      </c>
      <c r="AC1662" t="s">
        <v>78</v>
      </c>
      <c r="AD1662">
        <v>0</v>
      </c>
      <c r="AE1662">
        <v>11333767</v>
      </c>
      <c r="AF1662" t="s">
        <v>79</v>
      </c>
      <c r="AG1662" t="s">
        <v>3622</v>
      </c>
    </row>
    <row r="1663" spans="1:33" x14ac:dyDescent="0.35">
      <c r="A1663" s="18">
        <v>44347.786111111112</v>
      </c>
      <c r="B1663">
        <v>294091</v>
      </c>
      <c r="C1663" t="s">
        <v>3904</v>
      </c>
      <c r="D1663" t="s">
        <v>158</v>
      </c>
      <c r="E1663" s="19">
        <v>37967</v>
      </c>
      <c r="F1663" t="str">
        <f>"9780080477343"</f>
        <v>9780080477343</v>
      </c>
      <c r="G1663" t="str">
        <f>"9780124211803"</f>
        <v>9780124211803</v>
      </c>
      <c r="H1663" t="s">
        <v>115</v>
      </c>
      <c r="I1663">
        <v>510</v>
      </c>
      <c r="J1663" t="s">
        <v>3905</v>
      </c>
      <c r="K1663" t="s">
        <v>73</v>
      </c>
      <c r="N1663" t="s">
        <v>74</v>
      </c>
      <c r="O1663" t="s">
        <v>75</v>
      </c>
      <c r="P1663" t="s">
        <v>74</v>
      </c>
      <c r="Q1663" t="s">
        <v>76</v>
      </c>
      <c r="R1663" t="s">
        <v>73</v>
      </c>
      <c r="S1663">
        <v>0</v>
      </c>
      <c r="W1663" s="20">
        <v>3.1226851851851853E-2</v>
      </c>
      <c r="X1663" t="s">
        <v>3906</v>
      </c>
      <c r="Y1663">
        <v>25</v>
      </c>
      <c r="Z1663">
        <v>0</v>
      </c>
      <c r="AA1663" t="s">
        <v>78</v>
      </c>
      <c r="AB1663">
        <v>0</v>
      </c>
      <c r="AC1663" t="s">
        <v>3907</v>
      </c>
      <c r="AD1663">
        <v>2</v>
      </c>
      <c r="AE1663">
        <v>10185897</v>
      </c>
      <c r="AF1663" t="s">
        <v>79</v>
      </c>
      <c r="AG1663" t="s">
        <v>3908</v>
      </c>
    </row>
    <row r="1664" spans="1:33" x14ac:dyDescent="0.35">
      <c r="A1664" s="18">
        <v>44347.644444444442</v>
      </c>
      <c r="B1664">
        <v>3026859</v>
      </c>
      <c r="C1664" t="s">
        <v>3883</v>
      </c>
      <c r="D1664" t="s">
        <v>3884</v>
      </c>
      <c r="E1664" s="19">
        <v>38108</v>
      </c>
      <c r="F1664" t="str">
        <f>"9780821441640"</f>
        <v>9780821441640</v>
      </c>
      <c r="G1664" t="str">
        <f>"9780821415481"</f>
        <v>9780821415481</v>
      </c>
      <c r="H1664" t="s">
        <v>636</v>
      </c>
      <c r="I1664" t="s">
        <v>3885</v>
      </c>
      <c r="J1664" t="s">
        <v>3886</v>
      </c>
      <c r="K1664" t="s">
        <v>73</v>
      </c>
      <c r="N1664" t="s">
        <v>74</v>
      </c>
      <c r="O1664" t="s">
        <v>75</v>
      </c>
      <c r="P1664" t="s">
        <v>74</v>
      </c>
      <c r="Q1664" t="s">
        <v>76</v>
      </c>
      <c r="R1664" t="s">
        <v>73</v>
      </c>
      <c r="S1664">
        <v>0</v>
      </c>
      <c r="W1664" s="20">
        <v>5.3009259259259251E-3</v>
      </c>
      <c r="X1664" t="s">
        <v>3909</v>
      </c>
      <c r="Y1664">
        <v>3</v>
      </c>
      <c r="Z1664">
        <v>0</v>
      </c>
      <c r="AA1664" t="s">
        <v>78</v>
      </c>
      <c r="AB1664">
        <v>0</v>
      </c>
      <c r="AC1664" t="s">
        <v>78</v>
      </c>
      <c r="AD1664">
        <v>0</v>
      </c>
      <c r="AE1664">
        <v>10118466</v>
      </c>
      <c r="AF1664" t="s">
        <v>79</v>
      </c>
      <c r="AG1664" t="s">
        <v>3746</v>
      </c>
    </row>
    <row r="1665" spans="1:33" x14ac:dyDescent="0.35">
      <c r="A1665" s="18">
        <v>44345.840277777781</v>
      </c>
      <c r="B1665">
        <v>1332182</v>
      </c>
      <c r="C1665" t="s">
        <v>3910</v>
      </c>
      <c r="D1665" t="s">
        <v>338</v>
      </c>
      <c r="E1665" s="19">
        <v>41474</v>
      </c>
      <c r="F1665" t="str">
        <f>"9780124055131"</f>
        <v>9780124055131</v>
      </c>
      <c r="G1665" t="str">
        <f>"9780124058750"</f>
        <v>9780124058750</v>
      </c>
      <c r="H1665" t="s">
        <v>217</v>
      </c>
      <c r="I1665" t="s">
        <v>3911</v>
      </c>
      <c r="J1665" t="s">
        <v>3912</v>
      </c>
      <c r="K1665" t="s">
        <v>73</v>
      </c>
      <c r="N1665" t="s">
        <v>74</v>
      </c>
      <c r="O1665" t="s">
        <v>75</v>
      </c>
      <c r="P1665" t="s">
        <v>74</v>
      </c>
      <c r="Q1665" t="s">
        <v>76</v>
      </c>
      <c r="R1665" t="s">
        <v>73</v>
      </c>
      <c r="S1665">
        <v>0</v>
      </c>
      <c r="W1665" s="20">
        <v>1.25E-3</v>
      </c>
      <c r="X1665" t="s">
        <v>3913</v>
      </c>
      <c r="Y1665">
        <v>23</v>
      </c>
      <c r="Z1665">
        <v>0</v>
      </c>
      <c r="AA1665" t="s">
        <v>78</v>
      </c>
      <c r="AB1665">
        <v>0</v>
      </c>
      <c r="AC1665" t="s">
        <v>78</v>
      </c>
      <c r="AD1665">
        <v>0</v>
      </c>
      <c r="AE1665">
        <v>10738885</v>
      </c>
      <c r="AF1665" t="s">
        <v>79</v>
      </c>
      <c r="AG1665" t="s">
        <v>3914</v>
      </c>
    </row>
    <row r="1666" spans="1:33" x14ac:dyDescent="0.35">
      <c r="A1666" s="18">
        <v>44344.953472222223</v>
      </c>
      <c r="B1666">
        <v>5893264</v>
      </c>
      <c r="C1666" t="s">
        <v>3915</v>
      </c>
      <c r="D1666" t="s">
        <v>70</v>
      </c>
      <c r="E1666" s="19">
        <v>43739</v>
      </c>
      <c r="F1666" t="str">
        <f>"9781119596677"</f>
        <v>9781119596677</v>
      </c>
      <c r="G1666" t="str">
        <f>"9781119596554"</f>
        <v>9781119596554</v>
      </c>
      <c r="H1666" t="s">
        <v>1878</v>
      </c>
      <c r="I1666">
        <v>332.6</v>
      </c>
      <c r="J1666" t="s">
        <v>3916</v>
      </c>
      <c r="K1666" t="s">
        <v>85</v>
      </c>
      <c r="Q1666" t="s">
        <v>76</v>
      </c>
      <c r="R1666" t="s">
        <v>73</v>
      </c>
      <c r="S1666">
        <v>0</v>
      </c>
      <c r="W1666" s="20">
        <v>3.2407407407407406E-4</v>
      </c>
      <c r="X1666" t="s">
        <v>3917</v>
      </c>
      <c r="Y1666">
        <v>6</v>
      </c>
      <c r="Z1666">
        <v>0</v>
      </c>
      <c r="AA1666" t="s">
        <v>78</v>
      </c>
      <c r="AB1666">
        <v>0</v>
      </c>
      <c r="AC1666" t="s">
        <v>78</v>
      </c>
      <c r="AD1666">
        <v>0</v>
      </c>
      <c r="AE1666">
        <v>-1</v>
      </c>
      <c r="AF1666" t="s">
        <v>79</v>
      </c>
      <c r="AG1666" t="s">
        <v>3908</v>
      </c>
    </row>
    <row r="1667" spans="1:33" x14ac:dyDescent="0.35">
      <c r="A1667" s="18">
        <v>44344.567361111112</v>
      </c>
      <c r="B1667">
        <v>1074425</v>
      </c>
      <c r="C1667" t="s">
        <v>3918</v>
      </c>
      <c r="D1667" t="s">
        <v>158</v>
      </c>
      <c r="E1667" s="19">
        <v>41255</v>
      </c>
      <c r="F1667" t="str">
        <f>"9780080877808"</f>
        <v>9780080877808</v>
      </c>
      <c r="G1667" t="str">
        <f>"9780123746269"</f>
        <v>9780123746269</v>
      </c>
      <c r="H1667" t="s">
        <v>222</v>
      </c>
      <c r="I1667" t="s">
        <v>2947</v>
      </c>
      <c r="J1667" t="s">
        <v>3919</v>
      </c>
      <c r="K1667" t="s">
        <v>73</v>
      </c>
      <c r="N1667" t="s">
        <v>74</v>
      </c>
      <c r="O1667" t="s">
        <v>75</v>
      </c>
      <c r="P1667" t="s">
        <v>74</v>
      </c>
      <c r="Q1667" t="s">
        <v>76</v>
      </c>
      <c r="R1667" t="s">
        <v>73</v>
      </c>
      <c r="S1667">
        <v>0</v>
      </c>
      <c r="W1667" s="20">
        <v>0</v>
      </c>
      <c r="X1667" t="s">
        <v>78</v>
      </c>
      <c r="Y1667">
        <v>0</v>
      </c>
      <c r="Z1667">
        <v>1</v>
      </c>
      <c r="AA1667" t="s">
        <v>1903</v>
      </c>
      <c r="AB1667">
        <v>1</v>
      </c>
      <c r="AC1667" t="s">
        <v>78</v>
      </c>
      <c r="AD1667">
        <v>0</v>
      </c>
      <c r="AE1667">
        <v>10627998</v>
      </c>
      <c r="AF1667" t="s">
        <v>79</v>
      </c>
      <c r="AG1667" t="s">
        <v>3746</v>
      </c>
    </row>
    <row r="1668" spans="1:33" x14ac:dyDescent="0.35">
      <c r="A1668" s="18">
        <v>44342.85833333333</v>
      </c>
      <c r="B1668">
        <v>4812122</v>
      </c>
      <c r="C1668" t="s">
        <v>3920</v>
      </c>
      <c r="D1668" t="s">
        <v>300</v>
      </c>
      <c r="E1668" s="19">
        <v>42783</v>
      </c>
      <c r="F1668" t="str">
        <f>"9780262336680"</f>
        <v>9780262336680</v>
      </c>
      <c r="G1668" t="str">
        <f>"9780262035354"</f>
        <v>9780262035354</v>
      </c>
      <c r="H1668" t="s">
        <v>143</v>
      </c>
      <c r="I1668">
        <v>658.40629999999999</v>
      </c>
      <c r="J1668" t="s">
        <v>3921</v>
      </c>
      <c r="K1668" t="s">
        <v>85</v>
      </c>
      <c r="N1668" t="s">
        <v>86</v>
      </c>
      <c r="P1668" t="s">
        <v>87</v>
      </c>
      <c r="Q1668" t="s">
        <v>76</v>
      </c>
      <c r="R1668" t="s">
        <v>73</v>
      </c>
      <c r="S1668">
        <v>1</v>
      </c>
      <c r="T1668">
        <v>90</v>
      </c>
      <c r="U1668" s="18">
        <v>44262.962500000001</v>
      </c>
      <c r="V1668" s="18">
        <v>44352.962500000001</v>
      </c>
      <c r="W1668" s="20">
        <v>0</v>
      </c>
      <c r="X1668" t="s">
        <v>78</v>
      </c>
      <c r="Y1668">
        <v>0</v>
      </c>
      <c r="Z1668">
        <v>0</v>
      </c>
      <c r="AA1668" t="s">
        <v>78</v>
      </c>
      <c r="AB1668">
        <v>0</v>
      </c>
      <c r="AC1668" t="s">
        <v>78</v>
      </c>
      <c r="AD1668">
        <v>0</v>
      </c>
      <c r="AE1668">
        <v>11351826</v>
      </c>
      <c r="AF1668" t="s">
        <v>88</v>
      </c>
      <c r="AG1668" t="s">
        <v>333</v>
      </c>
    </row>
    <row r="1669" spans="1:33" x14ac:dyDescent="0.35">
      <c r="A1669" s="18">
        <v>44342.767361111109</v>
      </c>
      <c r="B1669">
        <v>635118</v>
      </c>
      <c r="C1669" t="s">
        <v>3922</v>
      </c>
      <c r="D1669" t="s">
        <v>127</v>
      </c>
      <c r="E1669" s="19">
        <v>40393</v>
      </c>
      <c r="F1669" t="str">
        <f>"9789047426448"</f>
        <v>9789047426448</v>
      </c>
      <c r="G1669" t="str">
        <f>"9789004172975"</f>
        <v>9789004172975</v>
      </c>
      <c r="H1669" t="s">
        <v>979</v>
      </c>
      <c r="I1669">
        <v>620.19200000000001</v>
      </c>
      <c r="J1669" t="s">
        <v>3923</v>
      </c>
      <c r="K1669" t="s">
        <v>73</v>
      </c>
      <c r="N1669" t="s">
        <v>74</v>
      </c>
      <c r="O1669" t="s">
        <v>75</v>
      </c>
      <c r="P1669" t="s">
        <v>74</v>
      </c>
      <c r="Q1669" t="s">
        <v>76</v>
      </c>
      <c r="R1669" t="s">
        <v>73</v>
      </c>
      <c r="S1669">
        <v>0</v>
      </c>
      <c r="W1669" s="20">
        <v>0</v>
      </c>
      <c r="X1669" t="s">
        <v>78</v>
      </c>
      <c r="Y1669">
        <v>0</v>
      </c>
      <c r="Z1669">
        <v>0</v>
      </c>
      <c r="AA1669" t="s">
        <v>78</v>
      </c>
      <c r="AB1669">
        <v>0</v>
      </c>
      <c r="AC1669" t="s">
        <v>78</v>
      </c>
      <c r="AD1669">
        <v>0</v>
      </c>
      <c r="AE1669">
        <v>10439070</v>
      </c>
      <c r="AF1669" t="s">
        <v>79</v>
      </c>
      <c r="AG1669" t="s">
        <v>333</v>
      </c>
    </row>
    <row r="1670" spans="1:33" x14ac:dyDescent="0.35">
      <c r="A1670" s="18">
        <v>44342.767361111109</v>
      </c>
      <c r="B1670">
        <v>915633</v>
      </c>
      <c r="C1670" t="s">
        <v>3924</v>
      </c>
      <c r="D1670" t="s">
        <v>70</v>
      </c>
      <c r="E1670" s="19">
        <v>41128</v>
      </c>
      <c r="F1670" t="str">
        <f>"9783527654536"</f>
        <v>9783527654536</v>
      </c>
      <c r="G1670" t="str">
        <f>"9783527331482"</f>
        <v>9783527331482</v>
      </c>
      <c r="H1670" t="s">
        <v>448</v>
      </c>
      <c r="I1670">
        <v>620.19200000000001</v>
      </c>
      <c r="J1670" t="s">
        <v>3925</v>
      </c>
      <c r="K1670" t="s">
        <v>73</v>
      </c>
      <c r="N1670" t="s">
        <v>74</v>
      </c>
      <c r="O1670" t="s">
        <v>75</v>
      </c>
      <c r="P1670" t="s">
        <v>74</v>
      </c>
      <c r="Q1670" t="s">
        <v>76</v>
      </c>
      <c r="R1670" t="s">
        <v>73</v>
      </c>
      <c r="S1670">
        <v>0</v>
      </c>
      <c r="W1670" s="20">
        <v>0</v>
      </c>
      <c r="X1670" t="s">
        <v>78</v>
      </c>
      <c r="Y1670">
        <v>0</v>
      </c>
      <c r="Z1670">
        <v>0</v>
      </c>
      <c r="AA1670" t="s">
        <v>78</v>
      </c>
      <c r="AB1670">
        <v>0</v>
      </c>
      <c r="AC1670" t="s">
        <v>78</v>
      </c>
      <c r="AD1670">
        <v>0</v>
      </c>
      <c r="AE1670">
        <v>10560542</v>
      </c>
      <c r="AF1670" t="s">
        <v>79</v>
      </c>
      <c r="AG1670" t="s">
        <v>333</v>
      </c>
    </row>
    <row r="1671" spans="1:33" x14ac:dyDescent="0.35">
      <c r="A1671" s="18">
        <v>44342.576388888891</v>
      </c>
      <c r="B1671">
        <v>437441</v>
      </c>
      <c r="C1671" t="s">
        <v>3926</v>
      </c>
      <c r="D1671" t="s">
        <v>70</v>
      </c>
      <c r="E1671" s="19">
        <v>34561</v>
      </c>
      <c r="F1671" t="str">
        <f>"9781444304084"</f>
        <v>9781444304084</v>
      </c>
      <c r="G1671" t="str">
        <f>"9780632037872"</f>
        <v>9780632037872</v>
      </c>
      <c r="H1671" t="s">
        <v>1561</v>
      </c>
      <c r="I1671" t="s">
        <v>2000</v>
      </c>
      <c r="J1671" t="s">
        <v>3927</v>
      </c>
      <c r="K1671" t="s">
        <v>85</v>
      </c>
      <c r="N1671" t="s">
        <v>86</v>
      </c>
      <c r="P1671" t="s">
        <v>87</v>
      </c>
      <c r="Q1671" t="s">
        <v>76</v>
      </c>
      <c r="R1671" t="s">
        <v>73</v>
      </c>
      <c r="S1671">
        <v>2</v>
      </c>
      <c r="T1671">
        <v>90</v>
      </c>
      <c r="U1671" s="18">
        <v>44342.576388888891</v>
      </c>
      <c r="V1671" s="18">
        <v>44432.576388888891</v>
      </c>
      <c r="W1671" s="20">
        <v>0</v>
      </c>
      <c r="X1671" t="s">
        <v>78</v>
      </c>
      <c r="Y1671">
        <v>0</v>
      </c>
      <c r="Z1671">
        <v>0</v>
      </c>
      <c r="AA1671" t="s">
        <v>78</v>
      </c>
      <c r="AB1671">
        <v>0</v>
      </c>
      <c r="AC1671" t="s">
        <v>78</v>
      </c>
      <c r="AD1671">
        <v>0</v>
      </c>
      <c r="AE1671">
        <v>11194635</v>
      </c>
      <c r="AF1671" t="s">
        <v>88</v>
      </c>
      <c r="AG1671" t="s">
        <v>3914</v>
      </c>
    </row>
    <row r="1672" spans="1:33" x14ac:dyDescent="0.35">
      <c r="A1672" s="18">
        <v>44342.571527777778</v>
      </c>
      <c r="B1672">
        <v>437441</v>
      </c>
      <c r="C1672" t="s">
        <v>3926</v>
      </c>
      <c r="D1672" t="s">
        <v>70</v>
      </c>
      <c r="E1672" s="19">
        <v>34561</v>
      </c>
      <c r="F1672" t="str">
        <f>"9781444304084"</f>
        <v>9781444304084</v>
      </c>
      <c r="G1672" t="str">
        <f>"9780632037872"</f>
        <v>9780632037872</v>
      </c>
      <c r="H1672" t="s">
        <v>1561</v>
      </c>
      <c r="I1672" t="s">
        <v>2000</v>
      </c>
      <c r="J1672" t="s">
        <v>3927</v>
      </c>
      <c r="K1672" t="s">
        <v>85</v>
      </c>
      <c r="N1672" t="s">
        <v>86</v>
      </c>
      <c r="P1672" t="s">
        <v>87</v>
      </c>
      <c r="Q1672" t="s">
        <v>76</v>
      </c>
      <c r="R1672" t="s">
        <v>73</v>
      </c>
      <c r="S1672">
        <v>0</v>
      </c>
      <c r="W1672" s="20">
        <v>4.4560185185185189E-3</v>
      </c>
      <c r="X1672" t="s">
        <v>3928</v>
      </c>
      <c r="Y1672">
        <v>7</v>
      </c>
      <c r="Z1672">
        <v>0</v>
      </c>
      <c r="AA1672" t="s">
        <v>78</v>
      </c>
      <c r="AB1672">
        <v>0</v>
      </c>
      <c r="AC1672" t="s">
        <v>78</v>
      </c>
      <c r="AD1672">
        <v>0</v>
      </c>
      <c r="AE1672">
        <v>11194635</v>
      </c>
      <c r="AF1672" t="s">
        <v>88</v>
      </c>
      <c r="AG1672" t="s">
        <v>3914</v>
      </c>
    </row>
    <row r="1673" spans="1:33" x14ac:dyDescent="0.35">
      <c r="A1673" s="18">
        <v>44341.697222222225</v>
      </c>
      <c r="B1673">
        <v>1956679</v>
      </c>
      <c r="C1673" t="s">
        <v>3929</v>
      </c>
      <c r="D1673" t="s">
        <v>158</v>
      </c>
      <c r="E1673" s="19">
        <v>42046</v>
      </c>
      <c r="F1673" t="str">
        <f>"9780128030547"</f>
        <v>9780128030547</v>
      </c>
      <c r="G1673" t="str">
        <f>"9780128030530"</f>
        <v>9780128030530</v>
      </c>
      <c r="H1673" t="s">
        <v>391</v>
      </c>
      <c r="I1673">
        <v>660.28424500000006</v>
      </c>
      <c r="J1673" t="s">
        <v>3930</v>
      </c>
      <c r="K1673" t="s">
        <v>73</v>
      </c>
      <c r="N1673" t="s">
        <v>74</v>
      </c>
      <c r="O1673" t="s">
        <v>75</v>
      </c>
      <c r="P1673" t="s">
        <v>74</v>
      </c>
      <c r="Q1673" t="s">
        <v>76</v>
      </c>
      <c r="R1673" t="s">
        <v>73</v>
      </c>
      <c r="S1673">
        <v>0</v>
      </c>
      <c r="W1673" s="20">
        <v>1.7824074074074072E-3</v>
      </c>
      <c r="X1673" t="s">
        <v>3931</v>
      </c>
      <c r="Y1673">
        <v>21</v>
      </c>
      <c r="Z1673">
        <v>0</v>
      </c>
      <c r="AA1673" t="s">
        <v>78</v>
      </c>
      <c r="AB1673">
        <v>0</v>
      </c>
      <c r="AC1673" t="s">
        <v>78</v>
      </c>
      <c r="AD1673">
        <v>0</v>
      </c>
      <c r="AE1673">
        <v>11019347</v>
      </c>
      <c r="AF1673" t="s">
        <v>79</v>
      </c>
      <c r="AG1673" t="s">
        <v>3914</v>
      </c>
    </row>
    <row r="1674" spans="1:33" x14ac:dyDescent="0.35">
      <c r="A1674" s="18">
        <v>44341.599305555559</v>
      </c>
      <c r="B1674">
        <v>1956679</v>
      </c>
      <c r="C1674" t="s">
        <v>3929</v>
      </c>
      <c r="D1674" t="s">
        <v>158</v>
      </c>
      <c r="E1674" s="19">
        <v>42046</v>
      </c>
      <c r="F1674" t="str">
        <f>"9780128030547"</f>
        <v>9780128030547</v>
      </c>
      <c r="G1674" t="str">
        <f>"9780128030530"</f>
        <v>9780128030530</v>
      </c>
      <c r="H1674" t="s">
        <v>391</v>
      </c>
      <c r="I1674">
        <v>660.28424500000006</v>
      </c>
      <c r="J1674" t="s">
        <v>3930</v>
      </c>
      <c r="K1674" t="s">
        <v>73</v>
      </c>
      <c r="N1674" t="s">
        <v>74</v>
      </c>
      <c r="O1674" t="s">
        <v>75</v>
      </c>
      <c r="P1674" t="s">
        <v>74</v>
      </c>
      <c r="Q1674" t="s">
        <v>76</v>
      </c>
      <c r="R1674" t="s">
        <v>73</v>
      </c>
      <c r="S1674">
        <v>1</v>
      </c>
      <c r="W1674" s="20">
        <v>3.6296296296296292E-2</v>
      </c>
      <c r="X1674" t="s">
        <v>3932</v>
      </c>
      <c r="Y1674">
        <v>60</v>
      </c>
      <c r="Z1674">
        <v>0</v>
      </c>
      <c r="AA1674" t="s">
        <v>78</v>
      </c>
      <c r="AB1674">
        <v>0</v>
      </c>
      <c r="AC1674" t="s">
        <v>78</v>
      </c>
      <c r="AD1674">
        <v>0</v>
      </c>
      <c r="AE1674">
        <v>11019347</v>
      </c>
      <c r="AF1674" t="s">
        <v>88</v>
      </c>
      <c r="AG1674" t="s">
        <v>3914</v>
      </c>
    </row>
    <row r="1675" spans="1:33" x14ac:dyDescent="0.35">
      <c r="A1675" s="18">
        <v>44341.597916666666</v>
      </c>
      <c r="B1675">
        <v>1956679</v>
      </c>
      <c r="C1675" t="s">
        <v>3929</v>
      </c>
      <c r="D1675" t="s">
        <v>158</v>
      </c>
      <c r="E1675" s="19">
        <v>42046</v>
      </c>
      <c r="F1675" t="str">
        <f>"9780128030547"</f>
        <v>9780128030547</v>
      </c>
      <c r="G1675" t="str">
        <f>"9780128030530"</f>
        <v>9780128030530</v>
      </c>
      <c r="H1675" t="s">
        <v>391</v>
      </c>
      <c r="I1675">
        <v>660.28424500000006</v>
      </c>
      <c r="J1675" t="s">
        <v>3930</v>
      </c>
      <c r="K1675" t="s">
        <v>73</v>
      </c>
      <c r="N1675" t="s">
        <v>74</v>
      </c>
      <c r="O1675" t="s">
        <v>75</v>
      </c>
      <c r="P1675" t="s">
        <v>74</v>
      </c>
      <c r="Q1675" t="s">
        <v>76</v>
      </c>
      <c r="R1675" t="s">
        <v>73</v>
      </c>
      <c r="S1675">
        <v>0</v>
      </c>
      <c r="W1675" s="20">
        <v>1.3194444444444443E-3</v>
      </c>
      <c r="X1675" t="s">
        <v>3933</v>
      </c>
      <c r="Y1675">
        <v>4</v>
      </c>
      <c r="Z1675">
        <v>0</v>
      </c>
      <c r="AA1675" t="s">
        <v>78</v>
      </c>
      <c r="AB1675">
        <v>0</v>
      </c>
      <c r="AC1675" t="s">
        <v>78</v>
      </c>
      <c r="AD1675">
        <v>0</v>
      </c>
      <c r="AE1675">
        <v>11019347</v>
      </c>
      <c r="AF1675" t="s">
        <v>88</v>
      </c>
      <c r="AG1675" t="s">
        <v>3914</v>
      </c>
    </row>
    <row r="1676" spans="1:33" x14ac:dyDescent="0.35">
      <c r="A1676" s="18">
        <v>44341.57916666667</v>
      </c>
      <c r="B1676">
        <v>1956679</v>
      </c>
      <c r="C1676" t="s">
        <v>3929</v>
      </c>
      <c r="D1676" t="s">
        <v>158</v>
      </c>
      <c r="E1676" s="19">
        <v>42046</v>
      </c>
      <c r="F1676" t="str">
        <f>"9780128030547"</f>
        <v>9780128030547</v>
      </c>
      <c r="G1676" t="str">
        <f>"9780128030530"</f>
        <v>9780128030530</v>
      </c>
      <c r="H1676" t="s">
        <v>391</v>
      </c>
      <c r="I1676">
        <v>660.28424500000006</v>
      </c>
      <c r="J1676" t="s">
        <v>3930</v>
      </c>
      <c r="K1676" t="s">
        <v>73</v>
      </c>
      <c r="N1676" t="s">
        <v>74</v>
      </c>
      <c r="O1676" t="s">
        <v>75</v>
      </c>
      <c r="P1676" t="s">
        <v>74</v>
      </c>
      <c r="Q1676" t="s">
        <v>76</v>
      </c>
      <c r="R1676" t="s">
        <v>73</v>
      </c>
      <c r="S1676">
        <v>0</v>
      </c>
      <c r="W1676" s="20">
        <v>1.5879629629629629E-2</v>
      </c>
      <c r="X1676" t="s">
        <v>3934</v>
      </c>
      <c r="Y1676">
        <v>4</v>
      </c>
      <c r="Z1676">
        <v>0</v>
      </c>
      <c r="AA1676" t="s">
        <v>78</v>
      </c>
      <c r="AB1676">
        <v>0</v>
      </c>
      <c r="AC1676" t="s">
        <v>78</v>
      </c>
      <c r="AD1676">
        <v>0</v>
      </c>
      <c r="AE1676">
        <v>11019347</v>
      </c>
      <c r="AF1676" t="s">
        <v>79</v>
      </c>
      <c r="AG1676" t="s">
        <v>3935</v>
      </c>
    </row>
    <row r="1677" spans="1:33" x14ac:dyDescent="0.35">
      <c r="A1677" s="18">
        <v>44341.578472222223</v>
      </c>
      <c r="B1677">
        <v>1956679</v>
      </c>
      <c r="C1677" t="s">
        <v>3929</v>
      </c>
      <c r="D1677" t="s">
        <v>158</v>
      </c>
      <c r="E1677" s="19">
        <v>42046</v>
      </c>
      <c r="F1677" t="str">
        <f>"9780128030547"</f>
        <v>9780128030547</v>
      </c>
      <c r="G1677" t="str">
        <f>"9780128030530"</f>
        <v>9780128030530</v>
      </c>
      <c r="H1677" t="s">
        <v>391</v>
      </c>
      <c r="I1677">
        <v>660.28424500000006</v>
      </c>
      <c r="J1677" t="s">
        <v>3930</v>
      </c>
      <c r="K1677" t="s">
        <v>73</v>
      </c>
      <c r="N1677" t="s">
        <v>74</v>
      </c>
      <c r="O1677" t="s">
        <v>75</v>
      </c>
      <c r="P1677" t="s">
        <v>74</v>
      </c>
      <c r="Q1677" t="s">
        <v>76</v>
      </c>
      <c r="R1677" t="s">
        <v>73</v>
      </c>
      <c r="S1677">
        <v>0</v>
      </c>
      <c r="W1677" s="20">
        <v>1.7361111111111112E-4</v>
      </c>
      <c r="X1677" t="s">
        <v>3936</v>
      </c>
      <c r="Y1677">
        <v>3</v>
      </c>
      <c r="Z1677">
        <v>0</v>
      </c>
      <c r="AA1677" t="s">
        <v>78</v>
      </c>
      <c r="AB1677">
        <v>0</v>
      </c>
      <c r="AC1677" t="s">
        <v>78</v>
      </c>
      <c r="AD1677">
        <v>0</v>
      </c>
      <c r="AE1677">
        <v>11019347</v>
      </c>
      <c r="AF1677" t="s">
        <v>79</v>
      </c>
      <c r="AG1677" t="s">
        <v>3937</v>
      </c>
    </row>
    <row r="1678" spans="1:33" x14ac:dyDescent="0.35">
      <c r="A1678" s="18">
        <v>44340.550694444442</v>
      </c>
      <c r="B1678">
        <v>4812790</v>
      </c>
      <c r="C1678" t="s">
        <v>3938</v>
      </c>
      <c r="D1678" t="s">
        <v>70</v>
      </c>
      <c r="E1678" s="19">
        <v>42856</v>
      </c>
      <c r="F1678" t="str">
        <f>"9781118867792"</f>
        <v>9781118867792</v>
      </c>
      <c r="G1678" t="str">
        <f>"9781118867822"</f>
        <v>9781118867822</v>
      </c>
      <c r="H1678" t="s">
        <v>227</v>
      </c>
      <c r="I1678">
        <v>571.88900000000001</v>
      </c>
      <c r="J1678" t="s">
        <v>3939</v>
      </c>
      <c r="K1678" t="s">
        <v>73</v>
      </c>
      <c r="N1678" t="s">
        <v>74</v>
      </c>
      <c r="O1678" t="s">
        <v>75</v>
      </c>
      <c r="P1678" t="s">
        <v>74</v>
      </c>
      <c r="Q1678" t="s">
        <v>76</v>
      </c>
      <c r="R1678" t="s">
        <v>73</v>
      </c>
      <c r="S1678">
        <v>0</v>
      </c>
      <c r="W1678" s="20">
        <v>1.5740740740740741E-3</v>
      </c>
      <c r="X1678" t="s">
        <v>3940</v>
      </c>
      <c r="Y1678">
        <v>17</v>
      </c>
      <c r="Z1678">
        <v>0</v>
      </c>
      <c r="AA1678" t="s">
        <v>78</v>
      </c>
      <c r="AB1678">
        <v>0</v>
      </c>
      <c r="AC1678" t="s">
        <v>78</v>
      </c>
      <c r="AD1678">
        <v>0</v>
      </c>
      <c r="AE1678">
        <v>11352318</v>
      </c>
      <c r="AF1678" t="s">
        <v>79</v>
      </c>
      <c r="AG1678" t="s">
        <v>3746</v>
      </c>
    </row>
    <row r="1679" spans="1:33" x14ac:dyDescent="0.35">
      <c r="A1679" s="18">
        <v>44340.470833333333</v>
      </c>
      <c r="B1679">
        <v>3411433</v>
      </c>
      <c r="C1679" t="s">
        <v>3941</v>
      </c>
      <c r="D1679" t="s">
        <v>3942</v>
      </c>
      <c r="E1679" s="19">
        <v>37803</v>
      </c>
      <c r="F1679" t="str">
        <f>""</f>
        <v/>
      </c>
      <c r="G1679" t="str">
        <f>""</f>
        <v/>
      </c>
      <c r="H1679" t="s">
        <v>1638</v>
      </c>
      <c r="J1679" t="s">
        <v>3943</v>
      </c>
      <c r="K1679" t="s">
        <v>73</v>
      </c>
      <c r="N1679" t="s">
        <v>74</v>
      </c>
      <c r="O1679" t="s">
        <v>75</v>
      </c>
      <c r="P1679" t="s">
        <v>74</v>
      </c>
      <c r="Q1679" t="s">
        <v>76</v>
      </c>
      <c r="R1679" t="s">
        <v>73</v>
      </c>
      <c r="S1679">
        <v>0</v>
      </c>
      <c r="W1679" s="20">
        <v>0</v>
      </c>
      <c r="X1679" t="s">
        <v>78</v>
      </c>
      <c r="Y1679">
        <v>0</v>
      </c>
      <c r="Z1679">
        <v>1</v>
      </c>
      <c r="AA1679" t="s">
        <v>2689</v>
      </c>
      <c r="AB1679">
        <v>1</v>
      </c>
      <c r="AC1679" t="s">
        <v>78</v>
      </c>
      <c r="AD1679">
        <v>0</v>
      </c>
      <c r="AE1679">
        <v>10041238</v>
      </c>
      <c r="AF1679" t="s">
        <v>79</v>
      </c>
      <c r="AG1679" t="s">
        <v>3944</v>
      </c>
    </row>
    <row r="1680" spans="1:33" x14ac:dyDescent="0.35">
      <c r="A1680" s="18">
        <v>44339.680555555555</v>
      </c>
      <c r="B1680">
        <v>3050914</v>
      </c>
      <c r="C1680" t="s">
        <v>3945</v>
      </c>
      <c r="D1680" t="s">
        <v>239</v>
      </c>
      <c r="E1680" s="19">
        <v>40713</v>
      </c>
      <c r="F1680" t="str">
        <f>"9789814360708"</f>
        <v>9789814360708</v>
      </c>
      <c r="G1680" t="str">
        <f>"9789814360692"</f>
        <v>9789814360692</v>
      </c>
      <c r="H1680" t="s">
        <v>115</v>
      </c>
      <c r="I1680">
        <v>510</v>
      </c>
      <c r="J1680" t="s">
        <v>3946</v>
      </c>
      <c r="K1680" t="s">
        <v>73</v>
      </c>
      <c r="N1680" t="s">
        <v>74</v>
      </c>
      <c r="O1680" t="s">
        <v>75</v>
      </c>
      <c r="P1680" t="s">
        <v>74</v>
      </c>
      <c r="Q1680" t="s">
        <v>76</v>
      </c>
      <c r="R1680" t="s">
        <v>73</v>
      </c>
      <c r="S1680">
        <v>0</v>
      </c>
      <c r="W1680" s="20">
        <v>3.3333333333333335E-3</v>
      </c>
      <c r="X1680" t="s">
        <v>3947</v>
      </c>
      <c r="Y1680">
        <v>13</v>
      </c>
      <c r="Z1680">
        <v>0</v>
      </c>
      <c r="AA1680" t="s">
        <v>78</v>
      </c>
      <c r="AB1680">
        <v>0</v>
      </c>
      <c r="AC1680" t="s">
        <v>78</v>
      </c>
      <c r="AD1680">
        <v>0</v>
      </c>
      <c r="AE1680">
        <v>10524625</v>
      </c>
      <c r="AF1680" t="s">
        <v>79</v>
      </c>
      <c r="AG1680" t="s">
        <v>3746</v>
      </c>
    </row>
    <row r="1681" spans="1:33" x14ac:dyDescent="0.35">
      <c r="A1681" s="18">
        <v>44339.365277777775</v>
      </c>
      <c r="B1681">
        <v>4895045</v>
      </c>
      <c r="C1681" t="s">
        <v>3948</v>
      </c>
      <c r="D1681" t="s">
        <v>390</v>
      </c>
      <c r="E1681" s="19">
        <v>42912</v>
      </c>
      <c r="F1681" t="str">
        <f>"9783110553116"</f>
        <v>9783110553116</v>
      </c>
      <c r="G1681" t="str">
        <f>"9783110553109"</f>
        <v>9783110553109</v>
      </c>
      <c r="H1681" t="s">
        <v>222</v>
      </c>
      <c r="I1681">
        <v>610.15300000000002</v>
      </c>
      <c r="J1681" t="s">
        <v>3949</v>
      </c>
      <c r="K1681" t="s">
        <v>73</v>
      </c>
      <c r="N1681" t="s">
        <v>74</v>
      </c>
      <c r="O1681" t="s">
        <v>75</v>
      </c>
      <c r="P1681" t="s">
        <v>74</v>
      </c>
      <c r="Q1681" t="s">
        <v>76</v>
      </c>
      <c r="R1681" t="s">
        <v>73</v>
      </c>
      <c r="S1681">
        <v>0</v>
      </c>
      <c r="W1681" s="20">
        <v>7.6388888888888893E-4</v>
      </c>
      <c r="X1681" t="s">
        <v>3950</v>
      </c>
      <c r="Y1681">
        <v>13</v>
      </c>
      <c r="Z1681">
        <v>0</v>
      </c>
      <c r="AA1681" t="s">
        <v>78</v>
      </c>
      <c r="AB1681">
        <v>0</v>
      </c>
      <c r="AC1681" t="s">
        <v>78</v>
      </c>
      <c r="AD1681">
        <v>0</v>
      </c>
      <c r="AE1681">
        <v>11405478</v>
      </c>
      <c r="AF1681" t="s">
        <v>79</v>
      </c>
      <c r="AG1681" t="s">
        <v>3951</v>
      </c>
    </row>
    <row r="1682" spans="1:33" x14ac:dyDescent="0.35">
      <c r="A1682" s="18">
        <v>44338.723611111112</v>
      </c>
      <c r="B1682">
        <v>5799078</v>
      </c>
      <c r="C1682" t="s">
        <v>3952</v>
      </c>
      <c r="D1682" t="s">
        <v>3953</v>
      </c>
      <c r="E1682" s="19">
        <v>43648</v>
      </c>
      <c r="F1682" t="str">
        <f>"9781782408093"</f>
        <v>9781782408093</v>
      </c>
      <c r="G1682" t="str">
        <f>"9781782407676"</f>
        <v>9781782407676</v>
      </c>
      <c r="H1682" t="s">
        <v>738</v>
      </c>
      <c r="I1682">
        <v>158.13</v>
      </c>
      <c r="J1682" t="s">
        <v>3954</v>
      </c>
      <c r="K1682" t="s">
        <v>85</v>
      </c>
      <c r="N1682" t="s">
        <v>186</v>
      </c>
      <c r="P1682" t="s">
        <v>87</v>
      </c>
      <c r="Q1682" t="s">
        <v>76</v>
      </c>
      <c r="R1682" t="s">
        <v>73</v>
      </c>
      <c r="S1682">
        <v>0</v>
      </c>
      <c r="W1682" s="20">
        <v>5.7870370370370366E-5</v>
      </c>
      <c r="X1682" t="s">
        <v>132</v>
      </c>
      <c r="Y1682">
        <v>1</v>
      </c>
      <c r="Z1682">
        <v>0</v>
      </c>
      <c r="AA1682" t="s">
        <v>78</v>
      </c>
      <c r="AB1682">
        <v>0</v>
      </c>
      <c r="AC1682" t="s">
        <v>78</v>
      </c>
      <c r="AD1682">
        <v>0</v>
      </c>
      <c r="AE1682">
        <v>-1</v>
      </c>
      <c r="AF1682" t="s">
        <v>79</v>
      </c>
      <c r="AG1682" t="s">
        <v>3746</v>
      </c>
    </row>
    <row r="1683" spans="1:33" x14ac:dyDescent="0.35">
      <c r="A1683" s="18">
        <v>44338.71597222222</v>
      </c>
      <c r="B1683">
        <v>1600440</v>
      </c>
      <c r="C1683" t="s">
        <v>3955</v>
      </c>
      <c r="D1683" t="s">
        <v>1094</v>
      </c>
      <c r="E1683" s="19">
        <v>41485</v>
      </c>
      <c r="F1683" t="str">
        <f>"9780826171542"</f>
        <v>9780826171542</v>
      </c>
      <c r="G1683" t="str">
        <f>"9780826171535"</f>
        <v>9780826171535</v>
      </c>
      <c r="H1683" t="s">
        <v>2288</v>
      </c>
      <c r="I1683">
        <v>610.73009999999999</v>
      </c>
      <c r="J1683" t="s">
        <v>3956</v>
      </c>
      <c r="K1683" t="s">
        <v>73</v>
      </c>
      <c r="N1683" t="s">
        <v>74</v>
      </c>
      <c r="O1683" t="s">
        <v>75</v>
      </c>
      <c r="P1683" t="s">
        <v>74</v>
      </c>
      <c r="Q1683" t="s">
        <v>76</v>
      </c>
      <c r="R1683" t="s">
        <v>73</v>
      </c>
      <c r="S1683">
        <v>0</v>
      </c>
      <c r="W1683" s="20">
        <v>0</v>
      </c>
      <c r="X1683" t="s">
        <v>78</v>
      </c>
      <c r="Y1683">
        <v>0</v>
      </c>
      <c r="Z1683">
        <v>2</v>
      </c>
      <c r="AA1683" t="s">
        <v>3957</v>
      </c>
      <c r="AB1683">
        <v>50</v>
      </c>
      <c r="AC1683" t="s">
        <v>78</v>
      </c>
      <c r="AD1683">
        <v>0</v>
      </c>
      <c r="AE1683">
        <v>10828048</v>
      </c>
      <c r="AF1683" t="s">
        <v>79</v>
      </c>
      <c r="AG1683" t="s">
        <v>3958</v>
      </c>
    </row>
    <row r="1684" spans="1:33" x14ac:dyDescent="0.35">
      <c r="A1684" s="18">
        <v>44338.273611111108</v>
      </c>
      <c r="B1684">
        <v>534858</v>
      </c>
      <c r="C1684" t="s">
        <v>3959</v>
      </c>
      <c r="D1684" t="s">
        <v>158</v>
      </c>
      <c r="E1684" s="19">
        <v>40144</v>
      </c>
      <c r="F1684" t="str">
        <f>"9780080931562"</f>
        <v>9780080931562</v>
      </c>
      <c r="G1684" t="str">
        <f>"9780444527851"</f>
        <v>9780444527851</v>
      </c>
      <c r="H1684" t="s">
        <v>159</v>
      </c>
      <c r="I1684">
        <v>665.53</v>
      </c>
      <c r="J1684" t="s">
        <v>3960</v>
      </c>
      <c r="K1684" t="s">
        <v>73</v>
      </c>
      <c r="N1684" t="s">
        <v>74</v>
      </c>
      <c r="O1684" t="s">
        <v>75</v>
      </c>
      <c r="P1684" t="s">
        <v>74</v>
      </c>
      <c r="Q1684" t="s">
        <v>76</v>
      </c>
      <c r="R1684" t="s">
        <v>73</v>
      </c>
      <c r="S1684">
        <v>0</v>
      </c>
      <c r="W1684" s="20">
        <v>2.9513888888888888E-3</v>
      </c>
      <c r="X1684" t="s">
        <v>3961</v>
      </c>
      <c r="Y1684">
        <v>30</v>
      </c>
      <c r="Z1684">
        <v>0</v>
      </c>
      <c r="AA1684" t="s">
        <v>78</v>
      </c>
      <c r="AB1684">
        <v>0</v>
      </c>
      <c r="AC1684" t="s">
        <v>78</v>
      </c>
      <c r="AD1684">
        <v>0</v>
      </c>
      <c r="AE1684">
        <v>10378873</v>
      </c>
      <c r="AF1684" t="s">
        <v>79</v>
      </c>
      <c r="AG1684" t="s">
        <v>3746</v>
      </c>
    </row>
    <row r="1685" spans="1:33" x14ac:dyDescent="0.35">
      <c r="A1685" s="18">
        <v>44338.232638888891</v>
      </c>
      <c r="B1685">
        <v>534858</v>
      </c>
      <c r="C1685" t="s">
        <v>3959</v>
      </c>
      <c r="D1685" t="s">
        <v>158</v>
      </c>
      <c r="E1685" s="19">
        <v>40144</v>
      </c>
      <c r="F1685" t="str">
        <f>"9780080931562"</f>
        <v>9780080931562</v>
      </c>
      <c r="G1685" t="str">
        <f>"9780444527851"</f>
        <v>9780444527851</v>
      </c>
      <c r="H1685" t="s">
        <v>159</v>
      </c>
      <c r="I1685">
        <v>665.53</v>
      </c>
      <c r="J1685" t="s">
        <v>3960</v>
      </c>
      <c r="K1685" t="s">
        <v>73</v>
      </c>
      <c r="N1685" t="s">
        <v>74</v>
      </c>
      <c r="O1685" t="s">
        <v>75</v>
      </c>
      <c r="P1685" t="s">
        <v>74</v>
      </c>
      <c r="Q1685" t="s">
        <v>76</v>
      </c>
      <c r="R1685" t="s">
        <v>73</v>
      </c>
      <c r="S1685">
        <v>0</v>
      </c>
      <c r="W1685" s="20">
        <v>5.2777777777777771E-3</v>
      </c>
      <c r="X1685" t="s">
        <v>3962</v>
      </c>
      <c r="Y1685">
        <v>25</v>
      </c>
      <c r="Z1685">
        <v>0</v>
      </c>
      <c r="AA1685" t="s">
        <v>78</v>
      </c>
      <c r="AB1685">
        <v>0</v>
      </c>
      <c r="AC1685" t="s">
        <v>78</v>
      </c>
      <c r="AD1685">
        <v>0</v>
      </c>
      <c r="AE1685">
        <v>10378873</v>
      </c>
      <c r="AF1685" t="s">
        <v>79</v>
      </c>
      <c r="AG1685" t="s">
        <v>3746</v>
      </c>
    </row>
    <row r="1686" spans="1:33" x14ac:dyDescent="0.35">
      <c r="A1686" s="18">
        <v>44338.229166666664</v>
      </c>
      <c r="B1686">
        <v>993632</v>
      </c>
      <c r="C1686" t="s">
        <v>3963</v>
      </c>
      <c r="D1686" t="s">
        <v>3964</v>
      </c>
      <c r="E1686" s="19">
        <v>40287</v>
      </c>
      <c r="F1686" t="str">
        <f>"9783642025259"</f>
        <v>9783642025259</v>
      </c>
      <c r="G1686" t="str">
        <f>"9783642025242"</f>
        <v>9783642025242</v>
      </c>
      <c r="H1686" t="s">
        <v>1194</v>
      </c>
      <c r="I1686">
        <v>620.5</v>
      </c>
      <c r="J1686" t="s">
        <v>202</v>
      </c>
      <c r="K1686" t="s">
        <v>85</v>
      </c>
      <c r="N1686" t="s">
        <v>86</v>
      </c>
      <c r="P1686" t="s">
        <v>297</v>
      </c>
      <c r="Q1686" t="s">
        <v>76</v>
      </c>
      <c r="R1686" t="s">
        <v>73</v>
      </c>
      <c r="S1686">
        <v>0</v>
      </c>
      <c r="W1686" s="20">
        <v>2.3263888888888887E-3</v>
      </c>
      <c r="X1686" t="s">
        <v>3965</v>
      </c>
      <c r="Y1686">
        <v>53</v>
      </c>
      <c r="Z1686">
        <v>0</v>
      </c>
      <c r="AA1686" t="s">
        <v>78</v>
      </c>
      <c r="AB1686">
        <v>0</v>
      </c>
      <c r="AC1686" t="s">
        <v>78</v>
      </c>
      <c r="AD1686">
        <v>0</v>
      </c>
      <c r="AE1686">
        <v>10385972</v>
      </c>
      <c r="AF1686" t="s">
        <v>79</v>
      </c>
      <c r="AG1686" t="s">
        <v>3746</v>
      </c>
    </row>
    <row r="1687" spans="1:33" x14ac:dyDescent="0.35">
      <c r="A1687" s="18">
        <v>44337.989583333336</v>
      </c>
      <c r="B1687">
        <v>583642</v>
      </c>
      <c r="C1687" t="s">
        <v>2337</v>
      </c>
      <c r="D1687" t="s">
        <v>205</v>
      </c>
      <c r="E1687" s="19">
        <v>40210</v>
      </c>
      <c r="F1687" t="str">
        <f>"9781596930902"</f>
        <v>9781596930902</v>
      </c>
      <c r="G1687" t="str">
        <f>"9781596930896"</f>
        <v>9781596930896</v>
      </c>
      <c r="H1687" t="s">
        <v>2338</v>
      </c>
      <c r="I1687">
        <v>621.38482999999997</v>
      </c>
      <c r="J1687" t="s">
        <v>2339</v>
      </c>
      <c r="K1687" t="s">
        <v>73</v>
      </c>
      <c r="N1687" t="s">
        <v>74</v>
      </c>
      <c r="O1687" t="s">
        <v>75</v>
      </c>
      <c r="P1687" t="s">
        <v>74</v>
      </c>
      <c r="Q1687" t="s">
        <v>76</v>
      </c>
      <c r="R1687" t="s">
        <v>73</v>
      </c>
      <c r="S1687">
        <v>0</v>
      </c>
      <c r="W1687" s="20">
        <v>6.9444444444444444E-5</v>
      </c>
      <c r="X1687" t="s">
        <v>249</v>
      </c>
      <c r="Y1687">
        <v>2</v>
      </c>
      <c r="Z1687">
        <v>0</v>
      </c>
      <c r="AA1687" t="s">
        <v>78</v>
      </c>
      <c r="AB1687">
        <v>0</v>
      </c>
      <c r="AC1687" t="s">
        <v>78</v>
      </c>
      <c r="AD1687">
        <v>0</v>
      </c>
      <c r="AE1687">
        <v>10393271</v>
      </c>
      <c r="AF1687" t="s">
        <v>88</v>
      </c>
      <c r="AG1687" t="s">
        <v>3746</v>
      </c>
    </row>
    <row r="1688" spans="1:33" x14ac:dyDescent="0.35">
      <c r="A1688" s="18">
        <v>44337.951388888891</v>
      </c>
      <c r="B1688">
        <v>534858</v>
      </c>
      <c r="C1688" t="s">
        <v>3959</v>
      </c>
      <c r="D1688" t="s">
        <v>158</v>
      </c>
      <c r="E1688" s="19">
        <v>40144</v>
      </c>
      <c r="F1688" t="str">
        <f>"9780080931562"</f>
        <v>9780080931562</v>
      </c>
      <c r="G1688" t="str">
        <f>"9780444527851"</f>
        <v>9780444527851</v>
      </c>
      <c r="H1688" t="s">
        <v>159</v>
      </c>
      <c r="I1688">
        <v>665.53</v>
      </c>
      <c r="J1688" t="s">
        <v>3960</v>
      </c>
      <c r="K1688" t="s">
        <v>73</v>
      </c>
      <c r="N1688" t="s">
        <v>74</v>
      </c>
      <c r="O1688" t="s">
        <v>75</v>
      </c>
      <c r="P1688" t="s">
        <v>74</v>
      </c>
      <c r="Q1688" t="s">
        <v>76</v>
      </c>
      <c r="R1688" t="s">
        <v>73</v>
      </c>
      <c r="S1688">
        <v>0</v>
      </c>
      <c r="W1688" s="20">
        <v>7.768518518518519E-2</v>
      </c>
      <c r="X1688" t="s">
        <v>3966</v>
      </c>
      <c r="Y1688">
        <v>121</v>
      </c>
      <c r="Z1688">
        <v>0</v>
      </c>
      <c r="AA1688" t="s">
        <v>78</v>
      </c>
      <c r="AB1688">
        <v>0</v>
      </c>
      <c r="AC1688" t="s">
        <v>78</v>
      </c>
      <c r="AD1688">
        <v>0</v>
      </c>
      <c r="AE1688">
        <v>10378873</v>
      </c>
      <c r="AF1688" t="s">
        <v>79</v>
      </c>
      <c r="AG1688" t="s">
        <v>3746</v>
      </c>
    </row>
    <row r="1689" spans="1:33" x14ac:dyDescent="0.35">
      <c r="A1689" s="18">
        <v>44337.597222222219</v>
      </c>
      <c r="B1689">
        <v>993632</v>
      </c>
      <c r="C1689" t="s">
        <v>3963</v>
      </c>
      <c r="D1689" t="s">
        <v>3964</v>
      </c>
      <c r="E1689" s="19">
        <v>40287</v>
      </c>
      <c r="F1689" t="str">
        <f>"9783642025259"</f>
        <v>9783642025259</v>
      </c>
      <c r="G1689" t="str">
        <f>"9783642025242"</f>
        <v>9783642025242</v>
      </c>
      <c r="H1689" t="s">
        <v>1194</v>
      </c>
      <c r="I1689">
        <v>620.5</v>
      </c>
      <c r="J1689" t="s">
        <v>202</v>
      </c>
      <c r="K1689" t="s">
        <v>85</v>
      </c>
      <c r="N1689" t="s">
        <v>86</v>
      </c>
      <c r="P1689" t="s">
        <v>297</v>
      </c>
      <c r="Q1689" t="s">
        <v>76</v>
      </c>
      <c r="R1689" t="s">
        <v>73</v>
      </c>
      <c r="S1689">
        <v>0</v>
      </c>
      <c r="W1689" s="20">
        <v>3.5706018518518519E-2</v>
      </c>
      <c r="X1689" t="s">
        <v>3967</v>
      </c>
      <c r="Y1689">
        <v>99</v>
      </c>
      <c r="Z1689">
        <v>0</v>
      </c>
      <c r="AA1689" t="s">
        <v>78</v>
      </c>
      <c r="AB1689">
        <v>0</v>
      </c>
      <c r="AC1689" t="s">
        <v>78</v>
      </c>
      <c r="AD1689">
        <v>0</v>
      </c>
      <c r="AE1689">
        <v>10385972</v>
      </c>
      <c r="AF1689" t="s">
        <v>79</v>
      </c>
      <c r="AG1689" t="s">
        <v>3746</v>
      </c>
    </row>
    <row r="1690" spans="1:33" x14ac:dyDescent="0.35">
      <c r="A1690" s="18">
        <v>44336.481249999997</v>
      </c>
      <c r="B1690">
        <v>3570689</v>
      </c>
      <c r="C1690" t="s">
        <v>3968</v>
      </c>
      <c r="D1690" t="s">
        <v>3969</v>
      </c>
      <c r="E1690" s="19">
        <v>37226</v>
      </c>
      <c r="F1690" t="str">
        <f>"9780826263322"</f>
        <v>9780826263322</v>
      </c>
      <c r="G1690" t="str">
        <f>"9780826213358"</f>
        <v>9780826213358</v>
      </c>
      <c r="H1690" t="s">
        <v>461</v>
      </c>
      <c r="I1690" t="s">
        <v>3970</v>
      </c>
      <c r="J1690" t="s">
        <v>3971</v>
      </c>
      <c r="K1690" t="s">
        <v>73</v>
      </c>
      <c r="N1690" t="s">
        <v>74</v>
      </c>
      <c r="O1690" t="s">
        <v>75</v>
      </c>
      <c r="P1690" t="s">
        <v>74</v>
      </c>
      <c r="Q1690" t="s">
        <v>76</v>
      </c>
      <c r="R1690" t="s">
        <v>73</v>
      </c>
      <c r="S1690">
        <v>0</v>
      </c>
      <c r="W1690" s="20">
        <v>1.045138888888889E-2</v>
      </c>
      <c r="X1690" t="s">
        <v>3972</v>
      </c>
      <c r="Y1690">
        <v>15</v>
      </c>
      <c r="Z1690">
        <v>0</v>
      </c>
      <c r="AA1690" t="s">
        <v>78</v>
      </c>
      <c r="AB1690">
        <v>0</v>
      </c>
      <c r="AC1690" t="s">
        <v>78</v>
      </c>
      <c r="AD1690">
        <v>0</v>
      </c>
      <c r="AE1690">
        <v>10001759</v>
      </c>
      <c r="AF1690" t="s">
        <v>79</v>
      </c>
      <c r="AG1690" t="s">
        <v>3973</v>
      </c>
    </row>
    <row r="1691" spans="1:33" x14ac:dyDescent="0.35">
      <c r="A1691" s="18">
        <v>44336.467361111114</v>
      </c>
      <c r="B1691">
        <v>1767190</v>
      </c>
      <c r="C1691" t="s">
        <v>3974</v>
      </c>
      <c r="D1691" t="s">
        <v>134</v>
      </c>
      <c r="E1691" s="19">
        <v>41858</v>
      </c>
      <c r="F1691" t="str">
        <f>"9780810880221"</f>
        <v>9780810880221</v>
      </c>
      <c r="G1691" t="str">
        <f>"9780810880214"</f>
        <v>9780810880214</v>
      </c>
      <c r="H1691" t="s">
        <v>1631</v>
      </c>
      <c r="I1691">
        <v>794.60299999999995</v>
      </c>
      <c r="J1691" t="s">
        <v>3975</v>
      </c>
      <c r="K1691" t="s">
        <v>73</v>
      </c>
      <c r="N1691" t="s">
        <v>74</v>
      </c>
      <c r="O1691" t="s">
        <v>75</v>
      </c>
      <c r="P1691" t="s">
        <v>74</v>
      </c>
      <c r="Q1691" t="s">
        <v>76</v>
      </c>
      <c r="R1691" t="s">
        <v>73</v>
      </c>
      <c r="S1691">
        <v>0</v>
      </c>
      <c r="W1691" s="20">
        <v>3.7037037037037035E-4</v>
      </c>
      <c r="X1691" t="s">
        <v>3976</v>
      </c>
      <c r="Y1691">
        <v>7</v>
      </c>
      <c r="Z1691">
        <v>0</v>
      </c>
      <c r="AA1691" t="s">
        <v>78</v>
      </c>
      <c r="AB1691">
        <v>0</v>
      </c>
      <c r="AC1691" t="s">
        <v>78</v>
      </c>
      <c r="AD1691">
        <v>0</v>
      </c>
      <c r="AE1691">
        <v>10909635</v>
      </c>
      <c r="AF1691" t="s">
        <v>79</v>
      </c>
      <c r="AG1691" t="s">
        <v>3973</v>
      </c>
    </row>
    <row r="1692" spans="1:33" x14ac:dyDescent="0.35">
      <c r="A1692" s="18">
        <v>44336.365972222222</v>
      </c>
      <c r="B1692">
        <v>3001261</v>
      </c>
      <c r="C1692" t="s">
        <v>3419</v>
      </c>
      <c r="D1692" t="s">
        <v>3420</v>
      </c>
      <c r="E1692" s="19">
        <v>39630</v>
      </c>
      <c r="F1692" t="str">
        <f>"9780313352874"</f>
        <v>9780313352874</v>
      </c>
      <c r="G1692" t="str">
        <f>"9780313352867"</f>
        <v>9780313352867</v>
      </c>
      <c r="H1692" t="s">
        <v>3421</v>
      </c>
      <c r="I1692">
        <v>333.79</v>
      </c>
      <c r="J1692" t="s">
        <v>3422</v>
      </c>
      <c r="K1692" t="s">
        <v>73</v>
      </c>
      <c r="N1692" t="s">
        <v>74</v>
      </c>
      <c r="O1692" t="s">
        <v>75</v>
      </c>
      <c r="P1692" t="s">
        <v>74</v>
      </c>
      <c r="Q1692" t="s">
        <v>76</v>
      </c>
      <c r="R1692" t="s">
        <v>73</v>
      </c>
      <c r="S1692">
        <v>0</v>
      </c>
      <c r="W1692" s="20">
        <v>5.7870370370370366E-5</v>
      </c>
      <c r="X1692" t="s">
        <v>132</v>
      </c>
      <c r="Y1692">
        <v>1</v>
      </c>
      <c r="Z1692">
        <v>0</v>
      </c>
      <c r="AA1692" t="s">
        <v>78</v>
      </c>
      <c r="AB1692">
        <v>0</v>
      </c>
      <c r="AC1692" t="s">
        <v>78</v>
      </c>
      <c r="AD1692">
        <v>0</v>
      </c>
      <c r="AE1692">
        <v>10271266</v>
      </c>
      <c r="AF1692" t="s">
        <v>79</v>
      </c>
      <c r="AG1692" t="s">
        <v>333</v>
      </c>
    </row>
    <row r="1693" spans="1:33" x14ac:dyDescent="0.35">
      <c r="A1693" s="18">
        <v>44335.684027777781</v>
      </c>
      <c r="B1693">
        <v>3379024</v>
      </c>
      <c r="C1693" t="s">
        <v>3977</v>
      </c>
      <c r="D1693" t="s">
        <v>351</v>
      </c>
      <c r="E1693" s="19">
        <v>41179</v>
      </c>
      <c r="F1693" t="str">
        <f>"9780309254120"</f>
        <v>9780309254120</v>
      </c>
      <c r="G1693" t="str">
        <f>"9780309254113"</f>
        <v>9780309254113</v>
      </c>
      <c r="H1693" t="s">
        <v>2907</v>
      </c>
      <c r="I1693">
        <v>507.11</v>
      </c>
      <c r="J1693" t="s">
        <v>3978</v>
      </c>
      <c r="K1693" t="s">
        <v>73</v>
      </c>
      <c r="N1693" t="s">
        <v>74</v>
      </c>
      <c r="O1693" t="s">
        <v>75</v>
      </c>
      <c r="P1693" t="s">
        <v>230</v>
      </c>
      <c r="Q1693" t="s">
        <v>76</v>
      </c>
      <c r="R1693" t="s">
        <v>85</v>
      </c>
      <c r="S1693">
        <v>1</v>
      </c>
      <c r="W1693" s="20">
        <v>0</v>
      </c>
      <c r="X1693" t="s">
        <v>78</v>
      </c>
      <c r="Y1693">
        <v>0</v>
      </c>
      <c r="Z1693">
        <v>5</v>
      </c>
      <c r="AA1693" t="s">
        <v>3979</v>
      </c>
      <c r="AB1693">
        <v>204</v>
      </c>
      <c r="AC1693" t="s">
        <v>78</v>
      </c>
      <c r="AD1693">
        <v>0</v>
      </c>
      <c r="AE1693">
        <v>10606364</v>
      </c>
      <c r="AF1693" t="s">
        <v>88</v>
      </c>
      <c r="AG1693" t="s">
        <v>3746</v>
      </c>
    </row>
    <row r="1694" spans="1:33" x14ac:dyDescent="0.35">
      <c r="A1694" s="18">
        <v>44335.552083333336</v>
      </c>
      <c r="B1694">
        <v>806488</v>
      </c>
      <c r="C1694" t="s">
        <v>3980</v>
      </c>
      <c r="D1694" t="s">
        <v>158</v>
      </c>
      <c r="E1694" s="19">
        <v>40828</v>
      </c>
      <c r="F1694" t="str">
        <f>"9780080916781"</f>
        <v>9780080916781</v>
      </c>
      <c r="G1694" t="str">
        <f>"9780120887590"</f>
        <v>9780120887590</v>
      </c>
      <c r="H1694" t="s">
        <v>3981</v>
      </c>
      <c r="I1694">
        <v>550.15319999999997</v>
      </c>
      <c r="J1694" t="s">
        <v>3982</v>
      </c>
      <c r="K1694" t="s">
        <v>73</v>
      </c>
      <c r="N1694" t="s">
        <v>74</v>
      </c>
      <c r="O1694" t="s">
        <v>75</v>
      </c>
      <c r="P1694" t="s">
        <v>74</v>
      </c>
      <c r="Q1694" t="s">
        <v>76</v>
      </c>
      <c r="R1694" t="s">
        <v>73</v>
      </c>
      <c r="S1694">
        <v>0</v>
      </c>
      <c r="W1694" s="20">
        <v>5.6597222222222222E-3</v>
      </c>
      <c r="X1694" t="s">
        <v>3983</v>
      </c>
      <c r="Y1694">
        <v>31</v>
      </c>
      <c r="Z1694">
        <v>0</v>
      </c>
      <c r="AA1694" t="s">
        <v>78</v>
      </c>
      <c r="AB1694">
        <v>0</v>
      </c>
      <c r="AC1694" t="s">
        <v>78</v>
      </c>
      <c r="AD1694">
        <v>0</v>
      </c>
      <c r="AE1694">
        <v>10501108</v>
      </c>
      <c r="AF1694" t="s">
        <v>79</v>
      </c>
      <c r="AG1694" t="s">
        <v>1579</v>
      </c>
    </row>
    <row r="1695" spans="1:33" x14ac:dyDescent="0.35">
      <c r="A1695" s="18">
        <v>44334.681250000001</v>
      </c>
      <c r="B1695">
        <v>534996</v>
      </c>
      <c r="C1695" t="s">
        <v>3984</v>
      </c>
      <c r="D1695" t="s">
        <v>158</v>
      </c>
      <c r="E1695" s="19">
        <v>39435</v>
      </c>
      <c r="F1695" t="str">
        <f>"9780080556703"</f>
        <v>9780080556703</v>
      </c>
      <c r="G1695" t="str">
        <f>"9780125586917"</f>
        <v>9780125586917</v>
      </c>
      <c r="H1695" t="s">
        <v>3985</v>
      </c>
      <c r="I1695">
        <v>551.52459999999996</v>
      </c>
      <c r="J1695" t="s">
        <v>3986</v>
      </c>
      <c r="K1695" t="s">
        <v>73</v>
      </c>
      <c r="N1695" t="s">
        <v>74</v>
      </c>
      <c r="O1695" t="s">
        <v>75</v>
      </c>
      <c r="P1695" t="s">
        <v>74</v>
      </c>
      <c r="Q1695" t="s">
        <v>76</v>
      </c>
      <c r="R1695" t="s">
        <v>73</v>
      </c>
      <c r="S1695">
        <v>0</v>
      </c>
      <c r="W1695" s="20">
        <v>3.414351851851852E-3</v>
      </c>
      <c r="X1695" t="s">
        <v>3987</v>
      </c>
      <c r="Y1695">
        <v>29</v>
      </c>
      <c r="Z1695">
        <v>1</v>
      </c>
      <c r="AA1695" t="s">
        <v>3988</v>
      </c>
      <c r="AB1695">
        <v>30</v>
      </c>
      <c r="AC1695" t="s">
        <v>78</v>
      </c>
      <c r="AD1695">
        <v>0</v>
      </c>
      <c r="AE1695">
        <v>10378944</v>
      </c>
      <c r="AF1695" t="s">
        <v>79</v>
      </c>
      <c r="AG1695" t="s">
        <v>3746</v>
      </c>
    </row>
    <row r="1696" spans="1:33" x14ac:dyDescent="0.35">
      <c r="A1696" s="18">
        <v>44334.524305555555</v>
      </c>
      <c r="B1696">
        <v>534996</v>
      </c>
      <c r="C1696" t="s">
        <v>3984</v>
      </c>
      <c r="D1696" t="s">
        <v>158</v>
      </c>
      <c r="E1696" s="19">
        <v>39435</v>
      </c>
      <c r="F1696" t="str">
        <f>"9780080556703"</f>
        <v>9780080556703</v>
      </c>
      <c r="G1696" t="str">
        <f>"9780125586917"</f>
        <v>9780125586917</v>
      </c>
      <c r="H1696" t="s">
        <v>3985</v>
      </c>
      <c r="I1696">
        <v>551.52459999999996</v>
      </c>
      <c r="J1696" t="s">
        <v>3986</v>
      </c>
      <c r="K1696" t="s">
        <v>73</v>
      </c>
      <c r="N1696" t="s">
        <v>74</v>
      </c>
      <c r="O1696" t="s">
        <v>75</v>
      </c>
      <c r="P1696" t="s">
        <v>74</v>
      </c>
      <c r="Q1696" t="s">
        <v>76</v>
      </c>
      <c r="R1696" t="s">
        <v>73</v>
      </c>
      <c r="S1696">
        <v>0</v>
      </c>
      <c r="W1696" s="20">
        <v>1.982638888888889E-2</v>
      </c>
      <c r="X1696" t="s">
        <v>3989</v>
      </c>
      <c r="Y1696">
        <v>50</v>
      </c>
      <c r="Z1696">
        <v>2</v>
      </c>
      <c r="AA1696" t="s">
        <v>3990</v>
      </c>
      <c r="AB1696">
        <v>48</v>
      </c>
      <c r="AC1696" t="s">
        <v>78</v>
      </c>
      <c r="AD1696">
        <v>0</v>
      </c>
      <c r="AE1696">
        <v>10378944</v>
      </c>
      <c r="AF1696" t="s">
        <v>79</v>
      </c>
      <c r="AG1696" t="s">
        <v>3746</v>
      </c>
    </row>
    <row r="1697" spans="1:33" x14ac:dyDescent="0.35">
      <c r="A1697" s="18">
        <v>44334.515972222223</v>
      </c>
      <c r="B1697">
        <v>1153507</v>
      </c>
      <c r="C1697" t="s">
        <v>3991</v>
      </c>
      <c r="D1697" t="s">
        <v>70</v>
      </c>
      <c r="E1697" s="19">
        <v>41386</v>
      </c>
      <c r="F1697" t="str">
        <f>"9781118485316"</f>
        <v>9781118485316</v>
      </c>
      <c r="G1697" t="str">
        <f>"9781118485309"</f>
        <v>9781118485309</v>
      </c>
      <c r="H1697" t="s">
        <v>584</v>
      </c>
      <c r="I1697">
        <v>615.85140000000001</v>
      </c>
      <c r="J1697" t="s">
        <v>3992</v>
      </c>
      <c r="K1697" t="s">
        <v>73</v>
      </c>
      <c r="N1697" t="s">
        <v>74</v>
      </c>
      <c r="O1697" t="s">
        <v>75</v>
      </c>
      <c r="P1697" t="s">
        <v>74</v>
      </c>
      <c r="Q1697" t="s">
        <v>76</v>
      </c>
      <c r="R1697" t="s">
        <v>73</v>
      </c>
      <c r="S1697">
        <v>0</v>
      </c>
      <c r="W1697" s="20">
        <v>9.4907407407407408E-4</v>
      </c>
      <c r="X1697" t="s">
        <v>3993</v>
      </c>
      <c r="Y1697">
        <v>7</v>
      </c>
      <c r="Z1697">
        <v>2</v>
      </c>
      <c r="AA1697" t="s">
        <v>3994</v>
      </c>
      <c r="AB1697">
        <v>30</v>
      </c>
      <c r="AC1697" t="s">
        <v>78</v>
      </c>
      <c r="AD1697">
        <v>0</v>
      </c>
      <c r="AE1697">
        <v>10674772</v>
      </c>
      <c r="AF1697" t="s">
        <v>79</v>
      </c>
      <c r="AG1697" t="s">
        <v>3958</v>
      </c>
    </row>
    <row r="1698" spans="1:33" x14ac:dyDescent="0.35">
      <c r="A1698" s="18">
        <v>44334.500694444447</v>
      </c>
      <c r="B1698">
        <v>3382459</v>
      </c>
      <c r="C1698" t="s">
        <v>3995</v>
      </c>
      <c r="D1698" t="s">
        <v>3996</v>
      </c>
      <c r="E1698" s="19">
        <v>40026</v>
      </c>
      <c r="F1698" t="str">
        <f>"9781906574420"</f>
        <v>9781906574420</v>
      </c>
      <c r="G1698" t="str">
        <f>"9781906574062"</f>
        <v>9781906574062</v>
      </c>
      <c r="H1698" t="s">
        <v>97</v>
      </c>
      <c r="J1698" t="s">
        <v>3997</v>
      </c>
      <c r="K1698" t="s">
        <v>73</v>
      </c>
      <c r="N1698" t="s">
        <v>74</v>
      </c>
      <c r="O1698" t="s">
        <v>75</v>
      </c>
      <c r="P1698" t="s">
        <v>74</v>
      </c>
      <c r="Q1698" t="s">
        <v>76</v>
      </c>
      <c r="R1698" t="s">
        <v>73</v>
      </c>
      <c r="S1698">
        <v>0</v>
      </c>
      <c r="W1698" s="20">
        <v>3.0092592592592595E-4</v>
      </c>
      <c r="X1698" t="s">
        <v>3998</v>
      </c>
      <c r="Y1698">
        <v>2</v>
      </c>
      <c r="Z1698">
        <v>0</v>
      </c>
      <c r="AA1698" t="s">
        <v>78</v>
      </c>
      <c r="AB1698">
        <v>0</v>
      </c>
      <c r="AC1698" t="s">
        <v>78</v>
      </c>
      <c r="AD1698">
        <v>0</v>
      </c>
      <c r="AE1698">
        <v>10595619</v>
      </c>
      <c r="AF1698" t="s">
        <v>79</v>
      </c>
      <c r="AG1698" t="s">
        <v>3746</v>
      </c>
    </row>
    <row r="1699" spans="1:33" x14ac:dyDescent="0.35">
      <c r="A1699" s="18">
        <v>44334.022916666669</v>
      </c>
      <c r="B1699">
        <v>1173081</v>
      </c>
      <c r="C1699" t="s">
        <v>3999</v>
      </c>
      <c r="D1699" t="s">
        <v>70</v>
      </c>
      <c r="E1699" s="19">
        <v>41393</v>
      </c>
      <c r="F1699" t="str">
        <f>"9781118417591"</f>
        <v>9781118417591</v>
      </c>
      <c r="G1699" t="str">
        <f>"9781118394106"</f>
        <v>9781118394106</v>
      </c>
      <c r="H1699" t="s">
        <v>143</v>
      </c>
      <c r="I1699" t="s">
        <v>4000</v>
      </c>
      <c r="J1699" t="s">
        <v>4001</v>
      </c>
      <c r="K1699" t="s">
        <v>73</v>
      </c>
      <c r="N1699" t="s">
        <v>74</v>
      </c>
      <c r="O1699" t="s">
        <v>75</v>
      </c>
      <c r="P1699" t="s">
        <v>74</v>
      </c>
      <c r="Q1699" t="s">
        <v>76</v>
      </c>
      <c r="R1699" t="s">
        <v>73</v>
      </c>
      <c r="S1699">
        <v>0</v>
      </c>
      <c r="W1699" s="20">
        <v>1.2384259259259258E-3</v>
      </c>
      <c r="X1699" t="s">
        <v>4002</v>
      </c>
      <c r="Y1699">
        <v>18</v>
      </c>
      <c r="Z1699">
        <v>0</v>
      </c>
      <c r="AA1699" t="s">
        <v>78</v>
      </c>
      <c r="AB1699">
        <v>0</v>
      </c>
      <c r="AC1699" t="s">
        <v>78</v>
      </c>
      <c r="AD1699">
        <v>0</v>
      </c>
      <c r="AE1699">
        <v>10691459</v>
      </c>
      <c r="AF1699" t="s">
        <v>79</v>
      </c>
      <c r="AG1699" t="s">
        <v>4003</v>
      </c>
    </row>
    <row r="1700" spans="1:33" x14ac:dyDescent="0.35">
      <c r="A1700" s="18">
        <v>44333.870833333334</v>
      </c>
      <c r="B1700">
        <v>3001261</v>
      </c>
      <c r="C1700" t="s">
        <v>3419</v>
      </c>
      <c r="D1700" t="s">
        <v>3420</v>
      </c>
      <c r="E1700" s="19">
        <v>39630</v>
      </c>
      <c r="F1700" t="str">
        <f>"9780313352874"</f>
        <v>9780313352874</v>
      </c>
      <c r="G1700" t="str">
        <f>"9780313352867"</f>
        <v>9780313352867</v>
      </c>
      <c r="H1700" t="s">
        <v>3421</v>
      </c>
      <c r="I1700">
        <v>333.79</v>
      </c>
      <c r="J1700" t="s">
        <v>3422</v>
      </c>
      <c r="K1700" t="s">
        <v>73</v>
      </c>
      <c r="N1700" t="s">
        <v>74</v>
      </c>
      <c r="O1700" t="s">
        <v>75</v>
      </c>
      <c r="P1700" t="s">
        <v>74</v>
      </c>
      <c r="Q1700" t="s">
        <v>76</v>
      </c>
      <c r="R1700" t="s">
        <v>73</v>
      </c>
      <c r="S1700">
        <v>0</v>
      </c>
      <c r="W1700" s="20">
        <v>5.7870370370370366E-5</v>
      </c>
      <c r="X1700" t="s">
        <v>132</v>
      </c>
      <c r="Y1700">
        <v>1</v>
      </c>
      <c r="Z1700">
        <v>0</v>
      </c>
      <c r="AA1700" t="s">
        <v>78</v>
      </c>
      <c r="AB1700">
        <v>0</v>
      </c>
      <c r="AC1700" t="s">
        <v>78</v>
      </c>
      <c r="AD1700">
        <v>0</v>
      </c>
      <c r="AE1700">
        <v>10271266</v>
      </c>
      <c r="AF1700" t="s">
        <v>79</v>
      </c>
      <c r="AG1700" t="s">
        <v>333</v>
      </c>
    </row>
    <row r="1701" spans="1:33" x14ac:dyDescent="0.35">
      <c r="A1701" s="18">
        <v>44333.671527777777</v>
      </c>
      <c r="B1701">
        <v>5799078</v>
      </c>
      <c r="C1701" t="s">
        <v>3952</v>
      </c>
      <c r="D1701" t="s">
        <v>3953</v>
      </c>
      <c r="E1701" s="19">
        <v>43648</v>
      </c>
      <c r="F1701" t="str">
        <f>"9781782408093"</f>
        <v>9781782408093</v>
      </c>
      <c r="G1701" t="str">
        <f>"9781782407676"</f>
        <v>9781782407676</v>
      </c>
      <c r="H1701" t="s">
        <v>738</v>
      </c>
      <c r="I1701">
        <v>158.13</v>
      </c>
      <c r="J1701" t="s">
        <v>3954</v>
      </c>
      <c r="K1701" t="s">
        <v>85</v>
      </c>
      <c r="N1701" t="s">
        <v>186</v>
      </c>
      <c r="P1701" t="s">
        <v>87</v>
      </c>
      <c r="Q1701" t="s">
        <v>76</v>
      </c>
      <c r="R1701" t="s">
        <v>73</v>
      </c>
      <c r="S1701">
        <v>0</v>
      </c>
      <c r="W1701" s="20">
        <v>9.2592592592592588E-5</v>
      </c>
      <c r="X1701" t="s">
        <v>249</v>
      </c>
      <c r="Y1701">
        <v>2</v>
      </c>
      <c r="Z1701">
        <v>0</v>
      </c>
      <c r="AA1701" t="s">
        <v>78</v>
      </c>
      <c r="AB1701">
        <v>0</v>
      </c>
      <c r="AC1701" t="s">
        <v>78</v>
      </c>
      <c r="AD1701">
        <v>0</v>
      </c>
      <c r="AE1701">
        <v>-1</v>
      </c>
      <c r="AF1701" t="s">
        <v>79</v>
      </c>
      <c r="AG1701" t="s">
        <v>3746</v>
      </c>
    </row>
    <row r="1702" spans="1:33" x14ac:dyDescent="0.35">
      <c r="A1702" s="18">
        <v>44333.545138888891</v>
      </c>
      <c r="B1702">
        <v>3001261</v>
      </c>
      <c r="C1702" t="s">
        <v>3419</v>
      </c>
      <c r="D1702" t="s">
        <v>3420</v>
      </c>
      <c r="E1702" s="19">
        <v>39630</v>
      </c>
      <c r="F1702" t="str">
        <f>"9780313352874"</f>
        <v>9780313352874</v>
      </c>
      <c r="G1702" t="str">
        <f>"9780313352867"</f>
        <v>9780313352867</v>
      </c>
      <c r="H1702" t="s">
        <v>3421</v>
      </c>
      <c r="I1702">
        <v>333.79</v>
      </c>
      <c r="J1702" t="s">
        <v>3422</v>
      </c>
      <c r="K1702" t="s">
        <v>73</v>
      </c>
      <c r="N1702" t="s">
        <v>74</v>
      </c>
      <c r="O1702" t="s">
        <v>75</v>
      </c>
      <c r="P1702" t="s">
        <v>74</v>
      </c>
      <c r="Q1702" t="s">
        <v>76</v>
      </c>
      <c r="R1702" t="s">
        <v>73</v>
      </c>
      <c r="S1702">
        <v>0</v>
      </c>
      <c r="W1702" s="20">
        <v>4.6296296296296294E-5</v>
      </c>
      <c r="X1702" t="s">
        <v>132</v>
      </c>
      <c r="Y1702">
        <v>1</v>
      </c>
      <c r="Z1702">
        <v>0</v>
      </c>
      <c r="AA1702" t="s">
        <v>78</v>
      </c>
      <c r="AB1702">
        <v>0</v>
      </c>
      <c r="AC1702" t="s">
        <v>78</v>
      </c>
      <c r="AD1702">
        <v>0</v>
      </c>
      <c r="AE1702">
        <v>10271266</v>
      </c>
      <c r="AF1702" t="s">
        <v>79</v>
      </c>
      <c r="AG1702" t="s">
        <v>333</v>
      </c>
    </row>
    <row r="1703" spans="1:33" x14ac:dyDescent="0.35">
      <c r="A1703" s="18">
        <v>44333.51458333333</v>
      </c>
      <c r="B1703">
        <v>4829166</v>
      </c>
      <c r="C1703" t="s">
        <v>4004</v>
      </c>
      <c r="D1703" t="s">
        <v>70</v>
      </c>
      <c r="E1703" s="19">
        <v>42835</v>
      </c>
      <c r="F1703" t="str">
        <f>"9781119219835"</f>
        <v>9781119219835</v>
      </c>
      <c r="G1703" t="str">
        <f>"9781119219811"</f>
        <v>9781119219811</v>
      </c>
      <c r="H1703" t="s">
        <v>724</v>
      </c>
      <c r="I1703" t="s">
        <v>4005</v>
      </c>
      <c r="J1703" t="s">
        <v>4006</v>
      </c>
      <c r="K1703" t="s">
        <v>73</v>
      </c>
      <c r="N1703" t="s">
        <v>74</v>
      </c>
      <c r="O1703" t="s">
        <v>75</v>
      </c>
      <c r="P1703" t="s">
        <v>74</v>
      </c>
      <c r="Q1703" t="s">
        <v>76</v>
      </c>
      <c r="R1703" t="s">
        <v>73</v>
      </c>
      <c r="S1703">
        <v>0</v>
      </c>
      <c r="W1703" s="20">
        <v>3.2407407407407406E-4</v>
      </c>
      <c r="X1703" t="s">
        <v>4007</v>
      </c>
      <c r="Y1703">
        <v>4</v>
      </c>
      <c r="Z1703">
        <v>0</v>
      </c>
      <c r="AA1703" t="s">
        <v>78</v>
      </c>
      <c r="AB1703">
        <v>0</v>
      </c>
      <c r="AC1703" t="s">
        <v>78</v>
      </c>
      <c r="AD1703">
        <v>0</v>
      </c>
      <c r="AE1703">
        <v>11365259</v>
      </c>
      <c r="AF1703" t="s">
        <v>79</v>
      </c>
      <c r="AG1703" t="s">
        <v>4008</v>
      </c>
    </row>
    <row r="1704" spans="1:33" x14ac:dyDescent="0.35">
      <c r="A1704" s="18">
        <v>44333.192361111112</v>
      </c>
      <c r="B1704">
        <v>3339142</v>
      </c>
      <c r="C1704" t="s">
        <v>1890</v>
      </c>
      <c r="D1704" t="s">
        <v>300</v>
      </c>
      <c r="E1704" s="19">
        <v>40025</v>
      </c>
      <c r="F1704" t="str">
        <f>"9780262270830"</f>
        <v>9780262270830</v>
      </c>
      <c r="G1704" t="str">
        <f>"9780262533058"</f>
        <v>9780262533058</v>
      </c>
      <c r="H1704" t="s">
        <v>110</v>
      </c>
      <c r="I1704">
        <v>5.0999999999999996</v>
      </c>
      <c r="J1704" t="s">
        <v>1891</v>
      </c>
      <c r="K1704" t="s">
        <v>73</v>
      </c>
      <c r="N1704" t="s">
        <v>74</v>
      </c>
      <c r="O1704" t="s">
        <v>75</v>
      </c>
      <c r="P1704" t="s">
        <v>74</v>
      </c>
      <c r="Q1704" t="s">
        <v>76</v>
      </c>
      <c r="R1704" t="s">
        <v>73</v>
      </c>
      <c r="S1704">
        <v>0</v>
      </c>
      <c r="W1704" s="20">
        <v>2.8055555555555556E-2</v>
      </c>
      <c r="X1704" t="s">
        <v>4009</v>
      </c>
      <c r="Y1704">
        <v>21</v>
      </c>
      <c r="Z1704">
        <v>0</v>
      </c>
      <c r="AA1704" t="s">
        <v>78</v>
      </c>
      <c r="AB1704">
        <v>0</v>
      </c>
      <c r="AC1704" t="s">
        <v>78</v>
      </c>
      <c r="AD1704">
        <v>0</v>
      </c>
      <c r="AE1704">
        <v>10397652</v>
      </c>
      <c r="AF1704" t="s">
        <v>88</v>
      </c>
      <c r="AG1704" t="s">
        <v>3746</v>
      </c>
    </row>
    <row r="1705" spans="1:33" x14ac:dyDescent="0.35">
      <c r="A1705" s="18">
        <v>44333.052777777775</v>
      </c>
      <c r="B1705">
        <v>1173081</v>
      </c>
      <c r="C1705" t="s">
        <v>3999</v>
      </c>
      <c r="D1705" t="s">
        <v>70</v>
      </c>
      <c r="E1705" s="19">
        <v>41393</v>
      </c>
      <c r="F1705" t="str">
        <f>"9781118417591"</f>
        <v>9781118417591</v>
      </c>
      <c r="G1705" t="str">
        <f>"9781118394106"</f>
        <v>9781118394106</v>
      </c>
      <c r="H1705" t="s">
        <v>143</v>
      </c>
      <c r="I1705" t="s">
        <v>4000</v>
      </c>
      <c r="J1705" t="s">
        <v>4001</v>
      </c>
      <c r="K1705" t="s">
        <v>73</v>
      </c>
      <c r="N1705" t="s">
        <v>74</v>
      </c>
      <c r="O1705" t="s">
        <v>75</v>
      </c>
      <c r="P1705" t="s">
        <v>74</v>
      </c>
      <c r="Q1705" t="s">
        <v>76</v>
      </c>
      <c r="R1705" t="s">
        <v>73</v>
      </c>
      <c r="S1705">
        <v>0</v>
      </c>
      <c r="W1705" s="20">
        <v>5.0925925925925921E-4</v>
      </c>
      <c r="X1705" t="s">
        <v>4010</v>
      </c>
      <c r="Y1705">
        <v>4</v>
      </c>
      <c r="Z1705">
        <v>0</v>
      </c>
      <c r="AA1705" t="s">
        <v>78</v>
      </c>
      <c r="AB1705">
        <v>0</v>
      </c>
      <c r="AC1705" t="s">
        <v>78</v>
      </c>
      <c r="AD1705">
        <v>0</v>
      </c>
      <c r="AE1705">
        <v>10691459</v>
      </c>
      <c r="AF1705" t="s">
        <v>79</v>
      </c>
      <c r="AG1705" t="s">
        <v>3746</v>
      </c>
    </row>
    <row r="1706" spans="1:33" x14ac:dyDescent="0.35">
      <c r="A1706" s="18">
        <v>44332.965277777781</v>
      </c>
      <c r="B1706">
        <v>3339142</v>
      </c>
      <c r="C1706" t="s">
        <v>1890</v>
      </c>
      <c r="D1706" t="s">
        <v>300</v>
      </c>
      <c r="E1706" s="19">
        <v>40025</v>
      </c>
      <c r="F1706" t="str">
        <f>"9780262270830"</f>
        <v>9780262270830</v>
      </c>
      <c r="G1706" t="str">
        <f>"9780262533058"</f>
        <v>9780262533058</v>
      </c>
      <c r="H1706" t="s">
        <v>110</v>
      </c>
      <c r="I1706">
        <v>5.0999999999999996</v>
      </c>
      <c r="J1706" t="s">
        <v>1891</v>
      </c>
      <c r="K1706" t="s">
        <v>73</v>
      </c>
      <c r="N1706" t="s">
        <v>74</v>
      </c>
      <c r="O1706" t="s">
        <v>75</v>
      </c>
      <c r="P1706" t="s">
        <v>74</v>
      </c>
      <c r="Q1706" t="s">
        <v>76</v>
      </c>
      <c r="R1706" t="s">
        <v>73</v>
      </c>
      <c r="S1706">
        <v>0</v>
      </c>
      <c r="W1706" s="20">
        <v>3.4722222222222222E-5</v>
      </c>
      <c r="X1706" t="s">
        <v>4011</v>
      </c>
      <c r="Y1706">
        <v>2</v>
      </c>
      <c r="Z1706">
        <v>0</v>
      </c>
      <c r="AA1706" t="s">
        <v>78</v>
      </c>
      <c r="AB1706">
        <v>0</v>
      </c>
      <c r="AC1706" t="s">
        <v>78</v>
      </c>
      <c r="AD1706">
        <v>0</v>
      </c>
      <c r="AE1706">
        <v>10397652</v>
      </c>
      <c r="AF1706" t="s">
        <v>88</v>
      </c>
      <c r="AG1706" t="s">
        <v>3746</v>
      </c>
    </row>
    <row r="1707" spans="1:33" x14ac:dyDescent="0.35">
      <c r="A1707" s="18">
        <v>44332.942361111112</v>
      </c>
      <c r="B1707">
        <v>1173081</v>
      </c>
      <c r="C1707" t="s">
        <v>3999</v>
      </c>
      <c r="D1707" t="s">
        <v>70</v>
      </c>
      <c r="E1707" s="19">
        <v>41393</v>
      </c>
      <c r="F1707" t="str">
        <f>"9781118417591"</f>
        <v>9781118417591</v>
      </c>
      <c r="G1707" t="str">
        <f>"9781118394106"</f>
        <v>9781118394106</v>
      </c>
      <c r="H1707" t="s">
        <v>143</v>
      </c>
      <c r="I1707" t="s">
        <v>4000</v>
      </c>
      <c r="J1707" t="s">
        <v>4001</v>
      </c>
      <c r="K1707" t="s">
        <v>73</v>
      </c>
      <c r="N1707" t="s">
        <v>74</v>
      </c>
      <c r="O1707" t="s">
        <v>75</v>
      </c>
      <c r="P1707" t="s">
        <v>74</v>
      </c>
      <c r="Q1707" t="s">
        <v>76</v>
      </c>
      <c r="R1707" t="s">
        <v>73</v>
      </c>
      <c r="S1707">
        <v>0</v>
      </c>
      <c r="W1707" s="20">
        <v>2.0231481481481482E-2</v>
      </c>
      <c r="X1707" t="s">
        <v>4012</v>
      </c>
      <c r="Y1707">
        <v>17</v>
      </c>
      <c r="Z1707">
        <v>0</v>
      </c>
      <c r="AA1707" t="s">
        <v>78</v>
      </c>
      <c r="AB1707">
        <v>0</v>
      </c>
      <c r="AC1707" t="s">
        <v>78</v>
      </c>
      <c r="AD1707">
        <v>0</v>
      </c>
      <c r="AE1707">
        <v>10691459</v>
      </c>
      <c r="AF1707" t="s">
        <v>79</v>
      </c>
      <c r="AG1707" t="s">
        <v>3746</v>
      </c>
    </row>
    <row r="1708" spans="1:33" x14ac:dyDescent="0.35">
      <c r="A1708" s="18">
        <v>44332.914583333331</v>
      </c>
      <c r="B1708">
        <v>3339142</v>
      </c>
      <c r="C1708" t="s">
        <v>1890</v>
      </c>
      <c r="D1708" t="s">
        <v>300</v>
      </c>
      <c r="E1708" s="19">
        <v>40025</v>
      </c>
      <c r="F1708" t="str">
        <f>"9780262270830"</f>
        <v>9780262270830</v>
      </c>
      <c r="G1708" t="str">
        <f>"9780262533058"</f>
        <v>9780262533058</v>
      </c>
      <c r="H1708" t="s">
        <v>110</v>
      </c>
      <c r="I1708">
        <v>5.0999999999999996</v>
      </c>
      <c r="J1708" t="s">
        <v>1891</v>
      </c>
      <c r="K1708" t="s">
        <v>73</v>
      </c>
      <c r="N1708" t="s">
        <v>74</v>
      </c>
      <c r="O1708" t="s">
        <v>75</v>
      </c>
      <c r="P1708" t="s">
        <v>74</v>
      </c>
      <c r="Q1708" t="s">
        <v>76</v>
      </c>
      <c r="R1708" t="s">
        <v>73</v>
      </c>
      <c r="S1708">
        <v>0</v>
      </c>
      <c r="W1708" s="20">
        <v>1.7361111111111112E-4</v>
      </c>
      <c r="X1708" t="s">
        <v>4013</v>
      </c>
      <c r="Y1708">
        <v>3</v>
      </c>
      <c r="Z1708">
        <v>0</v>
      </c>
      <c r="AA1708" t="s">
        <v>78</v>
      </c>
      <c r="AB1708">
        <v>0</v>
      </c>
      <c r="AC1708" t="s">
        <v>78</v>
      </c>
      <c r="AD1708">
        <v>0</v>
      </c>
      <c r="AE1708">
        <v>10397652</v>
      </c>
      <c r="AF1708" t="s">
        <v>88</v>
      </c>
      <c r="AG1708" t="s">
        <v>3746</v>
      </c>
    </row>
    <row r="1709" spans="1:33" x14ac:dyDescent="0.35">
      <c r="A1709" s="18">
        <v>44332.865972222222</v>
      </c>
      <c r="B1709">
        <v>3339142</v>
      </c>
      <c r="C1709" t="s">
        <v>1890</v>
      </c>
      <c r="D1709" t="s">
        <v>300</v>
      </c>
      <c r="E1709" s="19">
        <v>40025</v>
      </c>
      <c r="F1709" t="str">
        <f>"9780262270830"</f>
        <v>9780262270830</v>
      </c>
      <c r="G1709" t="str">
        <f>"9780262533058"</f>
        <v>9780262533058</v>
      </c>
      <c r="H1709" t="s">
        <v>110</v>
      </c>
      <c r="I1709">
        <v>5.0999999999999996</v>
      </c>
      <c r="J1709" t="s">
        <v>1891</v>
      </c>
      <c r="K1709" t="s">
        <v>73</v>
      </c>
      <c r="N1709" t="s">
        <v>74</v>
      </c>
      <c r="O1709" t="s">
        <v>75</v>
      </c>
      <c r="P1709" t="s">
        <v>74</v>
      </c>
      <c r="Q1709" t="s">
        <v>76</v>
      </c>
      <c r="R1709" t="s">
        <v>73</v>
      </c>
      <c r="S1709">
        <v>0</v>
      </c>
      <c r="W1709" s="20">
        <v>7.6388888888888893E-4</v>
      </c>
      <c r="X1709" t="s">
        <v>4014</v>
      </c>
      <c r="Y1709">
        <v>8</v>
      </c>
      <c r="Z1709">
        <v>0</v>
      </c>
      <c r="AA1709" t="s">
        <v>78</v>
      </c>
      <c r="AB1709">
        <v>0</v>
      </c>
      <c r="AC1709" t="s">
        <v>78</v>
      </c>
      <c r="AD1709">
        <v>0</v>
      </c>
      <c r="AE1709">
        <v>10397652</v>
      </c>
      <c r="AF1709" t="s">
        <v>88</v>
      </c>
      <c r="AG1709" t="s">
        <v>3746</v>
      </c>
    </row>
    <row r="1710" spans="1:33" x14ac:dyDescent="0.35">
      <c r="A1710" s="18">
        <v>44332.760416666664</v>
      </c>
      <c r="B1710">
        <v>3001261</v>
      </c>
      <c r="C1710" t="s">
        <v>3419</v>
      </c>
      <c r="D1710" t="s">
        <v>3420</v>
      </c>
      <c r="E1710" s="19">
        <v>39630</v>
      </c>
      <c r="F1710" t="str">
        <f>"9780313352874"</f>
        <v>9780313352874</v>
      </c>
      <c r="G1710" t="str">
        <f>"9780313352867"</f>
        <v>9780313352867</v>
      </c>
      <c r="H1710" t="s">
        <v>3421</v>
      </c>
      <c r="I1710">
        <v>333.79</v>
      </c>
      <c r="J1710" t="s">
        <v>3422</v>
      </c>
      <c r="K1710" t="s">
        <v>73</v>
      </c>
      <c r="N1710" t="s">
        <v>74</v>
      </c>
      <c r="O1710" t="s">
        <v>75</v>
      </c>
      <c r="P1710" t="s">
        <v>74</v>
      </c>
      <c r="Q1710" t="s">
        <v>76</v>
      </c>
      <c r="R1710" t="s">
        <v>73</v>
      </c>
      <c r="S1710">
        <v>0</v>
      </c>
      <c r="W1710" s="20">
        <v>9.2592592592592588E-5</v>
      </c>
      <c r="X1710" t="s">
        <v>132</v>
      </c>
      <c r="Y1710">
        <v>1</v>
      </c>
      <c r="Z1710">
        <v>0</v>
      </c>
      <c r="AA1710" t="s">
        <v>78</v>
      </c>
      <c r="AB1710">
        <v>0</v>
      </c>
      <c r="AC1710" t="s">
        <v>78</v>
      </c>
      <c r="AD1710">
        <v>0</v>
      </c>
      <c r="AE1710">
        <v>10271266</v>
      </c>
      <c r="AF1710" t="s">
        <v>79</v>
      </c>
      <c r="AG1710" t="s">
        <v>333</v>
      </c>
    </row>
    <row r="1711" spans="1:33" x14ac:dyDescent="0.35">
      <c r="A1711" s="18">
        <v>44332.743750000001</v>
      </c>
      <c r="B1711">
        <v>731273</v>
      </c>
      <c r="C1711" t="s">
        <v>4015</v>
      </c>
      <c r="D1711" t="s">
        <v>239</v>
      </c>
      <c r="E1711" s="19">
        <v>40179</v>
      </c>
      <c r="F1711" t="str">
        <f>"9789814287142"</f>
        <v>9789814287142</v>
      </c>
      <c r="G1711" t="str">
        <f>"9789814287135"</f>
        <v>9789814287135</v>
      </c>
      <c r="H1711" t="s">
        <v>115</v>
      </c>
      <c r="I1711">
        <v>511.3</v>
      </c>
      <c r="J1711" t="s">
        <v>4016</v>
      </c>
      <c r="K1711" t="s">
        <v>73</v>
      </c>
      <c r="N1711" t="s">
        <v>74</v>
      </c>
      <c r="O1711" t="s">
        <v>75</v>
      </c>
      <c r="P1711" t="s">
        <v>74</v>
      </c>
      <c r="Q1711" t="s">
        <v>76</v>
      </c>
      <c r="R1711" t="s">
        <v>73</v>
      </c>
      <c r="S1711">
        <v>0</v>
      </c>
      <c r="W1711" s="20">
        <v>3.4722222222222224E-4</v>
      </c>
      <c r="X1711" t="s">
        <v>4017</v>
      </c>
      <c r="Y1711">
        <v>4</v>
      </c>
      <c r="Z1711">
        <v>0</v>
      </c>
      <c r="AA1711" t="s">
        <v>78</v>
      </c>
      <c r="AB1711">
        <v>0</v>
      </c>
      <c r="AC1711" t="s">
        <v>78</v>
      </c>
      <c r="AD1711">
        <v>0</v>
      </c>
      <c r="AE1711">
        <v>10422300</v>
      </c>
      <c r="AF1711" t="s">
        <v>79</v>
      </c>
      <c r="AG1711" t="s">
        <v>2640</v>
      </c>
    </row>
    <row r="1712" spans="1:33" x14ac:dyDescent="0.35">
      <c r="A1712" s="18">
        <v>44332.693055555559</v>
      </c>
      <c r="B1712">
        <v>3339142</v>
      </c>
      <c r="C1712" t="s">
        <v>1890</v>
      </c>
      <c r="D1712" t="s">
        <v>300</v>
      </c>
      <c r="E1712" s="19">
        <v>40025</v>
      </c>
      <c r="F1712" t="str">
        <f>"9780262270830"</f>
        <v>9780262270830</v>
      </c>
      <c r="G1712" t="str">
        <f>"9780262533058"</f>
        <v>9780262533058</v>
      </c>
      <c r="H1712" t="s">
        <v>110</v>
      </c>
      <c r="I1712">
        <v>5.0999999999999996</v>
      </c>
      <c r="J1712" t="s">
        <v>1891</v>
      </c>
      <c r="K1712" t="s">
        <v>73</v>
      </c>
      <c r="N1712" t="s">
        <v>74</v>
      </c>
      <c r="O1712" t="s">
        <v>75</v>
      </c>
      <c r="P1712" t="s">
        <v>74</v>
      </c>
      <c r="Q1712" t="s">
        <v>76</v>
      </c>
      <c r="R1712" t="s">
        <v>73</v>
      </c>
      <c r="S1712">
        <v>0</v>
      </c>
      <c r="W1712" s="20">
        <v>5.0694444444444441E-3</v>
      </c>
      <c r="X1712" t="s">
        <v>4018</v>
      </c>
      <c r="Y1712">
        <v>18</v>
      </c>
      <c r="Z1712">
        <v>0</v>
      </c>
      <c r="AA1712" t="s">
        <v>78</v>
      </c>
      <c r="AB1712">
        <v>0</v>
      </c>
      <c r="AC1712" t="s">
        <v>78</v>
      </c>
      <c r="AD1712">
        <v>0</v>
      </c>
      <c r="AE1712">
        <v>10397652</v>
      </c>
      <c r="AF1712" t="s">
        <v>88</v>
      </c>
      <c r="AG1712" t="s">
        <v>3746</v>
      </c>
    </row>
    <row r="1713" spans="1:33" x14ac:dyDescent="0.35">
      <c r="A1713" s="18">
        <v>44332.665972222225</v>
      </c>
      <c r="B1713">
        <v>1602822</v>
      </c>
      <c r="C1713" t="s">
        <v>4019</v>
      </c>
      <c r="D1713" t="s">
        <v>127</v>
      </c>
      <c r="E1713" s="19">
        <v>40890</v>
      </c>
      <c r="F1713" t="str">
        <f>"9781439897836"</f>
        <v>9781439897836</v>
      </c>
      <c r="G1713" t="str">
        <f>"9781439804452"</f>
        <v>9781439804452</v>
      </c>
      <c r="H1713" t="s">
        <v>979</v>
      </c>
      <c r="I1713" t="s">
        <v>4020</v>
      </c>
      <c r="J1713" t="s">
        <v>4021</v>
      </c>
      <c r="K1713" t="s">
        <v>73</v>
      </c>
      <c r="N1713" t="s">
        <v>74</v>
      </c>
      <c r="O1713" t="s">
        <v>75</v>
      </c>
      <c r="P1713" t="s">
        <v>74</v>
      </c>
      <c r="Q1713" t="s">
        <v>76</v>
      </c>
      <c r="R1713" t="s">
        <v>73</v>
      </c>
      <c r="S1713">
        <v>0</v>
      </c>
      <c r="W1713" s="20">
        <v>4.2939814814814811E-3</v>
      </c>
      <c r="X1713" t="s">
        <v>4022</v>
      </c>
      <c r="Y1713">
        <v>32</v>
      </c>
      <c r="Z1713">
        <v>0</v>
      </c>
      <c r="AA1713" t="s">
        <v>78</v>
      </c>
      <c r="AB1713">
        <v>0</v>
      </c>
      <c r="AC1713" t="s">
        <v>78</v>
      </c>
      <c r="AD1713">
        <v>0</v>
      </c>
      <c r="AE1713">
        <v>11167228</v>
      </c>
      <c r="AF1713" t="s">
        <v>79</v>
      </c>
      <c r="AG1713" t="s">
        <v>1579</v>
      </c>
    </row>
    <row r="1714" spans="1:33" x14ac:dyDescent="0.35">
      <c r="A1714" s="18">
        <v>44332.638888888891</v>
      </c>
      <c r="B1714">
        <v>4829166</v>
      </c>
      <c r="C1714" t="s">
        <v>4004</v>
      </c>
      <c r="D1714" t="s">
        <v>70</v>
      </c>
      <c r="E1714" s="19">
        <v>42835</v>
      </c>
      <c r="F1714" t="str">
        <f>"9781119219835"</f>
        <v>9781119219835</v>
      </c>
      <c r="G1714" t="str">
        <f>"9781119219811"</f>
        <v>9781119219811</v>
      </c>
      <c r="H1714" t="s">
        <v>724</v>
      </c>
      <c r="I1714" t="s">
        <v>4005</v>
      </c>
      <c r="J1714" t="s">
        <v>4006</v>
      </c>
      <c r="K1714" t="s">
        <v>73</v>
      </c>
      <c r="N1714" t="s">
        <v>74</v>
      </c>
      <c r="O1714" t="s">
        <v>75</v>
      </c>
      <c r="P1714" t="s">
        <v>74</v>
      </c>
      <c r="Q1714" t="s">
        <v>76</v>
      </c>
      <c r="R1714" t="s">
        <v>73</v>
      </c>
      <c r="S1714">
        <v>0</v>
      </c>
      <c r="W1714" s="20">
        <v>7.5162037037037041E-2</v>
      </c>
      <c r="X1714" t="s">
        <v>4023</v>
      </c>
      <c r="Y1714">
        <v>40</v>
      </c>
      <c r="Z1714">
        <v>0</v>
      </c>
      <c r="AA1714" t="s">
        <v>78</v>
      </c>
      <c r="AB1714">
        <v>0</v>
      </c>
      <c r="AC1714" t="s">
        <v>78</v>
      </c>
      <c r="AD1714">
        <v>0</v>
      </c>
      <c r="AE1714">
        <v>11365259</v>
      </c>
      <c r="AF1714" t="s">
        <v>79</v>
      </c>
      <c r="AG1714" t="s">
        <v>4008</v>
      </c>
    </row>
    <row r="1715" spans="1:33" x14ac:dyDescent="0.35">
      <c r="A1715" s="18">
        <v>44332.572916666664</v>
      </c>
      <c r="B1715">
        <v>3339142</v>
      </c>
      <c r="C1715" t="s">
        <v>1890</v>
      </c>
      <c r="D1715" t="s">
        <v>300</v>
      </c>
      <c r="E1715" s="19">
        <v>40025</v>
      </c>
      <c r="F1715" t="str">
        <f>"9780262270830"</f>
        <v>9780262270830</v>
      </c>
      <c r="G1715" t="str">
        <f>"9780262533058"</f>
        <v>9780262533058</v>
      </c>
      <c r="H1715" t="s">
        <v>110</v>
      </c>
      <c r="I1715">
        <v>5.0999999999999996</v>
      </c>
      <c r="J1715" t="s">
        <v>1891</v>
      </c>
      <c r="K1715" t="s">
        <v>73</v>
      </c>
      <c r="N1715" t="s">
        <v>74</v>
      </c>
      <c r="O1715" t="s">
        <v>75</v>
      </c>
      <c r="P1715" t="s">
        <v>74</v>
      </c>
      <c r="Q1715" t="s">
        <v>76</v>
      </c>
      <c r="R1715" t="s">
        <v>73</v>
      </c>
      <c r="S1715">
        <v>0</v>
      </c>
      <c r="W1715" s="20">
        <v>2.2453703703703702E-3</v>
      </c>
      <c r="X1715" t="s">
        <v>4024</v>
      </c>
      <c r="Y1715">
        <v>19</v>
      </c>
      <c r="Z1715">
        <v>0</v>
      </c>
      <c r="AA1715" t="s">
        <v>78</v>
      </c>
      <c r="AB1715">
        <v>0</v>
      </c>
      <c r="AC1715" t="s">
        <v>78</v>
      </c>
      <c r="AD1715">
        <v>0</v>
      </c>
      <c r="AE1715">
        <v>10397652</v>
      </c>
      <c r="AF1715" t="s">
        <v>88</v>
      </c>
      <c r="AG1715" t="s">
        <v>3746</v>
      </c>
    </row>
    <row r="1716" spans="1:33" x14ac:dyDescent="0.35">
      <c r="A1716" s="18">
        <v>44332.536805555559</v>
      </c>
      <c r="B1716">
        <v>3339142</v>
      </c>
      <c r="C1716" t="s">
        <v>1890</v>
      </c>
      <c r="D1716" t="s">
        <v>300</v>
      </c>
      <c r="E1716" s="19">
        <v>40025</v>
      </c>
      <c r="F1716" t="str">
        <f>"9780262270830"</f>
        <v>9780262270830</v>
      </c>
      <c r="G1716" t="str">
        <f>"9780262533058"</f>
        <v>9780262533058</v>
      </c>
      <c r="H1716" t="s">
        <v>110</v>
      </c>
      <c r="I1716">
        <v>5.0999999999999996</v>
      </c>
      <c r="J1716" t="s">
        <v>1891</v>
      </c>
      <c r="K1716" t="s">
        <v>73</v>
      </c>
      <c r="N1716" t="s">
        <v>74</v>
      </c>
      <c r="O1716" t="s">
        <v>75</v>
      </c>
      <c r="P1716" t="s">
        <v>74</v>
      </c>
      <c r="Q1716" t="s">
        <v>76</v>
      </c>
      <c r="R1716" t="s">
        <v>73</v>
      </c>
      <c r="S1716">
        <v>0</v>
      </c>
      <c r="W1716" s="20">
        <v>1.712962962962963E-3</v>
      </c>
      <c r="X1716" t="s">
        <v>4025</v>
      </c>
      <c r="Y1716">
        <v>26</v>
      </c>
      <c r="Z1716">
        <v>0</v>
      </c>
      <c r="AA1716" t="s">
        <v>78</v>
      </c>
      <c r="AB1716">
        <v>0</v>
      </c>
      <c r="AC1716" t="s">
        <v>78</v>
      </c>
      <c r="AD1716">
        <v>0</v>
      </c>
      <c r="AE1716">
        <v>10397652</v>
      </c>
      <c r="AF1716" t="s">
        <v>79</v>
      </c>
      <c r="AG1716" t="s">
        <v>3746</v>
      </c>
    </row>
    <row r="1717" spans="1:33" x14ac:dyDescent="0.35">
      <c r="A1717" s="18">
        <v>44332.411111111112</v>
      </c>
      <c r="B1717">
        <v>294737</v>
      </c>
      <c r="C1717" t="s">
        <v>4026</v>
      </c>
      <c r="D1717" t="s">
        <v>284</v>
      </c>
      <c r="E1717" s="19">
        <v>36892</v>
      </c>
      <c r="F1717" t="str">
        <f>"9780851997711"</f>
        <v>9780851997711</v>
      </c>
      <c r="G1717" t="str">
        <f>"9780851995458"</f>
        <v>9780851995458</v>
      </c>
      <c r="H1717" t="s">
        <v>767</v>
      </c>
      <c r="I1717">
        <v>628.16840000000002</v>
      </c>
      <c r="J1717" t="s">
        <v>4027</v>
      </c>
      <c r="K1717" t="s">
        <v>73</v>
      </c>
      <c r="N1717" t="s">
        <v>74</v>
      </c>
      <c r="O1717" t="s">
        <v>75</v>
      </c>
      <c r="P1717" t="s">
        <v>230</v>
      </c>
      <c r="Q1717" t="s">
        <v>76</v>
      </c>
      <c r="R1717" t="s">
        <v>85</v>
      </c>
      <c r="S1717">
        <v>0</v>
      </c>
      <c r="W1717" s="20">
        <v>0</v>
      </c>
      <c r="X1717" t="s">
        <v>78</v>
      </c>
      <c r="Y1717">
        <v>0</v>
      </c>
      <c r="Z1717">
        <v>1</v>
      </c>
      <c r="AA1717" t="s">
        <v>4028</v>
      </c>
      <c r="AB1717">
        <v>3</v>
      </c>
      <c r="AC1717" t="s">
        <v>78</v>
      </c>
      <c r="AD1717">
        <v>0</v>
      </c>
      <c r="AE1717">
        <v>10060479</v>
      </c>
      <c r="AF1717" t="s">
        <v>79</v>
      </c>
      <c r="AG1717" t="s">
        <v>4029</v>
      </c>
    </row>
    <row r="1718" spans="1:33" x14ac:dyDescent="0.35">
      <c r="A1718" s="18">
        <v>44332.380555555559</v>
      </c>
      <c r="B1718">
        <v>3001261</v>
      </c>
      <c r="C1718" t="s">
        <v>3419</v>
      </c>
      <c r="D1718" t="s">
        <v>3420</v>
      </c>
      <c r="E1718" s="19">
        <v>39630</v>
      </c>
      <c r="F1718" t="str">
        <f>"9780313352874"</f>
        <v>9780313352874</v>
      </c>
      <c r="G1718" t="str">
        <f>"9780313352867"</f>
        <v>9780313352867</v>
      </c>
      <c r="H1718" t="s">
        <v>3421</v>
      </c>
      <c r="I1718">
        <v>333.79</v>
      </c>
      <c r="J1718" t="s">
        <v>3422</v>
      </c>
      <c r="K1718" t="s">
        <v>73</v>
      </c>
      <c r="N1718" t="s">
        <v>74</v>
      </c>
      <c r="O1718" t="s">
        <v>75</v>
      </c>
      <c r="P1718" t="s">
        <v>74</v>
      </c>
      <c r="Q1718" t="s">
        <v>76</v>
      </c>
      <c r="R1718" t="s">
        <v>73</v>
      </c>
      <c r="S1718">
        <v>0</v>
      </c>
      <c r="W1718" s="20">
        <v>4.6296296296296294E-5</v>
      </c>
      <c r="X1718" t="s">
        <v>132</v>
      </c>
      <c r="Y1718">
        <v>1</v>
      </c>
      <c r="Z1718">
        <v>0</v>
      </c>
      <c r="AA1718" t="s">
        <v>78</v>
      </c>
      <c r="AB1718">
        <v>0</v>
      </c>
      <c r="AC1718" t="s">
        <v>78</v>
      </c>
      <c r="AD1718">
        <v>0</v>
      </c>
      <c r="AE1718">
        <v>10271266</v>
      </c>
      <c r="AF1718" t="s">
        <v>79</v>
      </c>
      <c r="AG1718" t="s">
        <v>333</v>
      </c>
    </row>
    <row r="1719" spans="1:33" x14ac:dyDescent="0.35">
      <c r="A1719" s="18">
        <v>44332.369444444441</v>
      </c>
      <c r="B1719">
        <v>6236357</v>
      </c>
      <c r="C1719" t="s">
        <v>4030</v>
      </c>
      <c r="D1719" t="s">
        <v>4031</v>
      </c>
      <c r="E1719" s="19">
        <v>44008</v>
      </c>
      <c r="F1719" t="str">
        <f>"9781799839064"</f>
        <v>9781799839064</v>
      </c>
      <c r="G1719" t="str">
        <f>"9781799839040"</f>
        <v>9781799839040</v>
      </c>
      <c r="H1719" t="s">
        <v>4032</v>
      </c>
      <c r="I1719">
        <v>658.38199999999904</v>
      </c>
      <c r="J1719" t="s">
        <v>4033</v>
      </c>
      <c r="K1719" t="s">
        <v>85</v>
      </c>
      <c r="N1719" t="s">
        <v>86</v>
      </c>
      <c r="P1719" t="s">
        <v>1495</v>
      </c>
      <c r="Q1719" t="s">
        <v>76</v>
      </c>
      <c r="R1719" t="s">
        <v>85</v>
      </c>
      <c r="S1719">
        <v>1</v>
      </c>
      <c r="T1719">
        <v>1</v>
      </c>
      <c r="U1719" s="18">
        <v>44332.369444444441</v>
      </c>
      <c r="V1719" s="18">
        <v>44333.369444444441</v>
      </c>
      <c r="W1719" s="20">
        <v>0</v>
      </c>
      <c r="X1719" t="s">
        <v>78</v>
      </c>
      <c r="Y1719">
        <v>0</v>
      </c>
      <c r="Z1719">
        <v>0</v>
      </c>
      <c r="AA1719" t="s">
        <v>78</v>
      </c>
      <c r="AB1719">
        <v>0</v>
      </c>
      <c r="AC1719" t="s">
        <v>78</v>
      </c>
      <c r="AD1719">
        <v>0</v>
      </c>
      <c r="AE1719">
        <v>-1</v>
      </c>
      <c r="AF1719" t="s">
        <v>88</v>
      </c>
      <c r="AG1719" t="s">
        <v>923</v>
      </c>
    </row>
    <row r="1720" spans="1:33" x14ac:dyDescent="0.35">
      <c r="A1720" s="18">
        <v>44332.338888888888</v>
      </c>
      <c r="B1720">
        <v>3001261</v>
      </c>
      <c r="C1720" t="s">
        <v>3419</v>
      </c>
      <c r="D1720" t="s">
        <v>3420</v>
      </c>
      <c r="E1720" s="19">
        <v>39630</v>
      </c>
      <c r="F1720" t="str">
        <f>"9780313352874"</f>
        <v>9780313352874</v>
      </c>
      <c r="G1720" t="str">
        <f>"9780313352867"</f>
        <v>9780313352867</v>
      </c>
      <c r="H1720" t="s">
        <v>3421</v>
      </c>
      <c r="I1720">
        <v>333.79</v>
      </c>
      <c r="J1720" t="s">
        <v>3422</v>
      </c>
      <c r="K1720" t="s">
        <v>73</v>
      </c>
      <c r="N1720" t="s">
        <v>74</v>
      </c>
      <c r="O1720" t="s">
        <v>75</v>
      </c>
      <c r="P1720" t="s">
        <v>74</v>
      </c>
      <c r="Q1720" t="s">
        <v>76</v>
      </c>
      <c r="R1720" t="s">
        <v>73</v>
      </c>
      <c r="S1720">
        <v>0</v>
      </c>
      <c r="W1720" s="20">
        <v>4.6296296296296294E-5</v>
      </c>
      <c r="X1720" t="s">
        <v>132</v>
      </c>
      <c r="Y1720">
        <v>1</v>
      </c>
      <c r="Z1720">
        <v>0</v>
      </c>
      <c r="AA1720" t="s">
        <v>78</v>
      </c>
      <c r="AB1720">
        <v>0</v>
      </c>
      <c r="AC1720" t="s">
        <v>78</v>
      </c>
      <c r="AD1720">
        <v>0</v>
      </c>
      <c r="AE1720">
        <v>10271266</v>
      </c>
      <c r="AF1720" t="s">
        <v>79</v>
      </c>
      <c r="AG1720" t="s">
        <v>333</v>
      </c>
    </row>
    <row r="1721" spans="1:33" x14ac:dyDescent="0.35">
      <c r="A1721" s="18">
        <v>44332.230555555558</v>
      </c>
      <c r="B1721">
        <v>5167124</v>
      </c>
      <c r="C1721" t="s">
        <v>4034</v>
      </c>
      <c r="D1721" t="s">
        <v>158</v>
      </c>
      <c r="E1721" s="19">
        <v>43069</v>
      </c>
      <c r="F1721" t="str">
        <f>"9780128129999"</f>
        <v>9780128129999</v>
      </c>
      <c r="G1721" t="str">
        <f>"9780128129982"</f>
        <v>9780128129982</v>
      </c>
      <c r="H1721" t="s">
        <v>179</v>
      </c>
      <c r="I1721" t="s">
        <v>3435</v>
      </c>
      <c r="J1721" t="s">
        <v>4035</v>
      </c>
      <c r="K1721" t="s">
        <v>73</v>
      </c>
      <c r="N1721" t="s">
        <v>74</v>
      </c>
      <c r="O1721" t="s">
        <v>75</v>
      </c>
      <c r="P1721" t="s">
        <v>74</v>
      </c>
      <c r="Q1721" t="s">
        <v>76</v>
      </c>
      <c r="R1721" t="s">
        <v>73</v>
      </c>
      <c r="S1721">
        <v>0</v>
      </c>
      <c r="W1721" s="20">
        <v>7.1527777777777787E-3</v>
      </c>
      <c r="X1721" t="s">
        <v>4036</v>
      </c>
      <c r="Y1721">
        <v>35</v>
      </c>
      <c r="Z1721">
        <v>0</v>
      </c>
      <c r="AA1721" t="s">
        <v>78</v>
      </c>
      <c r="AB1721">
        <v>0</v>
      </c>
      <c r="AC1721" t="s">
        <v>78</v>
      </c>
      <c r="AD1721">
        <v>0</v>
      </c>
      <c r="AE1721">
        <v>11476363</v>
      </c>
      <c r="AF1721" t="s">
        <v>79</v>
      </c>
      <c r="AG1721" t="s">
        <v>1330</v>
      </c>
    </row>
    <row r="1722" spans="1:33" x14ac:dyDescent="0.35">
      <c r="A1722" s="18">
        <v>44332.229861111111</v>
      </c>
      <c r="B1722">
        <v>4452700</v>
      </c>
      <c r="C1722" t="s">
        <v>4037</v>
      </c>
      <c r="D1722" t="s">
        <v>70</v>
      </c>
      <c r="E1722" s="19">
        <v>42471</v>
      </c>
      <c r="F1722" t="str">
        <f>"9781119225096"</f>
        <v>9781119225096</v>
      </c>
      <c r="G1722" t="str">
        <f>"9781119225102"</f>
        <v>9781119225102</v>
      </c>
      <c r="H1722" t="s">
        <v>4038</v>
      </c>
      <c r="I1722" t="s">
        <v>3435</v>
      </c>
      <c r="J1722" t="s">
        <v>4039</v>
      </c>
      <c r="K1722" t="s">
        <v>73</v>
      </c>
      <c r="N1722" t="s">
        <v>74</v>
      </c>
      <c r="O1722" t="s">
        <v>75</v>
      </c>
      <c r="P1722" t="s">
        <v>74</v>
      </c>
      <c r="Q1722" t="s">
        <v>76</v>
      </c>
      <c r="R1722" t="s">
        <v>73</v>
      </c>
      <c r="S1722">
        <v>0</v>
      </c>
      <c r="W1722" s="20">
        <v>0</v>
      </c>
      <c r="X1722" t="s">
        <v>78</v>
      </c>
      <c r="Y1722">
        <v>0</v>
      </c>
      <c r="Z1722">
        <v>0</v>
      </c>
      <c r="AA1722" t="s">
        <v>78</v>
      </c>
      <c r="AB1722">
        <v>0</v>
      </c>
      <c r="AC1722" t="s">
        <v>78</v>
      </c>
      <c r="AD1722">
        <v>0</v>
      </c>
      <c r="AE1722">
        <v>11175444</v>
      </c>
      <c r="AF1722" t="s">
        <v>79</v>
      </c>
      <c r="AG1722" t="s">
        <v>1330</v>
      </c>
    </row>
    <row r="1723" spans="1:33" x14ac:dyDescent="0.35">
      <c r="A1723" s="18">
        <v>44332.229861111111</v>
      </c>
      <c r="B1723">
        <v>4003887</v>
      </c>
      <c r="C1723" t="s">
        <v>4040</v>
      </c>
      <c r="D1723" t="s">
        <v>158</v>
      </c>
      <c r="E1723" s="19">
        <v>42289</v>
      </c>
      <c r="F1723" t="str">
        <f>"9780128031896"</f>
        <v>9780128031896</v>
      </c>
      <c r="G1723" t="str">
        <f>"9780128031889"</f>
        <v>9780128031889</v>
      </c>
      <c r="H1723" t="s">
        <v>4041</v>
      </c>
      <c r="I1723" t="s">
        <v>4042</v>
      </c>
      <c r="J1723" t="s">
        <v>4043</v>
      </c>
      <c r="K1723" t="s">
        <v>73</v>
      </c>
      <c r="N1723" t="s">
        <v>74</v>
      </c>
      <c r="O1723" t="s">
        <v>75</v>
      </c>
      <c r="P1723" t="s">
        <v>74</v>
      </c>
      <c r="Q1723" t="s">
        <v>76</v>
      </c>
      <c r="R1723" t="s">
        <v>73</v>
      </c>
      <c r="S1723">
        <v>0</v>
      </c>
      <c r="W1723" s="20">
        <v>0</v>
      </c>
      <c r="X1723" t="s">
        <v>78</v>
      </c>
      <c r="Y1723">
        <v>0</v>
      </c>
      <c r="Z1723">
        <v>0</v>
      </c>
      <c r="AA1723" t="s">
        <v>78</v>
      </c>
      <c r="AB1723">
        <v>0</v>
      </c>
      <c r="AC1723" t="s">
        <v>78</v>
      </c>
      <c r="AD1723">
        <v>0</v>
      </c>
      <c r="AE1723">
        <v>11117970</v>
      </c>
      <c r="AF1723" t="s">
        <v>79</v>
      </c>
      <c r="AG1723" t="s">
        <v>1330</v>
      </c>
    </row>
    <row r="1724" spans="1:33" x14ac:dyDescent="0.35">
      <c r="A1724" s="18">
        <v>44332.143055555556</v>
      </c>
      <c r="B1724">
        <v>4829166</v>
      </c>
      <c r="C1724" t="s">
        <v>4004</v>
      </c>
      <c r="D1724" t="s">
        <v>70</v>
      </c>
      <c r="E1724" s="19">
        <v>42835</v>
      </c>
      <c r="F1724" t="str">
        <f>"9781119219835"</f>
        <v>9781119219835</v>
      </c>
      <c r="G1724" t="str">
        <f>"9781119219811"</f>
        <v>9781119219811</v>
      </c>
      <c r="H1724" t="s">
        <v>724</v>
      </c>
      <c r="I1724" t="s">
        <v>4005</v>
      </c>
      <c r="J1724" t="s">
        <v>4006</v>
      </c>
      <c r="K1724" t="s">
        <v>73</v>
      </c>
      <c r="N1724" t="s">
        <v>74</v>
      </c>
      <c r="O1724" t="s">
        <v>75</v>
      </c>
      <c r="P1724" t="s">
        <v>74</v>
      </c>
      <c r="Q1724" t="s">
        <v>76</v>
      </c>
      <c r="R1724" t="s">
        <v>73</v>
      </c>
      <c r="S1724">
        <v>0</v>
      </c>
      <c r="W1724" s="20">
        <v>6.8287037037037025E-4</v>
      </c>
      <c r="X1724" t="s">
        <v>4044</v>
      </c>
      <c r="Y1724">
        <v>9</v>
      </c>
      <c r="Z1724">
        <v>0</v>
      </c>
      <c r="AA1724" t="s">
        <v>78</v>
      </c>
      <c r="AB1724">
        <v>0</v>
      </c>
      <c r="AC1724" t="s">
        <v>78</v>
      </c>
      <c r="AD1724">
        <v>0</v>
      </c>
      <c r="AE1724">
        <v>11365259</v>
      </c>
      <c r="AF1724" t="s">
        <v>79</v>
      </c>
      <c r="AG1724" t="s">
        <v>4008</v>
      </c>
    </row>
    <row r="1725" spans="1:33" x14ac:dyDescent="0.35">
      <c r="A1725" s="18">
        <v>44332.140972222223</v>
      </c>
      <c r="B1725">
        <v>3339142</v>
      </c>
      <c r="C1725" t="s">
        <v>1890</v>
      </c>
      <c r="D1725" t="s">
        <v>300</v>
      </c>
      <c r="E1725" s="19">
        <v>40025</v>
      </c>
      <c r="F1725" t="str">
        <f>"9780262270830"</f>
        <v>9780262270830</v>
      </c>
      <c r="G1725" t="str">
        <f>"9780262533058"</f>
        <v>9780262533058</v>
      </c>
      <c r="H1725" t="s">
        <v>110</v>
      </c>
      <c r="I1725">
        <v>5.0999999999999996</v>
      </c>
      <c r="J1725" t="s">
        <v>1891</v>
      </c>
      <c r="K1725" t="s">
        <v>73</v>
      </c>
      <c r="N1725" t="s">
        <v>74</v>
      </c>
      <c r="O1725" t="s">
        <v>75</v>
      </c>
      <c r="P1725" t="s">
        <v>74</v>
      </c>
      <c r="Q1725" t="s">
        <v>76</v>
      </c>
      <c r="R1725" t="s">
        <v>73</v>
      </c>
      <c r="S1725">
        <v>0</v>
      </c>
      <c r="W1725" s="20">
        <v>2.1527777777777778E-3</v>
      </c>
      <c r="X1725" t="s">
        <v>4045</v>
      </c>
      <c r="Y1725">
        <v>10</v>
      </c>
      <c r="Z1725">
        <v>0</v>
      </c>
      <c r="AA1725" t="s">
        <v>78</v>
      </c>
      <c r="AB1725">
        <v>0</v>
      </c>
      <c r="AC1725" t="s">
        <v>78</v>
      </c>
      <c r="AD1725">
        <v>0</v>
      </c>
      <c r="AE1725">
        <v>10397652</v>
      </c>
      <c r="AF1725" t="s">
        <v>88</v>
      </c>
      <c r="AG1725" t="s">
        <v>3746</v>
      </c>
    </row>
    <row r="1726" spans="1:33" x14ac:dyDescent="0.35">
      <c r="A1726" s="18">
        <v>44332.104861111111</v>
      </c>
      <c r="B1726">
        <v>4829166</v>
      </c>
      <c r="C1726" t="s">
        <v>4004</v>
      </c>
      <c r="D1726" t="s">
        <v>70</v>
      </c>
      <c r="E1726" s="19">
        <v>42835</v>
      </c>
      <c r="F1726" t="str">
        <f>"9781119219835"</f>
        <v>9781119219835</v>
      </c>
      <c r="G1726" t="str">
        <f>"9781119219811"</f>
        <v>9781119219811</v>
      </c>
      <c r="H1726" t="s">
        <v>724</v>
      </c>
      <c r="I1726" t="s">
        <v>4005</v>
      </c>
      <c r="J1726" t="s">
        <v>4006</v>
      </c>
      <c r="K1726" t="s">
        <v>73</v>
      </c>
      <c r="N1726" t="s">
        <v>74</v>
      </c>
      <c r="O1726" t="s">
        <v>75</v>
      </c>
      <c r="P1726" t="s">
        <v>74</v>
      </c>
      <c r="Q1726" t="s">
        <v>76</v>
      </c>
      <c r="R1726" t="s">
        <v>73</v>
      </c>
      <c r="S1726">
        <v>0</v>
      </c>
      <c r="W1726" s="20">
        <v>1.5613425925925926E-2</v>
      </c>
      <c r="X1726" t="s">
        <v>4046</v>
      </c>
      <c r="Y1726">
        <v>11</v>
      </c>
      <c r="Z1726">
        <v>0</v>
      </c>
      <c r="AA1726" t="s">
        <v>78</v>
      </c>
      <c r="AB1726">
        <v>0</v>
      </c>
      <c r="AC1726" t="s">
        <v>78</v>
      </c>
      <c r="AD1726">
        <v>0</v>
      </c>
      <c r="AE1726">
        <v>11365259</v>
      </c>
      <c r="AF1726" t="s">
        <v>79</v>
      </c>
      <c r="AG1726" t="s">
        <v>4008</v>
      </c>
    </row>
    <row r="1727" spans="1:33" x14ac:dyDescent="0.35">
      <c r="A1727" s="18">
        <v>44332.094444444447</v>
      </c>
      <c r="B1727">
        <v>3339142</v>
      </c>
      <c r="C1727" t="s">
        <v>1890</v>
      </c>
      <c r="D1727" t="s">
        <v>300</v>
      </c>
      <c r="E1727" s="19">
        <v>40025</v>
      </c>
      <c r="F1727" t="str">
        <f>"9780262270830"</f>
        <v>9780262270830</v>
      </c>
      <c r="G1727" t="str">
        <f>"9780262533058"</f>
        <v>9780262533058</v>
      </c>
      <c r="H1727" t="s">
        <v>110</v>
      </c>
      <c r="I1727">
        <v>5.0999999999999996</v>
      </c>
      <c r="J1727" t="s">
        <v>1891</v>
      </c>
      <c r="K1727" t="s">
        <v>73</v>
      </c>
      <c r="N1727" t="s">
        <v>74</v>
      </c>
      <c r="O1727" t="s">
        <v>75</v>
      </c>
      <c r="P1727" t="s">
        <v>74</v>
      </c>
      <c r="Q1727" t="s">
        <v>76</v>
      </c>
      <c r="R1727" t="s">
        <v>73</v>
      </c>
      <c r="S1727">
        <v>0</v>
      </c>
      <c r="W1727" s="20">
        <v>7.3148148148148148E-3</v>
      </c>
      <c r="X1727" t="s">
        <v>4047</v>
      </c>
      <c r="Y1727">
        <v>7</v>
      </c>
      <c r="Z1727">
        <v>0</v>
      </c>
      <c r="AA1727" t="s">
        <v>78</v>
      </c>
      <c r="AB1727">
        <v>0</v>
      </c>
      <c r="AC1727" t="s">
        <v>78</v>
      </c>
      <c r="AD1727">
        <v>0</v>
      </c>
      <c r="AE1727">
        <v>10397652</v>
      </c>
      <c r="AF1727" t="s">
        <v>88</v>
      </c>
      <c r="AG1727" t="s">
        <v>3746</v>
      </c>
    </row>
    <row r="1728" spans="1:33" x14ac:dyDescent="0.35">
      <c r="A1728" s="18">
        <v>44332.091666666667</v>
      </c>
      <c r="B1728">
        <v>4179791</v>
      </c>
      <c r="C1728" t="s">
        <v>4048</v>
      </c>
      <c r="D1728" t="s">
        <v>390</v>
      </c>
      <c r="E1728" s="19">
        <v>42335</v>
      </c>
      <c r="F1728" t="str">
        <f>"9783110445749"</f>
        <v>9783110445749</v>
      </c>
      <c r="G1728" t="str">
        <f>"9783110445282"</f>
        <v>9783110445282</v>
      </c>
      <c r="H1728" t="s">
        <v>222</v>
      </c>
      <c r="I1728" t="s">
        <v>3829</v>
      </c>
      <c r="J1728" t="s">
        <v>4049</v>
      </c>
      <c r="K1728" t="s">
        <v>73</v>
      </c>
      <c r="N1728" t="s">
        <v>74</v>
      </c>
      <c r="O1728" t="s">
        <v>75</v>
      </c>
      <c r="P1728" t="s">
        <v>74</v>
      </c>
      <c r="Q1728" t="s">
        <v>76</v>
      </c>
      <c r="R1728" t="s">
        <v>73</v>
      </c>
      <c r="S1728">
        <v>0</v>
      </c>
      <c r="W1728" s="20">
        <v>5.7870370370370366E-5</v>
      </c>
      <c r="X1728" t="s">
        <v>132</v>
      </c>
      <c r="Y1728">
        <v>1</v>
      </c>
      <c r="Z1728">
        <v>0</v>
      </c>
      <c r="AA1728" t="s">
        <v>78</v>
      </c>
      <c r="AB1728">
        <v>0</v>
      </c>
      <c r="AC1728" t="s">
        <v>78</v>
      </c>
      <c r="AD1728">
        <v>0</v>
      </c>
      <c r="AE1728">
        <v>11123911</v>
      </c>
      <c r="AF1728" t="s">
        <v>79</v>
      </c>
      <c r="AG1728" t="s">
        <v>4003</v>
      </c>
    </row>
    <row r="1729" spans="1:33" x14ac:dyDescent="0.35">
      <c r="A1729" s="18">
        <v>44332.043055555558</v>
      </c>
      <c r="B1729">
        <v>3339142</v>
      </c>
      <c r="C1729" t="s">
        <v>1890</v>
      </c>
      <c r="D1729" t="s">
        <v>300</v>
      </c>
      <c r="E1729" s="19">
        <v>40025</v>
      </c>
      <c r="F1729" t="str">
        <f>"9780262270830"</f>
        <v>9780262270830</v>
      </c>
      <c r="G1729" t="str">
        <f>"9780262533058"</f>
        <v>9780262533058</v>
      </c>
      <c r="H1729" t="s">
        <v>110</v>
      </c>
      <c r="I1729">
        <v>5.0999999999999996</v>
      </c>
      <c r="J1729" t="s">
        <v>1891</v>
      </c>
      <c r="K1729" t="s">
        <v>73</v>
      </c>
      <c r="N1729" t="s">
        <v>74</v>
      </c>
      <c r="O1729" t="s">
        <v>75</v>
      </c>
      <c r="P1729" t="s">
        <v>74</v>
      </c>
      <c r="Q1729" t="s">
        <v>76</v>
      </c>
      <c r="R1729" t="s">
        <v>73</v>
      </c>
      <c r="S1729">
        <v>0</v>
      </c>
      <c r="W1729" s="20">
        <v>2.9143518518518517E-2</v>
      </c>
      <c r="X1729" t="s">
        <v>4050</v>
      </c>
      <c r="Y1729">
        <v>64</v>
      </c>
      <c r="Z1729">
        <v>0</v>
      </c>
      <c r="AA1729" t="s">
        <v>78</v>
      </c>
      <c r="AB1729">
        <v>0</v>
      </c>
      <c r="AC1729" t="s">
        <v>78</v>
      </c>
      <c r="AD1729">
        <v>0</v>
      </c>
      <c r="AE1729">
        <v>10397652</v>
      </c>
      <c r="AF1729" t="s">
        <v>79</v>
      </c>
      <c r="AG1729" t="s">
        <v>3746</v>
      </c>
    </row>
    <row r="1730" spans="1:33" x14ac:dyDescent="0.35">
      <c r="A1730" s="18">
        <v>44331.988194444442</v>
      </c>
      <c r="B1730">
        <v>1498516</v>
      </c>
      <c r="C1730" t="s">
        <v>4051</v>
      </c>
      <c r="D1730" t="s">
        <v>70</v>
      </c>
      <c r="E1730" s="19">
        <v>41673</v>
      </c>
      <c r="F1730" t="str">
        <f>"9781118299050"</f>
        <v>9781118299050</v>
      </c>
      <c r="G1730" t="str">
        <f>"9781118299029"</f>
        <v>9781118299029</v>
      </c>
      <c r="H1730" t="s">
        <v>222</v>
      </c>
      <c r="I1730">
        <v>616.02499999999998</v>
      </c>
      <c r="J1730" t="s">
        <v>4052</v>
      </c>
      <c r="K1730" t="s">
        <v>73</v>
      </c>
      <c r="N1730" t="s">
        <v>74</v>
      </c>
      <c r="O1730" t="s">
        <v>75</v>
      </c>
      <c r="P1730" t="s">
        <v>74</v>
      </c>
      <c r="Q1730" t="s">
        <v>76</v>
      </c>
      <c r="R1730" t="s">
        <v>73</v>
      </c>
      <c r="S1730">
        <v>0</v>
      </c>
      <c r="W1730" s="20">
        <v>4.6296296296296294E-5</v>
      </c>
      <c r="X1730" t="s">
        <v>132</v>
      </c>
      <c r="Y1730">
        <v>1</v>
      </c>
      <c r="Z1730">
        <v>0</v>
      </c>
      <c r="AA1730" t="s">
        <v>78</v>
      </c>
      <c r="AB1730">
        <v>0</v>
      </c>
      <c r="AC1730" t="s">
        <v>78</v>
      </c>
      <c r="AD1730">
        <v>0</v>
      </c>
      <c r="AE1730">
        <v>10788031</v>
      </c>
      <c r="AF1730" t="s">
        <v>79</v>
      </c>
      <c r="AG1730" t="s">
        <v>923</v>
      </c>
    </row>
    <row r="1731" spans="1:33" x14ac:dyDescent="0.35">
      <c r="A1731" s="18">
        <v>44331.977083333331</v>
      </c>
      <c r="B1731">
        <v>3339142</v>
      </c>
      <c r="C1731" t="s">
        <v>1890</v>
      </c>
      <c r="D1731" t="s">
        <v>300</v>
      </c>
      <c r="E1731" s="19">
        <v>40025</v>
      </c>
      <c r="F1731" t="str">
        <f>"9780262270830"</f>
        <v>9780262270830</v>
      </c>
      <c r="G1731" t="str">
        <f>"9780262533058"</f>
        <v>9780262533058</v>
      </c>
      <c r="H1731" t="s">
        <v>110</v>
      </c>
      <c r="I1731">
        <v>5.0999999999999996</v>
      </c>
      <c r="J1731" t="s">
        <v>1891</v>
      </c>
      <c r="K1731" t="s">
        <v>73</v>
      </c>
      <c r="N1731" t="s">
        <v>74</v>
      </c>
      <c r="O1731" t="s">
        <v>75</v>
      </c>
      <c r="P1731" t="s">
        <v>74</v>
      </c>
      <c r="Q1731" t="s">
        <v>76</v>
      </c>
      <c r="R1731" t="s">
        <v>73</v>
      </c>
      <c r="S1731">
        <v>0</v>
      </c>
      <c r="W1731" s="20">
        <v>1.8391203703703705E-2</v>
      </c>
      <c r="X1731" t="s">
        <v>4053</v>
      </c>
      <c r="Y1731">
        <v>37</v>
      </c>
      <c r="Z1731">
        <v>0</v>
      </c>
      <c r="AA1731" t="s">
        <v>78</v>
      </c>
      <c r="AB1731">
        <v>0</v>
      </c>
      <c r="AC1731" t="s">
        <v>78</v>
      </c>
      <c r="AD1731">
        <v>0</v>
      </c>
      <c r="AE1731">
        <v>10397652</v>
      </c>
      <c r="AF1731" t="s">
        <v>88</v>
      </c>
      <c r="AG1731" t="s">
        <v>3746</v>
      </c>
    </row>
    <row r="1732" spans="1:33" x14ac:dyDescent="0.35">
      <c r="A1732" s="18">
        <v>44331.938194444447</v>
      </c>
      <c r="B1732">
        <v>420988</v>
      </c>
      <c r="C1732" t="s">
        <v>4054</v>
      </c>
      <c r="D1732" t="s">
        <v>4055</v>
      </c>
      <c r="E1732" s="19">
        <v>38650</v>
      </c>
      <c r="F1732" t="str">
        <f>"9789240683518"</f>
        <v>9789240683518</v>
      </c>
      <c r="G1732" t="str">
        <f>"9789241546881"</f>
        <v>9789241546881</v>
      </c>
      <c r="H1732" t="s">
        <v>222</v>
      </c>
      <c r="I1732">
        <v>617.1</v>
      </c>
      <c r="J1732" t="s">
        <v>4056</v>
      </c>
      <c r="K1732" t="s">
        <v>73</v>
      </c>
      <c r="N1732" t="s">
        <v>74</v>
      </c>
      <c r="O1732" t="s">
        <v>75</v>
      </c>
      <c r="P1732" t="s">
        <v>74</v>
      </c>
      <c r="Q1732" t="s">
        <v>76</v>
      </c>
      <c r="R1732" t="s">
        <v>73</v>
      </c>
      <c r="S1732">
        <v>0</v>
      </c>
      <c r="W1732" s="20">
        <v>3.5891203703703703E-2</v>
      </c>
      <c r="X1732" t="s">
        <v>4057</v>
      </c>
      <c r="Y1732">
        <v>25</v>
      </c>
      <c r="Z1732">
        <v>0</v>
      </c>
      <c r="AA1732" t="s">
        <v>78</v>
      </c>
      <c r="AB1732">
        <v>0</v>
      </c>
      <c r="AC1732" t="s">
        <v>78</v>
      </c>
      <c r="AD1732">
        <v>0</v>
      </c>
      <c r="AE1732">
        <v>10277787</v>
      </c>
      <c r="AF1732" t="s">
        <v>79</v>
      </c>
      <c r="AG1732" t="s">
        <v>333</v>
      </c>
    </row>
    <row r="1733" spans="1:33" x14ac:dyDescent="0.35">
      <c r="A1733" s="18">
        <v>44331.925000000003</v>
      </c>
      <c r="B1733">
        <v>1332527</v>
      </c>
      <c r="C1733" t="s">
        <v>4058</v>
      </c>
      <c r="D1733" t="s">
        <v>70</v>
      </c>
      <c r="E1733" s="19">
        <v>41498</v>
      </c>
      <c r="F1733" t="str">
        <f>"9781118720882"</f>
        <v>9781118720882</v>
      </c>
      <c r="G1733" t="str">
        <f>"9781118692288"</f>
        <v>9781118692288</v>
      </c>
      <c r="H1733" t="s">
        <v>143</v>
      </c>
      <c r="I1733">
        <v>658.11</v>
      </c>
      <c r="J1733" t="s">
        <v>4059</v>
      </c>
      <c r="K1733" t="s">
        <v>73</v>
      </c>
      <c r="N1733" t="s">
        <v>74</v>
      </c>
      <c r="O1733" t="s">
        <v>75</v>
      </c>
      <c r="P1733" t="s">
        <v>74</v>
      </c>
      <c r="Q1733" t="s">
        <v>76</v>
      </c>
      <c r="R1733" t="s">
        <v>73</v>
      </c>
      <c r="S1733">
        <v>0</v>
      </c>
      <c r="W1733" s="20">
        <v>5.7870370370370366E-5</v>
      </c>
      <c r="X1733" t="s">
        <v>132</v>
      </c>
      <c r="Y1733">
        <v>1</v>
      </c>
      <c r="Z1733">
        <v>0</v>
      </c>
      <c r="AA1733" t="s">
        <v>78</v>
      </c>
      <c r="AB1733">
        <v>0</v>
      </c>
      <c r="AC1733" t="s">
        <v>78</v>
      </c>
      <c r="AD1733">
        <v>0</v>
      </c>
      <c r="AE1733">
        <v>10740434</v>
      </c>
      <c r="AF1733" t="s">
        <v>79</v>
      </c>
      <c r="AG1733" t="s">
        <v>4060</v>
      </c>
    </row>
    <row r="1734" spans="1:33" x14ac:dyDescent="0.35">
      <c r="A1734" s="18">
        <v>44331.869444444441</v>
      </c>
      <c r="B1734">
        <v>3339142</v>
      </c>
      <c r="C1734" t="s">
        <v>1890</v>
      </c>
      <c r="D1734" t="s">
        <v>300</v>
      </c>
      <c r="E1734" s="19">
        <v>40025</v>
      </c>
      <c r="F1734" t="str">
        <f>"9780262270830"</f>
        <v>9780262270830</v>
      </c>
      <c r="G1734" t="str">
        <f>"9780262533058"</f>
        <v>9780262533058</v>
      </c>
      <c r="H1734" t="s">
        <v>110</v>
      </c>
      <c r="I1734">
        <v>5.0999999999999996</v>
      </c>
      <c r="J1734" t="s">
        <v>1891</v>
      </c>
      <c r="K1734" t="s">
        <v>73</v>
      </c>
      <c r="N1734" t="s">
        <v>74</v>
      </c>
      <c r="O1734" t="s">
        <v>75</v>
      </c>
      <c r="P1734" t="s">
        <v>74</v>
      </c>
      <c r="Q1734" t="s">
        <v>76</v>
      </c>
      <c r="R1734" t="s">
        <v>73</v>
      </c>
      <c r="S1734">
        <v>0</v>
      </c>
      <c r="W1734" s="20">
        <v>5.0717592592592592E-2</v>
      </c>
      <c r="X1734" t="s">
        <v>4061</v>
      </c>
      <c r="Y1734">
        <v>24</v>
      </c>
      <c r="Z1734">
        <v>0</v>
      </c>
      <c r="AA1734" t="s">
        <v>78</v>
      </c>
      <c r="AB1734">
        <v>0</v>
      </c>
      <c r="AC1734" t="s">
        <v>78</v>
      </c>
      <c r="AD1734">
        <v>0</v>
      </c>
      <c r="AE1734">
        <v>10397652</v>
      </c>
      <c r="AF1734" t="s">
        <v>88</v>
      </c>
      <c r="AG1734" t="s">
        <v>3746</v>
      </c>
    </row>
    <row r="1735" spans="1:33" x14ac:dyDescent="0.35">
      <c r="A1735" s="18">
        <v>44331.829861111109</v>
      </c>
      <c r="B1735">
        <v>3339142</v>
      </c>
      <c r="C1735" t="s">
        <v>1890</v>
      </c>
      <c r="D1735" t="s">
        <v>300</v>
      </c>
      <c r="E1735" s="19">
        <v>40025</v>
      </c>
      <c r="F1735" t="str">
        <f>"9780262270830"</f>
        <v>9780262270830</v>
      </c>
      <c r="G1735" t="str">
        <f>"9780262533058"</f>
        <v>9780262533058</v>
      </c>
      <c r="H1735" t="s">
        <v>110</v>
      </c>
      <c r="I1735">
        <v>5.0999999999999996</v>
      </c>
      <c r="J1735" t="s">
        <v>1891</v>
      </c>
      <c r="K1735" t="s">
        <v>73</v>
      </c>
      <c r="N1735" t="s">
        <v>74</v>
      </c>
      <c r="O1735" t="s">
        <v>75</v>
      </c>
      <c r="P1735" t="s">
        <v>74</v>
      </c>
      <c r="Q1735" t="s">
        <v>76</v>
      </c>
      <c r="R1735" t="s">
        <v>73</v>
      </c>
      <c r="S1735">
        <v>0</v>
      </c>
      <c r="W1735" s="20">
        <v>1.7303240740740741E-2</v>
      </c>
      <c r="X1735" t="s">
        <v>4062</v>
      </c>
      <c r="Y1735">
        <v>42</v>
      </c>
      <c r="Z1735">
        <v>0</v>
      </c>
      <c r="AA1735" t="s">
        <v>78</v>
      </c>
      <c r="AB1735">
        <v>0</v>
      </c>
      <c r="AC1735" t="s">
        <v>78</v>
      </c>
      <c r="AD1735">
        <v>0</v>
      </c>
      <c r="AE1735">
        <v>10397652</v>
      </c>
      <c r="AF1735" t="s">
        <v>88</v>
      </c>
      <c r="AG1735" t="s">
        <v>3746</v>
      </c>
    </row>
    <row r="1736" spans="1:33" x14ac:dyDescent="0.35">
      <c r="A1736" s="18">
        <v>44331.790972222225</v>
      </c>
      <c r="B1736">
        <v>4829166</v>
      </c>
      <c r="C1736" t="s">
        <v>4004</v>
      </c>
      <c r="D1736" t="s">
        <v>70</v>
      </c>
      <c r="E1736" s="19">
        <v>42835</v>
      </c>
      <c r="F1736" t="str">
        <f>"9781119219835"</f>
        <v>9781119219835</v>
      </c>
      <c r="G1736" t="str">
        <f>"9781119219811"</f>
        <v>9781119219811</v>
      </c>
      <c r="H1736" t="s">
        <v>724</v>
      </c>
      <c r="I1736" t="s">
        <v>4005</v>
      </c>
      <c r="J1736" t="s">
        <v>4006</v>
      </c>
      <c r="K1736" t="s">
        <v>73</v>
      </c>
      <c r="N1736" t="s">
        <v>74</v>
      </c>
      <c r="O1736" t="s">
        <v>75</v>
      </c>
      <c r="P1736" t="s">
        <v>74</v>
      </c>
      <c r="Q1736" t="s">
        <v>76</v>
      </c>
      <c r="R1736" t="s">
        <v>73</v>
      </c>
      <c r="S1736">
        <v>0</v>
      </c>
      <c r="W1736" s="20">
        <v>5.2743055555555557E-2</v>
      </c>
      <c r="X1736" t="s">
        <v>4063</v>
      </c>
      <c r="Y1736">
        <v>25</v>
      </c>
      <c r="Z1736">
        <v>0</v>
      </c>
      <c r="AA1736" t="s">
        <v>78</v>
      </c>
      <c r="AB1736">
        <v>0</v>
      </c>
      <c r="AC1736" t="s">
        <v>78</v>
      </c>
      <c r="AD1736">
        <v>0</v>
      </c>
      <c r="AE1736">
        <v>11365259</v>
      </c>
      <c r="AF1736" t="s">
        <v>79</v>
      </c>
      <c r="AG1736" t="s">
        <v>4008</v>
      </c>
    </row>
    <row r="1737" spans="1:33" x14ac:dyDescent="0.35">
      <c r="A1737" s="18">
        <v>44331.740972222222</v>
      </c>
      <c r="B1737">
        <v>4829166</v>
      </c>
      <c r="C1737" t="s">
        <v>4004</v>
      </c>
      <c r="D1737" t="s">
        <v>70</v>
      </c>
      <c r="E1737" s="19">
        <v>42835</v>
      </c>
      <c r="F1737" t="str">
        <f>"9781119219835"</f>
        <v>9781119219835</v>
      </c>
      <c r="G1737" t="str">
        <f>"9781119219811"</f>
        <v>9781119219811</v>
      </c>
      <c r="H1737" t="s">
        <v>724</v>
      </c>
      <c r="I1737" t="s">
        <v>4005</v>
      </c>
      <c r="J1737" t="s">
        <v>4006</v>
      </c>
      <c r="K1737" t="s">
        <v>73</v>
      </c>
      <c r="N1737" t="s">
        <v>74</v>
      </c>
      <c r="O1737" t="s">
        <v>75</v>
      </c>
      <c r="P1737" t="s">
        <v>74</v>
      </c>
      <c r="Q1737" t="s">
        <v>76</v>
      </c>
      <c r="R1737" t="s">
        <v>73</v>
      </c>
      <c r="S1737">
        <v>0</v>
      </c>
      <c r="W1737" s="20">
        <v>1.7812499999999998E-2</v>
      </c>
      <c r="X1737" t="s">
        <v>4064</v>
      </c>
      <c r="Y1737">
        <v>16</v>
      </c>
      <c r="Z1737">
        <v>0</v>
      </c>
      <c r="AA1737" t="s">
        <v>78</v>
      </c>
      <c r="AB1737">
        <v>0</v>
      </c>
      <c r="AC1737" t="s">
        <v>78</v>
      </c>
      <c r="AD1737">
        <v>0</v>
      </c>
      <c r="AE1737">
        <v>11365259</v>
      </c>
      <c r="AF1737" t="s">
        <v>79</v>
      </c>
      <c r="AG1737" t="s">
        <v>4008</v>
      </c>
    </row>
    <row r="1738" spans="1:33" x14ac:dyDescent="0.35">
      <c r="A1738" s="18">
        <v>44331.738888888889</v>
      </c>
      <c r="B1738">
        <v>1446430</v>
      </c>
      <c r="C1738" t="s">
        <v>1649</v>
      </c>
      <c r="D1738" t="s">
        <v>127</v>
      </c>
      <c r="E1738" s="19">
        <v>40274</v>
      </c>
      <c r="F1738" t="str">
        <f>"9781439882573"</f>
        <v>9781439882573</v>
      </c>
      <c r="G1738" t="str">
        <f>"9781420085983"</f>
        <v>9781420085983</v>
      </c>
      <c r="H1738" t="s">
        <v>979</v>
      </c>
      <c r="I1738" t="s">
        <v>1650</v>
      </c>
      <c r="J1738" t="s">
        <v>1651</v>
      </c>
      <c r="K1738" t="s">
        <v>73</v>
      </c>
      <c r="N1738" t="s">
        <v>74</v>
      </c>
      <c r="O1738" t="s">
        <v>75</v>
      </c>
      <c r="P1738" t="s">
        <v>74</v>
      </c>
      <c r="Q1738" t="s">
        <v>76</v>
      </c>
      <c r="R1738" t="s">
        <v>73</v>
      </c>
      <c r="S1738">
        <v>0</v>
      </c>
      <c r="W1738" s="20">
        <v>1.1689814814814816E-3</v>
      </c>
      <c r="X1738" t="s">
        <v>4065</v>
      </c>
      <c r="Y1738">
        <v>9</v>
      </c>
      <c r="Z1738">
        <v>0</v>
      </c>
      <c r="AA1738" t="s">
        <v>78</v>
      </c>
      <c r="AB1738">
        <v>0</v>
      </c>
      <c r="AC1738" t="s">
        <v>78</v>
      </c>
      <c r="AD1738">
        <v>0</v>
      </c>
      <c r="AE1738">
        <v>11166018</v>
      </c>
      <c r="AF1738" t="s">
        <v>79</v>
      </c>
      <c r="AG1738" t="s">
        <v>3746</v>
      </c>
    </row>
    <row r="1739" spans="1:33" x14ac:dyDescent="0.35">
      <c r="A1739" s="18">
        <v>44331.732638888891</v>
      </c>
      <c r="B1739">
        <v>5799078</v>
      </c>
      <c r="C1739" t="s">
        <v>3952</v>
      </c>
      <c r="D1739" t="s">
        <v>3953</v>
      </c>
      <c r="E1739" s="19">
        <v>43648</v>
      </c>
      <c r="F1739" t="str">
        <f>"9781782408093"</f>
        <v>9781782408093</v>
      </c>
      <c r="G1739" t="str">
        <f>"9781782407676"</f>
        <v>9781782407676</v>
      </c>
      <c r="H1739" t="s">
        <v>738</v>
      </c>
      <c r="I1739">
        <v>158.13</v>
      </c>
      <c r="J1739" t="s">
        <v>3954</v>
      </c>
      <c r="K1739" t="s">
        <v>85</v>
      </c>
      <c r="N1739" t="s">
        <v>186</v>
      </c>
      <c r="P1739" t="s">
        <v>87</v>
      </c>
      <c r="Q1739" t="s">
        <v>76</v>
      </c>
      <c r="R1739" t="s">
        <v>73</v>
      </c>
      <c r="S1739">
        <v>0</v>
      </c>
      <c r="W1739" s="20">
        <v>3.9351851851851852E-4</v>
      </c>
      <c r="X1739" t="s">
        <v>4066</v>
      </c>
      <c r="Y1739">
        <v>3</v>
      </c>
      <c r="Z1739">
        <v>0</v>
      </c>
      <c r="AA1739" t="s">
        <v>78</v>
      </c>
      <c r="AB1739">
        <v>0</v>
      </c>
      <c r="AC1739" t="s">
        <v>78</v>
      </c>
      <c r="AD1739">
        <v>0</v>
      </c>
      <c r="AE1739">
        <v>-1</v>
      </c>
      <c r="AF1739" t="s">
        <v>88</v>
      </c>
      <c r="AG1739" t="s">
        <v>1579</v>
      </c>
    </row>
    <row r="1740" spans="1:33" x14ac:dyDescent="0.35">
      <c r="A1740" s="18">
        <v>44331.713194444441</v>
      </c>
      <c r="B1740">
        <v>3339142</v>
      </c>
      <c r="C1740" t="s">
        <v>1890</v>
      </c>
      <c r="D1740" t="s">
        <v>300</v>
      </c>
      <c r="E1740" s="19">
        <v>40025</v>
      </c>
      <c r="F1740" t="str">
        <f>"9780262270830"</f>
        <v>9780262270830</v>
      </c>
      <c r="G1740" t="str">
        <f>"9780262533058"</f>
        <v>9780262533058</v>
      </c>
      <c r="H1740" t="s">
        <v>110</v>
      </c>
      <c r="I1740">
        <v>5.0999999999999996</v>
      </c>
      <c r="J1740" t="s">
        <v>1891</v>
      </c>
      <c r="K1740" t="s">
        <v>73</v>
      </c>
      <c r="N1740" t="s">
        <v>74</v>
      </c>
      <c r="O1740" t="s">
        <v>75</v>
      </c>
      <c r="P1740" t="s">
        <v>74</v>
      </c>
      <c r="Q1740" t="s">
        <v>76</v>
      </c>
      <c r="R1740" t="s">
        <v>73</v>
      </c>
      <c r="S1740">
        <v>0</v>
      </c>
      <c r="W1740" s="20">
        <v>8.3842592592592594E-2</v>
      </c>
      <c r="X1740" t="s">
        <v>4067</v>
      </c>
      <c r="Y1740">
        <v>103</v>
      </c>
      <c r="Z1740">
        <v>0</v>
      </c>
      <c r="AA1740" t="s">
        <v>78</v>
      </c>
      <c r="AB1740">
        <v>0</v>
      </c>
      <c r="AC1740" t="s">
        <v>78</v>
      </c>
      <c r="AD1740">
        <v>0</v>
      </c>
      <c r="AE1740">
        <v>10397652</v>
      </c>
      <c r="AF1740" t="s">
        <v>88</v>
      </c>
      <c r="AG1740" t="s">
        <v>3746</v>
      </c>
    </row>
    <row r="1741" spans="1:33" x14ac:dyDescent="0.35">
      <c r="A1741" s="18">
        <v>44331.712500000001</v>
      </c>
      <c r="B1741">
        <v>583642</v>
      </c>
      <c r="C1741" t="s">
        <v>2337</v>
      </c>
      <c r="D1741" t="s">
        <v>205</v>
      </c>
      <c r="E1741" s="19">
        <v>40210</v>
      </c>
      <c r="F1741" t="str">
        <f>"9781596930902"</f>
        <v>9781596930902</v>
      </c>
      <c r="G1741" t="str">
        <f>"9781596930896"</f>
        <v>9781596930896</v>
      </c>
      <c r="H1741" t="s">
        <v>2338</v>
      </c>
      <c r="I1741">
        <v>621.38482999999997</v>
      </c>
      <c r="J1741" t="s">
        <v>2339</v>
      </c>
      <c r="K1741" t="s">
        <v>73</v>
      </c>
      <c r="N1741" t="s">
        <v>74</v>
      </c>
      <c r="O1741" t="s">
        <v>75</v>
      </c>
      <c r="P1741" t="s">
        <v>74</v>
      </c>
      <c r="Q1741" t="s">
        <v>76</v>
      </c>
      <c r="R1741" t="s">
        <v>73</v>
      </c>
      <c r="S1741">
        <v>0</v>
      </c>
      <c r="W1741" s="20">
        <v>9.2592592592592588E-5</v>
      </c>
      <c r="X1741" t="s">
        <v>249</v>
      </c>
      <c r="Y1741">
        <v>2</v>
      </c>
      <c r="Z1741">
        <v>0</v>
      </c>
      <c r="AA1741" t="s">
        <v>78</v>
      </c>
      <c r="AB1741">
        <v>0</v>
      </c>
      <c r="AC1741" t="s">
        <v>78</v>
      </c>
      <c r="AD1741">
        <v>0</v>
      </c>
      <c r="AE1741">
        <v>10393271</v>
      </c>
      <c r="AF1741" t="s">
        <v>88</v>
      </c>
      <c r="AG1741" t="s">
        <v>3746</v>
      </c>
    </row>
    <row r="1742" spans="1:33" x14ac:dyDescent="0.35">
      <c r="A1742" s="18">
        <v>44331.696527777778</v>
      </c>
      <c r="B1742">
        <v>4829166</v>
      </c>
      <c r="C1742" t="s">
        <v>4004</v>
      </c>
      <c r="D1742" t="s">
        <v>70</v>
      </c>
      <c r="E1742" s="19">
        <v>42835</v>
      </c>
      <c r="F1742" t="str">
        <f>"9781119219835"</f>
        <v>9781119219835</v>
      </c>
      <c r="G1742" t="str">
        <f>"9781119219811"</f>
        <v>9781119219811</v>
      </c>
      <c r="H1742" t="s">
        <v>724</v>
      </c>
      <c r="I1742" t="s">
        <v>4005</v>
      </c>
      <c r="J1742" t="s">
        <v>4006</v>
      </c>
      <c r="K1742" t="s">
        <v>73</v>
      </c>
      <c r="N1742" t="s">
        <v>74</v>
      </c>
      <c r="O1742" t="s">
        <v>75</v>
      </c>
      <c r="P1742" t="s">
        <v>74</v>
      </c>
      <c r="Q1742" t="s">
        <v>76</v>
      </c>
      <c r="R1742" t="s">
        <v>73</v>
      </c>
      <c r="S1742">
        <v>2</v>
      </c>
      <c r="W1742" s="20">
        <v>4.9537037037037041E-3</v>
      </c>
      <c r="X1742" t="s">
        <v>4068</v>
      </c>
      <c r="Y1742">
        <v>54</v>
      </c>
      <c r="Z1742">
        <v>7</v>
      </c>
      <c r="AA1742" t="s">
        <v>4069</v>
      </c>
      <c r="AB1742">
        <v>136</v>
      </c>
      <c r="AC1742" t="s">
        <v>78</v>
      </c>
      <c r="AD1742">
        <v>0</v>
      </c>
      <c r="AE1742">
        <v>11365259</v>
      </c>
      <c r="AF1742" t="s">
        <v>88</v>
      </c>
      <c r="AG1742" t="s">
        <v>3161</v>
      </c>
    </row>
    <row r="1743" spans="1:33" x14ac:dyDescent="0.35">
      <c r="A1743" s="18">
        <v>44331.178472222222</v>
      </c>
      <c r="B1743">
        <v>894080</v>
      </c>
      <c r="C1743" t="s">
        <v>4070</v>
      </c>
      <c r="D1743" t="s">
        <v>189</v>
      </c>
      <c r="E1743" s="19">
        <v>41138</v>
      </c>
      <c r="F1743" t="str">
        <f>"9783110254655"</f>
        <v>9783110254655</v>
      </c>
      <c r="G1743" t="str">
        <f>"9783110254648"</f>
        <v>9783110254648</v>
      </c>
      <c r="H1743" t="s">
        <v>848</v>
      </c>
      <c r="I1743">
        <v>541.39</v>
      </c>
      <c r="J1743" t="s">
        <v>4071</v>
      </c>
      <c r="K1743" t="s">
        <v>73</v>
      </c>
      <c r="N1743" t="s">
        <v>74</v>
      </c>
      <c r="O1743" t="s">
        <v>75</v>
      </c>
      <c r="P1743" t="s">
        <v>74</v>
      </c>
      <c r="Q1743" t="s">
        <v>76</v>
      </c>
      <c r="R1743" t="s">
        <v>73</v>
      </c>
      <c r="S1743">
        <v>0</v>
      </c>
      <c r="W1743" s="20">
        <v>1.3194444444444443E-3</v>
      </c>
      <c r="X1743" t="s">
        <v>1691</v>
      </c>
      <c r="Y1743">
        <v>7</v>
      </c>
      <c r="Z1743">
        <v>0</v>
      </c>
      <c r="AA1743" t="s">
        <v>78</v>
      </c>
      <c r="AB1743">
        <v>0</v>
      </c>
      <c r="AC1743" t="s">
        <v>78</v>
      </c>
      <c r="AD1743">
        <v>0</v>
      </c>
      <c r="AE1743">
        <v>10606496</v>
      </c>
      <c r="AF1743" t="s">
        <v>79</v>
      </c>
      <c r="AG1743" t="s">
        <v>2640</v>
      </c>
    </row>
    <row r="1744" spans="1:33" x14ac:dyDescent="0.35">
      <c r="A1744" s="18">
        <v>44331.157638888886</v>
      </c>
      <c r="B1744">
        <v>4843210</v>
      </c>
      <c r="C1744" t="s">
        <v>4072</v>
      </c>
      <c r="D1744" t="s">
        <v>189</v>
      </c>
      <c r="E1744" s="19">
        <v>42835</v>
      </c>
      <c r="F1744" t="str">
        <f>"9781501500060"</f>
        <v>9781501500060</v>
      </c>
      <c r="G1744" t="str">
        <f>"9781501510397"</f>
        <v>9781501510397</v>
      </c>
      <c r="H1744" t="s">
        <v>128</v>
      </c>
      <c r="I1744">
        <v>302.2</v>
      </c>
      <c r="J1744" t="s">
        <v>4073</v>
      </c>
      <c r="K1744" t="s">
        <v>73</v>
      </c>
      <c r="N1744" t="s">
        <v>74</v>
      </c>
      <c r="O1744" t="s">
        <v>75</v>
      </c>
      <c r="P1744" t="s">
        <v>74</v>
      </c>
      <c r="Q1744" t="s">
        <v>76</v>
      </c>
      <c r="R1744" t="s">
        <v>73</v>
      </c>
      <c r="S1744">
        <v>0</v>
      </c>
      <c r="W1744" s="20">
        <v>2.7430555555555559E-3</v>
      </c>
      <c r="X1744" t="s">
        <v>4074</v>
      </c>
      <c r="Y1744">
        <v>11</v>
      </c>
      <c r="Z1744">
        <v>0</v>
      </c>
      <c r="AA1744" t="s">
        <v>78</v>
      </c>
      <c r="AB1744">
        <v>0</v>
      </c>
      <c r="AC1744" t="s">
        <v>78</v>
      </c>
      <c r="AD1744">
        <v>0</v>
      </c>
      <c r="AE1744">
        <v>11375520</v>
      </c>
      <c r="AF1744" t="s">
        <v>79</v>
      </c>
      <c r="AG1744" t="s">
        <v>3746</v>
      </c>
    </row>
    <row r="1745" spans="1:33" x14ac:dyDescent="0.35">
      <c r="A1745" s="18">
        <v>44331.064583333333</v>
      </c>
      <c r="B1745">
        <v>894080</v>
      </c>
      <c r="C1745" t="s">
        <v>4070</v>
      </c>
      <c r="D1745" t="s">
        <v>189</v>
      </c>
      <c r="E1745" s="19">
        <v>41138</v>
      </c>
      <c r="F1745" t="str">
        <f>"9783110254655"</f>
        <v>9783110254655</v>
      </c>
      <c r="G1745" t="str">
        <f>"9783110254648"</f>
        <v>9783110254648</v>
      </c>
      <c r="H1745" t="s">
        <v>848</v>
      </c>
      <c r="I1745">
        <v>541.39</v>
      </c>
      <c r="J1745" t="s">
        <v>4071</v>
      </c>
      <c r="K1745" t="s">
        <v>73</v>
      </c>
      <c r="N1745" t="s">
        <v>74</v>
      </c>
      <c r="O1745" t="s">
        <v>75</v>
      </c>
      <c r="P1745" t="s">
        <v>74</v>
      </c>
      <c r="Q1745" t="s">
        <v>76</v>
      </c>
      <c r="R1745" t="s">
        <v>73</v>
      </c>
      <c r="S1745">
        <v>0</v>
      </c>
      <c r="W1745" s="20">
        <v>4.6053240740740742E-2</v>
      </c>
      <c r="X1745" t="s">
        <v>4075</v>
      </c>
      <c r="Y1745">
        <v>57</v>
      </c>
      <c r="Z1745">
        <v>0</v>
      </c>
      <c r="AA1745" t="s">
        <v>78</v>
      </c>
      <c r="AB1745">
        <v>0</v>
      </c>
      <c r="AC1745" t="s">
        <v>78</v>
      </c>
      <c r="AD1745">
        <v>0</v>
      </c>
      <c r="AE1745">
        <v>10606496</v>
      </c>
      <c r="AF1745" t="s">
        <v>79</v>
      </c>
      <c r="AG1745" t="s">
        <v>2640</v>
      </c>
    </row>
    <row r="1746" spans="1:33" x14ac:dyDescent="0.35">
      <c r="A1746" s="18">
        <v>44330.993750000001</v>
      </c>
      <c r="B1746">
        <v>894080</v>
      </c>
      <c r="C1746" t="s">
        <v>4070</v>
      </c>
      <c r="D1746" t="s">
        <v>189</v>
      </c>
      <c r="E1746" s="19">
        <v>41138</v>
      </c>
      <c r="F1746" t="str">
        <f>"9783110254655"</f>
        <v>9783110254655</v>
      </c>
      <c r="G1746" t="str">
        <f>"9783110254648"</f>
        <v>9783110254648</v>
      </c>
      <c r="H1746" t="s">
        <v>848</v>
      </c>
      <c r="I1746">
        <v>541.39</v>
      </c>
      <c r="J1746" t="s">
        <v>4071</v>
      </c>
      <c r="K1746" t="s">
        <v>73</v>
      </c>
      <c r="N1746" t="s">
        <v>74</v>
      </c>
      <c r="O1746" t="s">
        <v>75</v>
      </c>
      <c r="P1746" t="s">
        <v>74</v>
      </c>
      <c r="Q1746" t="s">
        <v>76</v>
      </c>
      <c r="R1746" t="s">
        <v>73</v>
      </c>
      <c r="S1746">
        <v>0</v>
      </c>
      <c r="W1746" s="20">
        <v>1.834490740740741E-2</v>
      </c>
      <c r="X1746" t="s">
        <v>4076</v>
      </c>
      <c r="Y1746">
        <v>26</v>
      </c>
      <c r="Z1746">
        <v>0</v>
      </c>
      <c r="AA1746" t="s">
        <v>78</v>
      </c>
      <c r="AB1746">
        <v>0</v>
      </c>
      <c r="AC1746" t="s">
        <v>78</v>
      </c>
      <c r="AD1746">
        <v>0</v>
      </c>
      <c r="AE1746">
        <v>10606496</v>
      </c>
      <c r="AF1746" t="s">
        <v>79</v>
      </c>
      <c r="AG1746" t="s">
        <v>2640</v>
      </c>
    </row>
    <row r="1747" spans="1:33" x14ac:dyDescent="0.35">
      <c r="A1747" s="18">
        <v>44330.970138888886</v>
      </c>
      <c r="B1747">
        <v>894080</v>
      </c>
      <c r="C1747" t="s">
        <v>4070</v>
      </c>
      <c r="D1747" t="s">
        <v>189</v>
      </c>
      <c r="E1747" s="19">
        <v>41138</v>
      </c>
      <c r="F1747" t="str">
        <f>"9783110254655"</f>
        <v>9783110254655</v>
      </c>
      <c r="G1747" t="str">
        <f>"9783110254648"</f>
        <v>9783110254648</v>
      </c>
      <c r="H1747" t="s">
        <v>848</v>
      </c>
      <c r="I1747">
        <v>541.39</v>
      </c>
      <c r="J1747" t="s">
        <v>4071</v>
      </c>
      <c r="K1747" t="s">
        <v>73</v>
      </c>
      <c r="N1747" t="s">
        <v>74</v>
      </c>
      <c r="O1747" t="s">
        <v>75</v>
      </c>
      <c r="P1747" t="s">
        <v>74</v>
      </c>
      <c r="Q1747" t="s">
        <v>76</v>
      </c>
      <c r="R1747" t="s">
        <v>73</v>
      </c>
      <c r="S1747">
        <v>0</v>
      </c>
      <c r="W1747" s="20">
        <v>3.4722222222222222E-5</v>
      </c>
      <c r="X1747" t="s">
        <v>132</v>
      </c>
      <c r="Y1747">
        <v>1</v>
      </c>
      <c r="Z1747">
        <v>0</v>
      </c>
      <c r="AA1747" t="s">
        <v>78</v>
      </c>
      <c r="AB1747">
        <v>0</v>
      </c>
      <c r="AC1747" t="s">
        <v>78</v>
      </c>
      <c r="AD1747">
        <v>0</v>
      </c>
      <c r="AE1747">
        <v>10606496</v>
      </c>
      <c r="AF1747" t="s">
        <v>79</v>
      </c>
      <c r="AG1747" t="s">
        <v>2640</v>
      </c>
    </row>
    <row r="1748" spans="1:33" x14ac:dyDescent="0.35">
      <c r="A1748" s="18">
        <v>44330.948611111111</v>
      </c>
      <c r="B1748">
        <v>3001261</v>
      </c>
      <c r="C1748" t="s">
        <v>3419</v>
      </c>
      <c r="D1748" t="s">
        <v>3420</v>
      </c>
      <c r="E1748" s="19">
        <v>39630</v>
      </c>
      <c r="F1748" t="str">
        <f>"9780313352874"</f>
        <v>9780313352874</v>
      </c>
      <c r="G1748" t="str">
        <f>"9780313352867"</f>
        <v>9780313352867</v>
      </c>
      <c r="H1748" t="s">
        <v>3421</v>
      </c>
      <c r="I1748">
        <v>333.79</v>
      </c>
      <c r="J1748" t="s">
        <v>3422</v>
      </c>
      <c r="K1748" t="s">
        <v>73</v>
      </c>
      <c r="N1748" t="s">
        <v>74</v>
      </c>
      <c r="O1748" t="s">
        <v>75</v>
      </c>
      <c r="P1748" t="s">
        <v>74</v>
      </c>
      <c r="Q1748" t="s">
        <v>76</v>
      </c>
      <c r="R1748" t="s">
        <v>73</v>
      </c>
      <c r="S1748">
        <v>0</v>
      </c>
      <c r="W1748" s="20">
        <v>4.6296296296296294E-5</v>
      </c>
      <c r="X1748" t="s">
        <v>132</v>
      </c>
      <c r="Y1748">
        <v>1</v>
      </c>
      <c r="Z1748">
        <v>0</v>
      </c>
      <c r="AA1748" t="s">
        <v>78</v>
      </c>
      <c r="AB1748">
        <v>0</v>
      </c>
      <c r="AC1748" t="s">
        <v>78</v>
      </c>
      <c r="AD1748">
        <v>0</v>
      </c>
      <c r="AE1748">
        <v>10271266</v>
      </c>
      <c r="AF1748" t="s">
        <v>79</v>
      </c>
      <c r="AG1748" t="s">
        <v>333</v>
      </c>
    </row>
    <row r="1749" spans="1:33" x14ac:dyDescent="0.35">
      <c r="A1749" s="18">
        <v>44330.829861111109</v>
      </c>
      <c r="B1749">
        <v>1173081</v>
      </c>
      <c r="C1749" t="s">
        <v>3999</v>
      </c>
      <c r="D1749" t="s">
        <v>70</v>
      </c>
      <c r="E1749" s="19">
        <v>41393</v>
      </c>
      <c r="F1749" t="str">
        <f>"9781118417591"</f>
        <v>9781118417591</v>
      </c>
      <c r="G1749" t="str">
        <f>"9781118394106"</f>
        <v>9781118394106</v>
      </c>
      <c r="H1749" t="s">
        <v>143</v>
      </c>
      <c r="I1749" t="s">
        <v>4000</v>
      </c>
      <c r="J1749" t="s">
        <v>4001</v>
      </c>
      <c r="K1749" t="s">
        <v>73</v>
      </c>
      <c r="N1749" t="s">
        <v>74</v>
      </c>
      <c r="O1749" t="s">
        <v>75</v>
      </c>
      <c r="P1749" t="s">
        <v>74</v>
      </c>
      <c r="Q1749" t="s">
        <v>76</v>
      </c>
      <c r="R1749" t="s">
        <v>73</v>
      </c>
      <c r="S1749">
        <v>0</v>
      </c>
      <c r="W1749" s="20">
        <v>1.5046296296296294E-3</v>
      </c>
      <c r="X1749" t="s">
        <v>4077</v>
      </c>
      <c r="Y1749">
        <v>8</v>
      </c>
      <c r="Z1749">
        <v>0</v>
      </c>
      <c r="AA1749" t="s">
        <v>78</v>
      </c>
      <c r="AB1749">
        <v>0</v>
      </c>
      <c r="AC1749" t="s">
        <v>78</v>
      </c>
      <c r="AD1749">
        <v>0</v>
      </c>
      <c r="AE1749">
        <v>10691459</v>
      </c>
      <c r="AF1749" t="s">
        <v>79</v>
      </c>
      <c r="AG1749" t="s">
        <v>3958</v>
      </c>
    </row>
    <row r="1750" spans="1:33" x14ac:dyDescent="0.35">
      <c r="A1750" s="18">
        <v>44330.824305555558</v>
      </c>
      <c r="B1750">
        <v>894080</v>
      </c>
      <c r="C1750" t="s">
        <v>4070</v>
      </c>
      <c r="D1750" t="s">
        <v>189</v>
      </c>
      <c r="E1750" s="19">
        <v>41138</v>
      </c>
      <c r="F1750" t="str">
        <f>"9783110254655"</f>
        <v>9783110254655</v>
      </c>
      <c r="G1750" t="str">
        <f>"9783110254648"</f>
        <v>9783110254648</v>
      </c>
      <c r="H1750" t="s">
        <v>848</v>
      </c>
      <c r="I1750">
        <v>541.39</v>
      </c>
      <c r="J1750" t="s">
        <v>4071</v>
      </c>
      <c r="K1750" t="s">
        <v>73</v>
      </c>
      <c r="N1750" t="s">
        <v>74</v>
      </c>
      <c r="O1750" t="s">
        <v>75</v>
      </c>
      <c r="P1750" t="s">
        <v>74</v>
      </c>
      <c r="Q1750" t="s">
        <v>76</v>
      </c>
      <c r="R1750" t="s">
        <v>73</v>
      </c>
      <c r="S1750">
        <v>0</v>
      </c>
      <c r="W1750" s="20">
        <v>7.8356481481481489E-3</v>
      </c>
      <c r="X1750" t="s">
        <v>4078</v>
      </c>
      <c r="Y1750">
        <v>35</v>
      </c>
      <c r="Z1750">
        <v>0</v>
      </c>
      <c r="AA1750" t="s">
        <v>78</v>
      </c>
      <c r="AB1750">
        <v>0</v>
      </c>
      <c r="AC1750" t="s">
        <v>78</v>
      </c>
      <c r="AD1750">
        <v>0</v>
      </c>
      <c r="AE1750">
        <v>10606496</v>
      </c>
      <c r="AF1750" t="s">
        <v>79</v>
      </c>
      <c r="AG1750" t="s">
        <v>2640</v>
      </c>
    </row>
    <row r="1751" spans="1:33" x14ac:dyDescent="0.35">
      <c r="A1751" s="18">
        <v>44330.629166666666</v>
      </c>
      <c r="B1751">
        <v>3338932</v>
      </c>
      <c r="C1751" t="s">
        <v>3491</v>
      </c>
      <c r="D1751" t="s">
        <v>300</v>
      </c>
      <c r="E1751" s="19">
        <v>39675</v>
      </c>
      <c r="F1751" t="str">
        <f>"9780262281393"</f>
        <v>9780262281393</v>
      </c>
      <c r="G1751" t="str">
        <f>"9780262162562"</f>
        <v>9780262162562</v>
      </c>
      <c r="H1751" t="s">
        <v>128</v>
      </c>
      <c r="I1751">
        <v>302.12</v>
      </c>
      <c r="J1751" t="s">
        <v>3492</v>
      </c>
      <c r="K1751" t="s">
        <v>73</v>
      </c>
      <c r="N1751" t="s">
        <v>74</v>
      </c>
      <c r="O1751" t="s">
        <v>75</v>
      </c>
      <c r="P1751" t="s">
        <v>74</v>
      </c>
      <c r="Q1751" t="s">
        <v>76</v>
      </c>
      <c r="R1751" t="s">
        <v>73</v>
      </c>
      <c r="S1751">
        <v>0</v>
      </c>
      <c r="W1751" s="20">
        <v>1.1574074074074073E-4</v>
      </c>
      <c r="X1751" t="s">
        <v>1492</v>
      </c>
      <c r="Y1751">
        <v>2</v>
      </c>
      <c r="Z1751">
        <v>0</v>
      </c>
      <c r="AA1751" t="s">
        <v>78</v>
      </c>
      <c r="AB1751">
        <v>0</v>
      </c>
      <c r="AC1751" t="s">
        <v>78</v>
      </c>
      <c r="AD1751">
        <v>0</v>
      </c>
      <c r="AE1751">
        <v>10251667</v>
      </c>
      <c r="AF1751" t="s">
        <v>79</v>
      </c>
      <c r="AG1751" t="s">
        <v>515</v>
      </c>
    </row>
    <row r="1752" spans="1:33" x14ac:dyDescent="0.35">
      <c r="A1752" s="18">
        <v>44330.606249999997</v>
      </c>
      <c r="B1752">
        <v>3338932</v>
      </c>
      <c r="C1752" t="s">
        <v>3491</v>
      </c>
      <c r="D1752" t="s">
        <v>300</v>
      </c>
      <c r="E1752" s="19">
        <v>39675</v>
      </c>
      <c r="F1752" t="str">
        <f>"9780262281393"</f>
        <v>9780262281393</v>
      </c>
      <c r="G1752" t="str">
        <f>"9780262162562"</f>
        <v>9780262162562</v>
      </c>
      <c r="H1752" t="s">
        <v>128</v>
      </c>
      <c r="I1752">
        <v>302.12</v>
      </c>
      <c r="J1752" t="s">
        <v>3492</v>
      </c>
      <c r="K1752" t="s">
        <v>73</v>
      </c>
      <c r="N1752" t="s">
        <v>74</v>
      </c>
      <c r="O1752" t="s">
        <v>75</v>
      </c>
      <c r="P1752" t="s">
        <v>74</v>
      </c>
      <c r="Q1752" t="s">
        <v>76</v>
      </c>
      <c r="R1752" t="s">
        <v>73</v>
      </c>
      <c r="S1752">
        <v>0</v>
      </c>
      <c r="W1752" s="20">
        <v>2.0486111111111113E-3</v>
      </c>
      <c r="X1752" t="s">
        <v>4079</v>
      </c>
      <c r="Y1752">
        <v>9</v>
      </c>
      <c r="Z1752">
        <v>0</v>
      </c>
      <c r="AA1752" t="s">
        <v>78</v>
      </c>
      <c r="AB1752">
        <v>0</v>
      </c>
      <c r="AC1752" t="s">
        <v>78</v>
      </c>
      <c r="AD1752">
        <v>0</v>
      </c>
      <c r="AE1752">
        <v>10251667</v>
      </c>
      <c r="AF1752" t="s">
        <v>79</v>
      </c>
      <c r="AG1752" t="s">
        <v>515</v>
      </c>
    </row>
    <row r="1753" spans="1:33" x14ac:dyDescent="0.35">
      <c r="A1753" s="18">
        <v>44330.548611111109</v>
      </c>
      <c r="B1753">
        <v>3338932</v>
      </c>
      <c r="C1753" t="s">
        <v>3491</v>
      </c>
      <c r="D1753" t="s">
        <v>300</v>
      </c>
      <c r="E1753" s="19">
        <v>39675</v>
      </c>
      <c r="F1753" t="str">
        <f>"9780262281393"</f>
        <v>9780262281393</v>
      </c>
      <c r="G1753" t="str">
        <f>"9780262162562"</f>
        <v>9780262162562</v>
      </c>
      <c r="H1753" t="s">
        <v>128</v>
      </c>
      <c r="I1753">
        <v>302.12</v>
      </c>
      <c r="J1753" t="s">
        <v>3492</v>
      </c>
      <c r="K1753" t="s">
        <v>73</v>
      </c>
      <c r="N1753" t="s">
        <v>74</v>
      </c>
      <c r="O1753" t="s">
        <v>75</v>
      </c>
      <c r="P1753" t="s">
        <v>74</v>
      </c>
      <c r="Q1753" t="s">
        <v>76</v>
      </c>
      <c r="R1753" t="s">
        <v>73</v>
      </c>
      <c r="S1753">
        <v>0</v>
      </c>
      <c r="W1753" s="20">
        <v>2.7465277777777772E-2</v>
      </c>
      <c r="X1753" t="s">
        <v>4080</v>
      </c>
      <c r="Y1753">
        <v>61</v>
      </c>
      <c r="Z1753">
        <v>0</v>
      </c>
      <c r="AA1753" t="s">
        <v>78</v>
      </c>
      <c r="AB1753">
        <v>0</v>
      </c>
      <c r="AC1753" t="s">
        <v>78</v>
      </c>
      <c r="AD1753">
        <v>0</v>
      </c>
      <c r="AE1753">
        <v>10251667</v>
      </c>
      <c r="AF1753" t="s">
        <v>79</v>
      </c>
      <c r="AG1753" t="s">
        <v>515</v>
      </c>
    </row>
    <row r="1754" spans="1:33" x14ac:dyDescent="0.35">
      <c r="A1754" s="18">
        <v>44330.472916666666</v>
      </c>
      <c r="B1754">
        <v>1157200</v>
      </c>
      <c r="C1754" t="s">
        <v>4081</v>
      </c>
      <c r="D1754" t="s">
        <v>390</v>
      </c>
      <c r="E1754" s="19">
        <v>41344</v>
      </c>
      <c r="F1754" t="str">
        <f>"9788376560014"</f>
        <v>9788376560014</v>
      </c>
      <c r="G1754" t="str">
        <f>"9788376560021"</f>
        <v>9788376560021</v>
      </c>
      <c r="H1754" t="s">
        <v>1204</v>
      </c>
      <c r="I1754">
        <v>410</v>
      </c>
      <c r="J1754" t="s">
        <v>4082</v>
      </c>
      <c r="K1754" t="s">
        <v>73</v>
      </c>
      <c r="N1754" t="s">
        <v>74</v>
      </c>
      <c r="O1754" t="s">
        <v>75</v>
      </c>
      <c r="P1754" t="s">
        <v>74</v>
      </c>
      <c r="Q1754" t="s">
        <v>76</v>
      </c>
      <c r="R1754" t="s">
        <v>73</v>
      </c>
      <c r="S1754">
        <v>0</v>
      </c>
      <c r="W1754" s="20">
        <v>5.3587962962962964E-3</v>
      </c>
      <c r="X1754" t="s">
        <v>4083</v>
      </c>
      <c r="Y1754">
        <v>39</v>
      </c>
      <c r="Z1754">
        <v>1</v>
      </c>
      <c r="AA1754" t="s">
        <v>639</v>
      </c>
      <c r="AB1754">
        <v>3</v>
      </c>
      <c r="AC1754" t="s">
        <v>78</v>
      </c>
      <c r="AD1754">
        <v>0</v>
      </c>
      <c r="AE1754">
        <v>11054987</v>
      </c>
      <c r="AF1754" t="s">
        <v>79</v>
      </c>
      <c r="AG1754" t="s">
        <v>4084</v>
      </c>
    </row>
    <row r="1755" spans="1:33" x14ac:dyDescent="0.35">
      <c r="A1755" s="18">
        <v>44330.47152777778</v>
      </c>
      <c r="B1755">
        <v>903100</v>
      </c>
      <c r="C1755" t="s">
        <v>4085</v>
      </c>
      <c r="D1755" t="s">
        <v>1360</v>
      </c>
      <c r="E1755" s="19">
        <v>41044</v>
      </c>
      <c r="F1755" t="str">
        <f>"9789027273949"</f>
        <v>9789027273949</v>
      </c>
      <c r="G1755" t="str">
        <f>"9789027203571"</f>
        <v>9789027203571</v>
      </c>
      <c r="H1755" t="s">
        <v>1204</v>
      </c>
      <c r="I1755">
        <v>428.00709999999998</v>
      </c>
      <c r="J1755" t="s">
        <v>4086</v>
      </c>
      <c r="K1755" t="s">
        <v>73</v>
      </c>
      <c r="N1755" t="s">
        <v>74</v>
      </c>
      <c r="O1755" t="s">
        <v>75</v>
      </c>
      <c r="P1755" t="s">
        <v>74</v>
      </c>
      <c r="Q1755" t="s">
        <v>76</v>
      </c>
      <c r="R1755" t="s">
        <v>73</v>
      </c>
      <c r="S1755">
        <v>0</v>
      </c>
      <c r="W1755" s="20">
        <v>1.2962962962962963E-3</v>
      </c>
      <c r="X1755" t="s">
        <v>4087</v>
      </c>
      <c r="Y1755">
        <v>11</v>
      </c>
      <c r="Z1755">
        <v>0</v>
      </c>
      <c r="AA1755" t="s">
        <v>78</v>
      </c>
      <c r="AB1755">
        <v>0</v>
      </c>
      <c r="AC1755" t="s">
        <v>78</v>
      </c>
      <c r="AD1755">
        <v>0</v>
      </c>
      <c r="AE1755">
        <v>10567673</v>
      </c>
      <c r="AF1755" t="s">
        <v>79</v>
      </c>
      <c r="AG1755" t="s">
        <v>4084</v>
      </c>
    </row>
    <row r="1756" spans="1:33" x14ac:dyDescent="0.35">
      <c r="A1756" s="18">
        <v>44329.935416666667</v>
      </c>
      <c r="B1756">
        <v>3338932</v>
      </c>
      <c r="C1756" t="s">
        <v>3491</v>
      </c>
      <c r="D1756" t="s">
        <v>300</v>
      </c>
      <c r="E1756" s="19">
        <v>39675</v>
      </c>
      <c r="F1756" t="str">
        <f>"9780262281393"</f>
        <v>9780262281393</v>
      </c>
      <c r="G1756" t="str">
        <f>"9780262162562"</f>
        <v>9780262162562</v>
      </c>
      <c r="H1756" t="s">
        <v>128</v>
      </c>
      <c r="I1756">
        <v>302.12</v>
      </c>
      <c r="J1756" t="s">
        <v>3492</v>
      </c>
      <c r="K1756" t="s">
        <v>73</v>
      </c>
      <c r="N1756" t="s">
        <v>74</v>
      </c>
      <c r="O1756" t="s">
        <v>75</v>
      </c>
      <c r="P1756" t="s">
        <v>74</v>
      </c>
      <c r="Q1756" t="s">
        <v>76</v>
      </c>
      <c r="R1756" t="s">
        <v>73</v>
      </c>
      <c r="S1756">
        <v>0</v>
      </c>
      <c r="W1756" s="20">
        <v>3.5879629629629635E-4</v>
      </c>
      <c r="X1756" t="s">
        <v>4088</v>
      </c>
      <c r="Y1756">
        <v>7</v>
      </c>
      <c r="Z1756">
        <v>0</v>
      </c>
      <c r="AA1756" t="s">
        <v>78</v>
      </c>
      <c r="AB1756">
        <v>0</v>
      </c>
      <c r="AC1756" t="s">
        <v>78</v>
      </c>
      <c r="AD1756">
        <v>0</v>
      </c>
      <c r="AE1756">
        <v>10251667</v>
      </c>
      <c r="AF1756" t="s">
        <v>79</v>
      </c>
      <c r="AG1756" t="s">
        <v>515</v>
      </c>
    </row>
    <row r="1757" spans="1:33" x14ac:dyDescent="0.35">
      <c r="A1757" s="18">
        <v>44329.874305555553</v>
      </c>
      <c r="B1757">
        <v>1875451</v>
      </c>
      <c r="C1757" t="s">
        <v>2197</v>
      </c>
      <c r="D1757" t="s">
        <v>506</v>
      </c>
      <c r="E1757" s="19">
        <v>41964</v>
      </c>
      <c r="F1757" t="str">
        <f>"9789004279841"</f>
        <v>9789004279841</v>
      </c>
      <c r="G1757" t="str">
        <f>"9789004277809"</f>
        <v>9789004277809</v>
      </c>
      <c r="H1757" t="s">
        <v>251</v>
      </c>
      <c r="I1757">
        <v>340.59</v>
      </c>
      <c r="J1757" t="s">
        <v>2198</v>
      </c>
      <c r="K1757" t="s">
        <v>73</v>
      </c>
      <c r="N1757" t="s">
        <v>74</v>
      </c>
      <c r="O1757" t="s">
        <v>75</v>
      </c>
      <c r="P1757" t="s">
        <v>74</v>
      </c>
      <c r="Q1757" t="s">
        <v>76</v>
      </c>
      <c r="R1757" t="s">
        <v>73</v>
      </c>
      <c r="S1757">
        <v>0</v>
      </c>
      <c r="W1757" s="20">
        <v>5.7870370370370366E-5</v>
      </c>
      <c r="X1757" t="s">
        <v>132</v>
      </c>
      <c r="Y1757">
        <v>1</v>
      </c>
      <c r="Z1757">
        <v>0</v>
      </c>
      <c r="AA1757" t="s">
        <v>78</v>
      </c>
      <c r="AB1757">
        <v>0</v>
      </c>
      <c r="AC1757" t="s">
        <v>78</v>
      </c>
      <c r="AD1757">
        <v>0</v>
      </c>
      <c r="AE1757">
        <v>10992607</v>
      </c>
      <c r="AF1757" t="s">
        <v>79</v>
      </c>
      <c r="AG1757" t="s">
        <v>3746</v>
      </c>
    </row>
    <row r="1758" spans="1:33" x14ac:dyDescent="0.35">
      <c r="A1758" s="18">
        <v>44329.873611111114</v>
      </c>
      <c r="B1758">
        <v>3338932</v>
      </c>
      <c r="C1758" t="s">
        <v>3491</v>
      </c>
      <c r="D1758" t="s">
        <v>300</v>
      </c>
      <c r="E1758" s="19">
        <v>39675</v>
      </c>
      <c r="F1758" t="str">
        <f>"9780262281393"</f>
        <v>9780262281393</v>
      </c>
      <c r="G1758" t="str">
        <f>"9780262162562"</f>
        <v>9780262162562</v>
      </c>
      <c r="H1758" t="s">
        <v>128</v>
      </c>
      <c r="I1758">
        <v>302.12</v>
      </c>
      <c r="J1758" t="s">
        <v>3492</v>
      </c>
      <c r="K1758" t="s">
        <v>73</v>
      </c>
      <c r="N1758" t="s">
        <v>74</v>
      </c>
      <c r="O1758" t="s">
        <v>75</v>
      </c>
      <c r="P1758" t="s">
        <v>74</v>
      </c>
      <c r="Q1758" t="s">
        <v>76</v>
      </c>
      <c r="R1758" t="s">
        <v>73</v>
      </c>
      <c r="S1758">
        <v>0</v>
      </c>
      <c r="W1758" s="20">
        <v>8.6805555555555551E-4</v>
      </c>
      <c r="X1758" t="s">
        <v>4089</v>
      </c>
      <c r="Y1758">
        <v>10</v>
      </c>
      <c r="Z1758">
        <v>0</v>
      </c>
      <c r="AA1758" t="s">
        <v>78</v>
      </c>
      <c r="AB1758">
        <v>0</v>
      </c>
      <c r="AC1758" t="s">
        <v>78</v>
      </c>
      <c r="AD1758">
        <v>0</v>
      </c>
      <c r="AE1758">
        <v>10251667</v>
      </c>
      <c r="AF1758" t="s">
        <v>79</v>
      </c>
      <c r="AG1758" t="s">
        <v>515</v>
      </c>
    </row>
    <row r="1759" spans="1:33" x14ac:dyDescent="0.35">
      <c r="A1759" s="18">
        <v>44329.559027777781</v>
      </c>
      <c r="B1759">
        <v>3001261</v>
      </c>
      <c r="C1759" t="s">
        <v>3419</v>
      </c>
      <c r="D1759" t="s">
        <v>3420</v>
      </c>
      <c r="E1759" s="19">
        <v>39630</v>
      </c>
      <c r="F1759" t="str">
        <f>"9780313352874"</f>
        <v>9780313352874</v>
      </c>
      <c r="G1759" t="str">
        <f>"9780313352867"</f>
        <v>9780313352867</v>
      </c>
      <c r="H1759" t="s">
        <v>3421</v>
      </c>
      <c r="I1759">
        <v>333.79</v>
      </c>
      <c r="J1759" t="s">
        <v>3422</v>
      </c>
      <c r="K1759" t="s">
        <v>73</v>
      </c>
      <c r="N1759" t="s">
        <v>74</v>
      </c>
      <c r="O1759" t="s">
        <v>75</v>
      </c>
      <c r="P1759" t="s">
        <v>74</v>
      </c>
      <c r="Q1759" t="s">
        <v>76</v>
      </c>
      <c r="R1759" t="s">
        <v>73</v>
      </c>
      <c r="S1759">
        <v>0</v>
      </c>
      <c r="W1759" s="20">
        <v>5.7870370370370366E-5</v>
      </c>
      <c r="X1759" t="s">
        <v>132</v>
      </c>
      <c r="Y1759">
        <v>1</v>
      </c>
      <c r="Z1759">
        <v>0</v>
      </c>
      <c r="AA1759" t="s">
        <v>78</v>
      </c>
      <c r="AB1759">
        <v>0</v>
      </c>
      <c r="AC1759" t="s">
        <v>78</v>
      </c>
      <c r="AD1759">
        <v>0</v>
      </c>
      <c r="AE1759">
        <v>10271266</v>
      </c>
      <c r="AF1759" t="s">
        <v>79</v>
      </c>
      <c r="AG1759" t="s">
        <v>333</v>
      </c>
    </row>
    <row r="1760" spans="1:33" x14ac:dyDescent="0.35">
      <c r="A1760" s="18">
        <v>44329.234027777777</v>
      </c>
      <c r="B1760">
        <v>1948822</v>
      </c>
      <c r="C1760" t="s">
        <v>4090</v>
      </c>
      <c r="D1760" t="s">
        <v>4091</v>
      </c>
      <c r="E1760" s="19">
        <v>42086</v>
      </c>
      <c r="F1760" t="str">
        <f>"9781608465019"</f>
        <v>9781608465019</v>
      </c>
      <c r="G1760" t="str">
        <f>"9781608464708"</f>
        <v>9781608464708</v>
      </c>
      <c r="H1760" t="s">
        <v>2472</v>
      </c>
      <c r="I1760">
        <v>327.5</v>
      </c>
      <c r="J1760" t="s">
        <v>4092</v>
      </c>
      <c r="K1760" t="s">
        <v>73</v>
      </c>
      <c r="N1760" t="s">
        <v>74</v>
      </c>
      <c r="O1760" t="s">
        <v>75</v>
      </c>
      <c r="P1760" t="s">
        <v>74</v>
      </c>
      <c r="Q1760" t="s">
        <v>76</v>
      </c>
      <c r="R1760" t="s">
        <v>73</v>
      </c>
      <c r="S1760">
        <v>1</v>
      </c>
      <c r="W1760" s="20">
        <v>0</v>
      </c>
      <c r="X1760" t="s">
        <v>78</v>
      </c>
      <c r="Y1760">
        <v>0</v>
      </c>
      <c r="Z1760">
        <v>0</v>
      </c>
      <c r="AA1760" t="s">
        <v>78</v>
      </c>
      <c r="AB1760">
        <v>0</v>
      </c>
      <c r="AC1760" t="s">
        <v>78</v>
      </c>
      <c r="AD1760">
        <v>0</v>
      </c>
      <c r="AE1760">
        <v>11050312</v>
      </c>
      <c r="AF1760" t="s">
        <v>88</v>
      </c>
      <c r="AG1760" t="s">
        <v>1579</v>
      </c>
    </row>
    <row r="1761" spans="1:33" x14ac:dyDescent="0.35">
      <c r="A1761" s="18">
        <v>44329.086111111108</v>
      </c>
      <c r="B1761">
        <v>3338932</v>
      </c>
      <c r="C1761" t="s">
        <v>3491</v>
      </c>
      <c r="D1761" t="s">
        <v>300</v>
      </c>
      <c r="E1761" s="19">
        <v>39675</v>
      </c>
      <c r="F1761" t="str">
        <f>"9780262281393"</f>
        <v>9780262281393</v>
      </c>
      <c r="G1761" t="str">
        <f>"9780262162562"</f>
        <v>9780262162562</v>
      </c>
      <c r="H1761" t="s">
        <v>128</v>
      </c>
      <c r="I1761">
        <v>302.12</v>
      </c>
      <c r="J1761" t="s">
        <v>3492</v>
      </c>
      <c r="K1761" t="s">
        <v>73</v>
      </c>
      <c r="N1761" t="s">
        <v>74</v>
      </c>
      <c r="O1761" t="s">
        <v>75</v>
      </c>
      <c r="P1761" t="s">
        <v>74</v>
      </c>
      <c r="Q1761" t="s">
        <v>76</v>
      </c>
      <c r="R1761" t="s">
        <v>73</v>
      </c>
      <c r="S1761">
        <v>0</v>
      </c>
      <c r="W1761" s="20">
        <v>9.6643518518518511E-3</v>
      </c>
      <c r="X1761" t="s">
        <v>4093</v>
      </c>
      <c r="Y1761">
        <v>9</v>
      </c>
      <c r="Z1761">
        <v>0</v>
      </c>
      <c r="AA1761" t="s">
        <v>78</v>
      </c>
      <c r="AB1761">
        <v>0</v>
      </c>
      <c r="AC1761" t="s">
        <v>78</v>
      </c>
      <c r="AD1761">
        <v>0</v>
      </c>
      <c r="AE1761">
        <v>10251667</v>
      </c>
      <c r="AF1761" t="s">
        <v>79</v>
      </c>
      <c r="AG1761" t="s">
        <v>515</v>
      </c>
    </row>
    <row r="1762" spans="1:33" x14ac:dyDescent="0.35">
      <c r="A1762" s="18">
        <v>44328.421527777777</v>
      </c>
      <c r="B1762">
        <v>1832723</v>
      </c>
      <c r="C1762" t="s">
        <v>2044</v>
      </c>
      <c r="D1762" t="s">
        <v>70</v>
      </c>
      <c r="E1762" s="19">
        <v>42031</v>
      </c>
      <c r="F1762" t="str">
        <f>"9781118902110"</f>
        <v>9781118902110</v>
      </c>
      <c r="G1762" t="str">
        <f>"9780470656709"</f>
        <v>9780470656709</v>
      </c>
      <c r="H1762" t="s">
        <v>1905</v>
      </c>
      <c r="I1762">
        <v>551.9</v>
      </c>
      <c r="J1762" t="s">
        <v>2045</v>
      </c>
      <c r="K1762" t="s">
        <v>73</v>
      </c>
      <c r="N1762" t="s">
        <v>74</v>
      </c>
      <c r="O1762" t="s">
        <v>75</v>
      </c>
      <c r="P1762" t="s">
        <v>74</v>
      </c>
      <c r="Q1762" t="s">
        <v>76</v>
      </c>
      <c r="R1762" t="s">
        <v>73</v>
      </c>
      <c r="S1762">
        <v>0</v>
      </c>
      <c r="W1762" s="20">
        <v>0</v>
      </c>
      <c r="X1762" t="s">
        <v>78</v>
      </c>
      <c r="Y1762">
        <v>0</v>
      </c>
      <c r="Z1762">
        <v>1</v>
      </c>
      <c r="AA1762" t="s">
        <v>4094</v>
      </c>
      <c r="AB1762">
        <v>40</v>
      </c>
      <c r="AC1762" t="s">
        <v>78</v>
      </c>
      <c r="AD1762">
        <v>0</v>
      </c>
      <c r="AE1762">
        <v>10964407</v>
      </c>
      <c r="AF1762" t="s">
        <v>79</v>
      </c>
      <c r="AG1762" t="s">
        <v>1579</v>
      </c>
    </row>
    <row r="1763" spans="1:33" x14ac:dyDescent="0.35">
      <c r="A1763" s="18">
        <v>44327.911805555559</v>
      </c>
      <c r="B1763">
        <v>1832723</v>
      </c>
      <c r="C1763" t="s">
        <v>2044</v>
      </c>
      <c r="D1763" t="s">
        <v>70</v>
      </c>
      <c r="E1763" s="19">
        <v>42031</v>
      </c>
      <c r="F1763" t="str">
        <f>"9781118902110"</f>
        <v>9781118902110</v>
      </c>
      <c r="G1763" t="str">
        <f>"9780470656709"</f>
        <v>9780470656709</v>
      </c>
      <c r="H1763" t="s">
        <v>1905</v>
      </c>
      <c r="I1763">
        <v>551.9</v>
      </c>
      <c r="J1763" t="s">
        <v>2045</v>
      </c>
      <c r="K1763" t="s">
        <v>73</v>
      </c>
      <c r="N1763" t="s">
        <v>74</v>
      </c>
      <c r="O1763" t="s">
        <v>75</v>
      </c>
      <c r="P1763" t="s">
        <v>74</v>
      </c>
      <c r="Q1763" t="s">
        <v>76</v>
      </c>
      <c r="R1763" t="s">
        <v>73</v>
      </c>
      <c r="S1763">
        <v>0</v>
      </c>
      <c r="W1763" s="20">
        <v>0</v>
      </c>
      <c r="X1763" t="s">
        <v>78</v>
      </c>
      <c r="Y1763">
        <v>0</v>
      </c>
      <c r="Z1763">
        <v>1</v>
      </c>
      <c r="AA1763" t="s">
        <v>4095</v>
      </c>
      <c r="AB1763">
        <v>31</v>
      </c>
      <c r="AC1763" t="s">
        <v>78</v>
      </c>
      <c r="AD1763">
        <v>0</v>
      </c>
      <c r="AE1763">
        <v>10964407</v>
      </c>
      <c r="AF1763" t="s">
        <v>79</v>
      </c>
      <c r="AG1763" t="s">
        <v>1579</v>
      </c>
    </row>
    <row r="1764" spans="1:33" x14ac:dyDescent="0.35">
      <c r="A1764" s="18">
        <v>44327.833333333336</v>
      </c>
      <c r="B1764">
        <v>406448</v>
      </c>
      <c r="C1764" t="s">
        <v>4096</v>
      </c>
      <c r="D1764" t="s">
        <v>70</v>
      </c>
      <c r="E1764" s="19">
        <v>39664</v>
      </c>
      <c r="F1764" t="str">
        <f>"9780470255759"</f>
        <v>9780470255759</v>
      </c>
      <c r="G1764" t="str">
        <f>"9780470209677"</f>
        <v>9780470209677</v>
      </c>
      <c r="H1764" t="s">
        <v>767</v>
      </c>
      <c r="I1764" t="s">
        <v>4097</v>
      </c>
      <c r="J1764" t="s">
        <v>4098</v>
      </c>
      <c r="K1764" t="s">
        <v>73</v>
      </c>
      <c r="N1764" t="s">
        <v>74</v>
      </c>
      <c r="O1764" t="s">
        <v>75</v>
      </c>
      <c r="P1764" t="s">
        <v>74</v>
      </c>
      <c r="Q1764" t="s">
        <v>76</v>
      </c>
      <c r="R1764" t="s">
        <v>73</v>
      </c>
      <c r="S1764">
        <v>0</v>
      </c>
      <c r="W1764" s="20">
        <v>2.1331018518518517E-2</v>
      </c>
      <c r="X1764" t="s">
        <v>4099</v>
      </c>
      <c r="Y1764">
        <v>10</v>
      </c>
      <c r="Z1764">
        <v>0</v>
      </c>
      <c r="AA1764" t="s">
        <v>78</v>
      </c>
      <c r="AB1764">
        <v>0</v>
      </c>
      <c r="AC1764" t="s">
        <v>78</v>
      </c>
      <c r="AD1764">
        <v>0</v>
      </c>
      <c r="AE1764">
        <v>10275754</v>
      </c>
      <c r="AF1764" t="s">
        <v>79</v>
      </c>
      <c r="AG1764" t="s">
        <v>4100</v>
      </c>
    </row>
    <row r="1765" spans="1:33" x14ac:dyDescent="0.35">
      <c r="A1765" s="18">
        <v>44327.745833333334</v>
      </c>
      <c r="B1765">
        <v>406448</v>
      </c>
      <c r="C1765" t="s">
        <v>4096</v>
      </c>
      <c r="D1765" t="s">
        <v>70</v>
      </c>
      <c r="E1765" s="19">
        <v>39664</v>
      </c>
      <c r="F1765" t="str">
        <f>"9780470255759"</f>
        <v>9780470255759</v>
      </c>
      <c r="G1765" t="str">
        <f>"9780470209677"</f>
        <v>9780470209677</v>
      </c>
      <c r="H1765" t="s">
        <v>767</v>
      </c>
      <c r="I1765" t="s">
        <v>4097</v>
      </c>
      <c r="J1765" t="s">
        <v>4098</v>
      </c>
      <c r="K1765" t="s">
        <v>73</v>
      </c>
      <c r="N1765" t="s">
        <v>74</v>
      </c>
      <c r="O1765" t="s">
        <v>75</v>
      </c>
      <c r="P1765" t="s">
        <v>74</v>
      </c>
      <c r="Q1765" t="s">
        <v>76</v>
      </c>
      <c r="R1765" t="s">
        <v>73</v>
      </c>
      <c r="S1765">
        <v>0</v>
      </c>
      <c r="W1765" s="20">
        <v>3.619212962962963E-2</v>
      </c>
      <c r="X1765" t="s">
        <v>4101</v>
      </c>
      <c r="Y1765">
        <v>21</v>
      </c>
      <c r="Z1765">
        <v>0</v>
      </c>
      <c r="AA1765" t="s">
        <v>78</v>
      </c>
      <c r="AB1765">
        <v>0</v>
      </c>
      <c r="AC1765" t="s">
        <v>78</v>
      </c>
      <c r="AD1765">
        <v>0</v>
      </c>
      <c r="AE1765">
        <v>10275754</v>
      </c>
      <c r="AF1765" t="s">
        <v>79</v>
      </c>
      <c r="AG1765" t="s">
        <v>4100</v>
      </c>
    </row>
    <row r="1766" spans="1:33" x14ac:dyDescent="0.35">
      <c r="A1766" s="18">
        <v>44327.728472222225</v>
      </c>
      <c r="B1766">
        <v>3339142</v>
      </c>
      <c r="C1766" t="s">
        <v>1890</v>
      </c>
      <c r="D1766" t="s">
        <v>300</v>
      </c>
      <c r="E1766" s="19">
        <v>40025</v>
      </c>
      <c r="F1766" t="str">
        <f>"9780262270830"</f>
        <v>9780262270830</v>
      </c>
      <c r="G1766" t="str">
        <f>"9780262533058"</f>
        <v>9780262533058</v>
      </c>
      <c r="H1766" t="s">
        <v>110</v>
      </c>
      <c r="I1766">
        <v>5.0999999999999996</v>
      </c>
      <c r="J1766" t="s">
        <v>1891</v>
      </c>
      <c r="K1766" t="s">
        <v>73</v>
      </c>
      <c r="N1766" t="s">
        <v>74</v>
      </c>
      <c r="O1766" t="s">
        <v>75</v>
      </c>
      <c r="P1766" t="s">
        <v>74</v>
      </c>
      <c r="Q1766" t="s">
        <v>76</v>
      </c>
      <c r="R1766" t="s">
        <v>73</v>
      </c>
      <c r="S1766">
        <v>0</v>
      </c>
      <c r="W1766" s="20">
        <v>9.1898148148148139E-3</v>
      </c>
      <c r="X1766" t="s">
        <v>4102</v>
      </c>
      <c r="Y1766">
        <v>56</v>
      </c>
      <c r="Z1766">
        <v>0</v>
      </c>
      <c r="AA1766" t="s">
        <v>78</v>
      </c>
      <c r="AB1766">
        <v>0</v>
      </c>
      <c r="AC1766" t="s">
        <v>78</v>
      </c>
      <c r="AD1766">
        <v>0</v>
      </c>
      <c r="AE1766">
        <v>10397652</v>
      </c>
      <c r="AF1766" t="s">
        <v>88</v>
      </c>
      <c r="AG1766" t="s">
        <v>1579</v>
      </c>
    </row>
    <row r="1767" spans="1:33" x14ac:dyDescent="0.35">
      <c r="A1767" s="18">
        <v>44327.665277777778</v>
      </c>
      <c r="B1767">
        <v>406448</v>
      </c>
      <c r="C1767" t="s">
        <v>4096</v>
      </c>
      <c r="D1767" t="s">
        <v>70</v>
      </c>
      <c r="E1767" s="19">
        <v>39664</v>
      </c>
      <c r="F1767" t="str">
        <f>"9780470255759"</f>
        <v>9780470255759</v>
      </c>
      <c r="G1767" t="str">
        <f>"9780470209677"</f>
        <v>9780470209677</v>
      </c>
      <c r="H1767" t="s">
        <v>767</v>
      </c>
      <c r="I1767" t="s">
        <v>4097</v>
      </c>
      <c r="J1767" t="s">
        <v>4098</v>
      </c>
      <c r="K1767" t="s">
        <v>73</v>
      </c>
      <c r="N1767" t="s">
        <v>74</v>
      </c>
      <c r="O1767" t="s">
        <v>75</v>
      </c>
      <c r="P1767" t="s">
        <v>74</v>
      </c>
      <c r="Q1767" t="s">
        <v>76</v>
      </c>
      <c r="R1767" t="s">
        <v>73</v>
      </c>
      <c r="S1767">
        <v>0</v>
      </c>
      <c r="W1767" s="20">
        <v>4.8506944444444443E-2</v>
      </c>
      <c r="X1767" t="s">
        <v>4103</v>
      </c>
      <c r="Y1767">
        <v>37</v>
      </c>
      <c r="Z1767">
        <v>0</v>
      </c>
      <c r="AA1767" t="s">
        <v>78</v>
      </c>
      <c r="AB1767">
        <v>0</v>
      </c>
      <c r="AC1767" t="s">
        <v>78</v>
      </c>
      <c r="AD1767">
        <v>0</v>
      </c>
      <c r="AE1767">
        <v>10275754</v>
      </c>
      <c r="AF1767" t="s">
        <v>79</v>
      </c>
      <c r="AG1767" t="s">
        <v>4100</v>
      </c>
    </row>
    <row r="1768" spans="1:33" x14ac:dyDescent="0.35">
      <c r="A1768" s="18">
        <v>44327.578472222223</v>
      </c>
      <c r="B1768">
        <v>406448</v>
      </c>
      <c r="C1768" t="s">
        <v>4096</v>
      </c>
      <c r="D1768" t="s">
        <v>70</v>
      </c>
      <c r="E1768" s="19">
        <v>39664</v>
      </c>
      <c r="F1768" t="str">
        <f>"9780470255759"</f>
        <v>9780470255759</v>
      </c>
      <c r="G1768" t="str">
        <f>"9780470209677"</f>
        <v>9780470209677</v>
      </c>
      <c r="H1768" t="s">
        <v>767</v>
      </c>
      <c r="I1768" t="s">
        <v>4097</v>
      </c>
      <c r="J1768" t="s">
        <v>4098</v>
      </c>
      <c r="K1768" t="s">
        <v>73</v>
      </c>
      <c r="N1768" t="s">
        <v>74</v>
      </c>
      <c r="O1768" t="s">
        <v>75</v>
      </c>
      <c r="P1768" t="s">
        <v>74</v>
      </c>
      <c r="Q1768" t="s">
        <v>76</v>
      </c>
      <c r="R1768" t="s">
        <v>73</v>
      </c>
      <c r="S1768">
        <v>0</v>
      </c>
      <c r="W1768" s="20">
        <v>8.5416666666666679E-3</v>
      </c>
      <c r="X1768" t="s">
        <v>4104</v>
      </c>
      <c r="Y1768">
        <v>8</v>
      </c>
      <c r="Z1768">
        <v>0</v>
      </c>
      <c r="AA1768" t="s">
        <v>78</v>
      </c>
      <c r="AB1768">
        <v>0</v>
      </c>
      <c r="AC1768" t="s">
        <v>78</v>
      </c>
      <c r="AD1768">
        <v>0</v>
      </c>
      <c r="AE1768">
        <v>10275754</v>
      </c>
      <c r="AF1768" t="s">
        <v>79</v>
      </c>
      <c r="AG1768" t="s">
        <v>4100</v>
      </c>
    </row>
    <row r="1769" spans="1:33" x14ac:dyDescent="0.35">
      <c r="A1769" s="18">
        <v>44327.438194444447</v>
      </c>
      <c r="B1769">
        <v>3001261</v>
      </c>
      <c r="C1769" t="s">
        <v>3419</v>
      </c>
      <c r="D1769" t="s">
        <v>3420</v>
      </c>
      <c r="E1769" s="19">
        <v>39630</v>
      </c>
      <c r="F1769" t="str">
        <f>"9780313352874"</f>
        <v>9780313352874</v>
      </c>
      <c r="G1769" t="str">
        <f>"9780313352867"</f>
        <v>9780313352867</v>
      </c>
      <c r="H1769" t="s">
        <v>3421</v>
      </c>
      <c r="I1769">
        <v>333.79</v>
      </c>
      <c r="J1769" t="s">
        <v>3422</v>
      </c>
      <c r="K1769" t="s">
        <v>73</v>
      </c>
      <c r="N1769" t="s">
        <v>74</v>
      </c>
      <c r="O1769" t="s">
        <v>75</v>
      </c>
      <c r="P1769" t="s">
        <v>74</v>
      </c>
      <c r="Q1769" t="s">
        <v>76</v>
      </c>
      <c r="R1769" t="s">
        <v>73</v>
      </c>
      <c r="S1769">
        <v>0</v>
      </c>
      <c r="W1769" s="20">
        <v>5.7870370370370366E-5</v>
      </c>
      <c r="X1769" t="s">
        <v>132</v>
      </c>
      <c r="Y1769">
        <v>1</v>
      </c>
      <c r="Z1769">
        <v>0</v>
      </c>
      <c r="AA1769" t="s">
        <v>78</v>
      </c>
      <c r="AB1769">
        <v>0</v>
      </c>
      <c r="AC1769" t="s">
        <v>78</v>
      </c>
      <c r="AD1769">
        <v>0</v>
      </c>
      <c r="AE1769">
        <v>10271266</v>
      </c>
      <c r="AF1769" t="s">
        <v>79</v>
      </c>
      <c r="AG1769" t="s">
        <v>333</v>
      </c>
    </row>
    <row r="1770" spans="1:33" x14ac:dyDescent="0.35">
      <c r="A1770" s="18">
        <v>44327.390972222223</v>
      </c>
      <c r="B1770">
        <v>958689</v>
      </c>
      <c r="C1770" t="s">
        <v>4105</v>
      </c>
      <c r="D1770" t="s">
        <v>127</v>
      </c>
      <c r="E1770" s="19">
        <v>40990</v>
      </c>
      <c r="F1770" t="str">
        <f>"9780203130117"</f>
        <v>9780203130117</v>
      </c>
      <c r="G1770" t="str">
        <f>"9780415617079"</f>
        <v>9780415617079</v>
      </c>
      <c r="H1770" t="s">
        <v>143</v>
      </c>
      <c r="I1770" t="s">
        <v>4106</v>
      </c>
      <c r="J1770" t="s">
        <v>4107</v>
      </c>
      <c r="K1770" t="s">
        <v>73</v>
      </c>
      <c r="N1770" t="s">
        <v>74</v>
      </c>
      <c r="O1770" t="s">
        <v>75</v>
      </c>
      <c r="P1770" t="s">
        <v>74</v>
      </c>
      <c r="Q1770" t="s">
        <v>76</v>
      </c>
      <c r="R1770" t="s">
        <v>73</v>
      </c>
      <c r="S1770">
        <v>0</v>
      </c>
      <c r="W1770" s="20">
        <v>4.6296296296296294E-5</v>
      </c>
      <c r="X1770" t="s">
        <v>132</v>
      </c>
      <c r="Y1770">
        <v>1</v>
      </c>
      <c r="Z1770">
        <v>0</v>
      </c>
      <c r="AA1770" t="s">
        <v>78</v>
      </c>
      <c r="AB1770">
        <v>0</v>
      </c>
      <c r="AC1770" t="s">
        <v>78</v>
      </c>
      <c r="AD1770">
        <v>0</v>
      </c>
      <c r="AE1770">
        <v>10535209</v>
      </c>
      <c r="AF1770" t="s">
        <v>79</v>
      </c>
      <c r="AG1770" t="s">
        <v>3958</v>
      </c>
    </row>
    <row r="1771" spans="1:33" x14ac:dyDescent="0.35">
      <c r="A1771" s="18">
        <v>44326.695138888892</v>
      </c>
      <c r="B1771">
        <v>1173081</v>
      </c>
      <c r="C1771" t="s">
        <v>3999</v>
      </c>
      <c r="D1771" t="s">
        <v>70</v>
      </c>
      <c r="E1771" s="19">
        <v>41393</v>
      </c>
      <c r="F1771" t="str">
        <f>"9781118417591"</f>
        <v>9781118417591</v>
      </c>
      <c r="G1771" t="str">
        <f>"9781118394106"</f>
        <v>9781118394106</v>
      </c>
      <c r="H1771" t="s">
        <v>143</v>
      </c>
      <c r="I1771" t="s">
        <v>4000</v>
      </c>
      <c r="J1771" t="s">
        <v>4001</v>
      </c>
      <c r="K1771" t="s">
        <v>73</v>
      </c>
      <c r="N1771" t="s">
        <v>74</v>
      </c>
      <c r="O1771" t="s">
        <v>75</v>
      </c>
      <c r="P1771" t="s">
        <v>74</v>
      </c>
      <c r="Q1771" t="s">
        <v>76</v>
      </c>
      <c r="R1771" t="s">
        <v>73</v>
      </c>
      <c r="S1771">
        <v>0</v>
      </c>
      <c r="W1771" s="20">
        <v>2.1643518518518518E-3</v>
      </c>
      <c r="X1771" t="s">
        <v>4108</v>
      </c>
      <c r="Y1771">
        <v>6</v>
      </c>
      <c r="Z1771">
        <v>1</v>
      </c>
      <c r="AA1771" t="s">
        <v>4109</v>
      </c>
      <c r="AB1771">
        <v>8</v>
      </c>
      <c r="AC1771" t="s">
        <v>78</v>
      </c>
      <c r="AD1771">
        <v>0</v>
      </c>
      <c r="AE1771">
        <v>10691459</v>
      </c>
      <c r="AF1771" t="s">
        <v>79</v>
      </c>
      <c r="AG1771" t="s">
        <v>1579</v>
      </c>
    </row>
    <row r="1772" spans="1:33" x14ac:dyDescent="0.35">
      <c r="A1772" s="18">
        <v>44326.55972222222</v>
      </c>
      <c r="B1772">
        <v>5799078</v>
      </c>
      <c r="C1772" t="s">
        <v>3952</v>
      </c>
      <c r="D1772" t="s">
        <v>3953</v>
      </c>
      <c r="E1772" s="19">
        <v>43648</v>
      </c>
      <c r="F1772" t="str">
        <f>"9781782408093"</f>
        <v>9781782408093</v>
      </c>
      <c r="G1772" t="str">
        <f>"9781782407676"</f>
        <v>9781782407676</v>
      </c>
      <c r="H1772" t="s">
        <v>738</v>
      </c>
      <c r="I1772">
        <v>158.13</v>
      </c>
      <c r="J1772" t="s">
        <v>3954</v>
      </c>
      <c r="K1772" t="s">
        <v>85</v>
      </c>
      <c r="N1772" t="s">
        <v>186</v>
      </c>
      <c r="P1772" t="s">
        <v>87</v>
      </c>
      <c r="Q1772" t="s">
        <v>76</v>
      </c>
      <c r="R1772" t="s">
        <v>73</v>
      </c>
      <c r="S1772">
        <v>0</v>
      </c>
      <c r="W1772" s="20">
        <v>5.3240740740740744E-4</v>
      </c>
      <c r="X1772" t="s">
        <v>4110</v>
      </c>
      <c r="Y1772">
        <v>4</v>
      </c>
      <c r="Z1772">
        <v>0</v>
      </c>
      <c r="AA1772" t="s">
        <v>78</v>
      </c>
      <c r="AB1772">
        <v>0</v>
      </c>
      <c r="AC1772" t="s">
        <v>78</v>
      </c>
      <c r="AD1772">
        <v>0</v>
      </c>
      <c r="AE1772">
        <v>-1</v>
      </c>
      <c r="AF1772" t="s">
        <v>88</v>
      </c>
      <c r="AG1772" t="s">
        <v>1579</v>
      </c>
    </row>
    <row r="1773" spans="1:33" x14ac:dyDescent="0.35">
      <c r="A1773" s="18">
        <v>44326.556250000001</v>
      </c>
      <c r="B1773">
        <v>4792586</v>
      </c>
      <c r="C1773" t="s">
        <v>3901</v>
      </c>
      <c r="D1773" t="s">
        <v>70</v>
      </c>
      <c r="E1773" s="19">
        <v>42772</v>
      </c>
      <c r="F1773" t="str">
        <f>"9781118718384"</f>
        <v>9781118718384</v>
      </c>
      <c r="G1773" t="str">
        <f>"9781118707852"</f>
        <v>9781118707852</v>
      </c>
      <c r="H1773" t="s">
        <v>636</v>
      </c>
      <c r="I1773">
        <v>801</v>
      </c>
      <c r="J1773" t="s">
        <v>3902</v>
      </c>
      <c r="K1773" t="s">
        <v>73</v>
      </c>
      <c r="N1773" t="s">
        <v>74</v>
      </c>
      <c r="O1773" t="s">
        <v>75</v>
      </c>
      <c r="P1773" t="s">
        <v>74</v>
      </c>
      <c r="Q1773" t="s">
        <v>76</v>
      </c>
      <c r="R1773" t="s">
        <v>73</v>
      </c>
      <c r="S1773">
        <v>0</v>
      </c>
      <c r="W1773" s="20">
        <v>1.5046296296296297E-4</v>
      </c>
      <c r="X1773" t="s">
        <v>4111</v>
      </c>
      <c r="Y1773">
        <v>3</v>
      </c>
      <c r="Z1773">
        <v>4</v>
      </c>
      <c r="AA1773" t="s">
        <v>4112</v>
      </c>
      <c r="AB1773">
        <v>31</v>
      </c>
      <c r="AC1773" t="s">
        <v>78</v>
      </c>
      <c r="AD1773">
        <v>0</v>
      </c>
      <c r="AE1773">
        <v>11333767</v>
      </c>
      <c r="AF1773" t="s">
        <v>79</v>
      </c>
      <c r="AG1773" t="s">
        <v>1579</v>
      </c>
    </row>
    <row r="1774" spans="1:33" x14ac:dyDescent="0.35">
      <c r="A1774" s="18">
        <v>44326.428472222222</v>
      </c>
      <c r="B1774">
        <v>5888559</v>
      </c>
      <c r="C1774" t="s">
        <v>4113</v>
      </c>
      <c r="D1774" t="s">
        <v>158</v>
      </c>
      <c r="E1774" s="19">
        <v>43705</v>
      </c>
      <c r="F1774" t="str">
        <f>"9780128166277"</f>
        <v>9780128166277</v>
      </c>
      <c r="G1774" t="str">
        <f>"9780128164846"</f>
        <v>9780128164846</v>
      </c>
      <c r="H1774" t="s">
        <v>738</v>
      </c>
      <c r="I1774">
        <v>158.13</v>
      </c>
      <c r="J1774" t="s">
        <v>4114</v>
      </c>
      <c r="K1774" t="s">
        <v>85</v>
      </c>
      <c r="N1774" t="s">
        <v>74</v>
      </c>
      <c r="O1774" t="s">
        <v>75</v>
      </c>
      <c r="P1774" t="s">
        <v>74</v>
      </c>
      <c r="Q1774" t="s">
        <v>76</v>
      </c>
      <c r="R1774" t="s">
        <v>73</v>
      </c>
      <c r="S1774">
        <v>1</v>
      </c>
      <c r="W1774" s="20">
        <v>0</v>
      </c>
      <c r="X1774" t="s">
        <v>78</v>
      </c>
      <c r="Y1774">
        <v>0</v>
      </c>
      <c r="Z1774">
        <v>0</v>
      </c>
      <c r="AA1774" t="s">
        <v>78</v>
      </c>
      <c r="AB1774">
        <v>0</v>
      </c>
      <c r="AC1774" t="s">
        <v>78</v>
      </c>
      <c r="AD1774">
        <v>0</v>
      </c>
      <c r="AE1774">
        <v>-1</v>
      </c>
      <c r="AF1774" t="s">
        <v>88</v>
      </c>
      <c r="AG1774" t="s">
        <v>1579</v>
      </c>
    </row>
    <row r="1775" spans="1:33" x14ac:dyDescent="0.35">
      <c r="A1775" s="18">
        <v>44326.422222222223</v>
      </c>
      <c r="B1775">
        <v>5716872</v>
      </c>
      <c r="C1775" t="s">
        <v>4115</v>
      </c>
      <c r="D1775" t="s">
        <v>127</v>
      </c>
      <c r="E1775" s="19">
        <v>43536</v>
      </c>
      <c r="F1775" t="str">
        <f>"9780429000935"</f>
        <v>9780429000935</v>
      </c>
      <c r="G1775" t="str">
        <f>"9781138584242"</f>
        <v>9781138584242</v>
      </c>
      <c r="H1775" t="s">
        <v>738</v>
      </c>
      <c r="I1775">
        <v>158.13</v>
      </c>
      <c r="J1775" t="s">
        <v>4116</v>
      </c>
      <c r="K1775" t="s">
        <v>85</v>
      </c>
      <c r="Q1775" t="s">
        <v>76</v>
      </c>
      <c r="R1775" t="s">
        <v>73</v>
      </c>
      <c r="S1775">
        <v>0</v>
      </c>
      <c r="W1775" s="20">
        <v>4.0393518518518521E-3</v>
      </c>
      <c r="X1775" t="s">
        <v>4117</v>
      </c>
      <c r="Y1775">
        <v>14</v>
      </c>
      <c r="Z1775">
        <v>0</v>
      </c>
      <c r="AA1775" t="s">
        <v>78</v>
      </c>
      <c r="AB1775">
        <v>0</v>
      </c>
      <c r="AC1775" t="s">
        <v>78</v>
      </c>
      <c r="AD1775">
        <v>0</v>
      </c>
      <c r="AE1775">
        <v>11656393</v>
      </c>
      <c r="AF1775" t="s">
        <v>88</v>
      </c>
      <c r="AG1775" t="s">
        <v>1579</v>
      </c>
    </row>
    <row r="1776" spans="1:33" x14ac:dyDescent="0.35">
      <c r="A1776" s="18">
        <v>44326.417361111111</v>
      </c>
      <c r="B1776">
        <v>5799078</v>
      </c>
      <c r="C1776" t="s">
        <v>3952</v>
      </c>
      <c r="D1776" t="s">
        <v>3953</v>
      </c>
      <c r="E1776" s="19">
        <v>43648</v>
      </c>
      <c r="F1776" t="str">
        <f>"9781782408093"</f>
        <v>9781782408093</v>
      </c>
      <c r="G1776" t="str">
        <f>"9781782407676"</f>
        <v>9781782407676</v>
      </c>
      <c r="H1776" t="s">
        <v>738</v>
      </c>
      <c r="I1776">
        <v>158.13</v>
      </c>
      <c r="J1776" t="s">
        <v>3954</v>
      </c>
      <c r="K1776" t="s">
        <v>85</v>
      </c>
      <c r="Q1776" t="s">
        <v>76</v>
      </c>
      <c r="R1776" t="s">
        <v>73</v>
      </c>
      <c r="S1776">
        <v>0</v>
      </c>
      <c r="W1776" s="20">
        <v>3.0902777777777782E-3</v>
      </c>
      <c r="X1776" t="s">
        <v>78</v>
      </c>
      <c r="Y1776">
        <v>0</v>
      </c>
      <c r="Z1776">
        <v>0</v>
      </c>
      <c r="AA1776" t="s">
        <v>78</v>
      </c>
      <c r="AB1776">
        <v>0</v>
      </c>
      <c r="AC1776" t="s">
        <v>78</v>
      </c>
      <c r="AD1776">
        <v>0</v>
      </c>
      <c r="AE1776">
        <v>-1</v>
      </c>
      <c r="AF1776" t="s">
        <v>88</v>
      </c>
      <c r="AG1776" t="s">
        <v>1579</v>
      </c>
    </row>
    <row r="1777" spans="1:33" x14ac:dyDescent="0.35">
      <c r="A1777" s="18">
        <v>44326.411111111112</v>
      </c>
      <c r="B1777">
        <v>6378537</v>
      </c>
      <c r="C1777" t="s">
        <v>4118</v>
      </c>
      <c r="D1777" t="s">
        <v>127</v>
      </c>
      <c r="E1777" s="19">
        <v>44166</v>
      </c>
      <c r="F1777" t="str">
        <f>"9781000281538"</f>
        <v>9781000281538</v>
      </c>
      <c r="G1777" t="str">
        <f>"9780367370145"</f>
        <v>9780367370145</v>
      </c>
      <c r="H1777" t="s">
        <v>584</v>
      </c>
      <c r="I1777" t="s">
        <v>4119</v>
      </c>
      <c r="J1777" t="s">
        <v>4120</v>
      </c>
      <c r="K1777" t="s">
        <v>85</v>
      </c>
      <c r="Q1777" t="s">
        <v>76</v>
      </c>
      <c r="R1777" t="s">
        <v>73</v>
      </c>
      <c r="S1777">
        <v>0</v>
      </c>
      <c r="W1777" s="20">
        <v>5.7407407407407416E-3</v>
      </c>
      <c r="X1777" t="s">
        <v>4121</v>
      </c>
      <c r="Y1777">
        <v>5</v>
      </c>
      <c r="Z1777">
        <v>0</v>
      </c>
      <c r="AA1777" t="s">
        <v>78</v>
      </c>
      <c r="AB1777">
        <v>0</v>
      </c>
      <c r="AC1777" t="s">
        <v>78</v>
      </c>
      <c r="AD1777">
        <v>0</v>
      </c>
      <c r="AE1777">
        <v>-1</v>
      </c>
      <c r="AF1777" t="s">
        <v>88</v>
      </c>
      <c r="AG1777" t="s">
        <v>1579</v>
      </c>
    </row>
    <row r="1778" spans="1:33" x14ac:dyDescent="0.35">
      <c r="A1778" s="18">
        <v>44326.370138888888</v>
      </c>
      <c r="B1778">
        <v>3001261</v>
      </c>
      <c r="C1778" t="s">
        <v>3419</v>
      </c>
      <c r="D1778" t="s">
        <v>3420</v>
      </c>
      <c r="E1778" s="19">
        <v>39630</v>
      </c>
      <c r="F1778" t="str">
        <f>"9780313352874"</f>
        <v>9780313352874</v>
      </c>
      <c r="G1778" t="str">
        <f>"9780313352867"</f>
        <v>9780313352867</v>
      </c>
      <c r="H1778" t="s">
        <v>3421</v>
      </c>
      <c r="I1778">
        <v>333.79</v>
      </c>
      <c r="J1778" t="s">
        <v>3422</v>
      </c>
      <c r="K1778" t="s">
        <v>73</v>
      </c>
      <c r="N1778" t="s">
        <v>74</v>
      </c>
      <c r="O1778" t="s">
        <v>75</v>
      </c>
      <c r="P1778" t="s">
        <v>74</v>
      </c>
      <c r="Q1778" t="s">
        <v>76</v>
      </c>
      <c r="R1778" t="s">
        <v>73</v>
      </c>
      <c r="S1778">
        <v>0</v>
      </c>
      <c r="W1778" s="20">
        <v>6.9444444444444444E-5</v>
      </c>
      <c r="X1778" t="s">
        <v>132</v>
      </c>
      <c r="Y1778">
        <v>1</v>
      </c>
      <c r="Z1778">
        <v>0</v>
      </c>
      <c r="AA1778" t="s">
        <v>78</v>
      </c>
      <c r="AB1778">
        <v>0</v>
      </c>
      <c r="AC1778" t="s">
        <v>78</v>
      </c>
      <c r="AD1778">
        <v>0</v>
      </c>
      <c r="AE1778">
        <v>10271266</v>
      </c>
      <c r="AF1778" t="s">
        <v>79</v>
      </c>
      <c r="AG1778" t="s">
        <v>333</v>
      </c>
    </row>
    <row r="1779" spans="1:33" x14ac:dyDescent="0.35">
      <c r="A1779" s="18">
        <v>44326.35</v>
      </c>
      <c r="B1779">
        <v>5538947</v>
      </c>
      <c r="C1779" t="s">
        <v>4122</v>
      </c>
      <c r="D1779" t="s">
        <v>127</v>
      </c>
      <c r="E1779" s="19">
        <v>43389</v>
      </c>
      <c r="F1779" t="str">
        <f>"9780429786068"</f>
        <v>9780429786068</v>
      </c>
      <c r="G1779" t="str">
        <f>"9781138723061"</f>
        <v>9781138723061</v>
      </c>
      <c r="H1779" t="s">
        <v>222</v>
      </c>
      <c r="I1779">
        <v>610.28</v>
      </c>
      <c r="J1779" t="s">
        <v>4123</v>
      </c>
      <c r="K1779" t="s">
        <v>85</v>
      </c>
      <c r="N1779" t="s">
        <v>86</v>
      </c>
      <c r="P1779" t="s">
        <v>297</v>
      </c>
      <c r="Q1779" t="s">
        <v>76</v>
      </c>
      <c r="R1779" t="s">
        <v>73</v>
      </c>
      <c r="S1779">
        <v>0</v>
      </c>
      <c r="W1779" s="20">
        <v>2.1527777777777778E-3</v>
      </c>
      <c r="X1779" t="s">
        <v>4124</v>
      </c>
      <c r="Y1779">
        <v>18</v>
      </c>
      <c r="Z1779">
        <v>0</v>
      </c>
      <c r="AA1779" t="s">
        <v>78</v>
      </c>
      <c r="AB1779">
        <v>0</v>
      </c>
      <c r="AC1779" t="s">
        <v>78</v>
      </c>
      <c r="AD1779">
        <v>0</v>
      </c>
      <c r="AE1779">
        <v>11617822</v>
      </c>
      <c r="AF1779" t="s">
        <v>79</v>
      </c>
      <c r="AG1779" t="s">
        <v>1579</v>
      </c>
    </row>
    <row r="1780" spans="1:33" x14ac:dyDescent="0.35">
      <c r="A1780" s="18">
        <v>44325.647222222222</v>
      </c>
      <c r="B1780">
        <v>5799078</v>
      </c>
      <c r="C1780" t="s">
        <v>3952</v>
      </c>
      <c r="D1780" t="s">
        <v>3953</v>
      </c>
      <c r="E1780" s="19">
        <v>43648</v>
      </c>
      <c r="F1780" t="str">
        <f>"9781782408093"</f>
        <v>9781782408093</v>
      </c>
      <c r="G1780" t="str">
        <f>"9781782407676"</f>
        <v>9781782407676</v>
      </c>
      <c r="H1780" t="s">
        <v>738</v>
      </c>
      <c r="I1780">
        <v>158.13</v>
      </c>
      <c r="J1780" t="s">
        <v>3954</v>
      </c>
      <c r="K1780" t="s">
        <v>85</v>
      </c>
      <c r="Q1780" t="s">
        <v>76</v>
      </c>
      <c r="R1780" t="s">
        <v>73</v>
      </c>
      <c r="S1780">
        <v>0</v>
      </c>
      <c r="W1780" s="20">
        <v>4.6296296296296293E-4</v>
      </c>
      <c r="X1780" t="s">
        <v>4125</v>
      </c>
      <c r="Y1780">
        <v>8</v>
      </c>
      <c r="Z1780">
        <v>0</v>
      </c>
      <c r="AA1780" t="s">
        <v>78</v>
      </c>
      <c r="AB1780">
        <v>0</v>
      </c>
      <c r="AC1780" t="s">
        <v>78</v>
      </c>
      <c r="AD1780">
        <v>0</v>
      </c>
      <c r="AE1780">
        <v>-1</v>
      </c>
      <c r="AF1780" t="s">
        <v>88</v>
      </c>
      <c r="AG1780" t="s">
        <v>1579</v>
      </c>
    </row>
    <row r="1781" spans="1:33" x14ac:dyDescent="0.35">
      <c r="A1781" s="18">
        <v>44325.617361111108</v>
      </c>
      <c r="B1781">
        <v>3115504</v>
      </c>
      <c r="C1781" t="s">
        <v>4126</v>
      </c>
      <c r="D1781" t="s">
        <v>346</v>
      </c>
      <c r="E1781" s="19">
        <v>39083</v>
      </c>
      <c r="F1781" t="str">
        <f>"9780784472064"</f>
        <v>9780784472064</v>
      </c>
      <c r="G1781" t="str">
        <f>"9780784409404"</f>
        <v>9780784409404</v>
      </c>
      <c r="H1781" t="s">
        <v>97</v>
      </c>
      <c r="J1781" t="s">
        <v>4127</v>
      </c>
      <c r="K1781" t="s">
        <v>73</v>
      </c>
      <c r="N1781" t="s">
        <v>74</v>
      </c>
      <c r="O1781" t="s">
        <v>75</v>
      </c>
      <c r="P1781" t="s">
        <v>74</v>
      </c>
      <c r="Q1781" t="s">
        <v>76</v>
      </c>
      <c r="R1781" t="s">
        <v>73</v>
      </c>
      <c r="S1781">
        <v>0</v>
      </c>
      <c r="W1781" s="20">
        <v>1.9675925925925926E-4</v>
      </c>
      <c r="X1781" t="s">
        <v>132</v>
      </c>
      <c r="Y1781">
        <v>1</v>
      </c>
      <c r="Z1781">
        <v>0</v>
      </c>
      <c r="AA1781" t="s">
        <v>78</v>
      </c>
      <c r="AB1781">
        <v>0</v>
      </c>
      <c r="AC1781" t="s">
        <v>78</v>
      </c>
      <c r="AD1781">
        <v>0</v>
      </c>
      <c r="AE1781">
        <v>10475961</v>
      </c>
      <c r="AF1781" t="s">
        <v>79</v>
      </c>
      <c r="AG1781" t="s">
        <v>3958</v>
      </c>
    </row>
    <row r="1782" spans="1:33" x14ac:dyDescent="0.35">
      <c r="A1782" s="18">
        <v>44325.576388888891</v>
      </c>
      <c r="B1782">
        <v>6482281</v>
      </c>
      <c r="C1782" t="s">
        <v>4128</v>
      </c>
      <c r="D1782" t="s">
        <v>4129</v>
      </c>
      <c r="E1782" s="19">
        <v>44207</v>
      </c>
      <c r="F1782" t="str">
        <f>"9781647610029"</f>
        <v>9781647610029</v>
      </c>
      <c r="G1782" t="str">
        <f>"9781647610005"</f>
        <v>9781647610005</v>
      </c>
      <c r="H1782" t="s">
        <v>143</v>
      </c>
      <c r="I1782">
        <v>658.40920000000006</v>
      </c>
      <c r="J1782" t="s">
        <v>4130</v>
      </c>
      <c r="K1782" t="s">
        <v>85</v>
      </c>
      <c r="Q1782" t="s">
        <v>76</v>
      </c>
      <c r="R1782" t="s">
        <v>73</v>
      </c>
      <c r="S1782">
        <v>0</v>
      </c>
      <c r="W1782" s="20">
        <v>2.6620370370370372E-4</v>
      </c>
      <c r="X1782" t="s">
        <v>125</v>
      </c>
      <c r="Y1782">
        <v>2</v>
      </c>
      <c r="Z1782">
        <v>0</v>
      </c>
      <c r="AA1782" t="s">
        <v>78</v>
      </c>
      <c r="AB1782">
        <v>0</v>
      </c>
      <c r="AC1782" t="s">
        <v>78</v>
      </c>
      <c r="AD1782">
        <v>0</v>
      </c>
      <c r="AE1782">
        <v>-1</v>
      </c>
      <c r="AF1782" t="s">
        <v>79</v>
      </c>
      <c r="AG1782" t="s">
        <v>4131</v>
      </c>
    </row>
    <row r="1783" spans="1:33" x14ac:dyDescent="0.35">
      <c r="A1783" s="18">
        <v>44325.368750000001</v>
      </c>
      <c r="B1783">
        <v>3001261</v>
      </c>
      <c r="C1783" t="s">
        <v>3419</v>
      </c>
      <c r="D1783" t="s">
        <v>3420</v>
      </c>
      <c r="E1783" s="19">
        <v>39630</v>
      </c>
      <c r="F1783" t="str">
        <f>"9780313352874"</f>
        <v>9780313352874</v>
      </c>
      <c r="G1783" t="str">
        <f>"9780313352867"</f>
        <v>9780313352867</v>
      </c>
      <c r="H1783" t="s">
        <v>3421</v>
      </c>
      <c r="I1783">
        <v>333.79</v>
      </c>
      <c r="J1783" t="s">
        <v>3422</v>
      </c>
      <c r="K1783" t="s">
        <v>73</v>
      </c>
      <c r="N1783" t="s">
        <v>74</v>
      </c>
      <c r="O1783" t="s">
        <v>75</v>
      </c>
      <c r="P1783" t="s">
        <v>74</v>
      </c>
      <c r="Q1783" t="s">
        <v>76</v>
      </c>
      <c r="R1783" t="s">
        <v>73</v>
      </c>
      <c r="S1783">
        <v>0</v>
      </c>
      <c r="W1783" s="20">
        <v>6.9444444444444444E-5</v>
      </c>
      <c r="X1783" t="s">
        <v>132</v>
      </c>
      <c r="Y1783">
        <v>1</v>
      </c>
      <c r="Z1783">
        <v>0</v>
      </c>
      <c r="AA1783" t="s">
        <v>78</v>
      </c>
      <c r="AB1783">
        <v>0</v>
      </c>
      <c r="AC1783" t="s">
        <v>78</v>
      </c>
      <c r="AD1783">
        <v>0</v>
      </c>
      <c r="AE1783">
        <v>10271266</v>
      </c>
      <c r="AF1783" t="s">
        <v>79</v>
      </c>
      <c r="AG1783" t="s">
        <v>333</v>
      </c>
    </row>
    <row r="1784" spans="1:33" x14ac:dyDescent="0.35">
      <c r="A1784" s="18">
        <v>44324.706250000003</v>
      </c>
      <c r="B1784">
        <v>1446430</v>
      </c>
      <c r="C1784" t="s">
        <v>1649</v>
      </c>
      <c r="D1784" t="s">
        <v>127</v>
      </c>
      <c r="E1784" s="19">
        <v>40274</v>
      </c>
      <c r="F1784" t="str">
        <f>"9781439882573"</f>
        <v>9781439882573</v>
      </c>
      <c r="G1784" t="str">
        <f>"9781420085983"</f>
        <v>9781420085983</v>
      </c>
      <c r="H1784" t="s">
        <v>979</v>
      </c>
      <c r="I1784" t="s">
        <v>1650</v>
      </c>
      <c r="J1784" t="s">
        <v>1651</v>
      </c>
      <c r="K1784" t="s">
        <v>73</v>
      </c>
      <c r="N1784" t="s">
        <v>74</v>
      </c>
      <c r="O1784" t="s">
        <v>75</v>
      </c>
      <c r="P1784" t="s">
        <v>74</v>
      </c>
      <c r="Q1784" t="s">
        <v>76</v>
      </c>
      <c r="R1784" t="s">
        <v>73</v>
      </c>
      <c r="S1784">
        <v>0</v>
      </c>
      <c r="W1784" s="20">
        <v>0</v>
      </c>
      <c r="X1784" t="s">
        <v>78</v>
      </c>
      <c r="Y1784">
        <v>0</v>
      </c>
      <c r="Z1784">
        <v>0</v>
      </c>
      <c r="AA1784" t="s">
        <v>78</v>
      </c>
      <c r="AB1784">
        <v>0</v>
      </c>
      <c r="AC1784" t="s">
        <v>78</v>
      </c>
      <c r="AD1784">
        <v>0</v>
      </c>
      <c r="AE1784">
        <v>11166018</v>
      </c>
      <c r="AF1784" t="s">
        <v>79</v>
      </c>
      <c r="AG1784" t="s">
        <v>4132</v>
      </c>
    </row>
    <row r="1785" spans="1:33" x14ac:dyDescent="0.35">
      <c r="A1785" s="18">
        <v>44324.45208333333</v>
      </c>
      <c r="B1785">
        <v>4179791</v>
      </c>
      <c r="C1785" t="s">
        <v>4048</v>
      </c>
      <c r="D1785" t="s">
        <v>390</v>
      </c>
      <c r="E1785" s="19">
        <v>42335</v>
      </c>
      <c r="F1785" t="str">
        <f>"9783110445749"</f>
        <v>9783110445749</v>
      </c>
      <c r="G1785" t="str">
        <f>"9783110445282"</f>
        <v>9783110445282</v>
      </c>
      <c r="H1785" t="s">
        <v>222</v>
      </c>
      <c r="I1785" t="s">
        <v>3829</v>
      </c>
      <c r="J1785" t="s">
        <v>4049</v>
      </c>
      <c r="K1785" t="s">
        <v>73</v>
      </c>
      <c r="N1785" t="s">
        <v>74</v>
      </c>
      <c r="O1785" t="s">
        <v>75</v>
      </c>
      <c r="P1785" t="s">
        <v>74</v>
      </c>
      <c r="Q1785" t="s">
        <v>76</v>
      </c>
      <c r="R1785" t="s">
        <v>73</v>
      </c>
      <c r="S1785">
        <v>0</v>
      </c>
      <c r="W1785" s="20">
        <v>4.6296296296296294E-5</v>
      </c>
      <c r="X1785" t="s">
        <v>132</v>
      </c>
      <c r="Y1785">
        <v>1</v>
      </c>
      <c r="Z1785">
        <v>0</v>
      </c>
      <c r="AA1785" t="s">
        <v>78</v>
      </c>
      <c r="AB1785">
        <v>0</v>
      </c>
      <c r="AC1785" t="s">
        <v>78</v>
      </c>
      <c r="AD1785">
        <v>0</v>
      </c>
      <c r="AE1785">
        <v>11123911</v>
      </c>
      <c r="AF1785" t="s">
        <v>79</v>
      </c>
      <c r="AG1785" t="s">
        <v>4133</v>
      </c>
    </row>
    <row r="1786" spans="1:33" x14ac:dyDescent="0.35">
      <c r="A1786" s="18">
        <v>44324.104166666664</v>
      </c>
      <c r="B1786">
        <v>4179791</v>
      </c>
      <c r="C1786" t="s">
        <v>4048</v>
      </c>
      <c r="D1786" t="s">
        <v>390</v>
      </c>
      <c r="E1786" s="19">
        <v>42335</v>
      </c>
      <c r="F1786" t="str">
        <f>"9783110445749"</f>
        <v>9783110445749</v>
      </c>
      <c r="G1786" t="str">
        <f>"9783110445282"</f>
        <v>9783110445282</v>
      </c>
      <c r="H1786" t="s">
        <v>222</v>
      </c>
      <c r="I1786" t="s">
        <v>3829</v>
      </c>
      <c r="J1786" t="s">
        <v>4049</v>
      </c>
      <c r="K1786" t="s">
        <v>73</v>
      </c>
      <c r="N1786" t="s">
        <v>74</v>
      </c>
      <c r="O1786" t="s">
        <v>75</v>
      </c>
      <c r="P1786" t="s">
        <v>74</v>
      </c>
      <c r="Q1786" t="s">
        <v>76</v>
      </c>
      <c r="R1786" t="s">
        <v>73</v>
      </c>
      <c r="S1786">
        <v>0</v>
      </c>
      <c r="W1786" s="20">
        <v>4.8726851851851856E-3</v>
      </c>
      <c r="X1786" t="s">
        <v>4134</v>
      </c>
      <c r="Y1786">
        <v>12</v>
      </c>
      <c r="Z1786">
        <v>0</v>
      </c>
      <c r="AA1786" t="s">
        <v>78</v>
      </c>
      <c r="AB1786">
        <v>0</v>
      </c>
      <c r="AC1786" t="s">
        <v>78</v>
      </c>
      <c r="AD1786">
        <v>0</v>
      </c>
      <c r="AE1786">
        <v>11123911</v>
      </c>
      <c r="AF1786" t="s">
        <v>79</v>
      </c>
      <c r="AG1786" t="s">
        <v>4133</v>
      </c>
    </row>
    <row r="1787" spans="1:33" x14ac:dyDescent="0.35">
      <c r="A1787" s="18">
        <v>44323.97152777778</v>
      </c>
      <c r="B1787">
        <v>3001261</v>
      </c>
      <c r="C1787" t="s">
        <v>3419</v>
      </c>
      <c r="D1787" t="s">
        <v>3420</v>
      </c>
      <c r="E1787" s="19">
        <v>39630</v>
      </c>
      <c r="F1787" t="str">
        <f>"9780313352874"</f>
        <v>9780313352874</v>
      </c>
      <c r="G1787" t="str">
        <f>"9780313352867"</f>
        <v>9780313352867</v>
      </c>
      <c r="H1787" t="s">
        <v>3421</v>
      </c>
      <c r="I1787">
        <v>333.79</v>
      </c>
      <c r="J1787" t="s">
        <v>3422</v>
      </c>
      <c r="K1787" t="s">
        <v>73</v>
      </c>
      <c r="N1787" t="s">
        <v>74</v>
      </c>
      <c r="O1787" t="s">
        <v>75</v>
      </c>
      <c r="P1787" t="s">
        <v>74</v>
      </c>
      <c r="Q1787" t="s">
        <v>76</v>
      </c>
      <c r="R1787" t="s">
        <v>73</v>
      </c>
      <c r="S1787">
        <v>0</v>
      </c>
      <c r="W1787" s="20">
        <v>9.2592592592592588E-5</v>
      </c>
      <c r="X1787" t="s">
        <v>249</v>
      </c>
      <c r="Y1787">
        <v>2</v>
      </c>
      <c r="Z1787">
        <v>0</v>
      </c>
      <c r="AA1787" t="s">
        <v>78</v>
      </c>
      <c r="AB1787">
        <v>0</v>
      </c>
      <c r="AC1787" t="s">
        <v>78</v>
      </c>
      <c r="AD1787">
        <v>0</v>
      </c>
      <c r="AE1787">
        <v>10271266</v>
      </c>
      <c r="AF1787" t="s">
        <v>79</v>
      </c>
      <c r="AG1787" t="s">
        <v>333</v>
      </c>
    </row>
    <row r="1788" spans="1:33" x14ac:dyDescent="0.35">
      <c r="A1788" s="18">
        <v>44323.931944444441</v>
      </c>
      <c r="B1788">
        <v>3001261</v>
      </c>
      <c r="C1788" t="s">
        <v>3419</v>
      </c>
      <c r="D1788" t="s">
        <v>3420</v>
      </c>
      <c r="E1788" s="19">
        <v>39630</v>
      </c>
      <c r="F1788" t="str">
        <f>"9780313352874"</f>
        <v>9780313352874</v>
      </c>
      <c r="G1788" t="str">
        <f>"9780313352867"</f>
        <v>9780313352867</v>
      </c>
      <c r="H1788" t="s">
        <v>3421</v>
      </c>
      <c r="I1788">
        <v>333.79</v>
      </c>
      <c r="J1788" t="s">
        <v>3422</v>
      </c>
      <c r="K1788" t="s">
        <v>73</v>
      </c>
      <c r="N1788" t="s">
        <v>74</v>
      </c>
      <c r="O1788" t="s">
        <v>75</v>
      </c>
      <c r="P1788" t="s">
        <v>74</v>
      </c>
      <c r="Q1788" t="s">
        <v>76</v>
      </c>
      <c r="R1788" t="s">
        <v>73</v>
      </c>
      <c r="S1788">
        <v>0</v>
      </c>
      <c r="W1788" s="20">
        <v>6.9444444444444444E-5</v>
      </c>
      <c r="X1788" t="s">
        <v>132</v>
      </c>
      <c r="Y1788">
        <v>1</v>
      </c>
      <c r="Z1788">
        <v>0</v>
      </c>
      <c r="AA1788" t="s">
        <v>78</v>
      </c>
      <c r="AB1788">
        <v>0</v>
      </c>
      <c r="AC1788" t="s">
        <v>78</v>
      </c>
      <c r="AD1788">
        <v>0</v>
      </c>
      <c r="AE1788">
        <v>10271266</v>
      </c>
      <c r="AF1788" t="s">
        <v>79</v>
      </c>
      <c r="AG1788" t="s">
        <v>333</v>
      </c>
    </row>
    <row r="1789" spans="1:33" x14ac:dyDescent="0.35">
      <c r="A1789" s="18">
        <v>44323.927777777775</v>
      </c>
      <c r="B1789">
        <v>3116972</v>
      </c>
      <c r="C1789" t="s">
        <v>4135</v>
      </c>
      <c r="D1789" t="s">
        <v>3406</v>
      </c>
      <c r="E1789" s="19">
        <v>34394</v>
      </c>
      <c r="F1789" t="str">
        <f>""</f>
        <v/>
      </c>
      <c r="G1789" t="str">
        <f>"9781560522638"</f>
        <v>9781560522638</v>
      </c>
      <c r="H1789" t="s">
        <v>4136</v>
      </c>
      <c r="I1789">
        <v>0</v>
      </c>
      <c r="J1789" t="s">
        <v>4137</v>
      </c>
      <c r="K1789" t="s">
        <v>73</v>
      </c>
      <c r="N1789" t="s">
        <v>74</v>
      </c>
      <c r="O1789" t="s">
        <v>75</v>
      </c>
      <c r="P1789" t="s">
        <v>74</v>
      </c>
      <c r="Q1789" t="s">
        <v>76</v>
      </c>
      <c r="R1789" t="s">
        <v>73</v>
      </c>
      <c r="S1789">
        <v>1</v>
      </c>
      <c r="W1789" s="20">
        <v>0</v>
      </c>
      <c r="X1789" t="s">
        <v>78</v>
      </c>
      <c r="Y1789">
        <v>0</v>
      </c>
      <c r="Z1789">
        <v>0</v>
      </c>
      <c r="AA1789" t="s">
        <v>78</v>
      </c>
      <c r="AB1789">
        <v>0</v>
      </c>
      <c r="AC1789" t="s">
        <v>78</v>
      </c>
      <c r="AD1789">
        <v>0</v>
      </c>
      <c r="AE1789">
        <v>10058889</v>
      </c>
      <c r="AF1789" t="s">
        <v>88</v>
      </c>
      <c r="AG1789" t="s">
        <v>1579</v>
      </c>
    </row>
    <row r="1790" spans="1:33" x14ac:dyDescent="0.35">
      <c r="A1790" s="18">
        <v>44323.902777777781</v>
      </c>
      <c r="B1790">
        <v>3339142</v>
      </c>
      <c r="C1790" t="s">
        <v>1890</v>
      </c>
      <c r="D1790" t="s">
        <v>300</v>
      </c>
      <c r="E1790" s="19">
        <v>40025</v>
      </c>
      <c r="F1790" t="str">
        <f>"9780262270830"</f>
        <v>9780262270830</v>
      </c>
      <c r="G1790" t="str">
        <f>"9780262533058"</f>
        <v>9780262533058</v>
      </c>
      <c r="H1790" t="s">
        <v>110</v>
      </c>
      <c r="I1790">
        <v>5.0999999999999996</v>
      </c>
      <c r="J1790" t="s">
        <v>1891</v>
      </c>
      <c r="K1790" t="s">
        <v>73</v>
      </c>
      <c r="N1790" t="s">
        <v>74</v>
      </c>
      <c r="O1790" t="s">
        <v>75</v>
      </c>
      <c r="P1790" t="s">
        <v>74</v>
      </c>
      <c r="Q1790" t="s">
        <v>76</v>
      </c>
      <c r="R1790" t="s">
        <v>73</v>
      </c>
      <c r="S1790">
        <v>0</v>
      </c>
      <c r="W1790" s="20">
        <v>4.6296296296296294E-5</v>
      </c>
      <c r="X1790" t="s">
        <v>132</v>
      </c>
      <c r="Y1790">
        <v>1</v>
      </c>
      <c r="Z1790">
        <v>0</v>
      </c>
      <c r="AA1790" t="s">
        <v>78</v>
      </c>
      <c r="AB1790">
        <v>0</v>
      </c>
      <c r="AC1790" t="s">
        <v>78</v>
      </c>
      <c r="AD1790">
        <v>0</v>
      </c>
      <c r="AE1790">
        <v>10397652</v>
      </c>
      <c r="AF1790" t="s">
        <v>88</v>
      </c>
      <c r="AG1790" t="s">
        <v>1579</v>
      </c>
    </row>
    <row r="1791" spans="1:33" x14ac:dyDescent="0.35">
      <c r="A1791" s="18">
        <v>44323.902083333334</v>
      </c>
      <c r="B1791">
        <v>583642</v>
      </c>
      <c r="C1791" t="s">
        <v>2337</v>
      </c>
      <c r="D1791" t="s">
        <v>205</v>
      </c>
      <c r="E1791" s="19">
        <v>40210</v>
      </c>
      <c r="F1791" t="str">
        <f>"9781596930902"</f>
        <v>9781596930902</v>
      </c>
      <c r="G1791" t="str">
        <f>"9781596930896"</f>
        <v>9781596930896</v>
      </c>
      <c r="H1791" t="s">
        <v>2338</v>
      </c>
      <c r="I1791">
        <v>621.38482999999997</v>
      </c>
      <c r="J1791" t="s">
        <v>2339</v>
      </c>
      <c r="K1791" t="s">
        <v>73</v>
      </c>
      <c r="N1791" t="s">
        <v>74</v>
      </c>
      <c r="O1791" t="s">
        <v>75</v>
      </c>
      <c r="P1791" t="s">
        <v>74</v>
      </c>
      <c r="Q1791" t="s">
        <v>76</v>
      </c>
      <c r="R1791" t="s">
        <v>73</v>
      </c>
      <c r="S1791">
        <v>0</v>
      </c>
      <c r="W1791" s="20">
        <v>5.7870370370370366E-5</v>
      </c>
      <c r="X1791" t="s">
        <v>132</v>
      </c>
      <c r="Y1791">
        <v>1</v>
      </c>
      <c r="Z1791">
        <v>0</v>
      </c>
      <c r="AA1791" t="s">
        <v>78</v>
      </c>
      <c r="AB1791">
        <v>0</v>
      </c>
      <c r="AC1791" t="s">
        <v>78</v>
      </c>
      <c r="AD1791">
        <v>0</v>
      </c>
      <c r="AE1791">
        <v>10393271</v>
      </c>
      <c r="AF1791" t="s">
        <v>79</v>
      </c>
      <c r="AG1791" t="s">
        <v>1579</v>
      </c>
    </row>
    <row r="1792" spans="1:33" x14ac:dyDescent="0.35">
      <c r="A1792" s="18">
        <v>44323.345833333333</v>
      </c>
      <c r="B1792">
        <v>3001261</v>
      </c>
      <c r="C1792" t="s">
        <v>3419</v>
      </c>
      <c r="D1792" t="s">
        <v>3420</v>
      </c>
      <c r="E1792" s="19">
        <v>39630</v>
      </c>
      <c r="F1792" t="str">
        <f>"9780313352874"</f>
        <v>9780313352874</v>
      </c>
      <c r="G1792" t="str">
        <f>"9780313352867"</f>
        <v>9780313352867</v>
      </c>
      <c r="H1792" t="s">
        <v>3421</v>
      </c>
      <c r="I1792">
        <v>333.79</v>
      </c>
      <c r="J1792" t="s">
        <v>3422</v>
      </c>
      <c r="K1792" t="s">
        <v>73</v>
      </c>
      <c r="N1792" t="s">
        <v>74</v>
      </c>
      <c r="O1792" t="s">
        <v>75</v>
      </c>
      <c r="P1792" t="s">
        <v>74</v>
      </c>
      <c r="Q1792" t="s">
        <v>76</v>
      </c>
      <c r="R1792" t="s">
        <v>73</v>
      </c>
      <c r="S1792">
        <v>0</v>
      </c>
      <c r="W1792" s="20">
        <v>4.6296296296296294E-5</v>
      </c>
      <c r="X1792" t="s">
        <v>132</v>
      </c>
      <c r="Y1792">
        <v>1</v>
      </c>
      <c r="Z1792">
        <v>0</v>
      </c>
      <c r="AA1792" t="s">
        <v>78</v>
      </c>
      <c r="AB1792">
        <v>0</v>
      </c>
      <c r="AC1792" t="s">
        <v>78</v>
      </c>
      <c r="AD1792">
        <v>0</v>
      </c>
      <c r="AE1792">
        <v>10271266</v>
      </c>
      <c r="AF1792" t="s">
        <v>79</v>
      </c>
      <c r="AG1792" t="s">
        <v>333</v>
      </c>
    </row>
    <row r="1793" spans="1:33" x14ac:dyDescent="0.35">
      <c r="A1793" s="18">
        <v>44323.063888888886</v>
      </c>
      <c r="B1793">
        <v>3339142</v>
      </c>
      <c r="C1793" t="s">
        <v>1890</v>
      </c>
      <c r="D1793" t="s">
        <v>300</v>
      </c>
      <c r="E1793" s="19">
        <v>40025</v>
      </c>
      <c r="F1793" t="str">
        <f>"9780262270830"</f>
        <v>9780262270830</v>
      </c>
      <c r="G1793" t="str">
        <f>"9780262533058"</f>
        <v>9780262533058</v>
      </c>
      <c r="H1793" t="s">
        <v>110</v>
      </c>
      <c r="I1793">
        <v>5.0999999999999996</v>
      </c>
      <c r="J1793" t="s">
        <v>1891</v>
      </c>
      <c r="K1793" t="s">
        <v>73</v>
      </c>
      <c r="N1793" t="s">
        <v>74</v>
      </c>
      <c r="O1793" t="s">
        <v>75</v>
      </c>
      <c r="P1793" t="s">
        <v>74</v>
      </c>
      <c r="Q1793" t="s">
        <v>76</v>
      </c>
      <c r="R1793" t="s">
        <v>73</v>
      </c>
      <c r="S1793">
        <v>0</v>
      </c>
      <c r="W1793" s="20">
        <v>9.0046296296296298E-3</v>
      </c>
      <c r="X1793" t="s">
        <v>4138</v>
      </c>
      <c r="Y1793">
        <v>22</v>
      </c>
      <c r="Z1793">
        <v>0</v>
      </c>
      <c r="AA1793" t="s">
        <v>78</v>
      </c>
      <c r="AB1793">
        <v>0</v>
      </c>
      <c r="AC1793" t="s">
        <v>78</v>
      </c>
      <c r="AD1793">
        <v>0</v>
      </c>
      <c r="AE1793">
        <v>10397652</v>
      </c>
      <c r="AF1793" t="s">
        <v>88</v>
      </c>
      <c r="AG1793" t="s">
        <v>1579</v>
      </c>
    </row>
    <row r="1794" spans="1:33" x14ac:dyDescent="0.35">
      <c r="A1794" s="18">
        <v>44323.063194444447</v>
      </c>
      <c r="B1794">
        <v>583642</v>
      </c>
      <c r="C1794" t="s">
        <v>2337</v>
      </c>
      <c r="D1794" t="s">
        <v>205</v>
      </c>
      <c r="E1794" s="19">
        <v>40210</v>
      </c>
      <c r="F1794" t="str">
        <f>"9781596930902"</f>
        <v>9781596930902</v>
      </c>
      <c r="G1794" t="str">
        <f>"9781596930896"</f>
        <v>9781596930896</v>
      </c>
      <c r="H1794" t="s">
        <v>2338</v>
      </c>
      <c r="I1794">
        <v>621.38482999999997</v>
      </c>
      <c r="J1794" t="s">
        <v>2339</v>
      </c>
      <c r="K1794" t="s">
        <v>73</v>
      </c>
      <c r="N1794" t="s">
        <v>74</v>
      </c>
      <c r="O1794" t="s">
        <v>75</v>
      </c>
      <c r="P1794" t="s">
        <v>74</v>
      </c>
      <c r="Q1794" t="s">
        <v>76</v>
      </c>
      <c r="R1794" t="s">
        <v>73</v>
      </c>
      <c r="S1794">
        <v>0</v>
      </c>
      <c r="W1794" s="20">
        <v>4.6296296296296294E-5</v>
      </c>
      <c r="X1794" t="s">
        <v>132</v>
      </c>
      <c r="Y1794">
        <v>1</v>
      </c>
      <c r="Z1794">
        <v>0</v>
      </c>
      <c r="AA1794" t="s">
        <v>78</v>
      </c>
      <c r="AB1794">
        <v>0</v>
      </c>
      <c r="AC1794" t="s">
        <v>78</v>
      </c>
      <c r="AD1794">
        <v>0</v>
      </c>
      <c r="AE1794">
        <v>10393271</v>
      </c>
      <c r="AF1794" t="s">
        <v>79</v>
      </c>
      <c r="AG1794" t="s">
        <v>1579</v>
      </c>
    </row>
    <row r="1795" spans="1:33" x14ac:dyDescent="0.35">
      <c r="A1795" s="18">
        <v>44323.041666666664</v>
      </c>
      <c r="B1795">
        <v>4179791</v>
      </c>
      <c r="C1795" t="s">
        <v>4048</v>
      </c>
      <c r="D1795" t="s">
        <v>390</v>
      </c>
      <c r="E1795" s="19">
        <v>42335</v>
      </c>
      <c r="F1795" t="str">
        <f>"9783110445749"</f>
        <v>9783110445749</v>
      </c>
      <c r="G1795" t="str">
        <f>"9783110445282"</f>
        <v>9783110445282</v>
      </c>
      <c r="H1795" t="s">
        <v>222</v>
      </c>
      <c r="I1795" t="s">
        <v>3829</v>
      </c>
      <c r="J1795" t="s">
        <v>4049</v>
      </c>
      <c r="K1795" t="s">
        <v>73</v>
      </c>
      <c r="N1795" t="s">
        <v>74</v>
      </c>
      <c r="O1795" t="s">
        <v>75</v>
      </c>
      <c r="P1795" t="s">
        <v>74</v>
      </c>
      <c r="Q1795" t="s">
        <v>76</v>
      </c>
      <c r="R1795" t="s">
        <v>73</v>
      </c>
      <c r="S1795">
        <v>0</v>
      </c>
      <c r="W1795" s="20">
        <v>9.780092592592592E-3</v>
      </c>
      <c r="X1795" t="s">
        <v>4139</v>
      </c>
      <c r="Y1795">
        <v>30</v>
      </c>
      <c r="Z1795">
        <v>0</v>
      </c>
      <c r="AA1795" t="s">
        <v>78</v>
      </c>
      <c r="AB1795">
        <v>0</v>
      </c>
      <c r="AC1795" t="s">
        <v>78</v>
      </c>
      <c r="AD1795">
        <v>0</v>
      </c>
      <c r="AE1795">
        <v>11123911</v>
      </c>
      <c r="AF1795" t="s">
        <v>79</v>
      </c>
      <c r="AG1795" t="s">
        <v>4133</v>
      </c>
    </row>
    <row r="1796" spans="1:33" x14ac:dyDescent="0.35">
      <c r="A1796" s="18">
        <v>44322.905555555553</v>
      </c>
      <c r="B1796">
        <v>6236357</v>
      </c>
      <c r="C1796" t="s">
        <v>4030</v>
      </c>
      <c r="D1796" t="s">
        <v>4031</v>
      </c>
      <c r="E1796" s="19">
        <v>44008</v>
      </c>
      <c r="F1796" t="str">
        <f>"9781799839064"</f>
        <v>9781799839064</v>
      </c>
      <c r="G1796" t="str">
        <f>"9781799839040"</f>
        <v>9781799839040</v>
      </c>
      <c r="H1796" t="s">
        <v>4032</v>
      </c>
      <c r="I1796">
        <v>658.38199999999904</v>
      </c>
      <c r="J1796" t="s">
        <v>4033</v>
      </c>
      <c r="K1796" t="s">
        <v>85</v>
      </c>
      <c r="N1796" t="s">
        <v>86</v>
      </c>
      <c r="P1796" t="s">
        <v>1495</v>
      </c>
      <c r="Q1796" t="s">
        <v>76</v>
      </c>
      <c r="R1796" t="s">
        <v>85</v>
      </c>
      <c r="S1796">
        <v>2</v>
      </c>
      <c r="T1796">
        <v>1</v>
      </c>
      <c r="U1796" s="18">
        <v>44322.905555555553</v>
      </c>
      <c r="V1796" s="18">
        <v>44323.905555555553</v>
      </c>
      <c r="W1796" s="20">
        <v>0</v>
      </c>
      <c r="X1796" t="s">
        <v>78</v>
      </c>
      <c r="Y1796">
        <v>0</v>
      </c>
      <c r="Z1796">
        <v>0</v>
      </c>
      <c r="AA1796" t="s">
        <v>78</v>
      </c>
      <c r="AB1796">
        <v>0</v>
      </c>
      <c r="AC1796" t="s">
        <v>78</v>
      </c>
      <c r="AD1796">
        <v>0</v>
      </c>
      <c r="AE1796">
        <v>-1</v>
      </c>
      <c r="AF1796" t="s">
        <v>88</v>
      </c>
      <c r="AG1796" t="s">
        <v>4140</v>
      </c>
    </row>
    <row r="1797" spans="1:33" x14ac:dyDescent="0.35">
      <c r="A1797" s="18">
        <v>44322.834722222222</v>
      </c>
      <c r="B1797">
        <v>4179791</v>
      </c>
      <c r="C1797" t="s">
        <v>4048</v>
      </c>
      <c r="D1797" t="s">
        <v>390</v>
      </c>
      <c r="E1797" s="19">
        <v>42335</v>
      </c>
      <c r="F1797" t="str">
        <f>"9783110445749"</f>
        <v>9783110445749</v>
      </c>
      <c r="G1797" t="str">
        <f>"9783110445282"</f>
        <v>9783110445282</v>
      </c>
      <c r="H1797" t="s">
        <v>222</v>
      </c>
      <c r="I1797" t="s">
        <v>3829</v>
      </c>
      <c r="J1797" t="s">
        <v>4049</v>
      </c>
      <c r="K1797" t="s">
        <v>73</v>
      </c>
      <c r="N1797" t="s">
        <v>74</v>
      </c>
      <c r="O1797" t="s">
        <v>75</v>
      </c>
      <c r="P1797" t="s">
        <v>74</v>
      </c>
      <c r="Q1797" t="s">
        <v>76</v>
      </c>
      <c r="R1797" t="s">
        <v>73</v>
      </c>
      <c r="S1797">
        <v>0</v>
      </c>
      <c r="W1797" s="20">
        <v>9.5601851851851855E-3</v>
      </c>
      <c r="X1797" t="s">
        <v>4141</v>
      </c>
      <c r="Y1797">
        <v>6</v>
      </c>
      <c r="Z1797">
        <v>0</v>
      </c>
      <c r="AA1797" t="s">
        <v>78</v>
      </c>
      <c r="AB1797">
        <v>0</v>
      </c>
      <c r="AC1797" t="s">
        <v>78</v>
      </c>
      <c r="AD1797">
        <v>0</v>
      </c>
      <c r="AE1797">
        <v>11123911</v>
      </c>
      <c r="AF1797" t="s">
        <v>79</v>
      </c>
      <c r="AG1797" t="s">
        <v>4133</v>
      </c>
    </row>
    <row r="1798" spans="1:33" x14ac:dyDescent="0.35">
      <c r="A1798" s="18">
        <v>44322.484722222223</v>
      </c>
      <c r="B1798">
        <v>625062</v>
      </c>
      <c r="C1798" t="s">
        <v>4142</v>
      </c>
      <c r="D1798" t="s">
        <v>2588</v>
      </c>
      <c r="E1798" s="19">
        <v>40452</v>
      </c>
      <c r="F1798" t="str">
        <f>"9781550924596"</f>
        <v>9781550924596</v>
      </c>
      <c r="G1798" t="str">
        <f>"9780865716773"</f>
        <v>9780865716773</v>
      </c>
      <c r="H1798" t="s">
        <v>159</v>
      </c>
      <c r="I1798">
        <v>662.74</v>
      </c>
      <c r="J1798" t="s">
        <v>4143</v>
      </c>
      <c r="K1798" t="s">
        <v>73</v>
      </c>
      <c r="N1798" t="s">
        <v>74</v>
      </c>
      <c r="O1798" t="s">
        <v>75</v>
      </c>
      <c r="P1798" t="s">
        <v>74</v>
      </c>
      <c r="Q1798" t="s">
        <v>76</v>
      </c>
      <c r="R1798" t="s">
        <v>73</v>
      </c>
      <c r="S1798">
        <v>0</v>
      </c>
      <c r="W1798" s="20">
        <v>3.8657407407407408E-3</v>
      </c>
      <c r="X1798" t="s">
        <v>4144</v>
      </c>
      <c r="Y1798">
        <v>15</v>
      </c>
      <c r="Z1798">
        <v>0</v>
      </c>
      <c r="AA1798" t="s">
        <v>78</v>
      </c>
      <c r="AB1798">
        <v>0</v>
      </c>
      <c r="AC1798" t="s">
        <v>78</v>
      </c>
      <c r="AD1798">
        <v>0</v>
      </c>
      <c r="AE1798">
        <v>10437733</v>
      </c>
      <c r="AF1798" t="s">
        <v>79</v>
      </c>
      <c r="AG1798" t="s">
        <v>1579</v>
      </c>
    </row>
    <row r="1799" spans="1:33" x14ac:dyDescent="0.35">
      <c r="A1799" s="18">
        <v>44322.322222222225</v>
      </c>
      <c r="B1799">
        <v>3001261</v>
      </c>
      <c r="C1799" t="s">
        <v>3419</v>
      </c>
      <c r="D1799" t="s">
        <v>3420</v>
      </c>
      <c r="E1799" s="19">
        <v>39630</v>
      </c>
      <c r="F1799" t="str">
        <f>"9780313352874"</f>
        <v>9780313352874</v>
      </c>
      <c r="G1799" t="str">
        <f>"9780313352867"</f>
        <v>9780313352867</v>
      </c>
      <c r="H1799" t="s">
        <v>3421</v>
      </c>
      <c r="I1799">
        <v>333.79</v>
      </c>
      <c r="J1799" t="s">
        <v>3422</v>
      </c>
      <c r="K1799" t="s">
        <v>73</v>
      </c>
      <c r="N1799" t="s">
        <v>74</v>
      </c>
      <c r="O1799" t="s">
        <v>75</v>
      </c>
      <c r="P1799" t="s">
        <v>74</v>
      </c>
      <c r="Q1799" t="s">
        <v>76</v>
      </c>
      <c r="R1799" t="s">
        <v>73</v>
      </c>
      <c r="S1799">
        <v>0</v>
      </c>
      <c r="W1799" s="20">
        <v>4.6296296296296294E-5</v>
      </c>
      <c r="X1799" t="s">
        <v>132</v>
      </c>
      <c r="Y1799">
        <v>1</v>
      </c>
      <c r="Z1799">
        <v>0</v>
      </c>
      <c r="AA1799" t="s">
        <v>78</v>
      </c>
      <c r="AB1799">
        <v>0</v>
      </c>
      <c r="AC1799" t="s">
        <v>78</v>
      </c>
      <c r="AD1799">
        <v>0</v>
      </c>
      <c r="AE1799">
        <v>10271266</v>
      </c>
      <c r="AF1799" t="s">
        <v>79</v>
      </c>
      <c r="AG1799" t="s">
        <v>333</v>
      </c>
    </row>
    <row r="1800" spans="1:33" x14ac:dyDescent="0.35">
      <c r="A1800" s="18">
        <v>44322.197222222225</v>
      </c>
      <c r="B1800">
        <v>5214707</v>
      </c>
      <c r="C1800" t="s">
        <v>4145</v>
      </c>
      <c r="D1800" t="s">
        <v>200</v>
      </c>
      <c r="E1800" s="19">
        <v>43115</v>
      </c>
      <c r="F1800" t="str">
        <f>"9789811065804"</f>
        <v>9789811065804</v>
      </c>
      <c r="G1800" t="str">
        <f>"9789811065798"</f>
        <v>9789811065798</v>
      </c>
      <c r="H1800" t="s">
        <v>222</v>
      </c>
      <c r="I1800">
        <v>616.85270000000003</v>
      </c>
      <c r="J1800" t="s">
        <v>370</v>
      </c>
      <c r="K1800" t="s">
        <v>85</v>
      </c>
      <c r="N1800" t="s">
        <v>86</v>
      </c>
      <c r="P1800" t="s">
        <v>297</v>
      </c>
      <c r="Q1800" t="s">
        <v>76</v>
      </c>
      <c r="R1800" t="s">
        <v>73</v>
      </c>
      <c r="S1800">
        <v>0</v>
      </c>
      <c r="W1800" s="20">
        <v>6.875E-3</v>
      </c>
      <c r="X1800" t="s">
        <v>1021</v>
      </c>
      <c r="Y1800">
        <v>5</v>
      </c>
      <c r="Z1800">
        <v>0</v>
      </c>
      <c r="AA1800" t="s">
        <v>78</v>
      </c>
      <c r="AB1800">
        <v>0</v>
      </c>
      <c r="AC1800" t="s">
        <v>78</v>
      </c>
      <c r="AD1800">
        <v>0</v>
      </c>
      <c r="AE1800">
        <v>11494330</v>
      </c>
      <c r="AF1800" t="s">
        <v>79</v>
      </c>
      <c r="AG1800" t="s">
        <v>4146</v>
      </c>
    </row>
    <row r="1801" spans="1:33" x14ac:dyDescent="0.35">
      <c r="A1801" s="18">
        <v>44322.15902777778</v>
      </c>
      <c r="B1801">
        <v>3442358</v>
      </c>
      <c r="C1801" t="s">
        <v>4147</v>
      </c>
      <c r="D1801" t="s">
        <v>2162</v>
      </c>
      <c r="E1801" s="19">
        <v>39869</v>
      </c>
      <c r="F1801" t="str">
        <f>"9780812290882"</f>
        <v>9780812290882</v>
      </c>
      <c r="G1801" t="str">
        <f>"9780812219647"</f>
        <v>9780812219647</v>
      </c>
      <c r="H1801" t="s">
        <v>584</v>
      </c>
      <c r="I1801" t="s">
        <v>4148</v>
      </c>
      <c r="J1801" t="s">
        <v>4149</v>
      </c>
      <c r="K1801" t="s">
        <v>73</v>
      </c>
      <c r="N1801" t="s">
        <v>74</v>
      </c>
      <c r="O1801" t="s">
        <v>75</v>
      </c>
      <c r="P1801" t="s">
        <v>74</v>
      </c>
      <c r="Q1801" t="s">
        <v>76</v>
      </c>
      <c r="R1801" t="s">
        <v>73</v>
      </c>
      <c r="S1801">
        <v>0</v>
      </c>
      <c r="W1801" s="20">
        <v>3.2060185185185191E-3</v>
      </c>
      <c r="X1801" t="s">
        <v>4150</v>
      </c>
      <c r="Y1801">
        <v>19</v>
      </c>
      <c r="Z1801">
        <v>0</v>
      </c>
      <c r="AA1801" t="s">
        <v>78</v>
      </c>
      <c r="AB1801">
        <v>0</v>
      </c>
      <c r="AC1801" t="s">
        <v>78</v>
      </c>
      <c r="AD1801">
        <v>0</v>
      </c>
      <c r="AE1801">
        <v>10855972</v>
      </c>
      <c r="AF1801" t="s">
        <v>79</v>
      </c>
      <c r="AG1801" t="s">
        <v>4146</v>
      </c>
    </row>
    <row r="1802" spans="1:33" x14ac:dyDescent="0.35">
      <c r="A1802" s="18">
        <v>44322.137499999997</v>
      </c>
      <c r="B1802">
        <v>5214707</v>
      </c>
      <c r="C1802" t="s">
        <v>4145</v>
      </c>
      <c r="D1802" t="s">
        <v>200</v>
      </c>
      <c r="E1802" s="19">
        <v>43115</v>
      </c>
      <c r="F1802" t="str">
        <f>"9789811065804"</f>
        <v>9789811065804</v>
      </c>
      <c r="G1802" t="str">
        <f>"9789811065798"</f>
        <v>9789811065798</v>
      </c>
      <c r="H1802" t="s">
        <v>222</v>
      </c>
      <c r="I1802">
        <v>616.85270000000003</v>
      </c>
      <c r="J1802" t="s">
        <v>370</v>
      </c>
      <c r="K1802" t="s">
        <v>85</v>
      </c>
      <c r="N1802" t="s">
        <v>86</v>
      </c>
      <c r="P1802" t="s">
        <v>297</v>
      </c>
      <c r="Q1802" t="s">
        <v>76</v>
      </c>
      <c r="R1802" t="s">
        <v>73</v>
      </c>
      <c r="S1802">
        <v>0</v>
      </c>
      <c r="W1802" s="20">
        <v>1.545138888888889E-2</v>
      </c>
      <c r="X1802" t="s">
        <v>4151</v>
      </c>
      <c r="Y1802">
        <v>5</v>
      </c>
      <c r="Z1802">
        <v>0</v>
      </c>
      <c r="AA1802" t="s">
        <v>78</v>
      </c>
      <c r="AB1802">
        <v>0</v>
      </c>
      <c r="AC1802" t="s">
        <v>78</v>
      </c>
      <c r="AD1802">
        <v>0</v>
      </c>
      <c r="AE1802">
        <v>11494330</v>
      </c>
      <c r="AF1802" t="s">
        <v>79</v>
      </c>
      <c r="AG1802" t="s">
        <v>4146</v>
      </c>
    </row>
    <row r="1803" spans="1:33" x14ac:dyDescent="0.35">
      <c r="A1803" s="18">
        <v>44321.872916666667</v>
      </c>
      <c r="B1803">
        <v>4405837</v>
      </c>
      <c r="C1803" t="s">
        <v>1727</v>
      </c>
      <c r="D1803" t="s">
        <v>70</v>
      </c>
      <c r="E1803" s="19">
        <v>42423</v>
      </c>
      <c r="F1803" t="str">
        <f>"9781119136774"</f>
        <v>9781119136774</v>
      </c>
      <c r="G1803" t="str">
        <f>"9781119136767"</f>
        <v>9781119136767</v>
      </c>
      <c r="H1803" t="s">
        <v>1728</v>
      </c>
      <c r="I1803">
        <v>388.31028500000002</v>
      </c>
      <c r="J1803" t="s">
        <v>1729</v>
      </c>
      <c r="K1803" t="s">
        <v>73</v>
      </c>
      <c r="N1803" t="s">
        <v>74</v>
      </c>
      <c r="O1803" t="s">
        <v>75</v>
      </c>
      <c r="P1803" t="s">
        <v>74</v>
      </c>
      <c r="Q1803" t="s">
        <v>76</v>
      </c>
      <c r="R1803" t="s">
        <v>73</v>
      </c>
      <c r="S1803">
        <v>0</v>
      </c>
      <c r="W1803" s="20">
        <v>1.2731481481481483E-3</v>
      </c>
      <c r="X1803" t="s">
        <v>4152</v>
      </c>
      <c r="Y1803">
        <v>7</v>
      </c>
      <c r="Z1803">
        <v>0</v>
      </c>
      <c r="AA1803" t="s">
        <v>78</v>
      </c>
      <c r="AB1803">
        <v>0</v>
      </c>
      <c r="AC1803" t="s">
        <v>78</v>
      </c>
      <c r="AD1803">
        <v>0</v>
      </c>
      <c r="AE1803">
        <v>11155983</v>
      </c>
      <c r="AF1803" t="s">
        <v>79</v>
      </c>
      <c r="AG1803" t="s">
        <v>4133</v>
      </c>
    </row>
    <row r="1804" spans="1:33" x14ac:dyDescent="0.35">
      <c r="A1804" s="18">
        <v>44321.868055555555</v>
      </c>
      <c r="B1804">
        <v>1120905</v>
      </c>
      <c r="C1804" t="s">
        <v>2452</v>
      </c>
      <c r="D1804" t="s">
        <v>70</v>
      </c>
      <c r="E1804" s="19">
        <v>41365</v>
      </c>
      <c r="F1804" t="str">
        <f>"9781118492208"</f>
        <v>9781118492208</v>
      </c>
      <c r="G1804" t="str">
        <f>"9781119943389"</f>
        <v>9781119943389</v>
      </c>
      <c r="H1804" t="s">
        <v>143</v>
      </c>
      <c r="I1804">
        <v>658.5</v>
      </c>
      <c r="J1804" t="s">
        <v>2453</v>
      </c>
      <c r="K1804" t="s">
        <v>73</v>
      </c>
      <c r="N1804" t="s">
        <v>74</v>
      </c>
      <c r="O1804" t="s">
        <v>75</v>
      </c>
      <c r="P1804" t="s">
        <v>74</v>
      </c>
      <c r="Q1804" t="s">
        <v>76</v>
      </c>
      <c r="R1804" t="s">
        <v>73</v>
      </c>
      <c r="S1804">
        <v>0</v>
      </c>
      <c r="W1804" s="20">
        <v>3.6111111111111114E-3</v>
      </c>
      <c r="X1804" t="s">
        <v>4153</v>
      </c>
      <c r="Y1804">
        <v>30</v>
      </c>
      <c r="Z1804">
        <v>0</v>
      </c>
      <c r="AA1804" t="s">
        <v>78</v>
      </c>
      <c r="AB1804">
        <v>0</v>
      </c>
      <c r="AC1804" t="s">
        <v>78</v>
      </c>
      <c r="AD1804">
        <v>0</v>
      </c>
      <c r="AE1804">
        <v>10657798</v>
      </c>
      <c r="AF1804" t="s">
        <v>79</v>
      </c>
      <c r="AG1804" t="s">
        <v>4133</v>
      </c>
    </row>
    <row r="1805" spans="1:33" x14ac:dyDescent="0.35">
      <c r="A1805" s="18">
        <v>44321.325694444444</v>
      </c>
      <c r="B1805">
        <v>3001261</v>
      </c>
      <c r="C1805" t="s">
        <v>3419</v>
      </c>
      <c r="D1805" t="s">
        <v>3420</v>
      </c>
      <c r="E1805" s="19">
        <v>39630</v>
      </c>
      <c r="F1805" t="str">
        <f>"9780313352874"</f>
        <v>9780313352874</v>
      </c>
      <c r="G1805" t="str">
        <f>"9780313352867"</f>
        <v>9780313352867</v>
      </c>
      <c r="H1805" t="s">
        <v>3421</v>
      </c>
      <c r="I1805">
        <v>333.79</v>
      </c>
      <c r="J1805" t="s">
        <v>3422</v>
      </c>
      <c r="K1805" t="s">
        <v>73</v>
      </c>
      <c r="N1805" t="s">
        <v>74</v>
      </c>
      <c r="O1805" t="s">
        <v>75</v>
      </c>
      <c r="P1805" t="s">
        <v>74</v>
      </c>
      <c r="Q1805" t="s">
        <v>76</v>
      </c>
      <c r="R1805" t="s">
        <v>73</v>
      </c>
      <c r="S1805">
        <v>0</v>
      </c>
      <c r="W1805" s="20">
        <v>4.6296296296296294E-5</v>
      </c>
      <c r="X1805" t="s">
        <v>132</v>
      </c>
      <c r="Y1805">
        <v>1</v>
      </c>
      <c r="Z1805">
        <v>0</v>
      </c>
      <c r="AA1805" t="s">
        <v>78</v>
      </c>
      <c r="AB1805">
        <v>0</v>
      </c>
      <c r="AC1805" t="s">
        <v>78</v>
      </c>
      <c r="AD1805">
        <v>0</v>
      </c>
      <c r="AE1805">
        <v>10271266</v>
      </c>
      <c r="AF1805" t="s">
        <v>79</v>
      </c>
      <c r="AG1805" t="s">
        <v>333</v>
      </c>
    </row>
    <row r="1806" spans="1:33" x14ac:dyDescent="0.35">
      <c r="A1806" s="18">
        <v>44321.244444444441</v>
      </c>
      <c r="B1806">
        <v>819139</v>
      </c>
      <c r="C1806" t="s">
        <v>4154</v>
      </c>
      <c r="D1806" t="s">
        <v>70</v>
      </c>
      <c r="E1806" s="19">
        <v>40161</v>
      </c>
      <c r="F1806" t="str">
        <f>"9781118164457"</f>
        <v>9781118164457</v>
      </c>
      <c r="G1806" t="str">
        <f>"9780470462720"</f>
        <v>9780470462720</v>
      </c>
      <c r="H1806" t="s">
        <v>1597</v>
      </c>
      <c r="I1806" t="s">
        <v>4155</v>
      </c>
      <c r="J1806" t="s">
        <v>4156</v>
      </c>
      <c r="K1806" t="s">
        <v>73</v>
      </c>
      <c r="N1806" t="s">
        <v>74</v>
      </c>
      <c r="O1806" t="s">
        <v>75</v>
      </c>
      <c r="P1806" t="s">
        <v>74</v>
      </c>
      <c r="Q1806" t="s">
        <v>76</v>
      </c>
      <c r="R1806" t="s">
        <v>73</v>
      </c>
      <c r="S1806">
        <v>0</v>
      </c>
      <c r="W1806" s="20">
        <v>6.0995370370370361E-3</v>
      </c>
      <c r="X1806" t="s">
        <v>4157</v>
      </c>
      <c r="Y1806">
        <v>56</v>
      </c>
      <c r="Z1806">
        <v>0</v>
      </c>
      <c r="AA1806" t="s">
        <v>78</v>
      </c>
      <c r="AB1806">
        <v>0</v>
      </c>
      <c r="AC1806" t="s">
        <v>78</v>
      </c>
      <c r="AD1806">
        <v>0</v>
      </c>
      <c r="AE1806">
        <v>10814706</v>
      </c>
      <c r="AF1806" t="s">
        <v>79</v>
      </c>
      <c r="AG1806" t="s">
        <v>4133</v>
      </c>
    </row>
    <row r="1807" spans="1:33" x14ac:dyDescent="0.35">
      <c r="A1807" s="18">
        <v>44321.240277777775</v>
      </c>
      <c r="B1807">
        <v>818939</v>
      </c>
      <c r="C1807" t="s">
        <v>4158</v>
      </c>
      <c r="D1807" t="s">
        <v>70</v>
      </c>
      <c r="E1807" s="19">
        <v>40190</v>
      </c>
      <c r="F1807" t="str">
        <f>"9781118165997"</f>
        <v>9781118165997</v>
      </c>
      <c r="G1807" t="str">
        <f>"9780470373064"</f>
        <v>9780470373064</v>
      </c>
      <c r="H1807" t="s">
        <v>4159</v>
      </c>
      <c r="I1807" t="s">
        <v>4160</v>
      </c>
      <c r="J1807" t="s">
        <v>4161</v>
      </c>
      <c r="K1807" t="s">
        <v>73</v>
      </c>
      <c r="N1807" t="s">
        <v>74</v>
      </c>
      <c r="O1807" t="s">
        <v>75</v>
      </c>
      <c r="P1807" t="s">
        <v>74</v>
      </c>
      <c r="Q1807" t="s">
        <v>76</v>
      </c>
      <c r="R1807" t="s">
        <v>73</v>
      </c>
      <c r="S1807">
        <v>0</v>
      </c>
      <c r="W1807" s="20">
        <v>2.8009259259259259E-3</v>
      </c>
      <c r="X1807" t="s">
        <v>4162</v>
      </c>
      <c r="Y1807">
        <v>27</v>
      </c>
      <c r="Z1807">
        <v>0</v>
      </c>
      <c r="AA1807" t="s">
        <v>78</v>
      </c>
      <c r="AB1807">
        <v>0</v>
      </c>
      <c r="AC1807" t="s">
        <v>78</v>
      </c>
      <c r="AD1807">
        <v>0</v>
      </c>
      <c r="AE1807">
        <v>10501264</v>
      </c>
      <c r="AF1807" t="s">
        <v>79</v>
      </c>
      <c r="AG1807" t="s">
        <v>4133</v>
      </c>
    </row>
    <row r="1808" spans="1:33" x14ac:dyDescent="0.35">
      <c r="A1808" s="18">
        <v>44321.23541666667</v>
      </c>
      <c r="B1808">
        <v>5622545</v>
      </c>
      <c r="C1808" t="s">
        <v>4163</v>
      </c>
      <c r="D1808" t="s">
        <v>369</v>
      </c>
      <c r="E1808" s="19">
        <v>43468</v>
      </c>
      <c r="F1808" t="str">
        <f>"9783030025380"</f>
        <v>9783030025380</v>
      </c>
      <c r="G1808" t="str">
        <f>"9783030025373"</f>
        <v>9783030025373</v>
      </c>
      <c r="H1808" t="s">
        <v>143</v>
      </c>
      <c r="I1808">
        <v>658.53</v>
      </c>
      <c r="J1808" t="s">
        <v>2379</v>
      </c>
      <c r="K1808" t="s">
        <v>85</v>
      </c>
      <c r="Q1808" t="s">
        <v>76</v>
      </c>
      <c r="R1808" t="s">
        <v>73</v>
      </c>
      <c r="S1808">
        <v>0</v>
      </c>
      <c r="W1808" s="20">
        <v>4.9305555555555552E-3</v>
      </c>
      <c r="X1808" t="s">
        <v>4164</v>
      </c>
      <c r="Y1808">
        <v>22</v>
      </c>
      <c r="Z1808">
        <v>0</v>
      </c>
      <c r="AA1808" t="s">
        <v>78</v>
      </c>
      <c r="AB1808">
        <v>0</v>
      </c>
      <c r="AC1808" t="s">
        <v>78</v>
      </c>
      <c r="AD1808">
        <v>0</v>
      </c>
      <c r="AE1808">
        <v>-1</v>
      </c>
      <c r="AF1808" t="s">
        <v>79</v>
      </c>
      <c r="AG1808" t="s">
        <v>4133</v>
      </c>
    </row>
    <row r="1809" spans="1:33" x14ac:dyDescent="0.35">
      <c r="A1809" s="18">
        <v>44321.232638888891</v>
      </c>
      <c r="B1809">
        <v>894081</v>
      </c>
      <c r="C1809" t="s">
        <v>4165</v>
      </c>
      <c r="D1809" t="s">
        <v>189</v>
      </c>
      <c r="E1809" s="19">
        <v>41211</v>
      </c>
      <c r="F1809" t="str">
        <f>"9783110267686"</f>
        <v>9783110267686</v>
      </c>
      <c r="G1809" t="str">
        <f>"9783110267587"</f>
        <v>9783110267587</v>
      </c>
      <c r="H1809" t="s">
        <v>115</v>
      </c>
      <c r="I1809">
        <v>519</v>
      </c>
      <c r="J1809" t="s">
        <v>4166</v>
      </c>
      <c r="K1809" t="s">
        <v>73</v>
      </c>
      <c r="N1809" t="s">
        <v>74</v>
      </c>
      <c r="O1809" t="s">
        <v>75</v>
      </c>
      <c r="P1809" t="s">
        <v>74</v>
      </c>
      <c r="Q1809" t="s">
        <v>76</v>
      </c>
      <c r="R1809" t="s">
        <v>73</v>
      </c>
      <c r="S1809">
        <v>0</v>
      </c>
      <c r="W1809" s="20">
        <v>9.3750000000000007E-4</v>
      </c>
      <c r="X1809" t="s">
        <v>4167</v>
      </c>
      <c r="Y1809">
        <v>8</v>
      </c>
      <c r="Z1809">
        <v>0</v>
      </c>
      <c r="AA1809" t="s">
        <v>78</v>
      </c>
      <c r="AB1809">
        <v>0</v>
      </c>
      <c r="AC1809" t="s">
        <v>78</v>
      </c>
      <c r="AD1809">
        <v>0</v>
      </c>
      <c r="AE1809">
        <v>10634452</v>
      </c>
      <c r="AF1809" t="s">
        <v>79</v>
      </c>
      <c r="AG1809" t="s">
        <v>4133</v>
      </c>
    </row>
    <row r="1810" spans="1:33" x14ac:dyDescent="0.35">
      <c r="A1810" s="18">
        <v>44321.228472222225</v>
      </c>
      <c r="B1810">
        <v>1679522</v>
      </c>
      <c r="C1810" t="s">
        <v>4168</v>
      </c>
      <c r="D1810" t="s">
        <v>239</v>
      </c>
      <c r="E1810" s="19">
        <v>37351</v>
      </c>
      <c r="F1810" t="str">
        <f>"9789812778215"</f>
        <v>9789812778215</v>
      </c>
      <c r="G1810" t="str">
        <f>"9789810248024"</f>
        <v>9789810248024</v>
      </c>
      <c r="H1810" t="s">
        <v>115</v>
      </c>
      <c r="I1810">
        <v>511</v>
      </c>
      <c r="J1810" t="s">
        <v>4169</v>
      </c>
      <c r="K1810" t="s">
        <v>73</v>
      </c>
      <c r="N1810" t="s">
        <v>74</v>
      </c>
      <c r="O1810" t="s">
        <v>75</v>
      </c>
      <c r="P1810" t="s">
        <v>74</v>
      </c>
      <c r="Q1810" t="s">
        <v>76</v>
      </c>
      <c r="R1810" t="s">
        <v>73</v>
      </c>
      <c r="S1810">
        <v>0</v>
      </c>
      <c r="W1810" s="20">
        <v>3.1134259259259257E-3</v>
      </c>
      <c r="X1810" t="s">
        <v>4170</v>
      </c>
      <c r="Y1810">
        <v>28</v>
      </c>
      <c r="Z1810">
        <v>0</v>
      </c>
      <c r="AA1810" t="s">
        <v>78</v>
      </c>
      <c r="AB1810">
        <v>0</v>
      </c>
      <c r="AC1810" t="s">
        <v>78</v>
      </c>
      <c r="AD1810">
        <v>0</v>
      </c>
      <c r="AE1810">
        <v>10201288</v>
      </c>
      <c r="AF1810" t="s">
        <v>79</v>
      </c>
      <c r="AG1810" t="s">
        <v>4133</v>
      </c>
    </row>
    <row r="1811" spans="1:33" x14ac:dyDescent="0.35">
      <c r="A1811" s="18">
        <v>44321.114583333336</v>
      </c>
      <c r="B1811">
        <v>1679522</v>
      </c>
      <c r="C1811" t="s">
        <v>4168</v>
      </c>
      <c r="D1811" t="s">
        <v>239</v>
      </c>
      <c r="E1811" s="19">
        <v>37351</v>
      </c>
      <c r="F1811" t="str">
        <f>"9789812778215"</f>
        <v>9789812778215</v>
      </c>
      <c r="G1811" t="str">
        <f>"9789810248024"</f>
        <v>9789810248024</v>
      </c>
      <c r="H1811" t="s">
        <v>115</v>
      </c>
      <c r="I1811">
        <v>511</v>
      </c>
      <c r="J1811" t="s">
        <v>4169</v>
      </c>
      <c r="K1811" t="s">
        <v>73</v>
      </c>
      <c r="N1811" t="s">
        <v>74</v>
      </c>
      <c r="O1811" t="s">
        <v>75</v>
      </c>
      <c r="P1811" t="s">
        <v>74</v>
      </c>
      <c r="Q1811" t="s">
        <v>76</v>
      </c>
      <c r="R1811" t="s">
        <v>73</v>
      </c>
      <c r="S1811">
        <v>0</v>
      </c>
      <c r="W1811" s="20">
        <v>1.5046296296296297E-4</v>
      </c>
      <c r="X1811" t="s">
        <v>4171</v>
      </c>
      <c r="Y1811">
        <v>3</v>
      </c>
      <c r="Z1811">
        <v>0</v>
      </c>
      <c r="AA1811" t="s">
        <v>78</v>
      </c>
      <c r="AB1811">
        <v>0</v>
      </c>
      <c r="AC1811" t="s">
        <v>78</v>
      </c>
      <c r="AD1811">
        <v>0</v>
      </c>
      <c r="AE1811">
        <v>10201288</v>
      </c>
      <c r="AF1811" t="s">
        <v>79</v>
      </c>
      <c r="AG1811" t="s">
        <v>4133</v>
      </c>
    </row>
    <row r="1812" spans="1:33" x14ac:dyDescent="0.35">
      <c r="A1812" s="18">
        <v>44321.112500000003</v>
      </c>
      <c r="B1812">
        <v>1120905</v>
      </c>
      <c r="C1812" t="s">
        <v>2452</v>
      </c>
      <c r="D1812" t="s">
        <v>70</v>
      </c>
      <c r="E1812" s="19">
        <v>41365</v>
      </c>
      <c r="F1812" t="str">
        <f>"9781118492208"</f>
        <v>9781118492208</v>
      </c>
      <c r="G1812" t="str">
        <f>"9781119943389"</f>
        <v>9781119943389</v>
      </c>
      <c r="H1812" t="s">
        <v>143</v>
      </c>
      <c r="I1812">
        <v>658.5</v>
      </c>
      <c r="J1812" t="s">
        <v>2453</v>
      </c>
      <c r="K1812" t="s">
        <v>73</v>
      </c>
      <c r="N1812" t="s">
        <v>74</v>
      </c>
      <c r="O1812" t="s">
        <v>75</v>
      </c>
      <c r="P1812" t="s">
        <v>74</v>
      </c>
      <c r="Q1812" t="s">
        <v>76</v>
      </c>
      <c r="R1812" t="s">
        <v>73</v>
      </c>
      <c r="S1812">
        <v>0</v>
      </c>
      <c r="W1812" s="20">
        <v>7.7546296296296304E-4</v>
      </c>
      <c r="X1812" t="s">
        <v>4172</v>
      </c>
      <c r="Y1812">
        <v>7</v>
      </c>
      <c r="Z1812">
        <v>0</v>
      </c>
      <c r="AA1812" t="s">
        <v>78</v>
      </c>
      <c r="AB1812">
        <v>0</v>
      </c>
      <c r="AC1812" t="s">
        <v>78</v>
      </c>
      <c r="AD1812">
        <v>0</v>
      </c>
      <c r="AE1812">
        <v>10657798</v>
      </c>
      <c r="AF1812" t="s">
        <v>79</v>
      </c>
      <c r="AG1812" t="s">
        <v>4133</v>
      </c>
    </row>
    <row r="1813" spans="1:33" x14ac:dyDescent="0.35">
      <c r="A1813" s="18">
        <v>44321.109027777777</v>
      </c>
      <c r="B1813">
        <v>894081</v>
      </c>
      <c r="C1813" t="s">
        <v>4165</v>
      </c>
      <c r="D1813" t="s">
        <v>189</v>
      </c>
      <c r="E1813" s="19">
        <v>41211</v>
      </c>
      <c r="F1813" t="str">
        <f>"9783110267686"</f>
        <v>9783110267686</v>
      </c>
      <c r="G1813" t="str">
        <f>"9783110267587"</f>
        <v>9783110267587</v>
      </c>
      <c r="H1813" t="s">
        <v>115</v>
      </c>
      <c r="I1813">
        <v>519</v>
      </c>
      <c r="J1813" t="s">
        <v>4166</v>
      </c>
      <c r="K1813" t="s">
        <v>73</v>
      </c>
      <c r="N1813" t="s">
        <v>74</v>
      </c>
      <c r="O1813" t="s">
        <v>75</v>
      </c>
      <c r="P1813" t="s">
        <v>74</v>
      </c>
      <c r="Q1813" t="s">
        <v>76</v>
      </c>
      <c r="R1813" t="s">
        <v>73</v>
      </c>
      <c r="S1813">
        <v>0</v>
      </c>
      <c r="W1813" s="20">
        <v>3.3680555555555551E-3</v>
      </c>
      <c r="X1813" t="s">
        <v>4173</v>
      </c>
      <c r="Y1813">
        <v>31</v>
      </c>
      <c r="Z1813">
        <v>0</v>
      </c>
      <c r="AA1813" t="s">
        <v>78</v>
      </c>
      <c r="AB1813">
        <v>0</v>
      </c>
      <c r="AC1813" t="s">
        <v>78</v>
      </c>
      <c r="AD1813">
        <v>0</v>
      </c>
      <c r="AE1813">
        <v>10634452</v>
      </c>
      <c r="AF1813" t="s">
        <v>79</v>
      </c>
      <c r="AG1813" t="s">
        <v>4133</v>
      </c>
    </row>
    <row r="1814" spans="1:33" x14ac:dyDescent="0.35">
      <c r="A1814" s="18">
        <v>44321.107638888891</v>
      </c>
      <c r="B1814">
        <v>5979229</v>
      </c>
      <c r="C1814" t="s">
        <v>4174</v>
      </c>
      <c r="D1814" t="s">
        <v>338</v>
      </c>
      <c r="E1814" s="19">
        <v>43790</v>
      </c>
      <c r="F1814" t="str">
        <f>"9780128157169"</f>
        <v>9780128157169</v>
      </c>
      <c r="G1814" t="str">
        <f>"9780128157152"</f>
        <v>9780128157152</v>
      </c>
      <c r="H1814" t="s">
        <v>143</v>
      </c>
      <c r="I1814">
        <v>658.50028499999996</v>
      </c>
      <c r="J1814" t="s">
        <v>4175</v>
      </c>
      <c r="K1814" t="s">
        <v>85</v>
      </c>
      <c r="N1814" t="s">
        <v>74</v>
      </c>
      <c r="O1814" t="s">
        <v>75</v>
      </c>
      <c r="P1814" t="s">
        <v>74</v>
      </c>
      <c r="Q1814" t="s">
        <v>76</v>
      </c>
      <c r="R1814" t="s">
        <v>73</v>
      </c>
      <c r="S1814">
        <v>0</v>
      </c>
      <c r="W1814" s="20">
        <v>3.5879629629629635E-4</v>
      </c>
      <c r="X1814" t="s">
        <v>4176</v>
      </c>
      <c r="Y1814">
        <v>6</v>
      </c>
      <c r="Z1814">
        <v>0</v>
      </c>
      <c r="AA1814" t="s">
        <v>78</v>
      </c>
      <c r="AB1814">
        <v>0</v>
      </c>
      <c r="AC1814" t="s">
        <v>78</v>
      </c>
      <c r="AD1814">
        <v>0</v>
      </c>
      <c r="AE1814">
        <v>-1</v>
      </c>
      <c r="AF1814" t="s">
        <v>79</v>
      </c>
      <c r="AG1814" t="s">
        <v>4133</v>
      </c>
    </row>
    <row r="1815" spans="1:33" x14ac:dyDescent="0.35">
      <c r="A1815" s="18">
        <v>44321.059027777781</v>
      </c>
      <c r="B1815">
        <v>3039462</v>
      </c>
      <c r="C1815" t="s">
        <v>4177</v>
      </c>
      <c r="D1815" t="s">
        <v>1027</v>
      </c>
      <c r="E1815" s="19">
        <v>37987</v>
      </c>
      <c r="F1815" t="str">
        <f>"9780807876275"</f>
        <v>9780807876275</v>
      </c>
      <c r="G1815" t="str">
        <f>"9780807828342"</f>
        <v>9780807828342</v>
      </c>
      <c r="H1815" t="s">
        <v>2472</v>
      </c>
      <c r="I1815" t="s">
        <v>4178</v>
      </c>
      <c r="J1815" t="s">
        <v>4179</v>
      </c>
      <c r="K1815" t="s">
        <v>73</v>
      </c>
      <c r="N1815" t="s">
        <v>74</v>
      </c>
      <c r="O1815" t="s">
        <v>75</v>
      </c>
      <c r="P1815" t="s">
        <v>230</v>
      </c>
      <c r="Q1815" t="s">
        <v>76</v>
      </c>
      <c r="R1815" t="s">
        <v>85</v>
      </c>
      <c r="S1815">
        <v>0</v>
      </c>
      <c r="W1815" s="20">
        <v>0</v>
      </c>
      <c r="X1815" t="s">
        <v>78</v>
      </c>
      <c r="Y1815">
        <v>0</v>
      </c>
      <c r="Z1815">
        <v>0</v>
      </c>
      <c r="AA1815" t="s">
        <v>78</v>
      </c>
      <c r="AB1815">
        <v>0</v>
      </c>
      <c r="AC1815" t="s">
        <v>78</v>
      </c>
      <c r="AD1815">
        <v>0</v>
      </c>
      <c r="AE1815">
        <v>10116522</v>
      </c>
      <c r="AF1815" t="s">
        <v>79</v>
      </c>
      <c r="AG1815" t="s">
        <v>1579</v>
      </c>
    </row>
    <row r="1816" spans="1:33" x14ac:dyDescent="0.35">
      <c r="A1816" s="18">
        <v>44320.980555555558</v>
      </c>
      <c r="B1816">
        <v>3339142</v>
      </c>
      <c r="C1816" t="s">
        <v>1890</v>
      </c>
      <c r="D1816" t="s">
        <v>300</v>
      </c>
      <c r="E1816" s="19">
        <v>40025</v>
      </c>
      <c r="F1816" t="str">
        <f>"9780262270830"</f>
        <v>9780262270830</v>
      </c>
      <c r="G1816" t="str">
        <f>"9780262533058"</f>
        <v>9780262533058</v>
      </c>
      <c r="H1816" t="s">
        <v>110</v>
      </c>
      <c r="I1816">
        <v>5.0999999999999996</v>
      </c>
      <c r="J1816" t="s">
        <v>1891</v>
      </c>
      <c r="K1816" t="s">
        <v>73</v>
      </c>
      <c r="N1816" t="s">
        <v>74</v>
      </c>
      <c r="O1816" t="s">
        <v>75</v>
      </c>
      <c r="P1816" t="s">
        <v>74</v>
      </c>
      <c r="Q1816" t="s">
        <v>76</v>
      </c>
      <c r="R1816" t="s">
        <v>73</v>
      </c>
      <c r="S1816">
        <v>0</v>
      </c>
      <c r="W1816" s="20">
        <v>2.0486111111111113E-3</v>
      </c>
      <c r="X1816" t="s">
        <v>4180</v>
      </c>
      <c r="Y1816">
        <v>10</v>
      </c>
      <c r="Z1816">
        <v>0</v>
      </c>
      <c r="AA1816" t="s">
        <v>78</v>
      </c>
      <c r="AB1816">
        <v>0</v>
      </c>
      <c r="AC1816" t="s">
        <v>78</v>
      </c>
      <c r="AD1816">
        <v>0</v>
      </c>
      <c r="AE1816">
        <v>10397652</v>
      </c>
      <c r="AF1816" t="s">
        <v>88</v>
      </c>
      <c r="AG1816" t="s">
        <v>1579</v>
      </c>
    </row>
    <row r="1817" spans="1:33" x14ac:dyDescent="0.35">
      <c r="A1817" s="18">
        <v>44320.979166666664</v>
      </c>
      <c r="B1817">
        <v>583642</v>
      </c>
      <c r="C1817" t="s">
        <v>2337</v>
      </c>
      <c r="D1817" t="s">
        <v>205</v>
      </c>
      <c r="E1817" s="19">
        <v>40210</v>
      </c>
      <c r="F1817" t="str">
        <f>"9781596930902"</f>
        <v>9781596930902</v>
      </c>
      <c r="G1817" t="str">
        <f>"9781596930896"</f>
        <v>9781596930896</v>
      </c>
      <c r="H1817" t="s">
        <v>2338</v>
      </c>
      <c r="I1817">
        <v>621.38482999999997</v>
      </c>
      <c r="J1817" t="s">
        <v>2339</v>
      </c>
      <c r="K1817" t="s">
        <v>73</v>
      </c>
      <c r="N1817" t="s">
        <v>74</v>
      </c>
      <c r="O1817" t="s">
        <v>75</v>
      </c>
      <c r="P1817" t="s">
        <v>74</v>
      </c>
      <c r="Q1817" t="s">
        <v>76</v>
      </c>
      <c r="R1817" t="s">
        <v>73</v>
      </c>
      <c r="S1817">
        <v>0</v>
      </c>
      <c r="W1817" s="20">
        <v>5.7870370370370366E-5</v>
      </c>
      <c r="X1817" t="s">
        <v>132</v>
      </c>
      <c r="Y1817">
        <v>1</v>
      </c>
      <c r="Z1817">
        <v>0</v>
      </c>
      <c r="AA1817" t="s">
        <v>78</v>
      </c>
      <c r="AB1817">
        <v>0</v>
      </c>
      <c r="AC1817" t="s">
        <v>78</v>
      </c>
      <c r="AD1817">
        <v>0</v>
      </c>
      <c r="AE1817">
        <v>10393271</v>
      </c>
      <c r="AF1817" t="s">
        <v>79</v>
      </c>
      <c r="AG1817" t="s">
        <v>1579</v>
      </c>
    </row>
    <row r="1818" spans="1:33" x14ac:dyDescent="0.35">
      <c r="A1818" s="18">
        <v>44320.724305555559</v>
      </c>
      <c r="B1818">
        <v>894080</v>
      </c>
      <c r="C1818" t="s">
        <v>4070</v>
      </c>
      <c r="D1818" t="s">
        <v>189</v>
      </c>
      <c r="E1818" s="19">
        <v>41138</v>
      </c>
      <c r="F1818" t="str">
        <f>"9783110254655"</f>
        <v>9783110254655</v>
      </c>
      <c r="G1818" t="str">
        <f>"9783110254648"</f>
        <v>9783110254648</v>
      </c>
      <c r="H1818" t="s">
        <v>848</v>
      </c>
      <c r="I1818">
        <v>541.39</v>
      </c>
      <c r="J1818" t="s">
        <v>4071</v>
      </c>
      <c r="K1818" t="s">
        <v>73</v>
      </c>
      <c r="N1818" t="s">
        <v>74</v>
      </c>
      <c r="O1818" t="s">
        <v>75</v>
      </c>
      <c r="P1818" t="s">
        <v>74</v>
      </c>
      <c r="Q1818" t="s">
        <v>76</v>
      </c>
      <c r="R1818" t="s">
        <v>73</v>
      </c>
      <c r="S1818">
        <v>0</v>
      </c>
      <c r="W1818" s="20">
        <v>1.8865740740740742E-2</v>
      </c>
      <c r="X1818" t="s">
        <v>4181</v>
      </c>
      <c r="Y1818">
        <v>23</v>
      </c>
      <c r="Z1818">
        <v>0</v>
      </c>
      <c r="AA1818" t="s">
        <v>78</v>
      </c>
      <c r="AB1818">
        <v>0</v>
      </c>
      <c r="AC1818" t="s">
        <v>78</v>
      </c>
      <c r="AD1818">
        <v>0</v>
      </c>
      <c r="AE1818">
        <v>10606496</v>
      </c>
      <c r="AF1818" t="s">
        <v>79</v>
      </c>
      <c r="AG1818" t="s">
        <v>2640</v>
      </c>
    </row>
    <row r="1819" spans="1:33" x14ac:dyDescent="0.35">
      <c r="A1819" s="18">
        <v>44320.486111111109</v>
      </c>
      <c r="B1819">
        <v>631909</v>
      </c>
      <c r="C1819" t="s">
        <v>4182</v>
      </c>
      <c r="D1819" t="s">
        <v>158</v>
      </c>
      <c r="E1819" s="19">
        <v>40120</v>
      </c>
      <c r="F1819" t="str">
        <f>"9780080920917"</f>
        <v>9780080920917</v>
      </c>
      <c r="G1819" t="str">
        <f>"9780123741455"</f>
        <v>9780123741455</v>
      </c>
      <c r="H1819" t="s">
        <v>149</v>
      </c>
      <c r="I1819">
        <v>571.64</v>
      </c>
      <c r="J1819" t="s">
        <v>4183</v>
      </c>
      <c r="K1819" t="s">
        <v>73</v>
      </c>
      <c r="N1819" t="s">
        <v>74</v>
      </c>
      <c r="O1819" t="s">
        <v>75</v>
      </c>
      <c r="P1819" t="s">
        <v>74</v>
      </c>
      <c r="Q1819" t="s">
        <v>76</v>
      </c>
      <c r="R1819" t="s">
        <v>73</v>
      </c>
      <c r="S1819">
        <v>0</v>
      </c>
      <c r="W1819" s="20">
        <v>3.4722222222222222E-5</v>
      </c>
      <c r="X1819" t="s">
        <v>132</v>
      </c>
      <c r="Y1819">
        <v>1</v>
      </c>
      <c r="Z1819">
        <v>0</v>
      </c>
      <c r="AA1819" t="s">
        <v>78</v>
      </c>
      <c r="AB1819">
        <v>0</v>
      </c>
      <c r="AC1819" t="s">
        <v>78</v>
      </c>
      <c r="AD1819">
        <v>0</v>
      </c>
      <c r="AE1819">
        <v>10517491</v>
      </c>
      <c r="AF1819" t="s">
        <v>79</v>
      </c>
      <c r="AG1819" t="s">
        <v>4133</v>
      </c>
    </row>
    <row r="1820" spans="1:33" x14ac:dyDescent="0.35">
      <c r="A1820" s="18">
        <v>44320.481249999997</v>
      </c>
      <c r="B1820">
        <v>848958</v>
      </c>
      <c r="C1820" t="s">
        <v>4184</v>
      </c>
      <c r="D1820" t="s">
        <v>158</v>
      </c>
      <c r="E1820" s="19">
        <v>40940</v>
      </c>
      <c r="F1820" t="str">
        <f>"9780123877574"</f>
        <v>9780123877574</v>
      </c>
      <c r="G1820" t="str">
        <f>"9780123877383"</f>
        <v>9780123877383</v>
      </c>
      <c r="H1820" t="s">
        <v>227</v>
      </c>
      <c r="I1820">
        <v>571.6</v>
      </c>
      <c r="J1820" t="s">
        <v>4185</v>
      </c>
      <c r="K1820" t="s">
        <v>73</v>
      </c>
      <c r="N1820" t="s">
        <v>74</v>
      </c>
      <c r="O1820" t="s">
        <v>75</v>
      </c>
      <c r="P1820" t="s">
        <v>74</v>
      </c>
      <c r="Q1820" t="s">
        <v>76</v>
      </c>
      <c r="R1820" t="s">
        <v>73</v>
      </c>
      <c r="S1820">
        <v>0</v>
      </c>
      <c r="W1820" s="20">
        <v>3.8541666666666668E-3</v>
      </c>
      <c r="X1820" t="s">
        <v>4186</v>
      </c>
      <c r="Y1820">
        <v>8</v>
      </c>
      <c r="Z1820">
        <v>0</v>
      </c>
      <c r="AA1820" t="s">
        <v>78</v>
      </c>
      <c r="AB1820">
        <v>0</v>
      </c>
      <c r="AC1820" t="s">
        <v>78</v>
      </c>
      <c r="AD1820">
        <v>0</v>
      </c>
      <c r="AE1820">
        <v>10518409</v>
      </c>
      <c r="AF1820" t="s">
        <v>79</v>
      </c>
      <c r="AG1820" t="s">
        <v>4133</v>
      </c>
    </row>
    <row r="1821" spans="1:33" x14ac:dyDescent="0.35">
      <c r="A1821" s="18">
        <v>44319.904166666667</v>
      </c>
      <c r="B1821">
        <v>4790359</v>
      </c>
      <c r="C1821" t="s">
        <v>4187</v>
      </c>
      <c r="D1821" t="s">
        <v>70</v>
      </c>
      <c r="E1821" s="19">
        <v>42779</v>
      </c>
      <c r="F1821" t="str">
        <f>"9781119280545"</f>
        <v>9781119280545</v>
      </c>
      <c r="G1821" t="str">
        <f>"9781119280521"</f>
        <v>9781119280521</v>
      </c>
      <c r="H1821" t="s">
        <v>143</v>
      </c>
      <c r="I1821">
        <v>658.40407600000003</v>
      </c>
      <c r="J1821" t="s">
        <v>4188</v>
      </c>
      <c r="K1821" t="s">
        <v>73</v>
      </c>
      <c r="N1821" t="s">
        <v>74</v>
      </c>
      <c r="O1821" t="s">
        <v>75</v>
      </c>
      <c r="P1821" t="s">
        <v>74</v>
      </c>
      <c r="Q1821" t="s">
        <v>76</v>
      </c>
      <c r="R1821" t="s">
        <v>73</v>
      </c>
      <c r="S1821">
        <v>0</v>
      </c>
      <c r="W1821" s="20">
        <v>0</v>
      </c>
      <c r="X1821" t="s">
        <v>78</v>
      </c>
      <c r="Y1821">
        <v>0</v>
      </c>
      <c r="Z1821">
        <v>0</v>
      </c>
      <c r="AA1821" t="s">
        <v>78</v>
      </c>
      <c r="AB1821">
        <v>0</v>
      </c>
      <c r="AC1821" t="s">
        <v>78</v>
      </c>
      <c r="AD1821">
        <v>0</v>
      </c>
      <c r="AE1821">
        <v>11332850</v>
      </c>
      <c r="AF1821" t="s">
        <v>79</v>
      </c>
      <c r="AG1821" t="s">
        <v>4100</v>
      </c>
    </row>
    <row r="1822" spans="1:33" x14ac:dyDescent="0.35">
      <c r="A1822" s="18">
        <v>44319.868750000001</v>
      </c>
      <c r="B1822">
        <v>4790359</v>
      </c>
      <c r="C1822" t="s">
        <v>4187</v>
      </c>
      <c r="D1822" t="s">
        <v>70</v>
      </c>
      <c r="E1822" s="19">
        <v>42779</v>
      </c>
      <c r="F1822" t="str">
        <f>"9781119280545"</f>
        <v>9781119280545</v>
      </c>
      <c r="G1822" t="str">
        <f>"9781119280521"</f>
        <v>9781119280521</v>
      </c>
      <c r="H1822" t="s">
        <v>143</v>
      </c>
      <c r="I1822">
        <v>658.40407600000003</v>
      </c>
      <c r="J1822" t="s">
        <v>4188</v>
      </c>
      <c r="K1822" t="s">
        <v>73</v>
      </c>
      <c r="N1822" t="s">
        <v>74</v>
      </c>
      <c r="O1822" t="s">
        <v>75</v>
      </c>
      <c r="P1822" t="s">
        <v>74</v>
      </c>
      <c r="Q1822" t="s">
        <v>76</v>
      </c>
      <c r="R1822" t="s">
        <v>73</v>
      </c>
      <c r="S1822">
        <v>0</v>
      </c>
      <c r="W1822" s="20">
        <v>1.689814814814815E-3</v>
      </c>
      <c r="X1822" t="s">
        <v>4189</v>
      </c>
      <c r="Y1822">
        <v>15</v>
      </c>
      <c r="Z1822">
        <v>0</v>
      </c>
      <c r="AA1822" t="s">
        <v>78</v>
      </c>
      <c r="AB1822">
        <v>0</v>
      </c>
      <c r="AC1822" t="s">
        <v>78</v>
      </c>
      <c r="AD1822">
        <v>0</v>
      </c>
      <c r="AE1822">
        <v>11332850</v>
      </c>
      <c r="AF1822" t="s">
        <v>79</v>
      </c>
      <c r="AG1822" t="s">
        <v>4100</v>
      </c>
    </row>
    <row r="1823" spans="1:33" x14ac:dyDescent="0.35">
      <c r="A1823" s="18">
        <v>44319.859027777777</v>
      </c>
      <c r="B1823">
        <v>685051</v>
      </c>
      <c r="C1823" t="s">
        <v>4190</v>
      </c>
      <c r="D1823" t="s">
        <v>314</v>
      </c>
      <c r="E1823" s="19">
        <v>40597</v>
      </c>
      <c r="F1823" t="str">
        <f>"9780748645428"</f>
        <v>9780748645428</v>
      </c>
      <c r="G1823" t="str">
        <f>"9780748638543"</f>
        <v>9780748638543</v>
      </c>
      <c r="H1823" t="s">
        <v>528</v>
      </c>
      <c r="I1823" t="s">
        <v>4191</v>
      </c>
      <c r="J1823" t="s">
        <v>4192</v>
      </c>
      <c r="K1823" t="s">
        <v>73</v>
      </c>
      <c r="N1823" t="s">
        <v>74</v>
      </c>
      <c r="O1823" t="s">
        <v>75</v>
      </c>
      <c r="P1823" t="s">
        <v>74</v>
      </c>
      <c r="Q1823" t="s">
        <v>76</v>
      </c>
      <c r="R1823" t="s">
        <v>73</v>
      </c>
      <c r="S1823">
        <v>1</v>
      </c>
      <c r="W1823" s="20">
        <v>0</v>
      </c>
      <c r="X1823" t="s">
        <v>78</v>
      </c>
      <c r="Y1823">
        <v>0</v>
      </c>
      <c r="Z1823">
        <v>0</v>
      </c>
      <c r="AA1823" t="s">
        <v>78</v>
      </c>
      <c r="AB1823">
        <v>0</v>
      </c>
      <c r="AC1823" t="s">
        <v>78</v>
      </c>
      <c r="AD1823">
        <v>0</v>
      </c>
      <c r="AE1823">
        <v>10466292</v>
      </c>
      <c r="AF1823" t="s">
        <v>88</v>
      </c>
      <c r="AG1823" t="s">
        <v>4100</v>
      </c>
    </row>
    <row r="1824" spans="1:33" x14ac:dyDescent="0.35">
      <c r="A1824" s="18">
        <v>44319.833333333336</v>
      </c>
      <c r="B1824">
        <v>3001261</v>
      </c>
      <c r="C1824" t="s">
        <v>3419</v>
      </c>
      <c r="D1824" t="s">
        <v>3420</v>
      </c>
      <c r="E1824" s="19">
        <v>39630</v>
      </c>
      <c r="F1824" t="str">
        <f>"9780313352874"</f>
        <v>9780313352874</v>
      </c>
      <c r="G1824" t="str">
        <f>"9780313352867"</f>
        <v>9780313352867</v>
      </c>
      <c r="H1824" t="s">
        <v>3421</v>
      </c>
      <c r="I1824">
        <v>333.79</v>
      </c>
      <c r="J1824" t="s">
        <v>3422</v>
      </c>
      <c r="K1824" t="s">
        <v>73</v>
      </c>
      <c r="N1824" t="s">
        <v>74</v>
      </c>
      <c r="O1824" t="s">
        <v>75</v>
      </c>
      <c r="P1824" t="s">
        <v>74</v>
      </c>
      <c r="Q1824" t="s">
        <v>76</v>
      </c>
      <c r="R1824" t="s">
        <v>73</v>
      </c>
      <c r="S1824">
        <v>0</v>
      </c>
      <c r="W1824" s="20">
        <v>6.9444444444444444E-5</v>
      </c>
      <c r="X1824" t="s">
        <v>132</v>
      </c>
      <c r="Y1824">
        <v>1</v>
      </c>
      <c r="Z1824">
        <v>0</v>
      </c>
      <c r="AA1824" t="s">
        <v>78</v>
      </c>
      <c r="AB1824">
        <v>0</v>
      </c>
      <c r="AC1824" t="s">
        <v>78</v>
      </c>
      <c r="AD1824">
        <v>0</v>
      </c>
      <c r="AE1824">
        <v>10271266</v>
      </c>
      <c r="AF1824" t="s">
        <v>79</v>
      </c>
      <c r="AG1824" t="s">
        <v>333</v>
      </c>
    </row>
    <row r="1825" spans="1:33" x14ac:dyDescent="0.35">
      <c r="A1825" s="18">
        <v>44319.803472222222</v>
      </c>
      <c r="B1825">
        <v>894080</v>
      </c>
      <c r="C1825" t="s">
        <v>4070</v>
      </c>
      <c r="D1825" t="s">
        <v>189</v>
      </c>
      <c r="E1825" s="19">
        <v>41138</v>
      </c>
      <c r="F1825" t="str">
        <f>"9783110254655"</f>
        <v>9783110254655</v>
      </c>
      <c r="G1825" t="str">
        <f>"9783110254648"</f>
        <v>9783110254648</v>
      </c>
      <c r="H1825" t="s">
        <v>848</v>
      </c>
      <c r="I1825">
        <v>541.39</v>
      </c>
      <c r="J1825" t="s">
        <v>4071</v>
      </c>
      <c r="K1825" t="s">
        <v>73</v>
      </c>
      <c r="N1825" t="s">
        <v>74</v>
      </c>
      <c r="O1825" t="s">
        <v>75</v>
      </c>
      <c r="P1825" t="s">
        <v>74</v>
      </c>
      <c r="Q1825" t="s">
        <v>76</v>
      </c>
      <c r="R1825" t="s">
        <v>73</v>
      </c>
      <c r="S1825">
        <v>0</v>
      </c>
      <c r="W1825" s="20">
        <v>4.6215277777777779E-2</v>
      </c>
      <c r="X1825" t="s">
        <v>4193</v>
      </c>
      <c r="Y1825">
        <v>40</v>
      </c>
      <c r="Z1825">
        <v>0</v>
      </c>
      <c r="AA1825" t="s">
        <v>78</v>
      </c>
      <c r="AB1825">
        <v>0</v>
      </c>
      <c r="AC1825" t="s">
        <v>78</v>
      </c>
      <c r="AD1825">
        <v>0</v>
      </c>
      <c r="AE1825">
        <v>10606496</v>
      </c>
      <c r="AF1825" t="s">
        <v>79</v>
      </c>
      <c r="AG1825" t="s">
        <v>2640</v>
      </c>
    </row>
    <row r="1826" spans="1:33" x14ac:dyDescent="0.35">
      <c r="A1826" s="18">
        <v>44319.731249999997</v>
      </c>
      <c r="B1826">
        <v>894080</v>
      </c>
      <c r="C1826" t="s">
        <v>4070</v>
      </c>
      <c r="D1826" t="s">
        <v>189</v>
      </c>
      <c r="E1826" s="19">
        <v>41138</v>
      </c>
      <c r="F1826" t="str">
        <f>"9783110254655"</f>
        <v>9783110254655</v>
      </c>
      <c r="G1826" t="str">
        <f>"9783110254648"</f>
        <v>9783110254648</v>
      </c>
      <c r="H1826" t="s">
        <v>848</v>
      </c>
      <c r="I1826">
        <v>541.39</v>
      </c>
      <c r="J1826" t="s">
        <v>4071</v>
      </c>
      <c r="K1826" t="s">
        <v>73</v>
      </c>
      <c r="N1826" t="s">
        <v>74</v>
      </c>
      <c r="O1826" t="s">
        <v>75</v>
      </c>
      <c r="P1826" t="s">
        <v>74</v>
      </c>
      <c r="Q1826" t="s">
        <v>76</v>
      </c>
      <c r="R1826" t="s">
        <v>73</v>
      </c>
      <c r="S1826">
        <v>0</v>
      </c>
      <c r="W1826" s="20">
        <v>4.2824074074074075E-4</v>
      </c>
      <c r="X1826" t="s">
        <v>4194</v>
      </c>
      <c r="Y1826">
        <v>3</v>
      </c>
      <c r="Z1826">
        <v>0</v>
      </c>
      <c r="AA1826" t="s">
        <v>78</v>
      </c>
      <c r="AB1826">
        <v>0</v>
      </c>
      <c r="AC1826" t="s">
        <v>78</v>
      </c>
      <c r="AD1826">
        <v>0</v>
      </c>
      <c r="AE1826">
        <v>10606496</v>
      </c>
      <c r="AF1826" t="s">
        <v>79</v>
      </c>
      <c r="AG1826" t="s">
        <v>2640</v>
      </c>
    </row>
    <row r="1827" spans="1:33" x14ac:dyDescent="0.35">
      <c r="A1827" s="18">
        <v>44319.713888888888</v>
      </c>
      <c r="B1827">
        <v>1744260</v>
      </c>
      <c r="C1827" t="s">
        <v>4195</v>
      </c>
      <c r="D1827" t="s">
        <v>70</v>
      </c>
      <c r="E1827" s="19">
        <v>41835</v>
      </c>
      <c r="F1827" t="str">
        <f>"9781118796504"</f>
        <v>9781118796504</v>
      </c>
      <c r="G1827" t="str">
        <f>"9781118796191"</f>
        <v>9781118796191</v>
      </c>
      <c r="H1827" t="s">
        <v>942</v>
      </c>
      <c r="I1827" t="s">
        <v>276</v>
      </c>
      <c r="J1827" t="s">
        <v>4196</v>
      </c>
      <c r="K1827" t="s">
        <v>73</v>
      </c>
      <c r="N1827" t="s">
        <v>74</v>
      </c>
      <c r="O1827" t="s">
        <v>75</v>
      </c>
      <c r="P1827" t="s">
        <v>74</v>
      </c>
      <c r="Q1827" t="s">
        <v>76</v>
      </c>
      <c r="R1827" t="s">
        <v>73</v>
      </c>
      <c r="S1827">
        <v>0</v>
      </c>
      <c r="W1827" s="20">
        <v>1.8750000000000001E-3</v>
      </c>
      <c r="X1827" t="s">
        <v>4197</v>
      </c>
      <c r="Y1827">
        <v>35</v>
      </c>
      <c r="Z1827">
        <v>0</v>
      </c>
      <c r="AA1827" t="s">
        <v>78</v>
      </c>
      <c r="AB1827">
        <v>0</v>
      </c>
      <c r="AC1827" t="s">
        <v>78</v>
      </c>
      <c r="AD1827">
        <v>0</v>
      </c>
      <c r="AE1827">
        <v>10896040</v>
      </c>
      <c r="AF1827" t="s">
        <v>79</v>
      </c>
      <c r="AG1827" t="s">
        <v>4100</v>
      </c>
    </row>
    <row r="1828" spans="1:33" x14ac:dyDescent="0.35">
      <c r="A1828" s="18">
        <v>44319.509722222225</v>
      </c>
      <c r="B1828">
        <v>6237691</v>
      </c>
      <c r="C1828" t="s">
        <v>4198</v>
      </c>
      <c r="D1828" t="s">
        <v>4199</v>
      </c>
      <c r="E1828" s="19">
        <v>44008</v>
      </c>
      <c r="F1828" t="str">
        <f>"9781786439185"</f>
        <v>9781786439185</v>
      </c>
      <c r="G1828" t="str">
        <f>"9781786439178"</f>
        <v>9781786439178</v>
      </c>
      <c r="H1828" t="s">
        <v>4200</v>
      </c>
      <c r="I1828">
        <v>307.1216</v>
      </c>
      <c r="J1828" t="s">
        <v>4201</v>
      </c>
      <c r="K1828" t="s">
        <v>85</v>
      </c>
      <c r="N1828" t="s">
        <v>86</v>
      </c>
      <c r="P1828" t="s">
        <v>1850</v>
      </c>
      <c r="Q1828" t="s">
        <v>76</v>
      </c>
      <c r="R1828" t="s">
        <v>73</v>
      </c>
      <c r="S1828">
        <v>0</v>
      </c>
      <c r="W1828" s="20">
        <v>6.9444444444444444E-5</v>
      </c>
      <c r="X1828" t="s">
        <v>360</v>
      </c>
      <c r="Y1828">
        <v>2</v>
      </c>
      <c r="Z1828">
        <v>0</v>
      </c>
      <c r="AA1828" t="s">
        <v>78</v>
      </c>
      <c r="AB1828">
        <v>0</v>
      </c>
      <c r="AC1828" t="s">
        <v>78</v>
      </c>
      <c r="AD1828">
        <v>0</v>
      </c>
      <c r="AE1828">
        <v>-1</v>
      </c>
      <c r="AF1828" t="s">
        <v>79</v>
      </c>
      <c r="AG1828" t="s">
        <v>4029</v>
      </c>
    </row>
    <row r="1829" spans="1:33" x14ac:dyDescent="0.35">
      <c r="A1829" s="18">
        <v>44319.392361111109</v>
      </c>
      <c r="B1829">
        <v>5558358</v>
      </c>
      <c r="C1829" t="s">
        <v>4202</v>
      </c>
      <c r="D1829" t="s">
        <v>4203</v>
      </c>
      <c r="E1829" s="19">
        <v>43406</v>
      </c>
      <c r="F1829" t="str">
        <f>"9780803690066"</f>
        <v>9780803690066</v>
      </c>
      <c r="G1829" t="str">
        <f>""</f>
        <v/>
      </c>
      <c r="H1829" t="s">
        <v>3682</v>
      </c>
      <c r="I1829">
        <v>612</v>
      </c>
      <c r="J1829" t="s">
        <v>4204</v>
      </c>
      <c r="K1829" t="s">
        <v>85</v>
      </c>
      <c r="Q1829" t="s">
        <v>76</v>
      </c>
      <c r="R1829" t="s">
        <v>73</v>
      </c>
      <c r="S1829">
        <v>0</v>
      </c>
      <c r="W1829" s="20">
        <v>1.3483796296296298E-2</v>
      </c>
      <c r="X1829" t="s">
        <v>4205</v>
      </c>
      <c r="Y1829">
        <v>18</v>
      </c>
      <c r="Z1829">
        <v>0</v>
      </c>
      <c r="AA1829" t="s">
        <v>78</v>
      </c>
      <c r="AB1829">
        <v>0</v>
      </c>
      <c r="AC1829" t="s">
        <v>78</v>
      </c>
      <c r="AD1829">
        <v>0</v>
      </c>
      <c r="AE1829">
        <v>-1</v>
      </c>
      <c r="AF1829" t="s">
        <v>88</v>
      </c>
      <c r="AG1829" t="s">
        <v>4133</v>
      </c>
    </row>
    <row r="1830" spans="1:33" x14ac:dyDescent="0.35">
      <c r="A1830" s="18">
        <v>44319.38958333333</v>
      </c>
      <c r="B1830">
        <v>765480</v>
      </c>
      <c r="C1830" t="s">
        <v>4206</v>
      </c>
      <c r="D1830" t="s">
        <v>1311</v>
      </c>
      <c r="E1830" s="19">
        <v>40718</v>
      </c>
      <c r="F1830" t="str">
        <f>"9781444149463"</f>
        <v>9781444149463</v>
      </c>
      <c r="G1830" t="str">
        <f>"9781444109252"</f>
        <v>9781444109252</v>
      </c>
      <c r="H1830" t="s">
        <v>1489</v>
      </c>
      <c r="I1830">
        <v>611</v>
      </c>
      <c r="J1830" t="s">
        <v>4207</v>
      </c>
      <c r="K1830" t="s">
        <v>73</v>
      </c>
      <c r="N1830" t="s">
        <v>74</v>
      </c>
      <c r="O1830" t="s">
        <v>75</v>
      </c>
      <c r="P1830" t="s">
        <v>74</v>
      </c>
      <c r="Q1830" t="s">
        <v>76</v>
      </c>
      <c r="R1830" t="s">
        <v>73</v>
      </c>
      <c r="S1830">
        <v>0</v>
      </c>
      <c r="W1830" s="20">
        <v>2.0486111111111113E-3</v>
      </c>
      <c r="X1830" t="s">
        <v>4208</v>
      </c>
      <c r="Y1830">
        <v>28</v>
      </c>
      <c r="Z1830">
        <v>0</v>
      </c>
      <c r="AA1830" t="s">
        <v>78</v>
      </c>
      <c r="AB1830">
        <v>0</v>
      </c>
      <c r="AC1830" t="s">
        <v>78</v>
      </c>
      <c r="AD1830">
        <v>0</v>
      </c>
      <c r="AE1830">
        <v>11165155</v>
      </c>
      <c r="AF1830" t="s">
        <v>79</v>
      </c>
      <c r="AG1830" t="s">
        <v>4133</v>
      </c>
    </row>
    <row r="1831" spans="1:33" x14ac:dyDescent="0.35">
      <c r="A1831" s="18">
        <v>44319.190972222219</v>
      </c>
      <c r="B1831">
        <v>4790359</v>
      </c>
      <c r="C1831" t="s">
        <v>4187</v>
      </c>
      <c r="D1831" t="s">
        <v>70</v>
      </c>
      <c r="E1831" s="19">
        <v>42779</v>
      </c>
      <c r="F1831" t="str">
        <f>"9781119280545"</f>
        <v>9781119280545</v>
      </c>
      <c r="G1831" t="str">
        <f>"9781119280521"</f>
        <v>9781119280521</v>
      </c>
      <c r="H1831" t="s">
        <v>143</v>
      </c>
      <c r="I1831">
        <v>658.40407600000003</v>
      </c>
      <c r="J1831" t="s">
        <v>4188</v>
      </c>
      <c r="K1831" t="s">
        <v>73</v>
      </c>
      <c r="N1831" t="s">
        <v>74</v>
      </c>
      <c r="O1831" t="s">
        <v>75</v>
      </c>
      <c r="P1831" t="s">
        <v>74</v>
      </c>
      <c r="Q1831" t="s">
        <v>76</v>
      </c>
      <c r="R1831" t="s">
        <v>73</v>
      </c>
      <c r="S1831">
        <v>0</v>
      </c>
      <c r="W1831" s="20">
        <v>4.6296296296296294E-5</v>
      </c>
      <c r="X1831" t="s">
        <v>132</v>
      </c>
      <c r="Y1831">
        <v>1</v>
      </c>
      <c r="Z1831">
        <v>0</v>
      </c>
      <c r="AA1831" t="s">
        <v>78</v>
      </c>
      <c r="AB1831">
        <v>0</v>
      </c>
      <c r="AC1831" t="s">
        <v>78</v>
      </c>
      <c r="AD1831">
        <v>0</v>
      </c>
      <c r="AE1831">
        <v>11332850</v>
      </c>
      <c r="AF1831" t="s">
        <v>79</v>
      </c>
      <c r="AG1831" t="s">
        <v>4100</v>
      </c>
    </row>
    <row r="1832" spans="1:33" x14ac:dyDescent="0.35">
      <c r="A1832" s="18">
        <v>44319.161111111112</v>
      </c>
      <c r="B1832">
        <v>4790359</v>
      </c>
      <c r="C1832" t="s">
        <v>4187</v>
      </c>
      <c r="D1832" t="s">
        <v>70</v>
      </c>
      <c r="E1832" s="19">
        <v>42779</v>
      </c>
      <c r="F1832" t="str">
        <f>"9781119280545"</f>
        <v>9781119280545</v>
      </c>
      <c r="G1832" t="str">
        <f>"9781119280521"</f>
        <v>9781119280521</v>
      </c>
      <c r="H1832" t="s">
        <v>143</v>
      </c>
      <c r="I1832">
        <v>658.40407600000003</v>
      </c>
      <c r="J1832" t="s">
        <v>4188</v>
      </c>
      <c r="K1832" t="s">
        <v>73</v>
      </c>
      <c r="N1832" t="s">
        <v>74</v>
      </c>
      <c r="O1832" t="s">
        <v>75</v>
      </c>
      <c r="P1832" t="s">
        <v>74</v>
      </c>
      <c r="Q1832" t="s">
        <v>76</v>
      </c>
      <c r="R1832" t="s">
        <v>73</v>
      </c>
      <c r="S1832">
        <v>0</v>
      </c>
      <c r="W1832" s="20">
        <v>3.0555555555555557E-3</v>
      </c>
      <c r="X1832" t="s">
        <v>4209</v>
      </c>
      <c r="Y1832">
        <v>12</v>
      </c>
      <c r="Z1832">
        <v>0</v>
      </c>
      <c r="AA1832" t="s">
        <v>78</v>
      </c>
      <c r="AB1832">
        <v>0</v>
      </c>
      <c r="AC1832" t="s">
        <v>78</v>
      </c>
      <c r="AD1832">
        <v>0</v>
      </c>
      <c r="AE1832">
        <v>11332850</v>
      </c>
      <c r="AF1832" t="s">
        <v>79</v>
      </c>
      <c r="AG1832" t="s">
        <v>4100</v>
      </c>
    </row>
    <row r="1833" spans="1:33" x14ac:dyDescent="0.35">
      <c r="A1833" s="18">
        <v>44319.132638888892</v>
      </c>
      <c r="B1833">
        <v>589587</v>
      </c>
      <c r="C1833" t="s">
        <v>4210</v>
      </c>
      <c r="D1833" t="s">
        <v>127</v>
      </c>
      <c r="E1833" s="19">
        <v>40449</v>
      </c>
      <c r="F1833" t="str">
        <f>"9780203844809"</f>
        <v>9780203844809</v>
      </c>
      <c r="G1833" t="str">
        <f>"9780415552066"</f>
        <v>9780415552066</v>
      </c>
      <c r="H1833" t="s">
        <v>1878</v>
      </c>
      <c r="I1833">
        <v>338.47000939999998</v>
      </c>
      <c r="J1833" t="s">
        <v>4211</v>
      </c>
      <c r="K1833" t="s">
        <v>73</v>
      </c>
      <c r="N1833" t="s">
        <v>74</v>
      </c>
      <c r="O1833" t="s">
        <v>75</v>
      </c>
      <c r="P1833" t="s">
        <v>74</v>
      </c>
      <c r="Q1833" t="s">
        <v>76</v>
      </c>
      <c r="R1833" t="s">
        <v>73</v>
      </c>
      <c r="S1833">
        <v>1</v>
      </c>
      <c r="W1833" s="20">
        <v>9.2592592592592588E-5</v>
      </c>
      <c r="X1833" t="s">
        <v>132</v>
      </c>
      <c r="Y1833">
        <v>1</v>
      </c>
      <c r="Z1833">
        <v>0</v>
      </c>
      <c r="AA1833" t="s">
        <v>78</v>
      </c>
      <c r="AB1833">
        <v>0</v>
      </c>
      <c r="AC1833" t="s">
        <v>78</v>
      </c>
      <c r="AD1833">
        <v>0</v>
      </c>
      <c r="AE1833">
        <v>10422088</v>
      </c>
      <c r="AF1833" t="s">
        <v>88</v>
      </c>
      <c r="AG1833" t="s">
        <v>4133</v>
      </c>
    </row>
    <row r="1834" spans="1:33" x14ac:dyDescent="0.35">
      <c r="A1834" s="18">
        <v>44319.12222222222</v>
      </c>
      <c r="B1834">
        <v>3002190</v>
      </c>
      <c r="C1834" t="s">
        <v>4212</v>
      </c>
      <c r="D1834" t="s">
        <v>4213</v>
      </c>
      <c r="E1834" s="19">
        <v>37257</v>
      </c>
      <c r="F1834" t="str">
        <f>"9780566089602"</f>
        <v>9780566089602</v>
      </c>
      <c r="G1834" t="str">
        <f>"9780566084348"</f>
        <v>9780566084348</v>
      </c>
      <c r="H1834" t="s">
        <v>143</v>
      </c>
      <c r="I1834" t="s">
        <v>4214</v>
      </c>
      <c r="J1834" t="s">
        <v>4215</v>
      </c>
      <c r="K1834" t="s">
        <v>73</v>
      </c>
      <c r="N1834" t="s">
        <v>74</v>
      </c>
      <c r="O1834" t="s">
        <v>75</v>
      </c>
      <c r="P1834" t="s">
        <v>74</v>
      </c>
      <c r="Q1834" t="s">
        <v>76</v>
      </c>
      <c r="R1834" t="s">
        <v>73</v>
      </c>
      <c r="S1834">
        <v>0</v>
      </c>
      <c r="W1834" s="20">
        <v>1.6550925925925926E-3</v>
      </c>
      <c r="X1834" t="s">
        <v>4216</v>
      </c>
      <c r="Y1834">
        <v>13</v>
      </c>
      <c r="Z1834">
        <v>1</v>
      </c>
      <c r="AA1834" t="s">
        <v>4217</v>
      </c>
      <c r="AB1834">
        <v>14</v>
      </c>
      <c r="AC1834" t="s">
        <v>78</v>
      </c>
      <c r="AD1834">
        <v>0</v>
      </c>
      <c r="AE1834">
        <v>10046816</v>
      </c>
      <c r="AF1834" t="s">
        <v>88</v>
      </c>
      <c r="AG1834" t="s">
        <v>4100</v>
      </c>
    </row>
    <row r="1835" spans="1:33" x14ac:dyDescent="0.35">
      <c r="A1835" s="18">
        <v>44319.107638888891</v>
      </c>
      <c r="B1835">
        <v>3002502</v>
      </c>
      <c r="C1835" t="s">
        <v>4218</v>
      </c>
      <c r="D1835" t="s">
        <v>4219</v>
      </c>
      <c r="E1835" s="19">
        <v>41640</v>
      </c>
      <c r="F1835" t="str">
        <f>""</f>
        <v/>
      </c>
      <c r="G1835" t="str">
        <f>"9780873898560"</f>
        <v>9780873898560</v>
      </c>
      <c r="H1835" t="s">
        <v>1728</v>
      </c>
      <c r="I1835" t="s">
        <v>4220</v>
      </c>
      <c r="J1835" t="s">
        <v>4221</v>
      </c>
      <c r="K1835" t="s">
        <v>73</v>
      </c>
      <c r="N1835" t="s">
        <v>74</v>
      </c>
      <c r="O1835" t="s">
        <v>75</v>
      </c>
      <c r="P1835" t="s">
        <v>74</v>
      </c>
      <c r="Q1835" t="s">
        <v>76</v>
      </c>
      <c r="R1835" t="s">
        <v>73</v>
      </c>
      <c r="S1835">
        <v>0</v>
      </c>
      <c r="W1835" s="20">
        <v>4.2824074074074075E-4</v>
      </c>
      <c r="X1835" t="s">
        <v>4222</v>
      </c>
      <c r="Y1835">
        <v>3</v>
      </c>
      <c r="Z1835">
        <v>0</v>
      </c>
      <c r="AA1835" t="s">
        <v>78</v>
      </c>
      <c r="AB1835">
        <v>0</v>
      </c>
      <c r="AC1835" t="s">
        <v>78</v>
      </c>
      <c r="AD1835">
        <v>0</v>
      </c>
      <c r="AE1835">
        <v>10898769</v>
      </c>
      <c r="AF1835" t="s">
        <v>88</v>
      </c>
      <c r="AG1835" t="s">
        <v>4100</v>
      </c>
    </row>
    <row r="1836" spans="1:33" x14ac:dyDescent="0.35">
      <c r="A1836" s="18">
        <v>44319.095138888886</v>
      </c>
      <c r="B1836">
        <v>661781</v>
      </c>
      <c r="C1836" t="s">
        <v>4223</v>
      </c>
      <c r="D1836" t="s">
        <v>70</v>
      </c>
      <c r="E1836" s="19">
        <v>40623</v>
      </c>
      <c r="F1836" t="str">
        <f>"9780470684337"</f>
        <v>9780470684337</v>
      </c>
      <c r="G1836" t="str">
        <f>"9780470741887"</f>
        <v>9780470741887</v>
      </c>
      <c r="H1836" t="s">
        <v>1638</v>
      </c>
      <c r="I1836" t="s">
        <v>4224</v>
      </c>
      <c r="J1836" t="s">
        <v>4225</v>
      </c>
      <c r="K1836" t="s">
        <v>73</v>
      </c>
      <c r="N1836" t="s">
        <v>74</v>
      </c>
      <c r="O1836" t="s">
        <v>75</v>
      </c>
      <c r="P1836" t="s">
        <v>74</v>
      </c>
      <c r="Q1836" t="s">
        <v>76</v>
      </c>
      <c r="R1836" t="s">
        <v>73</v>
      </c>
      <c r="S1836">
        <v>1</v>
      </c>
      <c r="W1836" s="20">
        <v>6.9444444444444447E-4</v>
      </c>
      <c r="X1836" t="s">
        <v>4226</v>
      </c>
      <c r="Y1836">
        <v>6</v>
      </c>
      <c r="Z1836">
        <v>1</v>
      </c>
      <c r="AA1836" t="s">
        <v>4227</v>
      </c>
      <c r="AB1836">
        <v>3</v>
      </c>
      <c r="AC1836" t="s">
        <v>78</v>
      </c>
      <c r="AD1836">
        <v>0</v>
      </c>
      <c r="AE1836">
        <v>10510618</v>
      </c>
      <c r="AF1836" t="s">
        <v>88</v>
      </c>
      <c r="AG1836" t="s">
        <v>4100</v>
      </c>
    </row>
    <row r="1837" spans="1:33" x14ac:dyDescent="0.35">
      <c r="A1837" s="18">
        <v>44317.074999999997</v>
      </c>
      <c r="B1837">
        <v>3020657</v>
      </c>
      <c r="C1837" t="s">
        <v>4228</v>
      </c>
      <c r="D1837" t="s">
        <v>226</v>
      </c>
      <c r="E1837" s="19">
        <v>40176</v>
      </c>
      <c r="F1837" t="str">
        <f>"9781616682163"</f>
        <v>9781616682163</v>
      </c>
      <c r="G1837" t="str">
        <f>"9781607413028"</f>
        <v>9781607413028</v>
      </c>
      <c r="H1837" t="s">
        <v>1400</v>
      </c>
      <c r="I1837" t="s">
        <v>4229</v>
      </c>
      <c r="J1837" t="s">
        <v>4230</v>
      </c>
      <c r="K1837" t="s">
        <v>73</v>
      </c>
      <c r="N1837" t="s">
        <v>74</v>
      </c>
      <c r="O1837" t="s">
        <v>75</v>
      </c>
      <c r="P1837" t="s">
        <v>230</v>
      </c>
      <c r="Q1837" t="s">
        <v>76</v>
      </c>
      <c r="R1837" t="s">
        <v>85</v>
      </c>
      <c r="S1837">
        <v>0</v>
      </c>
      <c r="W1837" s="20">
        <v>3.9120370370370368E-3</v>
      </c>
      <c r="X1837" t="s">
        <v>4231</v>
      </c>
      <c r="Y1837">
        <v>33</v>
      </c>
      <c r="Z1837">
        <v>0</v>
      </c>
      <c r="AA1837" t="s">
        <v>78</v>
      </c>
      <c r="AB1837">
        <v>0</v>
      </c>
      <c r="AC1837" t="s">
        <v>78</v>
      </c>
      <c r="AD1837">
        <v>0</v>
      </c>
      <c r="AE1837">
        <v>10678071</v>
      </c>
      <c r="AF1837" t="s">
        <v>79</v>
      </c>
      <c r="AG1837" t="s">
        <v>4100</v>
      </c>
    </row>
    <row r="1838" spans="1:33" x14ac:dyDescent="0.35">
      <c r="A1838" s="18">
        <v>44316.979861111111</v>
      </c>
      <c r="B1838">
        <v>3020657</v>
      </c>
      <c r="C1838" t="s">
        <v>4228</v>
      </c>
      <c r="D1838" t="s">
        <v>226</v>
      </c>
      <c r="E1838" s="19">
        <v>40176</v>
      </c>
      <c r="F1838" t="str">
        <f>"9781616682163"</f>
        <v>9781616682163</v>
      </c>
      <c r="G1838" t="str">
        <f>"9781607413028"</f>
        <v>9781607413028</v>
      </c>
      <c r="H1838" t="s">
        <v>1400</v>
      </c>
      <c r="I1838" t="s">
        <v>4229</v>
      </c>
      <c r="J1838" t="s">
        <v>4230</v>
      </c>
      <c r="K1838" t="s">
        <v>73</v>
      </c>
      <c r="N1838" t="s">
        <v>74</v>
      </c>
      <c r="O1838" t="s">
        <v>75</v>
      </c>
      <c r="P1838" t="s">
        <v>230</v>
      </c>
      <c r="Q1838" t="s">
        <v>76</v>
      </c>
      <c r="R1838" t="s">
        <v>85</v>
      </c>
      <c r="S1838">
        <v>0</v>
      </c>
      <c r="W1838" s="20">
        <v>1.0069444444444444E-3</v>
      </c>
      <c r="X1838" t="s">
        <v>360</v>
      </c>
      <c r="Y1838">
        <v>2</v>
      </c>
      <c r="Z1838">
        <v>0</v>
      </c>
      <c r="AA1838" t="s">
        <v>78</v>
      </c>
      <c r="AB1838">
        <v>0</v>
      </c>
      <c r="AC1838" t="s">
        <v>78</v>
      </c>
      <c r="AD1838">
        <v>0</v>
      </c>
      <c r="AE1838">
        <v>10678071</v>
      </c>
      <c r="AF1838" t="s">
        <v>79</v>
      </c>
      <c r="AG1838" t="s">
        <v>4100</v>
      </c>
    </row>
    <row r="1839" spans="1:33" x14ac:dyDescent="0.35">
      <c r="A1839" s="18">
        <v>44316.706250000003</v>
      </c>
      <c r="B1839">
        <v>894080</v>
      </c>
      <c r="C1839" t="s">
        <v>4070</v>
      </c>
      <c r="D1839" t="s">
        <v>189</v>
      </c>
      <c r="E1839" s="19">
        <v>41138</v>
      </c>
      <c r="F1839" t="str">
        <f>"9783110254655"</f>
        <v>9783110254655</v>
      </c>
      <c r="G1839" t="str">
        <f>"9783110254648"</f>
        <v>9783110254648</v>
      </c>
      <c r="H1839" t="s">
        <v>848</v>
      </c>
      <c r="I1839">
        <v>541.39</v>
      </c>
      <c r="J1839" t="s">
        <v>4071</v>
      </c>
      <c r="K1839" t="s">
        <v>73</v>
      </c>
      <c r="N1839" t="s">
        <v>74</v>
      </c>
      <c r="O1839" t="s">
        <v>75</v>
      </c>
      <c r="P1839" t="s">
        <v>74</v>
      </c>
      <c r="Q1839" t="s">
        <v>76</v>
      </c>
      <c r="R1839" t="s">
        <v>73</v>
      </c>
      <c r="S1839">
        <v>0</v>
      </c>
      <c r="W1839" s="20">
        <v>4.6296296296296294E-5</v>
      </c>
      <c r="X1839" t="s">
        <v>132</v>
      </c>
      <c r="Y1839">
        <v>1</v>
      </c>
      <c r="Z1839">
        <v>0</v>
      </c>
      <c r="AA1839" t="s">
        <v>78</v>
      </c>
      <c r="AB1839">
        <v>0</v>
      </c>
      <c r="AC1839" t="s">
        <v>78</v>
      </c>
      <c r="AD1839">
        <v>0</v>
      </c>
      <c r="AE1839">
        <v>10606496</v>
      </c>
      <c r="AF1839" t="s">
        <v>79</v>
      </c>
      <c r="AG1839" t="s">
        <v>2640</v>
      </c>
    </row>
    <row r="1840" spans="1:33" x14ac:dyDescent="0.35">
      <c r="A1840" s="18">
        <v>44316.308333333334</v>
      </c>
      <c r="B1840">
        <v>3001261</v>
      </c>
      <c r="C1840" t="s">
        <v>3419</v>
      </c>
      <c r="D1840" t="s">
        <v>3420</v>
      </c>
      <c r="E1840" s="19">
        <v>39630</v>
      </c>
      <c r="F1840" t="str">
        <f>"9780313352874"</f>
        <v>9780313352874</v>
      </c>
      <c r="G1840" t="str">
        <f>"9780313352867"</f>
        <v>9780313352867</v>
      </c>
      <c r="H1840" t="s">
        <v>3421</v>
      </c>
      <c r="I1840">
        <v>333.79</v>
      </c>
      <c r="J1840" t="s">
        <v>3422</v>
      </c>
      <c r="K1840" t="s">
        <v>73</v>
      </c>
      <c r="N1840" t="s">
        <v>74</v>
      </c>
      <c r="O1840" t="s">
        <v>75</v>
      </c>
      <c r="P1840" t="s">
        <v>74</v>
      </c>
      <c r="Q1840" t="s">
        <v>76</v>
      </c>
      <c r="R1840" t="s">
        <v>73</v>
      </c>
      <c r="S1840">
        <v>0</v>
      </c>
      <c r="W1840" s="20">
        <v>3.4722222222222222E-5</v>
      </c>
      <c r="X1840" t="s">
        <v>132</v>
      </c>
      <c r="Y1840">
        <v>1</v>
      </c>
      <c r="Z1840">
        <v>0</v>
      </c>
      <c r="AA1840" t="s">
        <v>78</v>
      </c>
      <c r="AB1840">
        <v>0</v>
      </c>
      <c r="AC1840" t="s">
        <v>78</v>
      </c>
      <c r="AD1840">
        <v>0</v>
      </c>
      <c r="AE1840">
        <v>10271266</v>
      </c>
      <c r="AF1840" t="s">
        <v>79</v>
      </c>
      <c r="AG1840" t="s">
        <v>333</v>
      </c>
    </row>
    <row r="1841" spans="1:33" x14ac:dyDescent="0.35">
      <c r="A1841" s="18">
        <v>44315.533333333333</v>
      </c>
      <c r="B1841">
        <v>1042908</v>
      </c>
      <c r="C1841" t="s">
        <v>4232</v>
      </c>
      <c r="D1841" t="s">
        <v>677</v>
      </c>
      <c r="E1841" s="19">
        <v>41266</v>
      </c>
      <c r="F1841" t="str">
        <f>"9781400845231"</f>
        <v>9781400845231</v>
      </c>
      <c r="G1841" t="str">
        <f>"9780691163437"</f>
        <v>9780691163437</v>
      </c>
      <c r="H1841" t="s">
        <v>756</v>
      </c>
      <c r="I1841">
        <v>956.04600000000005</v>
      </c>
      <c r="J1841" t="s">
        <v>4233</v>
      </c>
      <c r="K1841" t="s">
        <v>73</v>
      </c>
      <c r="N1841" t="s">
        <v>74</v>
      </c>
      <c r="O1841" t="s">
        <v>75</v>
      </c>
      <c r="P1841" t="s">
        <v>74</v>
      </c>
      <c r="Q1841" t="s">
        <v>76</v>
      </c>
      <c r="R1841" t="s">
        <v>73</v>
      </c>
      <c r="S1841">
        <v>0</v>
      </c>
      <c r="W1841" s="20">
        <v>1.0185185185185184E-2</v>
      </c>
      <c r="X1841" t="s">
        <v>4234</v>
      </c>
      <c r="Y1841">
        <v>10</v>
      </c>
      <c r="Z1841">
        <v>0</v>
      </c>
      <c r="AA1841" t="s">
        <v>78</v>
      </c>
      <c r="AB1841">
        <v>0</v>
      </c>
      <c r="AC1841" t="s">
        <v>78</v>
      </c>
      <c r="AD1841">
        <v>0</v>
      </c>
      <c r="AE1841">
        <v>10640071</v>
      </c>
      <c r="AF1841" t="s">
        <v>88</v>
      </c>
      <c r="AG1841" t="s">
        <v>1579</v>
      </c>
    </row>
    <row r="1842" spans="1:33" x14ac:dyDescent="0.35">
      <c r="A1842" s="18">
        <v>44315.361805555556</v>
      </c>
      <c r="B1842">
        <v>6480500</v>
      </c>
      <c r="C1842" t="s">
        <v>4235</v>
      </c>
      <c r="D1842" t="s">
        <v>4236</v>
      </c>
      <c r="E1842" s="19">
        <v>44168</v>
      </c>
      <c r="F1842" t="str">
        <f>"9789390175932"</f>
        <v>9789390175932</v>
      </c>
      <c r="G1842" t="str">
        <f>"9788190723787"</f>
        <v>9788190723787</v>
      </c>
      <c r="H1842" t="s">
        <v>848</v>
      </c>
      <c r="I1842">
        <v>548</v>
      </c>
      <c r="J1842" t="s">
        <v>4237</v>
      </c>
      <c r="K1842" t="s">
        <v>85</v>
      </c>
      <c r="Q1842" t="s">
        <v>76</v>
      </c>
      <c r="R1842" t="s">
        <v>73</v>
      </c>
      <c r="S1842">
        <v>0</v>
      </c>
      <c r="W1842" s="20">
        <v>1.2268518518518518E-3</v>
      </c>
      <c r="X1842" t="s">
        <v>4238</v>
      </c>
      <c r="Y1842">
        <v>17</v>
      </c>
      <c r="Z1842">
        <v>0</v>
      </c>
      <c r="AA1842" t="s">
        <v>78</v>
      </c>
      <c r="AB1842">
        <v>0</v>
      </c>
      <c r="AC1842" t="s">
        <v>78</v>
      </c>
      <c r="AD1842">
        <v>0</v>
      </c>
      <c r="AE1842">
        <v>-1</v>
      </c>
      <c r="AF1842" t="s">
        <v>79</v>
      </c>
      <c r="AG1842" t="s">
        <v>4239</v>
      </c>
    </row>
    <row r="1843" spans="1:33" x14ac:dyDescent="0.35">
      <c r="A1843" s="18">
        <v>44315.142361111109</v>
      </c>
      <c r="B1843">
        <v>1602822</v>
      </c>
      <c r="C1843" t="s">
        <v>4019</v>
      </c>
      <c r="D1843" t="s">
        <v>127</v>
      </c>
      <c r="E1843" s="19">
        <v>40890</v>
      </c>
      <c r="F1843" t="str">
        <f>"9781439897836"</f>
        <v>9781439897836</v>
      </c>
      <c r="G1843" t="str">
        <f>"9781439804452"</f>
        <v>9781439804452</v>
      </c>
      <c r="H1843" t="s">
        <v>979</v>
      </c>
      <c r="I1843" t="s">
        <v>4020</v>
      </c>
      <c r="J1843" t="s">
        <v>4021</v>
      </c>
      <c r="K1843" t="s">
        <v>73</v>
      </c>
      <c r="N1843" t="s">
        <v>74</v>
      </c>
      <c r="O1843" t="s">
        <v>75</v>
      </c>
      <c r="P1843" t="s">
        <v>74</v>
      </c>
      <c r="Q1843" t="s">
        <v>76</v>
      </c>
      <c r="R1843" t="s">
        <v>73</v>
      </c>
      <c r="S1843">
        <v>0</v>
      </c>
      <c r="W1843" s="20">
        <v>1.2037037037037038E-3</v>
      </c>
      <c r="X1843" t="s">
        <v>4240</v>
      </c>
      <c r="Y1843">
        <v>3</v>
      </c>
      <c r="Z1843">
        <v>2</v>
      </c>
      <c r="AA1843" t="s">
        <v>4241</v>
      </c>
      <c r="AB1843">
        <v>76</v>
      </c>
      <c r="AC1843" t="s">
        <v>78</v>
      </c>
      <c r="AD1843">
        <v>0</v>
      </c>
      <c r="AE1843">
        <v>11167228</v>
      </c>
      <c r="AF1843" t="s">
        <v>79</v>
      </c>
      <c r="AG1843" t="s">
        <v>1579</v>
      </c>
    </row>
    <row r="1844" spans="1:33" x14ac:dyDescent="0.35">
      <c r="A1844" s="18">
        <v>44315.044444444444</v>
      </c>
      <c r="B1844">
        <v>1962193</v>
      </c>
      <c r="C1844" t="s">
        <v>4242</v>
      </c>
      <c r="D1844" t="s">
        <v>314</v>
      </c>
      <c r="E1844" s="19">
        <v>40355</v>
      </c>
      <c r="F1844" t="str">
        <f>"9780748638314"</f>
        <v>9780748638314</v>
      </c>
      <c r="G1844" t="str">
        <f>"9780748638307"</f>
        <v>9780748638307</v>
      </c>
      <c r="H1844" t="s">
        <v>528</v>
      </c>
      <c r="I1844">
        <v>194</v>
      </c>
      <c r="J1844" t="s">
        <v>4243</v>
      </c>
      <c r="K1844" t="s">
        <v>73</v>
      </c>
      <c r="N1844" t="s">
        <v>74</v>
      </c>
      <c r="O1844" t="s">
        <v>75</v>
      </c>
      <c r="P1844" t="s">
        <v>74</v>
      </c>
      <c r="Q1844" t="s">
        <v>76</v>
      </c>
      <c r="R1844" t="s">
        <v>73</v>
      </c>
      <c r="S1844">
        <v>1</v>
      </c>
      <c r="W1844" s="20">
        <v>0</v>
      </c>
      <c r="X1844" t="s">
        <v>78</v>
      </c>
      <c r="Y1844">
        <v>0</v>
      </c>
      <c r="Z1844">
        <v>0</v>
      </c>
      <c r="AA1844" t="s">
        <v>78</v>
      </c>
      <c r="AB1844">
        <v>0</v>
      </c>
      <c r="AC1844" t="s">
        <v>78</v>
      </c>
      <c r="AD1844">
        <v>0</v>
      </c>
      <c r="AE1844">
        <v>10404211</v>
      </c>
      <c r="AF1844" t="s">
        <v>88</v>
      </c>
      <c r="AG1844" t="s">
        <v>4244</v>
      </c>
    </row>
    <row r="1845" spans="1:33" x14ac:dyDescent="0.35">
      <c r="A1845" s="18">
        <v>44314.981249999997</v>
      </c>
      <c r="B1845">
        <v>3039462</v>
      </c>
      <c r="C1845" t="s">
        <v>4177</v>
      </c>
      <c r="D1845" t="s">
        <v>1027</v>
      </c>
      <c r="E1845" s="19">
        <v>37987</v>
      </c>
      <c r="F1845" t="str">
        <f>"9780807876275"</f>
        <v>9780807876275</v>
      </c>
      <c r="G1845" t="str">
        <f>"9780807828342"</f>
        <v>9780807828342</v>
      </c>
      <c r="H1845" t="s">
        <v>2472</v>
      </c>
      <c r="I1845" t="s">
        <v>4178</v>
      </c>
      <c r="J1845" t="s">
        <v>4179</v>
      </c>
      <c r="K1845" t="s">
        <v>73</v>
      </c>
      <c r="N1845" t="s">
        <v>74</v>
      </c>
      <c r="O1845" t="s">
        <v>75</v>
      </c>
      <c r="P1845" t="s">
        <v>230</v>
      </c>
      <c r="Q1845" t="s">
        <v>76</v>
      </c>
      <c r="R1845" t="s">
        <v>85</v>
      </c>
      <c r="S1845">
        <v>0</v>
      </c>
      <c r="W1845" s="20">
        <v>9.6064814814814808E-4</v>
      </c>
      <c r="X1845" t="s">
        <v>4245</v>
      </c>
      <c r="Y1845">
        <v>8</v>
      </c>
      <c r="Z1845">
        <v>0</v>
      </c>
      <c r="AA1845" t="s">
        <v>78</v>
      </c>
      <c r="AB1845">
        <v>0</v>
      </c>
      <c r="AC1845" t="s">
        <v>78</v>
      </c>
      <c r="AD1845">
        <v>0</v>
      </c>
      <c r="AE1845">
        <v>10116522</v>
      </c>
      <c r="AF1845" t="s">
        <v>79</v>
      </c>
      <c r="AG1845" t="s">
        <v>1579</v>
      </c>
    </row>
    <row r="1846" spans="1:33" x14ac:dyDescent="0.35">
      <c r="A1846" s="18">
        <v>44314.74722222222</v>
      </c>
      <c r="B1846">
        <v>601783</v>
      </c>
      <c r="C1846" t="s">
        <v>4246</v>
      </c>
      <c r="D1846" t="s">
        <v>1240</v>
      </c>
      <c r="E1846" s="19">
        <v>39915</v>
      </c>
      <c r="F1846" t="str">
        <f>"9781441190468"</f>
        <v>9781441190468</v>
      </c>
      <c r="G1846" t="str">
        <f>"9780826421128"</f>
        <v>9780826421128</v>
      </c>
      <c r="H1846" t="s">
        <v>528</v>
      </c>
      <c r="I1846">
        <v>194</v>
      </c>
      <c r="J1846" t="s">
        <v>4247</v>
      </c>
      <c r="K1846" t="s">
        <v>73</v>
      </c>
      <c r="N1846" t="s">
        <v>74</v>
      </c>
      <c r="O1846" t="s">
        <v>75</v>
      </c>
      <c r="P1846" t="s">
        <v>74</v>
      </c>
      <c r="Q1846" t="s">
        <v>76</v>
      </c>
      <c r="R1846" t="s">
        <v>73</v>
      </c>
      <c r="S1846">
        <v>1</v>
      </c>
      <c r="W1846" s="20">
        <v>0</v>
      </c>
      <c r="X1846" t="s">
        <v>78</v>
      </c>
      <c r="Y1846">
        <v>0</v>
      </c>
      <c r="Z1846">
        <v>0</v>
      </c>
      <c r="AA1846" t="s">
        <v>78</v>
      </c>
      <c r="AB1846">
        <v>0</v>
      </c>
      <c r="AC1846" t="s">
        <v>78</v>
      </c>
      <c r="AD1846">
        <v>0</v>
      </c>
      <c r="AE1846">
        <v>10427628</v>
      </c>
      <c r="AF1846" t="s">
        <v>88</v>
      </c>
      <c r="AG1846" t="s">
        <v>4244</v>
      </c>
    </row>
    <row r="1847" spans="1:33" x14ac:dyDescent="0.35">
      <c r="A1847" s="18">
        <v>44314.745833333334</v>
      </c>
      <c r="B1847">
        <v>601783</v>
      </c>
      <c r="C1847" t="s">
        <v>4246</v>
      </c>
      <c r="D1847" t="s">
        <v>1240</v>
      </c>
      <c r="E1847" s="19">
        <v>39915</v>
      </c>
      <c r="F1847" t="str">
        <f>"9781441190468"</f>
        <v>9781441190468</v>
      </c>
      <c r="G1847" t="str">
        <f>"9780826421128"</f>
        <v>9780826421128</v>
      </c>
      <c r="H1847" t="s">
        <v>528</v>
      </c>
      <c r="I1847">
        <v>194</v>
      </c>
      <c r="J1847" t="s">
        <v>4247</v>
      </c>
      <c r="K1847" t="s">
        <v>73</v>
      </c>
      <c r="N1847" t="s">
        <v>74</v>
      </c>
      <c r="O1847" t="s">
        <v>75</v>
      </c>
      <c r="P1847" t="s">
        <v>74</v>
      </c>
      <c r="Q1847" t="s">
        <v>76</v>
      </c>
      <c r="R1847" t="s">
        <v>73</v>
      </c>
      <c r="S1847">
        <v>0</v>
      </c>
      <c r="W1847" s="20">
        <v>9.3750000000000007E-4</v>
      </c>
      <c r="X1847" t="s">
        <v>4248</v>
      </c>
      <c r="Y1847">
        <v>3</v>
      </c>
      <c r="Z1847">
        <v>0</v>
      </c>
      <c r="AA1847" t="s">
        <v>78</v>
      </c>
      <c r="AB1847">
        <v>0</v>
      </c>
      <c r="AC1847" t="s">
        <v>78</v>
      </c>
      <c r="AD1847">
        <v>0</v>
      </c>
      <c r="AE1847">
        <v>10427628</v>
      </c>
      <c r="AF1847" t="s">
        <v>88</v>
      </c>
      <c r="AG1847" t="s">
        <v>4244</v>
      </c>
    </row>
    <row r="1848" spans="1:33" x14ac:dyDescent="0.35">
      <c r="A1848" s="18">
        <v>44314.734722222223</v>
      </c>
      <c r="B1848">
        <v>436633</v>
      </c>
      <c r="C1848" t="s">
        <v>4249</v>
      </c>
      <c r="D1848" t="s">
        <v>1240</v>
      </c>
      <c r="E1848" s="19">
        <v>37769</v>
      </c>
      <c r="F1848" t="str">
        <f>"9781847143853"</f>
        <v>9781847143853</v>
      </c>
      <c r="G1848" t="str">
        <f>"9780826459954"</f>
        <v>9780826459954</v>
      </c>
      <c r="H1848" t="s">
        <v>528</v>
      </c>
      <c r="I1848">
        <v>194</v>
      </c>
      <c r="J1848" t="s">
        <v>4250</v>
      </c>
      <c r="K1848" t="s">
        <v>73</v>
      </c>
      <c r="N1848" t="s">
        <v>74</v>
      </c>
      <c r="O1848" t="s">
        <v>75</v>
      </c>
      <c r="P1848" t="s">
        <v>74</v>
      </c>
      <c r="Q1848" t="s">
        <v>76</v>
      </c>
      <c r="R1848" t="s">
        <v>73</v>
      </c>
      <c r="S1848">
        <v>1</v>
      </c>
      <c r="W1848" s="20">
        <v>0</v>
      </c>
      <c r="X1848" t="s">
        <v>78</v>
      </c>
      <c r="Y1848">
        <v>0</v>
      </c>
      <c r="Z1848">
        <v>0</v>
      </c>
      <c r="AA1848" t="s">
        <v>78</v>
      </c>
      <c r="AB1848">
        <v>0</v>
      </c>
      <c r="AC1848" t="s">
        <v>78</v>
      </c>
      <c r="AD1848">
        <v>0</v>
      </c>
      <c r="AE1848">
        <v>10224602</v>
      </c>
      <c r="AF1848" t="s">
        <v>88</v>
      </c>
      <c r="AG1848" t="s">
        <v>4244</v>
      </c>
    </row>
    <row r="1849" spans="1:33" x14ac:dyDescent="0.35">
      <c r="A1849" s="18">
        <v>44314.509027777778</v>
      </c>
      <c r="B1849">
        <v>894080</v>
      </c>
      <c r="C1849" t="s">
        <v>4070</v>
      </c>
      <c r="D1849" t="s">
        <v>189</v>
      </c>
      <c r="E1849" s="19">
        <v>41138</v>
      </c>
      <c r="F1849" t="str">
        <f>"9783110254655"</f>
        <v>9783110254655</v>
      </c>
      <c r="G1849" t="str">
        <f>"9783110254648"</f>
        <v>9783110254648</v>
      </c>
      <c r="H1849" t="s">
        <v>848</v>
      </c>
      <c r="I1849">
        <v>541.39</v>
      </c>
      <c r="J1849" t="s">
        <v>4071</v>
      </c>
      <c r="K1849" t="s">
        <v>73</v>
      </c>
      <c r="N1849" t="s">
        <v>74</v>
      </c>
      <c r="O1849" t="s">
        <v>75</v>
      </c>
      <c r="P1849" t="s">
        <v>74</v>
      </c>
      <c r="Q1849" t="s">
        <v>76</v>
      </c>
      <c r="R1849" t="s">
        <v>73</v>
      </c>
      <c r="S1849">
        <v>0</v>
      </c>
      <c r="W1849" s="20">
        <v>2.9490740740740744E-2</v>
      </c>
      <c r="X1849" t="s">
        <v>4251</v>
      </c>
      <c r="Y1849">
        <v>12</v>
      </c>
      <c r="Z1849">
        <v>0</v>
      </c>
      <c r="AA1849" t="s">
        <v>78</v>
      </c>
      <c r="AB1849">
        <v>0</v>
      </c>
      <c r="AC1849" t="s">
        <v>78</v>
      </c>
      <c r="AD1849">
        <v>0</v>
      </c>
      <c r="AE1849">
        <v>10606496</v>
      </c>
      <c r="AF1849" t="s">
        <v>79</v>
      </c>
      <c r="AG1849" t="s">
        <v>2640</v>
      </c>
    </row>
    <row r="1850" spans="1:33" x14ac:dyDescent="0.35">
      <c r="A1850" s="18">
        <v>44314.46597222222</v>
      </c>
      <c r="B1850">
        <v>3001261</v>
      </c>
      <c r="C1850" t="s">
        <v>3419</v>
      </c>
      <c r="D1850" t="s">
        <v>3420</v>
      </c>
      <c r="E1850" s="19">
        <v>39630</v>
      </c>
      <c r="F1850" t="str">
        <f>"9780313352874"</f>
        <v>9780313352874</v>
      </c>
      <c r="G1850" t="str">
        <f>"9780313352867"</f>
        <v>9780313352867</v>
      </c>
      <c r="H1850" t="s">
        <v>3421</v>
      </c>
      <c r="I1850">
        <v>333.79</v>
      </c>
      <c r="J1850" t="s">
        <v>3422</v>
      </c>
      <c r="K1850" t="s">
        <v>73</v>
      </c>
      <c r="N1850" t="s">
        <v>74</v>
      </c>
      <c r="O1850" t="s">
        <v>75</v>
      </c>
      <c r="P1850" t="s">
        <v>74</v>
      </c>
      <c r="Q1850" t="s">
        <v>76</v>
      </c>
      <c r="R1850" t="s">
        <v>73</v>
      </c>
      <c r="S1850">
        <v>0</v>
      </c>
      <c r="W1850" s="20">
        <v>3.4722222222222222E-5</v>
      </c>
      <c r="X1850" t="s">
        <v>132</v>
      </c>
      <c r="Y1850">
        <v>1</v>
      </c>
      <c r="Z1850">
        <v>0</v>
      </c>
      <c r="AA1850" t="s">
        <v>78</v>
      </c>
      <c r="AB1850">
        <v>0</v>
      </c>
      <c r="AC1850" t="s">
        <v>78</v>
      </c>
      <c r="AD1850">
        <v>0</v>
      </c>
      <c r="AE1850">
        <v>10271266</v>
      </c>
      <c r="AF1850" t="s">
        <v>79</v>
      </c>
      <c r="AG1850" t="s">
        <v>333</v>
      </c>
    </row>
    <row r="1851" spans="1:33" x14ac:dyDescent="0.35">
      <c r="A1851" s="18">
        <v>44314.455555555556</v>
      </c>
      <c r="B1851">
        <v>294216</v>
      </c>
      <c r="C1851" t="s">
        <v>4252</v>
      </c>
      <c r="D1851" t="s">
        <v>158</v>
      </c>
      <c r="E1851" s="19">
        <v>37006</v>
      </c>
      <c r="F1851" t="str">
        <f>"9780080489261"</f>
        <v>9780080489261</v>
      </c>
      <c r="G1851" t="str">
        <f>"9780120593545"</f>
        <v>9780120593545</v>
      </c>
      <c r="H1851" t="s">
        <v>3981</v>
      </c>
      <c r="I1851">
        <v>551.5</v>
      </c>
      <c r="J1851" t="s">
        <v>4253</v>
      </c>
      <c r="K1851" t="s">
        <v>85</v>
      </c>
      <c r="N1851" t="s">
        <v>86</v>
      </c>
      <c r="P1851" t="s">
        <v>3541</v>
      </c>
      <c r="Q1851" t="s">
        <v>76</v>
      </c>
      <c r="R1851" t="s">
        <v>73</v>
      </c>
      <c r="S1851">
        <v>0</v>
      </c>
      <c r="W1851" s="20">
        <v>5.2083333333333333E-4</v>
      </c>
      <c r="X1851" t="s">
        <v>951</v>
      </c>
      <c r="Y1851">
        <v>5</v>
      </c>
      <c r="Z1851">
        <v>0</v>
      </c>
      <c r="AA1851" t="s">
        <v>78</v>
      </c>
      <c r="AB1851">
        <v>0</v>
      </c>
      <c r="AC1851" t="s">
        <v>78</v>
      </c>
      <c r="AD1851">
        <v>0</v>
      </c>
      <c r="AE1851">
        <v>10186300</v>
      </c>
      <c r="AF1851" t="s">
        <v>79</v>
      </c>
      <c r="AG1851" t="s">
        <v>1579</v>
      </c>
    </row>
    <row r="1852" spans="1:33" x14ac:dyDescent="0.35">
      <c r="A1852" s="18">
        <v>44314.408333333333</v>
      </c>
      <c r="B1852">
        <v>3001261</v>
      </c>
      <c r="C1852" t="s">
        <v>3419</v>
      </c>
      <c r="D1852" t="s">
        <v>3420</v>
      </c>
      <c r="E1852" s="19">
        <v>39630</v>
      </c>
      <c r="F1852" t="str">
        <f>"9780313352874"</f>
        <v>9780313352874</v>
      </c>
      <c r="G1852" t="str">
        <f>"9780313352867"</f>
        <v>9780313352867</v>
      </c>
      <c r="H1852" t="s">
        <v>3421</v>
      </c>
      <c r="I1852">
        <v>333.79</v>
      </c>
      <c r="J1852" t="s">
        <v>3422</v>
      </c>
      <c r="K1852" t="s">
        <v>73</v>
      </c>
      <c r="N1852" t="s">
        <v>74</v>
      </c>
      <c r="O1852" t="s">
        <v>75</v>
      </c>
      <c r="P1852" t="s">
        <v>74</v>
      </c>
      <c r="Q1852" t="s">
        <v>76</v>
      </c>
      <c r="R1852" t="s">
        <v>73</v>
      </c>
      <c r="S1852">
        <v>0</v>
      </c>
      <c r="W1852" s="20">
        <v>4.6296296296296294E-5</v>
      </c>
      <c r="X1852" t="s">
        <v>132</v>
      </c>
      <c r="Y1852">
        <v>1</v>
      </c>
      <c r="Z1852">
        <v>0</v>
      </c>
      <c r="AA1852" t="s">
        <v>78</v>
      </c>
      <c r="AB1852">
        <v>0</v>
      </c>
      <c r="AC1852" t="s">
        <v>78</v>
      </c>
      <c r="AD1852">
        <v>0</v>
      </c>
      <c r="AE1852">
        <v>10271266</v>
      </c>
      <c r="AF1852" t="s">
        <v>79</v>
      </c>
      <c r="AG1852" t="s">
        <v>333</v>
      </c>
    </row>
    <row r="1853" spans="1:33" x14ac:dyDescent="0.35">
      <c r="A1853" s="18">
        <v>44314.405555555553</v>
      </c>
      <c r="B1853">
        <v>894080</v>
      </c>
      <c r="C1853" t="s">
        <v>4070</v>
      </c>
      <c r="D1853" t="s">
        <v>189</v>
      </c>
      <c r="E1853" s="19">
        <v>41138</v>
      </c>
      <c r="F1853" t="str">
        <f>"9783110254655"</f>
        <v>9783110254655</v>
      </c>
      <c r="G1853" t="str">
        <f>"9783110254648"</f>
        <v>9783110254648</v>
      </c>
      <c r="H1853" t="s">
        <v>848</v>
      </c>
      <c r="I1853">
        <v>541.39</v>
      </c>
      <c r="J1853" t="s">
        <v>4071</v>
      </c>
      <c r="K1853" t="s">
        <v>73</v>
      </c>
      <c r="N1853" t="s">
        <v>74</v>
      </c>
      <c r="O1853" t="s">
        <v>75</v>
      </c>
      <c r="P1853" t="s">
        <v>74</v>
      </c>
      <c r="Q1853" t="s">
        <v>76</v>
      </c>
      <c r="R1853" t="s">
        <v>73</v>
      </c>
      <c r="S1853">
        <v>0</v>
      </c>
      <c r="W1853" s="20">
        <v>1.1226851851851851E-3</v>
      </c>
      <c r="X1853" t="s">
        <v>4254</v>
      </c>
      <c r="Y1853">
        <v>3</v>
      </c>
      <c r="Z1853">
        <v>0</v>
      </c>
      <c r="AA1853" t="s">
        <v>78</v>
      </c>
      <c r="AB1853">
        <v>0</v>
      </c>
      <c r="AC1853" t="s">
        <v>78</v>
      </c>
      <c r="AD1853">
        <v>0</v>
      </c>
      <c r="AE1853">
        <v>10606496</v>
      </c>
      <c r="AF1853" t="s">
        <v>79</v>
      </c>
      <c r="AG1853" t="s">
        <v>2640</v>
      </c>
    </row>
    <row r="1854" spans="1:33" x14ac:dyDescent="0.35">
      <c r="A1854" s="18">
        <v>44314.330555555556</v>
      </c>
      <c r="B1854">
        <v>3001261</v>
      </c>
      <c r="C1854" t="s">
        <v>3419</v>
      </c>
      <c r="D1854" t="s">
        <v>3420</v>
      </c>
      <c r="E1854" s="19">
        <v>39630</v>
      </c>
      <c r="F1854" t="str">
        <f>"9780313352874"</f>
        <v>9780313352874</v>
      </c>
      <c r="G1854" t="str">
        <f>"9780313352867"</f>
        <v>9780313352867</v>
      </c>
      <c r="H1854" t="s">
        <v>3421</v>
      </c>
      <c r="I1854">
        <v>333.79</v>
      </c>
      <c r="J1854" t="s">
        <v>3422</v>
      </c>
      <c r="K1854" t="s">
        <v>73</v>
      </c>
      <c r="N1854" t="s">
        <v>74</v>
      </c>
      <c r="O1854" t="s">
        <v>75</v>
      </c>
      <c r="P1854" t="s">
        <v>74</v>
      </c>
      <c r="Q1854" t="s">
        <v>76</v>
      </c>
      <c r="R1854" t="s">
        <v>73</v>
      </c>
      <c r="S1854">
        <v>0</v>
      </c>
      <c r="W1854" s="20">
        <v>0</v>
      </c>
      <c r="X1854" t="s">
        <v>78</v>
      </c>
      <c r="Y1854">
        <v>0</v>
      </c>
      <c r="Z1854">
        <v>0</v>
      </c>
      <c r="AA1854" t="s">
        <v>78</v>
      </c>
      <c r="AB1854">
        <v>0</v>
      </c>
      <c r="AC1854" t="s">
        <v>78</v>
      </c>
      <c r="AD1854">
        <v>0</v>
      </c>
      <c r="AE1854">
        <v>10271266</v>
      </c>
      <c r="AF1854" t="s">
        <v>79</v>
      </c>
      <c r="AG1854" t="s">
        <v>333</v>
      </c>
    </row>
    <row r="1855" spans="1:33" x14ac:dyDescent="0.35">
      <c r="A1855" s="18">
        <v>44313.946527777778</v>
      </c>
      <c r="B1855">
        <v>947401</v>
      </c>
      <c r="C1855" t="s">
        <v>4255</v>
      </c>
      <c r="D1855" t="s">
        <v>158</v>
      </c>
      <c r="E1855" s="19">
        <v>41129</v>
      </c>
      <c r="F1855" t="str">
        <f>"9780123869753"</f>
        <v>9780123869753</v>
      </c>
      <c r="G1855" t="str">
        <f>"9780123869142"</f>
        <v>9780123869142</v>
      </c>
      <c r="H1855" t="s">
        <v>3071</v>
      </c>
      <c r="I1855">
        <v>665.7</v>
      </c>
      <c r="J1855" t="s">
        <v>4256</v>
      </c>
      <c r="K1855" t="s">
        <v>73</v>
      </c>
      <c r="N1855" t="s">
        <v>74</v>
      </c>
      <c r="O1855" t="s">
        <v>75</v>
      </c>
      <c r="P1855" t="s">
        <v>74</v>
      </c>
      <c r="Q1855" t="s">
        <v>76</v>
      </c>
      <c r="R1855" t="s">
        <v>73</v>
      </c>
      <c r="S1855">
        <v>0</v>
      </c>
      <c r="W1855" s="20">
        <v>2.673611111111111E-3</v>
      </c>
      <c r="X1855" t="s">
        <v>4257</v>
      </c>
      <c r="Y1855">
        <v>6</v>
      </c>
      <c r="Z1855">
        <v>0</v>
      </c>
      <c r="AA1855" t="s">
        <v>78</v>
      </c>
      <c r="AB1855">
        <v>0</v>
      </c>
      <c r="AC1855" t="s">
        <v>78</v>
      </c>
      <c r="AD1855">
        <v>0</v>
      </c>
      <c r="AE1855">
        <v>10574663</v>
      </c>
      <c r="AF1855" t="s">
        <v>79</v>
      </c>
      <c r="AG1855" t="s">
        <v>4132</v>
      </c>
    </row>
    <row r="1856" spans="1:33" x14ac:dyDescent="0.35">
      <c r="A1856" s="18">
        <v>44313.686805555553</v>
      </c>
      <c r="B1856">
        <v>4877022</v>
      </c>
      <c r="C1856" t="s">
        <v>3716</v>
      </c>
      <c r="D1856" t="s">
        <v>741</v>
      </c>
      <c r="E1856" s="19">
        <v>42856</v>
      </c>
      <c r="F1856" t="str">
        <f>"9781423234944"</f>
        <v>9781423234944</v>
      </c>
      <c r="G1856" t="str">
        <f>"9781423234739"</f>
        <v>9781423234739</v>
      </c>
      <c r="H1856" t="s">
        <v>1179</v>
      </c>
      <c r="I1856">
        <v>378.1662</v>
      </c>
      <c r="J1856" t="s">
        <v>3717</v>
      </c>
      <c r="K1856" t="s">
        <v>73</v>
      </c>
      <c r="N1856" t="s">
        <v>74</v>
      </c>
      <c r="O1856" t="s">
        <v>75</v>
      </c>
      <c r="P1856" t="s">
        <v>74</v>
      </c>
      <c r="Q1856" t="s">
        <v>76</v>
      </c>
      <c r="R1856" t="s">
        <v>73</v>
      </c>
      <c r="S1856">
        <v>1</v>
      </c>
      <c r="W1856" s="20">
        <v>0</v>
      </c>
      <c r="X1856" t="s">
        <v>78</v>
      </c>
      <c r="Y1856">
        <v>0</v>
      </c>
      <c r="Z1856">
        <v>0</v>
      </c>
      <c r="AA1856" t="s">
        <v>78</v>
      </c>
      <c r="AB1856">
        <v>0</v>
      </c>
      <c r="AC1856" t="s">
        <v>78</v>
      </c>
      <c r="AD1856">
        <v>0</v>
      </c>
      <c r="AE1856">
        <v>11397704</v>
      </c>
      <c r="AF1856" t="s">
        <v>88</v>
      </c>
      <c r="AG1856" t="s">
        <v>548</v>
      </c>
    </row>
    <row r="1857" spans="1:33" x14ac:dyDescent="0.35">
      <c r="A1857" s="18">
        <v>44313.597916666666</v>
      </c>
      <c r="B1857">
        <v>3111484</v>
      </c>
      <c r="C1857" t="s">
        <v>4258</v>
      </c>
      <c r="D1857" t="s">
        <v>1117</v>
      </c>
      <c r="E1857" s="19">
        <v>22647</v>
      </c>
      <c r="F1857" t="str">
        <f>"9781600862632"</f>
        <v>9781600862632</v>
      </c>
      <c r="G1857" t="str">
        <f>"9781563478574"</f>
        <v>9781563478574</v>
      </c>
      <c r="H1857" t="s">
        <v>1923</v>
      </c>
      <c r="J1857" t="s">
        <v>4259</v>
      </c>
      <c r="K1857" t="s">
        <v>73</v>
      </c>
      <c r="N1857" t="s">
        <v>74</v>
      </c>
      <c r="O1857" t="s">
        <v>75</v>
      </c>
      <c r="P1857" t="s">
        <v>74</v>
      </c>
      <c r="Q1857" t="s">
        <v>76</v>
      </c>
      <c r="R1857" t="s">
        <v>73</v>
      </c>
      <c r="S1857">
        <v>0</v>
      </c>
      <c r="W1857" s="20">
        <v>8.1018518518518516E-5</v>
      </c>
      <c r="X1857" t="s">
        <v>132</v>
      </c>
      <c r="Y1857">
        <v>1</v>
      </c>
      <c r="Z1857">
        <v>0</v>
      </c>
      <c r="AA1857" t="s">
        <v>78</v>
      </c>
      <c r="AB1857">
        <v>0</v>
      </c>
      <c r="AC1857" t="s">
        <v>78</v>
      </c>
      <c r="AD1857">
        <v>0</v>
      </c>
      <c r="AE1857">
        <v>10516567</v>
      </c>
      <c r="AF1857" t="s">
        <v>79</v>
      </c>
      <c r="AG1857" t="s">
        <v>4260</v>
      </c>
    </row>
    <row r="1858" spans="1:33" x14ac:dyDescent="0.35">
      <c r="A1858" s="18">
        <v>44313.454861111109</v>
      </c>
      <c r="B1858">
        <v>4877020</v>
      </c>
      <c r="C1858" t="s">
        <v>2651</v>
      </c>
      <c r="D1858" t="s">
        <v>741</v>
      </c>
      <c r="E1858" s="19">
        <v>42856</v>
      </c>
      <c r="F1858" t="str">
        <f>"9781423234951"</f>
        <v>9781423234951</v>
      </c>
      <c r="G1858" t="str">
        <f>"9781423234746"</f>
        <v>9781423234746</v>
      </c>
      <c r="H1858" t="s">
        <v>115</v>
      </c>
      <c r="I1858">
        <v>510.76</v>
      </c>
      <c r="J1858" t="s">
        <v>2652</v>
      </c>
      <c r="K1858" t="s">
        <v>73</v>
      </c>
      <c r="N1858" t="s">
        <v>74</v>
      </c>
      <c r="O1858" t="s">
        <v>75</v>
      </c>
      <c r="P1858" t="s">
        <v>74</v>
      </c>
      <c r="Q1858" t="s">
        <v>76</v>
      </c>
      <c r="R1858" t="s">
        <v>73</v>
      </c>
      <c r="S1858">
        <v>1</v>
      </c>
      <c r="W1858" s="20">
        <v>0</v>
      </c>
      <c r="X1858" t="s">
        <v>78</v>
      </c>
      <c r="Y1858">
        <v>0</v>
      </c>
      <c r="Z1858">
        <v>0</v>
      </c>
      <c r="AA1858" t="s">
        <v>78</v>
      </c>
      <c r="AB1858">
        <v>0</v>
      </c>
      <c r="AC1858" t="s">
        <v>78</v>
      </c>
      <c r="AD1858">
        <v>0</v>
      </c>
      <c r="AE1858">
        <v>11397702</v>
      </c>
      <c r="AF1858" t="s">
        <v>88</v>
      </c>
      <c r="AG1858" t="s">
        <v>4244</v>
      </c>
    </row>
    <row r="1859" spans="1:33" x14ac:dyDescent="0.35">
      <c r="A1859" s="18">
        <v>44313.45208333333</v>
      </c>
      <c r="B1859">
        <v>474531</v>
      </c>
      <c r="C1859" t="s">
        <v>2647</v>
      </c>
      <c r="D1859" t="s">
        <v>2648</v>
      </c>
      <c r="E1859" s="19">
        <v>38749</v>
      </c>
      <c r="F1859" t="str">
        <f>"9781889057613"</f>
        <v>9781889057613</v>
      </c>
      <c r="G1859" t="str">
        <f>"9781889057361"</f>
        <v>9781889057361</v>
      </c>
      <c r="H1859" t="s">
        <v>1179</v>
      </c>
      <c r="I1859">
        <v>378.1662</v>
      </c>
      <c r="J1859" t="s">
        <v>2649</v>
      </c>
      <c r="K1859" t="s">
        <v>73</v>
      </c>
      <c r="N1859" t="s">
        <v>74</v>
      </c>
      <c r="O1859" t="s">
        <v>75</v>
      </c>
      <c r="P1859" t="s">
        <v>74</v>
      </c>
      <c r="Q1859" t="s">
        <v>76</v>
      </c>
      <c r="R1859" t="s">
        <v>73</v>
      </c>
      <c r="S1859">
        <v>1</v>
      </c>
      <c r="W1859" s="20">
        <v>0</v>
      </c>
      <c r="X1859" t="s">
        <v>78</v>
      </c>
      <c r="Y1859">
        <v>0</v>
      </c>
      <c r="Z1859">
        <v>0</v>
      </c>
      <c r="AA1859" t="s">
        <v>78</v>
      </c>
      <c r="AB1859">
        <v>0</v>
      </c>
      <c r="AC1859" t="s">
        <v>78</v>
      </c>
      <c r="AD1859">
        <v>0</v>
      </c>
      <c r="AE1859">
        <v>10347278</v>
      </c>
      <c r="AF1859" t="s">
        <v>88</v>
      </c>
      <c r="AG1859" t="s">
        <v>4244</v>
      </c>
    </row>
    <row r="1860" spans="1:33" x14ac:dyDescent="0.35">
      <c r="A1860" s="18">
        <v>44313.324305555558</v>
      </c>
      <c r="B1860">
        <v>3001261</v>
      </c>
      <c r="C1860" t="s">
        <v>3419</v>
      </c>
      <c r="D1860" t="s">
        <v>3420</v>
      </c>
      <c r="E1860" s="19">
        <v>39630</v>
      </c>
      <c r="F1860" t="str">
        <f>"9780313352874"</f>
        <v>9780313352874</v>
      </c>
      <c r="G1860" t="str">
        <f>"9780313352867"</f>
        <v>9780313352867</v>
      </c>
      <c r="H1860" t="s">
        <v>3421</v>
      </c>
      <c r="I1860">
        <v>333.79</v>
      </c>
      <c r="J1860" t="s">
        <v>3422</v>
      </c>
      <c r="K1860" t="s">
        <v>73</v>
      </c>
      <c r="N1860" t="s">
        <v>74</v>
      </c>
      <c r="O1860" t="s">
        <v>75</v>
      </c>
      <c r="P1860" t="s">
        <v>74</v>
      </c>
      <c r="Q1860" t="s">
        <v>76</v>
      </c>
      <c r="R1860" t="s">
        <v>73</v>
      </c>
      <c r="S1860">
        <v>0</v>
      </c>
      <c r="W1860" s="20">
        <v>4.6296296296296294E-5</v>
      </c>
      <c r="X1860" t="s">
        <v>132</v>
      </c>
      <c r="Y1860">
        <v>1</v>
      </c>
      <c r="Z1860">
        <v>0</v>
      </c>
      <c r="AA1860" t="s">
        <v>78</v>
      </c>
      <c r="AB1860">
        <v>0</v>
      </c>
      <c r="AC1860" t="s">
        <v>78</v>
      </c>
      <c r="AD1860">
        <v>0</v>
      </c>
      <c r="AE1860">
        <v>10271266</v>
      </c>
      <c r="AF1860" t="s">
        <v>79</v>
      </c>
      <c r="AG1860" t="s">
        <v>333</v>
      </c>
    </row>
    <row r="1861" spans="1:33" x14ac:dyDescent="0.35">
      <c r="A1861" s="18">
        <v>44313.097916666666</v>
      </c>
      <c r="B1861">
        <v>2032679</v>
      </c>
      <c r="C1861" t="s">
        <v>4261</v>
      </c>
      <c r="D1861" t="s">
        <v>1823</v>
      </c>
      <c r="E1861" s="19">
        <v>37347</v>
      </c>
      <c r="F1861" t="str">
        <f>"9781469880532"</f>
        <v>9781469880532</v>
      </c>
      <c r="G1861" t="str">
        <f>"9781582551807"</f>
        <v>9781582551807</v>
      </c>
      <c r="H1861" t="s">
        <v>868</v>
      </c>
      <c r="I1861">
        <v>612</v>
      </c>
      <c r="J1861" t="s">
        <v>4262</v>
      </c>
      <c r="K1861" t="s">
        <v>73</v>
      </c>
      <c r="N1861" t="s">
        <v>74</v>
      </c>
      <c r="O1861" t="s">
        <v>75</v>
      </c>
      <c r="P1861" t="s">
        <v>74</v>
      </c>
      <c r="Q1861" t="s">
        <v>76</v>
      </c>
      <c r="R1861" t="s">
        <v>73</v>
      </c>
      <c r="S1861">
        <v>0</v>
      </c>
      <c r="W1861" s="20">
        <v>2.6620370370370372E-4</v>
      </c>
      <c r="X1861" t="s">
        <v>4263</v>
      </c>
      <c r="Y1861">
        <v>3</v>
      </c>
      <c r="Z1861">
        <v>0</v>
      </c>
      <c r="AA1861" t="s">
        <v>78</v>
      </c>
      <c r="AB1861">
        <v>0</v>
      </c>
      <c r="AC1861" t="s">
        <v>78</v>
      </c>
      <c r="AD1861">
        <v>0</v>
      </c>
      <c r="AE1861">
        <v>10826515</v>
      </c>
      <c r="AF1861" t="s">
        <v>79</v>
      </c>
      <c r="AG1861" t="s">
        <v>4244</v>
      </c>
    </row>
    <row r="1862" spans="1:33" x14ac:dyDescent="0.35">
      <c r="A1862" s="18">
        <v>44313.095833333333</v>
      </c>
      <c r="B1862">
        <v>1956432</v>
      </c>
      <c r="C1862" t="s">
        <v>4264</v>
      </c>
      <c r="D1862" t="s">
        <v>70</v>
      </c>
      <c r="E1862" s="19">
        <v>42114</v>
      </c>
      <c r="F1862" t="str">
        <f>"9781118746271"</f>
        <v>9781118746271</v>
      </c>
      <c r="G1862" t="str">
        <f>"9781118746318"</f>
        <v>9781118746318</v>
      </c>
      <c r="H1862" t="s">
        <v>103</v>
      </c>
      <c r="I1862">
        <v>612</v>
      </c>
      <c r="J1862" t="s">
        <v>4265</v>
      </c>
      <c r="K1862" t="s">
        <v>73</v>
      </c>
      <c r="N1862" t="s">
        <v>74</v>
      </c>
      <c r="O1862" t="s">
        <v>75</v>
      </c>
      <c r="P1862" t="s">
        <v>74</v>
      </c>
      <c r="Q1862" t="s">
        <v>76</v>
      </c>
      <c r="R1862" t="s">
        <v>73</v>
      </c>
      <c r="S1862">
        <v>0</v>
      </c>
      <c r="W1862" s="20">
        <v>6.3657407407407402E-4</v>
      </c>
      <c r="X1862" t="s">
        <v>4266</v>
      </c>
      <c r="Y1862">
        <v>10</v>
      </c>
      <c r="Z1862">
        <v>0</v>
      </c>
      <c r="AA1862" t="s">
        <v>78</v>
      </c>
      <c r="AB1862">
        <v>0</v>
      </c>
      <c r="AC1862" t="s">
        <v>78</v>
      </c>
      <c r="AD1862">
        <v>0</v>
      </c>
      <c r="AE1862">
        <v>11020394</v>
      </c>
      <c r="AF1862" t="s">
        <v>79</v>
      </c>
      <c r="AG1862" t="s">
        <v>4244</v>
      </c>
    </row>
    <row r="1863" spans="1:33" x14ac:dyDescent="0.35">
      <c r="A1863" s="18">
        <v>44313.001388888886</v>
      </c>
      <c r="B1863">
        <v>4877022</v>
      </c>
      <c r="C1863" t="s">
        <v>3716</v>
      </c>
      <c r="D1863" t="s">
        <v>741</v>
      </c>
      <c r="E1863" s="19">
        <v>42856</v>
      </c>
      <c r="F1863" t="str">
        <f>"9781423234944"</f>
        <v>9781423234944</v>
      </c>
      <c r="G1863" t="str">
        <f>"9781423234739"</f>
        <v>9781423234739</v>
      </c>
      <c r="H1863" t="s">
        <v>1179</v>
      </c>
      <c r="I1863">
        <v>378.1662</v>
      </c>
      <c r="J1863" t="s">
        <v>3717</v>
      </c>
      <c r="K1863" t="s">
        <v>73</v>
      </c>
      <c r="N1863" t="s">
        <v>74</v>
      </c>
      <c r="O1863" t="s">
        <v>75</v>
      </c>
      <c r="P1863" t="s">
        <v>74</v>
      </c>
      <c r="Q1863" t="s">
        <v>76</v>
      </c>
      <c r="R1863" t="s">
        <v>73</v>
      </c>
      <c r="S1863">
        <v>1</v>
      </c>
      <c r="W1863" s="20">
        <v>0</v>
      </c>
      <c r="X1863" t="s">
        <v>78</v>
      </c>
      <c r="Y1863">
        <v>0</v>
      </c>
      <c r="Z1863">
        <v>0</v>
      </c>
      <c r="AA1863" t="s">
        <v>78</v>
      </c>
      <c r="AB1863">
        <v>0</v>
      </c>
      <c r="AC1863" t="s">
        <v>78</v>
      </c>
      <c r="AD1863">
        <v>0</v>
      </c>
      <c r="AE1863">
        <v>11397704</v>
      </c>
      <c r="AF1863" t="s">
        <v>88</v>
      </c>
      <c r="AG1863" t="s">
        <v>333</v>
      </c>
    </row>
    <row r="1864" spans="1:33" x14ac:dyDescent="0.35">
      <c r="A1864" s="18">
        <v>44312.936111111114</v>
      </c>
      <c r="B1864">
        <v>253718</v>
      </c>
      <c r="C1864" t="s">
        <v>4267</v>
      </c>
      <c r="D1864" t="s">
        <v>506</v>
      </c>
      <c r="E1864" s="19">
        <v>37911</v>
      </c>
      <c r="F1864" t="str">
        <f>"9789047401872"</f>
        <v>9789047401872</v>
      </c>
      <c r="G1864" t="str">
        <f>"9789004129221"</f>
        <v>9789004129221</v>
      </c>
      <c r="H1864" t="s">
        <v>636</v>
      </c>
      <c r="I1864" t="s">
        <v>4268</v>
      </c>
      <c r="J1864" t="s">
        <v>4269</v>
      </c>
      <c r="K1864" t="s">
        <v>73</v>
      </c>
      <c r="N1864" t="s">
        <v>74</v>
      </c>
      <c r="O1864" t="s">
        <v>75</v>
      </c>
      <c r="P1864" t="s">
        <v>74</v>
      </c>
      <c r="Q1864" t="s">
        <v>76</v>
      </c>
      <c r="R1864" t="s">
        <v>73</v>
      </c>
      <c r="S1864">
        <v>0</v>
      </c>
      <c r="W1864" s="20">
        <v>1.7187499999999998E-2</v>
      </c>
      <c r="X1864" t="s">
        <v>4270</v>
      </c>
      <c r="Y1864">
        <v>13</v>
      </c>
      <c r="Z1864">
        <v>0</v>
      </c>
      <c r="AA1864" t="s">
        <v>78</v>
      </c>
      <c r="AB1864">
        <v>0</v>
      </c>
      <c r="AC1864" t="s">
        <v>78</v>
      </c>
      <c r="AD1864">
        <v>0</v>
      </c>
      <c r="AE1864">
        <v>10089114</v>
      </c>
      <c r="AF1864" t="s">
        <v>79</v>
      </c>
      <c r="AG1864" t="s">
        <v>4271</v>
      </c>
    </row>
    <row r="1865" spans="1:33" x14ac:dyDescent="0.35">
      <c r="A1865" s="18">
        <v>44312.760416666664</v>
      </c>
      <c r="B1865">
        <v>4770365</v>
      </c>
      <c r="C1865" t="s">
        <v>4272</v>
      </c>
      <c r="D1865" t="s">
        <v>70</v>
      </c>
      <c r="E1865" s="19">
        <v>42745</v>
      </c>
      <c r="F1865" t="str">
        <f>"9781119226871"</f>
        <v>9781119226871</v>
      </c>
      <c r="G1865" t="str">
        <f>"9781119226857"</f>
        <v>9781119226857</v>
      </c>
      <c r="H1865" t="s">
        <v>71</v>
      </c>
      <c r="I1865">
        <v>621.29999999999995</v>
      </c>
      <c r="J1865" t="s">
        <v>4273</v>
      </c>
      <c r="K1865" t="s">
        <v>73</v>
      </c>
      <c r="N1865" t="s">
        <v>74</v>
      </c>
      <c r="O1865" t="s">
        <v>75</v>
      </c>
      <c r="P1865" t="s">
        <v>74</v>
      </c>
      <c r="Q1865" t="s">
        <v>76</v>
      </c>
      <c r="R1865" t="s">
        <v>73</v>
      </c>
      <c r="S1865">
        <v>0</v>
      </c>
      <c r="W1865" s="20">
        <v>1.712962962962963E-3</v>
      </c>
      <c r="X1865" t="s">
        <v>4274</v>
      </c>
      <c r="Y1865">
        <v>13</v>
      </c>
      <c r="Z1865">
        <v>0</v>
      </c>
      <c r="AA1865" t="s">
        <v>78</v>
      </c>
      <c r="AB1865">
        <v>0</v>
      </c>
      <c r="AC1865" t="s">
        <v>78</v>
      </c>
      <c r="AD1865">
        <v>0</v>
      </c>
      <c r="AE1865">
        <v>11318072</v>
      </c>
      <c r="AF1865" t="s">
        <v>79</v>
      </c>
      <c r="AG1865" t="s">
        <v>4260</v>
      </c>
    </row>
    <row r="1866" spans="1:33" x14ac:dyDescent="0.35">
      <c r="A1866" s="18">
        <v>44312.62222222222</v>
      </c>
      <c r="B1866">
        <v>1446430</v>
      </c>
      <c r="C1866" t="s">
        <v>1649</v>
      </c>
      <c r="D1866" t="s">
        <v>127</v>
      </c>
      <c r="E1866" s="19">
        <v>40274</v>
      </c>
      <c r="F1866" t="str">
        <f>"9781439882573"</f>
        <v>9781439882573</v>
      </c>
      <c r="G1866" t="str">
        <f>"9781420085983"</f>
        <v>9781420085983</v>
      </c>
      <c r="H1866" t="s">
        <v>979</v>
      </c>
      <c r="I1866" t="s">
        <v>1650</v>
      </c>
      <c r="J1866" t="s">
        <v>1651</v>
      </c>
      <c r="K1866" t="s">
        <v>73</v>
      </c>
      <c r="N1866" t="s">
        <v>74</v>
      </c>
      <c r="O1866" t="s">
        <v>75</v>
      </c>
      <c r="P1866" t="s">
        <v>74</v>
      </c>
      <c r="Q1866" t="s">
        <v>76</v>
      </c>
      <c r="R1866" t="s">
        <v>73</v>
      </c>
      <c r="S1866">
        <v>0</v>
      </c>
      <c r="W1866" s="20">
        <v>9.8379629629629642E-4</v>
      </c>
      <c r="X1866" t="s">
        <v>4275</v>
      </c>
      <c r="Y1866">
        <v>15</v>
      </c>
      <c r="Z1866">
        <v>0</v>
      </c>
      <c r="AA1866" t="s">
        <v>78</v>
      </c>
      <c r="AB1866">
        <v>0</v>
      </c>
      <c r="AC1866" t="s">
        <v>78</v>
      </c>
      <c r="AD1866">
        <v>0</v>
      </c>
      <c r="AE1866">
        <v>11166018</v>
      </c>
      <c r="AF1866" t="s">
        <v>79</v>
      </c>
      <c r="AG1866" t="s">
        <v>4260</v>
      </c>
    </row>
    <row r="1867" spans="1:33" x14ac:dyDescent="0.35">
      <c r="A1867" s="18">
        <v>44312.620833333334</v>
      </c>
      <c r="B1867">
        <v>294216</v>
      </c>
      <c r="C1867" t="s">
        <v>4252</v>
      </c>
      <c r="D1867" t="s">
        <v>158</v>
      </c>
      <c r="E1867" s="19">
        <v>37006</v>
      </c>
      <c r="F1867" t="str">
        <f>"9780080489261"</f>
        <v>9780080489261</v>
      </c>
      <c r="G1867" t="str">
        <f>"9780120593545"</f>
        <v>9780120593545</v>
      </c>
      <c r="H1867" t="s">
        <v>3981</v>
      </c>
      <c r="I1867">
        <v>551.5</v>
      </c>
      <c r="J1867" t="s">
        <v>4253</v>
      </c>
      <c r="K1867" t="s">
        <v>85</v>
      </c>
      <c r="L1867" t="s">
        <v>4276</v>
      </c>
      <c r="N1867" t="s">
        <v>86</v>
      </c>
      <c r="P1867" t="s">
        <v>3541</v>
      </c>
      <c r="Q1867" t="s">
        <v>4277</v>
      </c>
      <c r="R1867" t="s">
        <v>73</v>
      </c>
      <c r="S1867">
        <v>1</v>
      </c>
      <c r="T1867">
        <v>1</v>
      </c>
      <c r="U1867" s="18">
        <v>44312.620833333334</v>
      </c>
      <c r="V1867" s="18">
        <v>44313.620833333334</v>
      </c>
      <c r="W1867" s="20">
        <v>0</v>
      </c>
      <c r="X1867" t="s">
        <v>78</v>
      </c>
      <c r="Y1867">
        <v>0</v>
      </c>
      <c r="Z1867">
        <v>0</v>
      </c>
      <c r="AA1867" t="s">
        <v>78</v>
      </c>
      <c r="AB1867">
        <v>0</v>
      </c>
      <c r="AC1867" t="s">
        <v>78</v>
      </c>
      <c r="AD1867">
        <v>0</v>
      </c>
      <c r="AE1867">
        <v>10186300</v>
      </c>
      <c r="AF1867" t="s">
        <v>88</v>
      </c>
      <c r="AG1867" t="s">
        <v>4260</v>
      </c>
    </row>
    <row r="1868" spans="1:33" x14ac:dyDescent="0.35">
      <c r="A1868" s="18">
        <v>44312.420138888891</v>
      </c>
      <c r="B1868">
        <v>3001261</v>
      </c>
      <c r="C1868" t="s">
        <v>3419</v>
      </c>
      <c r="D1868" t="s">
        <v>3420</v>
      </c>
      <c r="E1868" s="19">
        <v>39630</v>
      </c>
      <c r="F1868" t="str">
        <f>"9780313352874"</f>
        <v>9780313352874</v>
      </c>
      <c r="G1868" t="str">
        <f>"9780313352867"</f>
        <v>9780313352867</v>
      </c>
      <c r="H1868" t="s">
        <v>3421</v>
      </c>
      <c r="I1868">
        <v>333.79</v>
      </c>
      <c r="J1868" t="s">
        <v>3422</v>
      </c>
      <c r="K1868" t="s">
        <v>73</v>
      </c>
      <c r="N1868" t="s">
        <v>74</v>
      </c>
      <c r="O1868" t="s">
        <v>75</v>
      </c>
      <c r="P1868" t="s">
        <v>74</v>
      </c>
      <c r="Q1868" t="s">
        <v>76</v>
      </c>
      <c r="R1868" t="s">
        <v>73</v>
      </c>
      <c r="S1868">
        <v>0</v>
      </c>
      <c r="W1868" s="20">
        <v>4.6296296296296294E-5</v>
      </c>
      <c r="X1868" t="s">
        <v>132</v>
      </c>
      <c r="Y1868">
        <v>1</v>
      </c>
      <c r="Z1868">
        <v>0</v>
      </c>
      <c r="AA1868" t="s">
        <v>78</v>
      </c>
      <c r="AB1868">
        <v>0</v>
      </c>
      <c r="AC1868" t="s">
        <v>78</v>
      </c>
      <c r="AD1868">
        <v>0</v>
      </c>
      <c r="AE1868">
        <v>10271266</v>
      </c>
      <c r="AF1868" t="s">
        <v>79</v>
      </c>
      <c r="AG1868" t="s">
        <v>333</v>
      </c>
    </row>
    <row r="1869" spans="1:33" x14ac:dyDescent="0.35">
      <c r="A1869" s="18">
        <v>44312.327777777777</v>
      </c>
      <c r="B1869">
        <v>3001261</v>
      </c>
      <c r="C1869" t="s">
        <v>3419</v>
      </c>
      <c r="D1869" t="s">
        <v>3420</v>
      </c>
      <c r="E1869" s="19">
        <v>39630</v>
      </c>
      <c r="F1869" t="str">
        <f>"9780313352874"</f>
        <v>9780313352874</v>
      </c>
      <c r="G1869" t="str">
        <f>"9780313352867"</f>
        <v>9780313352867</v>
      </c>
      <c r="H1869" t="s">
        <v>3421</v>
      </c>
      <c r="I1869">
        <v>333.79</v>
      </c>
      <c r="J1869" t="s">
        <v>3422</v>
      </c>
      <c r="K1869" t="s">
        <v>73</v>
      </c>
      <c r="N1869" t="s">
        <v>74</v>
      </c>
      <c r="O1869" t="s">
        <v>75</v>
      </c>
      <c r="P1869" t="s">
        <v>74</v>
      </c>
      <c r="Q1869" t="s">
        <v>76</v>
      </c>
      <c r="R1869" t="s">
        <v>73</v>
      </c>
      <c r="S1869">
        <v>0</v>
      </c>
      <c r="W1869" s="20">
        <v>5.7870370370370366E-5</v>
      </c>
      <c r="X1869" t="s">
        <v>132</v>
      </c>
      <c r="Y1869">
        <v>1</v>
      </c>
      <c r="Z1869">
        <v>0</v>
      </c>
      <c r="AA1869" t="s">
        <v>78</v>
      </c>
      <c r="AB1869">
        <v>0</v>
      </c>
      <c r="AC1869" t="s">
        <v>78</v>
      </c>
      <c r="AD1869">
        <v>0</v>
      </c>
      <c r="AE1869">
        <v>10271266</v>
      </c>
      <c r="AF1869" t="s">
        <v>79</v>
      </c>
      <c r="AG1869" t="s">
        <v>333</v>
      </c>
    </row>
    <row r="1870" spans="1:33" x14ac:dyDescent="0.35">
      <c r="A1870" s="18">
        <v>44312.303472222222</v>
      </c>
      <c r="B1870">
        <v>3001261</v>
      </c>
      <c r="C1870" t="s">
        <v>3419</v>
      </c>
      <c r="D1870" t="s">
        <v>3420</v>
      </c>
      <c r="E1870" s="19">
        <v>39630</v>
      </c>
      <c r="F1870" t="str">
        <f>"9780313352874"</f>
        <v>9780313352874</v>
      </c>
      <c r="G1870" t="str">
        <f>"9780313352867"</f>
        <v>9780313352867</v>
      </c>
      <c r="H1870" t="s">
        <v>3421</v>
      </c>
      <c r="I1870">
        <v>333.79</v>
      </c>
      <c r="J1870" t="s">
        <v>3422</v>
      </c>
      <c r="K1870" t="s">
        <v>73</v>
      </c>
      <c r="N1870" t="s">
        <v>74</v>
      </c>
      <c r="O1870" t="s">
        <v>75</v>
      </c>
      <c r="P1870" t="s">
        <v>74</v>
      </c>
      <c r="Q1870" t="s">
        <v>76</v>
      </c>
      <c r="R1870" t="s">
        <v>73</v>
      </c>
      <c r="S1870">
        <v>0</v>
      </c>
      <c r="W1870" s="20">
        <v>0</v>
      </c>
      <c r="X1870" t="s">
        <v>78</v>
      </c>
      <c r="Y1870">
        <v>0</v>
      </c>
      <c r="Z1870">
        <v>0</v>
      </c>
      <c r="AA1870" t="s">
        <v>78</v>
      </c>
      <c r="AB1870">
        <v>0</v>
      </c>
      <c r="AC1870" t="s">
        <v>78</v>
      </c>
      <c r="AD1870">
        <v>0</v>
      </c>
      <c r="AE1870">
        <v>10271266</v>
      </c>
      <c r="AF1870" t="s">
        <v>79</v>
      </c>
      <c r="AG1870" t="s">
        <v>333</v>
      </c>
    </row>
    <row r="1871" spans="1:33" x14ac:dyDescent="0.35">
      <c r="A1871" s="18">
        <v>44311.648611111108</v>
      </c>
      <c r="B1871">
        <v>6356807</v>
      </c>
      <c r="C1871" t="s">
        <v>4278</v>
      </c>
      <c r="D1871" t="s">
        <v>158</v>
      </c>
      <c r="E1871" s="19">
        <v>44096</v>
      </c>
      <c r="F1871" t="str">
        <f>"9780128178850"</f>
        <v>9780128178850</v>
      </c>
      <c r="G1871" t="str">
        <f>"9780128178843"</f>
        <v>9780128178843</v>
      </c>
      <c r="H1871" t="s">
        <v>83</v>
      </c>
      <c r="I1871">
        <v>629.46</v>
      </c>
      <c r="J1871" t="s">
        <v>4279</v>
      </c>
      <c r="K1871" t="s">
        <v>85</v>
      </c>
      <c r="N1871" t="s">
        <v>86</v>
      </c>
      <c r="P1871" t="s">
        <v>87</v>
      </c>
      <c r="Q1871" t="s">
        <v>76</v>
      </c>
      <c r="R1871" t="s">
        <v>73</v>
      </c>
      <c r="S1871">
        <v>0</v>
      </c>
      <c r="W1871" s="20">
        <v>6.9444444444444444E-5</v>
      </c>
      <c r="X1871" t="s">
        <v>132</v>
      </c>
      <c r="Y1871">
        <v>1</v>
      </c>
      <c r="Z1871">
        <v>0</v>
      </c>
      <c r="AA1871" t="s">
        <v>78</v>
      </c>
      <c r="AB1871">
        <v>0</v>
      </c>
      <c r="AC1871" t="s">
        <v>78</v>
      </c>
      <c r="AD1871">
        <v>0</v>
      </c>
      <c r="AE1871">
        <v>-1</v>
      </c>
      <c r="AF1871" t="s">
        <v>79</v>
      </c>
      <c r="AG1871" t="s">
        <v>4260</v>
      </c>
    </row>
    <row r="1872" spans="1:33" x14ac:dyDescent="0.35">
      <c r="A1872" s="18">
        <v>44311.602777777778</v>
      </c>
      <c r="B1872">
        <v>3001261</v>
      </c>
      <c r="C1872" t="s">
        <v>3419</v>
      </c>
      <c r="D1872" t="s">
        <v>3420</v>
      </c>
      <c r="E1872" s="19">
        <v>39630</v>
      </c>
      <c r="F1872" t="str">
        <f>"9780313352874"</f>
        <v>9780313352874</v>
      </c>
      <c r="G1872" t="str">
        <f>"9780313352867"</f>
        <v>9780313352867</v>
      </c>
      <c r="H1872" t="s">
        <v>3421</v>
      </c>
      <c r="I1872">
        <v>333.79</v>
      </c>
      <c r="J1872" t="s">
        <v>3422</v>
      </c>
      <c r="K1872" t="s">
        <v>73</v>
      </c>
      <c r="N1872" t="s">
        <v>74</v>
      </c>
      <c r="O1872" t="s">
        <v>75</v>
      </c>
      <c r="P1872" t="s">
        <v>74</v>
      </c>
      <c r="Q1872" t="s">
        <v>76</v>
      </c>
      <c r="R1872" t="s">
        <v>73</v>
      </c>
      <c r="S1872">
        <v>0</v>
      </c>
      <c r="W1872" s="20">
        <v>4.6296296296296294E-5</v>
      </c>
      <c r="X1872" t="s">
        <v>132</v>
      </c>
      <c r="Y1872">
        <v>1</v>
      </c>
      <c r="Z1872">
        <v>0</v>
      </c>
      <c r="AA1872" t="s">
        <v>78</v>
      </c>
      <c r="AB1872">
        <v>0</v>
      </c>
      <c r="AC1872" t="s">
        <v>78</v>
      </c>
      <c r="AD1872">
        <v>0</v>
      </c>
      <c r="AE1872">
        <v>10271266</v>
      </c>
      <c r="AF1872" t="s">
        <v>79</v>
      </c>
      <c r="AG1872" t="s">
        <v>333</v>
      </c>
    </row>
    <row r="1873" spans="1:33" x14ac:dyDescent="0.35">
      <c r="A1873" s="18">
        <v>44311.410416666666</v>
      </c>
      <c r="B1873">
        <v>3001261</v>
      </c>
      <c r="C1873" t="s">
        <v>3419</v>
      </c>
      <c r="D1873" t="s">
        <v>3420</v>
      </c>
      <c r="E1873" s="19">
        <v>39630</v>
      </c>
      <c r="F1873" t="str">
        <f>"9780313352874"</f>
        <v>9780313352874</v>
      </c>
      <c r="G1873" t="str">
        <f>"9780313352867"</f>
        <v>9780313352867</v>
      </c>
      <c r="H1873" t="s">
        <v>3421</v>
      </c>
      <c r="I1873">
        <v>333.79</v>
      </c>
      <c r="J1873" t="s">
        <v>3422</v>
      </c>
      <c r="K1873" t="s">
        <v>73</v>
      </c>
      <c r="N1873" t="s">
        <v>74</v>
      </c>
      <c r="O1873" t="s">
        <v>75</v>
      </c>
      <c r="P1873" t="s">
        <v>74</v>
      </c>
      <c r="Q1873" t="s">
        <v>76</v>
      </c>
      <c r="R1873" t="s">
        <v>73</v>
      </c>
      <c r="S1873">
        <v>0</v>
      </c>
      <c r="W1873" s="20">
        <v>4.6296296296296294E-5</v>
      </c>
      <c r="X1873" t="s">
        <v>132</v>
      </c>
      <c r="Y1873">
        <v>1</v>
      </c>
      <c r="Z1873">
        <v>0</v>
      </c>
      <c r="AA1873" t="s">
        <v>78</v>
      </c>
      <c r="AB1873">
        <v>0</v>
      </c>
      <c r="AC1873" t="s">
        <v>78</v>
      </c>
      <c r="AD1873">
        <v>0</v>
      </c>
      <c r="AE1873">
        <v>10271266</v>
      </c>
      <c r="AF1873" t="s">
        <v>79</v>
      </c>
      <c r="AG1873" t="s">
        <v>333</v>
      </c>
    </row>
    <row r="1874" spans="1:33" x14ac:dyDescent="0.35">
      <c r="A1874" s="18">
        <v>44311.307638888888</v>
      </c>
      <c r="B1874">
        <v>3001261</v>
      </c>
      <c r="C1874" t="s">
        <v>3419</v>
      </c>
      <c r="D1874" t="s">
        <v>3420</v>
      </c>
      <c r="E1874" s="19">
        <v>39630</v>
      </c>
      <c r="F1874" t="str">
        <f>"9780313352874"</f>
        <v>9780313352874</v>
      </c>
      <c r="G1874" t="str">
        <f>"9780313352867"</f>
        <v>9780313352867</v>
      </c>
      <c r="H1874" t="s">
        <v>3421</v>
      </c>
      <c r="I1874">
        <v>333.79</v>
      </c>
      <c r="J1874" t="s">
        <v>3422</v>
      </c>
      <c r="K1874" t="s">
        <v>73</v>
      </c>
      <c r="N1874" t="s">
        <v>74</v>
      </c>
      <c r="O1874" t="s">
        <v>75</v>
      </c>
      <c r="P1874" t="s">
        <v>74</v>
      </c>
      <c r="Q1874" t="s">
        <v>76</v>
      </c>
      <c r="R1874" t="s">
        <v>73</v>
      </c>
      <c r="S1874">
        <v>0</v>
      </c>
      <c r="W1874" s="20">
        <v>4.6296296296296294E-5</v>
      </c>
      <c r="X1874" t="s">
        <v>132</v>
      </c>
      <c r="Y1874">
        <v>1</v>
      </c>
      <c r="Z1874">
        <v>0</v>
      </c>
      <c r="AA1874" t="s">
        <v>78</v>
      </c>
      <c r="AB1874">
        <v>0</v>
      </c>
      <c r="AC1874" t="s">
        <v>78</v>
      </c>
      <c r="AD1874">
        <v>0</v>
      </c>
      <c r="AE1874">
        <v>10271266</v>
      </c>
      <c r="AF1874" t="s">
        <v>79</v>
      </c>
      <c r="AG1874" t="s">
        <v>333</v>
      </c>
    </row>
    <row r="1875" spans="1:33" x14ac:dyDescent="0.35">
      <c r="A1875" s="18">
        <v>44311.186111111114</v>
      </c>
      <c r="B1875">
        <v>1446430</v>
      </c>
      <c r="C1875" t="s">
        <v>1649</v>
      </c>
      <c r="D1875" t="s">
        <v>127</v>
      </c>
      <c r="E1875" s="19">
        <v>40274</v>
      </c>
      <c r="F1875" t="str">
        <f>"9781439882573"</f>
        <v>9781439882573</v>
      </c>
      <c r="G1875" t="str">
        <f>"9781420085983"</f>
        <v>9781420085983</v>
      </c>
      <c r="H1875" t="s">
        <v>979</v>
      </c>
      <c r="I1875" t="s">
        <v>1650</v>
      </c>
      <c r="J1875" t="s">
        <v>1651</v>
      </c>
      <c r="K1875" t="s">
        <v>73</v>
      </c>
      <c r="N1875" t="s">
        <v>74</v>
      </c>
      <c r="O1875" t="s">
        <v>75</v>
      </c>
      <c r="P1875" t="s">
        <v>74</v>
      </c>
      <c r="Q1875" t="s">
        <v>76</v>
      </c>
      <c r="R1875" t="s">
        <v>73</v>
      </c>
      <c r="S1875">
        <v>0</v>
      </c>
      <c r="W1875" s="20">
        <v>3.4722222222222224E-4</v>
      </c>
      <c r="X1875" t="s">
        <v>4280</v>
      </c>
      <c r="Y1875">
        <v>7</v>
      </c>
      <c r="Z1875">
        <v>0</v>
      </c>
      <c r="AA1875" t="s">
        <v>78</v>
      </c>
      <c r="AB1875">
        <v>0</v>
      </c>
      <c r="AC1875" t="s">
        <v>78</v>
      </c>
      <c r="AD1875">
        <v>0</v>
      </c>
      <c r="AE1875">
        <v>11166018</v>
      </c>
      <c r="AF1875" t="s">
        <v>79</v>
      </c>
      <c r="AG1875" t="s">
        <v>4132</v>
      </c>
    </row>
    <row r="1876" spans="1:33" x14ac:dyDescent="0.35">
      <c r="A1876" s="18">
        <v>44311.102083333331</v>
      </c>
      <c r="B1876">
        <v>1446430</v>
      </c>
      <c r="C1876" t="s">
        <v>1649</v>
      </c>
      <c r="D1876" t="s">
        <v>127</v>
      </c>
      <c r="E1876" s="19">
        <v>40274</v>
      </c>
      <c r="F1876" t="str">
        <f>"9781439882573"</f>
        <v>9781439882573</v>
      </c>
      <c r="G1876" t="str">
        <f>"9781420085983"</f>
        <v>9781420085983</v>
      </c>
      <c r="H1876" t="s">
        <v>979</v>
      </c>
      <c r="I1876" t="s">
        <v>1650</v>
      </c>
      <c r="J1876" t="s">
        <v>1651</v>
      </c>
      <c r="K1876" t="s">
        <v>73</v>
      </c>
      <c r="N1876" t="s">
        <v>74</v>
      </c>
      <c r="O1876" t="s">
        <v>75</v>
      </c>
      <c r="P1876" t="s">
        <v>74</v>
      </c>
      <c r="Q1876" t="s">
        <v>76</v>
      </c>
      <c r="R1876" t="s">
        <v>73</v>
      </c>
      <c r="S1876">
        <v>0</v>
      </c>
      <c r="W1876" s="20">
        <v>5.0115740740740737E-3</v>
      </c>
      <c r="X1876" t="s">
        <v>4281</v>
      </c>
      <c r="Y1876">
        <v>7</v>
      </c>
      <c r="Z1876">
        <v>0</v>
      </c>
      <c r="AA1876" t="s">
        <v>78</v>
      </c>
      <c r="AB1876">
        <v>0</v>
      </c>
      <c r="AC1876" t="s">
        <v>78</v>
      </c>
      <c r="AD1876">
        <v>0</v>
      </c>
      <c r="AE1876">
        <v>11166018</v>
      </c>
      <c r="AF1876" t="s">
        <v>79</v>
      </c>
      <c r="AG1876" t="s">
        <v>4132</v>
      </c>
    </row>
    <row r="1877" spans="1:33" x14ac:dyDescent="0.35">
      <c r="A1877" s="18">
        <v>44311.052777777775</v>
      </c>
      <c r="B1877">
        <v>4410132</v>
      </c>
      <c r="C1877" t="s">
        <v>4282</v>
      </c>
      <c r="D1877" t="s">
        <v>300</v>
      </c>
      <c r="E1877" s="19">
        <v>42412</v>
      </c>
      <c r="F1877" t="str">
        <f>"9780262333863"</f>
        <v>9780262333863</v>
      </c>
      <c r="G1877" t="str">
        <f>"9780262034029"</f>
        <v>9780262034029</v>
      </c>
      <c r="H1877" t="s">
        <v>738</v>
      </c>
      <c r="I1877" t="s">
        <v>4283</v>
      </c>
      <c r="J1877" t="s">
        <v>4284</v>
      </c>
      <c r="K1877" t="s">
        <v>73</v>
      </c>
      <c r="N1877" t="s">
        <v>74</v>
      </c>
      <c r="O1877" t="s">
        <v>75</v>
      </c>
      <c r="P1877" t="s">
        <v>74</v>
      </c>
      <c r="Q1877" t="s">
        <v>76</v>
      </c>
      <c r="R1877" t="s">
        <v>73</v>
      </c>
      <c r="S1877">
        <v>0</v>
      </c>
      <c r="W1877" s="20">
        <v>5.1967592592592595E-3</v>
      </c>
      <c r="X1877" t="s">
        <v>4285</v>
      </c>
      <c r="Y1877">
        <v>33</v>
      </c>
      <c r="Z1877">
        <v>0</v>
      </c>
      <c r="AA1877" t="s">
        <v>78</v>
      </c>
      <c r="AB1877">
        <v>0</v>
      </c>
      <c r="AC1877" t="s">
        <v>854</v>
      </c>
      <c r="AD1877">
        <v>1</v>
      </c>
      <c r="AE1877">
        <v>11206714</v>
      </c>
      <c r="AF1877" t="s">
        <v>79</v>
      </c>
      <c r="AG1877" t="s">
        <v>4260</v>
      </c>
    </row>
    <row r="1878" spans="1:33" x14ac:dyDescent="0.35">
      <c r="A1878" s="18">
        <v>44310.781944444447</v>
      </c>
      <c r="B1878">
        <v>3001261</v>
      </c>
      <c r="C1878" t="s">
        <v>3419</v>
      </c>
      <c r="D1878" t="s">
        <v>3420</v>
      </c>
      <c r="E1878" s="19">
        <v>39630</v>
      </c>
      <c r="F1878" t="str">
        <f>"9780313352874"</f>
        <v>9780313352874</v>
      </c>
      <c r="G1878" t="str">
        <f>"9780313352867"</f>
        <v>9780313352867</v>
      </c>
      <c r="H1878" t="s">
        <v>3421</v>
      </c>
      <c r="I1878">
        <v>333.79</v>
      </c>
      <c r="J1878" t="s">
        <v>3422</v>
      </c>
      <c r="K1878" t="s">
        <v>73</v>
      </c>
      <c r="N1878" t="s">
        <v>74</v>
      </c>
      <c r="O1878" t="s">
        <v>75</v>
      </c>
      <c r="P1878" t="s">
        <v>74</v>
      </c>
      <c r="Q1878" t="s">
        <v>76</v>
      </c>
      <c r="R1878" t="s">
        <v>73</v>
      </c>
      <c r="S1878">
        <v>0</v>
      </c>
      <c r="W1878" s="20">
        <v>8.1018518518518516E-5</v>
      </c>
      <c r="X1878" t="s">
        <v>132</v>
      </c>
      <c r="Y1878">
        <v>1</v>
      </c>
      <c r="Z1878">
        <v>0</v>
      </c>
      <c r="AA1878" t="s">
        <v>78</v>
      </c>
      <c r="AB1878">
        <v>0</v>
      </c>
      <c r="AC1878" t="s">
        <v>78</v>
      </c>
      <c r="AD1878">
        <v>0</v>
      </c>
      <c r="AE1878">
        <v>10271266</v>
      </c>
      <c r="AF1878" t="s">
        <v>79</v>
      </c>
      <c r="AG1878" t="s">
        <v>333</v>
      </c>
    </row>
    <row r="1879" spans="1:33" x14ac:dyDescent="0.35">
      <c r="A1879" s="18">
        <v>44310.744444444441</v>
      </c>
      <c r="B1879">
        <v>894367</v>
      </c>
      <c r="C1879" t="s">
        <v>4286</v>
      </c>
      <c r="D1879" t="s">
        <v>70</v>
      </c>
      <c r="E1879" s="19">
        <v>41177</v>
      </c>
      <c r="F1879" t="str">
        <f>"9781118431368"</f>
        <v>9781118431368</v>
      </c>
      <c r="G1879" t="str">
        <f>"9781118379523"</f>
        <v>9781118379523</v>
      </c>
      <c r="H1879" t="s">
        <v>4287</v>
      </c>
      <c r="I1879" t="s">
        <v>4288</v>
      </c>
      <c r="J1879" t="s">
        <v>4289</v>
      </c>
      <c r="K1879" t="s">
        <v>73</v>
      </c>
      <c r="N1879" t="s">
        <v>74</v>
      </c>
      <c r="O1879" t="s">
        <v>75</v>
      </c>
      <c r="P1879" t="s">
        <v>74</v>
      </c>
      <c r="Q1879" t="s">
        <v>76</v>
      </c>
      <c r="R1879" t="s">
        <v>73</v>
      </c>
      <c r="S1879">
        <v>0</v>
      </c>
      <c r="W1879" s="20">
        <v>5.6134259259259271E-3</v>
      </c>
      <c r="X1879" t="s">
        <v>4290</v>
      </c>
      <c r="Y1879">
        <v>10</v>
      </c>
      <c r="Z1879">
        <v>0</v>
      </c>
      <c r="AA1879" t="s">
        <v>78</v>
      </c>
      <c r="AB1879">
        <v>0</v>
      </c>
      <c r="AC1879" t="s">
        <v>78</v>
      </c>
      <c r="AD1879">
        <v>0</v>
      </c>
      <c r="AE1879">
        <v>10595361</v>
      </c>
      <c r="AF1879" t="s">
        <v>79</v>
      </c>
      <c r="AG1879" t="s">
        <v>4291</v>
      </c>
    </row>
    <row r="1880" spans="1:33" x14ac:dyDescent="0.35">
      <c r="A1880" s="18">
        <v>44310.692361111112</v>
      </c>
      <c r="B1880">
        <v>894367</v>
      </c>
      <c r="C1880" t="s">
        <v>4286</v>
      </c>
      <c r="D1880" t="s">
        <v>70</v>
      </c>
      <c r="E1880" s="19">
        <v>41177</v>
      </c>
      <c r="F1880" t="str">
        <f>"9781118431368"</f>
        <v>9781118431368</v>
      </c>
      <c r="G1880" t="str">
        <f>"9781118379523"</f>
        <v>9781118379523</v>
      </c>
      <c r="H1880" t="s">
        <v>4287</v>
      </c>
      <c r="I1880" t="s">
        <v>4288</v>
      </c>
      <c r="J1880" t="s">
        <v>4289</v>
      </c>
      <c r="K1880" t="s">
        <v>73</v>
      </c>
      <c r="N1880" t="s">
        <v>74</v>
      </c>
      <c r="O1880" t="s">
        <v>75</v>
      </c>
      <c r="P1880" t="s">
        <v>74</v>
      </c>
      <c r="Q1880" t="s">
        <v>76</v>
      </c>
      <c r="R1880" t="s">
        <v>73</v>
      </c>
      <c r="S1880">
        <v>0</v>
      </c>
      <c r="W1880" s="20">
        <v>2.8692129629629633E-2</v>
      </c>
      <c r="X1880" t="s">
        <v>4292</v>
      </c>
      <c r="Y1880">
        <v>15</v>
      </c>
      <c r="Z1880">
        <v>0</v>
      </c>
      <c r="AA1880" t="s">
        <v>78</v>
      </c>
      <c r="AB1880">
        <v>0</v>
      </c>
      <c r="AC1880" t="s">
        <v>78</v>
      </c>
      <c r="AD1880">
        <v>0</v>
      </c>
      <c r="AE1880">
        <v>10595361</v>
      </c>
      <c r="AF1880" t="s">
        <v>79</v>
      </c>
      <c r="AG1880" t="s">
        <v>4291</v>
      </c>
    </row>
    <row r="1881" spans="1:33" x14ac:dyDescent="0.35">
      <c r="A1881" s="18">
        <v>44309.493055555555</v>
      </c>
      <c r="B1881">
        <v>1180037</v>
      </c>
      <c r="C1881" t="s">
        <v>4293</v>
      </c>
      <c r="D1881" t="s">
        <v>821</v>
      </c>
      <c r="E1881" s="19">
        <v>41365</v>
      </c>
      <c r="F1881" t="str">
        <f>"9781603449793"</f>
        <v>9781603449793</v>
      </c>
      <c r="G1881" t="str">
        <f>"9781603448024"</f>
        <v>9781603448024</v>
      </c>
      <c r="H1881" t="s">
        <v>756</v>
      </c>
      <c r="I1881" t="s">
        <v>4294</v>
      </c>
      <c r="J1881" t="s">
        <v>4295</v>
      </c>
      <c r="K1881" t="s">
        <v>73</v>
      </c>
      <c r="N1881" t="s">
        <v>74</v>
      </c>
      <c r="O1881" t="s">
        <v>75</v>
      </c>
      <c r="P1881" t="s">
        <v>74</v>
      </c>
      <c r="Q1881" t="s">
        <v>76</v>
      </c>
      <c r="R1881" t="s">
        <v>73</v>
      </c>
      <c r="S1881">
        <v>0</v>
      </c>
      <c r="W1881" s="20">
        <v>3.3564814814814812E-4</v>
      </c>
      <c r="X1881" t="s">
        <v>4296</v>
      </c>
      <c r="Y1881">
        <v>6</v>
      </c>
      <c r="Z1881">
        <v>0</v>
      </c>
      <c r="AA1881" t="s">
        <v>78</v>
      </c>
      <c r="AB1881">
        <v>0</v>
      </c>
      <c r="AC1881" t="s">
        <v>78</v>
      </c>
      <c r="AD1881">
        <v>0</v>
      </c>
      <c r="AE1881">
        <v>10697029</v>
      </c>
      <c r="AF1881" t="s">
        <v>79</v>
      </c>
      <c r="AG1881" t="s">
        <v>4132</v>
      </c>
    </row>
    <row r="1882" spans="1:33" x14ac:dyDescent="0.35">
      <c r="A1882" s="18">
        <v>44309.492361111108</v>
      </c>
      <c r="B1882">
        <v>3570552</v>
      </c>
      <c r="C1882" t="s">
        <v>4297</v>
      </c>
      <c r="D1882" t="s">
        <v>4298</v>
      </c>
      <c r="E1882" s="19">
        <v>41857</v>
      </c>
      <c r="F1882" t="str">
        <f>"9780472120536"</f>
        <v>9780472120536</v>
      </c>
      <c r="G1882" t="str">
        <f>"9780472035991"</f>
        <v>9780472035991</v>
      </c>
      <c r="H1882" t="s">
        <v>636</v>
      </c>
      <c r="I1882">
        <v>808.1</v>
      </c>
      <c r="J1882" t="s">
        <v>4299</v>
      </c>
      <c r="K1882" t="s">
        <v>73</v>
      </c>
      <c r="N1882" t="s">
        <v>74</v>
      </c>
      <c r="O1882" t="s">
        <v>75</v>
      </c>
      <c r="P1882" t="s">
        <v>230</v>
      </c>
      <c r="Q1882" t="s">
        <v>76</v>
      </c>
      <c r="R1882" t="s">
        <v>85</v>
      </c>
      <c r="S1882">
        <v>0</v>
      </c>
      <c r="W1882" s="20">
        <v>2.8935185185185189E-4</v>
      </c>
      <c r="X1882" t="s">
        <v>2923</v>
      </c>
      <c r="Y1882">
        <v>2</v>
      </c>
      <c r="Z1882">
        <v>0</v>
      </c>
      <c r="AA1882" t="s">
        <v>78</v>
      </c>
      <c r="AB1882">
        <v>0</v>
      </c>
      <c r="AC1882" t="s">
        <v>78</v>
      </c>
      <c r="AD1882">
        <v>0</v>
      </c>
      <c r="AE1882">
        <v>10915967</v>
      </c>
      <c r="AF1882" t="s">
        <v>79</v>
      </c>
      <c r="AG1882" t="s">
        <v>4132</v>
      </c>
    </row>
    <row r="1883" spans="1:33" x14ac:dyDescent="0.35">
      <c r="A1883" s="18">
        <v>44309.383333333331</v>
      </c>
      <c r="B1883">
        <v>1633266</v>
      </c>
      <c r="C1883" t="s">
        <v>4300</v>
      </c>
      <c r="D1883" t="s">
        <v>1311</v>
      </c>
      <c r="E1883" s="19">
        <v>42479</v>
      </c>
      <c r="F1883" t="str">
        <f>"9781584889304"</f>
        <v>9781584889304</v>
      </c>
      <c r="G1883" t="str">
        <f>"9781584889298"</f>
        <v>9781584889298</v>
      </c>
      <c r="H1883" t="s">
        <v>227</v>
      </c>
      <c r="I1883">
        <v>572.80285513299998</v>
      </c>
      <c r="J1883" t="s">
        <v>4301</v>
      </c>
      <c r="K1883" t="s">
        <v>73</v>
      </c>
      <c r="N1883" t="s">
        <v>74</v>
      </c>
      <c r="O1883" t="s">
        <v>75</v>
      </c>
      <c r="P1883" t="s">
        <v>74</v>
      </c>
      <c r="Q1883" t="s">
        <v>76</v>
      </c>
      <c r="R1883" t="s">
        <v>73</v>
      </c>
      <c r="S1883">
        <v>1</v>
      </c>
      <c r="W1883" s="20">
        <v>0</v>
      </c>
      <c r="X1883" t="s">
        <v>78</v>
      </c>
      <c r="Y1883">
        <v>0</v>
      </c>
      <c r="Z1883">
        <v>0</v>
      </c>
      <c r="AA1883" t="s">
        <v>78</v>
      </c>
      <c r="AB1883">
        <v>0</v>
      </c>
      <c r="AC1883" t="s">
        <v>78</v>
      </c>
      <c r="AD1883">
        <v>0</v>
      </c>
      <c r="AE1883">
        <v>11007091</v>
      </c>
      <c r="AF1883" t="s">
        <v>88</v>
      </c>
      <c r="AG1883" t="s">
        <v>4302</v>
      </c>
    </row>
    <row r="1884" spans="1:33" x14ac:dyDescent="0.35">
      <c r="A1884" s="18">
        <v>44309.382638888892</v>
      </c>
      <c r="B1884">
        <v>1633266</v>
      </c>
      <c r="C1884" t="s">
        <v>4300</v>
      </c>
      <c r="D1884" t="s">
        <v>1311</v>
      </c>
      <c r="E1884" s="19">
        <v>42479</v>
      </c>
      <c r="F1884" t="str">
        <f>"9781584889304"</f>
        <v>9781584889304</v>
      </c>
      <c r="G1884" t="str">
        <f>"9781584889298"</f>
        <v>9781584889298</v>
      </c>
      <c r="H1884" t="s">
        <v>227</v>
      </c>
      <c r="I1884">
        <v>572.80285513299998</v>
      </c>
      <c r="J1884" t="s">
        <v>4301</v>
      </c>
      <c r="K1884" t="s">
        <v>73</v>
      </c>
      <c r="N1884" t="s">
        <v>74</v>
      </c>
      <c r="O1884" t="s">
        <v>75</v>
      </c>
      <c r="P1884" t="s">
        <v>74</v>
      </c>
      <c r="Q1884" t="s">
        <v>76</v>
      </c>
      <c r="R1884" t="s">
        <v>73</v>
      </c>
      <c r="S1884">
        <v>0</v>
      </c>
      <c r="W1884" s="20">
        <v>4.2824074074074075E-4</v>
      </c>
      <c r="X1884" t="s">
        <v>125</v>
      </c>
      <c r="Y1884">
        <v>2</v>
      </c>
      <c r="Z1884">
        <v>0</v>
      </c>
      <c r="AA1884" t="s">
        <v>78</v>
      </c>
      <c r="AB1884">
        <v>0</v>
      </c>
      <c r="AC1884" t="s">
        <v>78</v>
      </c>
      <c r="AD1884">
        <v>0</v>
      </c>
      <c r="AE1884">
        <v>11007091</v>
      </c>
      <c r="AF1884" t="s">
        <v>88</v>
      </c>
      <c r="AG1884" t="s">
        <v>4302</v>
      </c>
    </row>
    <row r="1885" spans="1:33" x14ac:dyDescent="0.35">
      <c r="A1885" s="18">
        <v>44309.378472222219</v>
      </c>
      <c r="B1885">
        <v>3338802</v>
      </c>
      <c r="C1885" t="s">
        <v>4303</v>
      </c>
      <c r="D1885" t="s">
        <v>300</v>
      </c>
      <c r="E1885" s="19">
        <v>37092</v>
      </c>
      <c r="F1885" t="str">
        <f>"9780262255707"</f>
        <v>9780262255707</v>
      </c>
      <c r="G1885" t="str">
        <f>"9780262025065"</f>
        <v>9780262025065</v>
      </c>
      <c r="H1885" t="s">
        <v>227</v>
      </c>
      <c r="I1885" t="s">
        <v>4304</v>
      </c>
      <c r="J1885" t="s">
        <v>4305</v>
      </c>
      <c r="K1885" t="s">
        <v>73</v>
      </c>
      <c r="N1885" t="s">
        <v>74</v>
      </c>
      <c r="O1885" t="s">
        <v>75</v>
      </c>
      <c r="P1885" t="s">
        <v>74</v>
      </c>
      <c r="Q1885" t="s">
        <v>76</v>
      </c>
      <c r="R1885" t="s">
        <v>73</v>
      </c>
      <c r="S1885">
        <v>1</v>
      </c>
      <c r="W1885" s="20">
        <v>0</v>
      </c>
      <c r="X1885" t="s">
        <v>78</v>
      </c>
      <c r="Y1885">
        <v>0</v>
      </c>
      <c r="Z1885">
        <v>0</v>
      </c>
      <c r="AA1885" t="s">
        <v>78</v>
      </c>
      <c r="AB1885">
        <v>0</v>
      </c>
      <c r="AC1885" t="s">
        <v>78</v>
      </c>
      <c r="AD1885">
        <v>0</v>
      </c>
      <c r="AE1885">
        <v>10225255</v>
      </c>
      <c r="AF1885" t="s">
        <v>88</v>
      </c>
      <c r="AG1885" t="s">
        <v>4302</v>
      </c>
    </row>
    <row r="1886" spans="1:33" x14ac:dyDescent="0.35">
      <c r="A1886" s="18">
        <v>44309.376388888886</v>
      </c>
      <c r="B1886">
        <v>3338802</v>
      </c>
      <c r="C1886" t="s">
        <v>4303</v>
      </c>
      <c r="D1886" t="s">
        <v>300</v>
      </c>
      <c r="E1886" s="19">
        <v>37092</v>
      </c>
      <c r="F1886" t="str">
        <f>"9780262255707"</f>
        <v>9780262255707</v>
      </c>
      <c r="G1886" t="str">
        <f>"9780262025065"</f>
        <v>9780262025065</v>
      </c>
      <c r="H1886" t="s">
        <v>227</v>
      </c>
      <c r="I1886" t="s">
        <v>4304</v>
      </c>
      <c r="J1886" t="s">
        <v>4305</v>
      </c>
      <c r="K1886" t="s">
        <v>73</v>
      </c>
      <c r="N1886" t="s">
        <v>74</v>
      </c>
      <c r="O1886" t="s">
        <v>75</v>
      </c>
      <c r="P1886" t="s">
        <v>74</v>
      </c>
      <c r="Q1886" t="s">
        <v>76</v>
      </c>
      <c r="R1886" t="s">
        <v>73</v>
      </c>
      <c r="S1886">
        <v>0</v>
      </c>
      <c r="W1886" s="20">
        <v>1.8981481481481482E-3</v>
      </c>
      <c r="X1886" t="s">
        <v>4306</v>
      </c>
      <c r="Y1886">
        <v>14</v>
      </c>
      <c r="Z1886">
        <v>0</v>
      </c>
      <c r="AA1886" t="s">
        <v>78</v>
      </c>
      <c r="AB1886">
        <v>0</v>
      </c>
      <c r="AC1886" t="s">
        <v>78</v>
      </c>
      <c r="AD1886">
        <v>0</v>
      </c>
      <c r="AE1886">
        <v>10225255</v>
      </c>
      <c r="AF1886" t="s">
        <v>88</v>
      </c>
      <c r="AG1886" t="s">
        <v>4302</v>
      </c>
    </row>
    <row r="1887" spans="1:33" x14ac:dyDescent="0.35">
      <c r="A1887" s="18">
        <v>44309.313194444447</v>
      </c>
      <c r="B1887">
        <v>3001261</v>
      </c>
      <c r="C1887" t="s">
        <v>3419</v>
      </c>
      <c r="D1887" t="s">
        <v>3420</v>
      </c>
      <c r="E1887" s="19">
        <v>39630</v>
      </c>
      <c r="F1887" t="str">
        <f>"9780313352874"</f>
        <v>9780313352874</v>
      </c>
      <c r="G1887" t="str">
        <f>"9780313352867"</f>
        <v>9780313352867</v>
      </c>
      <c r="H1887" t="s">
        <v>3421</v>
      </c>
      <c r="I1887">
        <v>333.79</v>
      </c>
      <c r="J1887" t="s">
        <v>3422</v>
      </c>
      <c r="K1887" t="s">
        <v>73</v>
      </c>
      <c r="N1887" t="s">
        <v>74</v>
      </c>
      <c r="O1887" t="s">
        <v>75</v>
      </c>
      <c r="P1887" t="s">
        <v>74</v>
      </c>
      <c r="Q1887" t="s">
        <v>76</v>
      </c>
      <c r="R1887" t="s">
        <v>73</v>
      </c>
      <c r="S1887">
        <v>0</v>
      </c>
      <c r="W1887" s="20">
        <v>5.7870370370370366E-5</v>
      </c>
      <c r="X1887" t="s">
        <v>132</v>
      </c>
      <c r="Y1887">
        <v>1</v>
      </c>
      <c r="Z1887">
        <v>0</v>
      </c>
      <c r="AA1887" t="s">
        <v>78</v>
      </c>
      <c r="AB1887">
        <v>0</v>
      </c>
      <c r="AC1887" t="s">
        <v>78</v>
      </c>
      <c r="AD1887">
        <v>0</v>
      </c>
      <c r="AE1887">
        <v>10271266</v>
      </c>
      <c r="AF1887" t="s">
        <v>79</v>
      </c>
      <c r="AG1887" t="s">
        <v>333</v>
      </c>
    </row>
    <row r="1888" spans="1:33" x14ac:dyDescent="0.35">
      <c r="A1888" s="18">
        <v>44309.286805555559</v>
      </c>
      <c r="B1888">
        <v>3339142</v>
      </c>
      <c r="C1888" t="s">
        <v>1890</v>
      </c>
      <c r="D1888" t="s">
        <v>300</v>
      </c>
      <c r="E1888" s="19">
        <v>40025</v>
      </c>
      <c r="F1888" t="str">
        <f>"9780262270830"</f>
        <v>9780262270830</v>
      </c>
      <c r="G1888" t="str">
        <f>"9780262533058"</f>
        <v>9780262533058</v>
      </c>
      <c r="H1888" t="s">
        <v>110</v>
      </c>
      <c r="I1888">
        <v>5.0999999999999996</v>
      </c>
      <c r="J1888" t="s">
        <v>1891</v>
      </c>
      <c r="K1888" t="s">
        <v>73</v>
      </c>
      <c r="N1888" t="s">
        <v>74</v>
      </c>
      <c r="O1888" t="s">
        <v>75</v>
      </c>
      <c r="P1888" t="s">
        <v>74</v>
      </c>
      <c r="Q1888" t="s">
        <v>76</v>
      </c>
      <c r="R1888" t="s">
        <v>73</v>
      </c>
      <c r="S1888">
        <v>0</v>
      </c>
      <c r="W1888" s="20">
        <v>8.1018518518518516E-5</v>
      </c>
      <c r="X1888" t="s">
        <v>132</v>
      </c>
      <c r="Y1888">
        <v>1</v>
      </c>
      <c r="Z1888">
        <v>0</v>
      </c>
      <c r="AA1888" t="s">
        <v>78</v>
      </c>
      <c r="AB1888">
        <v>0</v>
      </c>
      <c r="AC1888" t="s">
        <v>78</v>
      </c>
      <c r="AD1888">
        <v>0</v>
      </c>
      <c r="AE1888">
        <v>10397652</v>
      </c>
      <c r="AF1888" t="s">
        <v>79</v>
      </c>
      <c r="AG1888" t="s">
        <v>4132</v>
      </c>
    </row>
    <row r="1889" spans="1:33" x14ac:dyDescent="0.35">
      <c r="A1889" s="18">
        <v>44309.251388888886</v>
      </c>
      <c r="B1889">
        <v>3339142</v>
      </c>
      <c r="C1889" t="s">
        <v>1890</v>
      </c>
      <c r="D1889" t="s">
        <v>300</v>
      </c>
      <c r="E1889" s="19">
        <v>40025</v>
      </c>
      <c r="F1889" t="str">
        <f>"9780262270830"</f>
        <v>9780262270830</v>
      </c>
      <c r="G1889" t="str">
        <f>"9780262533058"</f>
        <v>9780262533058</v>
      </c>
      <c r="H1889" t="s">
        <v>110</v>
      </c>
      <c r="I1889">
        <v>5.0999999999999996</v>
      </c>
      <c r="J1889" t="s">
        <v>1891</v>
      </c>
      <c r="K1889" t="s">
        <v>73</v>
      </c>
      <c r="N1889" t="s">
        <v>74</v>
      </c>
      <c r="O1889" t="s">
        <v>75</v>
      </c>
      <c r="P1889" t="s">
        <v>74</v>
      </c>
      <c r="Q1889" t="s">
        <v>76</v>
      </c>
      <c r="R1889" t="s">
        <v>73</v>
      </c>
      <c r="S1889">
        <v>0</v>
      </c>
      <c r="W1889" s="20">
        <v>1.7245370370370372E-3</v>
      </c>
      <c r="X1889" t="s">
        <v>4307</v>
      </c>
      <c r="Y1889">
        <v>13</v>
      </c>
      <c r="Z1889">
        <v>0</v>
      </c>
      <c r="AA1889" t="s">
        <v>78</v>
      </c>
      <c r="AB1889">
        <v>0</v>
      </c>
      <c r="AC1889" t="s">
        <v>78</v>
      </c>
      <c r="AD1889">
        <v>0</v>
      </c>
      <c r="AE1889">
        <v>10397652</v>
      </c>
      <c r="AF1889" t="s">
        <v>88</v>
      </c>
      <c r="AG1889" t="s">
        <v>4132</v>
      </c>
    </row>
    <row r="1890" spans="1:33" x14ac:dyDescent="0.35">
      <c r="A1890" s="18">
        <v>44309.251388888886</v>
      </c>
      <c r="B1890">
        <v>583642</v>
      </c>
      <c r="C1890" t="s">
        <v>2337</v>
      </c>
      <c r="D1890" t="s">
        <v>205</v>
      </c>
      <c r="E1890" s="19">
        <v>40210</v>
      </c>
      <c r="F1890" t="str">
        <f>"9781596930902"</f>
        <v>9781596930902</v>
      </c>
      <c r="G1890" t="str">
        <f>"9781596930896"</f>
        <v>9781596930896</v>
      </c>
      <c r="H1890" t="s">
        <v>2338</v>
      </c>
      <c r="I1890">
        <v>621.38482999999997</v>
      </c>
      <c r="J1890" t="s">
        <v>2339</v>
      </c>
      <c r="K1890" t="s">
        <v>73</v>
      </c>
      <c r="N1890" t="s">
        <v>74</v>
      </c>
      <c r="O1890" t="s">
        <v>75</v>
      </c>
      <c r="P1890" t="s">
        <v>74</v>
      </c>
      <c r="Q1890" t="s">
        <v>76</v>
      </c>
      <c r="R1890" t="s">
        <v>73</v>
      </c>
      <c r="S1890">
        <v>0</v>
      </c>
      <c r="W1890" s="20">
        <v>5.7870370370370366E-5</v>
      </c>
      <c r="X1890" t="s">
        <v>132</v>
      </c>
      <c r="Y1890">
        <v>1</v>
      </c>
      <c r="Z1890">
        <v>0</v>
      </c>
      <c r="AA1890" t="s">
        <v>78</v>
      </c>
      <c r="AB1890">
        <v>0</v>
      </c>
      <c r="AC1890" t="s">
        <v>78</v>
      </c>
      <c r="AD1890">
        <v>0</v>
      </c>
      <c r="AE1890">
        <v>10393271</v>
      </c>
      <c r="AF1890" t="s">
        <v>79</v>
      </c>
      <c r="AG1890" t="s">
        <v>4132</v>
      </c>
    </row>
    <row r="1891" spans="1:33" x14ac:dyDescent="0.35">
      <c r="A1891" s="18">
        <v>44308.727777777778</v>
      </c>
      <c r="B1891">
        <v>6356807</v>
      </c>
      <c r="C1891" t="s">
        <v>4278</v>
      </c>
      <c r="D1891" t="s">
        <v>158</v>
      </c>
      <c r="E1891" s="19">
        <v>44096</v>
      </c>
      <c r="F1891" t="str">
        <f>"9780128178850"</f>
        <v>9780128178850</v>
      </c>
      <c r="G1891" t="str">
        <f>"9780128178843"</f>
        <v>9780128178843</v>
      </c>
      <c r="H1891" t="s">
        <v>83</v>
      </c>
      <c r="I1891">
        <v>629.46</v>
      </c>
      <c r="J1891" t="s">
        <v>4279</v>
      </c>
      <c r="K1891" t="s">
        <v>85</v>
      </c>
      <c r="N1891" t="s">
        <v>86</v>
      </c>
      <c r="P1891" t="s">
        <v>87</v>
      </c>
      <c r="Q1891" t="s">
        <v>76</v>
      </c>
      <c r="R1891" t="s">
        <v>73</v>
      </c>
      <c r="S1891">
        <v>0</v>
      </c>
      <c r="W1891" s="20">
        <v>5.7870370370370366E-5</v>
      </c>
      <c r="X1891" t="s">
        <v>132</v>
      </c>
      <c r="Y1891">
        <v>1</v>
      </c>
      <c r="Z1891">
        <v>0</v>
      </c>
      <c r="AA1891" t="s">
        <v>78</v>
      </c>
      <c r="AB1891">
        <v>0</v>
      </c>
      <c r="AC1891" t="s">
        <v>78</v>
      </c>
      <c r="AD1891">
        <v>0</v>
      </c>
      <c r="AE1891">
        <v>-1</v>
      </c>
      <c r="AF1891" t="s">
        <v>79</v>
      </c>
      <c r="AG1891" t="s">
        <v>4260</v>
      </c>
    </row>
    <row r="1892" spans="1:33" x14ac:dyDescent="0.35">
      <c r="A1892" s="18">
        <v>44308.57916666667</v>
      </c>
      <c r="B1892">
        <v>4391788</v>
      </c>
      <c r="C1892" t="s">
        <v>4308</v>
      </c>
      <c r="D1892" t="s">
        <v>1046</v>
      </c>
      <c r="E1892" s="19">
        <v>42262</v>
      </c>
      <c r="F1892" t="str">
        <f>"9781452944807"</f>
        <v>9781452944807</v>
      </c>
      <c r="G1892" t="str">
        <f>"9780816697342"</f>
        <v>9780816697342</v>
      </c>
      <c r="H1892" t="s">
        <v>528</v>
      </c>
      <c r="I1892">
        <v>194</v>
      </c>
      <c r="J1892" t="s">
        <v>4309</v>
      </c>
      <c r="K1892" t="s">
        <v>73</v>
      </c>
      <c r="N1892" t="s">
        <v>74</v>
      </c>
      <c r="O1892" t="s">
        <v>75</v>
      </c>
      <c r="P1892" t="s">
        <v>74</v>
      </c>
      <c r="Q1892" t="s">
        <v>76</v>
      </c>
      <c r="R1892" t="s">
        <v>73</v>
      </c>
      <c r="S1892">
        <v>1</v>
      </c>
      <c r="W1892" s="20">
        <v>0</v>
      </c>
      <c r="X1892" t="s">
        <v>78</v>
      </c>
      <c r="Y1892">
        <v>0</v>
      </c>
      <c r="Z1892">
        <v>0</v>
      </c>
      <c r="AA1892" t="s">
        <v>78</v>
      </c>
      <c r="AB1892">
        <v>0</v>
      </c>
      <c r="AC1892" t="s">
        <v>78</v>
      </c>
      <c r="AD1892">
        <v>0</v>
      </c>
      <c r="AE1892">
        <v>11152959</v>
      </c>
      <c r="AF1892" t="s">
        <v>88</v>
      </c>
      <c r="AG1892" t="s">
        <v>4310</v>
      </c>
    </row>
    <row r="1893" spans="1:33" x14ac:dyDescent="0.35">
      <c r="A1893" s="18">
        <v>44308.522222222222</v>
      </c>
      <c r="B1893">
        <v>4391788</v>
      </c>
      <c r="C1893" t="s">
        <v>4308</v>
      </c>
      <c r="D1893" t="s">
        <v>1046</v>
      </c>
      <c r="E1893" s="19">
        <v>42262</v>
      </c>
      <c r="F1893" t="str">
        <f>"9781452944807"</f>
        <v>9781452944807</v>
      </c>
      <c r="G1893" t="str">
        <f>"9780816697342"</f>
        <v>9780816697342</v>
      </c>
      <c r="H1893" t="s">
        <v>528</v>
      </c>
      <c r="I1893">
        <v>194</v>
      </c>
      <c r="J1893" t="s">
        <v>4309</v>
      </c>
      <c r="K1893" t="s">
        <v>73</v>
      </c>
      <c r="N1893" t="s">
        <v>74</v>
      </c>
      <c r="O1893" t="s">
        <v>75</v>
      </c>
      <c r="P1893" t="s">
        <v>74</v>
      </c>
      <c r="Q1893" t="s">
        <v>76</v>
      </c>
      <c r="R1893" t="s">
        <v>73</v>
      </c>
      <c r="S1893">
        <v>0</v>
      </c>
      <c r="W1893" s="20">
        <v>5.7326388888888892E-2</v>
      </c>
      <c r="X1893" t="s">
        <v>4311</v>
      </c>
      <c r="Y1893">
        <v>19</v>
      </c>
      <c r="Z1893">
        <v>0</v>
      </c>
      <c r="AA1893" t="s">
        <v>78</v>
      </c>
      <c r="AB1893">
        <v>0</v>
      </c>
      <c r="AC1893" t="s">
        <v>78</v>
      </c>
      <c r="AD1893">
        <v>0</v>
      </c>
      <c r="AE1893">
        <v>11152959</v>
      </c>
      <c r="AF1893" t="s">
        <v>88</v>
      </c>
      <c r="AG1893" t="s">
        <v>4310</v>
      </c>
    </row>
    <row r="1894" spans="1:33" x14ac:dyDescent="0.35">
      <c r="A1894" s="18">
        <v>44308.416666666664</v>
      </c>
      <c r="B1894">
        <v>5667624</v>
      </c>
      <c r="C1894" t="s">
        <v>4312</v>
      </c>
      <c r="D1894" t="s">
        <v>2550</v>
      </c>
      <c r="E1894" s="19">
        <v>43496</v>
      </c>
      <c r="F1894" t="str">
        <f>"9781788999700"</f>
        <v>9781788999700</v>
      </c>
      <c r="G1894" t="str">
        <f>"9781788994613"</f>
        <v>9781788994613</v>
      </c>
      <c r="H1894" t="s">
        <v>110</v>
      </c>
      <c r="I1894">
        <v>6.3120000000000003</v>
      </c>
      <c r="J1894" t="s">
        <v>4313</v>
      </c>
      <c r="K1894" t="s">
        <v>85</v>
      </c>
      <c r="Q1894" t="s">
        <v>76</v>
      </c>
      <c r="R1894" t="s">
        <v>73</v>
      </c>
      <c r="S1894">
        <v>0</v>
      </c>
      <c r="W1894" s="20">
        <v>4.2824074074074075E-4</v>
      </c>
      <c r="X1894" t="s">
        <v>4314</v>
      </c>
      <c r="Y1894">
        <v>9</v>
      </c>
      <c r="Z1894">
        <v>0</v>
      </c>
      <c r="AA1894" t="s">
        <v>78</v>
      </c>
      <c r="AB1894">
        <v>0</v>
      </c>
      <c r="AC1894" t="s">
        <v>78</v>
      </c>
      <c r="AD1894">
        <v>0</v>
      </c>
      <c r="AE1894">
        <v>11651995</v>
      </c>
      <c r="AF1894" t="s">
        <v>79</v>
      </c>
      <c r="AG1894" t="s">
        <v>4302</v>
      </c>
    </row>
    <row r="1895" spans="1:33" x14ac:dyDescent="0.35">
      <c r="A1895" s="18">
        <v>44308.411111111112</v>
      </c>
      <c r="B1895">
        <v>536984</v>
      </c>
      <c r="C1895" t="s">
        <v>4315</v>
      </c>
      <c r="D1895" t="s">
        <v>314</v>
      </c>
      <c r="E1895" s="19">
        <v>40219</v>
      </c>
      <c r="F1895" t="str">
        <f>"9780748642236"</f>
        <v>9780748642236</v>
      </c>
      <c r="G1895" t="str">
        <f>"9780748643165"</f>
        <v>9780748643165</v>
      </c>
      <c r="H1895" t="s">
        <v>528</v>
      </c>
      <c r="I1895">
        <v>149</v>
      </c>
      <c r="J1895" t="s">
        <v>4316</v>
      </c>
      <c r="K1895" t="s">
        <v>73</v>
      </c>
      <c r="N1895" t="s">
        <v>74</v>
      </c>
      <c r="O1895" t="s">
        <v>75</v>
      </c>
      <c r="P1895" t="s">
        <v>74</v>
      </c>
      <c r="Q1895" t="s">
        <v>76</v>
      </c>
      <c r="R1895" t="s">
        <v>73</v>
      </c>
      <c r="S1895">
        <v>0</v>
      </c>
      <c r="W1895" s="20">
        <v>1.3368055555555557E-2</v>
      </c>
      <c r="X1895" t="s">
        <v>4317</v>
      </c>
      <c r="Y1895">
        <v>20</v>
      </c>
      <c r="Z1895">
        <v>0</v>
      </c>
      <c r="AA1895" t="s">
        <v>78</v>
      </c>
      <c r="AB1895">
        <v>0</v>
      </c>
      <c r="AC1895" t="s">
        <v>78</v>
      </c>
      <c r="AD1895">
        <v>0</v>
      </c>
      <c r="AE1895">
        <v>10391755</v>
      </c>
      <c r="AF1895" t="s">
        <v>79</v>
      </c>
      <c r="AG1895" t="s">
        <v>4132</v>
      </c>
    </row>
    <row r="1896" spans="1:33" x14ac:dyDescent="0.35">
      <c r="A1896" s="18">
        <v>44308.315972222219</v>
      </c>
      <c r="B1896">
        <v>3001261</v>
      </c>
      <c r="C1896" t="s">
        <v>3419</v>
      </c>
      <c r="D1896" t="s">
        <v>3420</v>
      </c>
      <c r="E1896" s="19">
        <v>39630</v>
      </c>
      <c r="F1896" t="str">
        <f>"9780313352874"</f>
        <v>9780313352874</v>
      </c>
      <c r="G1896" t="str">
        <f>"9780313352867"</f>
        <v>9780313352867</v>
      </c>
      <c r="H1896" t="s">
        <v>3421</v>
      </c>
      <c r="I1896">
        <v>333.79</v>
      </c>
      <c r="J1896" t="s">
        <v>3422</v>
      </c>
      <c r="K1896" t="s">
        <v>73</v>
      </c>
      <c r="N1896" t="s">
        <v>74</v>
      </c>
      <c r="O1896" t="s">
        <v>75</v>
      </c>
      <c r="P1896" t="s">
        <v>74</v>
      </c>
      <c r="Q1896" t="s">
        <v>76</v>
      </c>
      <c r="R1896" t="s">
        <v>73</v>
      </c>
      <c r="S1896">
        <v>0</v>
      </c>
      <c r="W1896" s="20">
        <v>3.4722222222222222E-5</v>
      </c>
      <c r="X1896" t="s">
        <v>132</v>
      </c>
      <c r="Y1896">
        <v>1</v>
      </c>
      <c r="Z1896">
        <v>0</v>
      </c>
      <c r="AA1896" t="s">
        <v>78</v>
      </c>
      <c r="AB1896">
        <v>0</v>
      </c>
      <c r="AC1896" t="s">
        <v>78</v>
      </c>
      <c r="AD1896">
        <v>0</v>
      </c>
      <c r="AE1896">
        <v>10271266</v>
      </c>
      <c r="AF1896" t="s">
        <v>79</v>
      </c>
      <c r="AG1896" t="s">
        <v>333</v>
      </c>
    </row>
    <row r="1897" spans="1:33" x14ac:dyDescent="0.35">
      <c r="A1897" s="18">
        <v>44307.606944444444</v>
      </c>
      <c r="B1897">
        <v>370276</v>
      </c>
      <c r="C1897" t="s">
        <v>4318</v>
      </c>
      <c r="D1897" t="s">
        <v>1415</v>
      </c>
      <c r="E1897" s="19">
        <v>39724</v>
      </c>
      <c r="F1897" t="str">
        <f>"9781847691057"</f>
        <v>9781847691057</v>
      </c>
      <c r="G1897" t="str">
        <f>"9781847691040"</f>
        <v>9781847691040</v>
      </c>
      <c r="H1897" t="s">
        <v>1204</v>
      </c>
      <c r="I1897" t="s">
        <v>4319</v>
      </c>
      <c r="J1897" t="s">
        <v>4320</v>
      </c>
      <c r="K1897" t="s">
        <v>73</v>
      </c>
      <c r="N1897" t="s">
        <v>74</v>
      </c>
      <c r="O1897" t="s">
        <v>75</v>
      </c>
      <c r="P1897" t="s">
        <v>74</v>
      </c>
      <c r="Q1897" t="s">
        <v>76</v>
      </c>
      <c r="R1897" t="s">
        <v>73</v>
      </c>
      <c r="S1897">
        <v>0</v>
      </c>
      <c r="W1897" s="20">
        <v>3.4722222222222222E-5</v>
      </c>
      <c r="X1897" t="s">
        <v>132</v>
      </c>
      <c r="Y1897">
        <v>1</v>
      </c>
      <c r="Z1897">
        <v>0</v>
      </c>
      <c r="AA1897" t="s">
        <v>78</v>
      </c>
      <c r="AB1897">
        <v>0</v>
      </c>
      <c r="AC1897" t="s">
        <v>78</v>
      </c>
      <c r="AD1897">
        <v>0</v>
      </c>
      <c r="AE1897">
        <v>10257282</v>
      </c>
      <c r="AF1897" t="s">
        <v>79</v>
      </c>
      <c r="AG1897" t="s">
        <v>4132</v>
      </c>
    </row>
    <row r="1898" spans="1:33" x14ac:dyDescent="0.35">
      <c r="A1898" s="18">
        <v>44307.577777777777</v>
      </c>
      <c r="B1898">
        <v>370276</v>
      </c>
      <c r="C1898" t="s">
        <v>4318</v>
      </c>
      <c r="D1898" t="s">
        <v>1415</v>
      </c>
      <c r="E1898" s="19">
        <v>39724</v>
      </c>
      <c r="F1898" t="str">
        <f>"9781847691057"</f>
        <v>9781847691057</v>
      </c>
      <c r="G1898" t="str">
        <f>"9781847691040"</f>
        <v>9781847691040</v>
      </c>
      <c r="H1898" t="s">
        <v>1204</v>
      </c>
      <c r="I1898" t="s">
        <v>4319</v>
      </c>
      <c r="J1898" t="s">
        <v>4320</v>
      </c>
      <c r="K1898" t="s">
        <v>73</v>
      </c>
      <c r="N1898" t="s">
        <v>74</v>
      </c>
      <c r="O1898" t="s">
        <v>75</v>
      </c>
      <c r="P1898" t="s">
        <v>74</v>
      </c>
      <c r="Q1898" t="s">
        <v>76</v>
      </c>
      <c r="R1898" t="s">
        <v>73</v>
      </c>
      <c r="S1898">
        <v>0</v>
      </c>
      <c r="W1898" s="20">
        <v>9.6064814814814808E-4</v>
      </c>
      <c r="X1898" t="s">
        <v>4321</v>
      </c>
      <c r="Y1898">
        <v>16</v>
      </c>
      <c r="Z1898">
        <v>0</v>
      </c>
      <c r="AA1898" t="s">
        <v>78</v>
      </c>
      <c r="AB1898">
        <v>0</v>
      </c>
      <c r="AC1898" t="s">
        <v>78</v>
      </c>
      <c r="AD1898">
        <v>0</v>
      </c>
      <c r="AE1898">
        <v>10257282</v>
      </c>
      <c r="AF1898" t="s">
        <v>79</v>
      </c>
      <c r="AG1898" t="s">
        <v>4132</v>
      </c>
    </row>
    <row r="1899" spans="1:33" x14ac:dyDescent="0.35">
      <c r="A1899" s="18">
        <v>44307.482638888891</v>
      </c>
      <c r="B1899">
        <v>589091</v>
      </c>
      <c r="C1899" t="s">
        <v>4322</v>
      </c>
      <c r="D1899" t="s">
        <v>70</v>
      </c>
      <c r="E1899" s="19">
        <v>40469</v>
      </c>
      <c r="F1899" t="str">
        <f>"9780470958162"</f>
        <v>9780470958162</v>
      </c>
      <c r="G1899" t="str">
        <f>"9780813816647"</f>
        <v>9780813816647</v>
      </c>
      <c r="H1899" t="s">
        <v>222</v>
      </c>
      <c r="I1899" t="s">
        <v>4323</v>
      </c>
      <c r="J1899" t="s">
        <v>4324</v>
      </c>
      <c r="K1899" t="s">
        <v>73</v>
      </c>
      <c r="N1899" t="s">
        <v>74</v>
      </c>
      <c r="O1899" t="s">
        <v>75</v>
      </c>
      <c r="P1899" t="s">
        <v>74</v>
      </c>
      <c r="Q1899" t="s">
        <v>76</v>
      </c>
      <c r="R1899" t="s">
        <v>73</v>
      </c>
      <c r="S1899">
        <v>2</v>
      </c>
      <c r="W1899" s="20">
        <v>2.4189814814814816E-3</v>
      </c>
      <c r="X1899" t="s">
        <v>4325</v>
      </c>
      <c r="Y1899">
        <v>8</v>
      </c>
      <c r="Z1899">
        <v>1</v>
      </c>
      <c r="AA1899" t="s">
        <v>4326</v>
      </c>
      <c r="AB1899">
        <v>12</v>
      </c>
      <c r="AC1899" t="s">
        <v>78</v>
      </c>
      <c r="AD1899">
        <v>0</v>
      </c>
      <c r="AE1899">
        <v>10412538</v>
      </c>
      <c r="AF1899" t="s">
        <v>88</v>
      </c>
      <c r="AG1899" t="s">
        <v>4132</v>
      </c>
    </row>
    <row r="1900" spans="1:33" x14ac:dyDescent="0.35">
      <c r="A1900" s="18">
        <v>44307.481944444444</v>
      </c>
      <c r="B1900">
        <v>589091</v>
      </c>
      <c r="C1900" t="s">
        <v>4322</v>
      </c>
      <c r="D1900" t="s">
        <v>70</v>
      </c>
      <c r="E1900" s="19">
        <v>40469</v>
      </c>
      <c r="F1900" t="str">
        <f>"9780470958162"</f>
        <v>9780470958162</v>
      </c>
      <c r="G1900" t="str">
        <f>"9780813816647"</f>
        <v>9780813816647</v>
      </c>
      <c r="H1900" t="s">
        <v>222</v>
      </c>
      <c r="I1900" t="s">
        <v>4323</v>
      </c>
      <c r="J1900" t="s">
        <v>4324</v>
      </c>
      <c r="K1900" t="s">
        <v>73</v>
      </c>
      <c r="N1900" t="s">
        <v>74</v>
      </c>
      <c r="O1900" t="s">
        <v>75</v>
      </c>
      <c r="P1900" t="s">
        <v>74</v>
      </c>
      <c r="Q1900" t="s">
        <v>76</v>
      </c>
      <c r="R1900" t="s">
        <v>73</v>
      </c>
      <c r="S1900">
        <v>0</v>
      </c>
      <c r="W1900" s="20">
        <v>9.8379629629629642E-4</v>
      </c>
      <c r="X1900" t="s">
        <v>3179</v>
      </c>
      <c r="Y1900">
        <v>2</v>
      </c>
      <c r="Z1900">
        <v>0</v>
      </c>
      <c r="AA1900" t="s">
        <v>78</v>
      </c>
      <c r="AB1900">
        <v>0</v>
      </c>
      <c r="AC1900" t="s">
        <v>78</v>
      </c>
      <c r="AD1900">
        <v>0</v>
      </c>
      <c r="AE1900">
        <v>10412538</v>
      </c>
      <c r="AF1900" t="s">
        <v>88</v>
      </c>
      <c r="AG1900" t="s">
        <v>4132</v>
      </c>
    </row>
    <row r="1901" spans="1:33" x14ac:dyDescent="0.35">
      <c r="A1901" s="18">
        <v>44307.336805555555</v>
      </c>
      <c r="B1901">
        <v>3002408</v>
      </c>
      <c r="C1901" t="s">
        <v>4327</v>
      </c>
      <c r="D1901" t="s">
        <v>4328</v>
      </c>
      <c r="E1901" s="19">
        <v>36526</v>
      </c>
      <c r="F1901" t="str">
        <f>"9781615030682"</f>
        <v>9781615030682</v>
      </c>
      <c r="G1901" t="str">
        <f>"9780871706416"</f>
        <v>9780871706416</v>
      </c>
      <c r="H1901" t="s">
        <v>3243</v>
      </c>
      <c r="I1901" t="s">
        <v>1732</v>
      </c>
      <c r="J1901" t="s">
        <v>4329</v>
      </c>
      <c r="K1901" t="s">
        <v>73</v>
      </c>
      <c r="N1901" t="s">
        <v>74</v>
      </c>
      <c r="O1901" t="s">
        <v>75</v>
      </c>
      <c r="P1901" t="s">
        <v>74</v>
      </c>
      <c r="Q1901" t="s">
        <v>76</v>
      </c>
      <c r="R1901" t="s">
        <v>73</v>
      </c>
      <c r="S1901">
        <v>2</v>
      </c>
      <c r="W1901" s="20">
        <v>3.4722222222222222E-5</v>
      </c>
      <c r="X1901" t="s">
        <v>1373</v>
      </c>
      <c r="Y1901">
        <v>1</v>
      </c>
      <c r="Z1901">
        <v>1</v>
      </c>
      <c r="AA1901" t="s">
        <v>4330</v>
      </c>
      <c r="AB1901">
        <v>28</v>
      </c>
      <c r="AC1901" t="s">
        <v>78</v>
      </c>
      <c r="AD1901">
        <v>0</v>
      </c>
      <c r="AE1901">
        <v>10323486</v>
      </c>
      <c r="AF1901" t="s">
        <v>88</v>
      </c>
      <c r="AG1901" t="s">
        <v>4132</v>
      </c>
    </row>
    <row r="1902" spans="1:33" x14ac:dyDescent="0.35">
      <c r="A1902" s="18">
        <v>44307.335416666669</v>
      </c>
      <c r="B1902">
        <v>3002408</v>
      </c>
      <c r="C1902" t="s">
        <v>4327</v>
      </c>
      <c r="D1902" t="s">
        <v>4328</v>
      </c>
      <c r="E1902" s="19">
        <v>36526</v>
      </c>
      <c r="F1902" t="str">
        <f>"9781615030682"</f>
        <v>9781615030682</v>
      </c>
      <c r="G1902" t="str">
        <f>"9780871706416"</f>
        <v>9780871706416</v>
      </c>
      <c r="H1902" t="s">
        <v>3243</v>
      </c>
      <c r="I1902" t="s">
        <v>1732</v>
      </c>
      <c r="J1902" t="s">
        <v>4329</v>
      </c>
      <c r="K1902" t="s">
        <v>73</v>
      </c>
      <c r="N1902" t="s">
        <v>74</v>
      </c>
      <c r="O1902" t="s">
        <v>75</v>
      </c>
      <c r="P1902" t="s">
        <v>74</v>
      </c>
      <c r="Q1902" t="s">
        <v>76</v>
      </c>
      <c r="R1902" t="s">
        <v>73</v>
      </c>
      <c r="S1902">
        <v>0</v>
      </c>
      <c r="W1902" s="20">
        <v>8.564814814814815E-4</v>
      </c>
      <c r="X1902" t="s">
        <v>1533</v>
      </c>
      <c r="Y1902">
        <v>3</v>
      </c>
      <c r="Z1902">
        <v>0</v>
      </c>
      <c r="AA1902" t="s">
        <v>78</v>
      </c>
      <c r="AB1902">
        <v>0</v>
      </c>
      <c r="AC1902" t="s">
        <v>78</v>
      </c>
      <c r="AD1902">
        <v>0</v>
      </c>
      <c r="AE1902">
        <v>10323486</v>
      </c>
      <c r="AF1902" t="s">
        <v>79</v>
      </c>
      <c r="AG1902" t="s">
        <v>4132</v>
      </c>
    </row>
    <row r="1903" spans="1:33" x14ac:dyDescent="0.35">
      <c r="A1903" s="18">
        <v>44307.083333333336</v>
      </c>
      <c r="B1903">
        <v>3004026</v>
      </c>
      <c r="C1903" t="s">
        <v>4331</v>
      </c>
      <c r="D1903" t="s">
        <v>506</v>
      </c>
      <c r="E1903" s="19">
        <v>38687</v>
      </c>
      <c r="F1903" t="str">
        <f>"9789047409083"</f>
        <v>9789047409083</v>
      </c>
      <c r="G1903" t="str">
        <f>"9789004150102"</f>
        <v>9789004150102</v>
      </c>
      <c r="H1903" t="s">
        <v>4332</v>
      </c>
      <c r="I1903" t="s">
        <v>4333</v>
      </c>
      <c r="J1903" t="s">
        <v>4334</v>
      </c>
      <c r="K1903" t="s">
        <v>73</v>
      </c>
      <c r="N1903" t="s">
        <v>74</v>
      </c>
      <c r="O1903" t="s">
        <v>75</v>
      </c>
      <c r="P1903" t="s">
        <v>74</v>
      </c>
      <c r="Q1903" t="s">
        <v>76</v>
      </c>
      <c r="R1903" t="s">
        <v>73</v>
      </c>
      <c r="S1903">
        <v>0</v>
      </c>
      <c r="W1903" s="20">
        <v>8.4259259259259253E-3</v>
      </c>
      <c r="X1903" t="s">
        <v>4335</v>
      </c>
      <c r="Y1903">
        <v>2</v>
      </c>
      <c r="Z1903">
        <v>0</v>
      </c>
      <c r="AA1903" t="s">
        <v>78</v>
      </c>
      <c r="AB1903">
        <v>0</v>
      </c>
      <c r="AC1903" t="s">
        <v>78</v>
      </c>
      <c r="AD1903">
        <v>0</v>
      </c>
      <c r="AE1903">
        <v>10234689</v>
      </c>
      <c r="AF1903" t="s">
        <v>79</v>
      </c>
      <c r="AG1903" t="s">
        <v>4336</v>
      </c>
    </row>
    <row r="1904" spans="1:33" x14ac:dyDescent="0.35">
      <c r="A1904" s="18">
        <v>44307.078472222223</v>
      </c>
      <c r="B1904">
        <v>3004026</v>
      </c>
      <c r="C1904" t="s">
        <v>4331</v>
      </c>
      <c r="D1904" t="s">
        <v>506</v>
      </c>
      <c r="E1904" s="19">
        <v>38687</v>
      </c>
      <c r="F1904" t="str">
        <f>"9789047409083"</f>
        <v>9789047409083</v>
      </c>
      <c r="G1904" t="str">
        <f>"9789004150102"</f>
        <v>9789004150102</v>
      </c>
      <c r="H1904" t="s">
        <v>4332</v>
      </c>
      <c r="I1904" t="s">
        <v>4333</v>
      </c>
      <c r="J1904" t="s">
        <v>4334</v>
      </c>
      <c r="K1904" t="s">
        <v>73</v>
      </c>
      <c r="N1904" t="s">
        <v>74</v>
      </c>
      <c r="O1904" t="s">
        <v>75</v>
      </c>
      <c r="P1904" t="s">
        <v>74</v>
      </c>
      <c r="Q1904" t="s">
        <v>76</v>
      </c>
      <c r="R1904" t="s">
        <v>73</v>
      </c>
      <c r="S1904">
        <v>0</v>
      </c>
      <c r="W1904" s="20">
        <v>3.1944444444444442E-3</v>
      </c>
      <c r="X1904" t="s">
        <v>4337</v>
      </c>
      <c r="Y1904">
        <v>8</v>
      </c>
      <c r="Z1904">
        <v>0</v>
      </c>
      <c r="AA1904" t="s">
        <v>78</v>
      </c>
      <c r="AB1904">
        <v>0</v>
      </c>
      <c r="AC1904" t="s">
        <v>78</v>
      </c>
      <c r="AD1904">
        <v>0</v>
      </c>
      <c r="AE1904">
        <v>10234689</v>
      </c>
      <c r="AF1904" t="s">
        <v>88</v>
      </c>
      <c r="AG1904" t="s">
        <v>4336</v>
      </c>
    </row>
    <row r="1905" spans="1:33" x14ac:dyDescent="0.35">
      <c r="A1905" s="18">
        <v>44307.078472222223</v>
      </c>
      <c r="B1905">
        <v>3004026</v>
      </c>
      <c r="C1905" t="s">
        <v>4331</v>
      </c>
      <c r="D1905" t="s">
        <v>506</v>
      </c>
      <c r="E1905" s="19">
        <v>38687</v>
      </c>
      <c r="F1905" t="str">
        <f>"9789047409083"</f>
        <v>9789047409083</v>
      </c>
      <c r="G1905" t="str">
        <f>"9789004150102"</f>
        <v>9789004150102</v>
      </c>
      <c r="H1905" t="s">
        <v>4332</v>
      </c>
      <c r="I1905" t="s">
        <v>4333</v>
      </c>
      <c r="J1905" t="s">
        <v>4334</v>
      </c>
      <c r="K1905" t="s">
        <v>73</v>
      </c>
      <c r="N1905" t="s">
        <v>74</v>
      </c>
      <c r="O1905" t="s">
        <v>75</v>
      </c>
      <c r="P1905" t="s">
        <v>74</v>
      </c>
      <c r="Q1905" t="s">
        <v>76</v>
      </c>
      <c r="R1905" t="s">
        <v>73</v>
      </c>
      <c r="S1905">
        <v>0</v>
      </c>
      <c r="W1905" s="20">
        <v>0</v>
      </c>
      <c r="X1905" t="s">
        <v>78</v>
      </c>
      <c r="Y1905">
        <v>0</v>
      </c>
      <c r="Z1905">
        <v>0</v>
      </c>
      <c r="AA1905" t="s">
        <v>78</v>
      </c>
      <c r="AB1905">
        <v>0</v>
      </c>
      <c r="AC1905" t="s">
        <v>78</v>
      </c>
      <c r="AD1905">
        <v>0</v>
      </c>
      <c r="AE1905">
        <v>10234689</v>
      </c>
      <c r="AF1905" t="s">
        <v>79</v>
      </c>
      <c r="AG1905" t="s">
        <v>4336</v>
      </c>
    </row>
    <row r="1906" spans="1:33" x14ac:dyDescent="0.35">
      <c r="A1906" s="18">
        <v>44307.022916666669</v>
      </c>
      <c r="B1906">
        <v>1186512</v>
      </c>
      <c r="C1906" t="s">
        <v>847</v>
      </c>
      <c r="D1906" t="s">
        <v>127</v>
      </c>
      <c r="E1906" s="19">
        <v>41389</v>
      </c>
      <c r="F1906" t="str">
        <f>"9781466555440"</f>
        <v>9781466555440</v>
      </c>
      <c r="G1906" t="str">
        <f>"9781466555433"</f>
        <v>9781466555433</v>
      </c>
      <c r="H1906" t="s">
        <v>848</v>
      </c>
      <c r="I1906">
        <v>543.65</v>
      </c>
      <c r="J1906" t="s">
        <v>849</v>
      </c>
      <c r="K1906" t="s">
        <v>73</v>
      </c>
      <c r="N1906" t="s">
        <v>74</v>
      </c>
      <c r="O1906" t="s">
        <v>75</v>
      </c>
      <c r="P1906" t="s">
        <v>74</v>
      </c>
      <c r="Q1906" t="s">
        <v>76</v>
      </c>
      <c r="R1906" t="s">
        <v>73</v>
      </c>
      <c r="S1906">
        <v>2</v>
      </c>
      <c r="W1906" s="20">
        <v>2.1180555555555553E-3</v>
      </c>
      <c r="X1906" t="s">
        <v>4338</v>
      </c>
      <c r="Y1906">
        <v>22</v>
      </c>
      <c r="Z1906">
        <v>11</v>
      </c>
      <c r="AA1906" t="s">
        <v>4339</v>
      </c>
      <c r="AB1906">
        <v>108</v>
      </c>
      <c r="AC1906" t="s">
        <v>78</v>
      </c>
      <c r="AD1906">
        <v>0</v>
      </c>
      <c r="AE1906">
        <v>10700006</v>
      </c>
      <c r="AF1906" t="s">
        <v>88</v>
      </c>
      <c r="AG1906" t="s">
        <v>4132</v>
      </c>
    </row>
    <row r="1907" spans="1:33" x14ac:dyDescent="0.35">
      <c r="A1907" s="18">
        <v>44306.967361111114</v>
      </c>
      <c r="B1907">
        <v>3563944</v>
      </c>
      <c r="C1907" t="s">
        <v>4340</v>
      </c>
      <c r="D1907" t="s">
        <v>70</v>
      </c>
      <c r="E1907" s="19">
        <v>42303</v>
      </c>
      <c r="F1907" t="str">
        <f>"9781119015468"</f>
        <v>9781119015468</v>
      </c>
      <c r="G1907" t="str">
        <f>"9781119015345"</f>
        <v>9781119015345</v>
      </c>
      <c r="H1907" t="s">
        <v>115</v>
      </c>
      <c r="J1907" t="s">
        <v>4341</v>
      </c>
      <c r="K1907" t="s">
        <v>73</v>
      </c>
      <c r="N1907" t="s">
        <v>74</v>
      </c>
      <c r="O1907" t="s">
        <v>75</v>
      </c>
      <c r="P1907" t="s">
        <v>74</v>
      </c>
      <c r="Q1907" t="s">
        <v>76</v>
      </c>
      <c r="R1907" t="s">
        <v>73</v>
      </c>
      <c r="S1907">
        <v>0</v>
      </c>
      <c r="W1907" s="20">
        <v>1.0416666666666667E-4</v>
      </c>
      <c r="X1907" t="s">
        <v>4342</v>
      </c>
      <c r="Y1907">
        <v>2</v>
      </c>
      <c r="Z1907">
        <v>0</v>
      </c>
      <c r="AA1907" t="s">
        <v>78</v>
      </c>
      <c r="AB1907">
        <v>0</v>
      </c>
      <c r="AC1907" t="s">
        <v>78</v>
      </c>
      <c r="AD1907">
        <v>0</v>
      </c>
      <c r="AE1907">
        <v>11092769</v>
      </c>
      <c r="AF1907" t="s">
        <v>79</v>
      </c>
      <c r="AG1907" t="s">
        <v>4336</v>
      </c>
    </row>
    <row r="1908" spans="1:33" x14ac:dyDescent="0.35">
      <c r="A1908" s="18">
        <v>44306.76458333333</v>
      </c>
      <c r="B1908">
        <v>3001261</v>
      </c>
      <c r="C1908" t="s">
        <v>3419</v>
      </c>
      <c r="D1908" t="s">
        <v>3420</v>
      </c>
      <c r="E1908" s="19">
        <v>39630</v>
      </c>
      <c r="F1908" t="str">
        <f>"9780313352874"</f>
        <v>9780313352874</v>
      </c>
      <c r="G1908" t="str">
        <f>"9780313352867"</f>
        <v>9780313352867</v>
      </c>
      <c r="H1908" t="s">
        <v>3421</v>
      </c>
      <c r="I1908">
        <v>333.79</v>
      </c>
      <c r="J1908" t="s">
        <v>3422</v>
      </c>
      <c r="K1908" t="s">
        <v>73</v>
      </c>
      <c r="N1908" t="s">
        <v>74</v>
      </c>
      <c r="O1908" t="s">
        <v>75</v>
      </c>
      <c r="P1908" t="s">
        <v>74</v>
      </c>
      <c r="Q1908" t="s">
        <v>76</v>
      </c>
      <c r="R1908" t="s">
        <v>73</v>
      </c>
      <c r="S1908">
        <v>0</v>
      </c>
      <c r="W1908" s="20">
        <v>4.6296296296296294E-5</v>
      </c>
      <c r="X1908" t="s">
        <v>132</v>
      </c>
      <c r="Y1908">
        <v>1</v>
      </c>
      <c r="Z1908">
        <v>0</v>
      </c>
      <c r="AA1908" t="s">
        <v>78</v>
      </c>
      <c r="AB1908">
        <v>0</v>
      </c>
      <c r="AC1908" t="s">
        <v>78</v>
      </c>
      <c r="AD1908">
        <v>0</v>
      </c>
      <c r="AE1908">
        <v>10271266</v>
      </c>
      <c r="AF1908" t="s">
        <v>79</v>
      </c>
      <c r="AG1908" t="s">
        <v>333</v>
      </c>
    </row>
    <row r="1909" spans="1:33" x14ac:dyDescent="0.35">
      <c r="A1909" s="18">
        <v>44306.74722222222</v>
      </c>
      <c r="B1909">
        <v>6356807</v>
      </c>
      <c r="C1909" t="s">
        <v>4278</v>
      </c>
      <c r="D1909" t="s">
        <v>158</v>
      </c>
      <c r="E1909" s="19">
        <v>44096</v>
      </c>
      <c r="F1909" t="str">
        <f>"9780128178850"</f>
        <v>9780128178850</v>
      </c>
      <c r="G1909" t="str">
        <f>"9780128178843"</f>
        <v>9780128178843</v>
      </c>
      <c r="H1909" t="s">
        <v>83</v>
      </c>
      <c r="I1909">
        <v>629.46</v>
      </c>
      <c r="J1909" t="s">
        <v>4279</v>
      </c>
      <c r="K1909" t="s">
        <v>85</v>
      </c>
      <c r="N1909" t="s">
        <v>86</v>
      </c>
      <c r="P1909" t="s">
        <v>87</v>
      </c>
      <c r="Q1909" t="s">
        <v>76</v>
      </c>
      <c r="R1909" t="s">
        <v>73</v>
      </c>
      <c r="S1909">
        <v>1</v>
      </c>
      <c r="T1909">
        <v>90</v>
      </c>
      <c r="U1909" s="18">
        <v>44306.74722222222</v>
      </c>
      <c r="V1909" s="18">
        <v>44396.74722222222</v>
      </c>
      <c r="W1909" s="20">
        <v>0</v>
      </c>
      <c r="X1909" t="s">
        <v>78</v>
      </c>
      <c r="Y1909">
        <v>0</v>
      </c>
      <c r="Z1909">
        <v>0</v>
      </c>
      <c r="AA1909" t="s">
        <v>78</v>
      </c>
      <c r="AB1909">
        <v>0</v>
      </c>
      <c r="AC1909" t="s">
        <v>78</v>
      </c>
      <c r="AD1909">
        <v>0</v>
      </c>
      <c r="AE1909">
        <v>-1</v>
      </c>
      <c r="AF1909" t="s">
        <v>88</v>
      </c>
      <c r="AG1909" t="s">
        <v>4132</v>
      </c>
    </row>
    <row r="1910" spans="1:33" x14ac:dyDescent="0.35">
      <c r="A1910" s="18">
        <v>44306.697916666664</v>
      </c>
      <c r="B1910">
        <v>1517436</v>
      </c>
      <c r="C1910" t="s">
        <v>4343</v>
      </c>
      <c r="D1910" t="s">
        <v>158</v>
      </c>
      <c r="E1910" s="19">
        <v>41650</v>
      </c>
      <c r="F1910" t="str">
        <f>"9780123972569"</f>
        <v>9780123972569</v>
      </c>
      <c r="G1910" t="str">
        <f>"9780123972705"</f>
        <v>9780123972705</v>
      </c>
      <c r="H1910" t="s">
        <v>1122</v>
      </c>
      <c r="I1910">
        <v>621.47</v>
      </c>
      <c r="J1910" t="s">
        <v>4344</v>
      </c>
      <c r="K1910" t="s">
        <v>73</v>
      </c>
      <c r="N1910" t="s">
        <v>74</v>
      </c>
      <c r="O1910" t="s">
        <v>75</v>
      </c>
      <c r="P1910" t="s">
        <v>74</v>
      </c>
      <c r="Q1910" t="s">
        <v>76</v>
      </c>
      <c r="R1910" t="s">
        <v>73</v>
      </c>
      <c r="S1910">
        <v>0</v>
      </c>
      <c r="W1910" s="20">
        <v>2.630787037037037E-2</v>
      </c>
      <c r="X1910" t="s">
        <v>4345</v>
      </c>
      <c r="Y1910">
        <v>161</v>
      </c>
      <c r="Z1910">
        <v>2</v>
      </c>
      <c r="AA1910" t="s">
        <v>4346</v>
      </c>
      <c r="AB1910">
        <v>77</v>
      </c>
      <c r="AC1910" t="s">
        <v>4347</v>
      </c>
      <c r="AD1910">
        <v>1</v>
      </c>
      <c r="AE1910">
        <v>10791985</v>
      </c>
      <c r="AF1910" t="s">
        <v>79</v>
      </c>
      <c r="AG1910" t="s">
        <v>4348</v>
      </c>
    </row>
    <row r="1911" spans="1:33" x14ac:dyDescent="0.35">
      <c r="A1911" s="18">
        <v>44306.680555555555</v>
      </c>
      <c r="B1911">
        <v>894706</v>
      </c>
      <c r="C1911" t="s">
        <v>4349</v>
      </c>
      <c r="D1911" t="s">
        <v>3175</v>
      </c>
      <c r="E1911" s="19">
        <v>40297</v>
      </c>
      <c r="F1911" t="str">
        <f>"9780815520382"</f>
        <v>9780815520382</v>
      </c>
      <c r="G1911" t="str">
        <f>"9780815520375"</f>
        <v>9780815520375</v>
      </c>
      <c r="H1911" t="s">
        <v>1757</v>
      </c>
      <c r="I1911">
        <v>671.73500000000001</v>
      </c>
      <c r="J1911" t="s">
        <v>4350</v>
      </c>
      <c r="K1911" t="s">
        <v>73</v>
      </c>
      <c r="N1911" t="s">
        <v>74</v>
      </c>
      <c r="O1911" t="s">
        <v>75</v>
      </c>
      <c r="P1911" t="s">
        <v>74</v>
      </c>
      <c r="Q1911" t="s">
        <v>76</v>
      </c>
      <c r="R1911" t="s">
        <v>73</v>
      </c>
      <c r="S1911">
        <v>0</v>
      </c>
      <c r="W1911" s="20">
        <v>4.363425925925926E-3</v>
      </c>
      <c r="X1911" t="s">
        <v>4351</v>
      </c>
      <c r="Y1911">
        <v>8</v>
      </c>
      <c r="Z1911">
        <v>0</v>
      </c>
      <c r="AA1911" t="s">
        <v>78</v>
      </c>
      <c r="AB1911">
        <v>0</v>
      </c>
      <c r="AC1911" t="s">
        <v>78</v>
      </c>
      <c r="AD1911">
        <v>0</v>
      </c>
      <c r="AE1911">
        <v>10408179</v>
      </c>
      <c r="AF1911" t="s">
        <v>79</v>
      </c>
      <c r="AG1911" t="s">
        <v>2640</v>
      </c>
    </row>
    <row r="1912" spans="1:33" x14ac:dyDescent="0.35">
      <c r="A1912" s="18">
        <v>44306.662499999999</v>
      </c>
      <c r="B1912">
        <v>3001261</v>
      </c>
      <c r="C1912" t="s">
        <v>3419</v>
      </c>
      <c r="D1912" t="s">
        <v>3420</v>
      </c>
      <c r="E1912" s="19">
        <v>39630</v>
      </c>
      <c r="F1912" t="str">
        <f>"9780313352874"</f>
        <v>9780313352874</v>
      </c>
      <c r="G1912" t="str">
        <f>"9780313352867"</f>
        <v>9780313352867</v>
      </c>
      <c r="H1912" t="s">
        <v>3421</v>
      </c>
      <c r="I1912">
        <v>333.79</v>
      </c>
      <c r="J1912" t="s">
        <v>3422</v>
      </c>
      <c r="K1912" t="s">
        <v>73</v>
      </c>
      <c r="N1912" t="s">
        <v>74</v>
      </c>
      <c r="O1912" t="s">
        <v>75</v>
      </c>
      <c r="P1912" t="s">
        <v>74</v>
      </c>
      <c r="Q1912" t="s">
        <v>76</v>
      </c>
      <c r="R1912" t="s">
        <v>73</v>
      </c>
      <c r="S1912">
        <v>0</v>
      </c>
      <c r="W1912" s="20">
        <v>1.1574074074074073E-4</v>
      </c>
      <c r="X1912" t="s">
        <v>249</v>
      </c>
      <c r="Y1912">
        <v>2</v>
      </c>
      <c r="Z1912">
        <v>0</v>
      </c>
      <c r="AA1912" t="s">
        <v>78</v>
      </c>
      <c r="AB1912">
        <v>0</v>
      </c>
      <c r="AC1912" t="s">
        <v>78</v>
      </c>
      <c r="AD1912">
        <v>0</v>
      </c>
      <c r="AE1912">
        <v>10271266</v>
      </c>
      <c r="AF1912" t="s">
        <v>79</v>
      </c>
      <c r="AG1912" t="s">
        <v>333</v>
      </c>
    </row>
    <row r="1913" spans="1:33" x14ac:dyDescent="0.35">
      <c r="A1913" s="18">
        <v>44306.63958333333</v>
      </c>
      <c r="B1913">
        <v>894706</v>
      </c>
      <c r="C1913" t="s">
        <v>4349</v>
      </c>
      <c r="D1913" t="s">
        <v>3175</v>
      </c>
      <c r="E1913" s="19">
        <v>40297</v>
      </c>
      <c r="F1913" t="str">
        <f>"9780815520382"</f>
        <v>9780815520382</v>
      </c>
      <c r="G1913" t="str">
        <f>"9780815520375"</f>
        <v>9780815520375</v>
      </c>
      <c r="H1913" t="s">
        <v>1757</v>
      </c>
      <c r="I1913">
        <v>671.73500000000001</v>
      </c>
      <c r="J1913" t="s">
        <v>4350</v>
      </c>
      <c r="K1913" t="s">
        <v>73</v>
      </c>
      <c r="N1913" t="s">
        <v>74</v>
      </c>
      <c r="O1913" t="s">
        <v>75</v>
      </c>
      <c r="P1913" t="s">
        <v>74</v>
      </c>
      <c r="Q1913" t="s">
        <v>76</v>
      </c>
      <c r="R1913" t="s">
        <v>73</v>
      </c>
      <c r="S1913">
        <v>0</v>
      </c>
      <c r="W1913" s="20">
        <v>1.9675925925925928E-3</v>
      </c>
      <c r="X1913" t="s">
        <v>4352</v>
      </c>
      <c r="Y1913">
        <v>6</v>
      </c>
      <c r="Z1913">
        <v>0</v>
      </c>
      <c r="AA1913" t="s">
        <v>78</v>
      </c>
      <c r="AB1913">
        <v>0</v>
      </c>
      <c r="AC1913" t="s">
        <v>78</v>
      </c>
      <c r="AD1913">
        <v>0</v>
      </c>
      <c r="AE1913">
        <v>10408179</v>
      </c>
      <c r="AF1913" t="s">
        <v>79</v>
      </c>
      <c r="AG1913" t="s">
        <v>2640</v>
      </c>
    </row>
    <row r="1914" spans="1:33" x14ac:dyDescent="0.35">
      <c r="A1914" s="18">
        <v>44306.57916666667</v>
      </c>
      <c r="B1914">
        <v>4410132</v>
      </c>
      <c r="C1914" t="s">
        <v>4282</v>
      </c>
      <c r="D1914" t="s">
        <v>300</v>
      </c>
      <c r="E1914" s="19">
        <v>42412</v>
      </c>
      <c r="F1914" t="str">
        <f>"9780262333863"</f>
        <v>9780262333863</v>
      </c>
      <c r="G1914" t="str">
        <f>"9780262034029"</f>
        <v>9780262034029</v>
      </c>
      <c r="H1914" t="s">
        <v>738</v>
      </c>
      <c r="I1914" t="s">
        <v>4283</v>
      </c>
      <c r="J1914" t="s">
        <v>4284</v>
      </c>
      <c r="K1914" t="s">
        <v>73</v>
      </c>
      <c r="N1914" t="s">
        <v>74</v>
      </c>
      <c r="O1914" t="s">
        <v>75</v>
      </c>
      <c r="P1914" t="s">
        <v>74</v>
      </c>
      <c r="Q1914" t="s">
        <v>76</v>
      </c>
      <c r="R1914" t="s">
        <v>73</v>
      </c>
      <c r="S1914">
        <v>0</v>
      </c>
      <c r="W1914" s="20">
        <v>6.9907407407407409E-3</v>
      </c>
      <c r="X1914" t="s">
        <v>4353</v>
      </c>
      <c r="Y1914">
        <v>5</v>
      </c>
      <c r="Z1914">
        <v>0</v>
      </c>
      <c r="AA1914" t="s">
        <v>78</v>
      </c>
      <c r="AB1914">
        <v>0</v>
      </c>
      <c r="AC1914" t="s">
        <v>78</v>
      </c>
      <c r="AD1914">
        <v>0</v>
      </c>
      <c r="AE1914">
        <v>11206714</v>
      </c>
      <c r="AF1914" t="s">
        <v>79</v>
      </c>
      <c r="AG1914" t="s">
        <v>4132</v>
      </c>
    </row>
    <row r="1915" spans="1:33" x14ac:dyDescent="0.35">
      <c r="A1915" s="18">
        <v>44306.554166666669</v>
      </c>
      <c r="B1915">
        <v>894706</v>
      </c>
      <c r="C1915" t="s">
        <v>4349</v>
      </c>
      <c r="D1915" t="s">
        <v>3175</v>
      </c>
      <c r="E1915" s="19">
        <v>40297</v>
      </c>
      <c r="F1915" t="str">
        <f>"9780815520382"</f>
        <v>9780815520382</v>
      </c>
      <c r="G1915" t="str">
        <f>"9780815520375"</f>
        <v>9780815520375</v>
      </c>
      <c r="H1915" t="s">
        <v>1757</v>
      </c>
      <c r="I1915">
        <v>671.73500000000001</v>
      </c>
      <c r="J1915" t="s">
        <v>4350</v>
      </c>
      <c r="K1915" t="s">
        <v>73</v>
      </c>
      <c r="N1915" t="s">
        <v>74</v>
      </c>
      <c r="O1915" t="s">
        <v>75</v>
      </c>
      <c r="P1915" t="s">
        <v>74</v>
      </c>
      <c r="Q1915" t="s">
        <v>76</v>
      </c>
      <c r="R1915" t="s">
        <v>73</v>
      </c>
      <c r="S1915">
        <v>0</v>
      </c>
      <c r="W1915" s="20">
        <v>7.2685185185185188E-3</v>
      </c>
      <c r="X1915" t="s">
        <v>4354</v>
      </c>
      <c r="Y1915">
        <v>18</v>
      </c>
      <c r="Z1915">
        <v>0</v>
      </c>
      <c r="AA1915" t="s">
        <v>78</v>
      </c>
      <c r="AB1915">
        <v>0</v>
      </c>
      <c r="AC1915" t="s">
        <v>78</v>
      </c>
      <c r="AD1915">
        <v>0</v>
      </c>
      <c r="AE1915">
        <v>10408179</v>
      </c>
      <c r="AF1915" t="s">
        <v>79</v>
      </c>
      <c r="AG1915" t="s">
        <v>3516</v>
      </c>
    </row>
    <row r="1916" spans="1:33" x14ac:dyDescent="0.35">
      <c r="A1916" s="18">
        <v>44306.541666666664</v>
      </c>
      <c r="B1916">
        <v>4410132</v>
      </c>
      <c r="C1916" t="s">
        <v>4282</v>
      </c>
      <c r="D1916" t="s">
        <v>300</v>
      </c>
      <c r="E1916" s="19">
        <v>42412</v>
      </c>
      <c r="F1916" t="str">
        <f>"9780262333863"</f>
        <v>9780262333863</v>
      </c>
      <c r="G1916" t="str">
        <f>"9780262034029"</f>
        <v>9780262034029</v>
      </c>
      <c r="H1916" t="s">
        <v>738</v>
      </c>
      <c r="I1916" t="s">
        <v>4283</v>
      </c>
      <c r="J1916" t="s">
        <v>4284</v>
      </c>
      <c r="K1916" t="s">
        <v>73</v>
      </c>
      <c r="N1916" t="s">
        <v>74</v>
      </c>
      <c r="O1916" t="s">
        <v>75</v>
      </c>
      <c r="P1916" t="s">
        <v>74</v>
      </c>
      <c r="Q1916" t="s">
        <v>76</v>
      </c>
      <c r="R1916" t="s">
        <v>73</v>
      </c>
      <c r="S1916">
        <v>0</v>
      </c>
      <c r="W1916" s="20">
        <v>1.7708333333333332E-3</v>
      </c>
      <c r="X1916" t="s">
        <v>4355</v>
      </c>
      <c r="Y1916">
        <v>15</v>
      </c>
      <c r="Z1916">
        <v>0</v>
      </c>
      <c r="AA1916" t="s">
        <v>78</v>
      </c>
      <c r="AB1916">
        <v>0</v>
      </c>
      <c r="AC1916" t="s">
        <v>78</v>
      </c>
      <c r="AD1916">
        <v>0</v>
      </c>
      <c r="AE1916">
        <v>11206714</v>
      </c>
      <c r="AF1916" t="s">
        <v>79</v>
      </c>
      <c r="AG1916" t="s">
        <v>4132</v>
      </c>
    </row>
    <row r="1917" spans="1:33" x14ac:dyDescent="0.35">
      <c r="A1917" s="18">
        <v>44306.515972222223</v>
      </c>
      <c r="B1917">
        <v>1630131</v>
      </c>
      <c r="C1917" t="s">
        <v>4356</v>
      </c>
      <c r="D1917" t="s">
        <v>158</v>
      </c>
      <c r="E1917" s="19">
        <v>28856</v>
      </c>
      <c r="F1917" t="str">
        <f>"9781483189284"</f>
        <v>9781483189284</v>
      </c>
      <c r="G1917" t="str">
        <f>"9780080247441"</f>
        <v>9780080247441</v>
      </c>
      <c r="H1917" t="s">
        <v>1208</v>
      </c>
      <c r="I1917">
        <v>621.47</v>
      </c>
      <c r="J1917" t="s">
        <v>4357</v>
      </c>
      <c r="K1917" t="s">
        <v>85</v>
      </c>
      <c r="N1917" t="s">
        <v>86</v>
      </c>
      <c r="P1917" t="s">
        <v>87</v>
      </c>
      <c r="Q1917" t="s">
        <v>76</v>
      </c>
      <c r="R1917" t="s">
        <v>73</v>
      </c>
      <c r="S1917">
        <v>1</v>
      </c>
      <c r="T1917">
        <v>90</v>
      </c>
      <c r="U1917" s="18">
        <v>44306.515972222223</v>
      </c>
      <c r="V1917" s="18">
        <v>44396.515972222223</v>
      </c>
      <c r="W1917" s="20">
        <v>1.9907407407407408E-3</v>
      </c>
      <c r="X1917" t="s">
        <v>4358</v>
      </c>
      <c r="Y1917">
        <v>10</v>
      </c>
      <c r="Z1917">
        <v>3</v>
      </c>
      <c r="AA1917" t="s">
        <v>4359</v>
      </c>
      <c r="AB1917">
        <v>90</v>
      </c>
      <c r="AC1917" t="s">
        <v>78</v>
      </c>
      <c r="AD1917">
        <v>0</v>
      </c>
      <c r="AE1917">
        <v>10838487</v>
      </c>
      <c r="AF1917" t="s">
        <v>88</v>
      </c>
      <c r="AG1917" t="s">
        <v>4132</v>
      </c>
    </row>
    <row r="1918" spans="1:33" x14ac:dyDescent="0.35">
      <c r="A1918" s="18">
        <v>44306.499305555553</v>
      </c>
      <c r="B1918">
        <v>3008653</v>
      </c>
      <c r="C1918" t="s">
        <v>4360</v>
      </c>
      <c r="D1918" t="s">
        <v>158</v>
      </c>
      <c r="E1918" s="19">
        <v>38867</v>
      </c>
      <c r="F1918" t="str">
        <f>"9780080460789"</f>
        <v>9780080460789</v>
      </c>
      <c r="G1918" t="str">
        <f>"9780750667234"</f>
        <v>9780750667234</v>
      </c>
      <c r="H1918" t="s">
        <v>469</v>
      </c>
      <c r="I1918">
        <v>621.48299999999995</v>
      </c>
      <c r="J1918" t="s">
        <v>4361</v>
      </c>
      <c r="K1918" t="s">
        <v>73</v>
      </c>
      <c r="N1918" t="s">
        <v>74</v>
      </c>
      <c r="O1918" t="s">
        <v>75</v>
      </c>
      <c r="P1918" t="s">
        <v>74</v>
      </c>
      <c r="Q1918" t="s">
        <v>76</v>
      </c>
      <c r="R1918" t="s">
        <v>73</v>
      </c>
      <c r="S1918">
        <v>0</v>
      </c>
      <c r="W1918" s="20">
        <v>0</v>
      </c>
      <c r="X1918" t="s">
        <v>78</v>
      </c>
      <c r="Y1918">
        <v>0</v>
      </c>
      <c r="Z1918">
        <v>1</v>
      </c>
      <c r="AA1918" t="s">
        <v>4362</v>
      </c>
      <c r="AB1918">
        <v>10</v>
      </c>
      <c r="AC1918" t="s">
        <v>78</v>
      </c>
      <c r="AD1918">
        <v>0</v>
      </c>
      <c r="AE1918">
        <v>10138714</v>
      </c>
      <c r="AF1918" t="s">
        <v>79</v>
      </c>
      <c r="AG1918" t="s">
        <v>4132</v>
      </c>
    </row>
    <row r="1919" spans="1:33" x14ac:dyDescent="0.35">
      <c r="A1919" s="18">
        <v>44306.493055555555</v>
      </c>
      <c r="B1919">
        <v>1630131</v>
      </c>
      <c r="C1919" t="s">
        <v>4356</v>
      </c>
      <c r="D1919" t="s">
        <v>158</v>
      </c>
      <c r="E1919" s="19">
        <v>28856</v>
      </c>
      <c r="F1919" t="str">
        <f>"9781483189284"</f>
        <v>9781483189284</v>
      </c>
      <c r="G1919" t="str">
        <f>"9780080247441"</f>
        <v>9780080247441</v>
      </c>
      <c r="H1919" t="s">
        <v>1208</v>
      </c>
      <c r="I1919">
        <v>621.47</v>
      </c>
      <c r="J1919" t="s">
        <v>4357</v>
      </c>
      <c r="K1919" t="s">
        <v>85</v>
      </c>
      <c r="N1919" t="s">
        <v>86</v>
      </c>
      <c r="P1919" t="s">
        <v>87</v>
      </c>
      <c r="Q1919" t="s">
        <v>76</v>
      </c>
      <c r="R1919" t="s">
        <v>73</v>
      </c>
      <c r="S1919">
        <v>0</v>
      </c>
      <c r="W1919" s="20">
        <v>6.782407407407408E-3</v>
      </c>
      <c r="X1919" t="s">
        <v>4363</v>
      </c>
      <c r="Y1919">
        <v>4</v>
      </c>
      <c r="Z1919">
        <v>1</v>
      </c>
      <c r="AA1919" t="s">
        <v>4364</v>
      </c>
      <c r="AB1919">
        <v>100</v>
      </c>
      <c r="AC1919" t="s">
        <v>78</v>
      </c>
      <c r="AD1919">
        <v>0</v>
      </c>
      <c r="AE1919">
        <v>10838487</v>
      </c>
      <c r="AF1919" t="s">
        <v>88</v>
      </c>
      <c r="AG1919" t="s">
        <v>4132</v>
      </c>
    </row>
    <row r="1920" spans="1:33" x14ac:dyDescent="0.35">
      <c r="A1920" s="18">
        <v>44306.450694444444</v>
      </c>
      <c r="B1920">
        <v>894706</v>
      </c>
      <c r="C1920" t="s">
        <v>4349</v>
      </c>
      <c r="D1920" t="s">
        <v>3175</v>
      </c>
      <c r="E1920" s="19">
        <v>40297</v>
      </c>
      <c r="F1920" t="str">
        <f>"9780815520382"</f>
        <v>9780815520382</v>
      </c>
      <c r="G1920" t="str">
        <f>"9780815520375"</f>
        <v>9780815520375</v>
      </c>
      <c r="H1920" t="s">
        <v>1757</v>
      </c>
      <c r="I1920">
        <v>671.73500000000001</v>
      </c>
      <c r="J1920" t="s">
        <v>4350</v>
      </c>
      <c r="K1920" t="s">
        <v>73</v>
      </c>
      <c r="N1920" t="s">
        <v>74</v>
      </c>
      <c r="O1920" t="s">
        <v>75</v>
      </c>
      <c r="P1920" t="s">
        <v>74</v>
      </c>
      <c r="Q1920" t="s">
        <v>76</v>
      </c>
      <c r="R1920" t="s">
        <v>73</v>
      </c>
      <c r="S1920">
        <v>0</v>
      </c>
      <c r="W1920" s="20">
        <v>7.7546296296296304E-4</v>
      </c>
      <c r="X1920" t="s">
        <v>4365</v>
      </c>
      <c r="Y1920">
        <v>5</v>
      </c>
      <c r="Z1920">
        <v>0</v>
      </c>
      <c r="AA1920" t="s">
        <v>78</v>
      </c>
      <c r="AB1920">
        <v>0</v>
      </c>
      <c r="AC1920" t="s">
        <v>78</v>
      </c>
      <c r="AD1920">
        <v>0</v>
      </c>
      <c r="AE1920">
        <v>10408179</v>
      </c>
      <c r="AF1920" t="s">
        <v>79</v>
      </c>
      <c r="AG1920" t="s">
        <v>3516</v>
      </c>
    </row>
    <row r="1921" spans="1:33" x14ac:dyDescent="0.35">
      <c r="A1921" s="18">
        <v>44306.387499999997</v>
      </c>
      <c r="B1921">
        <v>1517436</v>
      </c>
      <c r="C1921" t="s">
        <v>4343</v>
      </c>
      <c r="D1921" t="s">
        <v>158</v>
      </c>
      <c r="E1921" s="19">
        <v>41650</v>
      </c>
      <c r="F1921" t="str">
        <f>"9780123972569"</f>
        <v>9780123972569</v>
      </c>
      <c r="G1921" t="str">
        <f>"9780123972705"</f>
        <v>9780123972705</v>
      </c>
      <c r="H1921" t="s">
        <v>1122</v>
      </c>
      <c r="I1921">
        <v>621.47</v>
      </c>
      <c r="J1921" t="s">
        <v>4344</v>
      </c>
      <c r="K1921" t="s">
        <v>73</v>
      </c>
      <c r="N1921" t="s">
        <v>74</v>
      </c>
      <c r="O1921" t="s">
        <v>75</v>
      </c>
      <c r="P1921" t="s">
        <v>74</v>
      </c>
      <c r="Q1921" t="s">
        <v>76</v>
      </c>
      <c r="R1921" t="s">
        <v>73</v>
      </c>
      <c r="S1921">
        <v>0</v>
      </c>
      <c r="W1921" s="20">
        <v>0</v>
      </c>
      <c r="X1921" t="s">
        <v>78</v>
      </c>
      <c r="Y1921">
        <v>0</v>
      </c>
      <c r="Z1921">
        <v>1</v>
      </c>
      <c r="AA1921" t="s">
        <v>4366</v>
      </c>
      <c r="AB1921">
        <v>50</v>
      </c>
      <c r="AC1921" t="s">
        <v>78</v>
      </c>
      <c r="AD1921">
        <v>0</v>
      </c>
      <c r="AE1921">
        <v>10791985</v>
      </c>
      <c r="AF1921" t="s">
        <v>79</v>
      </c>
      <c r="AG1921" t="s">
        <v>4132</v>
      </c>
    </row>
    <row r="1922" spans="1:33" x14ac:dyDescent="0.35">
      <c r="A1922" s="18">
        <v>44306.294444444444</v>
      </c>
      <c r="B1922">
        <v>3021287</v>
      </c>
      <c r="C1922" t="s">
        <v>4367</v>
      </c>
      <c r="D1922" t="s">
        <v>226</v>
      </c>
      <c r="E1922" s="19">
        <v>41330</v>
      </c>
      <c r="F1922" t="str">
        <f>"9781624171109"</f>
        <v>9781624171109</v>
      </c>
      <c r="G1922" t="str">
        <f>"9781624171093"</f>
        <v>9781624171093</v>
      </c>
      <c r="H1922" t="s">
        <v>1400</v>
      </c>
      <c r="I1922" t="s">
        <v>4368</v>
      </c>
      <c r="J1922" t="s">
        <v>4369</v>
      </c>
      <c r="K1922" t="s">
        <v>73</v>
      </c>
      <c r="N1922" t="s">
        <v>74</v>
      </c>
      <c r="O1922" t="s">
        <v>75</v>
      </c>
      <c r="P1922" t="s">
        <v>230</v>
      </c>
      <c r="Q1922" t="s">
        <v>76</v>
      </c>
      <c r="R1922" t="s">
        <v>85</v>
      </c>
      <c r="S1922">
        <v>0</v>
      </c>
      <c r="W1922" s="20">
        <v>5.7870370370370378E-4</v>
      </c>
      <c r="X1922" t="s">
        <v>4370</v>
      </c>
      <c r="Y1922">
        <v>13</v>
      </c>
      <c r="Z1922">
        <v>0</v>
      </c>
      <c r="AA1922" t="s">
        <v>78</v>
      </c>
      <c r="AB1922">
        <v>0</v>
      </c>
      <c r="AC1922" t="s">
        <v>78</v>
      </c>
      <c r="AD1922">
        <v>0</v>
      </c>
      <c r="AE1922">
        <v>10682799</v>
      </c>
      <c r="AF1922" t="s">
        <v>79</v>
      </c>
      <c r="AG1922" t="s">
        <v>4132</v>
      </c>
    </row>
    <row r="1923" spans="1:33" x14ac:dyDescent="0.35">
      <c r="A1923" s="18">
        <v>44306.068055555559</v>
      </c>
      <c r="B1923">
        <v>1784632</v>
      </c>
      <c r="C1923" t="s">
        <v>4371</v>
      </c>
      <c r="D1923" t="s">
        <v>127</v>
      </c>
      <c r="E1923" s="19">
        <v>41946</v>
      </c>
      <c r="F1923" t="str">
        <f>"9781409448150"</f>
        <v>9781409448150</v>
      </c>
      <c r="G1923" t="str">
        <f>"9781409448143"</f>
        <v>9781409448143</v>
      </c>
      <c r="H1923" t="s">
        <v>621</v>
      </c>
      <c r="I1923">
        <v>362.11028900000002</v>
      </c>
      <c r="J1923" t="s">
        <v>4372</v>
      </c>
      <c r="K1923" t="s">
        <v>73</v>
      </c>
      <c r="N1923" t="s">
        <v>74</v>
      </c>
      <c r="O1923" t="s">
        <v>75</v>
      </c>
      <c r="P1923" t="s">
        <v>74</v>
      </c>
      <c r="Q1923" t="s">
        <v>76</v>
      </c>
      <c r="R1923" t="s">
        <v>73</v>
      </c>
      <c r="S1923">
        <v>0</v>
      </c>
      <c r="W1923" s="20">
        <v>4.2824074074074075E-4</v>
      </c>
      <c r="X1923" t="s">
        <v>4373</v>
      </c>
      <c r="Y1923">
        <v>2</v>
      </c>
      <c r="Z1923">
        <v>1</v>
      </c>
      <c r="AA1923" t="s">
        <v>4374</v>
      </c>
      <c r="AB1923">
        <v>32</v>
      </c>
      <c r="AC1923" t="s">
        <v>78</v>
      </c>
      <c r="AD1923">
        <v>0</v>
      </c>
      <c r="AE1923">
        <v>10989175</v>
      </c>
      <c r="AF1923" t="s">
        <v>79</v>
      </c>
      <c r="AG1923" t="s">
        <v>4375</v>
      </c>
    </row>
    <row r="1924" spans="1:33" x14ac:dyDescent="0.35">
      <c r="A1924" s="18">
        <v>44306.020833333336</v>
      </c>
      <c r="B1924">
        <v>894706</v>
      </c>
      <c r="C1924" t="s">
        <v>4349</v>
      </c>
      <c r="D1924" t="s">
        <v>3175</v>
      </c>
      <c r="E1924" s="19">
        <v>40297</v>
      </c>
      <c r="F1924" t="str">
        <f>"9780815520382"</f>
        <v>9780815520382</v>
      </c>
      <c r="G1924" t="str">
        <f>"9780815520375"</f>
        <v>9780815520375</v>
      </c>
      <c r="H1924" t="s">
        <v>1757</v>
      </c>
      <c r="I1924">
        <v>671.73500000000001</v>
      </c>
      <c r="J1924" t="s">
        <v>4350</v>
      </c>
      <c r="K1924" t="s">
        <v>73</v>
      </c>
      <c r="N1924" t="s">
        <v>74</v>
      </c>
      <c r="O1924" t="s">
        <v>75</v>
      </c>
      <c r="P1924" t="s">
        <v>74</v>
      </c>
      <c r="Q1924" t="s">
        <v>76</v>
      </c>
      <c r="R1924" t="s">
        <v>73</v>
      </c>
      <c r="S1924">
        <v>0</v>
      </c>
      <c r="W1924" s="20">
        <v>6.9965277777777779E-2</v>
      </c>
      <c r="X1924" t="s">
        <v>4376</v>
      </c>
      <c r="Y1924">
        <v>18</v>
      </c>
      <c r="Z1924">
        <v>0</v>
      </c>
      <c r="AA1924" t="s">
        <v>78</v>
      </c>
      <c r="AB1924">
        <v>0</v>
      </c>
      <c r="AC1924" t="s">
        <v>78</v>
      </c>
      <c r="AD1924">
        <v>0</v>
      </c>
      <c r="AE1924">
        <v>10408179</v>
      </c>
      <c r="AF1924" t="s">
        <v>79</v>
      </c>
      <c r="AG1924" t="s">
        <v>2640</v>
      </c>
    </row>
    <row r="1925" spans="1:33" x14ac:dyDescent="0.35">
      <c r="A1925" s="18">
        <v>44305.947222222225</v>
      </c>
      <c r="B1925">
        <v>894706</v>
      </c>
      <c r="C1925" t="s">
        <v>4349</v>
      </c>
      <c r="D1925" t="s">
        <v>3175</v>
      </c>
      <c r="E1925" s="19">
        <v>40297</v>
      </c>
      <c r="F1925" t="str">
        <f>"9780815520382"</f>
        <v>9780815520382</v>
      </c>
      <c r="G1925" t="str">
        <f>"9780815520375"</f>
        <v>9780815520375</v>
      </c>
      <c r="H1925" t="s">
        <v>1757</v>
      </c>
      <c r="I1925">
        <v>671.73500000000001</v>
      </c>
      <c r="J1925" t="s">
        <v>4350</v>
      </c>
      <c r="K1925" t="s">
        <v>73</v>
      </c>
      <c r="N1925" t="s">
        <v>74</v>
      </c>
      <c r="O1925" t="s">
        <v>75</v>
      </c>
      <c r="P1925" t="s">
        <v>74</v>
      </c>
      <c r="Q1925" t="s">
        <v>76</v>
      </c>
      <c r="R1925" t="s">
        <v>73</v>
      </c>
      <c r="S1925">
        <v>0</v>
      </c>
      <c r="W1925" s="20">
        <v>5.8217592592592592E-3</v>
      </c>
      <c r="X1925" t="s">
        <v>4377</v>
      </c>
      <c r="Y1925">
        <v>17</v>
      </c>
      <c r="Z1925">
        <v>0</v>
      </c>
      <c r="AA1925" t="s">
        <v>78</v>
      </c>
      <c r="AB1925">
        <v>0</v>
      </c>
      <c r="AC1925" t="s">
        <v>78</v>
      </c>
      <c r="AD1925">
        <v>0</v>
      </c>
      <c r="AE1925">
        <v>10408179</v>
      </c>
      <c r="AF1925" t="s">
        <v>79</v>
      </c>
      <c r="AG1925" t="s">
        <v>2640</v>
      </c>
    </row>
    <row r="1926" spans="1:33" x14ac:dyDescent="0.35">
      <c r="A1926" s="18">
        <v>44305.757638888892</v>
      </c>
      <c r="B1926">
        <v>328714</v>
      </c>
      <c r="C1926" t="s">
        <v>4378</v>
      </c>
      <c r="D1926" t="s">
        <v>1642</v>
      </c>
      <c r="E1926" s="19">
        <v>39402</v>
      </c>
      <c r="F1926" t="str">
        <f>"9781846637179"</f>
        <v>9781846637179</v>
      </c>
      <c r="G1926" t="str">
        <f>"9781846637162"</f>
        <v>9781846637162</v>
      </c>
      <c r="H1926" t="s">
        <v>143</v>
      </c>
      <c r="I1926">
        <v>650.04999999999995</v>
      </c>
      <c r="J1926" t="s">
        <v>4379</v>
      </c>
      <c r="K1926" t="s">
        <v>73</v>
      </c>
      <c r="N1926" t="s">
        <v>74</v>
      </c>
      <c r="O1926" t="s">
        <v>75</v>
      </c>
      <c r="P1926" t="s">
        <v>74</v>
      </c>
      <c r="Q1926" t="s">
        <v>76</v>
      </c>
      <c r="R1926" t="s">
        <v>73</v>
      </c>
      <c r="S1926">
        <v>1</v>
      </c>
      <c r="W1926" s="20">
        <v>1.5046296296296297E-4</v>
      </c>
      <c r="X1926" t="s">
        <v>125</v>
      </c>
      <c r="Y1926">
        <v>2</v>
      </c>
      <c r="Z1926">
        <v>0</v>
      </c>
      <c r="AA1926" t="s">
        <v>78</v>
      </c>
      <c r="AB1926">
        <v>0</v>
      </c>
      <c r="AC1926" t="s">
        <v>78</v>
      </c>
      <c r="AD1926">
        <v>0</v>
      </c>
      <c r="AE1926">
        <v>10211642</v>
      </c>
      <c r="AF1926" t="s">
        <v>88</v>
      </c>
      <c r="AG1926" t="s">
        <v>4375</v>
      </c>
    </row>
    <row r="1927" spans="1:33" x14ac:dyDescent="0.35">
      <c r="A1927" s="18">
        <v>44305.743750000001</v>
      </c>
      <c r="B1927">
        <v>6385991</v>
      </c>
      <c r="C1927" t="s">
        <v>4380</v>
      </c>
      <c r="D1927" t="s">
        <v>338</v>
      </c>
      <c r="E1927" s="19">
        <v>44141</v>
      </c>
      <c r="F1927" t="str">
        <f t="shared" ref="F1927:F1933" si="6">"9780128177983"</f>
        <v>9780128177983</v>
      </c>
      <c r="G1927" t="str">
        <f t="shared" ref="G1927:G1933" si="7">"9780128177976"</f>
        <v>9780128177976</v>
      </c>
      <c r="H1927" t="s">
        <v>4381</v>
      </c>
      <c r="I1927">
        <v>620.11599999999999</v>
      </c>
      <c r="J1927" t="s">
        <v>4382</v>
      </c>
      <c r="K1927" t="s">
        <v>85</v>
      </c>
      <c r="N1927" t="s">
        <v>86</v>
      </c>
      <c r="P1927" t="s">
        <v>87</v>
      </c>
      <c r="Q1927" t="s">
        <v>76</v>
      </c>
      <c r="R1927" t="s">
        <v>73</v>
      </c>
      <c r="S1927">
        <v>0</v>
      </c>
      <c r="W1927" s="20">
        <v>1.1574074074074073E-5</v>
      </c>
      <c r="X1927" t="s">
        <v>78</v>
      </c>
      <c r="Y1927">
        <v>0</v>
      </c>
      <c r="Z1927">
        <v>6</v>
      </c>
      <c r="AA1927" t="s">
        <v>4383</v>
      </c>
      <c r="AB1927">
        <v>14</v>
      </c>
      <c r="AC1927" t="s">
        <v>78</v>
      </c>
      <c r="AD1927">
        <v>0</v>
      </c>
      <c r="AE1927">
        <v>-1</v>
      </c>
      <c r="AF1927" t="s">
        <v>79</v>
      </c>
      <c r="AG1927" t="s">
        <v>4336</v>
      </c>
    </row>
    <row r="1928" spans="1:33" x14ac:dyDescent="0.35">
      <c r="A1928" s="18">
        <v>44305.739583333336</v>
      </c>
      <c r="B1928">
        <v>6385991</v>
      </c>
      <c r="C1928" t="s">
        <v>4380</v>
      </c>
      <c r="D1928" t="s">
        <v>338</v>
      </c>
      <c r="E1928" s="19">
        <v>44141</v>
      </c>
      <c r="F1928" t="str">
        <f t="shared" si="6"/>
        <v>9780128177983</v>
      </c>
      <c r="G1928" t="str">
        <f t="shared" si="7"/>
        <v>9780128177976</v>
      </c>
      <c r="H1928" t="s">
        <v>4381</v>
      </c>
      <c r="I1928">
        <v>620.11599999999999</v>
      </c>
      <c r="J1928" t="s">
        <v>4382</v>
      </c>
      <c r="K1928" t="s">
        <v>85</v>
      </c>
      <c r="N1928" t="s">
        <v>86</v>
      </c>
      <c r="P1928" t="s">
        <v>87</v>
      </c>
      <c r="Q1928" t="s">
        <v>76</v>
      </c>
      <c r="R1928" t="s">
        <v>73</v>
      </c>
      <c r="S1928">
        <v>0</v>
      </c>
      <c r="W1928" s="20">
        <v>0</v>
      </c>
      <c r="X1928" t="s">
        <v>78</v>
      </c>
      <c r="Y1928">
        <v>0</v>
      </c>
      <c r="Z1928">
        <v>6</v>
      </c>
      <c r="AA1928" t="s">
        <v>4384</v>
      </c>
      <c r="AB1928">
        <v>17</v>
      </c>
      <c r="AC1928" t="s">
        <v>78</v>
      </c>
      <c r="AD1928">
        <v>0</v>
      </c>
      <c r="AE1928">
        <v>-1</v>
      </c>
      <c r="AF1928" t="s">
        <v>79</v>
      </c>
      <c r="AG1928" t="s">
        <v>4336</v>
      </c>
    </row>
    <row r="1929" spans="1:33" x14ac:dyDescent="0.35">
      <c r="A1929" s="18">
        <v>44305.734027777777</v>
      </c>
      <c r="B1929">
        <v>6385991</v>
      </c>
      <c r="C1929" t="s">
        <v>4380</v>
      </c>
      <c r="D1929" t="s">
        <v>338</v>
      </c>
      <c r="E1929" s="19">
        <v>44141</v>
      </c>
      <c r="F1929" t="str">
        <f t="shared" si="6"/>
        <v>9780128177983</v>
      </c>
      <c r="G1929" t="str">
        <f t="shared" si="7"/>
        <v>9780128177976</v>
      </c>
      <c r="H1929" t="s">
        <v>4381</v>
      </c>
      <c r="I1929">
        <v>620.11599999999999</v>
      </c>
      <c r="J1929" t="s">
        <v>4382</v>
      </c>
      <c r="K1929" t="s">
        <v>85</v>
      </c>
      <c r="N1929" t="s">
        <v>86</v>
      </c>
      <c r="P1929" t="s">
        <v>87</v>
      </c>
      <c r="Q1929" t="s">
        <v>76</v>
      </c>
      <c r="R1929" t="s">
        <v>73</v>
      </c>
      <c r="S1929">
        <v>0</v>
      </c>
      <c r="W1929" s="20">
        <v>1.1574074074074073E-5</v>
      </c>
      <c r="X1929" t="s">
        <v>78</v>
      </c>
      <c r="Y1929">
        <v>0</v>
      </c>
      <c r="Z1929">
        <v>6</v>
      </c>
      <c r="AA1929" t="s">
        <v>4385</v>
      </c>
      <c r="AB1929">
        <v>52</v>
      </c>
      <c r="AC1929" t="s">
        <v>78</v>
      </c>
      <c r="AD1929">
        <v>0</v>
      </c>
      <c r="AE1929">
        <v>-1</v>
      </c>
      <c r="AF1929" t="s">
        <v>79</v>
      </c>
      <c r="AG1929" t="s">
        <v>4336</v>
      </c>
    </row>
    <row r="1930" spans="1:33" x14ac:dyDescent="0.35">
      <c r="A1930" s="18">
        <v>44305.732638888891</v>
      </c>
      <c r="B1930">
        <v>6385991</v>
      </c>
      <c r="C1930" t="s">
        <v>4380</v>
      </c>
      <c r="D1930" t="s">
        <v>338</v>
      </c>
      <c r="E1930" s="19">
        <v>44141</v>
      </c>
      <c r="F1930" t="str">
        <f t="shared" si="6"/>
        <v>9780128177983</v>
      </c>
      <c r="G1930" t="str">
        <f t="shared" si="7"/>
        <v>9780128177976</v>
      </c>
      <c r="H1930" t="s">
        <v>4381</v>
      </c>
      <c r="I1930">
        <v>620.11599999999999</v>
      </c>
      <c r="J1930" t="s">
        <v>4382</v>
      </c>
      <c r="K1930" t="s">
        <v>85</v>
      </c>
      <c r="N1930" t="s">
        <v>86</v>
      </c>
      <c r="P1930" t="s">
        <v>87</v>
      </c>
      <c r="Q1930" t="s">
        <v>76</v>
      </c>
      <c r="R1930" t="s">
        <v>73</v>
      </c>
      <c r="S1930">
        <v>0</v>
      </c>
      <c r="W1930" s="20">
        <v>0</v>
      </c>
      <c r="X1930" t="s">
        <v>78</v>
      </c>
      <c r="Y1930">
        <v>0</v>
      </c>
      <c r="Z1930">
        <v>1</v>
      </c>
      <c r="AA1930" t="s">
        <v>4386</v>
      </c>
      <c r="AB1930">
        <v>28</v>
      </c>
      <c r="AC1930" t="s">
        <v>78</v>
      </c>
      <c r="AD1930">
        <v>0</v>
      </c>
      <c r="AE1930">
        <v>-1</v>
      </c>
      <c r="AF1930" t="s">
        <v>79</v>
      </c>
      <c r="AG1930" t="s">
        <v>4336</v>
      </c>
    </row>
    <row r="1931" spans="1:33" x14ac:dyDescent="0.35">
      <c r="A1931" s="18">
        <v>44305.730555555558</v>
      </c>
      <c r="B1931">
        <v>6385991</v>
      </c>
      <c r="C1931" t="s">
        <v>4380</v>
      </c>
      <c r="D1931" t="s">
        <v>338</v>
      </c>
      <c r="E1931" s="19">
        <v>44141</v>
      </c>
      <c r="F1931" t="str">
        <f t="shared" si="6"/>
        <v>9780128177983</v>
      </c>
      <c r="G1931" t="str">
        <f t="shared" si="7"/>
        <v>9780128177976</v>
      </c>
      <c r="H1931" t="s">
        <v>4381</v>
      </c>
      <c r="I1931">
        <v>620.11599999999999</v>
      </c>
      <c r="J1931" t="s">
        <v>4382</v>
      </c>
      <c r="K1931" t="s">
        <v>85</v>
      </c>
      <c r="N1931" t="s">
        <v>86</v>
      </c>
      <c r="P1931" t="s">
        <v>87</v>
      </c>
      <c r="Q1931" t="s">
        <v>76</v>
      </c>
      <c r="R1931" t="s">
        <v>73</v>
      </c>
      <c r="S1931">
        <v>0</v>
      </c>
      <c r="W1931" s="20">
        <v>0</v>
      </c>
      <c r="X1931" t="s">
        <v>78</v>
      </c>
      <c r="Y1931">
        <v>0</v>
      </c>
      <c r="Z1931">
        <v>2</v>
      </c>
      <c r="AA1931" t="s">
        <v>4387</v>
      </c>
      <c r="AB1931">
        <v>46</v>
      </c>
      <c r="AC1931" t="s">
        <v>78</v>
      </c>
      <c r="AD1931">
        <v>0</v>
      </c>
      <c r="AE1931">
        <v>-1</v>
      </c>
      <c r="AF1931" t="s">
        <v>79</v>
      </c>
      <c r="AG1931" t="s">
        <v>4336</v>
      </c>
    </row>
    <row r="1932" spans="1:33" x14ac:dyDescent="0.35">
      <c r="A1932" s="18">
        <v>44305.729861111111</v>
      </c>
      <c r="B1932">
        <v>6385991</v>
      </c>
      <c r="C1932" t="s">
        <v>4380</v>
      </c>
      <c r="D1932" t="s">
        <v>338</v>
      </c>
      <c r="E1932" s="19">
        <v>44141</v>
      </c>
      <c r="F1932" t="str">
        <f t="shared" si="6"/>
        <v>9780128177983</v>
      </c>
      <c r="G1932" t="str">
        <f t="shared" si="7"/>
        <v>9780128177976</v>
      </c>
      <c r="H1932" t="s">
        <v>4381</v>
      </c>
      <c r="I1932">
        <v>620.11599999999999</v>
      </c>
      <c r="J1932" t="s">
        <v>4382</v>
      </c>
      <c r="K1932" t="s">
        <v>85</v>
      </c>
      <c r="N1932" t="s">
        <v>86</v>
      </c>
      <c r="P1932" t="s">
        <v>87</v>
      </c>
      <c r="Q1932" t="s">
        <v>76</v>
      </c>
      <c r="R1932" t="s">
        <v>73</v>
      </c>
      <c r="S1932">
        <v>0</v>
      </c>
      <c r="W1932" s="20">
        <v>0</v>
      </c>
      <c r="X1932" t="s">
        <v>78</v>
      </c>
      <c r="Y1932">
        <v>0</v>
      </c>
      <c r="Z1932">
        <v>1</v>
      </c>
      <c r="AA1932" t="s">
        <v>4388</v>
      </c>
      <c r="AB1932">
        <v>40</v>
      </c>
      <c r="AC1932" t="s">
        <v>78</v>
      </c>
      <c r="AD1932">
        <v>0</v>
      </c>
      <c r="AE1932">
        <v>-1</v>
      </c>
      <c r="AF1932" t="s">
        <v>79</v>
      </c>
      <c r="AG1932" t="s">
        <v>4336</v>
      </c>
    </row>
    <row r="1933" spans="1:33" x14ac:dyDescent="0.35">
      <c r="A1933" s="18">
        <v>44305.728472222225</v>
      </c>
      <c r="B1933">
        <v>6385991</v>
      </c>
      <c r="C1933" t="s">
        <v>4380</v>
      </c>
      <c r="D1933" t="s">
        <v>338</v>
      </c>
      <c r="E1933" s="19">
        <v>44141</v>
      </c>
      <c r="F1933" t="str">
        <f t="shared" si="6"/>
        <v>9780128177983</v>
      </c>
      <c r="G1933" t="str">
        <f t="shared" si="7"/>
        <v>9780128177976</v>
      </c>
      <c r="H1933" t="s">
        <v>4381</v>
      </c>
      <c r="I1933">
        <v>620.11599999999999</v>
      </c>
      <c r="J1933" t="s">
        <v>4382</v>
      </c>
      <c r="K1933" t="s">
        <v>85</v>
      </c>
      <c r="N1933" t="s">
        <v>86</v>
      </c>
      <c r="P1933" t="s">
        <v>87</v>
      </c>
      <c r="Q1933" t="s">
        <v>76</v>
      </c>
      <c r="R1933" t="s">
        <v>73</v>
      </c>
      <c r="S1933">
        <v>0</v>
      </c>
      <c r="W1933" s="20">
        <v>0</v>
      </c>
      <c r="X1933" t="s">
        <v>78</v>
      </c>
      <c r="Y1933">
        <v>0</v>
      </c>
      <c r="Z1933">
        <v>1</v>
      </c>
      <c r="AA1933" t="s">
        <v>4389</v>
      </c>
      <c r="AB1933">
        <v>42</v>
      </c>
      <c r="AC1933" t="s">
        <v>78</v>
      </c>
      <c r="AD1933">
        <v>0</v>
      </c>
      <c r="AE1933">
        <v>-1</v>
      </c>
      <c r="AF1933" t="s">
        <v>79</v>
      </c>
      <c r="AG1933" t="s">
        <v>4336</v>
      </c>
    </row>
    <row r="1934" spans="1:33" x14ac:dyDescent="0.35">
      <c r="A1934" s="18">
        <v>44305.609027777777</v>
      </c>
      <c r="B1934">
        <v>3004026</v>
      </c>
      <c r="C1934" t="s">
        <v>4331</v>
      </c>
      <c r="D1934" t="s">
        <v>506</v>
      </c>
      <c r="E1934" s="19">
        <v>38687</v>
      </c>
      <c r="F1934" t="str">
        <f>"9789047409083"</f>
        <v>9789047409083</v>
      </c>
      <c r="G1934" t="str">
        <f>"9789004150102"</f>
        <v>9789004150102</v>
      </c>
      <c r="H1934" t="s">
        <v>4332</v>
      </c>
      <c r="I1934" t="s">
        <v>4333</v>
      </c>
      <c r="J1934" t="s">
        <v>4334</v>
      </c>
      <c r="K1934" t="s">
        <v>73</v>
      </c>
      <c r="N1934" t="s">
        <v>74</v>
      </c>
      <c r="O1934" t="s">
        <v>75</v>
      </c>
      <c r="P1934" t="s">
        <v>74</v>
      </c>
      <c r="Q1934" t="s">
        <v>76</v>
      </c>
      <c r="R1934" t="s">
        <v>73</v>
      </c>
      <c r="S1934">
        <v>0</v>
      </c>
      <c r="W1934" s="20">
        <v>8.5763888888888886E-3</v>
      </c>
      <c r="X1934" t="s">
        <v>4390</v>
      </c>
      <c r="Y1934">
        <v>4</v>
      </c>
      <c r="Z1934">
        <v>0</v>
      </c>
      <c r="AA1934" t="s">
        <v>78</v>
      </c>
      <c r="AB1934">
        <v>0</v>
      </c>
      <c r="AC1934" t="s">
        <v>78</v>
      </c>
      <c r="AD1934">
        <v>0</v>
      </c>
      <c r="AE1934">
        <v>10234689</v>
      </c>
      <c r="AF1934" t="s">
        <v>79</v>
      </c>
      <c r="AG1934" t="s">
        <v>4336</v>
      </c>
    </row>
    <row r="1935" spans="1:33" x14ac:dyDescent="0.35">
      <c r="A1935" s="18">
        <v>44305.168749999997</v>
      </c>
      <c r="B1935">
        <v>1964105</v>
      </c>
      <c r="C1935" t="s">
        <v>4391</v>
      </c>
      <c r="D1935" t="s">
        <v>70</v>
      </c>
      <c r="E1935" s="19">
        <v>42093</v>
      </c>
      <c r="F1935" t="str">
        <f>"9781118957905"</f>
        <v>9781118957905</v>
      </c>
      <c r="G1935" t="str">
        <f>"9781118957882"</f>
        <v>9781118957882</v>
      </c>
      <c r="H1935" t="s">
        <v>1400</v>
      </c>
      <c r="I1935" t="s">
        <v>4119</v>
      </c>
      <c r="J1935" t="s">
        <v>4392</v>
      </c>
      <c r="K1935" t="s">
        <v>73</v>
      </c>
      <c r="N1935" t="s">
        <v>74</v>
      </c>
      <c r="O1935" t="s">
        <v>75</v>
      </c>
      <c r="P1935" t="s">
        <v>74</v>
      </c>
      <c r="Q1935" t="s">
        <v>76</v>
      </c>
      <c r="R1935" t="s">
        <v>73</v>
      </c>
      <c r="S1935">
        <v>0</v>
      </c>
      <c r="W1935" s="20">
        <v>2.0949074074074073E-3</v>
      </c>
      <c r="X1935" t="s">
        <v>4393</v>
      </c>
      <c r="Y1935">
        <v>14</v>
      </c>
      <c r="Z1935">
        <v>0</v>
      </c>
      <c r="AA1935" t="s">
        <v>78</v>
      </c>
      <c r="AB1935">
        <v>0</v>
      </c>
      <c r="AC1935" t="s">
        <v>78</v>
      </c>
      <c r="AD1935">
        <v>0</v>
      </c>
      <c r="AE1935">
        <v>11048125</v>
      </c>
      <c r="AF1935" t="s">
        <v>79</v>
      </c>
      <c r="AG1935" t="s">
        <v>4132</v>
      </c>
    </row>
    <row r="1936" spans="1:33" x14ac:dyDescent="0.35">
      <c r="A1936" s="18">
        <v>44304.963194444441</v>
      </c>
      <c r="B1936">
        <v>1117316</v>
      </c>
      <c r="C1936" t="s">
        <v>4394</v>
      </c>
      <c r="D1936" t="s">
        <v>70</v>
      </c>
      <c r="E1936" s="19">
        <v>41337</v>
      </c>
      <c r="F1936" t="str">
        <f>"9781118480830"</f>
        <v>9781118480830</v>
      </c>
      <c r="G1936" t="str">
        <f>"9780470630327"</f>
        <v>9780470630327</v>
      </c>
      <c r="H1936" t="s">
        <v>4395</v>
      </c>
      <c r="I1936" t="s">
        <v>4396</v>
      </c>
      <c r="J1936" t="s">
        <v>4397</v>
      </c>
      <c r="K1936" t="s">
        <v>73</v>
      </c>
      <c r="N1936" t="s">
        <v>74</v>
      </c>
      <c r="O1936" t="s">
        <v>75</v>
      </c>
      <c r="P1936" t="s">
        <v>74</v>
      </c>
      <c r="Q1936" t="s">
        <v>76</v>
      </c>
      <c r="R1936" t="s">
        <v>73</v>
      </c>
      <c r="S1936">
        <v>0</v>
      </c>
      <c r="W1936" s="20">
        <v>2.8935185185185189E-4</v>
      </c>
      <c r="X1936" t="s">
        <v>181</v>
      </c>
      <c r="Y1936">
        <v>3</v>
      </c>
      <c r="Z1936">
        <v>0</v>
      </c>
      <c r="AA1936" t="s">
        <v>78</v>
      </c>
      <c r="AB1936">
        <v>0</v>
      </c>
      <c r="AC1936" t="s">
        <v>78</v>
      </c>
      <c r="AD1936">
        <v>0</v>
      </c>
      <c r="AE1936">
        <v>10653883</v>
      </c>
      <c r="AF1936" t="s">
        <v>79</v>
      </c>
      <c r="AG1936" t="s">
        <v>4132</v>
      </c>
    </row>
    <row r="1937" spans="1:33" x14ac:dyDescent="0.35">
      <c r="A1937" s="18">
        <v>44304.805555555555</v>
      </c>
      <c r="B1937">
        <v>5167124</v>
      </c>
      <c r="C1937" t="s">
        <v>4034</v>
      </c>
      <c r="D1937" t="s">
        <v>158</v>
      </c>
      <c r="E1937" s="19">
        <v>43069</v>
      </c>
      <c r="F1937" t="str">
        <f>"9780128129999"</f>
        <v>9780128129999</v>
      </c>
      <c r="G1937" t="str">
        <f>"9780128129982"</f>
        <v>9780128129982</v>
      </c>
      <c r="H1937" t="s">
        <v>179</v>
      </c>
      <c r="I1937" t="s">
        <v>3435</v>
      </c>
      <c r="J1937" t="s">
        <v>4035</v>
      </c>
      <c r="K1937" t="s">
        <v>73</v>
      </c>
      <c r="N1937" t="s">
        <v>74</v>
      </c>
      <c r="O1937" t="s">
        <v>75</v>
      </c>
      <c r="P1937" t="s">
        <v>74</v>
      </c>
      <c r="Q1937" t="s">
        <v>76</v>
      </c>
      <c r="R1937" t="s">
        <v>73</v>
      </c>
      <c r="S1937">
        <v>0</v>
      </c>
      <c r="W1937" s="20">
        <v>1.9363425925925926E-2</v>
      </c>
      <c r="X1937" t="s">
        <v>4398</v>
      </c>
      <c r="Y1937">
        <v>37</v>
      </c>
      <c r="Z1937">
        <v>0</v>
      </c>
      <c r="AA1937" t="s">
        <v>78</v>
      </c>
      <c r="AB1937">
        <v>0</v>
      </c>
      <c r="AC1937" t="s">
        <v>78</v>
      </c>
      <c r="AD1937">
        <v>0</v>
      </c>
      <c r="AE1937">
        <v>11476363</v>
      </c>
      <c r="AF1937" t="s">
        <v>79</v>
      </c>
      <c r="AG1937" t="s">
        <v>1330</v>
      </c>
    </row>
    <row r="1938" spans="1:33" x14ac:dyDescent="0.35">
      <c r="A1938" s="18">
        <v>44304.777083333334</v>
      </c>
      <c r="B1938">
        <v>5167124</v>
      </c>
      <c r="C1938" t="s">
        <v>4034</v>
      </c>
      <c r="D1938" t="s">
        <v>158</v>
      </c>
      <c r="E1938" s="19">
        <v>43069</v>
      </c>
      <c r="F1938" t="str">
        <f>"9780128129999"</f>
        <v>9780128129999</v>
      </c>
      <c r="G1938" t="str">
        <f>"9780128129982"</f>
        <v>9780128129982</v>
      </c>
      <c r="H1938" t="s">
        <v>179</v>
      </c>
      <c r="I1938" t="s">
        <v>3435</v>
      </c>
      <c r="J1938" t="s">
        <v>4035</v>
      </c>
      <c r="K1938" t="s">
        <v>73</v>
      </c>
      <c r="N1938" t="s">
        <v>74</v>
      </c>
      <c r="O1938" t="s">
        <v>75</v>
      </c>
      <c r="P1938" t="s">
        <v>74</v>
      </c>
      <c r="Q1938" t="s">
        <v>76</v>
      </c>
      <c r="R1938" t="s">
        <v>73</v>
      </c>
      <c r="S1938">
        <v>0</v>
      </c>
      <c r="W1938" s="20">
        <v>1.0416666666666667E-4</v>
      </c>
      <c r="X1938" t="s">
        <v>360</v>
      </c>
      <c r="Y1938">
        <v>2</v>
      </c>
      <c r="Z1938">
        <v>0</v>
      </c>
      <c r="AA1938" t="s">
        <v>78</v>
      </c>
      <c r="AB1938">
        <v>0</v>
      </c>
      <c r="AC1938" t="s">
        <v>78</v>
      </c>
      <c r="AD1938">
        <v>0</v>
      </c>
      <c r="AE1938">
        <v>11476363</v>
      </c>
      <c r="AF1938" t="s">
        <v>88</v>
      </c>
      <c r="AG1938" t="s">
        <v>1330</v>
      </c>
    </row>
    <row r="1939" spans="1:33" x14ac:dyDescent="0.35">
      <c r="A1939" s="18">
        <v>44304.753472222219</v>
      </c>
      <c r="B1939">
        <v>1798303</v>
      </c>
      <c r="C1939" t="s">
        <v>4399</v>
      </c>
      <c r="D1939" t="s">
        <v>158</v>
      </c>
      <c r="E1939" s="19">
        <v>41911</v>
      </c>
      <c r="F1939" t="str">
        <f>"9780124200111"</f>
        <v>9780124200111</v>
      </c>
      <c r="G1939" t="str">
        <f>"9780124200036"</f>
        <v>9780124200036</v>
      </c>
      <c r="H1939" t="s">
        <v>4400</v>
      </c>
      <c r="I1939" t="s">
        <v>4401</v>
      </c>
      <c r="J1939" t="s">
        <v>4402</v>
      </c>
      <c r="K1939" t="s">
        <v>73</v>
      </c>
      <c r="N1939" t="s">
        <v>74</v>
      </c>
      <c r="O1939" t="s">
        <v>75</v>
      </c>
      <c r="P1939" t="s">
        <v>74</v>
      </c>
      <c r="Q1939" t="s">
        <v>76</v>
      </c>
      <c r="R1939" t="s">
        <v>73</v>
      </c>
      <c r="S1939">
        <v>0</v>
      </c>
      <c r="W1939" s="20">
        <v>5.6712962962962958E-3</v>
      </c>
      <c r="X1939" t="s">
        <v>4403</v>
      </c>
      <c r="Y1939">
        <v>22</v>
      </c>
      <c r="Z1939">
        <v>0</v>
      </c>
      <c r="AA1939" t="s">
        <v>78</v>
      </c>
      <c r="AB1939">
        <v>0</v>
      </c>
      <c r="AC1939" t="s">
        <v>78</v>
      </c>
      <c r="AD1939">
        <v>0</v>
      </c>
      <c r="AE1939">
        <v>10944045</v>
      </c>
      <c r="AF1939" t="s">
        <v>88</v>
      </c>
      <c r="AG1939" t="s">
        <v>1330</v>
      </c>
    </row>
    <row r="1940" spans="1:33" x14ac:dyDescent="0.35">
      <c r="A1940" s="18">
        <v>44304.65347222222</v>
      </c>
      <c r="B1940">
        <v>5324457</v>
      </c>
      <c r="C1940" t="s">
        <v>4404</v>
      </c>
      <c r="D1940" t="s">
        <v>3055</v>
      </c>
      <c r="E1940" s="19">
        <v>41796</v>
      </c>
      <c r="F1940" t="str">
        <f>"9781783320578"</f>
        <v>9781783320578</v>
      </c>
      <c r="G1940" t="str">
        <f>"9781842658802"</f>
        <v>9781842658802</v>
      </c>
      <c r="H1940" t="s">
        <v>110</v>
      </c>
      <c r="I1940">
        <v>4.3499999999999996</v>
      </c>
      <c r="J1940" t="s">
        <v>4405</v>
      </c>
      <c r="K1940" t="s">
        <v>73</v>
      </c>
      <c r="N1940" t="s">
        <v>74</v>
      </c>
      <c r="O1940" t="s">
        <v>75</v>
      </c>
      <c r="P1940" t="s">
        <v>74</v>
      </c>
      <c r="Q1940" t="s">
        <v>76</v>
      </c>
      <c r="R1940" t="s">
        <v>73</v>
      </c>
      <c r="S1940">
        <v>0</v>
      </c>
      <c r="W1940" s="20">
        <v>4.2025462962962966E-2</v>
      </c>
      <c r="X1940" t="s">
        <v>4406</v>
      </c>
      <c r="Y1940">
        <v>46</v>
      </c>
      <c r="Z1940">
        <v>0</v>
      </c>
      <c r="AA1940" t="s">
        <v>78</v>
      </c>
      <c r="AB1940">
        <v>0</v>
      </c>
      <c r="AC1940" t="s">
        <v>78</v>
      </c>
      <c r="AD1940">
        <v>0</v>
      </c>
      <c r="AE1940">
        <v>11532034</v>
      </c>
      <c r="AF1940" t="s">
        <v>79</v>
      </c>
      <c r="AG1940" t="s">
        <v>4132</v>
      </c>
    </row>
    <row r="1941" spans="1:33" x14ac:dyDescent="0.35">
      <c r="A1941" s="18">
        <v>44304.652083333334</v>
      </c>
      <c r="B1941">
        <v>1681214</v>
      </c>
      <c r="C1941" t="s">
        <v>4407</v>
      </c>
      <c r="D1941" t="s">
        <v>239</v>
      </c>
      <c r="E1941" s="19">
        <v>37438</v>
      </c>
      <c r="F1941" t="str">
        <f>"9781860949630"</f>
        <v>9781860949630</v>
      </c>
      <c r="G1941" t="str">
        <f>"9781860943157"</f>
        <v>9781860943157</v>
      </c>
      <c r="H1941" t="s">
        <v>110</v>
      </c>
      <c r="I1941">
        <v>4.3499999999999996</v>
      </c>
      <c r="J1941" t="s">
        <v>4408</v>
      </c>
      <c r="K1941" t="s">
        <v>73</v>
      </c>
      <c r="N1941" t="s">
        <v>74</v>
      </c>
      <c r="O1941" t="s">
        <v>75</v>
      </c>
      <c r="P1941" t="s">
        <v>74</v>
      </c>
      <c r="Q1941" t="s">
        <v>76</v>
      </c>
      <c r="R1941" t="s">
        <v>73</v>
      </c>
      <c r="S1941">
        <v>0</v>
      </c>
      <c r="W1941" s="20">
        <v>7.175925925925927E-4</v>
      </c>
      <c r="X1941" t="s">
        <v>4409</v>
      </c>
      <c r="Y1941">
        <v>14</v>
      </c>
      <c r="Z1941">
        <v>0</v>
      </c>
      <c r="AA1941" t="s">
        <v>78</v>
      </c>
      <c r="AB1941">
        <v>0</v>
      </c>
      <c r="AC1941" t="s">
        <v>78</v>
      </c>
      <c r="AD1941">
        <v>0</v>
      </c>
      <c r="AE1941">
        <v>10201260</v>
      </c>
      <c r="AF1941" t="s">
        <v>79</v>
      </c>
      <c r="AG1941" t="s">
        <v>4132</v>
      </c>
    </row>
    <row r="1942" spans="1:33" x14ac:dyDescent="0.35">
      <c r="A1942" s="18">
        <v>44304.634722222225</v>
      </c>
      <c r="B1942">
        <v>6385991</v>
      </c>
      <c r="C1942" t="s">
        <v>4380</v>
      </c>
      <c r="D1942" t="s">
        <v>338</v>
      </c>
      <c r="E1942" s="19">
        <v>44141</v>
      </c>
      <c r="F1942" t="str">
        <f>"9780128177983"</f>
        <v>9780128177983</v>
      </c>
      <c r="G1942" t="str">
        <f>"9780128177976"</f>
        <v>9780128177976</v>
      </c>
      <c r="H1942" t="s">
        <v>4381</v>
      </c>
      <c r="I1942">
        <v>620.11599999999999</v>
      </c>
      <c r="J1942" t="s">
        <v>4382</v>
      </c>
      <c r="K1942" t="s">
        <v>85</v>
      </c>
      <c r="N1942" t="s">
        <v>86</v>
      </c>
      <c r="P1942" t="s">
        <v>87</v>
      </c>
      <c r="Q1942" t="s">
        <v>76</v>
      </c>
      <c r="R1942" t="s">
        <v>73</v>
      </c>
      <c r="S1942">
        <v>0</v>
      </c>
      <c r="W1942" s="20">
        <v>5.7870370370370366E-5</v>
      </c>
      <c r="X1942" t="s">
        <v>4410</v>
      </c>
      <c r="Y1942">
        <v>1</v>
      </c>
      <c r="Z1942">
        <v>6</v>
      </c>
      <c r="AA1942" t="s">
        <v>4411</v>
      </c>
      <c r="AB1942">
        <v>49</v>
      </c>
      <c r="AC1942" t="s">
        <v>78</v>
      </c>
      <c r="AD1942">
        <v>0</v>
      </c>
      <c r="AE1942">
        <v>-1</v>
      </c>
      <c r="AF1942" t="s">
        <v>79</v>
      </c>
      <c r="AG1942" t="s">
        <v>4336</v>
      </c>
    </row>
    <row r="1943" spans="1:33" x14ac:dyDescent="0.35">
      <c r="A1943" s="18">
        <v>44304.457638888889</v>
      </c>
      <c r="B1943">
        <v>1099191</v>
      </c>
      <c r="C1943" t="s">
        <v>4412</v>
      </c>
      <c r="D1943" t="s">
        <v>127</v>
      </c>
      <c r="E1943" s="19">
        <v>31701</v>
      </c>
      <c r="F1943" t="str">
        <f>"9781135856083"</f>
        <v>9781135856083</v>
      </c>
      <c r="G1943" t="str">
        <f>"9780415059107"</f>
        <v>9780415059107</v>
      </c>
      <c r="H1943" t="s">
        <v>738</v>
      </c>
      <c r="I1943" t="s">
        <v>4413</v>
      </c>
      <c r="J1943" t="s">
        <v>4414</v>
      </c>
      <c r="K1943" t="s">
        <v>85</v>
      </c>
      <c r="N1943" t="s">
        <v>86</v>
      </c>
      <c r="P1943" t="s">
        <v>87</v>
      </c>
      <c r="Q1943" t="s">
        <v>76</v>
      </c>
      <c r="R1943" t="s">
        <v>73</v>
      </c>
      <c r="S1943">
        <v>0</v>
      </c>
      <c r="W1943" s="20">
        <v>9.780092592592592E-3</v>
      </c>
      <c r="X1943" t="s">
        <v>4415</v>
      </c>
      <c r="Y1943">
        <v>17</v>
      </c>
      <c r="Z1943">
        <v>0</v>
      </c>
      <c r="AA1943" t="s">
        <v>78</v>
      </c>
      <c r="AB1943">
        <v>0</v>
      </c>
      <c r="AC1943" t="s">
        <v>78</v>
      </c>
      <c r="AD1943">
        <v>0</v>
      </c>
      <c r="AE1943">
        <v>10639170</v>
      </c>
      <c r="AF1943" t="s">
        <v>79</v>
      </c>
      <c r="AG1943" t="s">
        <v>4416</v>
      </c>
    </row>
    <row r="1944" spans="1:33" x14ac:dyDescent="0.35">
      <c r="A1944" s="18">
        <v>44304.104166666664</v>
      </c>
      <c r="B1944">
        <v>4884117</v>
      </c>
      <c r="C1944" t="s">
        <v>4417</v>
      </c>
      <c r="D1944" t="s">
        <v>502</v>
      </c>
      <c r="E1944" s="19">
        <v>42901</v>
      </c>
      <c r="F1944" t="str">
        <f>"9781780408798"</f>
        <v>9781780408798</v>
      </c>
      <c r="G1944" t="str">
        <f>"9781780408781"</f>
        <v>9781780408781</v>
      </c>
      <c r="H1944" t="s">
        <v>767</v>
      </c>
      <c r="I1944">
        <v>628.16800000000001</v>
      </c>
      <c r="J1944" t="s">
        <v>4418</v>
      </c>
      <c r="K1944" t="s">
        <v>73</v>
      </c>
      <c r="N1944" t="s">
        <v>74</v>
      </c>
      <c r="O1944" t="s">
        <v>75</v>
      </c>
      <c r="P1944" t="s">
        <v>74</v>
      </c>
      <c r="Q1944" t="s">
        <v>76</v>
      </c>
      <c r="R1944" t="s">
        <v>73</v>
      </c>
      <c r="S1944">
        <v>0</v>
      </c>
      <c r="W1944" s="20">
        <v>0</v>
      </c>
      <c r="X1944" t="s">
        <v>78</v>
      </c>
      <c r="Y1944">
        <v>0</v>
      </c>
      <c r="Z1944">
        <v>2</v>
      </c>
      <c r="AA1944" t="s">
        <v>4419</v>
      </c>
      <c r="AB1944">
        <v>24</v>
      </c>
      <c r="AC1944" t="s">
        <v>78</v>
      </c>
      <c r="AD1944">
        <v>0</v>
      </c>
      <c r="AE1944">
        <v>11402153</v>
      </c>
      <c r="AF1944" t="s">
        <v>79</v>
      </c>
      <c r="AG1944" t="s">
        <v>4420</v>
      </c>
    </row>
    <row r="1945" spans="1:33" x14ac:dyDescent="0.35">
      <c r="A1945" s="18">
        <v>44303.976388888892</v>
      </c>
      <c r="B1945">
        <v>4884117</v>
      </c>
      <c r="C1945" t="s">
        <v>4417</v>
      </c>
      <c r="D1945" t="s">
        <v>502</v>
      </c>
      <c r="E1945" s="19">
        <v>42901</v>
      </c>
      <c r="F1945" t="str">
        <f>"9781780408798"</f>
        <v>9781780408798</v>
      </c>
      <c r="G1945" t="str">
        <f>"9781780408781"</f>
        <v>9781780408781</v>
      </c>
      <c r="H1945" t="s">
        <v>767</v>
      </c>
      <c r="I1945">
        <v>628.16800000000001</v>
      </c>
      <c r="J1945" t="s">
        <v>4418</v>
      </c>
      <c r="K1945" t="s">
        <v>73</v>
      </c>
      <c r="N1945" t="s">
        <v>74</v>
      </c>
      <c r="O1945" t="s">
        <v>75</v>
      </c>
      <c r="P1945" t="s">
        <v>74</v>
      </c>
      <c r="Q1945" t="s">
        <v>76</v>
      </c>
      <c r="R1945" t="s">
        <v>73</v>
      </c>
      <c r="S1945">
        <v>0</v>
      </c>
      <c r="W1945" s="20">
        <v>1.5046296296296297E-4</v>
      </c>
      <c r="X1945" t="s">
        <v>132</v>
      </c>
      <c r="Y1945">
        <v>1</v>
      </c>
      <c r="Z1945">
        <v>0</v>
      </c>
      <c r="AA1945" t="s">
        <v>78</v>
      </c>
      <c r="AB1945">
        <v>0</v>
      </c>
      <c r="AC1945" t="s">
        <v>78</v>
      </c>
      <c r="AD1945">
        <v>0</v>
      </c>
      <c r="AE1945">
        <v>11402153</v>
      </c>
      <c r="AF1945" t="s">
        <v>79</v>
      </c>
      <c r="AG1945" t="s">
        <v>4132</v>
      </c>
    </row>
    <row r="1946" spans="1:33" x14ac:dyDescent="0.35">
      <c r="A1946" s="18">
        <v>44303.847222222219</v>
      </c>
      <c r="B1946">
        <v>3001261</v>
      </c>
      <c r="C1946" t="s">
        <v>3419</v>
      </c>
      <c r="D1946" t="s">
        <v>3420</v>
      </c>
      <c r="E1946" s="19">
        <v>39630</v>
      </c>
      <c r="F1946" t="str">
        <f>"9780313352874"</f>
        <v>9780313352874</v>
      </c>
      <c r="G1946" t="str">
        <f>"9780313352867"</f>
        <v>9780313352867</v>
      </c>
      <c r="H1946" t="s">
        <v>3421</v>
      </c>
      <c r="I1946">
        <v>333.79</v>
      </c>
      <c r="J1946" t="s">
        <v>3422</v>
      </c>
      <c r="K1946" t="s">
        <v>73</v>
      </c>
      <c r="N1946" t="s">
        <v>74</v>
      </c>
      <c r="O1946" t="s">
        <v>75</v>
      </c>
      <c r="P1946" t="s">
        <v>74</v>
      </c>
      <c r="Q1946" t="s">
        <v>76</v>
      </c>
      <c r="R1946" t="s">
        <v>73</v>
      </c>
      <c r="S1946">
        <v>0</v>
      </c>
      <c r="W1946" s="20">
        <v>4.6296296296296294E-5</v>
      </c>
      <c r="X1946" t="s">
        <v>132</v>
      </c>
      <c r="Y1946">
        <v>1</v>
      </c>
      <c r="Z1946">
        <v>0</v>
      </c>
      <c r="AA1946" t="s">
        <v>78</v>
      </c>
      <c r="AB1946">
        <v>0</v>
      </c>
      <c r="AC1946" t="s">
        <v>78</v>
      </c>
      <c r="AD1946">
        <v>0</v>
      </c>
      <c r="AE1946">
        <v>10271266</v>
      </c>
      <c r="AF1946" t="s">
        <v>79</v>
      </c>
      <c r="AG1946" t="s">
        <v>333</v>
      </c>
    </row>
    <row r="1947" spans="1:33" x14ac:dyDescent="0.35">
      <c r="A1947" s="18">
        <v>44303.75</v>
      </c>
      <c r="B1947">
        <v>1446430</v>
      </c>
      <c r="C1947" t="s">
        <v>1649</v>
      </c>
      <c r="D1947" t="s">
        <v>127</v>
      </c>
      <c r="E1947" s="19">
        <v>40274</v>
      </c>
      <c r="F1947" t="str">
        <f>"9781439882573"</f>
        <v>9781439882573</v>
      </c>
      <c r="G1947" t="str">
        <f>"9781420085983"</f>
        <v>9781420085983</v>
      </c>
      <c r="H1947" t="s">
        <v>979</v>
      </c>
      <c r="I1947" t="s">
        <v>1650</v>
      </c>
      <c r="J1947" t="s">
        <v>1651</v>
      </c>
      <c r="K1947" t="s">
        <v>73</v>
      </c>
      <c r="N1947" t="s">
        <v>74</v>
      </c>
      <c r="O1947" t="s">
        <v>75</v>
      </c>
      <c r="P1947" t="s">
        <v>74</v>
      </c>
      <c r="Q1947" t="s">
        <v>76</v>
      </c>
      <c r="R1947" t="s">
        <v>73</v>
      </c>
      <c r="S1947">
        <v>0</v>
      </c>
      <c r="W1947" s="20">
        <v>1.1574074074074073E-5</v>
      </c>
      <c r="X1947" t="s">
        <v>78</v>
      </c>
      <c r="Y1947">
        <v>0</v>
      </c>
      <c r="Z1947">
        <v>0</v>
      </c>
      <c r="AA1947" t="s">
        <v>78</v>
      </c>
      <c r="AB1947">
        <v>0</v>
      </c>
      <c r="AC1947" t="s">
        <v>78</v>
      </c>
      <c r="AD1947">
        <v>0</v>
      </c>
      <c r="AE1947">
        <v>11166018</v>
      </c>
      <c r="AF1947" t="s">
        <v>79</v>
      </c>
      <c r="AG1947" t="s">
        <v>4421</v>
      </c>
    </row>
    <row r="1948" spans="1:33" x14ac:dyDescent="0.35">
      <c r="A1948" s="18">
        <v>44303.707638888889</v>
      </c>
      <c r="B1948">
        <v>1446430</v>
      </c>
      <c r="C1948" t="s">
        <v>1649</v>
      </c>
      <c r="D1948" t="s">
        <v>127</v>
      </c>
      <c r="E1948" s="19">
        <v>40274</v>
      </c>
      <c r="F1948" t="str">
        <f>"9781439882573"</f>
        <v>9781439882573</v>
      </c>
      <c r="G1948" t="str">
        <f>"9781420085983"</f>
        <v>9781420085983</v>
      </c>
      <c r="H1948" t="s">
        <v>979</v>
      </c>
      <c r="I1948" t="s">
        <v>1650</v>
      </c>
      <c r="J1948" t="s">
        <v>1651</v>
      </c>
      <c r="K1948" t="s">
        <v>73</v>
      </c>
      <c r="N1948" t="s">
        <v>74</v>
      </c>
      <c r="O1948" t="s">
        <v>75</v>
      </c>
      <c r="P1948" t="s">
        <v>74</v>
      </c>
      <c r="Q1948" t="s">
        <v>76</v>
      </c>
      <c r="R1948" t="s">
        <v>73</v>
      </c>
      <c r="S1948">
        <v>0</v>
      </c>
      <c r="W1948" s="20">
        <v>1.5046296296296294E-3</v>
      </c>
      <c r="X1948" t="s">
        <v>4422</v>
      </c>
      <c r="Y1948">
        <v>15</v>
      </c>
      <c r="Z1948">
        <v>0</v>
      </c>
      <c r="AA1948" t="s">
        <v>78</v>
      </c>
      <c r="AB1948">
        <v>0</v>
      </c>
      <c r="AC1948" t="s">
        <v>78</v>
      </c>
      <c r="AD1948">
        <v>0</v>
      </c>
      <c r="AE1948">
        <v>11166018</v>
      </c>
      <c r="AF1948" t="s">
        <v>79</v>
      </c>
      <c r="AG1948" t="s">
        <v>4421</v>
      </c>
    </row>
    <row r="1949" spans="1:33" x14ac:dyDescent="0.35">
      <c r="A1949" s="18">
        <v>44303.697916666664</v>
      </c>
      <c r="B1949">
        <v>4884117</v>
      </c>
      <c r="C1949" t="s">
        <v>4417</v>
      </c>
      <c r="D1949" t="s">
        <v>502</v>
      </c>
      <c r="E1949" s="19">
        <v>42901</v>
      </c>
      <c r="F1949" t="str">
        <f>"9781780408798"</f>
        <v>9781780408798</v>
      </c>
      <c r="G1949" t="str">
        <f>"9781780408781"</f>
        <v>9781780408781</v>
      </c>
      <c r="H1949" t="s">
        <v>767</v>
      </c>
      <c r="I1949">
        <v>628.16800000000001</v>
      </c>
      <c r="J1949" t="s">
        <v>4418</v>
      </c>
      <c r="K1949" t="s">
        <v>73</v>
      </c>
      <c r="N1949" t="s">
        <v>74</v>
      </c>
      <c r="O1949" t="s">
        <v>75</v>
      </c>
      <c r="P1949" t="s">
        <v>74</v>
      </c>
      <c r="Q1949" t="s">
        <v>76</v>
      </c>
      <c r="R1949" t="s">
        <v>73</v>
      </c>
      <c r="S1949">
        <v>0</v>
      </c>
      <c r="W1949" s="20">
        <v>1.6666666666666668E-3</v>
      </c>
      <c r="X1949" t="s">
        <v>4423</v>
      </c>
      <c r="Y1949">
        <v>3</v>
      </c>
      <c r="Z1949">
        <v>0</v>
      </c>
      <c r="AA1949" t="s">
        <v>78</v>
      </c>
      <c r="AB1949">
        <v>0</v>
      </c>
      <c r="AC1949" t="s">
        <v>2689</v>
      </c>
      <c r="AD1949">
        <v>1</v>
      </c>
      <c r="AE1949">
        <v>11402153</v>
      </c>
      <c r="AF1949" t="s">
        <v>79</v>
      </c>
      <c r="AG1949" t="s">
        <v>4132</v>
      </c>
    </row>
    <row r="1950" spans="1:33" x14ac:dyDescent="0.35">
      <c r="A1950" s="18">
        <v>44303.691666666666</v>
      </c>
      <c r="B1950">
        <v>510127</v>
      </c>
      <c r="C1950" t="s">
        <v>4424</v>
      </c>
      <c r="D1950" t="s">
        <v>70</v>
      </c>
      <c r="E1950" s="19">
        <v>40224</v>
      </c>
      <c r="F1950" t="str">
        <f>"9780470551561"</f>
        <v>9780470551561</v>
      </c>
      <c r="G1950" t="str">
        <f>"9780470521564"</f>
        <v>9780470521564</v>
      </c>
      <c r="H1950" t="s">
        <v>71</v>
      </c>
      <c r="I1950" t="s">
        <v>4425</v>
      </c>
      <c r="J1950" t="s">
        <v>4426</v>
      </c>
      <c r="K1950" t="s">
        <v>73</v>
      </c>
      <c r="N1950" t="s">
        <v>74</v>
      </c>
      <c r="O1950" t="s">
        <v>75</v>
      </c>
      <c r="P1950" t="s">
        <v>74</v>
      </c>
      <c r="Q1950" t="s">
        <v>76</v>
      </c>
      <c r="R1950" t="s">
        <v>73</v>
      </c>
      <c r="S1950">
        <v>1</v>
      </c>
      <c r="W1950" s="20">
        <v>0</v>
      </c>
      <c r="X1950" t="s">
        <v>78</v>
      </c>
      <c r="Y1950">
        <v>0</v>
      </c>
      <c r="Z1950">
        <v>0</v>
      </c>
      <c r="AA1950" t="s">
        <v>78</v>
      </c>
      <c r="AB1950">
        <v>0</v>
      </c>
      <c r="AC1950" t="s">
        <v>78</v>
      </c>
      <c r="AD1950">
        <v>0</v>
      </c>
      <c r="AE1950">
        <v>10381083</v>
      </c>
      <c r="AF1950" t="s">
        <v>88</v>
      </c>
      <c r="AG1950" t="s">
        <v>4421</v>
      </c>
    </row>
    <row r="1951" spans="1:33" x14ac:dyDescent="0.35">
      <c r="A1951" s="18">
        <v>44303.688888888886</v>
      </c>
      <c r="B1951">
        <v>510127</v>
      </c>
      <c r="C1951" t="s">
        <v>4424</v>
      </c>
      <c r="D1951" t="s">
        <v>70</v>
      </c>
      <c r="E1951" s="19">
        <v>40224</v>
      </c>
      <c r="F1951" t="str">
        <f>"9780470551561"</f>
        <v>9780470551561</v>
      </c>
      <c r="G1951" t="str">
        <f>"9780470521564"</f>
        <v>9780470521564</v>
      </c>
      <c r="H1951" t="s">
        <v>71</v>
      </c>
      <c r="I1951" t="s">
        <v>4425</v>
      </c>
      <c r="J1951" t="s">
        <v>4426</v>
      </c>
      <c r="K1951" t="s">
        <v>73</v>
      </c>
      <c r="N1951" t="s">
        <v>74</v>
      </c>
      <c r="O1951" t="s">
        <v>75</v>
      </c>
      <c r="P1951" t="s">
        <v>74</v>
      </c>
      <c r="Q1951" t="s">
        <v>76</v>
      </c>
      <c r="R1951" t="s">
        <v>73</v>
      </c>
      <c r="S1951">
        <v>0</v>
      </c>
      <c r="W1951" s="20">
        <v>2.5694444444444445E-3</v>
      </c>
      <c r="X1951" t="s">
        <v>4427</v>
      </c>
      <c r="Y1951">
        <v>21</v>
      </c>
      <c r="Z1951">
        <v>0</v>
      </c>
      <c r="AA1951" t="s">
        <v>78</v>
      </c>
      <c r="AB1951">
        <v>0</v>
      </c>
      <c r="AC1951" t="s">
        <v>78</v>
      </c>
      <c r="AD1951">
        <v>0</v>
      </c>
      <c r="AE1951">
        <v>10381083</v>
      </c>
      <c r="AF1951" t="s">
        <v>88</v>
      </c>
      <c r="AG1951" t="s">
        <v>4421</v>
      </c>
    </row>
    <row r="1952" spans="1:33" x14ac:dyDescent="0.35">
      <c r="A1952" s="18">
        <v>44303.622916666667</v>
      </c>
      <c r="B1952">
        <v>689506</v>
      </c>
      <c r="C1952" t="s">
        <v>4428</v>
      </c>
      <c r="D1952" t="s">
        <v>844</v>
      </c>
      <c r="E1952" s="19">
        <v>40606</v>
      </c>
      <c r="F1952" t="str">
        <f>"9781446209813"</f>
        <v>9781446209813</v>
      </c>
      <c r="G1952" t="str">
        <f>"9781848600010"</f>
        <v>9781848600010</v>
      </c>
      <c r="H1952" t="s">
        <v>128</v>
      </c>
      <c r="I1952">
        <v>300.721</v>
      </c>
      <c r="J1952" t="s">
        <v>4429</v>
      </c>
      <c r="K1952" t="s">
        <v>73</v>
      </c>
      <c r="N1952" t="s">
        <v>74</v>
      </c>
      <c r="O1952" t="s">
        <v>75</v>
      </c>
      <c r="P1952" t="s">
        <v>74</v>
      </c>
      <c r="Q1952" t="s">
        <v>76</v>
      </c>
      <c r="R1952" t="s">
        <v>73</v>
      </c>
      <c r="S1952">
        <v>0</v>
      </c>
      <c r="W1952" s="20">
        <v>9.6064814814814808E-4</v>
      </c>
      <c r="X1952" t="s">
        <v>4430</v>
      </c>
      <c r="Y1952">
        <v>10</v>
      </c>
      <c r="Z1952">
        <v>0</v>
      </c>
      <c r="AA1952" t="s">
        <v>78</v>
      </c>
      <c r="AB1952">
        <v>0</v>
      </c>
      <c r="AC1952" t="s">
        <v>78</v>
      </c>
      <c r="AD1952">
        <v>0</v>
      </c>
      <c r="AE1952">
        <v>10631916</v>
      </c>
      <c r="AF1952" t="s">
        <v>79</v>
      </c>
      <c r="AG1952" t="s">
        <v>4416</v>
      </c>
    </row>
    <row r="1953" spans="1:33" x14ac:dyDescent="0.35">
      <c r="A1953" s="18">
        <v>44303.617361111108</v>
      </c>
      <c r="B1953">
        <v>861634</v>
      </c>
      <c r="C1953" t="s">
        <v>4431</v>
      </c>
      <c r="D1953" t="s">
        <v>70</v>
      </c>
      <c r="E1953" s="19">
        <v>41247</v>
      </c>
      <c r="F1953" t="str">
        <f>"9781118220559"</f>
        <v>9781118220559</v>
      </c>
      <c r="G1953" t="str">
        <f>"9780470587980"</f>
        <v>9780470587980</v>
      </c>
      <c r="H1953" t="s">
        <v>4432</v>
      </c>
      <c r="I1953">
        <v>519.5</v>
      </c>
      <c r="J1953" t="s">
        <v>4433</v>
      </c>
      <c r="K1953" t="s">
        <v>73</v>
      </c>
      <c r="N1953" t="s">
        <v>74</v>
      </c>
      <c r="O1953" t="s">
        <v>75</v>
      </c>
      <c r="P1953" t="s">
        <v>74</v>
      </c>
      <c r="Q1953" t="s">
        <v>76</v>
      </c>
      <c r="R1953" t="s">
        <v>73</v>
      </c>
      <c r="S1953">
        <v>0</v>
      </c>
      <c r="W1953" s="20">
        <v>1.736111111111111E-3</v>
      </c>
      <c r="X1953" t="s">
        <v>4434</v>
      </c>
      <c r="Y1953">
        <v>15</v>
      </c>
      <c r="Z1953">
        <v>0</v>
      </c>
      <c r="AA1953" t="s">
        <v>78</v>
      </c>
      <c r="AB1953">
        <v>0</v>
      </c>
      <c r="AC1953" t="s">
        <v>78</v>
      </c>
      <c r="AD1953">
        <v>0</v>
      </c>
      <c r="AE1953">
        <v>10626269</v>
      </c>
      <c r="AF1953" t="s">
        <v>79</v>
      </c>
      <c r="AG1953" t="s">
        <v>4416</v>
      </c>
    </row>
    <row r="1954" spans="1:33" x14ac:dyDescent="0.35">
      <c r="A1954" s="18">
        <v>44303.612500000003</v>
      </c>
      <c r="B1954">
        <v>667795</v>
      </c>
      <c r="C1954" t="s">
        <v>4435</v>
      </c>
      <c r="D1954" t="s">
        <v>127</v>
      </c>
      <c r="E1954" s="19">
        <v>40498</v>
      </c>
      <c r="F1954" t="str">
        <f>"9780203836071"</f>
        <v>9780203836071</v>
      </c>
      <c r="G1954" t="str">
        <f>"9780415489911"</f>
        <v>9780415489911</v>
      </c>
      <c r="H1954" t="s">
        <v>128</v>
      </c>
      <c r="I1954">
        <v>300.72000000000003</v>
      </c>
      <c r="J1954" t="s">
        <v>4436</v>
      </c>
      <c r="K1954" t="s">
        <v>73</v>
      </c>
      <c r="N1954" t="s">
        <v>74</v>
      </c>
      <c r="O1954" t="s">
        <v>75</v>
      </c>
      <c r="P1954" t="s">
        <v>74</v>
      </c>
      <c r="Q1954" t="s">
        <v>76</v>
      </c>
      <c r="R1954" t="s">
        <v>73</v>
      </c>
      <c r="S1954">
        <v>0</v>
      </c>
      <c r="W1954" s="20">
        <v>4.3981481481481484E-3</v>
      </c>
      <c r="X1954" t="s">
        <v>4437</v>
      </c>
      <c r="Y1954">
        <v>40</v>
      </c>
      <c r="Z1954">
        <v>0</v>
      </c>
      <c r="AA1954" t="s">
        <v>78</v>
      </c>
      <c r="AB1954">
        <v>0</v>
      </c>
      <c r="AC1954" t="s">
        <v>78</v>
      </c>
      <c r="AD1954">
        <v>0</v>
      </c>
      <c r="AE1954">
        <v>10447676</v>
      </c>
      <c r="AF1954" t="s">
        <v>79</v>
      </c>
      <c r="AG1954" t="s">
        <v>4416</v>
      </c>
    </row>
    <row r="1955" spans="1:33" x14ac:dyDescent="0.35">
      <c r="A1955" s="18">
        <v>44303.570138888892</v>
      </c>
      <c r="B1955">
        <v>1446430</v>
      </c>
      <c r="C1955" t="s">
        <v>1649</v>
      </c>
      <c r="D1955" t="s">
        <v>127</v>
      </c>
      <c r="E1955" s="19">
        <v>40274</v>
      </c>
      <c r="F1955" t="str">
        <f>"9781439882573"</f>
        <v>9781439882573</v>
      </c>
      <c r="G1955" t="str">
        <f>"9781420085983"</f>
        <v>9781420085983</v>
      </c>
      <c r="H1955" t="s">
        <v>979</v>
      </c>
      <c r="I1955" t="s">
        <v>1650</v>
      </c>
      <c r="J1955" t="s">
        <v>1651</v>
      </c>
      <c r="K1955" t="s">
        <v>73</v>
      </c>
      <c r="N1955" t="s">
        <v>74</v>
      </c>
      <c r="O1955" t="s">
        <v>75</v>
      </c>
      <c r="P1955" t="s">
        <v>74</v>
      </c>
      <c r="Q1955" t="s">
        <v>76</v>
      </c>
      <c r="R1955" t="s">
        <v>73</v>
      </c>
      <c r="S1955">
        <v>0</v>
      </c>
      <c r="W1955" s="20">
        <v>1.689814814814815E-3</v>
      </c>
      <c r="X1955" t="s">
        <v>4438</v>
      </c>
      <c r="Y1955">
        <v>15</v>
      </c>
      <c r="Z1955">
        <v>0</v>
      </c>
      <c r="AA1955" t="s">
        <v>78</v>
      </c>
      <c r="AB1955">
        <v>0</v>
      </c>
      <c r="AC1955" t="s">
        <v>78</v>
      </c>
      <c r="AD1955">
        <v>0</v>
      </c>
      <c r="AE1955">
        <v>11166018</v>
      </c>
      <c r="AF1955" t="s">
        <v>79</v>
      </c>
      <c r="AG1955" t="s">
        <v>4421</v>
      </c>
    </row>
    <row r="1956" spans="1:33" x14ac:dyDescent="0.35">
      <c r="A1956" s="18">
        <v>44303.330555555556</v>
      </c>
      <c r="B1956">
        <v>3001261</v>
      </c>
      <c r="C1956" t="s">
        <v>3419</v>
      </c>
      <c r="D1956" t="s">
        <v>3420</v>
      </c>
      <c r="E1956" s="19">
        <v>39630</v>
      </c>
      <c r="F1956" t="str">
        <f>"9780313352874"</f>
        <v>9780313352874</v>
      </c>
      <c r="G1956" t="str">
        <f>"9780313352867"</f>
        <v>9780313352867</v>
      </c>
      <c r="H1956" t="s">
        <v>3421</v>
      </c>
      <c r="I1956">
        <v>333.79</v>
      </c>
      <c r="J1956" t="s">
        <v>3422</v>
      </c>
      <c r="K1956" t="s">
        <v>73</v>
      </c>
      <c r="N1956" t="s">
        <v>74</v>
      </c>
      <c r="O1956" t="s">
        <v>75</v>
      </c>
      <c r="P1956" t="s">
        <v>74</v>
      </c>
      <c r="Q1956" t="s">
        <v>76</v>
      </c>
      <c r="R1956" t="s">
        <v>73</v>
      </c>
      <c r="S1956">
        <v>0</v>
      </c>
      <c r="W1956" s="20">
        <v>6.9444444444444444E-5</v>
      </c>
      <c r="X1956" t="s">
        <v>132</v>
      </c>
      <c r="Y1956">
        <v>1</v>
      </c>
      <c r="Z1956">
        <v>0</v>
      </c>
      <c r="AA1956" t="s">
        <v>78</v>
      </c>
      <c r="AB1956">
        <v>0</v>
      </c>
      <c r="AC1956" t="s">
        <v>78</v>
      </c>
      <c r="AD1956">
        <v>0</v>
      </c>
      <c r="AE1956">
        <v>10271266</v>
      </c>
      <c r="AF1956" t="s">
        <v>79</v>
      </c>
      <c r="AG1956" t="s">
        <v>333</v>
      </c>
    </row>
    <row r="1957" spans="1:33" x14ac:dyDescent="0.35">
      <c r="A1957" s="18">
        <v>44302.948611111111</v>
      </c>
      <c r="B1957">
        <v>266543</v>
      </c>
      <c r="C1957" t="s">
        <v>4439</v>
      </c>
      <c r="D1957" t="s">
        <v>538</v>
      </c>
      <c r="E1957" s="19">
        <v>38169</v>
      </c>
      <c r="F1957" t="str">
        <f>"9780511210372"</f>
        <v>9780511210372</v>
      </c>
      <c r="G1957" t="str">
        <f>"9780521815383"</f>
        <v>9780521815383</v>
      </c>
      <c r="H1957" t="s">
        <v>1905</v>
      </c>
      <c r="I1957">
        <v>551.22</v>
      </c>
      <c r="J1957" t="s">
        <v>4440</v>
      </c>
      <c r="K1957" t="s">
        <v>73</v>
      </c>
      <c r="N1957" t="s">
        <v>74</v>
      </c>
      <c r="O1957" t="s">
        <v>75</v>
      </c>
      <c r="P1957" t="s">
        <v>74</v>
      </c>
      <c r="Q1957" t="s">
        <v>76</v>
      </c>
      <c r="R1957" t="s">
        <v>73</v>
      </c>
      <c r="S1957">
        <v>3</v>
      </c>
      <c r="W1957" s="20">
        <v>1.2106481481481482E-2</v>
      </c>
      <c r="X1957" t="s">
        <v>4441</v>
      </c>
      <c r="Y1957">
        <v>3</v>
      </c>
      <c r="Z1957">
        <v>0</v>
      </c>
      <c r="AA1957" t="s">
        <v>78</v>
      </c>
      <c r="AB1957">
        <v>0</v>
      </c>
      <c r="AC1957" t="s">
        <v>78</v>
      </c>
      <c r="AD1957">
        <v>0</v>
      </c>
      <c r="AE1957">
        <v>10131757</v>
      </c>
      <c r="AF1957" t="s">
        <v>88</v>
      </c>
      <c r="AG1957" t="s">
        <v>4442</v>
      </c>
    </row>
    <row r="1958" spans="1:33" x14ac:dyDescent="0.35">
      <c r="A1958" s="18">
        <v>44302.932638888888</v>
      </c>
      <c r="B1958">
        <v>266543</v>
      </c>
      <c r="C1958" t="s">
        <v>4439</v>
      </c>
      <c r="D1958" t="s">
        <v>538</v>
      </c>
      <c r="E1958" s="19">
        <v>38169</v>
      </c>
      <c r="F1958" t="str">
        <f>"9780511210372"</f>
        <v>9780511210372</v>
      </c>
      <c r="G1958" t="str">
        <f>"9780521815383"</f>
        <v>9780521815383</v>
      </c>
      <c r="H1958" t="s">
        <v>1905</v>
      </c>
      <c r="I1958">
        <v>551.22</v>
      </c>
      <c r="J1958" t="s">
        <v>4440</v>
      </c>
      <c r="K1958" t="s">
        <v>73</v>
      </c>
      <c r="N1958" t="s">
        <v>74</v>
      </c>
      <c r="O1958" t="s">
        <v>75</v>
      </c>
      <c r="P1958" t="s">
        <v>74</v>
      </c>
      <c r="Q1958" t="s">
        <v>76</v>
      </c>
      <c r="R1958" t="s">
        <v>73</v>
      </c>
      <c r="S1958">
        <v>0</v>
      </c>
      <c r="W1958" s="20">
        <v>1.5960648148148151E-2</v>
      </c>
      <c r="X1958" t="s">
        <v>4443</v>
      </c>
      <c r="Y1958">
        <v>16</v>
      </c>
      <c r="Z1958">
        <v>0</v>
      </c>
      <c r="AA1958" t="s">
        <v>78</v>
      </c>
      <c r="AB1958">
        <v>0</v>
      </c>
      <c r="AC1958" t="s">
        <v>78</v>
      </c>
      <c r="AD1958">
        <v>0</v>
      </c>
      <c r="AE1958">
        <v>10131757</v>
      </c>
      <c r="AF1958" t="s">
        <v>88</v>
      </c>
      <c r="AG1958" t="s">
        <v>4442</v>
      </c>
    </row>
    <row r="1959" spans="1:33" x14ac:dyDescent="0.35">
      <c r="A1959" s="18">
        <v>44302.772222222222</v>
      </c>
      <c r="B1959">
        <v>3338926</v>
      </c>
      <c r="C1959" t="s">
        <v>4444</v>
      </c>
      <c r="D1959" t="s">
        <v>300</v>
      </c>
      <c r="E1959" s="19">
        <v>39661</v>
      </c>
      <c r="F1959" t="str">
        <f>"9780262285612"</f>
        <v>9780262285612</v>
      </c>
      <c r="G1959" t="str">
        <f>"9780262220835"</f>
        <v>9780262220835</v>
      </c>
      <c r="H1959" t="s">
        <v>876</v>
      </c>
      <c r="I1959" t="s">
        <v>2665</v>
      </c>
      <c r="J1959" t="s">
        <v>4445</v>
      </c>
      <c r="K1959" t="s">
        <v>73</v>
      </c>
      <c r="N1959" t="s">
        <v>74</v>
      </c>
      <c r="O1959" t="s">
        <v>75</v>
      </c>
      <c r="P1959" t="s">
        <v>74</v>
      </c>
      <c r="Q1959" t="s">
        <v>76</v>
      </c>
      <c r="R1959" t="s">
        <v>73</v>
      </c>
      <c r="S1959">
        <v>0</v>
      </c>
      <c r="W1959" s="20">
        <v>6.9444444444444444E-5</v>
      </c>
      <c r="X1959" t="s">
        <v>360</v>
      </c>
      <c r="Y1959">
        <v>2</v>
      </c>
      <c r="Z1959">
        <v>0</v>
      </c>
      <c r="AA1959" t="s">
        <v>78</v>
      </c>
      <c r="AB1959">
        <v>0</v>
      </c>
      <c r="AC1959" t="s">
        <v>78</v>
      </c>
      <c r="AD1959">
        <v>0</v>
      </c>
      <c r="AE1959">
        <v>10246371</v>
      </c>
      <c r="AF1959" t="s">
        <v>79</v>
      </c>
      <c r="AG1959" t="s">
        <v>4336</v>
      </c>
    </row>
    <row r="1960" spans="1:33" x14ac:dyDescent="0.35">
      <c r="A1960" s="18">
        <v>44302.663194444445</v>
      </c>
      <c r="B1960">
        <v>4884117</v>
      </c>
      <c r="C1960" t="s">
        <v>4417</v>
      </c>
      <c r="D1960" t="s">
        <v>502</v>
      </c>
      <c r="E1960" s="19">
        <v>42901</v>
      </c>
      <c r="F1960" t="str">
        <f>"9781780408798"</f>
        <v>9781780408798</v>
      </c>
      <c r="G1960" t="str">
        <f>"9781780408781"</f>
        <v>9781780408781</v>
      </c>
      <c r="H1960" t="s">
        <v>767</v>
      </c>
      <c r="I1960">
        <v>628.16800000000001</v>
      </c>
      <c r="J1960" t="s">
        <v>4418</v>
      </c>
      <c r="K1960" t="s">
        <v>73</v>
      </c>
      <c r="N1960" t="s">
        <v>74</v>
      </c>
      <c r="O1960" t="s">
        <v>75</v>
      </c>
      <c r="P1960" t="s">
        <v>74</v>
      </c>
      <c r="Q1960" t="s">
        <v>76</v>
      </c>
      <c r="R1960" t="s">
        <v>73</v>
      </c>
      <c r="S1960">
        <v>0</v>
      </c>
      <c r="W1960" s="20">
        <v>4.8148148148148152E-3</v>
      </c>
      <c r="X1960" t="s">
        <v>4446</v>
      </c>
      <c r="Y1960">
        <v>9</v>
      </c>
      <c r="Z1960">
        <v>0</v>
      </c>
      <c r="AA1960" t="s">
        <v>78</v>
      </c>
      <c r="AB1960">
        <v>0</v>
      </c>
      <c r="AC1960" t="s">
        <v>78</v>
      </c>
      <c r="AD1960">
        <v>0</v>
      </c>
      <c r="AE1960">
        <v>11402153</v>
      </c>
      <c r="AF1960" t="s">
        <v>79</v>
      </c>
      <c r="AG1960" t="s">
        <v>4132</v>
      </c>
    </row>
    <row r="1961" spans="1:33" x14ac:dyDescent="0.35">
      <c r="A1961" s="18">
        <v>44302.652777777781</v>
      </c>
      <c r="B1961">
        <v>510127</v>
      </c>
      <c r="C1961" t="s">
        <v>4424</v>
      </c>
      <c r="D1961" t="s">
        <v>70</v>
      </c>
      <c r="E1961" s="19">
        <v>40224</v>
      </c>
      <c r="F1961" t="str">
        <f>"9780470551561"</f>
        <v>9780470551561</v>
      </c>
      <c r="G1961" t="str">
        <f>"9780470521564"</f>
        <v>9780470521564</v>
      </c>
      <c r="H1961" t="s">
        <v>71</v>
      </c>
      <c r="I1961" t="s">
        <v>4425</v>
      </c>
      <c r="J1961" t="s">
        <v>4426</v>
      </c>
      <c r="K1961" t="s">
        <v>73</v>
      </c>
      <c r="N1961" t="s">
        <v>74</v>
      </c>
      <c r="O1961" t="s">
        <v>75</v>
      </c>
      <c r="P1961" t="s">
        <v>74</v>
      </c>
      <c r="Q1961" t="s">
        <v>76</v>
      </c>
      <c r="R1961" t="s">
        <v>73</v>
      </c>
      <c r="S1961">
        <v>1</v>
      </c>
      <c r="W1961" s="20">
        <v>1.1574074074074073E-5</v>
      </c>
      <c r="X1961" t="s">
        <v>78</v>
      </c>
      <c r="Y1961">
        <v>0</v>
      </c>
      <c r="Z1961">
        <v>0</v>
      </c>
      <c r="AA1961" t="s">
        <v>78</v>
      </c>
      <c r="AB1961">
        <v>0</v>
      </c>
      <c r="AC1961" t="s">
        <v>78</v>
      </c>
      <c r="AD1961">
        <v>0</v>
      </c>
      <c r="AE1961">
        <v>10381083</v>
      </c>
      <c r="AF1961" t="s">
        <v>88</v>
      </c>
      <c r="AG1961" t="s">
        <v>4421</v>
      </c>
    </row>
    <row r="1962" spans="1:33" x14ac:dyDescent="0.35">
      <c r="A1962" s="18">
        <v>44302.439583333333</v>
      </c>
      <c r="B1962">
        <v>3001261</v>
      </c>
      <c r="C1962" t="s">
        <v>3419</v>
      </c>
      <c r="D1962" t="s">
        <v>3420</v>
      </c>
      <c r="E1962" s="19">
        <v>39630</v>
      </c>
      <c r="F1962" t="str">
        <f>"9780313352874"</f>
        <v>9780313352874</v>
      </c>
      <c r="G1962" t="str">
        <f>"9780313352867"</f>
        <v>9780313352867</v>
      </c>
      <c r="H1962" t="s">
        <v>3421</v>
      </c>
      <c r="I1962">
        <v>333.79</v>
      </c>
      <c r="J1962" t="s">
        <v>3422</v>
      </c>
      <c r="K1962" t="s">
        <v>73</v>
      </c>
      <c r="N1962" t="s">
        <v>74</v>
      </c>
      <c r="O1962" t="s">
        <v>75</v>
      </c>
      <c r="P1962" t="s">
        <v>74</v>
      </c>
      <c r="Q1962" t="s">
        <v>76</v>
      </c>
      <c r="R1962" t="s">
        <v>73</v>
      </c>
      <c r="S1962">
        <v>0</v>
      </c>
      <c r="W1962" s="20">
        <v>6.9444444444444444E-5</v>
      </c>
      <c r="X1962" t="s">
        <v>132</v>
      </c>
      <c r="Y1962">
        <v>1</v>
      </c>
      <c r="Z1962">
        <v>0</v>
      </c>
      <c r="AA1962" t="s">
        <v>78</v>
      </c>
      <c r="AB1962">
        <v>0</v>
      </c>
      <c r="AC1962" t="s">
        <v>78</v>
      </c>
      <c r="AD1962">
        <v>0</v>
      </c>
      <c r="AE1962">
        <v>10271266</v>
      </c>
      <c r="AF1962" t="s">
        <v>79</v>
      </c>
      <c r="AG1962" t="s">
        <v>333</v>
      </c>
    </row>
    <row r="1963" spans="1:33" x14ac:dyDescent="0.35">
      <c r="A1963" s="18">
        <v>44301.961111111108</v>
      </c>
      <c r="B1963">
        <v>3338926</v>
      </c>
      <c r="C1963" t="s">
        <v>4444</v>
      </c>
      <c r="D1963" t="s">
        <v>300</v>
      </c>
      <c r="E1963" s="19">
        <v>39661</v>
      </c>
      <c r="F1963" t="str">
        <f>"9780262285612"</f>
        <v>9780262285612</v>
      </c>
      <c r="G1963" t="str">
        <f>"9780262220835"</f>
        <v>9780262220835</v>
      </c>
      <c r="H1963" t="s">
        <v>876</v>
      </c>
      <c r="I1963" t="s">
        <v>2665</v>
      </c>
      <c r="J1963" t="s">
        <v>4445</v>
      </c>
      <c r="K1963" t="s">
        <v>73</v>
      </c>
      <c r="N1963" t="s">
        <v>74</v>
      </c>
      <c r="O1963" t="s">
        <v>75</v>
      </c>
      <c r="P1963" t="s">
        <v>74</v>
      </c>
      <c r="Q1963" t="s">
        <v>76</v>
      </c>
      <c r="R1963" t="s">
        <v>73</v>
      </c>
      <c r="S1963">
        <v>0</v>
      </c>
      <c r="W1963" s="20">
        <v>5.7870370370370366E-5</v>
      </c>
      <c r="X1963" t="s">
        <v>360</v>
      </c>
      <c r="Y1963">
        <v>2</v>
      </c>
      <c r="Z1963">
        <v>0</v>
      </c>
      <c r="AA1963" t="s">
        <v>78</v>
      </c>
      <c r="AB1963">
        <v>0</v>
      </c>
      <c r="AC1963" t="s">
        <v>78</v>
      </c>
      <c r="AD1963">
        <v>0</v>
      </c>
      <c r="AE1963">
        <v>10246371</v>
      </c>
      <c r="AF1963" t="s">
        <v>79</v>
      </c>
      <c r="AG1963" t="s">
        <v>4336</v>
      </c>
    </row>
    <row r="1964" spans="1:33" x14ac:dyDescent="0.35">
      <c r="A1964" s="18">
        <v>44301.864583333336</v>
      </c>
      <c r="B1964">
        <v>3000467</v>
      </c>
      <c r="C1964" t="s">
        <v>4447</v>
      </c>
      <c r="D1964" t="s">
        <v>3420</v>
      </c>
      <c r="E1964" s="19">
        <v>37165</v>
      </c>
      <c r="F1964" t="str">
        <f>"9780313006975"</f>
        <v>9780313006975</v>
      </c>
      <c r="G1964" t="str">
        <f>"9780313316791"</f>
        <v>9780313316791</v>
      </c>
      <c r="H1964" t="s">
        <v>876</v>
      </c>
      <c r="I1964" t="s">
        <v>2665</v>
      </c>
      <c r="J1964" t="s">
        <v>4448</v>
      </c>
      <c r="K1964" t="s">
        <v>73</v>
      </c>
      <c r="N1964" t="s">
        <v>74</v>
      </c>
      <c r="O1964" t="s">
        <v>75</v>
      </c>
      <c r="P1964" t="s">
        <v>74</v>
      </c>
      <c r="Q1964" t="s">
        <v>76</v>
      </c>
      <c r="R1964" t="s">
        <v>73</v>
      </c>
      <c r="S1964">
        <v>0</v>
      </c>
      <c r="W1964" s="20">
        <v>5.7870370370370366E-5</v>
      </c>
      <c r="X1964" t="s">
        <v>360</v>
      </c>
      <c r="Y1964">
        <v>2</v>
      </c>
      <c r="Z1964">
        <v>0</v>
      </c>
      <c r="AA1964" t="s">
        <v>78</v>
      </c>
      <c r="AB1964">
        <v>0</v>
      </c>
      <c r="AC1964" t="s">
        <v>78</v>
      </c>
      <c r="AD1964">
        <v>0</v>
      </c>
      <c r="AE1964">
        <v>10005596</v>
      </c>
      <c r="AF1964" t="s">
        <v>79</v>
      </c>
      <c r="AG1964" t="s">
        <v>4336</v>
      </c>
    </row>
    <row r="1965" spans="1:33" x14ac:dyDescent="0.35">
      <c r="A1965" s="18">
        <v>44301.863888888889</v>
      </c>
      <c r="B1965">
        <v>3338926</v>
      </c>
      <c r="C1965" t="s">
        <v>4444</v>
      </c>
      <c r="D1965" t="s">
        <v>300</v>
      </c>
      <c r="E1965" s="19">
        <v>39661</v>
      </c>
      <c r="F1965" t="str">
        <f>"9780262285612"</f>
        <v>9780262285612</v>
      </c>
      <c r="G1965" t="str">
        <f>"9780262220835"</f>
        <v>9780262220835</v>
      </c>
      <c r="H1965" t="s">
        <v>876</v>
      </c>
      <c r="I1965" t="s">
        <v>2665</v>
      </c>
      <c r="J1965" t="s">
        <v>4445</v>
      </c>
      <c r="K1965" t="s">
        <v>73</v>
      </c>
      <c r="N1965" t="s">
        <v>74</v>
      </c>
      <c r="O1965" t="s">
        <v>75</v>
      </c>
      <c r="P1965" t="s">
        <v>74</v>
      </c>
      <c r="Q1965" t="s">
        <v>76</v>
      </c>
      <c r="R1965" t="s">
        <v>73</v>
      </c>
      <c r="S1965">
        <v>0</v>
      </c>
      <c r="W1965" s="20">
        <v>1.6203703703703703E-4</v>
      </c>
      <c r="X1965" t="s">
        <v>1617</v>
      </c>
      <c r="Y1965">
        <v>3</v>
      </c>
      <c r="Z1965">
        <v>0</v>
      </c>
      <c r="AA1965" t="s">
        <v>78</v>
      </c>
      <c r="AB1965">
        <v>0</v>
      </c>
      <c r="AC1965" t="s">
        <v>78</v>
      </c>
      <c r="AD1965">
        <v>0</v>
      </c>
      <c r="AE1965">
        <v>10246371</v>
      </c>
      <c r="AF1965" t="s">
        <v>79</v>
      </c>
      <c r="AG1965" t="s">
        <v>4336</v>
      </c>
    </row>
    <row r="1966" spans="1:33" x14ac:dyDescent="0.35">
      <c r="A1966" s="18">
        <v>44301.672222222223</v>
      </c>
      <c r="B1966">
        <v>4012246</v>
      </c>
      <c r="C1966" t="s">
        <v>4449</v>
      </c>
      <c r="D1966" t="s">
        <v>158</v>
      </c>
      <c r="E1966" s="19">
        <v>42299</v>
      </c>
      <c r="F1966" t="str">
        <f>"9780128025369"</f>
        <v>9780128025369</v>
      </c>
      <c r="G1966" t="str">
        <f>"9780128022382"</f>
        <v>9780128022382</v>
      </c>
      <c r="H1966" t="s">
        <v>179</v>
      </c>
      <c r="I1966">
        <v>622.18280000000004</v>
      </c>
      <c r="J1966" t="s">
        <v>4450</v>
      </c>
      <c r="K1966" t="s">
        <v>73</v>
      </c>
      <c r="N1966" t="s">
        <v>74</v>
      </c>
      <c r="O1966" t="s">
        <v>75</v>
      </c>
      <c r="P1966" t="s">
        <v>74</v>
      </c>
      <c r="Q1966" t="s">
        <v>76</v>
      </c>
      <c r="R1966" t="s">
        <v>73</v>
      </c>
      <c r="S1966">
        <v>0</v>
      </c>
      <c r="W1966" s="20">
        <v>1.0798611111111111E-2</v>
      </c>
      <c r="X1966" t="s">
        <v>4451</v>
      </c>
      <c r="Y1966">
        <v>47</v>
      </c>
      <c r="Z1966">
        <v>0</v>
      </c>
      <c r="AA1966" t="s">
        <v>78</v>
      </c>
      <c r="AB1966">
        <v>0</v>
      </c>
      <c r="AC1966" t="s">
        <v>78</v>
      </c>
      <c r="AD1966">
        <v>0</v>
      </c>
      <c r="AE1966">
        <v>11116877</v>
      </c>
      <c r="AF1966" t="s">
        <v>88</v>
      </c>
      <c r="AG1966" t="s">
        <v>1330</v>
      </c>
    </row>
    <row r="1967" spans="1:33" x14ac:dyDescent="0.35">
      <c r="A1967" s="18">
        <v>44301.671527777777</v>
      </c>
      <c r="B1967">
        <v>4804260</v>
      </c>
      <c r="C1967" t="s">
        <v>4452</v>
      </c>
      <c r="D1967" t="s">
        <v>158</v>
      </c>
      <c r="E1967" s="19">
        <v>42811</v>
      </c>
      <c r="F1967" t="str">
        <f>"9780128096123"</f>
        <v>9780128096123</v>
      </c>
      <c r="G1967" t="str">
        <f>"9780128093740"</f>
        <v>9780128093740</v>
      </c>
      <c r="H1967" t="s">
        <v>3067</v>
      </c>
      <c r="I1967">
        <v>665.5</v>
      </c>
      <c r="J1967" t="s">
        <v>4453</v>
      </c>
      <c r="K1967" t="s">
        <v>73</v>
      </c>
      <c r="N1967" t="s">
        <v>74</v>
      </c>
      <c r="O1967" t="s">
        <v>75</v>
      </c>
      <c r="P1967" t="s">
        <v>74</v>
      </c>
      <c r="Q1967" t="s">
        <v>76</v>
      </c>
      <c r="R1967" t="s">
        <v>73</v>
      </c>
      <c r="S1967">
        <v>0</v>
      </c>
      <c r="W1967" s="20">
        <v>4.9768518518518521E-4</v>
      </c>
      <c r="X1967" t="s">
        <v>4454</v>
      </c>
      <c r="Y1967">
        <v>8</v>
      </c>
      <c r="Z1967">
        <v>0</v>
      </c>
      <c r="AA1967" t="s">
        <v>78</v>
      </c>
      <c r="AB1967">
        <v>0</v>
      </c>
      <c r="AC1967" t="s">
        <v>78</v>
      </c>
      <c r="AD1967">
        <v>0</v>
      </c>
      <c r="AE1967">
        <v>11344799</v>
      </c>
      <c r="AF1967" t="s">
        <v>79</v>
      </c>
      <c r="AG1967" t="s">
        <v>1330</v>
      </c>
    </row>
    <row r="1968" spans="1:33" x14ac:dyDescent="0.35">
      <c r="A1968" s="18">
        <v>44301.671527777777</v>
      </c>
      <c r="B1968">
        <v>294304</v>
      </c>
      <c r="C1968" t="s">
        <v>4455</v>
      </c>
      <c r="D1968" t="s">
        <v>158</v>
      </c>
      <c r="E1968" s="19">
        <v>39176</v>
      </c>
      <c r="F1968" t="str">
        <f>"9780080479958"</f>
        <v>9780080479958</v>
      </c>
      <c r="G1968" t="str">
        <f>"9780750682701"</f>
        <v>9780750682701</v>
      </c>
      <c r="H1968" t="s">
        <v>4456</v>
      </c>
      <c r="I1968">
        <v>665.5</v>
      </c>
      <c r="J1968" t="s">
        <v>4457</v>
      </c>
      <c r="K1968" t="s">
        <v>73</v>
      </c>
      <c r="N1968" t="s">
        <v>74</v>
      </c>
      <c r="O1968" t="s">
        <v>75</v>
      </c>
      <c r="P1968" t="s">
        <v>74</v>
      </c>
      <c r="Q1968" t="s">
        <v>76</v>
      </c>
      <c r="R1968" t="s">
        <v>73</v>
      </c>
      <c r="S1968">
        <v>0</v>
      </c>
      <c r="W1968" s="20">
        <v>1.273148148148148E-4</v>
      </c>
      <c r="X1968" t="s">
        <v>132</v>
      </c>
      <c r="Y1968">
        <v>1</v>
      </c>
      <c r="Z1968">
        <v>0</v>
      </c>
      <c r="AA1968" t="s">
        <v>78</v>
      </c>
      <c r="AB1968">
        <v>0</v>
      </c>
      <c r="AC1968" t="s">
        <v>78</v>
      </c>
      <c r="AD1968">
        <v>0</v>
      </c>
      <c r="AE1968">
        <v>10186217</v>
      </c>
      <c r="AF1968" t="s">
        <v>79</v>
      </c>
      <c r="AG1968" t="s">
        <v>1330</v>
      </c>
    </row>
    <row r="1969" spans="1:33" x14ac:dyDescent="0.35">
      <c r="A1969" s="18">
        <v>44301.067361111112</v>
      </c>
      <c r="B1969">
        <v>1985957</v>
      </c>
      <c r="C1969" t="s">
        <v>4458</v>
      </c>
      <c r="D1969" t="s">
        <v>158</v>
      </c>
      <c r="E1969" s="19">
        <v>42058</v>
      </c>
      <c r="F1969" t="str">
        <f>"9781782424017"</f>
        <v>9781782424017</v>
      </c>
      <c r="G1969" t="str">
        <f>"9781782423805"</f>
        <v>9781782423805</v>
      </c>
      <c r="H1969" t="s">
        <v>4459</v>
      </c>
      <c r="I1969">
        <v>691.02859999999998</v>
      </c>
      <c r="J1969" t="s">
        <v>4460</v>
      </c>
      <c r="K1969" t="s">
        <v>73</v>
      </c>
      <c r="N1969" t="s">
        <v>74</v>
      </c>
      <c r="O1969" t="s">
        <v>75</v>
      </c>
      <c r="P1969" t="s">
        <v>74</v>
      </c>
      <c r="Q1969" t="s">
        <v>76</v>
      </c>
      <c r="R1969" t="s">
        <v>73</v>
      </c>
      <c r="S1969">
        <v>0</v>
      </c>
      <c r="W1969" s="20">
        <v>4.6759259259259263E-3</v>
      </c>
      <c r="X1969" t="s">
        <v>4461</v>
      </c>
      <c r="Y1969">
        <v>34</v>
      </c>
      <c r="Z1969">
        <v>0</v>
      </c>
      <c r="AA1969" t="s">
        <v>78</v>
      </c>
      <c r="AB1969">
        <v>0</v>
      </c>
      <c r="AC1969" t="s">
        <v>78</v>
      </c>
      <c r="AD1969">
        <v>0</v>
      </c>
      <c r="AE1969">
        <v>11025987</v>
      </c>
      <c r="AF1969" t="s">
        <v>88</v>
      </c>
      <c r="AG1969" t="s">
        <v>4462</v>
      </c>
    </row>
    <row r="1970" spans="1:33" x14ac:dyDescent="0.35">
      <c r="A1970" s="18">
        <v>44301.061111111114</v>
      </c>
      <c r="B1970">
        <v>3338926</v>
      </c>
      <c r="C1970" t="s">
        <v>4444</v>
      </c>
      <c r="D1970" t="s">
        <v>300</v>
      </c>
      <c r="E1970" s="19">
        <v>39661</v>
      </c>
      <c r="F1970" t="str">
        <f>"9780262285612"</f>
        <v>9780262285612</v>
      </c>
      <c r="G1970" t="str">
        <f>"9780262220835"</f>
        <v>9780262220835</v>
      </c>
      <c r="H1970" t="s">
        <v>876</v>
      </c>
      <c r="I1970" t="s">
        <v>2665</v>
      </c>
      <c r="J1970" t="s">
        <v>4445</v>
      </c>
      <c r="K1970" t="s">
        <v>73</v>
      </c>
      <c r="N1970" t="s">
        <v>74</v>
      </c>
      <c r="O1970" t="s">
        <v>75</v>
      </c>
      <c r="P1970" t="s">
        <v>74</v>
      </c>
      <c r="Q1970" t="s">
        <v>76</v>
      </c>
      <c r="R1970" t="s">
        <v>73</v>
      </c>
      <c r="S1970">
        <v>0</v>
      </c>
      <c r="W1970" s="20">
        <v>6.9444444444444444E-5</v>
      </c>
      <c r="X1970" t="s">
        <v>360</v>
      </c>
      <c r="Y1970">
        <v>2</v>
      </c>
      <c r="Z1970">
        <v>0</v>
      </c>
      <c r="AA1970" t="s">
        <v>78</v>
      </c>
      <c r="AB1970">
        <v>0</v>
      </c>
      <c r="AC1970" t="s">
        <v>78</v>
      </c>
      <c r="AD1970">
        <v>0</v>
      </c>
      <c r="AE1970">
        <v>10246371</v>
      </c>
      <c r="AF1970" t="s">
        <v>79</v>
      </c>
      <c r="AG1970" t="s">
        <v>4462</v>
      </c>
    </row>
    <row r="1971" spans="1:33" x14ac:dyDescent="0.35">
      <c r="A1971" s="18">
        <v>44301.052777777775</v>
      </c>
      <c r="B1971">
        <v>3338926</v>
      </c>
      <c r="C1971" t="s">
        <v>4444</v>
      </c>
      <c r="D1971" t="s">
        <v>300</v>
      </c>
      <c r="E1971" s="19">
        <v>39661</v>
      </c>
      <c r="F1971" t="str">
        <f>"9780262285612"</f>
        <v>9780262285612</v>
      </c>
      <c r="G1971" t="str">
        <f>"9780262220835"</f>
        <v>9780262220835</v>
      </c>
      <c r="H1971" t="s">
        <v>876</v>
      </c>
      <c r="I1971" t="s">
        <v>2665</v>
      </c>
      <c r="J1971" t="s">
        <v>4445</v>
      </c>
      <c r="K1971" t="s">
        <v>73</v>
      </c>
      <c r="N1971" t="s">
        <v>74</v>
      </c>
      <c r="O1971" t="s">
        <v>75</v>
      </c>
      <c r="P1971" t="s">
        <v>74</v>
      </c>
      <c r="Q1971" t="s">
        <v>76</v>
      </c>
      <c r="R1971" t="s">
        <v>73</v>
      </c>
      <c r="S1971">
        <v>0</v>
      </c>
      <c r="W1971" s="20">
        <v>9.8379629629629642E-4</v>
      </c>
      <c r="X1971" t="s">
        <v>4463</v>
      </c>
      <c r="Y1971">
        <v>9</v>
      </c>
      <c r="Z1971">
        <v>0</v>
      </c>
      <c r="AA1971" t="s">
        <v>78</v>
      </c>
      <c r="AB1971">
        <v>0</v>
      </c>
      <c r="AC1971" t="s">
        <v>78</v>
      </c>
      <c r="AD1971">
        <v>0</v>
      </c>
      <c r="AE1971">
        <v>10246371</v>
      </c>
      <c r="AF1971" t="s">
        <v>79</v>
      </c>
      <c r="AG1971" t="s">
        <v>4462</v>
      </c>
    </row>
    <row r="1972" spans="1:33" x14ac:dyDescent="0.35">
      <c r="A1972" s="18">
        <v>44301.02847222222</v>
      </c>
      <c r="B1972">
        <v>3018585</v>
      </c>
      <c r="C1972" t="s">
        <v>4464</v>
      </c>
      <c r="D1972" t="s">
        <v>226</v>
      </c>
      <c r="E1972" s="19">
        <v>39722</v>
      </c>
      <c r="F1972" t="str">
        <f>"9781608764068"</f>
        <v>9781608764068</v>
      </c>
      <c r="G1972" t="str">
        <f>"9781604569353"</f>
        <v>9781604569353</v>
      </c>
      <c r="H1972" t="s">
        <v>4465</v>
      </c>
      <c r="I1972" t="s">
        <v>4466</v>
      </c>
      <c r="J1972" t="s">
        <v>4467</v>
      </c>
      <c r="K1972" t="s">
        <v>73</v>
      </c>
      <c r="N1972" t="s">
        <v>74</v>
      </c>
      <c r="O1972" t="s">
        <v>75</v>
      </c>
      <c r="P1972" t="s">
        <v>230</v>
      </c>
      <c r="Q1972" t="s">
        <v>76</v>
      </c>
      <c r="R1972" t="s">
        <v>85</v>
      </c>
      <c r="S1972">
        <v>1</v>
      </c>
      <c r="W1972" s="20">
        <v>0</v>
      </c>
      <c r="X1972" t="s">
        <v>78</v>
      </c>
      <c r="Y1972">
        <v>0</v>
      </c>
      <c r="Z1972">
        <v>0</v>
      </c>
      <c r="AA1972" t="s">
        <v>78</v>
      </c>
      <c r="AB1972">
        <v>0</v>
      </c>
      <c r="AC1972" t="s">
        <v>78</v>
      </c>
      <c r="AD1972">
        <v>0</v>
      </c>
      <c r="AE1972">
        <v>10660446</v>
      </c>
      <c r="AF1972" t="s">
        <v>88</v>
      </c>
      <c r="AG1972" t="s">
        <v>4462</v>
      </c>
    </row>
    <row r="1973" spans="1:33" x14ac:dyDescent="0.35">
      <c r="A1973" s="18">
        <v>44301.027083333334</v>
      </c>
      <c r="B1973">
        <v>309960</v>
      </c>
      <c r="C1973" t="s">
        <v>4468</v>
      </c>
      <c r="D1973" t="s">
        <v>4469</v>
      </c>
      <c r="E1973" s="19">
        <v>37853</v>
      </c>
      <c r="F1973" t="str">
        <f>"9789062997435"</f>
        <v>9789062997435</v>
      </c>
      <c r="G1973" t="str">
        <f>"9789062991952"</f>
        <v>9789062991952</v>
      </c>
      <c r="H1973" t="s">
        <v>222</v>
      </c>
      <c r="I1973" t="s">
        <v>4470</v>
      </c>
      <c r="J1973" t="s">
        <v>4471</v>
      </c>
      <c r="K1973" t="s">
        <v>73</v>
      </c>
      <c r="N1973" t="s">
        <v>74</v>
      </c>
      <c r="O1973" t="s">
        <v>75</v>
      </c>
      <c r="P1973" t="s">
        <v>230</v>
      </c>
      <c r="Q1973" t="s">
        <v>76</v>
      </c>
      <c r="R1973" t="s">
        <v>85</v>
      </c>
      <c r="S1973">
        <v>0</v>
      </c>
      <c r="W1973" s="20">
        <v>0</v>
      </c>
      <c r="X1973" t="s">
        <v>78</v>
      </c>
      <c r="Y1973">
        <v>0</v>
      </c>
      <c r="Z1973">
        <v>0</v>
      </c>
      <c r="AA1973" t="s">
        <v>78</v>
      </c>
      <c r="AB1973">
        <v>0</v>
      </c>
      <c r="AC1973" t="s">
        <v>78</v>
      </c>
      <c r="AD1973">
        <v>0</v>
      </c>
      <c r="AE1973">
        <v>10505617</v>
      </c>
      <c r="AF1973" t="s">
        <v>79</v>
      </c>
      <c r="AG1973" t="s">
        <v>4472</v>
      </c>
    </row>
    <row r="1974" spans="1:33" x14ac:dyDescent="0.35">
      <c r="A1974" s="18">
        <v>44301.025694444441</v>
      </c>
      <c r="B1974">
        <v>3382679</v>
      </c>
      <c r="C1974" t="s">
        <v>4473</v>
      </c>
      <c r="D1974" t="s">
        <v>4474</v>
      </c>
      <c r="E1974" s="19">
        <v>39783</v>
      </c>
      <c r="F1974" t="str">
        <f>""</f>
        <v/>
      </c>
      <c r="G1974" t="str">
        <f>"9789289317917"</f>
        <v>9789289317917</v>
      </c>
      <c r="H1974" t="s">
        <v>3320</v>
      </c>
      <c r="J1974" t="s">
        <v>4475</v>
      </c>
      <c r="K1974" t="s">
        <v>73</v>
      </c>
      <c r="N1974" t="s">
        <v>74</v>
      </c>
      <c r="O1974" t="s">
        <v>75</v>
      </c>
      <c r="P1974" t="s">
        <v>74</v>
      </c>
      <c r="Q1974" t="s">
        <v>76</v>
      </c>
      <c r="R1974" t="s">
        <v>73</v>
      </c>
      <c r="S1974">
        <v>0</v>
      </c>
      <c r="W1974" s="20">
        <v>1.5509259259259261E-3</v>
      </c>
      <c r="X1974" t="s">
        <v>4476</v>
      </c>
      <c r="Y1974">
        <v>16</v>
      </c>
      <c r="Z1974">
        <v>2</v>
      </c>
      <c r="AA1974" t="s">
        <v>851</v>
      </c>
      <c r="AB1974">
        <v>8</v>
      </c>
      <c r="AC1974" t="s">
        <v>78</v>
      </c>
      <c r="AD1974">
        <v>0</v>
      </c>
      <c r="AE1974">
        <v>10567751</v>
      </c>
      <c r="AF1974" t="s">
        <v>79</v>
      </c>
      <c r="AG1974" t="s">
        <v>4462</v>
      </c>
    </row>
    <row r="1975" spans="1:33" x14ac:dyDescent="0.35">
      <c r="A1975" s="18">
        <v>44300.940972222219</v>
      </c>
      <c r="B1975">
        <v>3338926</v>
      </c>
      <c r="C1975" t="s">
        <v>4444</v>
      </c>
      <c r="D1975" t="s">
        <v>300</v>
      </c>
      <c r="E1975" s="19">
        <v>39661</v>
      </c>
      <c r="F1975" t="str">
        <f>"9780262285612"</f>
        <v>9780262285612</v>
      </c>
      <c r="G1975" t="str">
        <f>"9780262220835"</f>
        <v>9780262220835</v>
      </c>
      <c r="H1975" t="s">
        <v>876</v>
      </c>
      <c r="I1975" t="s">
        <v>2665</v>
      </c>
      <c r="J1975" t="s">
        <v>4445</v>
      </c>
      <c r="K1975" t="s">
        <v>73</v>
      </c>
      <c r="N1975" t="s">
        <v>74</v>
      </c>
      <c r="O1975" t="s">
        <v>75</v>
      </c>
      <c r="P1975" t="s">
        <v>74</v>
      </c>
      <c r="Q1975" t="s">
        <v>76</v>
      </c>
      <c r="R1975" t="s">
        <v>73</v>
      </c>
      <c r="S1975">
        <v>0</v>
      </c>
      <c r="W1975" s="20">
        <v>2.7199074074074074E-3</v>
      </c>
      <c r="X1975" t="s">
        <v>4477</v>
      </c>
      <c r="Y1975">
        <v>21</v>
      </c>
      <c r="Z1975">
        <v>1</v>
      </c>
      <c r="AA1975" t="s">
        <v>1691</v>
      </c>
      <c r="AB1975">
        <v>7</v>
      </c>
      <c r="AC1975" t="s">
        <v>78</v>
      </c>
      <c r="AD1975">
        <v>0</v>
      </c>
      <c r="AE1975">
        <v>10246371</v>
      </c>
      <c r="AF1975" t="s">
        <v>79</v>
      </c>
      <c r="AG1975" t="s">
        <v>4462</v>
      </c>
    </row>
    <row r="1976" spans="1:33" x14ac:dyDescent="0.35">
      <c r="A1976" s="18">
        <v>44300.938194444447</v>
      </c>
      <c r="B1976">
        <v>294740</v>
      </c>
      <c r="C1976" t="s">
        <v>4478</v>
      </c>
      <c r="D1976" t="s">
        <v>284</v>
      </c>
      <c r="E1976" s="19">
        <v>36892</v>
      </c>
      <c r="F1976" t="str">
        <f>"9780851997162"</f>
        <v>9780851997162</v>
      </c>
      <c r="G1976" t="str">
        <f>"9780851995519"</f>
        <v>9780851995519</v>
      </c>
      <c r="H1976" t="s">
        <v>4479</v>
      </c>
      <c r="I1976" t="s">
        <v>4480</v>
      </c>
      <c r="J1976" t="s">
        <v>4481</v>
      </c>
      <c r="K1976" t="s">
        <v>73</v>
      </c>
      <c r="N1976" t="s">
        <v>74</v>
      </c>
      <c r="O1976" t="s">
        <v>75</v>
      </c>
      <c r="P1976" t="s">
        <v>230</v>
      </c>
      <c r="Q1976" t="s">
        <v>76</v>
      </c>
      <c r="R1976" t="s">
        <v>85</v>
      </c>
      <c r="S1976">
        <v>0</v>
      </c>
      <c r="W1976" s="20">
        <v>1.3541666666666667E-3</v>
      </c>
      <c r="X1976" t="s">
        <v>4482</v>
      </c>
      <c r="Y1976">
        <v>7</v>
      </c>
      <c r="Z1976">
        <v>1</v>
      </c>
      <c r="AA1976" t="s">
        <v>4483</v>
      </c>
      <c r="AB1976">
        <v>16</v>
      </c>
      <c r="AC1976" t="s">
        <v>78</v>
      </c>
      <c r="AD1976">
        <v>0</v>
      </c>
      <c r="AE1976">
        <v>10066735</v>
      </c>
      <c r="AF1976" t="s">
        <v>79</v>
      </c>
      <c r="AG1976" t="s">
        <v>4462</v>
      </c>
    </row>
    <row r="1977" spans="1:33" x14ac:dyDescent="0.35">
      <c r="A1977" s="18">
        <v>44300.933333333334</v>
      </c>
      <c r="B1977">
        <v>4691340</v>
      </c>
      <c r="C1977" t="s">
        <v>4484</v>
      </c>
      <c r="D1977" t="s">
        <v>338</v>
      </c>
      <c r="E1977" s="19">
        <v>42644</v>
      </c>
      <c r="F1977" t="str">
        <f>"9780128045893"</f>
        <v>9780128045893</v>
      </c>
      <c r="G1977" t="str">
        <f>"9780128045886"</f>
        <v>9780128045886</v>
      </c>
      <c r="H1977" t="s">
        <v>2669</v>
      </c>
      <c r="I1977">
        <v>551.6</v>
      </c>
      <c r="J1977" t="s">
        <v>4485</v>
      </c>
      <c r="K1977" t="s">
        <v>73</v>
      </c>
      <c r="N1977" t="s">
        <v>74</v>
      </c>
      <c r="O1977" t="s">
        <v>75</v>
      </c>
      <c r="P1977" t="s">
        <v>74</v>
      </c>
      <c r="Q1977" t="s">
        <v>76</v>
      </c>
      <c r="R1977" t="s">
        <v>73</v>
      </c>
      <c r="S1977">
        <v>0</v>
      </c>
      <c r="W1977" s="20">
        <v>4.0624999999999993E-3</v>
      </c>
      <c r="X1977" t="s">
        <v>4486</v>
      </c>
      <c r="Y1977">
        <v>11</v>
      </c>
      <c r="Z1977">
        <v>1</v>
      </c>
      <c r="AA1977" t="s">
        <v>4487</v>
      </c>
      <c r="AB1977">
        <v>8</v>
      </c>
      <c r="AC1977" t="s">
        <v>78</v>
      </c>
      <c r="AD1977">
        <v>0</v>
      </c>
      <c r="AE1977">
        <v>11267972</v>
      </c>
      <c r="AF1977" t="s">
        <v>79</v>
      </c>
      <c r="AG1977" t="s">
        <v>4462</v>
      </c>
    </row>
    <row r="1978" spans="1:33" x14ac:dyDescent="0.35">
      <c r="A1978" s="18">
        <v>44300.847222222219</v>
      </c>
      <c r="B1978">
        <v>4884117</v>
      </c>
      <c r="C1978" t="s">
        <v>4417</v>
      </c>
      <c r="D1978" t="s">
        <v>502</v>
      </c>
      <c r="E1978" s="19">
        <v>42901</v>
      </c>
      <c r="F1978" t="str">
        <f>"9781780408798"</f>
        <v>9781780408798</v>
      </c>
      <c r="G1978" t="str">
        <f>"9781780408781"</f>
        <v>9781780408781</v>
      </c>
      <c r="H1978" t="s">
        <v>767</v>
      </c>
      <c r="I1978">
        <v>628.16800000000001</v>
      </c>
      <c r="J1978" t="s">
        <v>4418</v>
      </c>
      <c r="K1978" t="s">
        <v>73</v>
      </c>
      <c r="N1978" t="s">
        <v>74</v>
      </c>
      <c r="O1978" t="s">
        <v>75</v>
      </c>
      <c r="P1978" t="s">
        <v>74</v>
      </c>
      <c r="Q1978" t="s">
        <v>76</v>
      </c>
      <c r="R1978" t="s">
        <v>73</v>
      </c>
      <c r="S1978">
        <v>0</v>
      </c>
      <c r="W1978" s="20">
        <v>1.5196759259259259E-2</v>
      </c>
      <c r="X1978" t="s">
        <v>4488</v>
      </c>
      <c r="Y1978">
        <v>35</v>
      </c>
      <c r="Z1978">
        <v>1</v>
      </c>
      <c r="AA1978" t="s">
        <v>4489</v>
      </c>
      <c r="AB1978">
        <v>2</v>
      </c>
      <c r="AC1978" t="s">
        <v>4490</v>
      </c>
      <c r="AD1978">
        <v>4</v>
      </c>
      <c r="AE1978">
        <v>11402153</v>
      </c>
      <c r="AF1978" t="s">
        <v>79</v>
      </c>
      <c r="AG1978" t="s">
        <v>4421</v>
      </c>
    </row>
    <row r="1979" spans="1:33" x14ac:dyDescent="0.35">
      <c r="A1979" s="18">
        <v>44300.716666666667</v>
      </c>
      <c r="B1979">
        <v>1498520</v>
      </c>
      <c r="C1979" t="s">
        <v>4491</v>
      </c>
      <c r="D1979" t="s">
        <v>70</v>
      </c>
      <c r="E1979" s="19">
        <v>41639</v>
      </c>
      <c r="F1979" t="str">
        <f>"9781118676073"</f>
        <v>9781118676073</v>
      </c>
      <c r="G1979" t="str">
        <f>"9780470710913"</f>
        <v>9780470710913</v>
      </c>
      <c r="H1979" t="s">
        <v>1757</v>
      </c>
      <c r="I1979">
        <v>674.8</v>
      </c>
      <c r="J1979" t="s">
        <v>4492</v>
      </c>
      <c r="K1979" t="s">
        <v>73</v>
      </c>
      <c r="N1979" t="s">
        <v>74</v>
      </c>
      <c r="O1979" t="s">
        <v>75</v>
      </c>
      <c r="P1979" t="s">
        <v>74</v>
      </c>
      <c r="Q1979" t="s">
        <v>76</v>
      </c>
      <c r="R1979" t="s">
        <v>73</v>
      </c>
      <c r="S1979">
        <v>0</v>
      </c>
      <c r="W1979" s="20">
        <v>1.2152777777777778E-3</v>
      </c>
      <c r="X1979" t="s">
        <v>4493</v>
      </c>
      <c r="Y1979">
        <v>6</v>
      </c>
      <c r="Z1979">
        <v>0</v>
      </c>
      <c r="AA1979" t="s">
        <v>78</v>
      </c>
      <c r="AB1979">
        <v>0</v>
      </c>
      <c r="AC1979" t="s">
        <v>78</v>
      </c>
      <c r="AD1979">
        <v>0</v>
      </c>
      <c r="AE1979">
        <v>10788047</v>
      </c>
      <c r="AF1979" t="s">
        <v>79</v>
      </c>
      <c r="AG1979" t="s">
        <v>4494</v>
      </c>
    </row>
    <row r="1980" spans="1:33" x14ac:dyDescent="0.35">
      <c r="A1980" s="18">
        <v>44300.701388888891</v>
      </c>
      <c r="B1980">
        <v>3338926</v>
      </c>
      <c r="C1980" t="s">
        <v>4444</v>
      </c>
      <c r="D1980" t="s">
        <v>300</v>
      </c>
      <c r="E1980" s="19">
        <v>39661</v>
      </c>
      <c r="F1980" t="str">
        <f>"9780262285612"</f>
        <v>9780262285612</v>
      </c>
      <c r="G1980" t="str">
        <f>"9780262220835"</f>
        <v>9780262220835</v>
      </c>
      <c r="H1980" t="s">
        <v>876</v>
      </c>
      <c r="I1980" t="s">
        <v>2665</v>
      </c>
      <c r="J1980" t="s">
        <v>4445</v>
      </c>
      <c r="K1980" t="s">
        <v>73</v>
      </c>
      <c r="N1980" t="s">
        <v>74</v>
      </c>
      <c r="O1980" t="s">
        <v>75</v>
      </c>
      <c r="P1980" t="s">
        <v>74</v>
      </c>
      <c r="Q1980" t="s">
        <v>76</v>
      </c>
      <c r="R1980" t="s">
        <v>73</v>
      </c>
      <c r="S1980">
        <v>0</v>
      </c>
      <c r="W1980" s="20">
        <v>3.3564814814814812E-4</v>
      </c>
      <c r="X1980" t="s">
        <v>4495</v>
      </c>
      <c r="Y1980">
        <v>6</v>
      </c>
      <c r="Z1980">
        <v>0</v>
      </c>
      <c r="AA1980" t="s">
        <v>78</v>
      </c>
      <c r="AB1980">
        <v>0</v>
      </c>
      <c r="AC1980" t="s">
        <v>3115</v>
      </c>
      <c r="AD1980">
        <v>1</v>
      </c>
      <c r="AE1980">
        <v>10246371</v>
      </c>
      <c r="AF1980" t="s">
        <v>79</v>
      </c>
      <c r="AG1980" t="s">
        <v>4462</v>
      </c>
    </row>
    <row r="1981" spans="1:33" x14ac:dyDescent="0.35">
      <c r="A1981" s="18">
        <v>44300.684027777781</v>
      </c>
      <c r="B1981">
        <v>533907</v>
      </c>
      <c r="C1981" t="s">
        <v>4496</v>
      </c>
      <c r="D1981" t="s">
        <v>4497</v>
      </c>
      <c r="E1981" s="19">
        <v>40179</v>
      </c>
      <c r="F1981" t="str">
        <f>"9781552504666"</f>
        <v>9781552504666</v>
      </c>
      <c r="G1981" t="str">
        <f>"9781853396984"</f>
        <v>9781853396984</v>
      </c>
      <c r="H1981" t="s">
        <v>4498</v>
      </c>
      <c r="I1981">
        <v>628.43095600000004</v>
      </c>
      <c r="J1981" t="s">
        <v>4499</v>
      </c>
      <c r="K1981" t="s">
        <v>73</v>
      </c>
      <c r="N1981" t="s">
        <v>74</v>
      </c>
      <c r="O1981" t="s">
        <v>75</v>
      </c>
      <c r="P1981" t="s">
        <v>74</v>
      </c>
      <c r="Q1981" t="s">
        <v>76</v>
      </c>
      <c r="R1981" t="s">
        <v>73</v>
      </c>
      <c r="S1981">
        <v>0</v>
      </c>
      <c r="W1981" s="20">
        <v>5.5787037037037038E-3</v>
      </c>
      <c r="X1981" t="s">
        <v>4500</v>
      </c>
      <c r="Y1981">
        <v>19</v>
      </c>
      <c r="Z1981">
        <v>0</v>
      </c>
      <c r="AA1981" t="s">
        <v>78</v>
      </c>
      <c r="AB1981">
        <v>0</v>
      </c>
      <c r="AC1981" t="s">
        <v>78</v>
      </c>
      <c r="AD1981">
        <v>0</v>
      </c>
      <c r="AE1981">
        <v>10389953</v>
      </c>
      <c r="AF1981" t="s">
        <v>79</v>
      </c>
      <c r="AG1981" t="s">
        <v>4472</v>
      </c>
    </row>
    <row r="1982" spans="1:33" x14ac:dyDescent="0.35">
      <c r="A1982" s="18">
        <v>44300.681944444441</v>
      </c>
      <c r="B1982">
        <v>533907</v>
      </c>
      <c r="C1982" t="s">
        <v>4496</v>
      </c>
      <c r="D1982" t="s">
        <v>4497</v>
      </c>
      <c r="E1982" s="19">
        <v>40179</v>
      </c>
      <c r="F1982" t="str">
        <f>"9781552504666"</f>
        <v>9781552504666</v>
      </c>
      <c r="G1982" t="str">
        <f>"9781853396984"</f>
        <v>9781853396984</v>
      </c>
      <c r="H1982" t="s">
        <v>4498</v>
      </c>
      <c r="I1982">
        <v>628.43095600000004</v>
      </c>
      <c r="J1982" t="s">
        <v>4499</v>
      </c>
      <c r="K1982" t="s">
        <v>73</v>
      </c>
      <c r="N1982" t="s">
        <v>74</v>
      </c>
      <c r="O1982" t="s">
        <v>75</v>
      </c>
      <c r="P1982" t="s">
        <v>74</v>
      </c>
      <c r="Q1982" t="s">
        <v>76</v>
      </c>
      <c r="R1982" t="s">
        <v>73</v>
      </c>
      <c r="S1982">
        <v>0</v>
      </c>
      <c r="W1982" s="20">
        <v>8.3680555555555557E-3</v>
      </c>
      <c r="X1982" t="s">
        <v>4501</v>
      </c>
      <c r="Y1982">
        <v>38</v>
      </c>
      <c r="Z1982">
        <v>0</v>
      </c>
      <c r="AA1982" t="s">
        <v>78</v>
      </c>
      <c r="AB1982">
        <v>0</v>
      </c>
      <c r="AC1982" t="s">
        <v>78</v>
      </c>
      <c r="AD1982">
        <v>0</v>
      </c>
      <c r="AE1982">
        <v>10389953</v>
      </c>
      <c r="AF1982" t="s">
        <v>79</v>
      </c>
      <c r="AG1982" t="s">
        <v>3254</v>
      </c>
    </row>
    <row r="1983" spans="1:33" x14ac:dyDescent="0.35">
      <c r="A1983" s="18">
        <v>44300.668055555558</v>
      </c>
      <c r="B1983">
        <v>1498520</v>
      </c>
      <c r="C1983" t="s">
        <v>4491</v>
      </c>
      <c r="D1983" t="s">
        <v>70</v>
      </c>
      <c r="E1983" s="19">
        <v>41639</v>
      </c>
      <c r="F1983" t="str">
        <f>"9781118676073"</f>
        <v>9781118676073</v>
      </c>
      <c r="G1983" t="str">
        <f>"9780470710913"</f>
        <v>9780470710913</v>
      </c>
      <c r="H1983" t="s">
        <v>1757</v>
      </c>
      <c r="I1983">
        <v>674.8</v>
      </c>
      <c r="J1983" t="s">
        <v>4492</v>
      </c>
      <c r="K1983" t="s">
        <v>73</v>
      </c>
      <c r="N1983" t="s">
        <v>74</v>
      </c>
      <c r="O1983" t="s">
        <v>75</v>
      </c>
      <c r="P1983" t="s">
        <v>74</v>
      </c>
      <c r="Q1983" t="s">
        <v>76</v>
      </c>
      <c r="R1983" t="s">
        <v>73</v>
      </c>
      <c r="S1983">
        <v>0</v>
      </c>
      <c r="W1983" s="20">
        <v>2.5601851851851851E-2</v>
      </c>
      <c r="X1983" t="s">
        <v>4502</v>
      </c>
      <c r="Y1983">
        <v>13</v>
      </c>
      <c r="Z1983">
        <v>1</v>
      </c>
      <c r="AA1983" t="s">
        <v>4503</v>
      </c>
      <c r="AB1983">
        <v>4</v>
      </c>
      <c r="AC1983" t="s">
        <v>78</v>
      </c>
      <c r="AD1983">
        <v>0</v>
      </c>
      <c r="AE1983">
        <v>10788047</v>
      </c>
      <c r="AF1983" t="s">
        <v>79</v>
      </c>
      <c r="AG1983" t="s">
        <v>4494</v>
      </c>
    </row>
    <row r="1984" spans="1:33" x14ac:dyDescent="0.35">
      <c r="A1984" s="18">
        <v>44300.667361111111</v>
      </c>
      <c r="B1984">
        <v>3338926</v>
      </c>
      <c r="C1984" t="s">
        <v>4444</v>
      </c>
      <c r="D1984" t="s">
        <v>300</v>
      </c>
      <c r="E1984" s="19">
        <v>39661</v>
      </c>
      <c r="F1984" t="str">
        <f>"9780262285612"</f>
        <v>9780262285612</v>
      </c>
      <c r="G1984" t="str">
        <f>"9780262220835"</f>
        <v>9780262220835</v>
      </c>
      <c r="H1984" t="s">
        <v>876</v>
      </c>
      <c r="I1984" t="s">
        <v>2665</v>
      </c>
      <c r="J1984" t="s">
        <v>4445</v>
      </c>
      <c r="K1984" t="s">
        <v>73</v>
      </c>
      <c r="N1984" t="s">
        <v>74</v>
      </c>
      <c r="O1984" t="s">
        <v>75</v>
      </c>
      <c r="P1984" t="s">
        <v>74</v>
      </c>
      <c r="Q1984" t="s">
        <v>76</v>
      </c>
      <c r="R1984" t="s">
        <v>73</v>
      </c>
      <c r="S1984">
        <v>1</v>
      </c>
      <c r="W1984" s="20">
        <v>3.0092592592592595E-4</v>
      </c>
      <c r="X1984" t="s">
        <v>4504</v>
      </c>
      <c r="Y1984">
        <v>10</v>
      </c>
      <c r="Z1984">
        <v>0</v>
      </c>
      <c r="AA1984" t="s">
        <v>78</v>
      </c>
      <c r="AB1984">
        <v>0</v>
      </c>
      <c r="AC1984" t="s">
        <v>78</v>
      </c>
      <c r="AD1984">
        <v>0</v>
      </c>
      <c r="AE1984">
        <v>10246371</v>
      </c>
      <c r="AF1984" t="s">
        <v>88</v>
      </c>
      <c r="AG1984" t="s">
        <v>4462</v>
      </c>
    </row>
    <row r="1985" spans="1:33" x14ac:dyDescent="0.35">
      <c r="A1985" s="18">
        <v>44300.620833333334</v>
      </c>
      <c r="B1985">
        <v>4884117</v>
      </c>
      <c r="C1985" t="s">
        <v>4417</v>
      </c>
      <c r="D1985" t="s">
        <v>502</v>
      </c>
      <c r="E1985" s="19">
        <v>42901</v>
      </c>
      <c r="F1985" t="str">
        <f>"9781780408798"</f>
        <v>9781780408798</v>
      </c>
      <c r="G1985" t="str">
        <f>"9781780408781"</f>
        <v>9781780408781</v>
      </c>
      <c r="H1985" t="s">
        <v>767</v>
      </c>
      <c r="I1985">
        <v>628.16800000000001</v>
      </c>
      <c r="J1985" t="s">
        <v>4418</v>
      </c>
      <c r="K1985" t="s">
        <v>73</v>
      </c>
      <c r="N1985" t="s">
        <v>74</v>
      </c>
      <c r="O1985" t="s">
        <v>75</v>
      </c>
      <c r="P1985" t="s">
        <v>74</v>
      </c>
      <c r="Q1985" t="s">
        <v>76</v>
      </c>
      <c r="R1985" t="s">
        <v>73</v>
      </c>
      <c r="S1985">
        <v>0</v>
      </c>
      <c r="W1985" s="20">
        <v>3.5879629629629635E-4</v>
      </c>
      <c r="X1985" t="s">
        <v>4505</v>
      </c>
      <c r="Y1985">
        <v>7</v>
      </c>
      <c r="Z1985">
        <v>0</v>
      </c>
      <c r="AA1985" t="s">
        <v>78</v>
      </c>
      <c r="AB1985">
        <v>0</v>
      </c>
      <c r="AC1985" t="s">
        <v>78</v>
      </c>
      <c r="AD1985">
        <v>0</v>
      </c>
      <c r="AE1985">
        <v>11402153</v>
      </c>
      <c r="AF1985" t="s">
        <v>79</v>
      </c>
      <c r="AG1985" t="s">
        <v>4421</v>
      </c>
    </row>
    <row r="1986" spans="1:33" x14ac:dyDescent="0.35">
      <c r="A1986" s="18">
        <v>44300.617361111108</v>
      </c>
      <c r="B1986">
        <v>3338926</v>
      </c>
      <c r="C1986" t="s">
        <v>4444</v>
      </c>
      <c r="D1986" t="s">
        <v>300</v>
      </c>
      <c r="E1986" s="19">
        <v>39661</v>
      </c>
      <c r="F1986" t="str">
        <f>"9780262285612"</f>
        <v>9780262285612</v>
      </c>
      <c r="G1986" t="str">
        <f>"9780262220835"</f>
        <v>9780262220835</v>
      </c>
      <c r="H1986" t="s">
        <v>876</v>
      </c>
      <c r="I1986" t="s">
        <v>2665</v>
      </c>
      <c r="J1986" t="s">
        <v>4445</v>
      </c>
      <c r="K1986" t="s">
        <v>73</v>
      </c>
      <c r="N1986" t="s">
        <v>74</v>
      </c>
      <c r="O1986" t="s">
        <v>75</v>
      </c>
      <c r="P1986" t="s">
        <v>74</v>
      </c>
      <c r="Q1986" t="s">
        <v>76</v>
      </c>
      <c r="R1986" t="s">
        <v>73</v>
      </c>
      <c r="S1986">
        <v>0</v>
      </c>
      <c r="W1986" s="20">
        <v>7.407407407407407E-4</v>
      </c>
      <c r="X1986" t="s">
        <v>4506</v>
      </c>
      <c r="Y1986">
        <v>10</v>
      </c>
      <c r="Z1986">
        <v>0</v>
      </c>
      <c r="AA1986" t="s">
        <v>78</v>
      </c>
      <c r="AB1986">
        <v>0</v>
      </c>
      <c r="AC1986" t="s">
        <v>78</v>
      </c>
      <c r="AD1986">
        <v>0</v>
      </c>
      <c r="AE1986">
        <v>10246371</v>
      </c>
      <c r="AF1986" t="s">
        <v>79</v>
      </c>
      <c r="AG1986" t="s">
        <v>4462</v>
      </c>
    </row>
    <row r="1987" spans="1:33" x14ac:dyDescent="0.35">
      <c r="A1987" s="18">
        <v>44300.586111111108</v>
      </c>
      <c r="B1987">
        <v>989816</v>
      </c>
      <c r="C1987" t="s">
        <v>2680</v>
      </c>
      <c r="D1987" t="s">
        <v>127</v>
      </c>
      <c r="E1987" s="19">
        <v>41131</v>
      </c>
      <c r="F1987" t="str">
        <f>"9781466554436"</f>
        <v>9781466554436</v>
      </c>
      <c r="G1987" t="str">
        <f>"9781466554382"</f>
        <v>9781466554382</v>
      </c>
      <c r="H1987" t="s">
        <v>154</v>
      </c>
      <c r="I1987">
        <v>547.70454099999995</v>
      </c>
      <c r="J1987" t="s">
        <v>2681</v>
      </c>
      <c r="K1987" t="s">
        <v>85</v>
      </c>
      <c r="N1987" t="s">
        <v>86</v>
      </c>
      <c r="P1987" t="s">
        <v>1850</v>
      </c>
      <c r="Q1987" t="s">
        <v>76</v>
      </c>
      <c r="R1987" t="s">
        <v>73</v>
      </c>
      <c r="S1987">
        <v>1</v>
      </c>
      <c r="T1987">
        <v>3</v>
      </c>
      <c r="U1987" s="18">
        <v>44300.586111111108</v>
      </c>
      <c r="V1987" s="18">
        <v>44303.586111111108</v>
      </c>
      <c r="W1987" s="20">
        <v>0</v>
      </c>
      <c r="X1987" t="s">
        <v>78</v>
      </c>
      <c r="Y1987">
        <v>0</v>
      </c>
      <c r="Z1987">
        <v>1</v>
      </c>
      <c r="AA1987" t="s">
        <v>2923</v>
      </c>
      <c r="AB1987">
        <v>2</v>
      </c>
      <c r="AC1987" t="s">
        <v>78</v>
      </c>
      <c r="AD1987">
        <v>0</v>
      </c>
      <c r="AE1987">
        <v>10587637</v>
      </c>
      <c r="AF1987" t="s">
        <v>88</v>
      </c>
      <c r="AG1987" t="s">
        <v>4507</v>
      </c>
    </row>
    <row r="1988" spans="1:33" x14ac:dyDescent="0.35">
      <c r="A1988" s="18">
        <v>44300.487500000003</v>
      </c>
      <c r="B1988">
        <v>256634</v>
      </c>
      <c r="C1988" t="s">
        <v>4508</v>
      </c>
      <c r="D1988" t="s">
        <v>538</v>
      </c>
      <c r="E1988" s="19">
        <v>38071</v>
      </c>
      <c r="F1988" t="str">
        <f>"9780511187117"</f>
        <v>9780511187117</v>
      </c>
      <c r="G1988" t="str">
        <f>"9780521540513"</f>
        <v>9780521540513</v>
      </c>
      <c r="H1988" t="s">
        <v>201</v>
      </c>
      <c r="I1988">
        <v>6.37</v>
      </c>
      <c r="J1988" t="s">
        <v>4509</v>
      </c>
      <c r="K1988" t="s">
        <v>73</v>
      </c>
      <c r="N1988" t="s">
        <v>74</v>
      </c>
      <c r="O1988" t="s">
        <v>75</v>
      </c>
      <c r="P1988" t="s">
        <v>74</v>
      </c>
      <c r="Q1988" t="s">
        <v>76</v>
      </c>
      <c r="R1988" t="s">
        <v>73</v>
      </c>
      <c r="S1988">
        <v>1</v>
      </c>
      <c r="W1988" s="20">
        <v>0</v>
      </c>
      <c r="X1988" t="s">
        <v>78</v>
      </c>
      <c r="Y1988">
        <v>0</v>
      </c>
      <c r="Z1988">
        <v>2</v>
      </c>
      <c r="AA1988" t="s">
        <v>4510</v>
      </c>
      <c r="AB1988">
        <v>198</v>
      </c>
      <c r="AC1988" t="s">
        <v>78</v>
      </c>
      <c r="AD1988">
        <v>0</v>
      </c>
      <c r="AE1988">
        <v>10126077</v>
      </c>
      <c r="AF1988" t="s">
        <v>88</v>
      </c>
      <c r="AG1988" t="s">
        <v>4462</v>
      </c>
    </row>
    <row r="1989" spans="1:33" x14ac:dyDescent="0.35">
      <c r="A1989" s="18">
        <v>44300.369444444441</v>
      </c>
      <c r="B1989">
        <v>4461568</v>
      </c>
      <c r="C1989" t="s">
        <v>4511</v>
      </c>
      <c r="D1989" t="s">
        <v>70</v>
      </c>
      <c r="E1989" s="19">
        <v>42464</v>
      </c>
      <c r="F1989" t="str">
        <f>"9781119183730"</f>
        <v>9781119183730</v>
      </c>
      <c r="G1989" t="str">
        <f>"9781119183723"</f>
        <v>9781119183723</v>
      </c>
      <c r="H1989" t="s">
        <v>466</v>
      </c>
      <c r="I1989" t="s">
        <v>4512</v>
      </c>
      <c r="J1989" t="s">
        <v>4513</v>
      </c>
      <c r="K1989" t="s">
        <v>73</v>
      </c>
      <c r="N1989" t="s">
        <v>74</v>
      </c>
      <c r="O1989" t="s">
        <v>75</v>
      </c>
      <c r="P1989" t="s">
        <v>74</v>
      </c>
      <c r="Q1989" t="s">
        <v>76</v>
      </c>
      <c r="R1989" t="s">
        <v>73</v>
      </c>
      <c r="S1989">
        <v>1</v>
      </c>
      <c r="W1989" s="20">
        <v>0</v>
      </c>
      <c r="X1989" t="s">
        <v>1903</v>
      </c>
      <c r="Y1989">
        <v>1</v>
      </c>
      <c r="Z1989">
        <v>0</v>
      </c>
      <c r="AA1989" t="s">
        <v>78</v>
      </c>
      <c r="AB1989">
        <v>0</v>
      </c>
      <c r="AC1989" t="s">
        <v>78</v>
      </c>
      <c r="AD1989">
        <v>0</v>
      </c>
      <c r="AE1989">
        <v>11188047</v>
      </c>
      <c r="AF1989" t="s">
        <v>88</v>
      </c>
      <c r="AG1989" t="s">
        <v>4514</v>
      </c>
    </row>
    <row r="1990" spans="1:33" x14ac:dyDescent="0.35">
      <c r="A1990" s="18">
        <v>44300.365972222222</v>
      </c>
      <c r="B1990">
        <v>4461568</v>
      </c>
      <c r="C1990" t="s">
        <v>4511</v>
      </c>
      <c r="D1990" t="s">
        <v>70</v>
      </c>
      <c r="E1990" s="19">
        <v>42464</v>
      </c>
      <c r="F1990" t="str">
        <f>"9781119183730"</f>
        <v>9781119183730</v>
      </c>
      <c r="G1990" t="str">
        <f>"9781119183723"</f>
        <v>9781119183723</v>
      </c>
      <c r="H1990" t="s">
        <v>466</v>
      </c>
      <c r="I1990" t="s">
        <v>4512</v>
      </c>
      <c r="J1990" t="s">
        <v>4513</v>
      </c>
      <c r="K1990" t="s">
        <v>73</v>
      </c>
      <c r="N1990" t="s">
        <v>74</v>
      </c>
      <c r="O1990" t="s">
        <v>75</v>
      </c>
      <c r="P1990" t="s">
        <v>74</v>
      </c>
      <c r="Q1990" t="s">
        <v>76</v>
      </c>
      <c r="R1990" t="s">
        <v>73</v>
      </c>
      <c r="S1990">
        <v>0</v>
      </c>
      <c r="W1990" s="20">
        <v>3.8078703703703707E-3</v>
      </c>
      <c r="X1990" t="s">
        <v>4515</v>
      </c>
      <c r="Y1990">
        <v>5</v>
      </c>
      <c r="Z1990">
        <v>0</v>
      </c>
      <c r="AA1990" t="s">
        <v>78</v>
      </c>
      <c r="AB1990">
        <v>0</v>
      </c>
      <c r="AC1990" t="s">
        <v>78</v>
      </c>
      <c r="AD1990">
        <v>0</v>
      </c>
      <c r="AE1990">
        <v>11188047</v>
      </c>
      <c r="AF1990" t="s">
        <v>88</v>
      </c>
      <c r="AG1990" t="s">
        <v>4514</v>
      </c>
    </row>
    <row r="1991" spans="1:33" x14ac:dyDescent="0.35">
      <c r="A1991" s="18">
        <v>44300.318055555559</v>
      </c>
      <c r="B1991">
        <v>4425969</v>
      </c>
      <c r="C1991" t="s">
        <v>4516</v>
      </c>
      <c r="D1991" t="s">
        <v>158</v>
      </c>
      <c r="E1991" s="19">
        <v>42417</v>
      </c>
      <c r="F1991" t="str">
        <f>"9780128039830"</f>
        <v>9780128039830</v>
      </c>
      <c r="G1991" t="str">
        <f>"9780128039700"</f>
        <v>9780128039700</v>
      </c>
      <c r="H1991" t="s">
        <v>1194</v>
      </c>
      <c r="I1991" t="s">
        <v>4517</v>
      </c>
      <c r="J1991" t="s">
        <v>4518</v>
      </c>
      <c r="K1991" t="s">
        <v>73</v>
      </c>
      <c r="N1991" t="s">
        <v>74</v>
      </c>
      <c r="O1991" t="s">
        <v>75</v>
      </c>
      <c r="P1991" t="s">
        <v>74</v>
      </c>
      <c r="Q1991" t="s">
        <v>76</v>
      </c>
      <c r="R1991" t="s">
        <v>73</v>
      </c>
      <c r="S1991">
        <v>0</v>
      </c>
      <c r="W1991" s="20">
        <v>4.2361111111111106E-3</v>
      </c>
      <c r="X1991" t="s">
        <v>4519</v>
      </c>
      <c r="Y1991">
        <v>32</v>
      </c>
      <c r="Z1991">
        <v>0</v>
      </c>
      <c r="AA1991" t="s">
        <v>78</v>
      </c>
      <c r="AB1991">
        <v>0</v>
      </c>
      <c r="AC1991" t="s">
        <v>78</v>
      </c>
      <c r="AD1991">
        <v>0</v>
      </c>
      <c r="AE1991">
        <v>11163694</v>
      </c>
      <c r="AF1991" t="s">
        <v>79</v>
      </c>
      <c r="AG1991" t="s">
        <v>3254</v>
      </c>
    </row>
    <row r="1992" spans="1:33" x14ac:dyDescent="0.35">
      <c r="A1992" s="18">
        <v>44299.977083333331</v>
      </c>
      <c r="B1992">
        <v>265927</v>
      </c>
      <c r="C1992" t="s">
        <v>4520</v>
      </c>
      <c r="D1992" t="s">
        <v>330</v>
      </c>
      <c r="E1992" s="19">
        <v>38534</v>
      </c>
      <c r="F1992" t="str">
        <f>"9781607501077"</f>
        <v>9781607501077</v>
      </c>
      <c r="G1992" t="str">
        <f>"9781586034733"</f>
        <v>9781586034733</v>
      </c>
      <c r="H1992" t="s">
        <v>285</v>
      </c>
      <c r="I1992" t="s">
        <v>4521</v>
      </c>
      <c r="K1992" t="s">
        <v>73</v>
      </c>
      <c r="N1992" t="s">
        <v>74</v>
      </c>
      <c r="O1992" t="s">
        <v>75</v>
      </c>
      <c r="P1992" t="s">
        <v>230</v>
      </c>
      <c r="Q1992" t="s">
        <v>76</v>
      </c>
      <c r="R1992" t="s">
        <v>85</v>
      </c>
      <c r="S1992">
        <v>0</v>
      </c>
      <c r="W1992" s="20">
        <v>2.2453703703703702E-3</v>
      </c>
      <c r="X1992" t="s">
        <v>4522</v>
      </c>
      <c r="Y1992">
        <v>18</v>
      </c>
      <c r="Z1992">
        <v>0</v>
      </c>
      <c r="AA1992" t="s">
        <v>78</v>
      </c>
      <c r="AB1992">
        <v>0</v>
      </c>
      <c r="AC1992" t="s">
        <v>78</v>
      </c>
      <c r="AD1992">
        <v>0</v>
      </c>
      <c r="AE1992">
        <v>10130678</v>
      </c>
      <c r="AF1992" t="s">
        <v>79</v>
      </c>
      <c r="AG1992" t="s">
        <v>4421</v>
      </c>
    </row>
    <row r="1993" spans="1:33" x14ac:dyDescent="0.35">
      <c r="A1993" s="18">
        <v>44299.947222222225</v>
      </c>
      <c r="B1993">
        <v>3019121</v>
      </c>
      <c r="C1993" t="s">
        <v>4523</v>
      </c>
      <c r="D1993" t="s">
        <v>226</v>
      </c>
      <c r="E1993" s="19">
        <v>39965</v>
      </c>
      <c r="F1993" t="str">
        <f>"9781612098005"</f>
        <v>9781612098005</v>
      </c>
      <c r="G1993" t="str">
        <f>"9781607412335"</f>
        <v>9781607412335</v>
      </c>
      <c r="H1993" t="s">
        <v>876</v>
      </c>
      <c r="I1993" t="s">
        <v>4524</v>
      </c>
      <c r="J1993" t="s">
        <v>4525</v>
      </c>
      <c r="K1993" t="s">
        <v>73</v>
      </c>
      <c r="N1993" t="s">
        <v>74</v>
      </c>
      <c r="O1993" t="s">
        <v>75</v>
      </c>
      <c r="P1993" t="s">
        <v>230</v>
      </c>
      <c r="Q1993" t="s">
        <v>76</v>
      </c>
      <c r="R1993" t="s">
        <v>85</v>
      </c>
      <c r="S1993">
        <v>0</v>
      </c>
      <c r="W1993" s="20">
        <v>5.7870370370370366E-5</v>
      </c>
      <c r="X1993" t="s">
        <v>132</v>
      </c>
      <c r="Y1993">
        <v>1</v>
      </c>
      <c r="Z1993">
        <v>0</v>
      </c>
      <c r="AA1993" t="s">
        <v>78</v>
      </c>
      <c r="AB1993">
        <v>0</v>
      </c>
      <c r="AC1993" t="s">
        <v>78</v>
      </c>
      <c r="AD1993">
        <v>0</v>
      </c>
      <c r="AE1993">
        <v>10662928</v>
      </c>
      <c r="AF1993" t="s">
        <v>79</v>
      </c>
      <c r="AG1993" t="s">
        <v>4421</v>
      </c>
    </row>
    <row r="1994" spans="1:33" x14ac:dyDescent="0.35">
      <c r="A1994" s="18">
        <v>44299.734722222223</v>
      </c>
      <c r="B1994">
        <v>5508012</v>
      </c>
      <c r="C1994" t="s">
        <v>4526</v>
      </c>
      <c r="D1994" t="s">
        <v>369</v>
      </c>
      <c r="E1994" s="19">
        <v>43355</v>
      </c>
      <c r="F1994" t="str">
        <f>"9783319952437"</f>
        <v>9783319952437</v>
      </c>
      <c r="G1994" t="str">
        <f>"9783319952420"</f>
        <v>9783319952420</v>
      </c>
      <c r="H1994" t="s">
        <v>4527</v>
      </c>
      <c r="I1994">
        <v>515.35</v>
      </c>
      <c r="J1994" t="s">
        <v>202</v>
      </c>
      <c r="K1994" t="s">
        <v>85</v>
      </c>
      <c r="Q1994" t="s">
        <v>76</v>
      </c>
      <c r="R1994" t="s">
        <v>73</v>
      </c>
      <c r="S1994">
        <v>0</v>
      </c>
      <c r="W1994" s="20">
        <v>1.0439814814814813E-2</v>
      </c>
      <c r="X1994" t="s">
        <v>4528</v>
      </c>
      <c r="Y1994">
        <v>26</v>
      </c>
      <c r="Z1994">
        <v>0</v>
      </c>
      <c r="AA1994" t="s">
        <v>78</v>
      </c>
      <c r="AB1994">
        <v>0</v>
      </c>
      <c r="AC1994" t="s">
        <v>78</v>
      </c>
      <c r="AD1994">
        <v>0</v>
      </c>
      <c r="AE1994">
        <v>11607593</v>
      </c>
      <c r="AF1994" t="s">
        <v>88</v>
      </c>
      <c r="AG1994" t="s">
        <v>3254</v>
      </c>
    </row>
    <row r="1995" spans="1:33" x14ac:dyDescent="0.35">
      <c r="A1995" s="18">
        <v>44299.730555555558</v>
      </c>
      <c r="B1995">
        <v>5979997</v>
      </c>
      <c r="C1995" t="s">
        <v>4529</v>
      </c>
      <c r="D1995" t="s">
        <v>338</v>
      </c>
      <c r="E1995" s="19">
        <v>43787</v>
      </c>
      <c r="F1995" t="str">
        <f>"9780128172230"</f>
        <v>9780128172230</v>
      </c>
      <c r="G1995" t="str">
        <f>"9780128172223"</f>
        <v>9780128172223</v>
      </c>
      <c r="H1995" t="s">
        <v>1905</v>
      </c>
      <c r="I1995">
        <v>550.15117999999995</v>
      </c>
      <c r="J1995" t="s">
        <v>4530</v>
      </c>
      <c r="K1995" t="s">
        <v>85</v>
      </c>
      <c r="Q1995" t="s">
        <v>76</v>
      </c>
      <c r="R1995" t="s">
        <v>73</v>
      </c>
      <c r="S1995">
        <v>0</v>
      </c>
      <c r="W1995" s="20">
        <v>5.7407407407407416E-3</v>
      </c>
      <c r="X1995" t="s">
        <v>4531</v>
      </c>
      <c r="Y1995">
        <v>24</v>
      </c>
      <c r="Z1995">
        <v>0</v>
      </c>
      <c r="AA1995" t="s">
        <v>78</v>
      </c>
      <c r="AB1995">
        <v>0</v>
      </c>
      <c r="AC1995" t="s">
        <v>78</v>
      </c>
      <c r="AD1995">
        <v>0</v>
      </c>
      <c r="AE1995">
        <v>-1</v>
      </c>
      <c r="AF1995" t="s">
        <v>88</v>
      </c>
      <c r="AG1995" t="s">
        <v>3254</v>
      </c>
    </row>
    <row r="1996" spans="1:33" x14ac:dyDescent="0.35">
      <c r="A1996" s="18">
        <v>44299.729861111111</v>
      </c>
      <c r="B1996">
        <v>5625466</v>
      </c>
      <c r="C1996" t="s">
        <v>4532</v>
      </c>
      <c r="D1996" t="s">
        <v>369</v>
      </c>
      <c r="E1996" s="19">
        <v>43479</v>
      </c>
      <c r="F1996" t="str">
        <f>"9783030037895"</f>
        <v>9783030037895</v>
      </c>
      <c r="G1996" t="str">
        <f>"9783030037888"</f>
        <v>9783030037888</v>
      </c>
      <c r="H1996" t="s">
        <v>4533</v>
      </c>
      <c r="I1996">
        <v>629.4742</v>
      </c>
      <c r="J1996" t="s">
        <v>1598</v>
      </c>
      <c r="K1996" t="s">
        <v>85</v>
      </c>
      <c r="Q1996" t="s">
        <v>76</v>
      </c>
      <c r="R1996" t="s">
        <v>73</v>
      </c>
      <c r="S1996">
        <v>0</v>
      </c>
      <c r="W1996" s="20">
        <v>0</v>
      </c>
      <c r="X1996" t="s">
        <v>78</v>
      </c>
      <c r="Y1996">
        <v>0</v>
      </c>
      <c r="Z1996">
        <v>0</v>
      </c>
      <c r="AA1996" t="s">
        <v>78</v>
      </c>
      <c r="AB1996">
        <v>0</v>
      </c>
      <c r="AC1996" t="s">
        <v>78</v>
      </c>
      <c r="AD1996">
        <v>0</v>
      </c>
      <c r="AE1996">
        <v>11641729</v>
      </c>
      <c r="AF1996" t="s">
        <v>79</v>
      </c>
      <c r="AG1996" t="s">
        <v>3254</v>
      </c>
    </row>
    <row r="1997" spans="1:33" x14ac:dyDescent="0.35">
      <c r="A1997" s="18">
        <v>44299.729861111111</v>
      </c>
      <c r="B1997">
        <v>1784135</v>
      </c>
      <c r="C1997" t="s">
        <v>4534</v>
      </c>
      <c r="D1997" t="s">
        <v>70</v>
      </c>
      <c r="E1997" s="19">
        <v>41918</v>
      </c>
      <c r="F1997" t="str">
        <f>"9781118576816"</f>
        <v>9781118576816</v>
      </c>
      <c r="G1997" t="str">
        <f>"9781848213951"</f>
        <v>9781848213951</v>
      </c>
      <c r="H1997" t="s">
        <v>4533</v>
      </c>
      <c r="I1997">
        <v>620.10640000000001</v>
      </c>
      <c r="J1997" t="s">
        <v>4535</v>
      </c>
      <c r="K1997" t="s">
        <v>73</v>
      </c>
      <c r="N1997" t="s">
        <v>74</v>
      </c>
      <c r="O1997" t="s">
        <v>75</v>
      </c>
      <c r="P1997" t="s">
        <v>74</v>
      </c>
      <c r="Q1997" t="s">
        <v>76</v>
      </c>
      <c r="R1997" t="s">
        <v>73</v>
      </c>
      <c r="S1997">
        <v>0</v>
      </c>
      <c r="W1997" s="20">
        <v>6.4004629629629628E-3</v>
      </c>
      <c r="X1997" t="s">
        <v>4536</v>
      </c>
      <c r="Y1997">
        <v>8</v>
      </c>
      <c r="Z1997">
        <v>0</v>
      </c>
      <c r="AA1997" t="s">
        <v>78</v>
      </c>
      <c r="AB1997">
        <v>0</v>
      </c>
      <c r="AC1997" t="s">
        <v>78</v>
      </c>
      <c r="AD1997">
        <v>0</v>
      </c>
      <c r="AE1997">
        <v>10930296</v>
      </c>
      <c r="AF1997" t="s">
        <v>88</v>
      </c>
      <c r="AG1997" t="s">
        <v>3254</v>
      </c>
    </row>
    <row r="1998" spans="1:33" x14ac:dyDescent="0.35">
      <c r="A1998" s="18">
        <v>44299.621527777781</v>
      </c>
      <c r="B1998">
        <v>5625466</v>
      </c>
      <c r="C1998" t="s">
        <v>4532</v>
      </c>
      <c r="D1998" t="s">
        <v>369</v>
      </c>
      <c r="E1998" s="19">
        <v>43479</v>
      </c>
      <c r="F1998" t="str">
        <f>"9783030037895"</f>
        <v>9783030037895</v>
      </c>
      <c r="G1998" t="str">
        <f>"9783030037888"</f>
        <v>9783030037888</v>
      </c>
      <c r="H1998" t="s">
        <v>4533</v>
      </c>
      <c r="I1998">
        <v>629.4742</v>
      </c>
      <c r="J1998" t="s">
        <v>1598</v>
      </c>
      <c r="K1998" t="s">
        <v>85</v>
      </c>
      <c r="Q1998" t="s">
        <v>76</v>
      </c>
      <c r="R1998" t="s">
        <v>73</v>
      </c>
      <c r="S1998">
        <v>0</v>
      </c>
      <c r="W1998" s="20">
        <v>5.7870370370370366E-5</v>
      </c>
      <c r="X1998" t="s">
        <v>360</v>
      </c>
      <c r="Y1998">
        <v>2</v>
      </c>
      <c r="Z1998">
        <v>0</v>
      </c>
      <c r="AA1998" t="s">
        <v>78</v>
      </c>
      <c r="AB1998">
        <v>0</v>
      </c>
      <c r="AC1998" t="s">
        <v>78</v>
      </c>
      <c r="AD1998">
        <v>0</v>
      </c>
      <c r="AE1998">
        <v>11641729</v>
      </c>
      <c r="AF1998" t="s">
        <v>88</v>
      </c>
      <c r="AG1998" t="s">
        <v>3254</v>
      </c>
    </row>
    <row r="1999" spans="1:33" x14ac:dyDescent="0.35">
      <c r="A1999" s="18">
        <v>44299.621527777781</v>
      </c>
      <c r="B1999">
        <v>1784135</v>
      </c>
      <c r="C1999" t="s">
        <v>4534</v>
      </c>
      <c r="D1999" t="s">
        <v>70</v>
      </c>
      <c r="E1999" s="19">
        <v>41918</v>
      </c>
      <c r="F1999" t="str">
        <f>"9781118576816"</f>
        <v>9781118576816</v>
      </c>
      <c r="G1999" t="str">
        <f>"9781848213951"</f>
        <v>9781848213951</v>
      </c>
      <c r="H1999" t="s">
        <v>4533</v>
      </c>
      <c r="I1999">
        <v>620.10640000000001</v>
      </c>
      <c r="J1999" t="s">
        <v>4535</v>
      </c>
      <c r="K1999" t="s">
        <v>73</v>
      </c>
      <c r="N1999" t="s">
        <v>74</v>
      </c>
      <c r="O1999" t="s">
        <v>75</v>
      </c>
      <c r="P1999" t="s">
        <v>74</v>
      </c>
      <c r="Q1999" t="s">
        <v>76</v>
      </c>
      <c r="R1999" t="s">
        <v>73</v>
      </c>
      <c r="S1999">
        <v>0</v>
      </c>
      <c r="W1999" s="20">
        <v>6.9444444444444444E-5</v>
      </c>
      <c r="X1999" t="s">
        <v>360</v>
      </c>
      <c r="Y1999">
        <v>2</v>
      </c>
      <c r="Z1999">
        <v>0</v>
      </c>
      <c r="AA1999" t="s">
        <v>78</v>
      </c>
      <c r="AB1999">
        <v>0</v>
      </c>
      <c r="AC1999" t="s">
        <v>78</v>
      </c>
      <c r="AD1999">
        <v>0</v>
      </c>
      <c r="AE1999">
        <v>10930296</v>
      </c>
      <c r="AF1999" t="s">
        <v>88</v>
      </c>
      <c r="AG1999" t="s">
        <v>3254</v>
      </c>
    </row>
    <row r="2000" spans="1:33" x14ac:dyDescent="0.35">
      <c r="A2000" s="18">
        <v>44299.621527777781</v>
      </c>
      <c r="B2000">
        <v>5979997</v>
      </c>
      <c r="C2000" t="s">
        <v>4529</v>
      </c>
      <c r="D2000" t="s">
        <v>338</v>
      </c>
      <c r="E2000" s="19">
        <v>43787</v>
      </c>
      <c r="F2000" t="str">
        <f>"9780128172230"</f>
        <v>9780128172230</v>
      </c>
      <c r="G2000" t="str">
        <f>"9780128172223"</f>
        <v>9780128172223</v>
      </c>
      <c r="H2000" t="s">
        <v>1905</v>
      </c>
      <c r="I2000">
        <v>550.15117999999995</v>
      </c>
      <c r="J2000" t="s">
        <v>4530</v>
      </c>
      <c r="K2000" t="s">
        <v>85</v>
      </c>
      <c r="Q2000" t="s">
        <v>76</v>
      </c>
      <c r="R2000" t="s">
        <v>73</v>
      </c>
      <c r="S2000">
        <v>0</v>
      </c>
      <c r="W2000" s="20">
        <v>6.9444444444444444E-5</v>
      </c>
      <c r="X2000" t="s">
        <v>360</v>
      </c>
      <c r="Y2000">
        <v>2</v>
      </c>
      <c r="Z2000">
        <v>0</v>
      </c>
      <c r="AA2000" t="s">
        <v>78</v>
      </c>
      <c r="AB2000">
        <v>0</v>
      </c>
      <c r="AC2000" t="s">
        <v>78</v>
      </c>
      <c r="AD2000">
        <v>0</v>
      </c>
      <c r="AE2000">
        <v>-1</v>
      </c>
      <c r="AF2000" t="s">
        <v>88</v>
      </c>
      <c r="AG2000" t="s">
        <v>3254</v>
      </c>
    </row>
    <row r="2001" spans="1:33" x14ac:dyDescent="0.35">
      <c r="A2001" s="18">
        <v>44299.618055555555</v>
      </c>
      <c r="B2001">
        <v>667571</v>
      </c>
      <c r="C2001" t="s">
        <v>4537</v>
      </c>
      <c r="D2001" t="s">
        <v>538</v>
      </c>
      <c r="E2001" s="19">
        <v>40752</v>
      </c>
      <c r="F2001" t="str">
        <f>"9781139008235"</f>
        <v>9781139008235</v>
      </c>
      <c r="G2001" t="str">
        <f>"9780521876285"</f>
        <v>9780521876285</v>
      </c>
      <c r="H2001" t="s">
        <v>115</v>
      </c>
      <c r="I2001">
        <v>519.70000000000005</v>
      </c>
      <c r="J2001" t="s">
        <v>4538</v>
      </c>
      <c r="K2001" t="s">
        <v>85</v>
      </c>
      <c r="N2001" t="s">
        <v>74</v>
      </c>
      <c r="O2001" t="s">
        <v>75</v>
      </c>
      <c r="P2001" t="s">
        <v>74</v>
      </c>
      <c r="Q2001" t="s">
        <v>76</v>
      </c>
      <c r="R2001" t="s">
        <v>73</v>
      </c>
      <c r="S2001">
        <v>0</v>
      </c>
      <c r="W2001" s="20">
        <v>2.3958333333333336E-3</v>
      </c>
      <c r="X2001" t="s">
        <v>4539</v>
      </c>
      <c r="Y2001">
        <v>14</v>
      </c>
      <c r="Z2001">
        <v>0</v>
      </c>
      <c r="AA2001" t="s">
        <v>78</v>
      </c>
      <c r="AB2001">
        <v>0</v>
      </c>
      <c r="AC2001" t="s">
        <v>78</v>
      </c>
      <c r="AD2001">
        <v>0</v>
      </c>
      <c r="AE2001">
        <v>10546466</v>
      </c>
      <c r="AF2001" t="s">
        <v>88</v>
      </c>
      <c r="AG2001" t="s">
        <v>3254</v>
      </c>
    </row>
    <row r="2002" spans="1:33" x14ac:dyDescent="0.35">
      <c r="A2002" s="18">
        <v>44299.618055555555</v>
      </c>
      <c r="B2002">
        <v>1104258</v>
      </c>
      <c r="C2002" t="s">
        <v>4540</v>
      </c>
      <c r="D2002" t="s">
        <v>189</v>
      </c>
      <c r="E2002" s="19">
        <v>41241</v>
      </c>
      <c r="F2002" t="str">
        <f>"9783110296815"</f>
        <v>9783110296815</v>
      </c>
      <c r="G2002" t="str">
        <f>"9783110296648"</f>
        <v>9783110296648</v>
      </c>
      <c r="H2002" t="s">
        <v>115</v>
      </c>
      <c r="I2002">
        <v>519.23</v>
      </c>
      <c r="J2002" t="s">
        <v>4541</v>
      </c>
      <c r="K2002" t="s">
        <v>73</v>
      </c>
      <c r="N2002" t="s">
        <v>74</v>
      </c>
      <c r="O2002" t="s">
        <v>75</v>
      </c>
      <c r="P2002" t="s">
        <v>74</v>
      </c>
      <c r="Q2002" t="s">
        <v>76</v>
      </c>
      <c r="R2002" t="s">
        <v>73</v>
      </c>
      <c r="S2002">
        <v>0</v>
      </c>
      <c r="W2002" s="20">
        <v>1.7824074074074072E-3</v>
      </c>
      <c r="X2002" t="s">
        <v>4542</v>
      </c>
      <c r="Y2002">
        <v>8</v>
      </c>
      <c r="Z2002">
        <v>0</v>
      </c>
      <c r="AA2002" t="s">
        <v>78</v>
      </c>
      <c r="AB2002">
        <v>0</v>
      </c>
      <c r="AC2002" t="s">
        <v>4543</v>
      </c>
      <c r="AD2002">
        <v>1</v>
      </c>
      <c r="AE2002">
        <v>10649219</v>
      </c>
      <c r="AF2002" t="s">
        <v>88</v>
      </c>
      <c r="AG2002" t="s">
        <v>3254</v>
      </c>
    </row>
    <row r="2003" spans="1:33" x14ac:dyDescent="0.35">
      <c r="A2003" s="18">
        <v>44299.615972222222</v>
      </c>
      <c r="B2003">
        <v>5784917</v>
      </c>
      <c r="C2003" t="s">
        <v>4544</v>
      </c>
      <c r="D2003" t="s">
        <v>70</v>
      </c>
      <c r="E2003" s="19">
        <v>43634</v>
      </c>
      <c r="F2003" t="str">
        <f>"9781119629719"</f>
        <v>9781119629719</v>
      </c>
      <c r="G2003" t="str">
        <f>"9781786304360"</f>
        <v>9781786304360</v>
      </c>
      <c r="H2003" t="s">
        <v>3320</v>
      </c>
      <c r="I2003">
        <v>530.15563999999995</v>
      </c>
      <c r="J2003" t="s">
        <v>4545</v>
      </c>
      <c r="K2003" t="s">
        <v>85</v>
      </c>
      <c r="Q2003" t="s">
        <v>76</v>
      </c>
      <c r="R2003" t="s">
        <v>73</v>
      </c>
      <c r="S2003">
        <v>0</v>
      </c>
      <c r="W2003" s="20">
        <v>1.7708333333333332E-3</v>
      </c>
      <c r="X2003" t="s">
        <v>4546</v>
      </c>
      <c r="Y2003">
        <v>16</v>
      </c>
      <c r="Z2003">
        <v>0</v>
      </c>
      <c r="AA2003" t="s">
        <v>78</v>
      </c>
      <c r="AB2003">
        <v>0</v>
      </c>
      <c r="AC2003" t="s">
        <v>78</v>
      </c>
      <c r="AD2003">
        <v>0</v>
      </c>
      <c r="AE2003">
        <v>-1</v>
      </c>
      <c r="AF2003" t="s">
        <v>88</v>
      </c>
      <c r="AG2003" t="s">
        <v>3254</v>
      </c>
    </row>
    <row r="2004" spans="1:33" x14ac:dyDescent="0.35">
      <c r="A2004" s="18">
        <v>44299.611805555556</v>
      </c>
      <c r="B2004">
        <v>5845869</v>
      </c>
      <c r="C2004" t="s">
        <v>4547</v>
      </c>
      <c r="D2004" t="s">
        <v>369</v>
      </c>
      <c r="E2004" s="19">
        <v>43693</v>
      </c>
      <c r="F2004" t="str">
        <f>"9783030223786"</f>
        <v>9783030223786</v>
      </c>
      <c r="G2004" t="str">
        <f>"9783030223779"</f>
        <v>9783030223779</v>
      </c>
      <c r="H2004" t="s">
        <v>4548</v>
      </c>
      <c r="I2004">
        <v>515.35199999999998</v>
      </c>
      <c r="J2004" t="s">
        <v>202</v>
      </c>
      <c r="K2004" t="s">
        <v>85</v>
      </c>
      <c r="Q2004" t="s">
        <v>76</v>
      </c>
      <c r="R2004" t="s">
        <v>73</v>
      </c>
      <c r="S2004">
        <v>0</v>
      </c>
      <c r="W2004" s="20">
        <v>4.0972222222222226E-3</v>
      </c>
      <c r="X2004" t="s">
        <v>4549</v>
      </c>
      <c r="Y2004">
        <v>35</v>
      </c>
      <c r="Z2004">
        <v>0</v>
      </c>
      <c r="AA2004" t="s">
        <v>78</v>
      </c>
      <c r="AB2004">
        <v>0</v>
      </c>
      <c r="AC2004" t="s">
        <v>78</v>
      </c>
      <c r="AD2004">
        <v>0</v>
      </c>
      <c r="AE2004">
        <v>-1</v>
      </c>
      <c r="AF2004" t="s">
        <v>88</v>
      </c>
      <c r="AG2004" t="s">
        <v>3254</v>
      </c>
    </row>
    <row r="2005" spans="1:33" x14ac:dyDescent="0.35">
      <c r="A2005" s="18">
        <v>44299.609722222223</v>
      </c>
      <c r="B2005">
        <v>1790888</v>
      </c>
      <c r="C2005" t="s">
        <v>4550</v>
      </c>
      <c r="D2005" t="s">
        <v>158</v>
      </c>
      <c r="E2005" s="19">
        <v>41879</v>
      </c>
      <c r="F2005" t="str">
        <f>"9780444634153"</f>
        <v>9780444634153</v>
      </c>
      <c r="G2005" t="str">
        <f>"9780444633637"</f>
        <v>9780444633637</v>
      </c>
      <c r="H2005" t="s">
        <v>227</v>
      </c>
      <c r="I2005">
        <v>577.70000000000005</v>
      </c>
      <c r="J2005" t="s">
        <v>4551</v>
      </c>
      <c r="K2005" t="s">
        <v>73</v>
      </c>
      <c r="N2005" t="s">
        <v>74</v>
      </c>
      <c r="O2005" t="s">
        <v>75</v>
      </c>
      <c r="P2005" t="s">
        <v>74</v>
      </c>
      <c r="Q2005" t="s">
        <v>76</v>
      </c>
      <c r="R2005" t="s">
        <v>73</v>
      </c>
      <c r="S2005">
        <v>0</v>
      </c>
      <c r="W2005" s="20">
        <v>3.8194444444444446E-4</v>
      </c>
      <c r="X2005" t="s">
        <v>4552</v>
      </c>
      <c r="Y2005">
        <v>8</v>
      </c>
      <c r="Z2005">
        <v>0</v>
      </c>
      <c r="AA2005" t="s">
        <v>78</v>
      </c>
      <c r="AB2005">
        <v>0</v>
      </c>
      <c r="AC2005" t="s">
        <v>78</v>
      </c>
      <c r="AD2005">
        <v>0</v>
      </c>
      <c r="AE2005">
        <v>10935204</v>
      </c>
      <c r="AF2005" t="s">
        <v>88</v>
      </c>
      <c r="AG2005" t="s">
        <v>3254</v>
      </c>
    </row>
    <row r="2006" spans="1:33" x14ac:dyDescent="0.35">
      <c r="A2006" s="18">
        <v>44299.44027777778</v>
      </c>
      <c r="B2006">
        <v>1446262</v>
      </c>
      <c r="C2006" t="s">
        <v>4553</v>
      </c>
      <c r="D2006" t="s">
        <v>127</v>
      </c>
      <c r="E2006" s="19">
        <v>41122</v>
      </c>
      <c r="F2006" t="str">
        <f>"9781466517004"</f>
        <v>9781466517004</v>
      </c>
      <c r="G2006" t="str">
        <f>"9781439874608"</f>
        <v>9781439874608</v>
      </c>
      <c r="H2006" t="s">
        <v>4554</v>
      </c>
      <c r="I2006">
        <v>620.10599999999999</v>
      </c>
      <c r="J2006" t="s">
        <v>4555</v>
      </c>
      <c r="K2006" t="s">
        <v>73</v>
      </c>
      <c r="N2006" t="s">
        <v>74</v>
      </c>
      <c r="O2006" t="s">
        <v>75</v>
      </c>
      <c r="P2006" t="s">
        <v>74</v>
      </c>
      <c r="Q2006" t="s">
        <v>76</v>
      </c>
      <c r="R2006" t="s">
        <v>73</v>
      </c>
      <c r="S2006">
        <v>0</v>
      </c>
      <c r="W2006" s="20">
        <v>5.7870370370370366E-5</v>
      </c>
      <c r="X2006" t="s">
        <v>360</v>
      </c>
      <c r="Y2006">
        <v>2</v>
      </c>
      <c r="Z2006">
        <v>0</v>
      </c>
      <c r="AA2006" t="s">
        <v>78</v>
      </c>
      <c r="AB2006">
        <v>0</v>
      </c>
      <c r="AC2006" t="s">
        <v>78</v>
      </c>
      <c r="AD2006">
        <v>0</v>
      </c>
      <c r="AE2006">
        <v>11165967</v>
      </c>
      <c r="AF2006" t="s">
        <v>88</v>
      </c>
      <c r="AG2006" t="s">
        <v>3254</v>
      </c>
    </row>
    <row r="2007" spans="1:33" x14ac:dyDescent="0.35">
      <c r="A2007" s="18">
        <v>44299.44027777778</v>
      </c>
      <c r="B2007">
        <v>1784135</v>
      </c>
      <c r="C2007" t="s">
        <v>4534</v>
      </c>
      <c r="D2007" t="s">
        <v>70</v>
      </c>
      <c r="E2007" s="19">
        <v>41918</v>
      </c>
      <c r="F2007" t="str">
        <f>"9781118576816"</f>
        <v>9781118576816</v>
      </c>
      <c r="G2007" t="str">
        <f>"9781848213951"</f>
        <v>9781848213951</v>
      </c>
      <c r="H2007" t="s">
        <v>4533</v>
      </c>
      <c r="I2007">
        <v>620.10640000000001</v>
      </c>
      <c r="J2007" t="s">
        <v>4535</v>
      </c>
      <c r="K2007" t="s">
        <v>73</v>
      </c>
      <c r="N2007" t="s">
        <v>74</v>
      </c>
      <c r="O2007" t="s">
        <v>75</v>
      </c>
      <c r="P2007" t="s">
        <v>74</v>
      </c>
      <c r="Q2007" t="s">
        <v>76</v>
      </c>
      <c r="R2007" t="s">
        <v>73</v>
      </c>
      <c r="S2007">
        <v>0</v>
      </c>
      <c r="W2007" s="20">
        <v>6.9444444444444444E-5</v>
      </c>
      <c r="X2007" t="s">
        <v>360</v>
      </c>
      <c r="Y2007">
        <v>2</v>
      </c>
      <c r="Z2007">
        <v>0</v>
      </c>
      <c r="AA2007" t="s">
        <v>78</v>
      </c>
      <c r="AB2007">
        <v>0</v>
      </c>
      <c r="AC2007" t="s">
        <v>78</v>
      </c>
      <c r="AD2007">
        <v>0</v>
      </c>
      <c r="AE2007">
        <v>10930296</v>
      </c>
      <c r="AF2007" t="s">
        <v>88</v>
      </c>
      <c r="AG2007" t="s">
        <v>3254</v>
      </c>
    </row>
    <row r="2008" spans="1:33" x14ac:dyDescent="0.35">
      <c r="A2008" s="18">
        <v>44299.44027777778</v>
      </c>
      <c r="B2008">
        <v>1640291</v>
      </c>
      <c r="C2008" t="s">
        <v>4556</v>
      </c>
      <c r="D2008" t="s">
        <v>4557</v>
      </c>
      <c r="E2008" s="19">
        <v>41579</v>
      </c>
      <c r="F2008" t="str">
        <f>"9783954896714"</f>
        <v>9783954896714</v>
      </c>
      <c r="G2008" t="str">
        <f>"9783954891719"</f>
        <v>9783954891719</v>
      </c>
      <c r="H2008" t="s">
        <v>979</v>
      </c>
      <c r="I2008">
        <v>620.10599999999999</v>
      </c>
      <c r="J2008" t="s">
        <v>4558</v>
      </c>
      <c r="K2008" t="s">
        <v>73</v>
      </c>
      <c r="N2008" t="s">
        <v>74</v>
      </c>
      <c r="O2008" t="s">
        <v>75</v>
      </c>
      <c r="P2008" t="s">
        <v>230</v>
      </c>
      <c r="Q2008" t="s">
        <v>76</v>
      </c>
      <c r="R2008" t="s">
        <v>85</v>
      </c>
      <c r="S2008">
        <v>0</v>
      </c>
      <c r="W2008" s="20">
        <v>5.7870370370370366E-5</v>
      </c>
      <c r="X2008" t="s">
        <v>360</v>
      </c>
      <c r="Y2008">
        <v>2</v>
      </c>
      <c r="Z2008">
        <v>0</v>
      </c>
      <c r="AA2008" t="s">
        <v>78</v>
      </c>
      <c r="AB2008">
        <v>0</v>
      </c>
      <c r="AC2008" t="s">
        <v>78</v>
      </c>
      <c r="AD2008">
        <v>0</v>
      </c>
      <c r="AE2008">
        <v>10856533</v>
      </c>
      <c r="AF2008" t="s">
        <v>88</v>
      </c>
      <c r="AG2008" t="s">
        <v>3254</v>
      </c>
    </row>
    <row r="2009" spans="1:33" x14ac:dyDescent="0.35">
      <c r="A2009" s="18">
        <v>44299.44027777778</v>
      </c>
      <c r="B2009">
        <v>3018869</v>
      </c>
      <c r="C2009" t="s">
        <v>4559</v>
      </c>
      <c r="D2009" t="s">
        <v>226</v>
      </c>
      <c r="E2009" s="19">
        <v>39995</v>
      </c>
      <c r="F2009" t="str">
        <f>"9781608768738"</f>
        <v>9781608768738</v>
      </c>
      <c r="G2009" t="str">
        <f>"9781606920848"</f>
        <v>9781606920848</v>
      </c>
      <c r="H2009" t="s">
        <v>1905</v>
      </c>
      <c r="I2009" t="s">
        <v>4560</v>
      </c>
      <c r="J2009" t="s">
        <v>4561</v>
      </c>
      <c r="K2009" t="s">
        <v>73</v>
      </c>
      <c r="N2009" t="s">
        <v>74</v>
      </c>
      <c r="O2009" t="s">
        <v>75</v>
      </c>
      <c r="P2009" t="s">
        <v>74</v>
      </c>
      <c r="Q2009" t="s">
        <v>76</v>
      </c>
      <c r="R2009" t="s">
        <v>73</v>
      </c>
      <c r="S2009">
        <v>0</v>
      </c>
      <c r="W2009" s="20">
        <v>5.7870370370370366E-5</v>
      </c>
      <c r="X2009" t="s">
        <v>360</v>
      </c>
      <c r="Y2009">
        <v>2</v>
      </c>
      <c r="Z2009">
        <v>0</v>
      </c>
      <c r="AA2009" t="s">
        <v>78</v>
      </c>
      <c r="AB2009">
        <v>0</v>
      </c>
      <c r="AC2009" t="s">
        <v>78</v>
      </c>
      <c r="AD2009">
        <v>0</v>
      </c>
      <c r="AE2009">
        <v>10661808</v>
      </c>
      <c r="AF2009" t="s">
        <v>88</v>
      </c>
      <c r="AG2009" t="s">
        <v>3254</v>
      </c>
    </row>
    <row r="2010" spans="1:33" x14ac:dyDescent="0.35">
      <c r="A2010" s="18">
        <v>44299.435416666667</v>
      </c>
      <c r="B2010">
        <v>1184591</v>
      </c>
      <c r="C2010" t="s">
        <v>4562</v>
      </c>
      <c r="D2010" t="s">
        <v>1711</v>
      </c>
      <c r="E2010" s="19">
        <v>40553</v>
      </c>
      <c r="F2010" t="str">
        <f>"9781118671825"</f>
        <v>9781118671825</v>
      </c>
      <c r="G2010" t="str">
        <f>"9780875904856"</f>
        <v>9780875904856</v>
      </c>
      <c r="H2010" t="s">
        <v>4563</v>
      </c>
      <c r="I2010">
        <v>363.11</v>
      </c>
      <c r="J2010" t="s">
        <v>4564</v>
      </c>
      <c r="K2010" t="s">
        <v>73</v>
      </c>
      <c r="N2010" t="s">
        <v>74</v>
      </c>
      <c r="O2010" t="s">
        <v>75</v>
      </c>
      <c r="P2010" t="s">
        <v>74</v>
      </c>
      <c r="Q2010" t="s">
        <v>76</v>
      </c>
      <c r="R2010" t="s">
        <v>73</v>
      </c>
      <c r="S2010">
        <v>0</v>
      </c>
      <c r="W2010" s="20">
        <v>2.7430555555555559E-3</v>
      </c>
      <c r="X2010" t="s">
        <v>4565</v>
      </c>
      <c r="Y2010">
        <v>48</v>
      </c>
      <c r="Z2010">
        <v>0</v>
      </c>
      <c r="AA2010" t="s">
        <v>78</v>
      </c>
      <c r="AB2010">
        <v>0</v>
      </c>
      <c r="AC2010" t="s">
        <v>78</v>
      </c>
      <c r="AD2010">
        <v>0</v>
      </c>
      <c r="AE2010">
        <v>10720696</v>
      </c>
      <c r="AF2010" t="s">
        <v>88</v>
      </c>
      <c r="AG2010" t="s">
        <v>3254</v>
      </c>
    </row>
    <row r="2011" spans="1:33" x14ac:dyDescent="0.35">
      <c r="A2011" s="18">
        <v>44299.432638888888</v>
      </c>
      <c r="B2011">
        <v>3430681</v>
      </c>
      <c r="C2011" t="s">
        <v>4566</v>
      </c>
      <c r="D2011" t="s">
        <v>4567</v>
      </c>
      <c r="E2011" s="19">
        <v>42195</v>
      </c>
      <c r="F2011" t="str">
        <f>"9781589483651"</f>
        <v>9781589483651</v>
      </c>
      <c r="G2011" t="str">
        <f>"9781589483637"</f>
        <v>9781589483637</v>
      </c>
      <c r="H2011" t="s">
        <v>1905</v>
      </c>
      <c r="I2011">
        <v>551.46</v>
      </c>
      <c r="J2011" t="s">
        <v>4568</v>
      </c>
      <c r="K2011" t="s">
        <v>73</v>
      </c>
      <c r="N2011" t="s">
        <v>74</v>
      </c>
      <c r="O2011" t="s">
        <v>75</v>
      </c>
      <c r="P2011" t="s">
        <v>74</v>
      </c>
      <c r="Q2011" t="s">
        <v>76</v>
      </c>
      <c r="R2011" t="s">
        <v>73</v>
      </c>
      <c r="S2011">
        <v>0</v>
      </c>
      <c r="W2011" s="20">
        <v>1.1111111111111111E-3</v>
      </c>
      <c r="X2011" t="s">
        <v>4569</v>
      </c>
      <c r="Y2011">
        <v>13</v>
      </c>
      <c r="Z2011">
        <v>0</v>
      </c>
      <c r="AA2011" t="s">
        <v>78</v>
      </c>
      <c r="AB2011">
        <v>0</v>
      </c>
      <c r="AC2011" t="s">
        <v>78</v>
      </c>
      <c r="AD2011">
        <v>0</v>
      </c>
      <c r="AE2011">
        <v>11080333</v>
      </c>
      <c r="AF2011" t="s">
        <v>88</v>
      </c>
      <c r="AG2011" t="s">
        <v>3254</v>
      </c>
    </row>
    <row r="2012" spans="1:33" x14ac:dyDescent="0.35">
      <c r="A2012" s="18">
        <v>44299.431250000001</v>
      </c>
      <c r="B2012">
        <v>3021806</v>
      </c>
      <c r="C2012" t="s">
        <v>4570</v>
      </c>
      <c r="D2012" t="s">
        <v>226</v>
      </c>
      <c r="E2012" s="19">
        <v>40777</v>
      </c>
      <c r="F2012" t="str">
        <f>"9781620819456"</f>
        <v>9781620819456</v>
      </c>
      <c r="G2012" t="str">
        <f>"9781612092652"</f>
        <v>9781612092652</v>
      </c>
      <c r="H2012" t="s">
        <v>4571</v>
      </c>
      <c r="I2012">
        <v>577.70000000000005</v>
      </c>
      <c r="J2012" t="s">
        <v>4572</v>
      </c>
      <c r="K2012" t="s">
        <v>73</v>
      </c>
      <c r="N2012" t="s">
        <v>74</v>
      </c>
      <c r="O2012" t="s">
        <v>75</v>
      </c>
      <c r="P2012" t="s">
        <v>230</v>
      </c>
      <c r="Q2012" t="s">
        <v>76</v>
      </c>
      <c r="R2012" t="s">
        <v>85</v>
      </c>
      <c r="S2012">
        <v>0</v>
      </c>
      <c r="W2012" s="20">
        <v>1.5046296296296294E-3</v>
      </c>
      <c r="X2012" t="s">
        <v>4573</v>
      </c>
      <c r="Y2012">
        <v>12</v>
      </c>
      <c r="Z2012">
        <v>0</v>
      </c>
      <c r="AA2012" t="s">
        <v>78</v>
      </c>
      <c r="AB2012">
        <v>0</v>
      </c>
      <c r="AC2012" t="s">
        <v>78</v>
      </c>
      <c r="AD2012">
        <v>0</v>
      </c>
      <c r="AE2012">
        <v>10686110</v>
      </c>
      <c r="AF2012" t="s">
        <v>88</v>
      </c>
      <c r="AG2012" t="s">
        <v>3254</v>
      </c>
    </row>
    <row r="2013" spans="1:33" x14ac:dyDescent="0.35">
      <c r="A2013" s="18">
        <v>44299.429166666669</v>
      </c>
      <c r="B2013">
        <v>1187858</v>
      </c>
      <c r="C2013" t="s">
        <v>4574</v>
      </c>
      <c r="D2013" t="s">
        <v>1711</v>
      </c>
      <c r="E2013" s="19">
        <v>41422</v>
      </c>
      <c r="F2013" t="str">
        <f>"9781118704394"</f>
        <v>9781118704394</v>
      </c>
      <c r="G2013" t="str">
        <f>"9780875904900"</f>
        <v>9780875904900</v>
      </c>
      <c r="H2013" t="s">
        <v>1246</v>
      </c>
      <c r="I2013">
        <v>551.50153899999998</v>
      </c>
      <c r="J2013" t="s">
        <v>4575</v>
      </c>
      <c r="K2013" t="s">
        <v>73</v>
      </c>
      <c r="N2013" t="s">
        <v>74</v>
      </c>
      <c r="O2013" t="s">
        <v>75</v>
      </c>
      <c r="P2013" t="s">
        <v>74</v>
      </c>
      <c r="Q2013" t="s">
        <v>76</v>
      </c>
      <c r="R2013" t="s">
        <v>73</v>
      </c>
      <c r="S2013">
        <v>0</v>
      </c>
      <c r="W2013" s="20">
        <v>4.9305555555555552E-3</v>
      </c>
      <c r="X2013" t="s">
        <v>4576</v>
      </c>
      <c r="Y2013">
        <v>24</v>
      </c>
      <c r="Z2013">
        <v>0</v>
      </c>
      <c r="AA2013" t="s">
        <v>78</v>
      </c>
      <c r="AB2013">
        <v>0</v>
      </c>
      <c r="AC2013" t="s">
        <v>78</v>
      </c>
      <c r="AD2013">
        <v>0</v>
      </c>
      <c r="AE2013">
        <v>10716207</v>
      </c>
      <c r="AF2013" t="s">
        <v>88</v>
      </c>
      <c r="AG2013" t="s">
        <v>3254</v>
      </c>
    </row>
    <row r="2014" spans="1:33" x14ac:dyDescent="0.35">
      <c r="A2014" s="18">
        <v>44299.427083333336</v>
      </c>
      <c r="B2014">
        <v>5790554</v>
      </c>
      <c r="C2014" t="s">
        <v>1245</v>
      </c>
      <c r="D2014" t="s">
        <v>338</v>
      </c>
      <c r="E2014" s="19">
        <v>43634</v>
      </c>
      <c r="F2014" t="str">
        <f>"9780128144596"</f>
        <v>9780128144596</v>
      </c>
      <c r="G2014" t="str">
        <f>"9780128144589"</f>
        <v>9780128144589</v>
      </c>
      <c r="H2014" t="s">
        <v>1246</v>
      </c>
      <c r="I2014">
        <v>551.14</v>
      </c>
      <c r="J2014" t="s">
        <v>1247</v>
      </c>
      <c r="K2014" t="s">
        <v>85</v>
      </c>
      <c r="N2014" t="s">
        <v>74</v>
      </c>
      <c r="O2014" t="s">
        <v>75</v>
      </c>
      <c r="P2014" t="s">
        <v>74</v>
      </c>
      <c r="Q2014" t="s">
        <v>76</v>
      </c>
      <c r="R2014" t="s">
        <v>73</v>
      </c>
      <c r="S2014">
        <v>1</v>
      </c>
      <c r="W2014" s="20">
        <v>2.3148148148148147E-5</v>
      </c>
      <c r="X2014" t="s">
        <v>360</v>
      </c>
      <c r="Y2014">
        <v>2</v>
      </c>
      <c r="Z2014">
        <v>0</v>
      </c>
      <c r="AA2014" t="s">
        <v>78</v>
      </c>
      <c r="AB2014">
        <v>0</v>
      </c>
      <c r="AC2014" t="s">
        <v>78</v>
      </c>
      <c r="AD2014">
        <v>0</v>
      </c>
      <c r="AE2014">
        <v>-1</v>
      </c>
      <c r="AF2014" t="s">
        <v>88</v>
      </c>
      <c r="AG2014" t="s">
        <v>3254</v>
      </c>
    </row>
    <row r="2015" spans="1:33" x14ac:dyDescent="0.35">
      <c r="A2015" s="18">
        <v>44299.409722222219</v>
      </c>
      <c r="B2015">
        <v>5790554</v>
      </c>
      <c r="C2015" t="s">
        <v>1245</v>
      </c>
      <c r="D2015" t="s">
        <v>338</v>
      </c>
      <c r="E2015" s="19">
        <v>43634</v>
      </c>
      <c r="F2015" t="str">
        <f>"9780128144596"</f>
        <v>9780128144596</v>
      </c>
      <c r="G2015" t="str">
        <f>"9780128144589"</f>
        <v>9780128144589</v>
      </c>
      <c r="H2015" t="s">
        <v>1246</v>
      </c>
      <c r="I2015">
        <v>551.14</v>
      </c>
      <c r="J2015" t="s">
        <v>1247</v>
      </c>
      <c r="K2015" t="s">
        <v>85</v>
      </c>
      <c r="N2015" t="s">
        <v>74</v>
      </c>
      <c r="O2015" t="s">
        <v>75</v>
      </c>
      <c r="P2015" t="s">
        <v>74</v>
      </c>
      <c r="Q2015" t="s">
        <v>76</v>
      </c>
      <c r="R2015" t="s">
        <v>73</v>
      </c>
      <c r="S2015">
        <v>0</v>
      </c>
      <c r="W2015" s="20">
        <v>1.6793981481481483E-2</v>
      </c>
      <c r="X2015" t="s">
        <v>4577</v>
      </c>
      <c r="Y2015">
        <v>30</v>
      </c>
      <c r="Z2015">
        <v>0</v>
      </c>
      <c r="AA2015" t="s">
        <v>78</v>
      </c>
      <c r="AB2015">
        <v>0</v>
      </c>
      <c r="AC2015" t="s">
        <v>4578</v>
      </c>
      <c r="AD2015">
        <v>6</v>
      </c>
      <c r="AE2015">
        <v>-1</v>
      </c>
      <c r="AF2015" t="s">
        <v>88</v>
      </c>
      <c r="AG2015" t="s">
        <v>3254</v>
      </c>
    </row>
    <row r="2016" spans="1:33" x14ac:dyDescent="0.35">
      <c r="A2016" s="18">
        <v>44299.400694444441</v>
      </c>
      <c r="B2016">
        <v>5790554</v>
      </c>
      <c r="C2016" t="s">
        <v>1245</v>
      </c>
      <c r="D2016" t="s">
        <v>338</v>
      </c>
      <c r="E2016" s="19">
        <v>43634</v>
      </c>
      <c r="F2016" t="str">
        <f>"9780128144596"</f>
        <v>9780128144596</v>
      </c>
      <c r="G2016" t="str">
        <f>"9780128144589"</f>
        <v>9780128144589</v>
      </c>
      <c r="H2016" t="s">
        <v>1246</v>
      </c>
      <c r="I2016">
        <v>551.14</v>
      </c>
      <c r="J2016" t="s">
        <v>1247</v>
      </c>
      <c r="K2016" t="s">
        <v>85</v>
      </c>
      <c r="N2016" t="s">
        <v>74</v>
      </c>
      <c r="O2016" t="s">
        <v>75</v>
      </c>
      <c r="P2016" t="s">
        <v>74</v>
      </c>
      <c r="Q2016" t="s">
        <v>76</v>
      </c>
      <c r="R2016" t="s">
        <v>73</v>
      </c>
      <c r="S2016">
        <v>0</v>
      </c>
      <c r="W2016" s="20">
        <v>1.5856481481481479E-3</v>
      </c>
      <c r="X2016" t="s">
        <v>4579</v>
      </c>
      <c r="Y2016">
        <v>6</v>
      </c>
      <c r="Z2016">
        <v>0</v>
      </c>
      <c r="AA2016" t="s">
        <v>78</v>
      </c>
      <c r="AB2016">
        <v>0</v>
      </c>
      <c r="AC2016" t="s">
        <v>244</v>
      </c>
      <c r="AD2016">
        <v>1</v>
      </c>
      <c r="AE2016">
        <v>-1</v>
      </c>
      <c r="AF2016" t="s">
        <v>79</v>
      </c>
      <c r="AG2016" t="s">
        <v>333</v>
      </c>
    </row>
    <row r="2017" spans="1:33" x14ac:dyDescent="0.35">
      <c r="A2017" s="18">
        <v>44299.4</v>
      </c>
      <c r="B2017">
        <v>3001261</v>
      </c>
      <c r="C2017" t="s">
        <v>3419</v>
      </c>
      <c r="D2017" t="s">
        <v>3420</v>
      </c>
      <c r="E2017" s="19">
        <v>39630</v>
      </c>
      <c r="F2017" t="str">
        <f>"9780313352874"</f>
        <v>9780313352874</v>
      </c>
      <c r="G2017" t="str">
        <f>"9780313352867"</f>
        <v>9780313352867</v>
      </c>
      <c r="H2017" t="s">
        <v>3421</v>
      </c>
      <c r="I2017">
        <v>333.79</v>
      </c>
      <c r="J2017" t="s">
        <v>3422</v>
      </c>
      <c r="K2017" t="s">
        <v>73</v>
      </c>
      <c r="N2017" t="s">
        <v>74</v>
      </c>
      <c r="O2017" t="s">
        <v>75</v>
      </c>
      <c r="P2017" t="s">
        <v>74</v>
      </c>
      <c r="Q2017" t="s">
        <v>76</v>
      </c>
      <c r="R2017" t="s">
        <v>73</v>
      </c>
      <c r="S2017">
        <v>0</v>
      </c>
      <c r="W2017" s="20">
        <v>3.4722222222222222E-5</v>
      </c>
      <c r="X2017" t="s">
        <v>132</v>
      </c>
      <c r="Y2017">
        <v>1</v>
      </c>
      <c r="Z2017">
        <v>0</v>
      </c>
      <c r="AA2017" t="s">
        <v>78</v>
      </c>
      <c r="AB2017">
        <v>0</v>
      </c>
      <c r="AC2017" t="s">
        <v>78</v>
      </c>
      <c r="AD2017">
        <v>0</v>
      </c>
      <c r="AE2017">
        <v>10271266</v>
      </c>
      <c r="AF2017" t="s">
        <v>79</v>
      </c>
      <c r="AG2017" t="s">
        <v>333</v>
      </c>
    </row>
    <row r="2018" spans="1:33" x14ac:dyDescent="0.35">
      <c r="A2018" s="18">
        <v>44299.332638888889</v>
      </c>
      <c r="B2018">
        <v>1477347</v>
      </c>
      <c r="C2018" t="s">
        <v>4580</v>
      </c>
      <c r="D2018" t="s">
        <v>1046</v>
      </c>
      <c r="E2018" s="19">
        <v>41548</v>
      </c>
      <c r="F2018" t="str">
        <f>"9781452940540"</f>
        <v>9781452940540</v>
      </c>
      <c r="G2018" t="str">
        <f>"9780816689231"</f>
        <v>9780816689231</v>
      </c>
      <c r="H2018" t="s">
        <v>528</v>
      </c>
      <c r="I2018">
        <v>110</v>
      </c>
      <c r="J2018" t="s">
        <v>4581</v>
      </c>
      <c r="K2018" t="s">
        <v>73</v>
      </c>
      <c r="N2018" t="s">
        <v>74</v>
      </c>
      <c r="O2018" t="s">
        <v>75</v>
      </c>
      <c r="P2018" t="s">
        <v>74</v>
      </c>
      <c r="Q2018" t="s">
        <v>76</v>
      </c>
      <c r="R2018" t="s">
        <v>73</v>
      </c>
      <c r="S2018">
        <v>0</v>
      </c>
      <c r="W2018" s="20">
        <v>0.10555555555555556</v>
      </c>
      <c r="X2018" t="s">
        <v>4582</v>
      </c>
      <c r="Y2018">
        <v>56</v>
      </c>
      <c r="Z2018">
        <v>0</v>
      </c>
      <c r="AA2018" t="s">
        <v>78</v>
      </c>
      <c r="AB2018">
        <v>0</v>
      </c>
      <c r="AC2018" t="s">
        <v>78</v>
      </c>
      <c r="AD2018">
        <v>0</v>
      </c>
      <c r="AE2018">
        <v>10782954</v>
      </c>
      <c r="AF2018" t="s">
        <v>79</v>
      </c>
      <c r="AG2018" t="s">
        <v>4583</v>
      </c>
    </row>
    <row r="2019" spans="1:33" x14ac:dyDescent="0.35">
      <c r="A2019" s="18">
        <v>44299.330555555556</v>
      </c>
      <c r="B2019">
        <v>3001261</v>
      </c>
      <c r="C2019" t="s">
        <v>3419</v>
      </c>
      <c r="D2019" t="s">
        <v>3420</v>
      </c>
      <c r="E2019" s="19">
        <v>39630</v>
      </c>
      <c r="F2019" t="str">
        <f>"9780313352874"</f>
        <v>9780313352874</v>
      </c>
      <c r="G2019" t="str">
        <f>"9780313352867"</f>
        <v>9780313352867</v>
      </c>
      <c r="H2019" t="s">
        <v>3421</v>
      </c>
      <c r="I2019">
        <v>333.79</v>
      </c>
      <c r="J2019" t="s">
        <v>3422</v>
      </c>
      <c r="K2019" t="s">
        <v>73</v>
      </c>
      <c r="N2019" t="s">
        <v>74</v>
      </c>
      <c r="O2019" t="s">
        <v>75</v>
      </c>
      <c r="P2019" t="s">
        <v>74</v>
      </c>
      <c r="Q2019" t="s">
        <v>76</v>
      </c>
      <c r="R2019" t="s">
        <v>73</v>
      </c>
      <c r="S2019">
        <v>0</v>
      </c>
      <c r="W2019" s="20">
        <v>4.6296296296296294E-5</v>
      </c>
      <c r="X2019" t="s">
        <v>132</v>
      </c>
      <c r="Y2019">
        <v>1</v>
      </c>
      <c r="Z2019">
        <v>0</v>
      </c>
      <c r="AA2019" t="s">
        <v>78</v>
      </c>
      <c r="AB2019">
        <v>0</v>
      </c>
      <c r="AC2019" t="s">
        <v>78</v>
      </c>
      <c r="AD2019">
        <v>0</v>
      </c>
      <c r="AE2019">
        <v>10271266</v>
      </c>
      <c r="AF2019" t="s">
        <v>79</v>
      </c>
      <c r="AG2019" t="s">
        <v>333</v>
      </c>
    </row>
    <row r="2020" spans="1:33" x14ac:dyDescent="0.35">
      <c r="A2020" s="18">
        <v>44299.20416666667</v>
      </c>
      <c r="B2020">
        <v>5754480</v>
      </c>
      <c r="C2020" t="s">
        <v>4584</v>
      </c>
      <c r="D2020" t="s">
        <v>158</v>
      </c>
      <c r="E2020" s="19">
        <v>42353</v>
      </c>
      <c r="F2020" t="str">
        <f>"9780080918624"</f>
        <v>9780080918624</v>
      </c>
      <c r="G2020" t="str">
        <f>"9780123285317"</f>
        <v>9780123285317</v>
      </c>
      <c r="H2020" t="s">
        <v>1246</v>
      </c>
      <c r="I2020">
        <v>551.6</v>
      </c>
      <c r="J2020" t="s">
        <v>4585</v>
      </c>
      <c r="K2020" t="s">
        <v>73</v>
      </c>
      <c r="N2020" t="s">
        <v>74</v>
      </c>
      <c r="O2020" t="s">
        <v>75</v>
      </c>
      <c r="P2020" t="s">
        <v>74</v>
      </c>
      <c r="Q2020" t="s">
        <v>76</v>
      </c>
      <c r="R2020" t="s">
        <v>73</v>
      </c>
      <c r="S2020">
        <v>0</v>
      </c>
      <c r="W2020" s="20">
        <v>1.9444444444444442E-3</v>
      </c>
      <c r="X2020" t="s">
        <v>4586</v>
      </c>
      <c r="Y2020">
        <v>14</v>
      </c>
      <c r="Z2020">
        <v>0</v>
      </c>
      <c r="AA2020" t="s">
        <v>78</v>
      </c>
      <c r="AB2020">
        <v>0</v>
      </c>
      <c r="AC2020" t="s">
        <v>78</v>
      </c>
      <c r="AD2020">
        <v>0</v>
      </c>
      <c r="AE2020">
        <v>-1</v>
      </c>
      <c r="AF2020" t="s">
        <v>79</v>
      </c>
      <c r="AG2020" t="s">
        <v>333</v>
      </c>
    </row>
    <row r="2021" spans="1:33" x14ac:dyDescent="0.35">
      <c r="A2021" s="18">
        <v>44299.20416666667</v>
      </c>
      <c r="B2021">
        <v>818588</v>
      </c>
      <c r="C2021" t="s">
        <v>4587</v>
      </c>
      <c r="D2021" t="s">
        <v>70</v>
      </c>
      <c r="E2021" s="19">
        <v>40877</v>
      </c>
      <c r="F2021" t="str">
        <f>"9781119994596"</f>
        <v>9781119994596</v>
      </c>
      <c r="G2021" t="str">
        <f>"9780470694688"</f>
        <v>9780470694688</v>
      </c>
      <c r="H2021" t="s">
        <v>4588</v>
      </c>
      <c r="I2021">
        <v>551.5</v>
      </c>
      <c r="J2021" t="s">
        <v>4589</v>
      </c>
      <c r="K2021" t="s">
        <v>73</v>
      </c>
      <c r="N2021" t="s">
        <v>74</v>
      </c>
      <c r="O2021" t="s">
        <v>75</v>
      </c>
      <c r="P2021" t="s">
        <v>74</v>
      </c>
      <c r="Q2021" t="s">
        <v>76</v>
      </c>
      <c r="R2021" t="s">
        <v>73</v>
      </c>
      <c r="S2021">
        <v>0</v>
      </c>
      <c r="W2021" s="20">
        <v>2.4537037037037036E-3</v>
      </c>
      <c r="X2021" t="s">
        <v>4590</v>
      </c>
      <c r="Y2021">
        <v>8</v>
      </c>
      <c r="Z2021">
        <v>0</v>
      </c>
      <c r="AA2021" t="s">
        <v>78</v>
      </c>
      <c r="AB2021">
        <v>0</v>
      </c>
      <c r="AC2021" t="s">
        <v>78</v>
      </c>
      <c r="AD2021">
        <v>0</v>
      </c>
      <c r="AE2021">
        <v>10522343</v>
      </c>
      <c r="AF2021" t="s">
        <v>79</v>
      </c>
      <c r="AG2021" t="s">
        <v>333</v>
      </c>
    </row>
    <row r="2022" spans="1:33" x14ac:dyDescent="0.35">
      <c r="A2022" s="18">
        <v>44299.20416666667</v>
      </c>
      <c r="B2022">
        <v>5510236</v>
      </c>
      <c r="C2022" t="s">
        <v>4591</v>
      </c>
      <c r="D2022" t="s">
        <v>369</v>
      </c>
      <c r="E2022" s="19">
        <v>43399</v>
      </c>
      <c r="F2022" t="str">
        <f>"9783319940670"</f>
        <v>9783319940670</v>
      </c>
      <c r="G2022" t="str">
        <f>"9783319940656"</f>
        <v>9783319940656</v>
      </c>
      <c r="H2022" t="s">
        <v>4592</v>
      </c>
      <c r="I2022">
        <v>551.46002799999997</v>
      </c>
      <c r="J2022" t="s">
        <v>3164</v>
      </c>
      <c r="K2022" t="s">
        <v>85</v>
      </c>
      <c r="Q2022" t="s">
        <v>76</v>
      </c>
      <c r="R2022" t="s">
        <v>73</v>
      </c>
      <c r="S2022">
        <v>0</v>
      </c>
      <c r="W2022" s="20">
        <v>3.0208333333333333E-3</v>
      </c>
      <c r="X2022" t="s">
        <v>4593</v>
      </c>
      <c r="Y2022">
        <v>6</v>
      </c>
      <c r="Z2022">
        <v>0</v>
      </c>
      <c r="AA2022" t="s">
        <v>78</v>
      </c>
      <c r="AB2022">
        <v>0</v>
      </c>
      <c r="AC2022" t="s">
        <v>78</v>
      </c>
      <c r="AD2022">
        <v>0</v>
      </c>
      <c r="AE2022">
        <v>11608012</v>
      </c>
      <c r="AF2022" t="s">
        <v>79</v>
      </c>
      <c r="AG2022" t="s">
        <v>333</v>
      </c>
    </row>
    <row r="2023" spans="1:33" x14ac:dyDescent="0.35">
      <c r="A2023" s="18">
        <v>44299.203472222223</v>
      </c>
      <c r="B2023">
        <v>1895947</v>
      </c>
      <c r="C2023" t="s">
        <v>4594</v>
      </c>
      <c r="D2023" t="s">
        <v>1711</v>
      </c>
      <c r="E2023" s="19">
        <v>42114</v>
      </c>
      <c r="F2023" t="str">
        <f>"9781119027881"</f>
        <v>9781119027881</v>
      </c>
      <c r="G2023" t="str">
        <f>"9781119027898"</f>
        <v>9781119027898</v>
      </c>
      <c r="H2023" t="s">
        <v>1561</v>
      </c>
      <c r="I2023">
        <v>551.34202800000003</v>
      </c>
      <c r="J2023" t="s">
        <v>4595</v>
      </c>
      <c r="K2023" t="s">
        <v>73</v>
      </c>
      <c r="N2023" t="s">
        <v>74</v>
      </c>
      <c r="O2023" t="s">
        <v>75</v>
      </c>
      <c r="P2023" t="s">
        <v>74</v>
      </c>
      <c r="Q2023" t="s">
        <v>76</v>
      </c>
      <c r="R2023" t="s">
        <v>73</v>
      </c>
      <c r="S2023">
        <v>0</v>
      </c>
      <c r="W2023" s="20">
        <v>3.5648148148148154E-3</v>
      </c>
      <c r="X2023" t="s">
        <v>181</v>
      </c>
      <c r="Y2023">
        <v>3</v>
      </c>
      <c r="Z2023">
        <v>0</v>
      </c>
      <c r="AA2023" t="s">
        <v>78</v>
      </c>
      <c r="AB2023">
        <v>0</v>
      </c>
      <c r="AC2023" t="s">
        <v>78</v>
      </c>
      <c r="AD2023">
        <v>0</v>
      </c>
      <c r="AE2023">
        <v>11033634</v>
      </c>
      <c r="AF2023" t="s">
        <v>79</v>
      </c>
      <c r="AG2023" t="s">
        <v>333</v>
      </c>
    </row>
    <row r="2024" spans="1:33" x14ac:dyDescent="0.35">
      <c r="A2024" s="18">
        <v>44298.999305555553</v>
      </c>
      <c r="B2024">
        <v>309960</v>
      </c>
      <c r="C2024" t="s">
        <v>4468</v>
      </c>
      <c r="D2024" t="s">
        <v>4469</v>
      </c>
      <c r="E2024" s="19">
        <v>37853</v>
      </c>
      <c r="F2024" t="str">
        <f>"9789062997435"</f>
        <v>9789062997435</v>
      </c>
      <c r="G2024" t="str">
        <f>"9789062991952"</f>
        <v>9789062991952</v>
      </c>
      <c r="H2024" t="s">
        <v>222</v>
      </c>
      <c r="I2024" t="s">
        <v>4470</v>
      </c>
      <c r="J2024" t="s">
        <v>4471</v>
      </c>
      <c r="K2024" t="s">
        <v>73</v>
      </c>
      <c r="N2024" t="s">
        <v>74</v>
      </c>
      <c r="O2024" t="s">
        <v>75</v>
      </c>
      <c r="P2024" t="s">
        <v>230</v>
      </c>
      <c r="Q2024" t="s">
        <v>76</v>
      </c>
      <c r="R2024" t="s">
        <v>85</v>
      </c>
      <c r="S2024">
        <v>0</v>
      </c>
      <c r="W2024" s="20">
        <v>3.471064814814815E-2</v>
      </c>
      <c r="X2024" t="s">
        <v>4596</v>
      </c>
      <c r="Y2024">
        <v>16</v>
      </c>
      <c r="Z2024">
        <v>0</v>
      </c>
      <c r="AA2024" t="s">
        <v>78</v>
      </c>
      <c r="AB2024">
        <v>0</v>
      </c>
      <c r="AC2024" t="s">
        <v>4597</v>
      </c>
      <c r="AD2024">
        <v>6</v>
      </c>
      <c r="AE2024">
        <v>10505617</v>
      </c>
      <c r="AF2024" t="s">
        <v>79</v>
      </c>
      <c r="AG2024" t="s">
        <v>4421</v>
      </c>
    </row>
    <row r="2025" spans="1:33" x14ac:dyDescent="0.35">
      <c r="A2025" s="18">
        <v>44298.825694444444</v>
      </c>
      <c r="B2025">
        <v>555017</v>
      </c>
      <c r="C2025" t="s">
        <v>4598</v>
      </c>
      <c r="D2025" t="s">
        <v>70</v>
      </c>
      <c r="E2025" s="19">
        <v>40357</v>
      </c>
      <c r="F2025" t="str">
        <f>"9780470626603"</f>
        <v>9780470626603</v>
      </c>
      <c r="G2025" t="str">
        <f>"9780470381748"</f>
        <v>9780470381748</v>
      </c>
      <c r="H2025" t="s">
        <v>4599</v>
      </c>
      <c r="I2025" t="s">
        <v>4600</v>
      </c>
      <c r="J2025" t="s">
        <v>4601</v>
      </c>
      <c r="K2025" t="s">
        <v>73</v>
      </c>
      <c r="N2025" t="s">
        <v>74</v>
      </c>
      <c r="O2025" t="s">
        <v>75</v>
      </c>
      <c r="P2025" t="s">
        <v>74</v>
      </c>
      <c r="Q2025" t="s">
        <v>76</v>
      </c>
      <c r="R2025" t="s">
        <v>73</v>
      </c>
      <c r="S2025">
        <v>0</v>
      </c>
      <c r="W2025" s="20">
        <v>1.9502314814814816E-2</v>
      </c>
      <c r="X2025" t="s">
        <v>4602</v>
      </c>
      <c r="Y2025">
        <v>12</v>
      </c>
      <c r="Z2025">
        <v>0</v>
      </c>
      <c r="AA2025" t="s">
        <v>78</v>
      </c>
      <c r="AB2025">
        <v>0</v>
      </c>
      <c r="AC2025" t="s">
        <v>78</v>
      </c>
      <c r="AD2025">
        <v>0</v>
      </c>
      <c r="AE2025">
        <v>10411543</v>
      </c>
      <c r="AF2025" t="s">
        <v>79</v>
      </c>
      <c r="AG2025" t="s">
        <v>4421</v>
      </c>
    </row>
    <row r="2026" spans="1:33" x14ac:dyDescent="0.35">
      <c r="A2026" s="18">
        <v>44298.781944444447</v>
      </c>
      <c r="B2026">
        <v>6356807</v>
      </c>
      <c r="C2026" t="s">
        <v>4278</v>
      </c>
      <c r="D2026" t="s">
        <v>158</v>
      </c>
      <c r="E2026" s="19">
        <v>44096</v>
      </c>
      <c r="F2026" t="str">
        <f>"9780128178850"</f>
        <v>9780128178850</v>
      </c>
      <c r="G2026" t="str">
        <f>"9780128178843"</f>
        <v>9780128178843</v>
      </c>
      <c r="H2026" t="s">
        <v>83</v>
      </c>
      <c r="I2026">
        <v>629.46</v>
      </c>
      <c r="J2026" t="s">
        <v>4279</v>
      </c>
      <c r="K2026" t="s">
        <v>85</v>
      </c>
      <c r="N2026" t="s">
        <v>86</v>
      </c>
      <c r="P2026" t="s">
        <v>87</v>
      </c>
      <c r="Q2026" t="s">
        <v>76</v>
      </c>
      <c r="R2026" t="s">
        <v>73</v>
      </c>
      <c r="S2026">
        <v>0</v>
      </c>
      <c r="W2026" s="20">
        <v>6.3657407407407402E-4</v>
      </c>
      <c r="X2026" t="s">
        <v>4603</v>
      </c>
      <c r="Y2026">
        <v>5</v>
      </c>
      <c r="Z2026">
        <v>12</v>
      </c>
      <c r="AA2026" t="s">
        <v>4604</v>
      </c>
      <c r="AB2026">
        <v>98</v>
      </c>
      <c r="AC2026" t="s">
        <v>78</v>
      </c>
      <c r="AD2026">
        <v>0</v>
      </c>
      <c r="AE2026">
        <v>-1</v>
      </c>
      <c r="AF2026" t="s">
        <v>79</v>
      </c>
      <c r="AG2026" t="s">
        <v>4583</v>
      </c>
    </row>
    <row r="2027" spans="1:33" x14ac:dyDescent="0.35">
      <c r="A2027" s="18">
        <v>44298.756249999999</v>
      </c>
      <c r="B2027">
        <v>5240825</v>
      </c>
      <c r="C2027" t="s">
        <v>4605</v>
      </c>
      <c r="D2027" t="s">
        <v>1258</v>
      </c>
      <c r="E2027" s="19">
        <v>43070</v>
      </c>
      <c r="F2027" t="str">
        <f>"9781945612893"</f>
        <v>9781945612893</v>
      </c>
      <c r="G2027" t="str">
        <f>"9781945612886"</f>
        <v>9781945612886</v>
      </c>
      <c r="H2027" t="s">
        <v>386</v>
      </c>
      <c r="I2027">
        <v>363.72876097300002</v>
      </c>
      <c r="J2027" t="s">
        <v>4606</v>
      </c>
      <c r="K2027" t="s">
        <v>73</v>
      </c>
      <c r="N2027" t="s">
        <v>74</v>
      </c>
      <c r="O2027" t="s">
        <v>75</v>
      </c>
      <c r="P2027" t="s">
        <v>74</v>
      </c>
      <c r="Q2027" t="s">
        <v>76</v>
      </c>
      <c r="R2027" t="s">
        <v>73</v>
      </c>
      <c r="S2027">
        <v>0</v>
      </c>
      <c r="W2027" s="20">
        <v>0</v>
      </c>
      <c r="X2027" t="s">
        <v>78</v>
      </c>
      <c r="Y2027">
        <v>0</v>
      </c>
      <c r="Z2027">
        <v>2</v>
      </c>
      <c r="AA2027" t="s">
        <v>4607</v>
      </c>
      <c r="AB2027">
        <v>32</v>
      </c>
      <c r="AC2027" t="s">
        <v>78</v>
      </c>
      <c r="AD2027">
        <v>0</v>
      </c>
      <c r="AE2027">
        <v>11502744</v>
      </c>
      <c r="AF2027" t="s">
        <v>79</v>
      </c>
      <c r="AG2027" t="s">
        <v>4421</v>
      </c>
    </row>
    <row r="2028" spans="1:33" x14ac:dyDescent="0.35">
      <c r="A2028" s="18">
        <v>44298.654861111114</v>
      </c>
      <c r="B2028">
        <v>4452156</v>
      </c>
      <c r="C2028" t="s">
        <v>4608</v>
      </c>
      <c r="D2028" t="s">
        <v>506</v>
      </c>
      <c r="E2028" s="19">
        <v>42124</v>
      </c>
      <c r="F2028" t="str">
        <f>"9789004279094"</f>
        <v>9789004279094</v>
      </c>
      <c r="G2028" t="str">
        <f>"9789004277502"</f>
        <v>9789004277502</v>
      </c>
      <c r="H2028" t="s">
        <v>822</v>
      </c>
      <c r="I2028">
        <v>780.91700000000003</v>
      </c>
      <c r="J2028" t="s">
        <v>4609</v>
      </c>
      <c r="K2028" t="s">
        <v>73</v>
      </c>
      <c r="N2028" t="s">
        <v>74</v>
      </c>
      <c r="O2028" t="s">
        <v>75</v>
      </c>
      <c r="P2028" t="s">
        <v>74</v>
      </c>
      <c r="Q2028" t="s">
        <v>76</v>
      </c>
      <c r="R2028" t="s">
        <v>73</v>
      </c>
      <c r="S2028">
        <v>0</v>
      </c>
      <c r="W2028" s="20">
        <v>9.0277777777777784E-4</v>
      </c>
      <c r="X2028" t="s">
        <v>4610</v>
      </c>
      <c r="Y2028">
        <v>12</v>
      </c>
      <c r="Z2028">
        <v>0</v>
      </c>
      <c r="AA2028" t="s">
        <v>78</v>
      </c>
      <c r="AB2028">
        <v>0</v>
      </c>
      <c r="AC2028" t="s">
        <v>78</v>
      </c>
      <c r="AD2028">
        <v>0</v>
      </c>
      <c r="AE2028">
        <v>11174950</v>
      </c>
      <c r="AF2028" t="s">
        <v>79</v>
      </c>
      <c r="AG2028" t="s">
        <v>333</v>
      </c>
    </row>
    <row r="2029" spans="1:33" x14ac:dyDescent="0.35">
      <c r="A2029" s="18">
        <v>44298.618055555555</v>
      </c>
      <c r="B2029">
        <v>1929997</v>
      </c>
      <c r="C2029" t="s">
        <v>4611</v>
      </c>
      <c r="D2029" t="s">
        <v>158</v>
      </c>
      <c r="E2029" s="19">
        <v>42053</v>
      </c>
      <c r="F2029" t="str">
        <f>"9780128017036"</f>
        <v>9780128017036</v>
      </c>
      <c r="G2029" t="str">
        <f>"9780128014776"</f>
        <v>9780128014776</v>
      </c>
      <c r="H2029" t="s">
        <v>128</v>
      </c>
      <c r="I2029" t="s">
        <v>4612</v>
      </c>
      <c r="J2029" t="s">
        <v>4613</v>
      </c>
      <c r="K2029" t="s">
        <v>73</v>
      </c>
      <c r="N2029" t="s">
        <v>74</v>
      </c>
      <c r="O2029" t="s">
        <v>75</v>
      </c>
      <c r="P2029" t="s">
        <v>74</v>
      </c>
      <c r="Q2029" t="s">
        <v>76</v>
      </c>
      <c r="R2029" t="s">
        <v>73</v>
      </c>
      <c r="S2029">
        <v>0</v>
      </c>
      <c r="W2029" s="20">
        <v>1.9085648148148147E-2</v>
      </c>
      <c r="X2029" t="s">
        <v>4614</v>
      </c>
      <c r="Y2029">
        <v>13</v>
      </c>
      <c r="Z2029">
        <v>0</v>
      </c>
      <c r="AA2029" t="s">
        <v>78</v>
      </c>
      <c r="AB2029">
        <v>0</v>
      </c>
      <c r="AC2029" t="s">
        <v>78</v>
      </c>
      <c r="AD2029">
        <v>0</v>
      </c>
      <c r="AE2029">
        <v>11011289</v>
      </c>
      <c r="AF2029" t="s">
        <v>79</v>
      </c>
      <c r="AG2029" t="s">
        <v>333</v>
      </c>
    </row>
    <row r="2030" spans="1:33" x14ac:dyDescent="0.35">
      <c r="A2030" s="18">
        <v>44298.57708333333</v>
      </c>
      <c r="B2030">
        <v>4045058</v>
      </c>
      <c r="C2030" t="s">
        <v>1703</v>
      </c>
      <c r="D2030" t="s">
        <v>158</v>
      </c>
      <c r="E2030" s="19">
        <v>42317</v>
      </c>
      <c r="F2030" t="str">
        <f>"9780444636126"</f>
        <v>9780444636126</v>
      </c>
      <c r="G2030" t="str">
        <f>"9780444636072"</f>
        <v>9780444636072</v>
      </c>
      <c r="H2030" t="s">
        <v>767</v>
      </c>
      <c r="I2030">
        <v>628.21</v>
      </c>
      <c r="J2030" t="s">
        <v>1704</v>
      </c>
      <c r="K2030" t="s">
        <v>73</v>
      </c>
      <c r="N2030" t="s">
        <v>74</v>
      </c>
      <c r="O2030" t="s">
        <v>75</v>
      </c>
      <c r="P2030" t="s">
        <v>74</v>
      </c>
      <c r="Q2030" t="s">
        <v>76</v>
      </c>
      <c r="R2030" t="s">
        <v>73</v>
      </c>
      <c r="S2030">
        <v>0</v>
      </c>
      <c r="W2030" s="20">
        <v>4.6296296296296294E-5</v>
      </c>
      <c r="X2030" t="s">
        <v>132</v>
      </c>
      <c r="Y2030">
        <v>1</v>
      </c>
      <c r="Z2030">
        <v>0</v>
      </c>
      <c r="AA2030" t="s">
        <v>78</v>
      </c>
      <c r="AB2030">
        <v>0</v>
      </c>
      <c r="AC2030" t="s">
        <v>78</v>
      </c>
      <c r="AD2030">
        <v>0</v>
      </c>
      <c r="AE2030">
        <v>11117257</v>
      </c>
      <c r="AF2030" t="s">
        <v>79</v>
      </c>
      <c r="AG2030" t="s">
        <v>4615</v>
      </c>
    </row>
    <row r="2031" spans="1:33" x14ac:dyDescent="0.35">
      <c r="A2031" s="18">
        <v>44298.571527777778</v>
      </c>
      <c r="B2031">
        <v>309960</v>
      </c>
      <c r="C2031" t="s">
        <v>4468</v>
      </c>
      <c r="D2031" t="s">
        <v>4469</v>
      </c>
      <c r="E2031" s="19">
        <v>37853</v>
      </c>
      <c r="F2031" t="str">
        <f>"9789062997435"</f>
        <v>9789062997435</v>
      </c>
      <c r="G2031" t="str">
        <f>"9789062991952"</f>
        <v>9789062991952</v>
      </c>
      <c r="H2031" t="s">
        <v>222</v>
      </c>
      <c r="I2031" t="s">
        <v>4470</v>
      </c>
      <c r="J2031" t="s">
        <v>4471</v>
      </c>
      <c r="K2031" t="s">
        <v>73</v>
      </c>
      <c r="N2031" t="s">
        <v>74</v>
      </c>
      <c r="O2031" t="s">
        <v>75</v>
      </c>
      <c r="P2031" t="s">
        <v>230</v>
      </c>
      <c r="Q2031" t="s">
        <v>76</v>
      </c>
      <c r="R2031" t="s">
        <v>85</v>
      </c>
      <c r="S2031">
        <v>0</v>
      </c>
      <c r="W2031" s="20">
        <v>7.9861111111111105E-4</v>
      </c>
      <c r="X2031" t="s">
        <v>4616</v>
      </c>
      <c r="Y2031">
        <v>3</v>
      </c>
      <c r="Z2031">
        <v>0</v>
      </c>
      <c r="AA2031" t="s">
        <v>78</v>
      </c>
      <c r="AB2031">
        <v>0</v>
      </c>
      <c r="AC2031" t="s">
        <v>78</v>
      </c>
      <c r="AD2031">
        <v>0</v>
      </c>
      <c r="AE2031">
        <v>10505617</v>
      </c>
      <c r="AF2031" t="s">
        <v>79</v>
      </c>
      <c r="AG2031" t="s">
        <v>4421</v>
      </c>
    </row>
    <row r="2032" spans="1:33" x14ac:dyDescent="0.35">
      <c r="A2032" s="18">
        <v>44298.545138888891</v>
      </c>
      <c r="B2032">
        <v>1114960</v>
      </c>
      <c r="C2032" t="s">
        <v>4617</v>
      </c>
      <c r="D2032" t="s">
        <v>102</v>
      </c>
      <c r="E2032" s="19">
        <v>40857</v>
      </c>
      <c r="F2032" t="str">
        <f>"9780191501784"</f>
        <v>9780191501784</v>
      </c>
      <c r="G2032" t="str">
        <f>"9780199591091"</f>
        <v>9780199591091</v>
      </c>
      <c r="H2032" t="s">
        <v>4618</v>
      </c>
      <c r="I2032">
        <v>551.46</v>
      </c>
      <c r="J2032" t="s">
        <v>4619</v>
      </c>
      <c r="K2032" t="s">
        <v>73</v>
      </c>
      <c r="N2032" t="s">
        <v>74</v>
      </c>
      <c r="O2032" t="s">
        <v>75</v>
      </c>
      <c r="P2032" t="s">
        <v>74</v>
      </c>
      <c r="Q2032" t="s">
        <v>76</v>
      </c>
      <c r="R2032" t="s">
        <v>73</v>
      </c>
      <c r="S2032">
        <v>0</v>
      </c>
      <c r="W2032" s="20">
        <v>1.8750000000000001E-3</v>
      </c>
      <c r="X2032" t="s">
        <v>4620</v>
      </c>
      <c r="Y2032">
        <v>6</v>
      </c>
      <c r="Z2032">
        <v>0</v>
      </c>
      <c r="AA2032" t="s">
        <v>78</v>
      </c>
      <c r="AB2032">
        <v>0</v>
      </c>
      <c r="AC2032" t="s">
        <v>78</v>
      </c>
      <c r="AD2032">
        <v>0</v>
      </c>
      <c r="AE2032">
        <v>10644898</v>
      </c>
      <c r="AF2032" t="s">
        <v>79</v>
      </c>
      <c r="AG2032" t="s">
        <v>4421</v>
      </c>
    </row>
    <row r="2033" spans="1:33" x14ac:dyDescent="0.35">
      <c r="A2033" s="18">
        <v>44298.536111111112</v>
      </c>
      <c r="B2033">
        <v>309960</v>
      </c>
      <c r="C2033" t="s">
        <v>4468</v>
      </c>
      <c r="D2033" t="s">
        <v>4469</v>
      </c>
      <c r="E2033" s="19">
        <v>37853</v>
      </c>
      <c r="F2033" t="str">
        <f>"9789062997435"</f>
        <v>9789062997435</v>
      </c>
      <c r="G2033" t="str">
        <f>"9789062991952"</f>
        <v>9789062991952</v>
      </c>
      <c r="H2033" t="s">
        <v>222</v>
      </c>
      <c r="I2033" t="s">
        <v>4470</v>
      </c>
      <c r="J2033" t="s">
        <v>4471</v>
      </c>
      <c r="K2033" t="s">
        <v>73</v>
      </c>
      <c r="N2033" t="s">
        <v>74</v>
      </c>
      <c r="O2033" t="s">
        <v>75</v>
      </c>
      <c r="P2033" t="s">
        <v>230</v>
      </c>
      <c r="Q2033" t="s">
        <v>76</v>
      </c>
      <c r="R2033" t="s">
        <v>85</v>
      </c>
      <c r="S2033">
        <v>0</v>
      </c>
      <c r="W2033" s="20">
        <v>5.7870370370370366E-5</v>
      </c>
      <c r="X2033" t="s">
        <v>132</v>
      </c>
      <c r="Y2033">
        <v>1</v>
      </c>
      <c r="Z2033">
        <v>0</v>
      </c>
      <c r="AA2033" t="s">
        <v>78</v>
      </c>
      <c r="AB2033">
        <v>0</v>
      </c>
      <c r="AC2033" t="s">
        <v>78</v>
      </c>
      <c r="AD2033">
        <v>0</v>
      </c>
      <c r="AE2033">
        <v>10505617</v>
      </c>
      <c r="AF2033" t="s">
        <v>79</v>
      </c>
      <c r="AG2033" t="s">
        <v>4421</v>
      </c>
    </row>
    <row r="2034" spans="1:33" x14ac:dyDescent="0.35">
      <c r="A2034" s="18">
        <v>44298.502083333333</v>
      </c>
      <c r="B2034">
        <v>6356807</v>
      </c>
      <c r="C2034" t="s">
        <v>4278</v>
      </c>
      <c r="D2034" t="s">
        <v>158</v>
      </c>
      <c r="E2034" s="19">
        <v>44096</v>
      </c>
      <c r="F2034" t="str">
        <f>"9780128178850"</f>
        <v>9780128178850</v>
      </c>
      <c r="G2034" t="str">
        <f>"9780128178843"</f>
        <v>9780128178843</v>
      </c>
      <c r="H2034" t="s">
        <v>83</v>
      </c>
      <c r="I2034">
        <v>629.46</v>
      </c>
      <c r="J2034" t="s">
        <v>4279</v>
      </c>
      <c r="K2034" t="s">
        <v>85</v>
      </c>
      <c r="N2034" t="s">
        <v>86</v>
      </c>
      <c r="P2034" t="s">
        <v>87</v>
      </c>
      <c r="Q2034" t="s">
        <v>76</v>
      </c>
      <c r="R2034" t="s">
        <v>73</v>
      </c>
      <c r="S2034">
        <v>4</v>
      </c>
      <c r="T2034">
        <v>1</v>
      </c>
      <c r="U2034" s="18">
        <v>44298.502083333333</v>
      </c>
      <c r="V2034" s="18">
        <v>44299.502083333333</v>
      </c>
      <c r="W2034" s="20">
        <v>1.4467592592592594E-3</v>
      </c>
      <c r="X2034" t="s">
        <v>4621</v>
      </c>
      <c r="Y2034">
        <v>9</v>
      </c>
      <c r="Z2034">
        <v>2</v>
      </c>
      <c r="AA2034" t="s">
        <v>4622</v>
      </c>
      <c r="AB2034">
        <v>4</v>
      </c>
      <c r="AC2034" t="s">
        <v>78</v>
      </c>
      <c r="AD2034">
        <v>0</v>
      </c>
      <c r="AE2034">
        <v>-1</v>
      </c>
      <c r="AF2034" t="s">
        <v>88</v>
      </c>
      <c r="AG2034" t="s">
        <v>4421</v>
      </c>
    </row>
    <row r="2035" spans="1:33" x14ac:dyDescent="0.35">
      <c r="A2035" s="18">
        <v>44298.474305555559</v>
      </c>
      <c r="B2035">
        <v>6356807</v>
      </c>
      <c r="C2035" t="s">
        <v>4278</v>
      </c>
      <c r="D2035" t="s">
        <v>158</v>
      </c>
      <c r="E2035" s="19">
        <v>44096</v>
      </c>
      <c r="F2035" t="str">
        <f>"9780128178850"</f>
        <v>9780128178850</v>
      </c>
      <c r="G2035" t="str">
        <f>"9780128178843"</f>
        <v>9780128178843</v>
      </c>
      <c r="H2035" t="s">
        <v>83</v>
      </c>
      <c r="I2035">
        <v>629.46</v>
      </c>
      <c r="J2035" t="s">
        <v>4279</v>
      </c>
      <c r="K2035" t="s">
        <v>85</v>
      </c>
      <c r="N2035" t="s">
        <v>86</v>
      </c>
      <c r="P2035" t="s">
        <v>87</v>
      </c>
      <c r="Q2035" t="s">
        <v>76</v>
      </c>
      <c r="R2035" t="s">
        <v>73</v>
      </c>
      <c r="S2035">
        <v>0</v>
      </c>
      <c r="W2035" s="20">
        <v>7.6388888888888893E-4</v>
      </c>
      <c r="X2035" t="s">
        <v>4623</v>
      </c>
      <c r="Y2035">
        <v>18</v>
      </c>
      <c r="Z2035">
        <v>0</v>
      </c>
      <c r="AA2035" t="s">
        <v>78</v>
      </c>
      <c r="AB2035">
        <v>0</v>
      </c>
      <c r="AC2035" t="s">
        <v>78</v>
      </c>
      <c r="AD2035">
        <v>0</v>
      </c>
      <c r="AE2035">
        <v>-1</v>
      </c>
      <c r="AF2035" t="s">
        <v>79</v>
      </c>
      <c r="AG2035" t="s">
        <v>4421</v>
      </c>
    </row>
    <row r="2036" spans="1:33" x14ac:dyDescent="0.35">
      <c r="A2036" s="18">
        <v>44298.005555555559</v>
      </c>
      <c r="B2036">
        <v>309960</v>
      </c>
      <c r="C2036" t="s">
        <v>4468</v>
      </c>
      <c r="D2036" t="s">
        <v>4469</v>
      </c>
      <c r="E2036" s="19">
        <v>37853</v>
      </c>
      <c r="F2036" t="str">
        <f>"9789062997435"</f>
        <v>9789062997435</v>
      </c>
      <c r="G2036" t="str">
        <f>"9789062991952"</f>
        <v>9789062991952</v>
      </c>
      <c r="H2036" t="s">
        <v>222</v>
      </c>
      <c r="I2036" t="s">
        <v>4470</v>
      </c>
      <c r="J2036" t="s">
        <v>4471</v>
      </c>
      <c r="K2036" t="s">
        <v>73</v>
      </c>
      <c r="N2036" t="s">
        <v>74</v>
      </c>
      <c r="O2036" t="s">
        <v>75</v>
      </c>
      <c r="P2036" t="s">
        <v>230</v>
      </c>
      <c r="Q2036" t="s">
        <v>76</v>
      </c>
      <c r="R2036" t="s">
        <v>85</v>
      </c>
      <c r="S2036">
        <v>0</v>
      </c>
      <c r="W2036" s="20">
        <v>1.6967592592592593E-2</v>
      </c>
      <c r="X2036" t="s">
        <v>4616</v>
      </c>
      <c r="Y2036">
        <v>3</v>
      </c>
      <c r="Z2036">
        <v>0</v>
      </c>
      <c r="AA2036" t="s">
        <v>78</v>
      </c>
      <c r="AB2036">
        <v>0</v>
      </c>
      <c r="AC2036" t="s">
        <v>78</v>
      </c>
      <c r="AD2036">
        <v>0</v>
      </c>
      <c r="AE2036">
        <v>10505617</v>
      </c>
      <c r="AF2036" t="s">
        <v>79</v>
      </c>
      <c r="AG2036" t="s">
        <v>4472</v>
      </c>
    </row>
    <row r="2037" spans="1:33" x14ac:dyDescent="0.35">
      <c r="A2037" s="18">
        <v>44297.80972222222</v>
      </c>
      <c r="B2037">
        <v>4045058</v>
      </c>
      <c r="C2037" t="s">
        <v>1703</v>
      </c>
      <c r="D2037" t="s">
        <v>158</v>
      </c>
      <c r="E2037" s="19">
        <v>42317</v>
      </c>
      <c r="F2037" t="str">
        <f>"9780444636126"</f>
        <v>9780444636126</v>
      </c>
      <c r="G2037" t="str">
        <f>"9780444636072"</f>
        <v>9780444636072</v>
      </c>
      <c r="H2037" t="s">
        <v>767</v>
      </c>
      <c r="I2037">
        <v>628.21</v>
      </c>
      <c r="J2037" t="s">
        <v>1704</v>
      </c>
      <c r="K2037" t="s">
        <v>73</v>
      </c>
      <c r="N2037" t="s">
        <v>74</v>
      </c>
      <c r="O2037" t="s">
        <v>75</v>
      </c>
      <c r="P2037" t="s">
        <v>74</v>
      </c>
      <c r="Q2037" t="s">
        <v>76</v>
      </c>
      <c r="R2037" t="s">
        <v>73</v>
      </c>
      <c r="S2037">
        <v>0</v>
      </c>
      <c r="W2037" s="20">
        <v>2.4305555555555552E-4</v>
      </c>
      <c r="X2037" t="s">
        <v>4624</v>
      </c>
      <c r="Y2037">
        <v>3</v>
      </c>
      <c r="Z2037">
        <v>0</v>
      </c>
      <c r="AA2037" t="s">
        <v>78</v>
      </c>
      <c r="AB2037">
        <v>0</v>
      </c>
      <c r="AC2037" t="s">
        <v>78</v>
      </c>
      <c r="AD2037">
        <v>0</v>
      </c>
      <c r="AE2037">
        <v>11117257</v>
      </c>
      <c r="AF2037" t="s">
        <v>79</v>
      </c>
      <c r="AG2037" t="s">
        <v>4625</v>
      </c>
    </row>
    <row r="2038" spans="1:33" x14ac:dyDescent="0.35">
      <c r="A2038" s="18">
        <v>44297.802777777775</v>
      </c>
      <c r="B2038">
        <v>309960</v>
      </c>
      <c r="C2038" t="s">
        <v>4468</v>
      </c>
      <c r="D2038" t="s">
        <v>4469</v>
      </c>
      <c r="E2038" s="19">
        <v>37853</v>
      </c>
      <c r="F2038" t="str">
        <f>"9789062997435"</f>
        <v>9789062997435</v>
      </c>
      <c r="G2038" t="str">
        <f>"9789062991952"</f>
        <v>9789062991952</v>
      </c>
      <c r="H2038" t="s">
        <v>222</v>
      </c>
      <c r="I2038" t="s">
        <v>4470</v>
      </c>
      <c r="J2038" t="s">
        <v>4471</v>
      </c>
      <c r="K2038" t="s">
        <v>73</v>
      </c>
      <c r="N2038" t="s">
        <v>74</v>
      </c>
      <c r="O2038" t="s">
        <v>75</v>
      </c>
      <c r="P2038" t="s">
        <v>230</v>
      </c>
      <c r="Q2038" t="s">
        <v>76</v>
      </c>
      <c r="R2038" t="s">
        <v>85</v>
      </c>
      <c r="S2038">
        <v>0</v>
      </c>
      <c r="W2038" s="20">
        <v>6.2268518518518515E-3</v>
      </c>
      <c r="X2038" t="s">
        <v>4616</v>
      </c>
      <c r="Y2038">
        <v>3</v>
      </c>
      <c r="Z2038">
        <v>0</v>
      </c>
      <c r="AA2038" t="s">
        <v>78</v>
      </c>
      <c r="AB2038">
        <v>0</v>
      </c>
      <c r="AC2038" t="s">
        <v>78</v>
      </c>
      <c r="AD2038">
        <v>0</v>
      </c>
      <c r="AE2038">
        <v>10505617</v>
      </c>
      <c r="AF2038" t="s">
        <v>79</v>
      </c>
      <c r="AG2038" t="s">
        <v>4421</v>
      </c>
    </row>
    <row r="2039" spans="1:33" x14ac:dyDescent="0.35">
      <c r="A2039" s="18">
        <v>44297.772916666669</v>
      </c>
      <c r="B2039">
        <v>711329</v>
      </c>
      <c r="C2039" t="s">
        <v>4626</v>
      </c>
      <c r="D2039" t="s">
        <v>1311</v>
      </c>
      <c r="E2039" s="19">
        <v>40722</v>
      </c>
      <c r="F2039" t="str">
        <f>"9781409401667"</f>
        <v>9781409401667</v>
      </c>
      <c r="G2039" t="str">
        <f>"9781409401650"</f>
        <v>9781409401650</v>
      </c>
      <c r="H2039" t="s">
        <v>4627</v>
      </c>
      <c r="I2039">
        <v>387.70679999999999</v>
      </c>
      <c r="J2039" t="s">
        <v>4628</v>
      </c>
      <c r="K2039" t="s">
        <v>73</v>
      </c>
      <c r="N2039" t="s">
        <v>74</v>
      </c>
      <c r="O2039" t="s">
        <v>75</v>
      </c>
      <c r="P2039" t="s">
        <v>74</v>
      </c>
      <c r="Q2039" t="s">
        <v>76</v>
      </c>
      <c r="R2039" t="s">
        <v>73</v>
      </c>
      <c r="S2039">
        <v>1</v>
      </c>
      <c r="W2039" s="20">
        <v>1.7118055555555556E-2</v>
      </c>
      <c r="X2039" t="s">
        <v>4629</v>
      </c>
      <c r="Y2039">
        <v>12</v>
      </c>
      <c r="Z2039">
        <v>0</v>
      </c>
      <c r="AA2039" t="s">
        <v>78</v>
      </c>
      <c r="AB2039">
        <v>0</v>
      </c>
      <c r="AC2039" t="s">
        <v>78</v>
      </c>
      <c r="AD2039">
        <v>0</v>
      </c>
      <c r="AE2039">
        <v>10470866</v>
      </c>
      <c r="AF2039" t="s">
        <v>88</v>
      </c>
      <c r="AG2039" t="s">
        <v>1012</v>
      </c>
    </row>
    <row r="2040" spans="1:33" x14ac:dyDescent="0.35">
      <c r="A2040" s="18">
        <v>44297.772916666669</v>
      </c>
      <c r="B2040">
        <v>711329</v>
      </c>
      <c r="C2040" t="s">
        <v>4626</v>
      </c>
      <c r="D2040" t="s">
        <v>1311</v>
      </c>
      <c r="E2040" s="19">
        <v>40722</v>
      </c>
      <c r="F2040" t="str">
        <f>"9781409401667"</f>
        <v>9781409401667</v>
      </c>
      <c r="G2040" t="str">
        <f>"9781409401650"</f>
        <v>9781409401650</v>
      </c>
      <c r="H2040" t="s">
        <v>4627</v>
      </c>
      <c r="I2040">
        <v>387.70679999999999</v>
      </c>
      <c r="J2040" t="s">
        <v>4628</v>
      </c>
      <c r="K2040" t="s">
        <v>73</v>
      </c>
      <c r="N2040" t="s">
        <v>74</v>
      </c>
      <c r="O2040" t="s">
        <v>75</v>
      </c>
      <c r="P2040" t="s">
        <v>74</v>
      </c>
      <c r="Q2040" t="s">
        <v>76</v>
      </c>
      <c r="R2040" t="s">
        <v>73</v>
      </c>
      <c r="S2040">
        <v>0</v>
      </c>
      <c r="W2040" s="20">
        <v>3.4722222222222222E-5</v>
      </c>
      <c r="X2040" t="s">
        <v>132</v>
      </c>
      <c r="Y2040">
        <v>1</v>
      </c>
      <c r="Z2040">
        <v>0</v>
      </c>
      <c r="AA2040" t="s">
        <v>78</v>
      </c>
      <c r="AB2040">
        <v>0</v>
      </c>
      <c r="AC2040" t="s">
        <v>78</v>
      </c>
      <c r="AD2040">
        <v>0</v>
      </c>
      <c r="AE2040">
        <v>10470866</v>
      </c>
      <c r="AF2040" t="s">
        <v>79</v>
      </c>
      <c r="AG2040" t="s">
        <v>1012</v>
      </c>
    </row>
    <row r="2041" spans="1:33" x14ac:dyDescent="0.35">
      <c r="A2041" s="18">
        <v>44297.751388888886</v>
      </c>
      <c r="B2041">
        <v>1114960</v>
      </c>
      <c r="C2041" t="s">
        <v>4617</v>
      </c>
      <c r="D2041" t="s">
        <v>102</v>
      </c>
      <c r="E2041" s="19">
        <v>40857</v>
      </c>
      <c r="F2041" t="str">
        <f>"9780191501784"</f>
        <v>9780191501784</v>
      </c>
      <c r="G2041" t="str">
        <f>"9780199591091"</f>
        <v>9780199591091</v>
      </c>
      <c r="H2041" t="s">
        <v>4618</v>
      </c>
      <c r="I2041">
        <v>551.46</v>
      </c>
      <c r="J2041" t="s">
        <v>4619</v>
      </c>
      <c r="K2041" t="s">
        <v>73</v>
      </c>
      <c r="N2041" t="s">
        <v>74</v>
      </c>
      <c r="O2041" t="s">
        <v>75</v>
      </c>
      <c r="P2041" t="s">
        <v>74</v>
      </c>
      <c r="Q2041" t="s">
        <v>76</v>
      </c>
      <c r="R2041" t="s">
        <v>73</v>
      </c>
      <c r="S2041">
        <v>0</v>
      </c>
      <c r="W2041" s="20">
        <v>1.0416666666666667E-4</v>
      </c>
      <c r="X2041" t="s">
        <v>4630</v>
      </c>
      <c r="Y2041">
        <v>3</v>
      </c>
      <c r="Z2041">
        <v>0</v>
      </c>
      <c r="AA2041" t="s">
        <v>78</v>
      </c>
      <c r="AB2041">
        <v>0</v>
      </c>
      <c r="AC2041" t="s">
        <v>78</v>
      </c>
      <c r="AD2041">
        <v>0</v>
      </c>
      <c r="AE2041">
        <v>10644898</v>
      </c>
      <c r="AF2041" t="s">
        <v>79</v>
      </c>
      <c r="AG2041" t="s">
        <v>4421</v>
      </c>
    </row>
    <row r="2042" spans="1:33" x14ac:dyDescent="0.35">
      <c r="A2042" s="18">
        <v>44297.72152777778</v>
      </c>
      <c r="B2042">
        <v>711329</v>
      </c>
      <c r="C2042" t="s">
        <v>4626</v>
      </c>
      <c r="D2042" t="s">
        <v>1311</v>
      </c>
      <c r="E2042" s="19">
        <v>40722</v>
      </c>
      <c r="F2042" t="str">
        <f>"9781409401667"</f>
        <v>9781409401667</v>
      </c>
      <c r="G2042" t="str">
        <f>"9781409401650"</f>
        <v>9781409401650</v>
      </c>
      <c r="H2042" t="s">
        <v>4627</v>
      </c>
      <c r="I2042">
        <v>387.70679999999999</v>
      </c>
      <c r="J2042" t="s">
        <v>4628</v>
      </c>
      <c r="K2042" t="s">
        <v>73</v>
      </c>
      <c r="N2042" t="s">
        <v>74</v>
      </c>
      <c r="O2042" t="s">
        <v>75</v>
      </c>
      <c r="P2042" t="s">
        <v>74</v>
      </c>
      <c r="Q2042" t="s">
        <v>76</v>
      </c>
      <c r="R2042" t="s">
        <v>73</v>
      </c>
      <c r="S2042">
        <v>2</v>
      </c>
      <c r="W2042" s="20">
        <v>1.2962962962962963E-3</v>
      </c>
      <c r="X2042" t="s">
        <v>4631</v>
      </c>
      <c r="Y2042">
        <v>8</v>
      </c>
      <c r="Z2042">
        <v>0</v>
      </c>
      <c r="AA2042" t="s">
        <v>78</v>
      </c>
      <c r="AB2042">
        <v>0</v>
      </c>
      <c r="AC2042" t="s">
        <v>78</v>
      </c>
      <c r="AD2042">
        <v>0</v>
      </c>
      <c r="AE2042">
        <v>10470866</v>
      </c>
      <c r="AF2042" t="s">
        <v>88</v>
      </c>
      <c r="AG2042" t="s">
        <v>1012</v>
      </c>
    </row>
    <row r="2043" spans="1:33" x14ac:dyDescent="0.35">
      <c r="A2043" s="18">
        <v>44297.720138888886</v>
      </c>
      <c r="B2043">
        <v>711329</v>
      </c>
      <c r="C2043" t="s">
        <v>4626</v>
      </c>
      <c r="D2043" t="s">
        <v>1311</v>
      </c>
      <c r="E2043" s="19">
        <v>40722</v>
      </c>
      <c r="F2043" t="str">
        <f>"9781409401667"</f>
        <v>9781409401667</v>
      </c>
      <c r="G2043" t="str">
        <f>"9781409401650"</f>
        <v>9781409401650</v>
      </c>
      <c r="H2043" t="s">
        <v>4627</v>
      </c>
      <c r="I2043">
        <v>387.70679999999999</v>
      </c>
      <c r="J2043" t="s">
        <v>4628</v>
      </c>
      <c r="K2043" t="s">
        <v>73</v>
      </c>
      <c r="N2043" t="s">
        <v>74</v>
      </c>
      <c r="O2043" t="s">
        <v>75</v>
      </c>
      <c r="P2043" t="s">
        <v>74</v>
      </c>
      <c r="Q2043" t="s">
        <v>76</v>
      </c>
      <c r="R2043" t="s">
        <v>73</v>
      </c>
      <c r="S2043">
        <v>0</v>
      </c>
      <c r="W2043" s="20">
        <v>1.1805555555555556E-3</v>
      </c>
      <c r="X2043" t="s">
        <v>4632</v>
      </c>
      <c r="Y2043">
        <v>3</v>
      </c>
      <c r="Z2043">
        <v>0</v>
      </c>
      <c r="AA2043" t="s">
        <v>78</v>
      </c>
      <c r="AB2043">
        <v>0</v>
      </c>
      <c r="AC2043" t="s">
        <v>78</v>
      </c>
      <c r="AD2043">
        <v>0</v>
      </c>
      <c r="AE2043">
        <v>10470866</v>
      </c>
      <c r="AF2043" t="s">
        <v>88</v>
      </c>
      <c r="AG2043" t="s">
        <v>1012</v>
      </c>
    </row>
    <row r="2044" spans="1:33" x14ac:dyDescent="0.35">
      <c r="A2044" s="18">
        <v>44297.711805555555</v>
      </c>
      <c r="B2044">
        <v>1114960</v>
      </c>
      <c r="C2044" t="s">
        <v>4617</v>
      </c>
      <c r="D2044" t="s">
        <v>102</v>
      </c>
      <c r="E2044" s="19">
        <v>40857</v>
      </c>
      <c r="F2044" t="str">
        <f>"9780191501784"</f>
        <v>9780191501784</v>
      </c>
      <c r="G2044" t="str">
        <f>"9780199591091"</f>
        <v>9780199591091</v>
      </c>
      <c r="H2044" t="s">
        <v>4618</v>
      </c>
      <c r="I2044">
        <v>551.46</v>
      </c>
      <c r="J2044" t="s">
        <v>4619</v>
      </c>
      <c r="K2044" t="s">
        <v>73</v>
      </c>
      <c r="N2044" t="s">
        <v>74</v>
      </c>
      <c r="O2044" t="s">
        <v>75</v>
      </c>
      <c r="P2044" t="s">
        <v>74</v>
      </c>
      <c r="Q2044" t="s">
        <v>76</v>
      </c>
      <c r="R2044" t="s">
        <v>73</v>
      </c>
      <c r="S2044">
        <v>0</v>
      </c>
      <c r="W2044" s="20">
        <v>2.0601851851851853E-3</v>
      </c>
      <c r="X2044" t="s">
        <v>4633</v>
      </c>
      <c r="Y2044">
        <v>16</v>
      </c>
      <c r="Z2044">
        <v>0</v>
      </c>
      <c r="AA2044" t="s">
        <v>78</v>
      </c>
      <c r="AB2044">
        <v>0</v>
      </c>
      <c r="AC2044" t="s">
        <v>78</v>
      </c>
      <c r="AD2044">
        <v>0</v>
      </c>
      <c r="AE2044">
        <v>10644898</v>
      </c>
      <c r="AF2044" t="s">
        <v>79</v>
      </c>
      <c r="AG2044" t="s">
        <v>4421</v>
      </c>
    </row>
    <row r="2045" spans="1:33" x14ac:dyDescent="0.35">
      <c r="A2045" s="18">
        <v>44297.67291666667</v>
      </c>
      <c r="B2045">
        <v>309960</v>
      </c>
      <c r="C2045" t="s">
        <v>4468</v>
      </c>
      <c r="D2045" t="s">
        <v>4469</v>
      </c>
      <c r="E2045" s="19">
        <v>37853</v>
      </c>
      <c r="F2045" t="str">
        <f>"9789062997435"</f>
        <v>9789062997435</v>
      </c>
      <c r="G2045" t="str">
        <f>"9789062991952"</f>
        <v>9789062991952</v>
      </c>
      <c r="H2045" t="s">
        <v>222</v>
      </c>
      <c r="I2045" t="s">
        <v>4470</v>
      </c>
      <c r="J2045" t="s">
        <v>4471</v>
      </c>
      <c r="K2045" t="s">
        <v>73</v>
      </c>
      <c r="N2045" t="s">
        <v>74</v>
      </c>
      <c r="O2045" t="s">
        <v>75</v>
      </c>
      <c r="P2045" t="s">
        <v>230</v>
      </c>
      <c r="Q2045" t="s">
        <v>76</v>
      </c>
      <c r="R2045" t="s">
        <v>85</v>
      </c>
      <c r="S2045">
        <v>0</v>
      </c>
      <c r="W2045" s="20">
        <v>5.4398148148148149E-3</v>
      </c>
      <c r="X2045" t="s">
        <v>4634</v>
      </c>
      <c r="Y2045">
        <v>37</v>
      </c>
      <c r="Z2045">
        <v>0</v>
      </c>
      <c r="AA2045" t="s">
        <v>78</v>
      </c>
      <c r="AB2045">
        <v>0</v>
      </c>
      <c r="AC2045" t="s">
        <v>78</v>
      </c>
      <c r="AD2045">
        <v>0</v>
      </c>
      <c r="AE2045">
        <v>10505617</v>
      </c>
      <c r="AF2045" t="s">
        <v>79</v>
      </c>
      <c r="AG2045" t="s">
        <v>4421</v>
      </c>
    </row>
    <row r="2046" spans="1:33" x14ac:dyDescent="0.35">
      <c r="A2046" s="18">
        <v>44297.546527777777</v>
      </c>
      <c r="B2046">
        <v>309960</v>
      </c>
      <c r="C2046" t="s">
        <v>4468</v>
      </c>
      <c r="D2046" t="s">
        <v>4469</v>
      </c>
      <c r="E2046" s="19">
        <v>37853</v>
      </c>
      <c r="F2046" t="str">
        <f>"9789062997435"</f>
        <v>9789062997435</v>
      </c>
      <c r="G2046" t="str">
        <f>"9789062991952"</f>
        <v>9789062991952</v>
      </c>
      <c r="H2046" t="s">
        <v>222</v>
      </c>
      <c r="I2046" t="s">
        <v>4470</v>
      </c>
      <c r="J2046" t="s">
        <v>4471</v>
      </c>
      <c r="K2046" t="s">
        <v>73</v>
      </c>
      <c r="N2046" t="s">
        <v>74</v>
      </c>
      <c r="O2046" t="s">
        <v>75</v>
      </c>
      <c r="P2046" t="s">
        <v>230</v>
      </c>
      <c r="Q2046" t="s">
        <v>76</v>
      </c>
      <c r="R2046" t="s">
        <v>85</v>
      </c>
      <c r="S2046">
        <v>0</v>
      </c>
      <c r="W2046" s="20">
        <v>6.4814814814814813E-4</v>
      </c>
      <c r="X2046" t="s">
        <v>4635</v>
      </c>
      <c r="Y2046">
        <v>10</v>
      </c>
      <c r="Z2046">
        <v>0</v>
      </c>
      <c r="AA2046" t="s">
        <v>78</v>
      </c>
      <c r="AB2046">
        <v>0</v>
      </c>
      <c r="AC2046" t="s">
        <v>78</v>
      </c>
      <c r="AD2046">
        <v>0</v>
      </c>
      <c r="AE2046">
        <v>10505617</v>
      </c>
      <c r="AF2046" t="s">
        <v>79</v>
      </c>
      <c r="AG2046" t="s">
        <v>4472</v>
      </c>
    </row>
    <row r="2047" spans="1:33" x14ac:dyDescent="0.35">
      <c r="A2047" s="18">
        <v>44297.393750000003</v>
      </c>
      <c r="B2047">
        <v>401868</v>
      </c>
      <c r="C2047" t="s">
        <v>4636</v>
      </c>
      <c r="D2047" t="s">
        <v>127</v>
      </c>
      <c r="E2047" s="19">
        <v>39792</v>
      </c>
      <c r="F2047" t="str">
        <f>"9780203888438"</f>
        <v>9780203888438</v>
      </c>
      <c r="G2047" t="str">
        <f>"9780415435574"</f>
        <v>9780415435574</v>
      </c>
      <c r="H2047" t="s">
        <v>557</v>
      </c>
      <c r="I2047" t="s">
        <v>4637</v>
      </c>
      <c r="J2047" t="s">
        <v>4638</v>
      </c>
      <c r="K2047" t="s">
        <v>73</v>
      </c>
      <c r="N2047" t="s">
        <v>74</v>
      </c>
      <c r="O2047" t="s">
        <v>75</v>
      </c>
      <c r="P2047" t="s">
        <v>74</v>
      </c>
      <c r="Q2047" t="s">
        <v>76</v>
      </c>
      <c r="R2047" t="s">
        <v>73</v>
      </c>
      <c r="S2047">
        <v>0</v>
      </c>
      <c r="W2047" s="20">
        <v>1.6666666666666668E-3</v>
      </c>
      <c r="X2047" t="s">
        <v>4639</v>
      </c>
      <c r="Y2047">
        <v>10</v>
      </c>
      <c r="Z2047">
        <v>0</v>
      </c>
      <c r="AA2047" t="s">
        <v>78</v>
      </c>
      <c r="AB2047">
        <v>0</v>
      </c>
      <c r="AC2047" t="s">
        <v>78</v>
      </c>
      <c r="AD2047">
        <v>0</v>
      </c>
      <c r="AE2047">
        <v>10274101</v>
      </c>
      <c r="AF2047" t="s">
        <v>79</v>
      </c>
      <c r="AG2047" t="s">
        <v>4421</v>
      </c>
    </row>
    <row r="2048" spans="1:33" x14ac:dyDescent="0.35">
      <c r="A2048" s="18">
        <v>44297.28402777778</v>
      </c>
      <c r="B2048">
        <v>557551</v>
      </c>
      <c r="C2048" t="s">
        <v>4640</v>
      </c>
      <c r="D2048" t="s">
        <v>4641</v>
      </c>
      <c r="E2048" s="19">
        <v>38523</v>
      </c>
      <c r="F2048" t="str">
        <f>"9780226007878"</f>
        <v>9780226007878</v>
      </c>
      <c r="G2048" t="str">
        <f>"9780226007854"</f>
        <v>9780226007854</v>
      </c>
      <c r="H2048" t="s">
        <v>4642</v>
      </c>
      <c r="I2048" t="s">
        <v>4643</v>
      </c>
      <c r="J2048" t="s">
        <v>4644</v>
      </c>
      <c r="K2048" t="s">
        <v>73</v>
      </c>
      <c r="N2048" t="s">
        <v>74</v>
      </c>
      <c r="O2048" t="s">
        <v>75</v>
      </c>
      <c r="P2048" t="s">
        <v>74</v>
      </c>
      <c r="Q2048" t="s">
        <v>76</v>
      </c>
      <c r="R2048" t="s">
        <v>73</v>
      </c>
      <c r="S2048">
        <v>0</v>
      </c>
      <c r="W2048" s="20">
        <v>6.018518518518519E-4</v>
      </c>
      <c r="X2048" t="s">
        <v>4645</v>
      </c>
      <c r="Y2048">
        <v>5</v>
      </c>
      <c r="Z2048">
        <v>0</v>
      </c>
      <c r="AA2048" t="s">
        <v>78</v>
      </c>
      <c r="AB2048">
        <v>0</v>
      </c>
      <c r="AC2048" t="s">
        <v>78</v>
      </c>
      <c r="AD2048">
        <v>0</v>
      </c>
      <c r="AE2048">
        <v>10402612</v>
      </c>
      <c r="AF2048" t="s">
        <v>79</v>
      </c>
      <c r="AG2048" t="s">
        <v>4421</v>
      </c>
    </row>
    <row r="2049" spans="1:33" x14ac:dyDescent="0.35">
      <c r="A2049" s="18">
        <v>44296.729166666664</v>
      </c>
      <c r="B2049">
        <v>3120592</v>
      </c>
      <c r="C2049" t="s">
        <v>4646</v>
      </c>
      <c r="D2049" t="s">
        <v>502</v>
      </c>
      <c r="E2049" s="19">
        <v>41196</v>
      </c>
      <c r="F2049" t="str">
        <f>"9781780401249"</f>
        <v>9781780401249</v>
      </c>
      <c r="G2049" t="str">
        <f>"9781780401232"</f>
        <v>9781780401232</v>
      </c>
      <c r="H2049" t="s">
        <v>775</v>
      </c>
      <c r="I2049" t="s">
        <v>4647</v>
      </c>
      <c r="J2049" t="s">
        <v>4648</v>
      </c>
      <c r="K2049" t="s">
        <v>73</v>
      </c>
      <c r="N2049" t="s">
        <v>74</v>
      </c>
      <c r="O2049" t="s">
        <v>75</v>
      </c>
      <c r="P2049" t="s">
        <v>74</v>
      </c>
      <c r="Q2049" t="s">
        <v>76</v>
      </c>
      <c r="R2049" t="s">
        <v>73</v>
      </c>
      <c r="S2049">
        <v>0</v>
      </c>
      <c r="W2049" s="20">
        <v>4.3981481481481481E-4</v>
      </c>
      <c r="X2049" t="s">
        <v>4649</v>
      </c>
      <c r="Y2049">
        <v>5</v>
      </c>
      <c r="Z2049">
        <v>0</v>
      </c>
      <c r="AA2049" t="s">
        <v>78</v>
      </c>
      <c r="AB2049">
        <v>0</v>
      </c>
      <c r="AC2049" t="s">
        <v>78</v>
      </c>
      <c r="AD2049">
        <v>0</v>
      </c>
      <c r="AE2049">
        <v>10835357</v>
      </c>
      <c r="AF2049" t="s">
        <v>88</v>
      </c>
      <c r="AG2049" t="s">
        <v>4625</v>
      </c>
    </row>
    <row r="2050" spans="1:33" x14ac:dyDescent="0.35">
      <c r="A2050" s="18">
        <v>44296.722916666666</v>
      </c>
      <c r="B2050">
        <v>4045058</v>
      </c>
      <c r="C2050" t="s">
        <v>1703</v>
      </c>
      <c r="D2050" t="s">
        <v>158</v>
      </c>
      <c r="E2050" s="19">
        <v>42317</v>
      </c>
      <c r="F2050" t="str">
        <f>"9780444636126"</f>
        <v>9780444636126</v>
      </c>
      <c r="G2050" t="str">
        <f>"9780444636072"</f>
        <v>9780444636072</v>
      </c>
      <c r="H2050" t="s">
        <v>767</v>
      </c>
      <c r="I2050">
        <v>628.21</v>
      </c>
      <c r="J2050" t="s">
        <v>1704</v>
      </c>
      <c r="K2050" t="s">
        <v>73</v>
      </c>
      <c r="N2050" t="s">
        <v>74</v>
      </c>
      <c r="O2050" t="s">
        <v>75</v>
      </c>
      <c r="P2050" t="s">
        <v>74</v>
      </c>
      <c r="Q2050" t="s">
        <v>76</v>
      </c>
      <c r="R2050" t="s">
        <v>73</v>
      </c>
      <c r="S2050">
        <v>0</v>
      </c>
      <c r="W2050" s="20">
        <v>3.8078703703703707E-3</v>
      </c>
      <c r="X2050" t="s">
        <v>4650</v>
      </c>
      <c r="Y2050">
        <v>2</v>
      </c>
      <c r="Z2050">
        <v>0</v>
      </c>
      <c r="AA2050" t="s">
        <v>78</v>
      </c>
      <c r="AB2050">
        <v>0</v>
      </c>
      <c r="AC2050" t="s">
        <v>78</v>
      </c>
      <c r="AD2050">
        <v>0</v>
      </c>
      <c r="AE2050">
        <v>11117257</v>
      </c>
      <c r="AF2050" t="s">
        <v>88</v>
      </c>
      <c r="AG2050" t="s">
        <v>4625</v>
      </c>
    </row>
    <row r="2051" spans="1:33" x14ac:dyDescent="0.35">
      <c r="A2051" s="18">
        <v>44296.722222222219</v>
      </c>
      <c r="B2051">
        <v>298325</v>
      </c>
      <c r="C2051" t="s">
        <v>4651</v>
      </c>
      <c r="D2051" t="s">
        <v>158</v>
      </c>
      <c r="E2051" s="19">
        <v>39220</v>
      </c>
      <c r="F2051" t="str">
        <f>"9780080522906"</f>
        <v>9780080522906</v>
      </c>
      <c r="G2051" t="str">
        <f>"9780444518200"</f>
        <v>9780444518200</v>
      </c>
      <c r="H2051" t="s">
        <v>4652</v>
      </c>
      <c r="I2051">
        <v>363.73840000000001</v>
      </c>
      <c r="J2051" t="s">
        <v>4653</v>
      </c>
      <c r="K2051" t="s">
        <v>73</v>
      </c>
      <c r="N2051" t="s">
        <v>74</v>
      </c>
      <c r="O2051" t="s">
        <v>75</v>
      </c>
      <c r="P2051" t="s">
        <v>74</v>
      </c>
      <c r="Q2051" t="s">
        <v>76</v>
      </c>
      <c r="R2051" t="s">
        <v>73</v>
      </c>
      <c r="S2051">
        <v>0</v>
      </c>
      <c r="W2051" s="20">
        <v>3.8425925925925923E-3</v>
      </c>
      <c r="X2051" t="s">
        <v>4654</v>
      </c>
      <c r="Y2051">
        <v>37</v>
      </c>
      <c r="Z2051">
        <v>0</v>
      </c>
      <c r="AA2051" t="s">
        <v>78</v>
      </c>
      <c r="AB2051">
        <v>0</v>
      </c>
      <c r="AC2051" t="s">
        <v>78</v>
      </c>
      <c r="AD2051">
        <v>0</v>
      </c>
      <c r="AE2051">
        <v>10175559</v>
      </c>
      <c r="AF2051" t="s">
        <v>88</v>
      </c>
      <c r="AG2051" t="s">
        <v>4625</v>
      </c>
    </row>
    <row r="2052" spans="1:33" x14ac:dyDescent="0.35">
      <c r="A2052" s="18">
        <v>44295.968055555553</v>
      </c>
      <c r="B2052">
        <v>3004026</v>
      </c>
      <c r="C2052" t="s">
        <v>4331</v>
      </c>
      <c r="D2052" t="s">
        <v>506</v>
      </c>
      <c r="E2052" s="19">
        <v>38687</v>
      </c>
      <c r="F2052" t="str">
        <f>"9789047409083"</f>
        <v>9789047409083</v>
      </c>
      <c r="G2052" t="str">
        <f>"9789004150102"</f>
        <v>9789004150102</v>
      </c>
      <c r="H2052" t="s">
        <v>4332</v>
      </c>
      <c r="I2052" t="s">
        <v>4333</v>
      </c>
      <c r="J2052" t="s">
        <v>4334</v>
      </c>
      <c r="K2052" t="s">
        <v>73</v>
      </c>
      <c r="N2052" t="s">
        <v>74</v>
      </c>
      <c r="O2052" t="s">
        <v>75</v>
      </c>
      <c r="P2052" t="s">
        <v>74</v>
      </c>
      <c r="Q2052" t="s">
        <v>76</v>
      </c>
      <c r="R2052" t="s">
        <v>73</v>
      </c>
      <c r="S2052">
        <v>0</v>
      </c>
      <c r="W2052" s="20">
        <v>7.1990740740740739E-3</v>
      </c>
      <c r="X2052" t="s">
        <v>4655</v>
      </c>
      <c r="Y2052">
        <v>5</v>
      </c>
      <c r="Z2052">
        <v>0</v>
      </c>
      <c r="AA2052" t="s">
        <v>78</v>
      </c>
      <c r="AB2052">
        <v>0</v>
      </c>
      <c r="AC2052" t="s">
        <v>78</v>
      </c>
      <c r="AD2052">
        <v>0</v>
      </c>
      <c r="AE2052">
        <v>10234689</v>
      </c>
      <c r="AF2052" t="s">
        <v>79</v>
      </c>
      <c r="AG2052" t="s">
        <v>4656</v>
      </c>
    </row>
    <row r="2053" spans="1:33" x14ac:dyDescent="0.35">
      <c r="A2053" s="18">
        <v>44295.902083333334</v>
      </c>
      <c r="B2053">
        <v>3404995</v>
      </c>
      <c r="C2053" t="s">
        <v>4657</v>
      </c>
      <c r="D2053" t="s">
        <v>1332</v>
      </c>
      <c r="E2053" s="19">
        <v>40878</v>
      </c>
      <c r="F2053" t="str">
        <f>"9781613991930"</f>
        <v>9781613991930</v>
      </c>
      <c r="G2053" t="str">
        <f>""</f>
        <v/>
      </c>
      <c r="H2053" t="s">
        <v>179</v>
      </c>
      <c r="J2053" t="s">
        <v>4658</v>
      </c>
      <c r="K2053" t="s">
        <v>73</v>
      </c>
      <c r="N2053" t="s">
        <v>74</v>
      </c>
      <c r="O2053" t="s">
        <v>75</v>
      </c>
      <c r="P2053" t="s">
        <v>74</v>
      </c>
      <c r="Q2053" t="s">
        <v>76</v>
      </c>
      <c r="R2053" t="s">
        <v>73</v>
      </c>
      <c r="S2053">
        <v>0</v>
      </c>
      <c r="W2053" s="20">
        <v>6.9444444444444444E-5</v>
      </c>
      <c r="X2053" t="s">
        <v>132</v>
      </c>
      <c r="Y2053">
        <v>1</v>
      </c>
      <c r="Z2053">
        <v>0</v>
      </c>
      <c r="AA2053" t="s">
        <v>78</v>
      </c>
      <c r="AB2053">
        <v>0</v>
      </c>
      <c r="AC2053" t="s">
        <v>78</v>
      </c>
      <c r="AD2053">
        <v>0</v>
      </c>
      <c r="AE2053">
        <v>10619566</v>
      </c>
      <c r="AF2053" t="s">
        <v>79</v>
      </c>
      <c r="AG2053" t="s">
        <v>4421</v>
      </c>
    </row>
    <row r="2054" spans="1:33" x14ac:dyDescent="0.35">
      <c r="A2054" s="18">
        <v>44295.782638888886</v>
      </c>
      <c r="B2054">
        <v>1446430</v>
      </c>
      <c r="C2054" t="s">
        <v>1649</v>
      </c>
      <c r="D2054" t="s">
        <v>127</v>
      </c>
      <c r="E2054" s="19">
        <v>40274</v>
      </c>
      <c r="F2054" t="str">
        <f>"9781439882573"</f>
        <v>9781439882573</v>
      </c>
      <c r="G2054" t="str">
        <f>"9781420085983"</f>
        <v>9781420085983</v>
      </c>
      <c r="H2054" t="s">
        <v>979</v>
      </c>
      <c r="I2054" t="s">
        <v>1650</v>
      </c>
      <c r="J2054" t="s">
        <v>1651</v>
      </c>
      <c r="K2054" t="s">
        <v>73</v>
      </c>
      <c r="N2054" t="s">
        <v>74</v>
      </c>
      <c r="O2054" t="s">
        <v>75</v>
      </c>
      <c r="P2054" t="s">
        <v>74</v>
      </c>
      <c r="Q2054" t="s">
        <v>76</v>
      </c>
      <c r="R2054" t="s">
        <v>73</v>
      </c>
      <c r="S2054">
        <v>0</v>
      </c>
      <c r="W2054" s="20">
        <v>1.2384259259259258E-3</v>
      </c>
      <c r="X2054" t="s">
        <v>4659</v>
      </c>
      <c r="Y2054">
        <v>13</v>
      </c>
      <c r="Z2054">
        <v>0</v>
      </c>
      <c r="AA2054" t="s">
        <v>78</v>
      </c>
      <c r="AB2054">
        <v>0</v>
      </c>
      <c r="AC2054" t="s">
        <v>78</v>
      </c>
      <c r="AD2054">
        <v>0</v>
      </c>
      <c r="AE2054">
        <v>11166018</v>
      </c>
      <c r="AF2054" t="s">
        <v>79</v>
      </c>
      <c r="AG2054" t="s">
        <v>4660</v>
      </c>
    </row>
    <row r="2055" spans="1:33" x14ac:dyDescent="0.35">
      <c r="A2055" s="18">
        <v>44295.686805555553</v>
      </c>
      <c r="B2055">
        <v>3026859</v>
      </c>
      <c r="C2055" t="s">
        <v>3883</v>
      </c>
      <c r="D2055" t="s">
        <v>3884</v>
      </c>
      <c r="E2055" s="19">
        <v>38108</v>
      </c>
      <c r="F2055" t="str">
        <f>"9780821441640"</f>
        <v>9780821441640</v>
      </c>
      <c r="G2055" t="str">
        <f>"9780821415481"</f>
        <v>9780821415481</v>
      </c>
      <c r="H2055" t="s">
        <v>636</v>
      </c>
      <c r="I2055" t="s">
        <v>3885</v>
      </c>
      <c r="J2055" t="s">
        <v>3886</v>
      </c>
      <c r="K2055" t="s">
        <v>73</v>
      </c>
      <c r="N2055" t="s">
        <v>74</v>
      </c>
      <c r="O2055" t="s">
        <v>75</v>
      </c>
      <c r="P2055" t="s">
        <v>74</v>
      </c>
      <c r="Q2055" t="s">
        <v>76</v>
      </c>
      <c r="R2055" t="s">
        <v>73</v>
      </c>
      <c r="S2055">
        <v>0</v>
      </c>
      <c r="W2055" s="20">
        <v>3.414351851851852E-3</v>
      </c>
      <c r="X2055" t="s">
        <v>4661</v>
      </c>
      <c r="Y2055">
        <v>8</v>
      </c>
      <c r="Z2055">
        <v>0</v>
      </c>
      <c r="AA2055" t="s">
        <v>78</v>
      </c>
      <c r="AB2055">
        <v>0</v>
      </c>
      <c r="AC2055" t="s">
        <v>2215</v>
      </c>
      <c r="AD2055">
        <v>1</v>
      </c>
      <c r="AE2055">
        <v>10118466</v>
      </c>
      <c r="AF2055" t="s">
        <v>88</v>
      </c>
      <c r="AG2055" t="s">
        <v>4421</v>
      </c>
    </row>
    <row r="2056" spans="1:33" x14ac:dyDescent="0.35">
      <c r="A2056" s="18">
        <v>44295.678472222222</v>
      </c>
      <c r="B2056">
        <v>2012870</v>
      </c>
      <c r="C2056" t="s">
        <v>3366</v>
      </c>
      <c r="D2056" t="s">
        <v>102</v>
      </c>
      <c r="E2056" s="19">
        <v>36076</v>
      </c>
      <c r="F2056" t="str">
        <f>"9780195352108"</f>
        <v>9780195352108</v>
      </c>
      <c r="G2056" t="str">
        <f>"9780195126600"</f>
        <v>9780195126600</v>
      </c>
      <c r="H2056" t="s">
        <v>128</v>
      </c>
      <c r="I2056" t="s">
        <v>3367</v>
      </c>
      <c r="J2056" t="s">
        <v>3368</v>
      </c>
      <c r="K2056" t="s">
        <v>73</v>
      </c>
      <c r="N2056" t="s">
        <v>74</v>
      </c>
      <c r="O2056" t="s">
        <v>75</v>
      </c>
      <c r="P2056" t="s">
        <v>74</v>
      </c>
      <c r="Q2056" t="s">
        <v>76</v>
      </c>
      <c r="R2056" t="s">
        <v>73</v>
      </c>
      <c r="S2056">
        <v>1</v>
      </c>
      <c r="W2056" s="20">
        <v>6.3888888888888884E-3</v>
      </c>
      <c r="X2056" t="s">
        <v>4662</v>
      </c>
      <c r="Y2056">
        <v>18</v>
      </c>
      <c r="Z2056">
        <v>0</v>
      </c>
      <c r="AA2056" t="s">
        <v>78</v>
      </c>
      <c r="AB2056">
        <v>0</v>
      </c>
      <c r="AC2056" t="s">
        <v>78</v>
      </c>
      <c r="AD2056">
        <v>0</v>
      </c>
      <c r="AE2056">
        <v>10279371</v>
      </c>
      <c r="AF2056" t="s">
        <v>88</v>
      </c>
      <c r="AG2056" t="s">
        <v>4421</v>
      </c>
    </row>
    <row r="2057" spans="1:33" x14ac:dyDescent="0.35">
      <c r="A2057" s="18">
        <v>44295.665277777778</v>
      </c>
      <c r="B2057">
        <v>2012870</v>
      </c>
      <c r="C2057" t="s">
        <v>3366</v>
      </c>
      <c r="D2057" t="s">
        <v>102</v>
      </c>
      <c r="E2057" s="19">
        <v>36076</v>
      </c>
      <c r="F2057" t="str">
        <f>"9780195352108"</f>
        <v>9780195352108</v>
      </c>
      <c r="G2057" t="str">
        <f>"9780195126600"</f>
        <v>9780195126600</v>
      </c>
      <c r="H2057" t="s">
        <v>128</v>
      </c>
      <c r="I2057" t="s">
        <v>3367</v>
      </c>
      <c r="J2057" t="s">
        <v>3368</v>
      </c>
      <c r="K2057" t="s">
        <v>73</v>
      </c>
      <c r="N2057" t="s">
        <v>74</v>
      </c>
      <c r="O2057" t="s">
        <v>75</v>
      </c>
      <c r="P2057" t="s">
        <v>74</v>
      </c>
      <c r="Q2057" t="s">
        <v>76</v>
      </c>
      <c r="R2057" t="s">
        <v>73</v>
      </c>
      <c r="S2057">
        <v>0</v>
      </c>
      <c r="W2057" s="20">
        <v>1.3506944444444445E-2</v>
      </c>
      <c r="X2057" t="s">
        <v>4663</v>
      </c>
      <c r="Y2057">
        <v>18</v>
      </c>
      <c r="Z2057">
        <v>0</v>
      </c>
      <c r="AA2057" t="s">
        <v>78</v>
      </c>
      <c r="AB2057">
        <v>0</v>
      </c>
      <c r="AC2057" t="s">
        <v>854</v>
      </c>
      <c r="AD2057">
        <v>1</v>
      </c>
      <c r="AE2057">
        <v>10279371</v>
      </c>
      <c r="AF2057" t="s">
        <v>88</v>
      </c>
      <c r="AG2057" t="s">
        <v>4421</v>
      </c>
    </row>
    <row r="2058" spans="1:33" x14ac:dyDescent="0.35">
      <c r="A2058" s="18">
        <v>44295.656944444447</v>
      </c>
      <c r="B2058">
        <v>3004026</v>
      </c>
      <c r="C2058" t="s">
        <v>4331</v>
      </c>
      <c r="D2058" t="s">
        <v>506</v>
      </c>
      <c r="E2058" s="19">
        <v>38687</v>
      </c>
      <c r="F2058" t="str">
        <f>"9789047409083"</f>
        <v>9789047409083</v>
      </c>
      <c r="G2058" t="str">
        <f>"9789004150102"</f>
        <v>9789004150102</v>
      </c>
      <c r="H2058" t="s">
        <v>4332</v>
      </c>
      <c r="I2058" t="s">
        <v>4333</v>
      </c>
      <c r="J2058" t="s">
        <v>4334</v>
      </c>
      <c r="K2058" t="s">
        <v>73</v>
      </c>
      <c r="N2058" t="s">
        <v>74</v>
      </c>
      <c r="O2058" t="s">
        <v>75</v>
      </c>
      <c r="P2058" t="s">
        <v>74</v>
      </c>
      <c r="Q2058" t="s">
        <v>76</v>
      </c>
      <c r="R2058" t="s">
        <v>73</v>
      </c>
      <c r="S2058">
        <v>0</v>
      </c>
      <c r="W2058" s="20">
        <v>5.7870370370370366E-5</v>
      </c>
      <c r="X2058" t="s">
        <v>132</v>
      </c>
      <c r="Y2058">
        <v>1</v>
      </c>
      <c r="Z2058">
        <v>0</v>
      </c>
      <c r="AA2058" t="s">
        <v>78</v>
      </c>
      <c r="AB2058">
        <v>0</v>
      </c>
      <c r="AC2058" t="s">
        <v>78</v>
      </c>
      <c r="AD2058">
        <v>0</v>
      </c>
      <c r="AE2058">
        <v>10234689</v>
      </c>
      <c r="AF2058" t="s">
        <v>79</v>
      </c>
      <c r="AG2058" t="s">
        <v>4656</v>
      </c>
    </row>
    <row r="2059" spans="1:33" x14ac:dyDescent="0.35">
      <c r="A2059" s="18">
        <v>44295.581944444442</v>
      </c>
      <c r="B2059">
        <v>6262869</v>
      </c>
      <c r="C2059" t="s">
        <v>4664</v>
      </c>
      <c r="D2059" t="s">
        <v>127</v>
      </c>
      <c r="E2059" s="19">
        <v>44033</v>
      </c>
      <c r="F2059" t="str">
        <f>"9781351613149"</f>
        <v>9781351613149</v>
      </c>
      <c r="G2059" t="str">
        <f>"9781138089044"</f>
        <v>9781138089044</v>
      </c>
      <c r="H2059" t="s">
        <v>154</v>
      </c>
      <c r="I2059">
        <v>543</v>
      </c>
      <c r="J2059" t="s">
        <v>4665</v>
      </c>
      <c r="K2059" t="s">
        <v>73</v>
      </c>
      <c r="Q2059" t="s">
        <v>76</v>
      </c>
      <c r="R2059" t="s">
        <v>73</v>
      </c>
      <c r="S2059">
        <v>0</v>
      </c>
      <c r="W2059" s="20">
        <v>1.7708333333333332E-3</v>
      </c>
      <c r="X2059" t="s">
        <v>4666</v>
      </c>
      <c r="Y2059">
        <v>25</v>
      </c>
      <c r="Z2059">
        <v>0</v>
      </c>
      <c r="AA2059" t="s">
        <v>78</v>
      </c>
      <c r="AB2059">
        <v>0</v>
      </c>
      <c r="AC2059" t="s">
        <v>78</v>
      </c>
      <c r="AD2059">
        <v>0</v>
      </c>
      <c r="AE2059">
        <v>-1</v>
      </c>
      <c r="AF2059" t="s">
        <v>79</v>
      </c>
      <c r="AG2059" t="s">
        <v>4421</v>
      </c>
    </row>
    <row r="2060" spans="1:33" x14ac:dyDescent="0.35">
      <c r="A2060" s="18">
        <v>44295.502083333333</v>
      </c>
      <c r="B2060">
        <v>4939114</v>
      </c>
      <c r="C2060" t="s">
        <v>4667</v>
      </c>
      <c r="D2060" t="s">
        <v>502</v>
      </c>
      <c r="E2060" s="19">
        <v>42901</v>
      </c>
      <c r="F2060" t="str">
        <f>"9781780407876"</f>
        <v>9781780407876</v>
      </c>
      <c r="G2060" t="str">
        <f>"9781780407869"</f>
        <v>9781780407869</v>
      </c>
      <c r="H2060" t="s">
        <v>374</v>
      </c>
      <c r="I2060">
        <v>628.29999999999995</v>
      </c>
      <c r="J2060" t="s">
        <v>4668</v>
      </c>
      <c r="K2060" t="s">
        <v>73</v>
      </c>
      <c r="N2060" t="s">
        <v>74</v>
      </c>
      <c r="O2060" t="s">
        <v>75</v>
      </c>
      <c r="P2060" t="s">
        <v>74</v>
      </c>
      <c r="Q2060" t="s">
        <v>76</v>
      </c>
      <c r="R2060" t="s">
        <v>73</v>
      </c>
      <c r="S2060">
        <v>0</v>
      </c>
      <c r="W2060" s="20">
        <v>1.0763888888888889E-3</v>
      </c>
      <c r="X2060" t="s">
        <v>4669</v>
      </c>
      <c r="Y2060">
        <v>7</v>
      </c>
      <c r="Z2060">
        <v>2</v>
      </c>
      <c r="AA2060" t="s">
        <v>4670</v>
      </c>
      <c r="AB2060">
        <v>102</v>
      </c>
      <c r="AC2060" t="s">
        <v>78</v>
      </c>
      <c r="AD2060">
        <v>0</v>
      </c>
      <c r="AE2060">
        <v>11421564</v>
      </c>
      <c r="AF2060" t="s">
        <v>79</v>
      </c>
      <c r="AG2060" t="s">
        <v>4421</v>
      </c>
    </row>
    <row r="2061" spans="1:33" x14ac:dyDescent="0.35">
      <c r="A2061" s="18">
        <v>44294.848611111112</v>
      </c>
      <c r="B2061">
        <v>1446430</v>
      </c>
      <c r="C2061" t="s">
        <v>1649</v>
      </c>
      <c r="D2061" t="s">
        <v>127</v>
      </c>
      <c r="E2061" s="19">
        <v>40274</v>
      </c>
      <c r="F2061" t="str">
        <f>"9781439882573"</f>
        <v>9781439882573</v>
      </c>
      <c r="G2061" t="str">
        <f>"9781420085983"</f>
        <v>9781420085983</v>
      </c>
      <c r="H2061" t="s">
        <v>979</v>
      </c>
      <c r="I2061" t="s">
        <v>1650</v>
      </c>
      <c r="J2061" t="s">
        <v>1651</v>
      </c>
      <c r="K2061" t="s">
        <v>73</v>
      </c>
      <c r="N2061" t="s">
        <v>74</v>
      </c>
      <c r="O2061" t="s">
        <v>75</v>
      </c>
      <c r="P2061" t="s">
        <v>74</v>
      </c>
      <c r="Q2061" t="s">
        <v>76</v>
      </c>
      <c r="R2061" t="s">
        <v>73</v>
      </c>
      <c r="S2061">
        <v>0</v>
      </c>
      <c r="W2061" s="20">
        <v>3.2523148148148151E-3</v>
      </c>
      <c r="X2061" t="s">
        <v>4671</v>
      </c>
      <c r="Y2061">
        <v>11</v>
      </c>
      <c r="Z2061">
        <v>0</v>
      </c>
      <c r="AA2061" t="s">
        <v>78</v>
      </c>
      <c r="AB2061">
        <v>0</v>
      </c>
      <c r="AC2061" t="s">
        <v>78</v>
      </c>
      <c r="AD2061">
        <v>0</v>
      </c>
      <c r="AE2061">
        <v>11166018</v>
      </c>
      <c r="AF2061" t="s">
        <v>79</v>
      </c>
      <c r="AG2061" t="s">
        <v>4660</v>
      </c>
    </row>
    <row r="2062" spans="1:33" x14ac:dyDescent="0.35">
      <c r="A2062" s="18">
        <v>44294.823611111111</v>
      </c>
      <c r="B2062">
        <v>6404085</v>
      </c>
      <c r="C2062" t="s">
        <v>4672</v>
      </c>
      <c r="D2062" t="s">
        <v>2082</v>
      </c>
      <c r="E2062" s="19">
        <v>41905</v>
      </c>
      <c r="F2062" t="str">
        <f>"9780071831147"</f>
        <v>9780071831147</v>
      </c>
      <c r="G2062" t="str">
        <f>"9780071831130"</f>
        <v>9780071831130</v>
      </c>
      <c r="H2062" t="s">
        <v>1208</v>
      </c>
      <c r="I2062" t="s">
        <v>4673</v>
      </c>
      <c r="J2062" t="s">
        <v>4674</v>
      </c>
      <c r="K2062" t="s">
        <v>85</v>
      </c>
      <c r="N2062" t="s">
        <v>86</v>
      </c>
      <c r="P2062" t="s">
        <v>1850</v>
      </c>
      <c r="Q2062" t="s">
        <v>76</v>
      </c>
      <c r="R2062" t="s">
        <v>73</v>
      </c>
      <c r="S2062">
        <v>0</v>
      </c>
      <c r="W2062" s="20">
        <v>9.1435185185185178E-3</v>
      </c>
      <c r="X2062" t="s">
        <v>4675</v>
      </c>
      <c r="Y2062">
        <v>41</v>
      </c>
      <c r="Z2062">
        <v>1</v>
      </c>
      <c r="AA2062" t="s">
        <v>4676</v>
      </c>
      <c r="AB2062">
        <v>2</v>
      </c>
      <c r="AC2062" t="s">
        <v>78</v>
      </c>
      <c r="AD2062">
        <v>0</v>
      </c>
      <c r="AE2062">
        <v>-1</v>
      </c>
      <c r="AF2062" t="s">
        <v>79</v>
      </c>
      <c r="AG2062" t="s">
        <v>4677</v>
      </c>
    </row>
    <row r="2063" spans="1:33" x14ac:dyDescent="0.35">
      <c r="A2063" s="18">
        <v>44294.751388888886</v>
      </c>
      <c r="B2063">
        <v>1446430</v>
      </c>
      <c r="C2063" t="s">
        <v>1649</v>
      </c>
      <c r="D2063" t="s">
        <v>127</v>
      </c>
      <c r="E2063" s="19">
        <v>40274</v>
      </c>
      <c r="F2063" t="str">
        <f>"9781439882573"</f>
        <v>9781439882573</v>
      </c>
      <c r="G2063" t="str">
        <f>"9781420085983"</f>
        <v>9781420085983</v>
      </c>
      <c r="H2063" t="s">
        <v>979</v>
      </c>
      <c r="I2063" t="s">
        <v>1650</v>
      </c>
      <c r="J2063" t="s">
        <v>1651</v>
      </c>
      <c r="K2063" t="s">
        <v>73</v>
      </c>
      <c r="N2063" t="s">
        <v>74</v>
      </c>
      <c r="O2063" t="s">
        <v>75</v>
      </c>
      <c r="P2063" t="s">
        <v>74</v>
      </c>
      <c r="Q2063" t="s">
        <v>76</v>
      </c>
      <c r="R2063" t="s">
        <v>73</v>
      </c>
      <c r="S2063">
        <v>0</v>
      </c>
      <c r="W2063" s="20">
        <v>3.560185185185185E-2</v>
      </c>
      <c r="X2063" t="s">
        <v>4678</v>
      </c>
      <c r="Y2063">
        <v>39</v>
      </c>
      <c r="Z2063">
        <v>0</v>
      </c>
      <c r="AA2063" t="s">
        <v>78</v>
      </c>
      <c r="AB2063">
        <v>0</v>
      </c>
      <c r="AC2063" t="s">
        <v>78</v>
      </c>
      <c r="AD2063">
        <v>0</v>
      </c>
      <c r="AE2063">
        <v>11166018</v>
      </c>
      <c r="AF2063" t="s">
        <v>79</v>
      </c>
      <c r="AG2063" t="s">
        <v>4660</v>
      </c>
    </row>
    <row r="2064" spans="1:33" x14ac:dyDescent="0.35">
      <c r="A2064" s="18">
        <v>44294.679861111108</v>
      </c>
      <c r="B2064">
        <v>6404085</v>
      </c>
      <c r="C2064" t="s">
        <v>4672</v>
      </c>
      <c r="D2064" t="s">
        <v>2082</v>
      </c>
      <c r="E2064" s="19">
        <v>41905</v>
      </c>
      <c r="F2064" t="str">
        <f>"9780071831147"</f>
        <v>9780071831147</v>
      </c>
      <c r="G2064" t="str">
        <f>"9780071831130"</f>
        <v>9780071831130</v>
      </c>
      <c r="H2064" t="s">
        <v>1208</v>
      </c>
      <c r="I2064" t="s">
        <v>4673</v>
      </c>
      <c r="J2064" t="s">
        <v>4674</v>
      </c>
      <c r="K2064" t="s">
        <v>85</v>
      </c>
      <c r="N2064" t="s">
        <v>86</v>
      </c>
      <c r="P2064" t="s">
        <v>1850</v>
      </c>
      <c r="Q2064" t="s">
        <v>76</v>
      </c>
      <c r="R2064" t="s">
        <v>73</v>
      </c>
      <c r="S2064">
        <v>0</v>
      </c>
      <c r="W2064" s="20">
        <v>9.3518518518518525E-3</v>
      </c>
      <c r="X2064" t="s">
        <v>4679</v>
      </c>
      <c r="Y2064">
        <v>24</v>
      </c>
      <c r="Z2064">
        <v>0</v>
      </c>
      <c r="AA2064" t="s">
        <v>78</v>
      </c>
      <c r="AB2064">
        <v>0</v>
      </c>
      <c r="AC2064" t="s">
        <v>78</v>
      </c>
      <c r="AD2064">
        <v>0</v>
      </c>
      <c r="AE2064">
        <v>-1</v>
      </c>
      <c r="AF2064" t="s">
        <v>79</v>
      </c>
      <c r="AG2064" t="s">
        <v>4677</v>
      </c>
    </row>
    <row r="2065" spans="1:33" x14ac:dyDescent="0.35">
      <c r="A2065" s="18">
        <v>44294.648611111108</v>
      </c>
      <c r="B2065">
        <v>1477503</v>
      </c>
      <c r="C2065" t="s">
        <v>4680</v>
      </c>
      <c r="D2065" t="s">
        <v>550</v>
      </c>
      <c r="E2065" s="19">
        <v>41523</v>
      </c>
      <c r="F2065" t="str">
        <f>"9781443852180"</f>
        <v>9781443852180</v>
      </c>
      <c r="G2065" t="str">
        <f>"9781443848497"</f>
        <v>9781443848497</v>
      </c>
      <c r="H2065" t="s">
        <v>4681</v>
      </c>
      <c r="I2065">
        <v>197</v>
      </c>
      <c r="J2065" t="s">
        <v>4682</v>
      </c>
      <c r="K2065" t="s">
        <v>73</v>
      </c>
      <c r="N2065" t="s">
        <v>74</v>
      </c>
      <c r="O2065" t="s">
        <v>75</v>
      </c>
      <c r="P2065" t="s">
        <v>74</v>
      </c>
      <c r="Q2065" t="s">
        <v>76</v>
      </c>
      <c r="R2065" t="s">
        <v>73</v>
      </c>
      <c r="S2065">
        <v>1</v>
      </c>
      <c r="W2065" s="20">
        <v>0</v>
      </c>
      <c r="X2065" t="s">
        <v>78</v>
      </c>
      <c r="Y2065">
        <v>0</v>
      </c>
      <c r="Z2065">
        <v>0</v>
      </c>
      <c r="AA2065" t="s">
        <v>78</v>
      </c>
      <c r="AB2065">
        <v>0</v>
      </c>
      <c r="AC2065" t="s">
        <v>78</v>
      </c>
      <c r="AD2065">
        <v>0</v>
      </c>
      <c r="AE2065">
        <v>10778109</v>
      </c>
      <c r="AF2065" t="s">
        <v>88</v>
      </c>
      <c r="AG2065" t="s">
        <v>4421</v>
      </c>
    </row>
    <row r="2066" spans="1:33" x14ac:dyDescent="0.35">
      <c r="A2066" s="18">
        <v>44294.602083333331</v>
      </c>
      <c r="B2066">
        <v>5444570</v>
      </c>
      <c r="C2066" t="s">
        <v>4683</v>
      </c>
      <c r="D2066" t="s">
        <v>3182</v>
      </c>
      <c r="E2066" s="19">
        <v>38261</v>
      </c>
      <c r="F2066" t="str">
        <f>"9781512466577"</f>
        <v>9781512466577</v>
      </c>
      <c r="G2066" t="str">
        <f>""</f>
        <v/>
      </c>
      <c r="H2066" t="s">
        <v>636</v>
      </c>
      <c r="I2066" t="s">
        <v>637</v>
      </c>
      <c r="J2066" t="s">
        <v>4684</v>
      </c>
      <c r="K2066" t="s">
        <v>73</v>
      </c>
      <c r="N2066" t="s">
        <v>74</v>
      </c>
      <c r="O2066" t="s">
        <v>75</v>
      </c>
      <c r="P2066" t="s">
        <v>74</v>
      </c>
      <c r="Q2066" t="s">
        <v>76</v>
      </c>
      <c r="R2066" t="s">
        <v>73</v>
      </c>
      <c r="S2066">
        <v>1</v>
      </c>
      <c r="W2066" s="20">
        <v>0</v>
      </c>
      <c r="X2066" t="s">
        <v>78</v>
      </c>
      <c r="Y2066">
        <v>0</v>
      </c>
      <c r="Z2066">
        <v>0</v>
      </c>
      <c r="AA2066" t="s">
        <v>78</v>
      </c>
      <c r="AB2066">
        <v>0</v>
      </c>
      <c r="AC2066" t="s">
        <v>78</v>
      </c>
      <c r="AD2066">
        <v>0</v>
      </c>
      <c r="AE2066">
        <v>11590263</v>
      </c>
      <c r="AF2066" t="s">
        <v>88</v>
      </c>
      <c r="AG2066" t="s">
        <v>4421</v>
      </c>
    </row>
    <row r="2067" spans="1:33" x14ac:dyDescent="0.35">
      <c r="A2067" s="18">
        <v>44294.597222222219</v>
      </c>
      <c r="B2067">
        <v>6360109</v>
      </c>
      <c r="C2067" t="s">
        <v>4685</v>
      </c>
      <c r="D2067" t="s">
        <v>4686</v>
      </c>
      <c r="E2067" s="19">
        <v>41593</v>
      </c>
      <c r="F2067" t="str">
        <f>"9780795336409"</f>
        <v>9780795336409</v>
      </c>
      <c r="G2067" t="str">
        <f>""</f>
        <v/>
      </c>
      <c r="H2067" t="s">
        <v>738</v>
      </c>
      <c r="I2067">
        <v>158.1</v>
      </c>
      <c r="J2067" t="s">
        <v>4687</v>
      </c>
      <c r="K2067" t="s">
        <v>85</v>
      </c>
      <c r="N2067" t="s">
        <v>86</v>
      </c>
      <c r="P2067" t="s">
        <v>87</v>
      </c>
      <c r="Q2067" t="s">
        <v>76</v>
      </c>
      <c r="R2067" t="s">
        <v>73</v>
      </c>
      <c r="S2067">
        <v>2</v>
      </c>
      <c r="T2067">
        <v>1</v>
      </c>
      <c r="U2067" s="18">
        <v>44294.597222222219</v>
      </c>
      <c r="V2067" s="18">
        <v>44295.597222222219</v>
      </c>
      <c r="W2067" s="20">
        <v>0</v>
      </c>
      <c r="X2067" t="s">
        <v>78</v>
      </c>
      <c r="Y2067">
        <v>0</v>
      </c>
      <c r="Z2067">
        <v>0</v>
      </c>
      <c r="AA2067" t="s">
        <v>78</v>
      </c>
      <c r="AB2067">
        <v>0</v>
      </c>
      <c r="AC2067" t="s">
        <v>78</v>
      </c>
      <c r="AD2067">
        <v>0</v>
      </c>
      <c r="AE2067">
        <v>-1</v>
      </c>
      <c r="AF2067" t="s">
        <v>88</v>
      </c>
      <c r="AG2067" t="s">
        <v>4421</v>
      </c>
    </row>
    <row r="2068" spans="1:33" x14ac:dyDescent="0.35">
      <c r="A2068" s="18">
        <v>44294.45416666667</v>
      </c>
      <c r="B2068">
        <v>832031</v>
      </c>
      <c r="C2068" t="s">
        <v>4688</v>
      </c>
      <c r="D2068" t="s">
        <v>4689</v>
      </c>
      <c r="E2068" s="19">
        <v>40337</v>
      </c>
      <c r="F2068" t="str">
        <f>"9780813549774"</f>
        <v>9780813549774</v>
      </c>
      <c r="G2068" t="str">
        <f>"9780813547701"</f>
        <v>9780813547701</v>
      </c>
      <c r="H2068" t="s">
        <v>4690</v>
      </c>
      <c r="I2068">
        <v>333.91009559999998</v>
      </c>
      <c r="J2068" t="s">
        <v>4691</v>
      </c>
      <c r="K2068" t="s">
        <v>73</v>
      </c>
      <c r="N2068" t="s">
        <v>74</v>
      </c>
      <c r="O2068" t="s">
        <v>75</v>
      </c>
      <c r="P2068" t="s">
        <v>74</v>
      </c>
      <c r="Q2068" t="s">
        <v>76</v>
      </c>
      <c r="R2068" t="s">
        <v>73</v>
      </c>
      <c r="S2068">
        <v>0</v>
      </c>
      <c r="W2068" s="20">
        <v>3.1250000000000001E-4</v>
      </c>
      <c r="X2068" t="s">
        <v>4692</v>
      </c>
      <c r="Y2068">
        <v>7</v>
      </c>
      <c r="Z2068">
        <v>1</v>
      </c>
      <c r="AA2068" t="s">
        <v>4693</v>
      </c>
      <c r="AB2068">
        <v>16</v>
      </c>
      <c r="AC2068" t="s">
        <v>78</v>
      </c>
      <c r="AD2068">
        <v>0</v>
      </c>
      <c r="AE2068">
        <v>10555802</v>
      </c>
      <c r="AF2068" t="s">
        <v>79</v>
      </c>
      <c r="AG2068" t="s">
        <v>4421</v>
      </c>
    </row>
    <row r="2069" spans="1:33" x14ac:dyDescent="0.35">
      <c r="A2069" s="18">
        <v>44294.383333333331</v>
      </c>
      <c r="B2069">
        <v>4309755</v>
      </c>
      <c r="C2069" t="s">
        <v>4694</v>
      </c>
      <c r="D2069" t="s">
        <v>330</v>
      </c>
      <c r="E2069" s="19">
        <v>42325</v>
      </c>
      <c r="F2069" t="str">
        <f>"9781614995852"</f>
        <v>9781614995852</v>
      </c>
      <c r="G2069" t="str">
        <f>"9781614995845"</f>
        <v>9781614995845</v>
      </c>
      <c r="H2069" t="s">
        <v>135</v>
      </c>
      <c r="K2069" t="s">
        <v>73</v>
      </c>
      <c r="N2069" t="s">
        <v>74</v>
      </c>
      <c r="O2069" t="s">
        <v>75</v>
      </c>
      <c r="P2069" t="s">
        <v>230</v>
      </c>
      <c r="Q2069" t="s">
        <v>76</v>
      </c>
      <c r="R2069" t="s">
        <v>85</v>
      </c>
      <c r="S2069">
        <v>0</v>
      </c>
      <c r="W2069" s="20">
        <v>1.9675925925925926E-4</v>
      </c>
      <c r="X2069" t="s">
        <v>4695</v>
      </c>
      <c r="Y2069">
        <v>4</v>
      </c>
      <c r="Z2069">
        <v>0</v>
      </c>
      <c r="AA2069" t="s">
        <v>78</v>
      </c>
      <c r="AB2069">
        <v>0</v>
      </c>
      <c r="AC2069" t="s">
        <v>78</v>
      </c>
      <c r="AD2069">
        <v>0</v>
      </c>
      <c r="AE2069">
        <v>11138168</v>
      </c>
      <c r="AF2069" t="s">
        <v>79</v>
      </c>
      <c r="AG2069" t="s">
        <v>4421</v>
      </c>
    </row>
    <row r="2070" spans="1:33" x14ac:dyDescent="0.35">
      <c r="A2070" s="18">
        <v>44294.366666666669</v>
      </c>
      <c r="B2070">
        <v>3001261</v>
      </c>
      <c r="C2070" t="s">
        <v>3419</v>
      </c>
      <c r="D2070" t="s">
        <v>3420</v>
      </c>
      <c r="E2070" s="19">
        <v>39630</v>
      </c>
      <c r="F2070" t="str">
        <f>"9780313352874"</f>
        <v>9780313352874</v>
      </c>
      <c r="G2070" t="str">
        <f>"9780313352867"</f>
        <v>9780313352867</v>
      </c>
      <c r="H2070" t="s">
        <v>3421</v>
      </c>
      <c r="I2070">
        <v>333.79</v>
      </c>
      <c r="J2070" t="s">
        <v>3422</v>
      </c>
      <c r="K2070" t="s">
        <v>73</v>
      </c>
      <c r="N2070" t="s">
        <v>74</v>
      </c>
      <c r="O2070" t="s">
        <v>75</v>
      </c>
      <c r="P2070" t="s">
        <v>74</v>
      </c>
      <c r="Q2070" t="s">
        <v>76</v>
      </c>
      <c r="R2070" t="s">
        <v>73</v>
      </c>
      <c r="S2070">
        <v>0</v>
      </c>
      <c r="W2070" s="20">
        <v>1.1574074074074073E-4</v>
      </c>
      <c r="X2070" t="s">
        <v>4630</v>
      </c>
      <c r="Y2070">
        <v>3</v>
      </c>
      <c r="Z2070">
        <v>0</v>
      </c>
      <c r="AA2070" t="s">
        <v>78</v>
      </c>
      <c r="AB2070">
        <v>0</v>
      </c>
      <c r="AC2070" t="s">
        <v>78</v>
      </c>
      <c r="AD2070">
        <v>0</v>
      </c>
      <c r="AE2070">
        <v>10271266</v>
      </c>
      <c r="AF2070" t="s">
        <v>79</v>
      </c>
      <c r="AG2070" t="s">
        <v>333</v>
      </c>
    </row>
    <row r="2071" spans="1:33" x14ac:dyDescent="0.35">
      <c r="A2071" s="18">
        <v>44294.342361111114</v>
      </c>
      <c r="B2071">
        <v>4183001</v>
      </c>
      <c r="C2071" t="s">
        <v>580</v>
      </c>
      <c r="D2071" t="s">
        <v>70</v>
      </c>
      <c r="E2071" s="19">
        <v>42359</v>
      </c>
      <c r="F2071" t="str">
        <f>"9781118972311"</f>
        <v>9781118972311</v>
      </c>
      <c r="G2071" t="str">
        <f>"9781118972304"</f>
        <v>9781118972304</v>
      </c>
      <c r="H2071" t="s">
        <v>308</v>
      </c>
      <c r="I2071">
        <v>297</v>
      </c>
      <c r="J2071" t="s">
        <v>581</v>
      </c>
      <c r="K2071" t="s">
        <v>73</v>
      </c>
      <c r="N2071" t="s">
        <v>74</v>
      </c>
      <c r="O2071" t="s">
        <v>75</v>
      </c>
      <c r="P2071" t="s">
        <v>74</v>
      </c>
      <c r="Q2071" t="s">
        <v>76</v>
      </c>
      <c r="R2071" t="s">
        <v>73</v>
      </c>
      <c r="S2071">
        <v>0</v>
      </c>
      <c r="W2071" s="20">
        <v>4.6296296296296293E-4</v>
      </c>
      <c r="X2071" t="s">
        <v>1815</v>
      </c>
      <c r="Y2071">
        <v>11</v>
      </c>
      <c r="Z2071">
        <v>0</v>
      </c>
      <c r="AA2071" t="s">
        <v>78</v>
      </c>
      <c r="AB2071">
        <v>0</v>
      </c>
      <c r="AC2071" t="s">
        <v>78</v>
      </c>
      <c r="AD2071">
        <v>0</v>
      </c>
      <c r="AE2071">
        <v>11124854</v>
      </c>
      <c r="AF2071" t="s">
        <v>79</v>
      </c>
      <c r="AG2071" t="s">
        <v>4421</v>
      </c>
    </row>
    <row r="2072" spans="1:33" x14ac:dyDescent="0.35">
      <c r="A2072" s="18">
        <v>44294.047222222223</v>
      </c>
      <c r="B2072">
        <v>1114662</v>
      </c>
      <c r="C2072" t="s">
        <v>4696</v>
      </c>
      <c r="D2072" t="s">
        <v>127</v>
      </c>
      <c r="E2072" s="19">
        <v>41246</v>
      </c>
      <c r="F2072" t="str">
        <f>"9781135103064"</f>
        <v>9781135103064</v>
      </c>
      <c r="G2072" t="str">
        <f>"9780415532839"</f>
        <v>9780415532839</v>
      </c>
      <c r="H2072" t="s">
        <v>528</v>
      </c>
      <c r="I2072">
        <v>149.72999999999999</v>
      </c>
      <c r="J2072" t="s">
        <v>4697</v>
      </c>
      <c r="K2072" t="s">
        <v>73</v>
      </c>
      <c r="N2072" t="s">
        <v>74</v>
      </c>
      <c r="O2072" t="s">
        <v>75</v>
      </c>
      <c r="P2072" t="s">
        <v>74</v>
      </c>
      <c r="Q2072" t="s">
        <v>76</v>
      </c>
      <c r="R2072" t="s">
        <v>73</v>
      </c>
      <c r="S2072">
        <v>0</v>
      </c>
      <c r="W2072" s="20">
        <v>3.4722222222222222E-5</v>
      </c>
      <c r="X2072" t="s">
        <v>132</v>
      </c>
      <c r="Y2072">
        <v>1</v>
      </c>
      <c r="Z2072">
        <v>0</v>
      </c>
      <c r="AA2072" t="s">
        <v>78</v>
      </c>
      <c r="AB2072">
        <v>0</v>
      </c>
      <c r="AC2072" t="s">
        <v>78</v>
      </c>
      <c r="AD2072">
        <v>0</v>
      </c>
      <c r="AE2072">
        <v>10650224</v>
      </c>
      <c r="AF2072" t="s">
        <v>79</v>
      </c>
      <c r="AG2072" t="s">
        <v>4421</v>
      </c>
    </row>
    <row r="2073" spans="1:33" x14ac:dyDescent="0.35">
      <c r="A2073" s="18">
        <v>44293.756944444445</v>
      </c>
      <c r="B2073">
        <v>1114662</v>
      </c>
      <c r="C2073" t="s">
        <v>4696</v>
      </c>
      <c r="D2073" t="s">
        <v>127</v>
      </c>
      <c r="E2073" s="19">
        <v>41246</v>
      </c>
      <c r="F2073" t="str">
        <f>"9781135103064"</f>
        <v>9781135103064</v>
      </c>
      <c r="G2073" t="str">
        <f>"9780415532839"</f>
        <v>9780415532839</v>
      </c>
      <c r="H2073" t="s">
        <v>528</v>
      </c>
      <c r="I2073">
        <v>149.72999999999999</v>
      </c>
      <c r="J2073" t="s">
        <v>4697</v>
      </c>
      <c r="K2073" t="s">
        <v>73</v>
      </c>
      <c r="N2073" t="s">
        <v>74</v>
      </c>
      <c r="O2073" t="s">
        <v>75</v>
      </c>
      <c r="P2073" t="s">
        <v>74</v>
      </c>
      <c r="Q2073" t="s">
        <v>76</v>
      </c>
      <c r="R2073" t="s">
        <v>73</v>
      </c>
      <c r="S2073">
        <v>0</v>
      </c>
      <c r="W2073" s="20">
        <v>6.2847222222222228E-3</v>
      </c>
      <c r="X2073" t="s">
        <v>4698</v>
      </c>
      <c r="Y2073">
        <v>5</v>
      </c>
      <c r="Z2073">
        <v>0</v>
      </c>
      <c r="AA2073" t="s">
        <v>78</v>
      </c>
      <c r="AB2073">
        <v>0</v>
      </c>
      <c r="AC2073" t="s">
        <v>78</v>
      </c>
      <c r="AD2073">
        <v>0</v>
      </c>
      <c r="AE2073">
        <v>10650224</v>
      </c>
      <c r="AF2073" t="s">
        <v>79</v>
      </c>
      <c r="AG2073" t="s">
        <v>4421</v>
      </c>
    </row>
    <row r="2074" spans="1:33" x14ac:dyDescent="0.35">
      <c r="A2074" s="18">
        <v>44293.554166666669</v>
      </c>
      <c r="B2074">
        <v>3050630</v>
      </c>
      <c r="C2074" t="s">
        <v>4699</v>
      </c>
      <c r="D2074" t="s">
        <v>4700</v>
      </c>
      <c r="E2074" s="19">
        <v>37956</v>
      </c>
      <c r="F2074" t="str">
        <f>"9781280085994"</f>
        <v>9781280085994</v>
      </c>
      <c r="G2074" t="str">
        <f>"9780821356913"</f>
        <v>9780821356913</v>
      </c>
      <c r="H2074" t="s">
        <v>4701</v>
      </c>
      <c r="I2074" t="s">
        <v>4702</v>
      </c>
      <c r="J2074" t="s">
        <v>4703</v>
      </c>
      <c r="K2074" t="s">
        <v>73</v>
      </c>
      <c r="N2074" t="s">
        <v>74</v>
      </c>
      <c r="O2074" t="s">
        <v>75</v>
      </c>
      <c r="P2074" t="s">
        <v>230</v>
      </c>
      <c r="Q2074" t="s">
        <v>76</v>
      </c>
      <c r="R2074" t="s">
        <v>85</v>
      </c>
      <c r="S2074">
        <v>0</v>
      </c>
      <c r="W2074" s="20">
        <v>5.0925925925925921E-4</v>
      </c>
      <c r="X2074" t="s">
        <v>404</v>
      </c>
      <c r="Y2074">
        <v>9</v>
      </c>
      <c r="Z2074">
        <v>0</v>
      </c>
      <c r="AA2074" t="s">
        <v>78</v>
      </c>
      <c r="AB2074">
        <v>0</v>
      </c>
      <c r="AC2074" t="s">
        <v>78</v>
      </c>
      <c r="AD2074">
        <v>0</v>
      </c>
      <c r="AE2074">
        <v>10046587</v>
      </c>
      <c r="AF2074" t="s">
        <v>79</v>
      </c>
      <c r="AG2074" t="s">
        <v>4704</v>
      </c>
    </row>
    <row r="2075" spans="1:33" x14ac:dyDescent="0.35">
      <c r="A2075" s="18">
        <v>44293.520833333336</v>
      </c>
      <c r="B2075">
        <v>1446430</v>
      </c>
      <c r="C2075" t="s">
        <v>1649</v>
      </c>
      <c r="D2075" t="s">
        <v>127</v>
      </c>
      <c r="E2075" s="19">
        <v>40274</v>
      </c>
      <c r="F2075" t="str">
        <f>"9781439882573"</f>
        <v>9781439882573</v>
      </c>
      <c r="G2075" t="str">
        <f>"9781420085983"</f>
        <v>9781420085983</v>
      </c>
      <c r="H2075" t="s">
        <v>979</v>
      </c>
      <c r="I2075" t="s">
        <v>1650</v>
      </c>
      <c r="J2075" t="s">
        <v>1651</v>
      </c>
      <c r="K2075" t="s">
        <v>73</v>
      </c>
      <c r="N2075" t="s">
        <v>74</v>
      </c>
      <c r="O2075" t="s">
        <v>75</v>
      </c>
      <c r="P2075" t="s">
        <v>74</v>
      </c>
      <c r="Q2075" t="s">
        <v>76</v>
      </c>
      <c r="R2075" t="s">
        <v>73</v>
      </c>
      <c r="S2075">
        <v>0</v>
      </c>
      <c r="W2075" s="20">
        <v>1.269675925925926E-2</v>
      </c>
      <c r="X2075" t="s">
        <v>4705</v>
      </c>
      <c r="Y2075">
        <v>29</v>
      </c>
      <c r="Z2075">
        <v>0</v>
      </c>
      <c r="AA2075" t="s">
        <v>78</v>
      </c>
      <c r="AB2075">
        <v>0</v>
      </c>
      <c r="AC2075" t="s">
        <v>78</v>
      </c>
      <c r="AD2075">
        <v>0</v>
      </c>
      <c r="AE2075">
        <v>11166018</v>
      </c>
      <c r="AF2075" t="s">
        <v>79</v>
      </c>
      <c r="AG2075" t="s">
        <v>4421</v>
      </c>
    </row>
    <row r="2076" spans="1:33" x14ac:dyDescent="0.35">
      <c r="A2076" s="18">
        <v>44293.370833333334</v>
      </c>
      <c r="B2076">
        <v>5061174</v>
      </c>
      <c r="C2076" t="s">
        <v>4706</v>
      </c>
      <c r="D2076" t="s">
        <v>346</v>
      </c>
      <c r="E2076" s="19">
        <v>42885</v>
      </c>
      <c r="F2076" t="str">
        <f>"9780784479964"</f>
        <v>9780784479964</v>
      </c>
      <c r="G2076" t="str">
        <f>"9780784414248"</f>
        <v>9780784414248</v>
      </c>
      <c r="H2076" t="s">
        <v>4707</v>
      </c>
      <c r="I2076">
        <v>624.1</v>
      </c>
      <c r="J2076" t="s">
        <v>4708</v>
      </c>
      <c r="K2076" t="s">
        <v>73</v>
      </c>
      <c r="N2076" t="s">
        <v>74</v>
      </c>
      <c r="O2076" t="s">
        <v>75</v>
      </c>
      <c r="P2076" t="s">
        <v>74</v>
      </c>
      <c r="Q2076" t="s">
        <v>76</v>
      </c>
      <c r="R2076" t="s">
        <v>73</v>
      </c>
      <c r="S2076">
        <v>0</v>
      </c>
      <c r="W2076" s="20">
        <v>2.0833333333333335E-4</v>
      </c>
      <c r="X2076" t="s">
        <v>78</v>
      </c>
      <c r="Y2076">
        <v>0</v>
      </c>
      <c r="Z2076">
        <v>5</v>
      </c>
      <c r="AA2076" t="s">
        <v>4709</v>
      </c>
      <c r="AB2076">
        <v>28</v>
      </c>
      <c r="AC2076" t="s">
        <v>78</v>
      </c>
      <c r="AD2076">
        <v>0</v>
      </c>
      <c r="AE2076">
        <v>11447192</v>
      </c>
      <c r="AF2076" t="s">
        <v>79</v>
      </c>
      <c r="AG2076" t="s">
        <v>1256</v>
      </c>
    </row>
    <row r="2077" spans="1:33" x14ac:dyDescent="0.35">
      <c r="A2077" s="18">
        <v>44292.972222222219</v>
      </c>
      <c r="B2077">
        <v>202199</v>
      </c>
      <c r="C2077" t="s">
        <v>4710</v>
      </c>
      <c r="D2077" t="s">
        <v>538</v>
      </c>
      <c r="E2077" s="19">
        <v>37469</v>
      </c>
      <c r="F2077" t="str">
        <f>"9780511147906"</f>
        <v>9780511147906</v>
      </c>
      <c r="G2077" t="str">
        <f>"9780521814577"</f>
        <v>9780521814577</v>
      </c>
      <c r="H2077" t="s">
        <v>636</v>
      </c>
      <c r="I2077">
        <v>809.39112</v>
      </c>
      <c r="J2077" t="s">
        <v>4711</v>
      </c>
      <c r="K2077" t="s">
        <v>73</v>
      </c>
      <c r="N2077" t="s">
        <v>74</v>
      </c>
      <c r="O2077" t="s">
        <v>75</v>
      </c>
      <c r="P2077" t="s">
        <v>74</v>
      </c>
      <c r="Q2077" t="s">
        <v>76</v>
      </c>
      <c r="R2077" t="s">
        <v>73</v>
      </c>
      <c r="S2077">
        <v>0</v>
      </c>
      <c r="W2077" s="20">
        <v>4.3460648148148151E-2</v>
      </c>
      <c r="X2077" t="s">
        <v>4712</v>
      </c>
      <c r="Y2077">
        <v>28</v>
      </c>
      <c r="Z2077">
        <v>0</v>
      </c>
      <c r="AA2077" t="s">
        <v>78</v>
      </c>
      <c r="AB2077">
        <v>0</v>
      </c>
      <c r="AC2077" t="s">
        <v>78</v>
      </c>
      <c r="AD2077">
        <v>0</v>
      </c>
      <c r="AE2077">
        <v>10021402</v>
      </c>
      <c r="AF2077" t="s">
        <v>79</v>
      </c>
      <c r="AG2077" t="s">
        <v>4713</v>
      </c>
    </row>
    <row r="2078" spans="1:33" x14ac:dyDescent="0.35">
      <c r="A2078" s="18">
        <v>44292.97152777778</v>
      </c>
      <c r="B2078">
        <v>202199</v>
      </c>
      <c r="C2078" t="s">
        <v>4710</v>
      </c>
      <c r="D2078" t="s">
        <v>538</v>
      </c>
      <c r="E2078" s="19">
        <v>37469</v>
      </c>
      <c r="F2078" t="str">
        <f>"9780511147906"</f>
        <v>9780511147906</v>
      </c>
      <c r="G2078" t="str">
        <f>"9780521814577"</f>
        <v>9780521814577</v>
      </c>
      <c r="H2078" t="s">
        <v>636</v>
      </c>
      <c r="I2078">
        <v>809.39112</v>
      </c>
      <c r="J2078" t="s">
        <v>4711</v>
      </c>
      <c r="K2078" t="s">
        <v>73</v>
      </c>
      <c r="N2078" t="s">
        <v>74</v>
      </c>
      <c r="O2078" t="s">
        <v>75</v>
      </c>
      <c r="P2078" t="s">
        <v>74</v>
      </c>
      <c r="Q2078" t="s">
        <v>76</v>
      </c>
      <c r="R2078" t="s">
        <v>73</v>
      </c>
      <c r="S2078">
        <v>0</v>
      </c>
      <c r="W2078" s="20">
        <v>0</v>
      </c>
      <c r="X2078" t="s">
        <v>78</v>
      </c>
      <c r="Y2078">
        <v>0</v>
      </c>
      <c r="Z2078">
        <v>0</v>
      </c>
      <c r="AA2078" t="s">
        <v>78</v>
      </c>
      <c r="AB2078">
        <v>0</v>
      </c>
      <c r="AC2078" t="s">
        <v>78</v>
      </c>
      <c r="AD2078">
        <v>0</v>
      </c>
      <c r="AE2078">
        <v>10021402</v>
      </c>
      <c r="AF2078" t="s">
        <v>79</v>
      </c>
      <c r="AG2078" t="s">
        <v>4714</v>
      </c>
    </row>
    <row r="2079" spans="1:33" x14ac:dyDescent="0.35">
      <c r="A2079" s="18">
        <v>44292.920138888891</v>
      </c>
      <c r="B2079">
        <v>5240570</v>
      </c>
      <c r="C2079" t="s">
        <v>4715</v>
      </c>
      <c r="D2079" t="s">
        <v>70</v>
      </c>
      <c r="E2079" s="19">
        <v>43152</v>
      </c>
      <c r="F2079" t="str">
        <f>"9781119482116"</f>
        <v>9781119482116</v>
      </c>
      <c r="G2079" t="str">
        <f>"9781119482086"</f>
        <v>9781119482086</v>
      </c>
      <c r="H2079" t="s">
        <v>968</v>
      </c>
      <c r="I2079">
        <v>332.02856309999999</v>
      </c>
      <c r="J2079" t="s">
        <v>4716</v>
      </c>
      <c r="K2079" t="s">
        <v>73</v>
      </c>
      <c r="N2079" t="s">
        <v>74</v>
      </c>
      <c r="O2079" t="s">
        <v>75</v>
      </c>
      <c r="P2079" t="s">
        <v>74</v>
      </c>
      <c r="Q2079" t="s">
        <v>76</v>
      </c>
      <c r="R2079" t="s">
        <v>73</v>
      </c>
      <c r="S2079">
        <v>0</v>
      </c>
      <c r="W2079" s="20">
        <v>4.8958333333333328E-3</v>
      </c>
      <c r="X2079" t="s">
        <v>4717</v>
      </c>
      <c r="Y2079">
        <v>8</v>
      </c>
      <c r="Z2079">
        <v>1</v>
      </c>
      <c r="AA2079" t="s">
        <v>4718</v>
      </c>
      <c r="AB2079">
        <v>4</v>
      </c>
      <c r="AC2079" t="s">
        <v>78</v>
      </c>
      <c r="AD2079">
        <v>0</v>
      </c>
      <c r="AE2079">
        <v>11502702</v>
      </c>
      <c r="AF2079" t="s">
        <v>79</v>
      </c>
      <c r="AG2079" t="s">
        <v>3161</v>
      </c>
    </row>
    <row r="2080" spans="1:33" x14ac:dyDescent="0.35">
      <c r="A2080" s="18">
        <v>44292.816666666666</v>
      </c>
      <c r="B2080">
        <v>4040762</v>
      </c>
      <c r="C2080" t="s">
        <v>4719</v>
      </c>
      <c r="D2080" t="s">
        <v>70</v>
      </c>
      <c r="E2080" s="19">
        <v>42436</v>
      </c>
      <c r="F2080" t="str">
        <f>"9781119046073"</f>
        <v>9781119046073</v>
      </c>
      <c r="G2080" t="str">
        <f>"9781119046066"</f>
        <v>9781119046066</v>
      </c>
      <c r="H2080" t="s">
        <v>115</v>
      </c>
      <c r="I2080" t="s">
        <v>4720</v>
      </c>
      <c r="J2080" t="s">
        <v>4721</v>
      </c>
      <c r="K2080" t="s">
        <v>73</v>
      </c>
      <c r="N2080" t="s">
        <v>74</v>
      </c>
      <c r="O2080" t="s">
        <v>75</v>
      </c>
      <c r="P2080" t="s">
        <v>74</v>
      </c>
      <c r="Q2080" t="s">
        <v>76</v>
      </c>
      <c r="R2080" t="s">
        <v>73</v>
      </c>
      <c r="S2080">
        <v>0</v>
      </c>
      <c r="W2080" s="20">
        <v>1.2499999999999999E-2</v>
      </c>
      <c r="X2080" t="s">
        <v>4722</v>
      </c>
      <c r="Y2080">
        <v>7</v>
      </c>
      <c r="Z2080">
        <v>5</v>
      </c>
      <c r="AA2080" t="s">
        <v>4723</v>
      </c>
      <c r="AB2080">
        <v>114</v>
      </c>
      <c r="AC2080" t="s">
        <v>78</v>
      </c>
      <c r="AD2080">
        <v>0</v>
      </c>
      <c r="AE2080">
        <v>11113850</v>
      </c>
      <c r="AF2080" t="s">
        <v>79</v>
      </c>
      <c r="AG2080" t="s">
        <v>4724</v>
      </c>
    </row>
    <row r="2081" spans="1:33" x14ac:dyDescent="0.35">
      <c r="A2081" s="18">
        <v>44292.606249999997</v>
      </c>
      <c r="B2081">
        <v>1810406</v>
      </c>
      <c r="C2081" t="s">
        <v>4725</v>
      </c>
      <c r="D2081" t="s">
        <v>134</v>
      </c>
      <c r="E2081" s="19">
        <v>41906</v>
      </c>
      <c r="F2081" t="str">
        <f>"9781442235335"</f>
        <v>9781442235335</v>
      </c>
      <c r="G2081" t="str">
        <f>"9781442235328"</f>
        <v>9781442235328</v>
      </c>
      <c r="H2081" t="s">
        <v>2472</v>
      </c>
      <c r="I2081">
        <v>327.10000000000002</v>
      </c>
      <c r="J2081" t="s">
        <v>4726</v>
      </c>
      <c r="K2081" t="s">
        <v>73</v>
      </c>
      <c r="N2081" t="s">
        <v>74</v>
      </c>
      <c r="O2081" t="s">
        <v>75</v>
      </c>
      <c r="P2081" t="s">
        <v>74</v>
      </c>
      <c r="Q2081" t="s">
        <v>76</v>
      </c>
      <c r="R2081" t="s">
        <v>73</v>
      </c>
      <c r="S2081">
        <v>0</v>
      </c>
      <c r="W2081" s="20">
        <v>2.8935185185185189E-4</v>
      </c>
      <c r="X2081" t="s">
        <v>4727</v>
      </c>
      <c r="Y2081">
        <v>3</v>
      </c>
      <c r="Z2081">
        <v>0</v>
      </c>
      <c r="AA2081" t="s">
        <v>78</v>
      </c>
      <c r="AB2081">
        <v>0</v>
      </c>
      <c r="AC2081" t="s">
        <v>78</v>
      </c>
      <c r="AD2081">
        <v>0</v>
      </c>
      <c r="AE2081">
        <v>11027660</v>
      </c>
      <c r="AF2081" t="s">
        <v>79</v>
      </c>
      <c r="AG2081" t="s">
        <v>4728</v>
      </c>
    </row>
    <row r="2082" spans="1:33" x14ac:dyDescent="0.35">
      <c r="A2082" s="18">
        <v>44291.987500000003</v>
      </c>
      <c r="B2082">
        <v>1602822</v>
      </c>
      <c r="C2082" t="s">
        <v>4019</v>
      </c>
      <c r="D2082" t="s">
        <v>127</v>
      </c>
      <c r="E2082" s="19">
        <v>40890</v>
      </c>
      <c r="F2082" t="str">
        <f>"9781439897836"</f>
        <v>9781439897836</v>
      </c>
      <c r="G2082" t="str">
        <f>"9781439804452"</f>
        <v>9781439804452</v>
      </c>
      <c r="H2082" t="s">
        <v>979</v>
      </c>
      <c r="I2082" t="s">
        <v>4020</v>
      </c>
      <c r="J2082" t="s">
        <v>4021</v>
      </c>
      <c r="K2082" t="s">
        <v>73</v>
      </c>
      <c r="N2082" t="s">
        <v>74</v>
      </c>
      <c r="O2082" t="s">
        <v>75</v>
      </c>
      <c r="P2082" t="s">
        <v>74</v>
      </c>
      <c r="Q2082" t="s">
        <v>76</v>
      </c>
      <c r="R2082" t="s">
        <v>73</v>
      </c>
      <c r="S2082">
        <v>0</v>
      </c>
      <c r="W2082" s="20">
        <v>6.076388888888889E-3</v>
      </c>
      <c r="X2082" t="s">
        <v>4729</v>
      </c>
      <c r="Y2082">
        <v>42</v>
      </c>
      <c r="Z2082">
        <v>1</v>
      </c>
      <c r="AA2082" t="s">
        <v>4730</v>
      </c>
      <c r="AB2082">
        <v>42</v>
      </c>
      <c r="AC2082" t="s">
        <v>78</v>
      </c>
      <c r="AD2082">
        <v>0</v>
      </c>
      <c r="AE2082">
        <v>11167228</v>
      </c>
      <c r="AF2082" t="s">
        <v>79</v>
      </c>
      <c r="AG2082" t="s">
        <v>4724</v>
      </c>
    </row>
    <row r="2083" spans="1:33" x14ac:dyDescent="0.35">
      <c r="A2083" s="18">
        <v>44291.84652777778</v>
      </c>
      <c r="B2083">
        <v>1446430</v>
      </c>
      <c r="C2083" t="s">
        <v>1649</v>
      </c>
      <c r="D2083" t="s">
        <v>127</v>
      </c>
      <c r="E2083" s="19">
        <v>40274</v>
      </c>
      <c r="F2083" t="str">
        <f>"9781439882573"</f>
        <v>9781439882573</v>
      </c>
      <c r="G2083" t="str">
        <f>"9781420085983"</f>
        <v>9781420085983</v>
      </c>
      <c r="H2083" t="s">
        <v>979</v>
      </c>
      <c r="I2083" t="s">
        <v>1650</v>
      </c>
      <c r="J2083" t="s">
        <v>1651</v>
      </c>
      <c r="K2083" t="s">
        <v>73</v>
      </c>
      <c r="N2083" t="s">
        <v>74</v>
      </c>
      <c r="O2083" t="s">
        <v>75</v>
      </c>
      <c r="P2083" t="s">
        <v>74</v>
      </c>
      <c r="Q2083" t="s">
        <v>76</v>
      </c>
      <c r="R2083" t="s">
        <v>73</v>
      </c>
      <c r="S2083">
        <v>0</v>
      </c>
      <c r="W2083" s="20">
        <v>1.8958333333333334E-2</v>
      </c>
      <c r="X2083" t="s">
        <v>4731</v>
      </c>
      <c r="Y2083">
        <v>37</v>
      </c>
      <c r="Z2083">
        <v>0</v>
      </c>
      <c r="AA2083" t="s">
        <v>78</v>
      </c>
      <c r="AB2083">
        <v>0</v>
      </c>
      <c r="AC2083" t="s">
        <v>78</v>
      </c>
      <c r="AD2083">
        <v>0</v>
      </c>
      <c r="AE2083">
        <v>11166018</v>
      </c>
      <c r="AF2083" t="s">
        <v>79</v>
      </c>
      <c r="AG2083" t="s">
        <v>4660</v>
      </c>
    </row>
    <row r="2084" spans="1:33" x14ac:dyDescent="0.35">
      <c r="A2084" s="18">
        <v>44291.681944444441</v>
      </c>
      <c r="B2084">
        <v>2079965</v>
      </c>
      <c r="C2084" t="s">
        <v>4732</v>
      </c>
      <c r="D2084" t="s">
        <v>158</v>
      </c>
      <c r="E2084" s="19">
        <v>42223</v>
      </c>
      <c r="F2084" t="str">
        <f>"9780128002315"</f>
        <v>9780128002315</v>
      </c>
      <c r="G2084" t="str">
        <f>"9780128000373"</f>
        <v>9780128000373</v>
      </c>
      <c r="H2084" t="s">
        <v>128</v>
      </c>
      <c r="I2084">
        <v>363.25</v>
      </c>
      <c r="J2084" t="s">
        <v>4733</v>
      </c>
      <c r="K2084" t="s">
        <v>73</v>
      </c>
      <c r="N2084" t="s">
        <v>74</v>
      </c>
      <c r="O2084" t="s">
        <v>75</v>
      </c>
      <c r="P2084" t="s">
        <v>74</v>
      </c>
      <c r="Q2084" t="s">
        <v>76</v>
      </c>
      <c r="R2084" t="s">
        <v>73</v>
      </c>
      <c r="S2084">
        <v>0</v>
      </c>
      <c r="W2084" s="20">
        <v>1.0648148148148147E-3</v>
      </c>
      <c r="X2084" t="s">
        <v>4734</v>
      </c>
      <c r="Y2084">
        <v>13</v>
      </c>
      <c r="Z2084">
        <v>0</v>
      </c>
      <c r="AA2084" t="s">
        <v>78</v>
      </c>
      <c r="AB2084">
        <v>0</v>
      </c>
      <c r="AC2084" t="s">
        <v>78</v>
      </c>
      <c r="AD2084">
        <v>0</v>
      </c>
      <c r="AE2084">
        <v>11071289</v>
      </c>
      <c r="AF2084" t="s">
        <v>79</v>
      </c>
      <c r="AG2084" t="s">
        <v>4421</v>
      </c>
    </row>
    <row r="2085" spans="1:33" x14ac:dyDescent="0.35">
      <c r="A2085" s="18">
        <v>44291.477777777778</v>
      </c>
      <c r="B2085">
        <v>4939408</v>
      </c>
      <c r="C2085" t="s">
        <v>4735</v>
      </c>
      <c r="D2085" t="s">
        <v>70</v>
      </c>
      <c r="E2085" s="19">
        <v>43073</v>
      </c>
      <c r="F2085" t="str">
        <f>"9783527340002"</f>
        <v>9783527340002</v>
      </c>
      <c r="G2085" t="str">
        <f>"9783527339990"</f>
        <v>9783527339990</v>
      </c>
      <c r="H2085" t="s">
        <v>154</v>
      </c>
      <c r="I2085">
        <v>541.37199999999996</v>
      </c>
      <c r="J2085" t="s">
        <v>4736</v>
      </c>
      <c r="K2085" t="s">
        <v>73</v>
      </c>
      <c r="N2085" t="s">
        <v>74</v>
      </c>
      <c r="O2085" t="s">
        <v>75</v>
      </c>
      <c r="P2085" t="s">
        <v>74</v>
      </c>
      <c r="Q2085" t="s">
        <v>76</v>
      </c>
      <c r="R2085" t="s">
        <v>73</v>
      </c>
      <c r="S2085">
        <v>0</v>
      </c>
      <c r="W2085" s="20">
        <v>6.3009259259259265E-2</v>
      </c>
      <c r="X2085" t="s">
        <v>4737</v>
      </c>
      <c r="Y2085">
        <v>89</v>
      </c>
      <c r="Z2085">
        <v>0</v>
      </c>
      <c r="AA2085" t="s">
        <v>78</v>
      </c>
      <c r="AB2085">
        <v>0</v>
      </c>
      <c r="AC2085" t="s">
        <v>78</v>
      </c>
      <c r="AD2085">
        <v>0</v>
      </c>
      <c r="AE2085">
        <v>11421654</v>
      </c>
      <c r="AF2085" t="s">
        <v>79</v>
      </c>
      <c r="AG2085" t="s">
        <v>4724</v>
      </c>
    </row>
    <row r="2086" spans="1:33" x14ac:dyDescent="0.35">
      <c r="A2086" s="18">
        <v>44291.364583333336</v>
      </c>
      <c r="B2086">
        <v>5061174</v>
      </c>
      <c r="C2086" t="s">
        <v>4706</v>
      </c>
      <c r="D2086" t="s">
        <v>346</v>
      </c>
      <c r="E2086" s="19">
        <v>42885</v>
      </c>
      <c r="F2086" t="str">
        <f>"9780784479964"</f>
        <v>9780784479964</v>
      </c>
      <c r="G2086" t="str">
        <f>"9780784414248"</f>
        <v>9780784414248</v>
      </c>
      <c r="H2086" t="s">
        <v>4707</v>
      </c>
      <c r="I2086">
        <v>624.1</v>
      </c>
      <c r="J2086" t="s">
        <v>4708</v>
      </c>
      <c r="K2086" t="s">
        <v>73</v>
      </c>
      <c r="N2086" t="s">
        <v>74</v>
      </c>
      <c r="O2086" t="s">
        <v>75</v>
      </c>
      <c r="P2086" t="s">
        <v>74</v>
      </c>
      <c r="Q2086" t="s">
        <v>76</v>
      </c>
      <c r="R2086" t="s">
        <v>73</v>
      </c>
      <c r="S2086">
        <v>0</v>
      </c>
      <c r="W2086" s="20">
        <v>0</v>
      </c>
      <c r="X2086" t="s">
        <v>78</v>
      </c>
      <c r="Y2086">
        <v>0</v>
      </c>
      <c r="Z2086">
        <v>3</v>
      </c>
      <c r="AA2086" t="s">
        <v>4738</v>
      </c>
      <c r="AB2086">
        <v>56</v>
      </c>
      <c r="AC2086" t="s">
        <v>78</v>
      </c>
      <c r="AD2086">
        <v>0</v>
      </c>
      <c r="AE2086">
        <v>11447192</v>
      </c>
      <c r="AF2086" t="s">
        <v>79</v>
      </c>
      <c r="AG2086" t="s">
        <v>1256</v>
      </c>
    </row>
    <row r="2087" spans="1:33" x14ac:dyDescent="0.35">
      <c r="A2087" s="18">
        <v>44290.854166666664</v>
      </c>
      <c r="B2087">
        <v>4915572</v>
      </c>
      <c r="C2087" t="s">
        <v>4739</v>
      </c>
      <c r="D2087" t="s">
        <v>70</v>
      </c>
      <c r="E2087" s="19">
        <v>42975</v>
      </c>
      <c r="F2087" t="str">
        <f>"9781119264446"</f>
        <v>9781119264446</v>
      </c>
      <c r="G2087" t="str">
        <f>"9781118145302"</f>
        <v>9781118145302</v>
      </c>
      <c r="H2087" t="s">
        <v>4740</v>
      </c>
      <c r="I2087">
        <v>615.10284000000001</v>
      </c>
      <c r="J2087" t="s">
        <v>4741</v>
      </c>
      <c r="K2087" t="s">
        <v>73</v>
      </c>
      <c r="N2087" t="s">
        <v>74</v>
      </c>
      <c r="O2087" t="s">
        <v>75</v>
      </c>
      <c r="P2087" t="s">
        <v>74</v>
      </c>
      <c r="Q2087" t="s">
        <v>76</v>
      </c>
      <c r="R2087" t="s">
        <v>73</v>
      </c>
      <c r="S2087">
        <v>0</v>
      </c>
      <c r="W2087" s="20">
        <v>4.6296296296296294E-5</v>
      </c>
      <c r="X2087" t="s">
        <v>132</v>
      </c>
      <c r="Y2087">
        <v>1</v>
      </c>
      <c r="Z2087">
        <v>0</v>
      </c>
      <c r="AA2087" t="s">
        <v>78</v>
      </c>
      <c r="AB2087">
        <v>0</v>
      </c>
      <c r="AC2087" t="s">
        <v>78</v>
      </c>
      <c r="AD2087">
        <v>0</v>
      </c>
      <c r="AE2087">
        <v>11412601</v>
      </c>
      <c r="AF2087" t="s">
        <v>79</v>
      </c>
      <c r="AG2087" t="s">
        <v>4421</v>
      </c>
    </row>
    <row r="2088" spans="1:33" x14ac:dyDescent="0.35">
      <c r="A2088" s="18">
        <v>44290.777083333334</v>
      </c>
      <c r="B2088">
        <v>1446430</v>
      </c>
      <c r="C2088" t="s">
        <v>1649</v>
      </c>
      <c r="D2088" t="s">
        <v>127</v>
      </c>
      <c r="E2088" s="19">
        <v>40274</v>
      </c>
      <c r="F2088" t="str">
        <f>"9781439882573"</f>
        <v>9781439882573</v>
      </c>
      <c r="G2088" t="str">
        <f>"9781420085983"</f>
        <v>9781420085983</v>
      </c>
      <c r="H2088" t="s">
        <v>979</v>
      </c>
      <c r="I2088" t="s">
        <v>1650</v>
      </c>
      <c r="J2088" t="s">
        <v>1651</v>
      </c>
      <c r="K2088" t="s">
        <v>73</v>
      </c>
      <c r="N2088" t="s">
        <v>74</v>
      </c>
      <c r="O2088" t="s">
        <v>75</v>
      </c>
      <c r="P2088" t="s">
        <v>74</v>
      </c>
      <c r="Q2088" t="s">
        <v>76</v>
      </c>
      <c r="R2088" t="s">
        <v>73</v>
      </c>
      <c r="S2088">
        <v>0</v>
      </c>
      <c r="W2088" s="20">
        <v>4.9768518518518521E-4</v>
      </c>
      <c r="X2088" t="s">
        <v>4742</v>
      </c>
      <c r="Y2088">
        <v>5</v>
      </c>
      <c r="Z2088">
        <v>0</v>
      </c>
      <c r="AA2088" t="s">
        <v>78</v>
      </c>
      <c r="AB2088">
        <v>0</v>
      </c>
      <c r="AC2088" t="s">
        <v>78</v>
      </c>
      <c r="AD2088">
        <v>0</v>
      </c>
      <c r="AE2088">
        <v>11166018</v>
      </c>
      <c r="AF2088" t="s">
        <v>79</v>
      </c>
      <c r="AG2088" t="s">
        <v>4660</v>
      </c>
    </row>
    <row r="2089" spans="1:33" x14ac:dyDescent="0.35">
      <c r="A2089" s="18">
        <v>44290.759027777778</v>
      </c>
      <c r="B2089">
        <v>293875</v>
      </c>
      <c r="C2089" t="s">
        <v>4743</v>
      </c>
      <c r="D2089" t="s">
        <v>284</v>
      </c>
      <c r="E2089" s="19">
        <v>36892</v>
      </c>
      <c r="F2089" t="str">
        <f>"9780851997650"</f>
        <v>9780851997650</v>
      </c>
      <c r="G2089" t="str">
        <f>"9780851995335"</f>
        <v>9780851995335</v>
      </c>
      <c r="H2089" t="s">
        <v>4744</v>
      </c>
      <c r="I2089" t="s">
        <v>4745</v>
      </c>
      <c r="J2089" t="s">
        <v>4746</v>
      </c>
      <c r="K2089" t="s">
        <v>73</v>
      </c>
      <c r="N2089" t="s">
        <v>74</v>
      </c>
      <c r="O2089" t="s">
        <v>75</v>
      </c>
      <c r="P2089" t="s">
        <v>230</v>
      </c>
      <c r="Q2089" t="s">
        <v>76</v>
      </c>
      <c r="R2089" t="s">
        <v>85</v>
      </c>
      <c r="S2089">
        <v>0</v>
      </c>
      <c r="W2089" s="20">
        <v>4.2476851851851851E-3</v>
      </c>
      <c r="X2089" t="s">
        <v>4747</v>
      </c>
      <c r="Y2089">
        <v>10</v>
      </c>
      <c r="Z2089">
        <v>0</v>
      </c>
      <c r="AA2089" t="s">
        <v>78</v>
      </c>
      <c r="AB2089">
        <v>0</v>
      </c>
      <c r="AC2089" t="s">
        <v>1285</v>
      </c>
      <c r="AD2089">
        <v>1</v>
      </c>
      <c r="AE2089">
        <v>10060465</v>
      </c>
      <c r="AF2089" t="s">
        <v>79</v>
      </c>
      <c r="AG2089" t="s">
        <v>3058</v>
      </c>
    </row>
    <row r="2090" spans="1:33" x14ac:dyDescent="0.35">
      <c r="A2090" s="18">
        <v>44290.675000000003</v>
      </c>
      <c r="B2090">
        <v>3020870</v>
      </c>
      <c r="C2090" t="s">
        <v>4748</v>
      </c>
      <c r="D2090" t="s">
        <v>226</v>
      </c>
      <c r="E2090" s="19">
        <v>40452</v>
      </c>
      <c r="F2090" t="str">
        <f>"9781617611629"</f>
        <v>9781617611629</v>
      </c>
      <c r="G2090" t="str">
        <f>"9781617289804"</f>
        <v>9781617289804</v>
      </c>
      <c r="H2090" t="s">
        <v>4749</v>
      </c>
      <c r="I2090">
        <v>551.6</v>
      </c>
      <c r="J2090" t="s">
        <v>4750</v>
      </c>
      <c r="K2090" t="s">
        <v>73</v>
      </c>
      <c r="N2090" t="s">
        <v>74</v>
      </c>
      <c r="O2090" t="s">
        <v>75</v>
      </c>
      <c r="P2090" t="s">
        <v>74</v>
      </c>
      <c r="Q2090" t="s">
        <v>76</v>
      </c>
      <c r="R2090" t="s">
        <v>73</v>
      </c>
      <c r="S2090">
        <v>0</v>
      </c>
      <c r="W2090" s="20">
        <v>9.618055555555555E-3</v>
      </c>
      <c r="X2090" t="s">
        <v>4751</v>
      </c>
      <c r="Y2090">
        <v>73</v>
      </c>
      <c r="Z2090">
        <v>1</v>
      </c>
      <c r="AA2090" t="s">
        <v>4752</v>
      </c>
      <c r="AB2090">
        <v>36</v>
      </c>
      <c r="AC2090" t="s">
        <v>78</v>
      </c>
      <c r="AD2090">
        <v>0</v>
      </c>
      <c r="AE2090">
        <v>10681008</v>
      </c>
      <c r="AF2090" t="s">
        <v>88</v>
      </c>
      <c r="AG2090" t="s">
        <v>4724</v>
      </c>
    </row>
    <row r="2091" spans="1:33" x14ac:dyDescent="0.35">
      <c r="A2091" s="18">
        <v>44290.658333333333</v>
      </c>
      <c r="B2091">
        <v>4915572</v>
      </c>
      <c r="C2091" t="s">
        <v>4739</v>
      </c>
      <c r="D2091" t="s">
        <v>70</v>
      </c>
      <c r="E2091" s="19">
        <v>42975</v>
      </c>
      <c r="F2091" t="str">
        <f>"9781119264446"</f>
        <v>9781119264446</v>
      </c>
      <c r="G2091" t="str">
        <f>"9781118145302"</f>
        <v>9781118145302</v>
      </c>
      <c r="H2091" t="s">
        <v>4740</v>
      </c>
      <c r="I2091">
        <v>615.10284000000001</v>
      </c>
      <c r="J2091" t="s">
        <v>4741</v>
      </c>
      <c r="K2091" t="s">
        <v>73</v>
      </c>
      <c r="N2091" t="s">
        <v>74</v>
      </c>
      <c r="O2091" t="s">
        <v>75</v>
      </c>
      <c r="P2091" t="s">
        <v>74</v>
      </c>
      <c r="Q2091" t="s">
        <v>76</v>
      </c>
      <c r="R2091" t="s">
        <v>73</v>
      </c>
      <c r="S2091">
        <v>0</v>
      </c>
      <c r="W2091" s="20">
        <v>9.6064814814814808E-4</v>
      </c>
      <c r="X2091" t="s">
        <v>4753</v>
      </c>
      <c r="Y2091">
        <v>9</v>
      </c>
      <c r="Z2091">
        <v>1</v>
      </c>
      <c r="AA2091" t="s">
        <v>4754</v>
      </c>
      <c r="AB2091">
        <v>18</v>
      </c>
      <c r="AC2091" t="s">
        <v>78</v>
      </c>
      <c r="AD2091">
        <v>0</v>
      </c>
      <c r="AE2091">
        <v>11412601</v>
      </c>
      <c r="AF2091" t="s">
        <v>79</v>
      </c>
      <c r="AG2091" t="s">
        <v>4421</v>
      </c>
    </row>
    <row r="2092" spans="1:33" x14ac:dyDescent="0.35">
      <c r="A2092" s="18">
        <v>44290.62777777778</v>
      </c>
      <c r="B2092">
        <v>1185176</v>
      </c>
      <c r="C2092" t="s">
        <v>4755</v>
      </c>
      <c r="D2092" t="s">
        <v>1637</v>
      </c>
      <c r="E2092" s="19">
        <v>40483</v>
      </c>
      <c r="F2092" t="str">
        <f>"9781849730983"</f>
        <v>9781849730983</v>
      </c>
      <c r="G2092" t="str">
        <f>"9781847558060"</f>
        <v>9781847558060</v>
      </c>
      <c r="H2092" t="s">
        <v>4756</v>
      </c>
      <c r="I2092">
        <v>541.36900000000003</v>
      </c>
      <c r="J2092" t="s">
        <v>4757</v>
      </c>
      <c r="K2092" t="s">
        <v>73</v>
      </c>
      <c r="N2092" t="s">
        <v>74</v>
      </c>
      <c r="O2092" t="s">
        <v>75</v>
      </c>
      <c r="P2092" t="s">
        <v>74</v>
      </c>
      <c r="Q2092" t="s">
        <v>76</v>
      </c>
      <c r="R2092" t="s">
        <v>73</v>
      </c>
      <c r="S2092">
        <v>0</v>
      </c>
      <c r="W2092" s="20">
        <v>1.3194444444444443E-3</v>
      </c>
      <c r="X2092" t="s">
        <v>932</v>
      </c>
      <c r="Y2092">
        <v>12</v>
      </c>
      <c r="Z2092">
        <v>0</v>
      </c>
      <c r="AA2092" t="s">
        <v>78</v>
      </c>
      <c r="AB2092">
        <v>0</v>
      </c>
      <c r="AC2092" t="s">
        <v>4758</v>
      </c>
      <c r="AD2092">
        <v>1</v>
      </c>
      <c r="AE2092">
        <v>10627698</v>
      </c>
      <c r="AF2092" t="s">
        <v>79</v>
      </c>
      <c r="AG2092" t="s">
        <v>4421</v>
      </c>
    </row>
    <row r="2093" spans="1:33" x14ac:dyDescent="0.35">
      <c r="A2093" s="18">
        <v>44290.50277777778</v>
      </c>
      <c r="B2093">
        <v>3001261</v>
      </c>
      <c r="C2093" t="s">
        <v>3419</v>
      </c>
      <c r="D2093" t="s">
        <v>3420</v>
      </c>
      <c r="E2093" s="19">
        <v>39630</v>
      </c>
      <c r="F2093" t="str">
        <f>"9780313352874"</f>
        <v>9780313352874</v>
      </c>
      <c r="G2093" t="str">
        <f>"9780313352867"</f>
        <v>9780313352867</v>
      </c>
      <c r="H2093" t="s">
        <v>3421</v>
      </c>
      <c r="I2093">
        <v>333.79</v>
      </c>
      <c r="J2093" t="s">
        <v>3422</v>
      </c>
      <c r="K2093" t="s">
        <v>73</v>
      </c>
      <c r="N2093" t="s">
        <v>74</v>
      </c>
      <c r="O2093" t="s">
        <v>75</v>
      </c>
      <c r="P2093" t="s">
        <v>74</v>
      </c>
      <c r="Q2093" t="s">
        <v>76</v>
      </c>
      <c r="R2093" t="s">
        <v>73</v>
      </c>
      <c r="S2093">
        <v>0</v>
      </c>
      <c r="W2093" s="20">
        <v>9.2592592592592588E-5</v>
      </c>
      <c r="X2093" t="s">
        <v>249</v>
      </c>
      <c r="Y2093">
        <v>2</v>
      </c>
      <c r="Z2093">
        <v>0</v>
      </c>
      <c r="AA2093" t="s">
        <v>78</v>
      </c>
      <c r="AB2093">
        <v>0</v>
      </c>
      <c r="AC2093" t="s">
        <v>78</v>
      </c>
      <c r="AD2093">
        <v>0</v>
      </c>
      <c r="AE2093">
        <v>10271266</v>
      </c>
      <c r="AF2093" t="s">
        <v>79</v>
      </c>
      <c r="AG2093" t="s">
        <v>333</v>
      </c>
    </row>
    <row r="2094" spans="1:33" x14ac:dyDescent="0.35">
      <c r="A2094" s="18">
        <v>44290.448611111111</v>
      </c>
      <c r="B2094">
        <v>237554</v>
      </c>
      <c r="C2094" t="s">
        <v>4759</v>
      </c>
      <c r="D2094" t="s">
        <v>538</v>
      </c>
      <c r="E2094" s="19">
        <v>38589</v>
      </c>
      <c r="F2094" t="str">
        <f>"9780511198809"</f>
        <v>9780511198809</v>
      </c>
      <c r="G2094" t="str">
        <f>"9780521771511"</f>
        <v>9780521771511</v>
      </c>
      <c r="H2094" t="s">
        <v>1204</v>
      </c>
      <c r="I2094">
        <v>492.782421</v>
      </c>
      <c r="J2094" t="s">
        <v>4760</v>
      </c>
      <c r="K2094" t="s">
        <v>73</v>
      </c>
      <c r="N2094" t="s">
        <v>74</v>
      </c>
      <c r="O2094" t="s">
        <v>75</v>
      </c>
      <c r="P2094" t="s">
        <v>74</v>
      </c>
      <c r="Q2094" t="s">
        <v>76</v>
      </c>
      <c r="R2094" t="s">
        <v>73</v>
      </c>
      <c r="S2094">
        <v>1</v>
      </c>
      <c r="W2094" s="20">
        <v>0</v>
      </c>
      <c r="X2094" t="s">
        <v>78</v>
      </c>
      <c r="Y2094">
        <v>0</v>
      </c>
      <c r="Z2094">
        <v>0</v>
      </c>
      <c r="AA2094" t="s">
        <v>78</v>
      </c>
      <c r="AB2094">
        <v>0</v>
      </c>
      <c r="AC2094" t="s">
        <v>78</v>
      </c>
      <c r="AD2094">
        <v>0</v>
      </c>
      <c r="AE2094">
        <v>10289141</v>
      </c>
      <c r="AF2094" t="s">
        <v>88</v>
      </c>
      <c r="AG2094" t="s">
        <v>4421</v>
      </c>
    </row>
    <row r="2095" spans="1:33" x14ac:dyDescent="0.35">
      <c r="A2095" s="18">
        <v>44290.444444444445</v>
      </c>
      <c r="B2095">
        <v>237554</v>
      </c>
      <c r="C2095" t="s">
        <v>4759</v>
      </c>
      <c r="D2095" t="s">
        <v>538</v>
      </c>
      <c r="E2095" s="19">
        <v>38589</v>
      </c>
      <c r="F2095" t="str">
        <f>"9780511198809"</f>
        <v>9780511198809</v>
      </c>
      <c r="G2095" t="str">
        <f>"9780521771511"</f>
        <v>9780521771511</v>
      </c>
      <c r="H2095" t="s">
        <v>1204</v>
      </c>
      <c r="I2095">
        <v>492.782421</v>
      </c>
      <c r="J2095" t="s">
        <v>4760</v>
      </c>
      <c r="K2095" t="s">
        <v>73</v>
      </c>
      <c r="N2095" t="s">
        <v>74</v>
      </c>
      <c r="O2095" t="s">
        <v>75</v>
      </c>
      <c r="P2095" t="s">
        <v>74</v>
      </c>
      <c r="Q2095" t="s">
        <v>76</v>
      </c>
      <c r="R2095" t="s">
        <v>73</v>
      </c>
      <c r="S2095">
        <v>0</v>
      </c>
      <c r="W2095" s="20">
        <v>7.7546296296296304E-4</v>
      </c>
      <c r="X2095" t="s">
        <v>4761</v>
      </c>
      <c r="Y2095">
        <v>6</v>
      </c>
      <c r="Z2095">
        <v>0</v>
      </c>
      <c r="AA2095" t="s">
        <v>78</v>
      </c>
      <c r="AB2095">
        <v>0</v>
      </c>
      <c r="AC2095" t="s">
        <v>78</v>
      </c>
      <c r="AD2095">
        <v>0</v>
      </c>
      <c r="AE2095">
        <v>10289141</v>
      </c>
      <c r="AF2095" t="s">
        <v>79</v>
      </c>
      <c r="AG2095" t="s">
        <v>4421</v>
      </c>
    </row>
    <row r="2096" spans="1:33" x14ac:dyDescent="0.35">
      <c r="A2096" s="18">
        <v>44290.431250000001</v>
      </c>
      <c r="B2096">
        <v>1446430</v>
      </c>
      <c r="C2096" t="s">
        <v>1649</v>
      </c>
      <c r="D2096" t="s">
        <v>127</v>
      </c>
      <c r="E2096" s="19">
        <v>40274</v>
      </c>
      <c r="F2096" t="str">
        <f>"9781439882573"</f>
        <v>9781439882573</v>
      </c>
      <c r="G2096" t="str">
        <f>"9781420085983"</f>
        <v>9781420085983</v>
      </c>
      <c r="H2096" t="s">
        <v>979</v>
      </c>
      <c r="I2096" t="s">
        <v>1650</v>
      </c>
      <c r="J2096" t="s">
        <v>1651</v>
      </c>
      <c r="K2096" t="s">
        <v>73</v>
      </c>
      <c r="N2096" t="s">
        <v>74</v>
      </c>
      <c r="O2096" t="s">
        <v>75</v>
      </c>
      <c r="P2096" t="s">
        <v>74</v>
      </c>
      <c r="Q2096" t="s">
        <v>76</v>
      </c>
      <c r="R2096" t="s">
        <v>73</v>
      </c>
      <c r="S2096">
        <v>0</v>
      </c>
      <c r="W2096" s="20">
        <v>1.0266203703703703E-2</v>
      </c>
      <c r="X2096" t="s">
        <v>4762</v>
      </c>
      <c r="Y2096">
        <v>37</v>
      </c>
      <c r="Z2096">
        <v>0</v>
      </c>
      <c r="AA2096" t="s">
        <v>78</v>
      </c>
      <c r="AB2096">
        <v>0</v>
      </c>
      <c r="AC2096" t="s">
        <v>78</v>
      </c>
      <c r="AD2096">
        <v>0</v>
      </c>
      <c r="AE2096">
        <v>11166018</v>
      </c>
      <c r="AF2096" t="s">
        <v>79</v>
      </c>
      <c r="AG2096" t="s">
        <v>4421</v>
      </c>
    </row>
    <row r="2097" spans="1:33" x14ac:dyDescent="0.35">
      <c r="A2097" s="18">
        <v>44290.038888888892</v>
      </c>
      <c r="B2097">
        <v>4829166</v>
      </c>
      <c r="C2097" t="s">
        <v>4004</v>
      </c>
      <c r="D2097" t="s">
        <v>70</v>
      </c>
      <c r="E2097" s="19">
        <v>42835</v>
      </c>
      <c r="F2097" t="str">
        <f>"9781119219835"</f>
        <v>9781119219835</v>
      </c>
      <c r="G2097" t="str">
        <f>"9781119219811"</f>
        <v>9781119219811</v>
      </c>
      <c r="H2097" t="s">
        <v>724</v>
      </c>
      <c r="I2097" t="s">
        <v>4005</v>
      </c>
      <c r="J2097" t="s">
        <v>4006</v>
      </c>
      <c r="K2097" t="s">
        <v>73</v>
      </c>
      <c r="N2097" t="s">
        <v>74</v>
      </c>
      <c r="O2097" t="s">
        <v>75</v>
      </c>
      <c r="P2097" t="s">
        <v>74</v>
      </c>
      <c r="Q2097" t="s">
        <v>76</v>
      </c>
      <c r="R2097" t="s">
        <v>73</v>
      </c>
      <c r="S2097">
        <v>0</v>
      </c>
      <c r="W2097" s="20">
        <v>1.8067129629629631E-2</v>
      </c>
      <c r="X2097" t="s">
        <v>4763</v>
      </c>
      <c r="Y2097">
        <v>31</v>
      </c>
      <c r="Z2097">
        <v>0</v>
      </c>
      <c r="AA2097" t="s">
        <v>78</v>
      </c>
      <c r="AB2097">
        <v>0</v>
      </c>
      <c r="AC2097" t="s">
        <v>78</v>
      </c>
      <c r="AD2097">
        <v>0</v>
      </c>
      <c r="AE2097">
        <v>11365259</v>
      </c>
      <c r="AF2097" t="s">
        <v>79</v>
      </c>
      <c r="AG2097" t="s">
        <v>333</v>
      </c>
    </row>
    <row r="2098" spans="1:33" x14ac:dyDescent="0.35">
      <c r="A2098" s="18">
        <v>44290.037499999999</v>
      </c>
      <c r="B2098">
        <v>4829166</v>
      </c>
      <c r="C2098" t="s">
        <v>4004</v>
      </c>
      <c r="D2098" t="s">
        <v>70</v>
      </c>
      <c r="E2098" s="19">
        <v>42835</v>
      </c>
      <c r="F2098" t="str">
        <f>"9781119219835"</f>
        <v>9781119219835</v>
      </c>
      <c r="G2098" t="str">
        <f>"9781119219811"</f>
        <v>9781119219811</v>
      </c>
      <c r="H2098" t="s">
        <v>724</v>
      </c>
      <c r="I2098" t="s">
        <v>4005</v>
      </c>
      <c r="J2098" t="s">
        <v>4006</v>
      </c>
      <c r="K2098" t="s">
        <v>73</v>
      </c>
      <c r="N2098" t="s">
        <v>74</v>
      </c>
      <c r="O2098" t="s">
        <v>75</v>
      </c>
      <c r="P2098" t="s">
        <v>74</v>
      </c>
      <c r="Q2098" t="s">
        <v>76</v>
      </c>
      <c r="R2098" t="s">
        <v>73</v>
      </c>
      <c r="S2098">
        <v>0</v>
      </c>
      <c r="W2098" s="20">
        <v>1.6203703703703703E-4</v>
      </c>
      <c r="X2098" t="s">
        <v>3147</v>
      </c>
      <c r="Y2098">
        <v>2</v>
      </c>
      <c r="Z2098">
        <v>0</v>
      </c>
      <c r="AA2098" t="s">
        <v>78</v>
      </c>
      <c r="AB2098">
        <v>0</v>
      </c>
      <c r="AC2098" t="s">
        <v>78</v>
      </c>
      <c r="AD2098">
        <v>0</v>
      </c>
      <c r="AE2098">
        <v>11365259</v>
      </c>
      <c r="AF2098" t="s">
        <v>79</v>
      </c>
      <c r="AG2098" t="s">
        <v>4764</v>
      </c>
    </row>
    <row r="2099" spans="1:33" x14ac:dyDescent="0.35">
      <c r="A2099" s="18">
        <v>44289.711111111108</v>
      </c>
      <c r="B2099">
        <v>3020870</v>
      </c>
      <c r="C2099" t="s">
        <v>4748</v>
      </c>
      <c r="D2099" t="s">
        <v>226</v>
      </c>
      <c r="E2099" s="19">
        <v>40452</v>
      </c>
      <c r="F2099" t="str">
        <f>"9781617611629"</f>
        <v>9781617611629</v>
      </c>
      <c r="G2099" t="str">
        <f>"9781617289804"</f>
        <v>9781617289804</v>
      </c>
      <c r="H2099" t="s">
        <v>4749</v>
      </c>
      <c r="I2099">
        <v>551.6</v>
      </c>
      <c r="J2099" t="s">
        <v>4750</v>
      </c>
      <c r="K2099" t="s">
        <v>73</v>
      </c>
      <c r="N2099" t="s">
        <v>74</v>
      </c>
      <c r="O2099" t="s">
        <v>75</v>
      </c>
      <c r="P2099" t="s">
        <v>74</v>
      </c>
      <c r="Q2099" t="s">
        <v>76</v>
      </c>
      <c r="R2099" t="s">
        <v>73</v>
      </c>
      <c r="S2099">
        <v>0</v>
      </c>
      <c r="W2099" s="20">
        <v>3.3564814814814812E-4</v>
      </c>
      <c r="X2099" t="s">
        <v>4765</v>
      </c>
      <c r="Y2099">
        <v>4</v>
      </c>
      <c r="Z2099">
        <v>0</v>
      </c>
      <c r="AA2099" t="s">
        <v>78</v>
      </c>
      <c r="AB2099">
        <v>0</v>
      </c>
      <c r="AC2099" t="s">
        <v>78</v>
      </c>
      <c r="AD2099">
        <v>0</v>
      </c>
      <c r="AE2099">
        <v>10681008</v>
      </c>
      <c r="AF2099" t="s">
        <v>88</v>
      </c>
      <c r="AG2099" t="s">
        <v>4724</v>
      </c>
    </row>
    <row r="2100" spans="1:33" x14ac:dyDescent="0.35">
      <c r="A2100" s="18">
        <v>44289.56527777778</v>
      </c>
      <c r="B2100">
        <v>3376293</v>
      </c>
      <c r="C2100" t="s">
        <v>4766</v>
      </c>
      <c r="D2100" t="s">
        <v>351</v>
      </c>
      <c r="E2100" s="19">
        <v>35289</v>
      </c>
      <c r="F2100" t="str">
        <f>"9780309589567"</f>
        <v>9780309589567</v>
      </c>
      <c r="G2100" t="str">
        <f>"9780309055499"</f>
        <v>9780309055499</v>
      </c>
      <c r="H2100" t="s">
        <v>4767</v>
      </c>
      <c r="I2100" t="s">
        <v>4768</v>
      </c>
      <c r="J2100" t="s">
        <v>4769</v>
      </c>
      <c r="K2100" t="s">
        <v>73</v>
      </c>
      <c r="N2100" t="s">
        <v>74</v>
      </c>
      <c r="O2100" t="s">
        <v>75</v>
      </c>
      <c r="P2100" t="s">
        <v>230</v>
      </c>
      <c r="Q2100" t="s">
        <v>76</v>
      </c>
      <c r="R2100" t="s">
        <v>85</v>
      </c>
      <c r="S2100">
        <v>0</v>
      </c>
      <c r="W2100" s="20">
        <v>1.5856481481481482E-2</v>
      </c>
      <c r="X2100" t="s">
        <v>4770</v>
      </c>
      <c r="Y2100">
        <v>57</v>
      </c>
      <c r="Z2100">
        <v>0</v>
      </c>
      <c r="AA2100" t="s">
        <v>78</v>
      </c>
      <c r="AB2100">
        <v>0</v>
      </c>
      <c r="AC2100" t="s">
        <v>4771</v>
      </c>
      <c r="AD2100">
        <v>2</v>
      </c>
      <c r="AE2100">
        <v>10055380</v>
      </c>
      <c r="AF2100" t="s">
        <v>79</v>
      </c>
      <c r="AG2100" t="s">
        <v>4772</v>
      </c>
    </row>
    <row r="2101" spans="1:33" x14ac:dyDescent="0.35">
      <c r="A2101" s="18">
        <v>44289.474305555559</v>
      </c>
      <c r="B2101">
        <v>4003527</v>
      </c>
      <c r="C2101" t="s">
        <v>4773</v>
      </c>
      <c r="D2101" t="s">
        <v>3175</v>
      </c>
      <c r="E2101" s="19">
        <v>42307</v>
      </c>
      <c r="F2101" t="str">
        <f>"9780323312233"</f>
        <v>9780323312233</v>
      </c>
      <c r="G2101" t="str">
        <f>"9780323299657"</f>
        <v>9780323299657</v>
      </c>
      <c r="H2101" t="s">
        <v>71</v>
      </c>
      <c r="I2101">
        <v>621.38099999999997</v>
      </c>
      <c r="J2101" t="s">
        <v>4774</v>
      </c>
      <c r="K2101" t="s">
        <v>73</v>
      </c>
      <c r="N2101" t="s">
        <v>74</v>
      </c>
      <c r="O2101" t="s">
        <v>75</v>
      </c>
      <c r="P2101" t="s">
        <v>74</v>
      </c>
      <c r="Q2101" t="s">
        <v>76</v>
      </c>
      <c r="R2101" t="s">
        <v>73</v>
      </c>
      <c r="S2101">
        <v>0</v>
      </c>
      <c r="W2101" s="20">
        <v>2.0254629629629629E-3</v>
      </c>
      <c r="X2101" t="s">
        <v>4775</v>
      </c>
      <c r="Y2101">
        <v>15</v>
      </c>
      <c r="Z2101">
        <v>0</v>
      </c>
      <c r="AA2101" t="s">
        <v>78</v>
      </c>
      <c r="AB2101">
        <v>0</v>
      </c>
      <c r="AC2101" t="s">
        <v>78</v>
      </c>
      <c r="AD2101">
        <v>0</v>
      </c>
      <c r="AE2101">
        <v>11124045</v>
      </c>
      <c r="AF2101" t="s">
        <v>79</v>
      </c>
      <c r="AG2101" t="s">
        <v>4421</v>
      </c>
    </row>
    <row r="2102" spans="1:33" x14ac:dyDescent="0.35">
      <c r="A2102" s="18">
        <v>44289.30972222222</v>
      </c>
      <c r="B2102">
        <v>3001261</v>
      </c>
      <c r="C2102" t="s">
        <v>3419</v>
      </c>
      <c r="D2102" t="s">
        <v>3420</v>
      </c>
      <c r="E2102" s="19">
        <v>39630</v>
      </c>
      <c r="F2102" t="str">
        <f>"9780313352874"</f>
        <v>9780313352874</v>
      </c>
      <c r="G2102" t="str">
        <f>"9780313352867"</f>
        <v>9780313352867</v>
      </c>
      <c r="H2102" t="s">
        <v>3421</v>
      </c>
      <c r="I2102">
        <v>333.79</v>
      </c>
      <c r="J2102" t="s">
        <v>3422</v>
      </c>
      <c r="K2102" t="s">
        <v>73</v>
      </c>
      <c r="N2102" t="s">
        <v>74</v>
      </c>
      <c r="O2102" t="s">
        <v>75</v>
      </c>
      <c r="P2102" t="s">
        <v>74</v>
      </c>
      <c r="Q2102" t="s">
        <v>76</v>
      </c>
      <c r="R2102" t="s">
        <v>73</v>
      </c>
      <c r="S2102">
        <v>0</v>
      </c>
      <c r="W2102" s="20">
        <v>5.7870370370370366E-5</v>
      </c>
      <c r="X2102" t="s">
        <v>132</v>
      </c>
      <c r="Y2102">
        <v>1</v>
      </c>
      <c r="Z2102">
        <v>0</v>
      </c>
      <c r="AA2102" t="s">
        <v>78</v>
      </c>
      <c r="AB2102">
        <v>0</v>
      </c>
      <c r="AC2102" t="s">
        <v>78</v>
      </c>
      <c r="AD2102">
        <v>0</v>
      </c>
      <c r="AE2102">
        <v>10271266</v>
      </c>
      <c r="AF2102" t="s">
        <v>79</v>
      </c>
      <c r="AG2102" t="s">
        <v>333</v>
      </c>
    </row>
    <row r="2103" spans="1:33" x14ac:dyDescent="0.35">
      <c r="A2103" s="18">
        <v>44288.958333333336</v>
      </c>
      <c r="B2103">
        <v>4875240</v>
      </c>
      <c r="C2103" t="s">
        <v>465</v>
      </c>
      <c r="D2103" t="s">
        <v>70</v>
      </c>
      <c r="E2103" s="19">
        <v>42954</v>
      </c>
      <c r="F2103" t="str">
        <f>"9781119329039"</f>
        <v>9781119329039</v>
      </c>
      <c r="G2103" t="str">
        <f>"9781119329053"</f>
        <v>9781119329053</v>
      </c>
      <c r="H2103" t="s">
        <v>466</v>
      </c>
      <c r="I2103">
        <v>621.38104399999997</v>
      </c>
      <c r="J2103" t="s">
        <v>467</v>
      </c>
      <c r="K2103" t="s">
        <v>73</v>
      </c>
      <c r="N2103" t="s">
        <v>74</v>
      </c>
      <c r="O2103" t="s">
        <v>75</v>
      </c>
      <c r="P2103" t="s">
        <v>74</v>
      </c>
      <c r="Q2103" t="s">
        <v>76</v>
      </c>
      <c r="R2103" t="s">
        <v>73</v>
      </c>
      <c r="S2103">
        <v>2</v>
      </c>
      <c r="W2103" s="20">
        <v>0</v>
      </c>
      <c r="X2103" t="s">
        <v>78</v>
      </c>
      <c r="Y2103">
        <v>0</v>
      </c>
      <c r="Z2103">
        <v>0</v>
      </c>
      <c r="AA2103" t="s">
        <v>78</v>
      </c>
      <c r="AB2103">
        <v>0</v>
      </c>
      <c r="AC2103" t="s">
        <v>78</v>
      </c>
      <c r="AD2103">
        <v>0</v>
      </c>
      <c r="AE2103">
        <v>11395817</v>
      </c>
      <c r="AF2103" t="s">
        <v>88</v>
      </c>
      <c r="AG2103" t="s">
        <v>1330</v>
      </c>
    </row>
    <row r="2104" spans="1:33" x14ac:dyDescent="0.35">
      <c r="A2104" s="18">
        <v>44288.65</v>
      </c>
      <c r="B2104">
        <v>3001261</v>
      </c>
      <c r="C2104" t="s">
        <v>3419</v>
      </c>
      <c r="D2104" t="s">
        <v>3420</v>
      </c>
      <c r="E2104" s="19">
        <v>39630</v>
      </c>
      <c r="F2104" t="str">
        <f>"9780313352874"</f>
        <v>9780313352874</v>
      </c>
      <c r="G2104" t="str">
        <f>"9780313352867"</f>
        <v>9780313352867</v>
      </c>
      <c r="H2104" t="s">
        <v>3421</v>
      </c>
      <c r="I2104">
        <v>333.79</v>
      </c>
      <c r="J2104" t="s">
        <v>3422</v>
      </c>
      <c r="K2104" t="s">
        <v>73</v>
      </c>
      <c r="N2104" t="s">
        <v>74</v>
      </c>
      <c r="O2104" t="s">
        <v>75</v>
      </c>
      <c r="P2104" t="s">
        <v>74</v>
      </c>
      <c r="Q2104" t="s">
        <v>76</v>
      </c>
      <c r="R2104" t="s">
        <v>73</v>
      </c>
      <c r="S2104">
        <v>0</v>
      </c>
      <c r="W2104" s="20">
        <v>8.1018518518518516E-5</v>
      </c>
      <c r="X2104" t="s">
        <v>132</v>
      </c>
      <c r="Y2104">
        <v>1</v>
      </c>
      <c r="Z2104">
        <v>0</v>
      </c>
      <c r="AA2104" t="s">
        <v>78</v>
      </c>
      <c r="AB2104">
        <v>0</v>
      </c>
      <c r="AC2104" t="s">
        <v>78</v>
      </c>
      <c r="AD2104">
        <v>0</v>
      </c>
      <c r="AE2104">
        <v>10271266</v>
      </c>
      <c r="AF2104" t="s">
        <v>79</v>
      </c>
      <c r="AG2104" t="s">
        <v>333</v>
      </c>
    </row>
    <row r="2105" spans="1:33" x14ac:dyDescent="0.35">
      <c r="A2105" s="18">
        <v>44288.611805555556</v>
      </c>
      <c r="B2105">
        <v>202199</v>
      </c>
      <c r="C2105" t="s">
        <v>4710</v>
      </c>
      <c r="D2105" t="s">
        <v>538</v>
      </c>
      <c r="E2105" s="19">
        <v>37469</v>
      </c>
      <c r="F2105" t="str">
        <f>"9780511147906"</f>
        <v>9780511147906</v>
      </c>
      <c r="G2105" t="str">
        <f>"9780521814577"</f>
        <v>9780521814577</v>
      </c>
      <c r="H2105" t="s">
        <v>636</v>
      </c>
      <c r="I2105">
        <v>809.39112</v>
      </c>
      <c r="J2105" t="s">
        <v>4711</v>
      </c>
      <c r="K2105" t="s">
        <v>73</v>
      </c>
      <c r="N2105" t="s">
        <v>74</v>
      </c>
      <c r="O2105" t="s">
        <v>75</v>
      </c>
      <c r="P2105" t="s">
        <v>74</v>
      </c>
      <c r="Q2105" t="s">
        <v>76</v>
      </c>
      <c r="R2105" t="s">
        <v>73</v>
      </c>
      <c r="S2105">
        <v>0</v>
      </c>
      <c r="W2105" s="20">
        <v>6.7129629629629625E-4</v>
      </c>
      <c r="X2105" t="s">
        <v>4776</v>
      </c>
      <c r="Y2105">
        <v>13</v>
      </c>
      <c r="Z2105">
        <v>0</v>
      </c>
      <c r="AA2105" t="s">
        <v>78</v>
      </c>
      <c r="AB2105">
        <v>0</v>
      </c>
      <c r="AC2105" t="s">
        <v>78</v>
      </c>
      <c r="AD2105">
        <v>0</v>
      </c>
      <c r="AE2105">
        <v>10021402</v>
      </c>
      <c r="AF2105" t="s">
        <v>79</v>
      </c>
      <c r="AG2105" t="s">
        <v>4777</v>
      </c>
    </row>
    <row r="2106" spans="1:33" x14ac:dyDescent="0.35">
      <c r="A2106" s="18">
        <v>44287.902083333334</v>
      </c>
      <c r="B2106">
        <v>1010569</v>
      </c>
      <c r="C2106" t="s">
        <v>4778</v>
      </c>
      <c r="D2106" t="s">
        <v>506</v>
      </c>
      <c r="E2106" s="19">
        <v>40872</v>
      </c>
      <c r="F2106" t="str">
        <f>"9789004216068"</f>
        <v>9789004216068</v>
      </c>
      <c r="G2106" t="str">
        <f>"9789004209305"</f>
        <v>9789004209305</v>
      </c>
      <c r="H2106" t="s">
        <v>308</v>
      </c>
      <c r="I2106">
        <v>297.820956709021</v>
      </c>
      <c r="J2106" t="s">
        <v>4779</v>
      </c>
      <c r="K2106" t="s">
        <v>73</v>
      </c>
      <c r="N2106" t="s">
        <v>74</v>
      </c>
      <c r="O2106" t="s">
        <v>75</v>
      </c>
      <c r="P2106" t="s">
        <v>74</v>
      </c>
      <c r="Q2106" t="s">
        <v>76</v>
      </c>
      <c r="R2106" t="s">
        <v>73</v>
      </c>
      <c r="S2106">
        <v>0</v>
      </c>
      <c r="W2106" s="20">
        <v>6.5856481481481469E-3</v>
      </c>
      <c r="X2106" t="s">
        <v>4780</v>
      </c>
      <c r="Y2106">
        <v>25</v>
      </c>
      <c r="Z2106">
        <v>0</v>
      </c>
      <c r="AA2106" t="s">
        <v>78</v>
      </c>
      <c r="AB2106">
        <v>0</v>
      </c>
      <c r="AC2106" t="s">
        <v>4781</v>
      </c>
      <c r="AD2106">
        <v>1</v>
      </c>
      <c r="AE2106">
        <v>10518154</v>
      </c>
      <c r="AF2106" t="s">
        <v>79</v>
      </c>
      <c r="AG2106" t="s">
        <v>4421</v>
      </c>
    </row>
    <row r="2107" spans="1:33" x14ac:dyDescent="0.35">
      <c r="A2107" s="18">
        <v>44287.823611111111</v>
      </c>
      <c r="B2107">
        <v>1010569</v>
      </c>
      <c r="C2107" t="s">
        <v>4778</v>
      </c>
      <c r="D2107" t="s">
        <v>506</v>
      </c>
      <c r="E2107" s="19">
        <v>40872</v>
      </c>
      <c r="F2107" t="str">
        <f>"9789004216068"</f>
        <v>9789004216068</v>
      </c>
      <c r="G2107" t="str">
        <f>"9789004209305"</f>
        <v>9789004209305</v>
      </c>
      <c r="H2107" t="s">
        <v>308</v>
      </c>
      <c r="I2107">
        <v>297.820956709021</v>
      </c>
      <c r="J2107" t="s">
        <v>4779</v>
      </c>
      <c r="K2107" t="s">
        <v>73</v>
      </c>
      <c r="N2107" t="s">
        <v>74</v>
      </c>
      <c r="O2107" t="s">
        <v>75</v>
      </c>
      <c r="P2107" t="s">
        <v>74</v>
      </c>
      <c r="Q2107" t="s">
        <v>76</v>
      </c>
      <c r="R2107" t="s">
        <v>73</v>
      </c>
      <c r="S2107">
        <v>0</v>
      </c>
      <c r="W2107" s="20">
        <v>3.5624999999999997E-2</v>
      </c>
      <c r="X2107" t="s">
        <v>4782</v>
      </c>
      <c r="Y2107">
        <v>122</v>
      </c>
      <c r="Z2107">
        <v>0</v>
      </c>
      <c r="AA2107" t="s">
        <v>78</v>
      </c>
      <c r="AB2107">
        <v>0</v>
      </c>
      <c r="AC2107" t="s">
        <v>4783</v>
      </c>
      <c r="AD2107">
        <v>3</v>
      </c>
      <c r="AE2107">
        <v>10518154</v>
      </c>
      <c r="AF2107" t="s">
        <v>79</v>
      </c>
      <c r="AG2107" t="s">
        <v>4421</v>
      </c>
    </row>
    <row r="2108" spans="1:33" x14ac:dyDescent="0.35">
      <c r="A2108" s="18">
        <v>44287.779861111114</v>
      </c>
      <c r="B2108">
        <v>4616297</v>
      </c>
      <c r="C2108" t="s">
        <v>4784</v>
      </c>
      <c r="D2108" t="s">
        <v>4785</v>
      </c>
      <c r="E2108" s="19">
        <v>41470</v>
      </c>
      <c r="F2108" t="str">
        <f>"9781781387085"</f>
        <v>9781781387085</v>
      </c>
      <c r="G2108" t="str">
        <f>"9781846318597"</f>
        <v>9781846318597</v>
      </c>
      <c r="H2108" t="s">
        <v>1320</v>
      </c>
      <c r="I2108">
        <v>942.1</v>
      </c>
      <c r="J2108" t="s">
        <v>4786</v>
      </c>
      <c r="K2108" t="s">
        <v>73</v>
      </c>
      <c r="N2108" t="s">
        <v>74</v>
      </c>
      <c r="O2108" t="s">
        <v>75</v>
      </c>
      <c r="P2108" t="s">
        <v>74</v>
      </c>
      <c r="Q2108" t="s">
        <v>76</v>
      </c>
      <c r="R2108" t="s">
        <v>73</v>
      </c>
      <c r="S2108">
        <v>0</v>
      </c>
      <c r="W2108" s="20">
        <v>5.4398148148148144E-4</v>
      </c>
      <c r="X2108" t="s">
        <v>4787</v>
      </c>
      <c r="Y2108">
        <v>8</v>
      </c>
      <c r="Z2108">
        <v>0</v>
      </c>
      <c r="AA2108" t="s">
        <v>78</v>
      </c>
      <c r="AB2108">
        <v>0</v>
      </c>
      <c r="AC2108" t="s">
        <v>78</v>
      </c>
      <c r="AD2108">
        <v>0</v>
      </c>
      <c r="AE2108">
        <v>11246353</v>
      </c>
      <c r="AF2108" t="s">
        <v>79</v>
      </c>
      <c r="AG2108" t="s">
        <v>4494</v>
      </c>
    </row>
    <row r="2109" spans="1:33" x14ac:dyDescent="0.35">
      <c r="A2109" s="18">
        <v>44286.884027777778</v>
      </c>
      <c r="B2109">
        <v>945533</v>
      </c>
      <c r="C2109" t="s">
        <v>4788</v>
      </c>
      <c r="D2109" t="s">
        <v>683</v>
      </c>
      <c r="E2109" s="19">
        <v>40935</v>
      </c>
      <c r="F2109" t="str">
        <f>"9780857721464"</f>
        <v>9780857721464</v>
      </c>
      <c r="G2109" t="str">
        <f>"9781780761312"</f>
        <v>9781780761312</v>
      </c>
      <c r="H2109" t="s">
        <v>308</v>
      </c>
      <c r="I2109">
        <v>297.27999999999997</v>
      </c>
      <c r="J2109" t="s">
        <v>4789</v>
      </c>
      <c r="K2109" t="s">
        <v>85</v>
      </c>
      <c r="P2109" t="s">
        <v>297</v>
      </c>
      <c r="Q2109" t="s">
        <v>76</v>
      </c>
      <c r="R2109" t="s">
        <v>73</v>
      </c>
      <c r="S2109">
        <v>0</v>
      </c>
      <c r="W2109" s="20">
        <v>8.1018518518518516E-5</v>
      </c>
      <c r="X2109" t="s">
        <v>360</v>
      </c>
      <c r="Y2109">
        <v>2</v>
      </c>
      <c r="Z2109">
        <v>0</v>
      </c>
      <c r="AA2109" t="s">
        <v>78</v>
      </c>
      <c r="AB2109">
        <v>0</v>
      </c>
      <c r="AC2109" t="s">
        <v>78</v>
      </c>
      <c r="AD2109">
        <v>0</v>
      </c>
      <c r="AE2109">
        <v>10572542</v>
      </c>
      <c r="AF2109" t="s">
        <v>79</v>
      </c>
      <c r="AG2109" t="s">
        <v>4724</v>
      </c>
    </row>
    <row r="2110" spans="1:33" x14ac:dyDescent="0.35">
      <c r="A2110" s="18">
        <v>44286.368055555555</v>
      </c>
      <c r="B2110">
        <v>3001261</v>
      </c>
      <c r="C2110" t="s">
        <v>3419</v>
      </c>
      <c r="D2110" t="s">
        <v>3420</v>
      </c>
      <c r="E2110" s="19">
        <v>39630</v>
      </c>
      <c r="F2110" t="str">
        <f>"9780313352874"</f>
        <v>9780313352874</v>
      </c>
      <c r="G2110" t="str">
        <f>"9780313352867"</f>
        <v>9780313352867</v>
      </c>
      <c r="H2110" t="s">
        <v>3421</v>
      </c>
      <c r="I2110">
        <v>333.79</v>
      </c>
      <c r="J2110" t="s">
        <v>3422</v>
      </c>
      <c r="K2110" t="s">
        <v>73</v>
      </c>
      <c r="N2110" t="s">
        <v>74</v>
      </c>
      <c r="O2110" t="s">
        <v>75</v>
      </c>
      <c r="P2110" t="s">
        <v>74</v>
      </c>
      <c r="Q2110" t="s">
        <v>76</v>
      </c>
      <c r="R2110" t="s">
        <v>73</v>
      </c>
      <c r="S2110">
        <v>0</v>
      </c>
      <c r="W2110" s="20">
        <v>3.4722222222222222E-5</v>
      </c>
      <c r="X2110" t="s">
        <v>132</v>
      </c>
      <c r="Y2110">
        <v>1</v>
      </c>
      <c r="Z2110">
        <v>0</v>
      </c>
      <c r="AA2110" t="s">
        <v>78</v>
      </c>
      <c r="AB2110">
        <v>0</v>
      </c>
      <c r="AC2110" t="s">
        <v>78</v>
      </c>
      <c r="AD2110">
        <v>0</v>
      </c>
      <c r="AE2110">
        <v>10271266</v>
      </c>
      <c r="AF2110" t="s">
        <v>79</v>
      </c>
      <c r="AG2110" t="s">
        <v>333</v>
      </c>
    </row>
    <row r="2111" spans="1:33" x14ac:dyDescent="0.35">
      <c r="A2111" s="18">
        <v>44285.905555555553</v>
      </c>
      <c r="B2111">
        <v>945533</v>
      </c>
      <c r="C2111" t="s">
        <v>4788</v>
      </c>
      <c r="D2111" t="s">
        <v>683</v>
      </c>
      <c r="E2111" s="19">
        <v>40935</v>
      </c>
      <c r="F2111" t="str">
        <f>"9780857721464"</f>
        <v>9780857721464</v>
      </c>
      <c r="G2111" t="str">
        <f>"9781780761312"</f>
        <v>9781780761312</v>
      </c>
      <c r="H2111" t="s">
        <v>308</v>
      </c>
      <c r="I2111">
        <v>297.27999999999997</v>
      </c>
      <c r="J2111" t="s">
        <v>4789</v>
      </c>
      <c r="K2111" t="s">
        <v>85</v>
      </c>
      <c r="P2111" t="s">
        <v>297</v>
      </c>
      <c r="Q2111" t="s">
        <v>76</v>
      </c>
      <c r="R2111" t="s">
        <v>73</v>
      </c>
      <c r="S2111">
        <v>0</v>
      </c>
      <c r="W2111" s="20">
        <v>2.5231481481481481E-3</v>
      </c>
      <c r="X2111" t="s">
        <v>4790</v>
      </c>
      <c r="Y2111">
        <v>4</v>
      </c>
      <c r="Z2111">
        <v>0</v>
      </c>
      <c r="AA2111" t="s">
        <v>78</v>
      </c>
      <c r="AB2111">
        <v>0</v>
      </c>
      <c r="AC2111" t="s">
        <v>78</v>
      </c>
      <c r="AD2111">
        <v>0</v>
      </c>
      <c r="AE2111">
        <v>10572542</v>
      </c>
      <c r="AF2111" t="s">
        <v>79</v>
      </c>
      <c r="AG2111" t="s">
        <v>4724</v>
      </c>
    </row>
    <row r="2112" spans="1:33" x14ac:dyDescent="0.35">
      <c r="A2112" s="18">
        <v>44285.879166666666</v>
      </c>
      <c r="B2112">
        <v>945533</v>
      </c>
      <c r="C2112" t="s">
        <v>4788</v>
      </c>
      <c r="D2112" t="s">
        <v>683</v>
      </c>
      <c r="E2112" s="19">
        <v>40935</v>
      </c>
      <c r="F2112" t="str">
        <f>"9780857721464"</f>
        <v>9780857721464</v>
      </c>
      <c r="G2112" t="str">
        <f>"9781780761312"</f>
        <v>9781780761312</v>
      </c>
      <c r="H2112" t="s">
        <v>308</v>
      </c>
      <c r="I2112">
        <v>297.27999999999997</v>
      </c>
      <c r="J2112" t="s">
        <v>4789</v>
      </c>
      <c r="K2112" t="s">
        <v>85</v>
      </c>
      <c r="P2112" t="s">
        <v>297</v>
      </c>
      <c r="Q2112" t="s">
        <v>76</v>
      </c>
      <c r="R2112" t="s">
        <v>73</v>
      </c>
      <c r="S2112">
        <v>0</v>
      </c>
      <c r="W2112" s="20">
        <v>3.8194444444444446E-4</v>
      </c>
      <c r="X2112" t="s">
        <v>1109</v>
      </c>
      <c r="Y2112">
        <v>3</v>
      </c>
      <c r="Z2112">
        <v>0</v>
      </c>
      <c r="AA2112" t="s">
        <v>78</v>
      </c>
      <c r="AB2112">
        <v>0</v>
      </c>
      <c r="AC2112" t="s">
        <v>78</v>
      </c>
      <c r="AD2112">
        <v>0</v>
      </c>
      <c r="AE2112">
        <v>10572542</v>
      </c>
      <c r="AF2112" t="s">
        <v>79</v>
      </c>
      <c r="AG2112" t="s">
        <v>4724</v>
      </c>
    </row>
    <row r="2113" spans="1:33" x14ac:dyDescent="0.35">
      <c r="A2113" s="18">
        <v>44285.688888888886</v>
      </c>
      <c r="B2113">
        <v>3001261</v>
      </c>
      <c r="C2113" t="s">
        <v>3419</v>
      </c>
      <c r="D2113" t="s">
        <v>3420</v>
      </c>
      <c r="E2113" s="19">
        <v>39630</v>
      </c>
      <c r="F2113" t="str">
        <f>"9780313352874"</f>
        <v>9780313352874</v>
      </c>
      <c r="G2113" t="str">
        <f>"9780313352867"</f>
        <v>9780313352867</v>
      </c>
      <c r="H2113" t="s">
        <v>3421</v>
      </c>
      <c r="I2113">
        <v>333.79</v>
      </c>
      <c r="J2113" t="s">
        <v>3422</v>
      </c>
      <c r="K2113" t="s">
        <v>73</v>
      </c>
      <c r="N2113" t="s">
        <v>74</v>
      </c>
      <c r="O2113" t="s">
        <v>75</v>
      </c>
      <c r="P2113" t="s">
        <v>74</v>
      </c>
      <c r="Q2113" t="s">
        <v>76</v>
      </c>
      <c r="R2113" t="s">
        <v>73</v>
      </c>
      <c r="S2113">
        <v>0</v>
      </c>
      <c r="W2113" s="20">
        <v>3.4722222222222222E-5</v>
      </c>
      <c r="X2113" t="s">
        <v>132</v>
      </c>
      <c r="Y2113">
        <v>1</v>
      </c>
      <c r="Z2113">
        <v>0</v>
      </c>
      <c r="AA2113" t="s">
        <v>78</v>
      </c>
      <c r="AB2113">
        <v>0</v>
      </c>
      <c r="AC2113" t="s">
        <v>78</v>
      </c>
      <c r="AD2113">
        <v>0</v>
      </c>
      <c r="AE2113">
        <v>10271266</v>
      </c>
      <c r="AF2113" t="s">
        <v>79</v>
      </c>
      <c r="AG2113" t="s">
        <v>333</v>
      </c>
    </row>
    <row r="2114" spans="1:33" x14ac:dyDescent="0.35">
      <c r="A2114" s="18">
        <v>44285.6875</v>
      </c>
      <c r="B2114">
        <v>3376293</v>
      </c>
      <c r="C2114" t="s">
        <v>4766</v>
      </c>
      <c r="D2114" t="s">
        <v>351</v>
      </c>
      <c r="E2114" s="19">
        <v>35289</v>
      </c>
      <c r="F2114" t="str">
        <f>"9780309589567"</f>
        <v>9780309589567</v>
      </c>
      <c r="G2114" t="str">
        <f>"9780309055499"</f>
        <v>9780309055499</v>
      </c>
      <c r="H2114" t="s">
        <v>4767</v>
      </c>
      <c r="I2114" t="s">
        <v>4768</v>
      </c>
      <c r="J2114" t="s">
        <v>4769</v>
      </c>
      <c r="K2114" t="s">
        <v>73</v>
      </c>
      <c r="N2114" t="s">
        <v>74</v>
      </c>
      <c r="O2114" t="s">
        <v>75</v>
      </c>
      <c r="P2114" t="s">
        <v>230</v>
      </c>
      <c r="Q2114" t="s">
        <v>76</v>
      </c>
      <c r="R2114" t="s">
        <v>85</v>
      </c>
      <c r="S2114">
        <v>0</v>
      </c>
      <c r="W2114" s="20">
        <v>5.6712962962962956E-4</v>
      </c>
      <c r="X2114" t="s">
        <v>4791</v>
      </c>
      <c r="Y2114">
        <v>10</v>
      </c>
      <c r="Z2114">
        <v>0</v>
      </c>
      <c r="AA2114" t="s">
        <v>78</v>
      </c>
      <c r="AB2114">
        <v>0</v>
      </c>
      <c r="AC2114" t="s">
        <v>78</v>
      </c>
      <c r="AD2114">
        <v>0</v>
      </c>
      <c r="AE2114">
        <v>10055380</v>
      </c>
      <c r="AF2114" t="s">
        <v>79</v>
      </c>
      <c r="AG2114" t="s">
        <v>4772</v>
      </c>
    </row>
    <row r="2115" spans="1:33" x14ac:dyDescent="0.35">
      <c r="A2115" s="18">
        <v>44285.670138888891</v>
      </c>
      <c r="B2115">
        <v>404221</v>
      </c>
      <c r="C2115" t="s">
        <v>4792</v>
      </c>
      <c r="D2115" t="s">
        <v>158</v>
      </c>
      <c r="E2115" s="19">
        <v>37526</v>
      </c>
      <c r="F2115" t="str">
        <f>"9780080523545"</f>
        <v>9780080523545</v>
      </c>
      <c r="G2115" t="str">
        <f>"9780750646376"</f>
        <v>9780750646376</v>
      </c>
      <c r="H2115" t="s">
        <v>466</v>
      </c>
      <c r="I2115">
        <v>621.32100000000003</v>
      </c>
      <c r="J2115" t="s">
        <v>4793</v>
      </c>
      <c r="K2115" t="s">
        <v>73</v>
      </c>
      <c r="N2115" t="s">
        <v>74</v>
      </c>
      <c r="O2115" t="s">
        <v>75</v>
      </c>
      <c r="P2115" t="s">
        <v>74</v>
      </c>
      <c r="Q2115" t="s">
        <v>76</v>
      </c>
      <c r="R2115" t="s">
        <v>73</v>
      </c>
      <c r="S2115">
        <v>1</v>
      </c>
      <c r="W2115" s="20">
        <v>0</v>
      </c>
      <c r="X2115" t="s">
        <v>78</v>
      </c>
      <c r="Y2115">
        <v>0</v>
      </c>
      <c r="Z2115">
        <v>0</v>
      </c>
      <c r="AA2115" t="s">
        <v>78</v>
      </c>
      <c r="AB2115">
        <v>0</v>
      </c>
      <c r="AC2115" t="s">
        <v>78</v>
      </c>
      <c r="AD2115">
        <v>0</v>
      </c>
      <c r="AE2115">
        <v>10251244</v>
      </c>
      <c r="AF2115" t="s">
        <v>88</v>
      </c>
      <c r="AG2115" t="s">
        <v>4724</v>
      </c>
    </row>
    <row r="2116" spans="1:33" x14ac:dyDescent="0.35">
      <c r="A2116" s="18">
        <v>44285.660416666666</v>
      </c>
      <c r="B2116">
        <v>1931610</v>
      </c>
      <c r="C2116" t="s">
        <v>4794</v>
      </c>
      <c r="D2116" t="s">
        <v>205</v>
      </c>
      <c r="E2116" s="19">
        <v>39234</v>
      </c>
      <c r="F2116" t="str">
        <f>"9781596932456"</f>
        <v>9781596932456</v>
      </c>
      <c r="G2116" t="str">
        <f>"9781596932449"</f>
        <v>9781596932449</v>
      </c>
      <c r="H2116" t="s">
        <v>466</v>
      </c>
      <c r="I2116">
        <v>621.29999999999995</v>
      </c>
      <c r="J2116" t="s">
        <v>4795</v>
      </c>
      <c r="K2116" t="s">
        <v>73</v>
      </c>
      <c r="N2116" t="s">
        <v>74</v>
      </c>
      <c r="O2116" t="s">
        <v>75</v>
      </c>
      <c r="P2116" t="s">
        <v>74</v>
      </c>
      <c r="Q2116" t="s">
        <v>76</v>
      </c>
      <c r="R2116" t="s">
        <v>73</v>
      </c>
      <c r="S2116">
        <v>0</v>
      </c>
      <c r="W2116" s="20">
        <v>4.6296296296296293E-4</v>
      </c>
      <c r="X2116" t="s">
        <v>4796</v>
      </c>
      <c r="Y2116">
        <v>13</v>
      </c>
      <c r="Z2116">
        <v>0</v>
      </c>
      <c r="AA2116" t="s">
        <v>78</v>
      </c>
      <c r="AB2116">
        <v>0</v>
      </c>
      <c r="AC2116" t="s">
        <v>78</v>
      </c>
      <c r="AD2116">
        <v>0</v>
      </c>
      <c r="AE2116">
        <v>10312940</v>
      </c>
      <c r="AF2116" t="s">
        <v>79</v>
      </c>
      <c r="AG2116" t="s">
        <v>4724</v>
      </c>
    </row>
    <row r="2117" spans="1:33" x14ac:dyDescent="0.35">
      <c r="A2117" s="18">
        <v>44285.657638888886</v>
      </c>
      <c r="B2117">
        <v>1446367</v>
      </c>
      <c r="C2117" t="s">
        <v>4797</v>
      </c>
      <c r="D2117" t="s">
        <v>127</v>
      </c>
      <c r="E2117" s="19">
        <v>40954</v>
      </c>
      <c r="F2117" t="str">
        <f>"9781439898079"</f>
        <v>9781439898079</v>
      </c>
      <c r="G2117" t="str">
        <f>"9781439837146"</f>
        <v>9781439837146</v>
      </c>
      <c r="H2117" t="s">
        <v>71</v>
      </c>
      <c r="I2117">
        <v>621.29999999999995</v>
      </c>
      <c r="J2117" t="s">
        <v>4798</v>
      </c>
      <c r="K2117" t="s">
        <v>73</v>
      </c>
      <c r="N2117" t="s">
        <v>74</v>
      </c>
      <c r="O2117" t="s">
        <v>75</v>
      </c>
      <c r="P2117" t="s">
        <v>74</v>
      </c>
      <c r="Q2117" t="s">
        <v>76</v>
      </c>
      <c r="R2117" t="s">
        <v>73</v>
      </c>
      <c r="S2117">
        <v>0</v>
      </c>
      <c r="W2117" s="20">
        <v>1.0879629629629629E-3</v>
      </c>
      <c r="X2117" t="s">
        <v>4799</v>
      </c>
      <c r="Y2117">
        <v>27</v>
      </c>
      <c r="Z2117">
        <v>0</v>
      </c>
      <c r="AA2117" t="s">
        <v>78</v>
      </c>
      <c r="AB2117">
        <v>0</v>
      </c>
      <c r="AC2117" t="s">
        <v>78</v>
      </c>
      <c r="AD2117">
        <v>0</v>
      </c>
      <c r="AE2117">
        <v>11166001</v>
      </c>
      <c r="AF2117" t="s">
        <v>79</v>
      </c>
      <c r="AG2117" t="s">
        <v>4724</v>
      </c>
    </row>
    <row r="2118" spans="1:33" x14ac:dyDescent="0.35">
      <c r="A2118" s="18">
        <v>44285.62777777778</v>
      </c>
      <c r="B2118">
        <v>3001261</v>
      </c>
      <c r="C2118" t="s">
        <v>3419</v>
      </c>
      <c r="D2118" t="s">
        <v>3420</v>
      </c>
      <c r="E2118" s="19">
        <v>39630</v>
      </c>
      <c r="F2118" t="str">
        <f>"9780313352874"</f>
        <v>9780313352874</v>
      </c>
      <c r="G2118" t="str">
        <f>"9780313352867"</f>
        <v>9780313352867</v>
      </c>
      <c r="H2118" t="s">
        <v>3421</v>
      </c>
      <c r="I2118">
        <v>333.79</v>
      </c>
      <c r="J2118" t="s">
        <v>3422</v>
      </c>
      <c r="K2118" t="s">
        <v>73</v>
      </c>
      <c r="N2118" t="s">
        <v>74</v>
      </c>
      <c r="O2118" t="s">
        <v>75</v>
      </c>
      <c r="P2118" t="s">
        <v>74</v>
      </c>
      <c r="Q2118" t="s">
        <v>76</v>
      </c>
      <c r="R2118" t="s">
        <v>73</v>
      </c>
      <c r="S2118">
        <v>0</v>
      </c>
      <c r="W2118" s="20">
        <v>8.1018518518518516E-5</v>
      </c>
      <c r="X2118" t="s">
        <v>249</v>
      </c>
      <c r="Y2118">
        <v>2</v>
      </c>
      <c r="Z2118">
        <v>0</v>
      </c>
      <c r="AA2118" t="s">
        <v>78</v>
      </c>
      <c r="AB2118">
        <v>0</v>
      </c>
      <c r="AC2118" t="s">
        <v>78</v>
      </c>
      <c r="AD2118">
        <v>0</v>
      </c>
      <c r="AE2118">
        <v>10271266</v>
      </c>
      <c r="AF2118" t="s">
        <v>79</v>
      </c>
      <c r="AG2118" t="s">
        <v>333</v>
      </c>
    </row>
    <row r="2119" spans="1:33" x14ac:dyDescent="0.35">
      <c r="A2119" s="18">
        <v>44285.581250000003</v>
      </c>
      <c r="B2119">
        <v>3376293</v>
      </c>
      <c r="C2119" t="s">
        <v>4766</v>
      </c>
      <c r="D2119" t="s">
        <v>351</v>
      </c>
      <c r="E2119" s="19">
        <v>35289</v>
      </c>
      <c r="F2119" t="str">
        <f>"9780309589567"</f>
        <v>9780309589567</v>
      </c>
      <c r="G2119" t="str">
        <f>"9780309055499"</f>
        <v>9780309055499</v>
      </c>
      <c r="H2119" t="s">
        <v>4767</v>
      </c>
      <c r="I2119" t="s">
        <v>4768</v>
      </c>
      <c r="J2119" t="s">
        <v>4769</v>
      </c>
      <c r="K2119" t="s">
        <v>73</v>
      </c>
      <c r="N2119" t="s">
        <v>74</v>
      </c>
      <c r="O2119" t="s">
        <v>75</v>
      </c>
      <c r="P2119" t="s">
        <v>230</v>
      </c>
      <c r="Q2119" t="s">
        <v>76</v>
      </c>
      <c r="R2119" t="s">
        <v>85</v>
      </c>
      <c r="S2119">
        <v>0</v>
      </c>
      <c r="W2119" s="20">
        <v>2.5231481481481483E-2</v>
      </c>
      <c r="X2119" t="s">
        <v>4800</v>
      </c>
      <c r="Y2119">
        <v>17</v>
      </c>
      <c r="Z2119">
        <v>0</v>
      </c>
      <c r="AA2119" t="s">
        <v>78</v>
      </c>
      <c r="AB2119">
        <v>0</v>
      </c>
      <c r="AC2119" t="s">
        <v>78</v>
      </c>
      <c r="AD2119">
        <v>0</v>
      </c>
      <c r="AE2119">
        <v>10055380</v>
      </c>
      <c r="AF2119" t="s">
        <v>79</v>
      </c>
      <c r="AG2119" t="s">
        <v>4772</v>
      </c>
    </row>
    <row r="2120" spans="1:33" x14ac:dyDescent="0.35">
      <c r="A2120" s="18">
        <v>44285.540277777778</v>
      </c>
      <c r="B2120">
        <v>6109026</v>
      </c>
      <c r="C2120" t="s">
        <v>4801</v>
      </c>
      <c r="D2120" t="s">
        <v>2112</v>
      </c>
      <c r="E2120" s="19">
        <v>43869</v>
      </c>
      <c r="F2120" t="str">
        <f>"9781484251249"</f>
        <v>9781484251249</v>
      </c>
      <c r="G2120" t="str">
        <f>"9781484251232"</f>
        <v>9781484251232</v>
      </c>
      <c r="H2120" t="s">
        <v>110</v>
      </c>
      <c r="I2120">
        <v>5.13</v>
      </c>
      <c r="J2120" t="s">
        <v>2113</v>
      </c>
      <c r="K2120" t="s">
        <v>85</v>
      </c>
      <c r="Q2120" t="s">
        <v>76</v>
      </c>
      <c r="R2120" t="s">
        <v>73</v>
      </c>
      <c r="S2120">
        <v>0</v>
      </c>
      <c r="W2120" s="20">
        <v>4.5138888888888892E-4</v>
      </c>
      <c r="X2120" t="s">
        <v>4802</v>
      </c>
      <c r="Y2120">
        <v>8</v>
      </c>
      <c r="Z2120">
        <v>0</v>
      </c>
      <c r="AA2120" t="s">
        <v>78</v>
      </c>
      <c r="AB2120">
        <v>0</v>
      </c>
      <c r="AC2120" t="s">
        <v>78</v>
      </c>
      <c r="AD2120">
        <v>0</v>
      </c>
      <c r="AE2120">
        <v>-1</v>
      </c>
      <c r="AF2120" t="s">
        <v>79</v>
      </c>
      <c r="AG2120" t="s">
        <v>4724</v>
      </c>
    </row>
    <row r="2121" spans="1:33" x14ac:dyDescent="0.35">
      <c r="A2121" s="18">
        <v>44285.540277777778</v>
      </c>
      <c r="B2121">
        <v>767259</v>
      </c>
      <c r="C2121" t="s">
        <v>4803</v>
      </c>
      <c r="D2121" t="s">
        <v>338</v>
      </c>
      <c r="E2121" s="19">
        <v>40829</v>
      </c>
      <c r="F2121" t="str">
        <f>"9780123918871"</f>
        <v>9780123918871</v>
      </c>
      <c r="G2121" t="str">
        <f>"9780123918864"</f>
        <v>9780123918864</v>
      </c>
      <c r="H2121" t="s">
        <v>4804</v>
      </c>
      <c r="I2121" t="s">
        <v>4805</v>
      </c>
      <c r="J2121" t="s">
        <v>4806</v>
      </c>
      <c r="K2121" t="s">
        <v>73</v>
      </c>
      <c r="N2121" t="s">
        <v>74</v>
      </c>
      <c r="O2121" t="s">
        <v>75</v>
      </c>
      <c r="P2121" t="s">
        <v>74</v>
      </c>
      <c r="Q2121" t="s">
        <v>76</v>
      </c>
      <c r="R2121" t="s">
        <v>73</v>
      </c>
      <c r="S2121">
        <v>0</v>
      </c>
      <c r="W2121" s="20">
        <v>6.9444444444444444E-5</v>
      </c>
      <c r="X2121" t="s">
        <v>360</v>
      </c>
      <c r="Y2121">
        <v>2</v>
      </c>
      <c r="Z2121">
        <v>0</v>
      </c>
      <c r="AA2121" t="s">
        <v>78</v>
      </c>
      <c r="AB2121">
        <v>0</v>
      </c>
      <c r="AC2121" t="s">
        <v>78</v>
      </c>
      <c r="AD2121">
        <v>0</v>
      </c>
      <c r="AE2121">
        <v>10496416</v>
      </c>
      <c r="AF2121" t="s">
        <v>79</v>
      </c>
      <c r="AG2121" t="s">
        <v>4724</v>
      </c>
    </row>
    <row r="2122" spans="1:33" x14ac:dyDescent="0.35">
      <c r="A2122" s="18">
        <v>44285.535416666666</v>
      </c>
      <c r="B2122">
        <v>4010517</v>
      </c>
      <c r="C2122" t="s">
        <v>4807</v>
      </c>
      <c r="D2122" t="s">
        <v>2660</v>
      </c>
      <c r="E2122" s="19">
        <v>42369</v>
      </c>
      <c r="F2122" t="str">
        <f>"9781486302536"</f>
        <v>9781486302536</v>
      </c>
      <c r="G2122" t="str">
        <f>"9781486302529"</f>
        <v>9781486302529</v>
      </c>
      <c r="H2122" t="s">
        <v>1084</v>
      </c>
      <c r="I2122">
        <v>616.98</v>
      </c>
      <c r="J2122" t="s">
        <v>4808</v>
      </c>
      <c r="K2122" t="s">
        <v>73</v>
      </c>
      <c r="N2122" t="s">
        <v>74</v>
      </c>
      <c r="O2122" t="s">
        <v>75</v>
      </c>
      <c r="P2122" t="s">
        <v>74</v>
      </c>
      <c r="Q2122" t="s">
        <v>76</v>
      </c>
      <c r="R2122" t="s">
        <v>73</v>
      </c>
      <c r="S2122">
        <v>0</v>
      </c>
      <c r="W2122" s="20">
        <v>8.6805555555555551E-4</v>
      </c>
      <c r="X2122" t="s">
        <v>4809</v>
      </c>
      <c r="Y2122">
        <v>4</v>
      </c>
      <c r="Z2122">
        <v>0</v>
      </c>
      <c r="AA2122" t="s">
        <v>78</v>
      </c>
      <c r="AB2122">
        <v>0</v>
      </c>
      <c r="AC2122" t="s">
        <v>78</v>
      </c>
      <c r="AD2122">
        <v>0</v>
      </c>
      <c r="AE2122">
        <v>11092134</v>
      </c>
      <c r="AF2122" t="s">
        <v>79</v>
      </c>
      <c r="AG2122" t="s">
        <v>333</v>
      </c>
    </row>
    <row r="2123" spans="1:33" x14ac:dyDescent="0.35">
      <c r="A2123" s="18">
        <v>44285.532638888886</v>
      </c>
      <c r="B2123">
        <v>953183</v>
      </c>
      <c r="C2123" t="s">
        <v>4810</v>
      </c>
      <c r="D2123" t="s">
        <v>158</v>
      </c>
      <c r="E2123" s="19">
        <v>41142</v>
      </c>
      <c r="F2123" t="str">
        <f>"9780123869883"</f>
        <v>9780123869883</v>
      </c>
      <c r="G2123" t="str">
        <f>"9780123869425"</f>
        <v>9780123869425</v>
      </c>
      <c r="H2123" t="s">
        <v>115</v>
      </c>
      <c r="I2123" t="s">
        <v>4811</v>
      </c>
      <c r="J2123" t="s">
        <v>4812</v>
      </c>
      <c r="K2123" t="s">
        <v>73</v>
      </c>
      <c r="N2123" t="s">
        <v>74</v>
      </c>
      <c r="O2123" t="s">
        <v>75</v>
      </c>
      <c r="P2123" t="s">
        <v>74</v>
      </c>
      <c r="Q2123" t="s">
        <v>76</v>
      </c>
      <c r="R2123" t="s">
        <v>73</v>
      </c>
      <c r="S2123">
        <v>0</v>
      </c>
      <c r="W2123" s="20">
        <v>4.7337962962962958E-3</v>
      </c>
      <c r="X2123" t="s">
        <v>4813</v>
      </c>
      <c r="Y2123">
        <v>54</v>
      </c>
      <c r="Z2123">
        <v>0</v>
      </c>
      <c r="AA2123" t="s">
        <v>78</v>
      </c>
      <c r="AB2123">
        <v>0</v>
      </c>
      <c r="AC2123" t="s">
        <v>78</v>
      </c>
      <c r="AD2123">
        <v>0</v>
      </c>
      <c r="AE2123">
        <v>10578537</v>
      </c>
      <c r="AF2123" t="s">
        <v>79</v>
      </c>
      <c r="AG2123" t="s">
        <v>4724</v>
      </c>
    </row>
    <row r="2124" spans="1:33" x14ac:dyDescent="0.35">
      <c r="A2124" s="18">
        <v>44285.529166666667</v>
      </c>
      <c r="B2124">
        <v>2058695</v>
      </c>
      <c r="C2124" t="s">
        <v>4814</v>
      </c>
      <c r="D2124" t="s">
        <v>102</v>
      </c>
      <c r="E2124" s="19">
        <v>42215</v>
      </c>
      <c r="F2124" t="str">
        <f>"9780190202460"</f>
        <v>9780190202460</v>
      </c>
      <c r="G2124" t="str">
        <f>"9780190202453"</f>
        <v>9780190202453</v>
      </c>
      <c r="H2124" t="s">
        <v>775</v>
      </c>
      <c r="I2124">
        <v>616.98800000000006</v>
      </c>
      <c r="J2124" t="s">
        <v>4815</v>
      </c>
      <c r="K2124" t="s">
        <v>73</v>
      </c>
      <c r="N2124" t="s">
        <v>74</v>
      </c>
      <c r="O2124" t="s">
        <v>75</v>
      </c>
      <c r="P2124" t="s">
        <v>74</v>
      </c>
      <c r="Q2124" t="s">
        <v>76</v>
      </c>
      <c r="R2124" t="s">
        <v>73</v>
      </c>
      <c r="S2124">
        <v>0</v>
      </c>
      <c r="W2124" s="20">
        <v>4.0624999999999993E-3</v>
      </c>
      <c r="X2124" t="s">
        <v>4816</v>
      </c>
      <c r="Y2124">
        <v>11</v>
      </c>
      <c r="Z2124">
        <v>0</v>
      </c>
      <c r="AA2124" t="s">
        <v>78</v>
      </c>
      <c r="AB2124">
        <v>0</v>
      </c>
      <c r="AC2124" t="s">
        <v>78</v>
      </c>
      <c r="AD2124">
        <v>0</v>
      </c>
      <c r="AE2124">
        <v>11058631</v>
      </c>
      <c r="AF2124" t="s">
        <v>79</v>
      </c>
      <c r="AG2124" t="s">
        <v>333</v>
      </c>
    </row>
    <row r="2125" spans="1:33" x14ac:dyDescent="0.35">
      <c r="A2125" s="18">
        <v>44285.512499999997</v>
      </c>
      <c r="B2125">
        <v>1124854</v>
      </c>
      <c r="C2125" t="s">
        <v>1628</v>
      </c>
      <c r="D2125" t="s">
        <v>70</v>
      </c>
      <c r="E2125" s="19">
        <v>41303</v>
      </c>
      <c r="F2125" t="str">
        <f>"9783527651153"</f>
        <v>9783527651153</v>
      </c>
      <c r="G2125" t="str">
        <f>"9783527332588"</f>
        <v>9783527332588</v>
      </c>
      <c r="H2125" t="s">
        <v>154</v>
      </c>
      <c r="I2125">
        <v>547.61</v>
      </c>
      <c r="J2125" t="s">
        <v>1629</v>
      </c>
      <c r="K2125" t="s">
        <v>73</v>
      </c>
      <c r="N2125" t="s">
        <v>74</v>
      </c>
      <c r="O2125" t="s">
        <v>75</v>
      </c>
      <c r="P2125" t="s">
        <v>74</v>
      </c>
      <c r="Q2125" t="s">
        <v>76</v>
      </c>
      <c r="R2125" t="s">
        <v>73</v>
      </c>
      <c r="S2125">
        <v>0</v>
      </c>
      <c r="W2125" s="20">
        <v>8.7962962962962962E-4</v>
      </c>
      <c r="X2125" t="s">
        <v>4817</v>
      </c>
      <c r="Y2125">
        <v>11</v>
      </c>
      <c r="Z2125">
        <v>0</v>
      </c>
      <c r="AA2125" t="s">
        <v>78</v>
      </c>
      <c r="AB2125">
        <v>0</v>
      </c>
      <c r="AC2125" t="s">
        <v>78</v>
      </c>
      <c r="AD2125">
        <v>0</v>
      </c>
      <c r="AE2125">
        <v>10660591</v>
      </c>
      <c r="AF2125" t="s">
        <v>79</v>
      </c>
      <c r="AG2125" t="s">
        <v>4818</v>
      </c>
    </row>
    <row r="2126" spans="1:33" x14ac:dyDescent="0.35">
      <c r="A2126" s="18">
        <v>44285.510416666664</v>
      </c>
      <c r="B2126">
        <v>5607239</v>
      </c>
      <c r="C2126" t="s">
        <v>4819</v>
      </c>
      <c r="D2126" t="s">
        <v>3182</v>
      </c>
      <c r="E2126" s="19">
        <v>43466</v>
      </c>
      <c r="F2126" t="str">
        <f>"9781541543676"</f>
        <v>9781541543676</v>
      </c>
      <c r="G2126" t="str">
        <f>"9781541538672"</f>
        <v>9781541538672</v>
      </c>
      <c r="H2126" t="s">
        <v>1561</v>
      </c>
      <c r="I2126">
        <v>551.6</v>
      </c>
      <c r="K2126" t="s">
        <v>85</v>
      </c>
      <c r="Q2126" t="s">
        <v>76</v>
      </c>
      <c r="R2126" t="s">
        <v>73</v>
      </c>
      <c r="S2126">
        <v>0</v>
      </c>
      <c r="W2126" s="20">
        <v>6.3657407407407402E-4</v>
      </c>
      <c r="X2126" t="s">
        <v>4820</v>
      </c>
      <c r="Y2126">
        <v>11</v>
      </c>
      <c r="Z2126">
        <v>0</v>
      </c>
      <c r="AA2126" t="s">
        <v>78</v>
      </c>
      <c r="AB2126">
        <v>0</v>
      </c>
      <c r="AC2126" t="s">
        <v>78</v>
      </c>
      <c r="AD2126">
        <v>0</v>
      </c>
      <c r="AE2126">
        <v>-1</v>
      </c>
      <c r="AF2126" t="s">
        <v>79</v>
      </c>
      <c r="AG2126" t="s">
        <v>4821</v>
      </c>
    </row>
    <row r="2127" spans="1:33" x14ac:dyDescent="0.35">
      <c r="A2127" s="18">
        <v>44285.433333333334</v>
      </c>
      <c r="B2127">
        <v>5607239</v>
      </c>
      <c r="C2127" t="s">
        <v>4819</v>
      </c>
      <c r="D2127" t="s">
        <v>3182</v>
      </c>
      <c r="E2127" s="19">
        <v>43466</v>
      </c>
      <c r="F2127" t="str">
        <f>"9781541543676"</f>
        <v>9781541543676</v>
      </c>
      <c r="G2127" t="str">
        <f>"9781541538672"</f>
        <v>9781541538672</v>
      </c>
      <c r="H2127" t="s">
        <v>1561</v>
      </c>
      <c r="I2127">
        <v>551.6</v>
      </c>
      <c r="K2127" t="s">
        <v>85</v>
      </c>
      <c r="Q2127" t="s">
        <v>76</v>
      </c>
      <c r="R2127" t="s">
        <v>73</v>
      </c>
      <c r="S2127">
        <v>0</v>
      </c>
      <c r="W2127" s="20">
        <v>2.3148148148148146E-4</v>
      </c>
      <c r="X2127" t="s">
        <v>4822</v>
      </c>
      <c r="Y2127">
        <v>6</v>
      </c>
      <c r="Z2127">
        <v>0</v>
      </c>
      <c r="AA2127" t="s">
        <v>78</v>
      </c>
      <c r="AB2127">
        <v>0</v>
      </c>
      <c r="AC2127" t="s">
        <v>78</v>
      </c>
      <c r="AD2127">
        <v>0</v>
      </c>
      <c r="AE2127">
        <v>-1</v>
      </c>
      <c r="AF2127" t="s">
        <v>79</v>
      </c>
      <c r="AG2127" t="s">
        <v>4821</v>
      </c>
    </row>
    <row r="2128" spans="1:33" x14ac:dyDescent="0.35">
      <c r="A2128" s="18">
        <v>44284.85</v>
      </c>
      <c r="B2128">
        <v>1139066</v>
      </c>
      <c r="C2128" t="s">
        <v>4823</v>
      </c>
      <c r="D2128" t="s">
        <v>189</v>
      </c>
      <c r="E2128" s="19">
        <v>41627</v>
      </c>
      <c r="F2128" t="str">
        <f>"9783110306576"</f>
        <v>9783110306576</v>
      </c>
      <c r="G2128" t="str">
        <f>"9783110306552"</f>
        <v>9783110306552</v>
      </c>
      <c r="H2128" t="s">
        <v>222</v>
      </c>
      <c r="I2128">
        <v>618.10590000000002</v>
      </c>
      <c r="J2128" t="s">
        <v>4824</v>
      </c>
      <c r="K2128" t="s">
        <v>73</v>
      </c>
      <c r="N2128" t="s">
        <v>74</v>
      </c>
      <c r="O2128" t="s">
        <v>75</v>
      </c>
      <c r="P2128" t="s">
        <v>74</v>
      </c>
      <c r="Q2128" t="s">
        <v>76</v>
      </c>
      <c r="R2128" t="s">
        <v>73</v>
      </c>
      <c r="S2128">
        <v>0</v>
      </c>
      <c r="W2128" s="20">
        <v>5.7870370370370366E-5</v>
      </c>
      <c r="X2128" t="s">
        <v>132</v>
      </c>
      <c r="Y2128">
        <v>1</v>
      </c>
      <c r="Z2128">
        <v>0</v>
      </c>
      <c r="AA2128" t="s">
        <v>78</v>
      </c>
      <c r="AB2128">
        <v>0</v>
      </c>
      <c r="AC2128" t="s">
        <v>78</v>
      </c>
      <c r="AD2128">
        <v>0</v>
      </c>
      <c r="AE2128">
        <v>10849035</v>
      </c>
      <c r="AF2128" t="s">
        <v>79</v>
      </c>
      <c r="AG2128" t="s">
        <v>4821</v>
      </c>
    </row>
    <row r="2129" spans="1:33" x14ac:dyDescent="0.35">
      <c r="A2129" s="18">
        <v>44284.808333333334</v>
      </c>
      <c r="B2129">
        <v>689292</v>
      </c>
      <c r="C2129" t="s">
        <v>4825</v>
      </c>
      <c r="D2129" t="s">
        <v>990</v>
      </c>
      <c r="E2129" s="19">
        <v>40680</v>
      </c>
      <c r="F2129" t="str">
        <f>"9780199792450"</f>
        <v>9780199792450</v>
      </c>
      <c r="G2129" t="str">
        <f>"9780199759453"</f>
        <v>9780199759453</v>
      </c>
      <c r="H2129" t="s">
        <v>4826</v>
      </c>
      <c r="I2129" t="s">
        <v>4827</v>
      </c>
      <c r="J2129" t="s">
        <v>4828</v>
      </c>
      <c r="K2129" t="s">
        <v>85</v>
      </c>
      <c r="N2129" t="s">
        <v>74</v>
      </c>
      <c r="O2129" t="s">
        <v>75</v>
      </c>
      <c r="P2129" t="s">
        <v>74</v>
      </c>
      <c r="Q2129" t="s">
        <v>76</v>
      </c>
      <c r="R2129" t="s">
        <v>73</v>
      </c>
      <c r="S2129">
        <v>0</v>
      </c>
      <c r="W2129" s="20">
        <v>4.363425925925926E-3</v>
      </c>
      <c r="X2129" t="s">
        <v>4829</v>
      </c>
      <c r="Y2129">
        <v>35</v>
      </c>
      <c r="Z2129">
        <v>0</v>
      </c>
      <c r="AA2129" t="s">
        <v>78</v>
      </c>
      <c r="AB2129">
        <v>0</v>
      </c>
      <c r="AC2129" t="s">
        <v>4830</v>
      </c>
      <c r="AD2129">
        <v>1</v>
      </c>
      <c r="AE2129">
        <v>10467545</v>
      </c>
      <c r="AF2129" t="s">
        <v>79</v>
      </c>
      <c r="AG2129" t="s">
        <v>4724</v>
      </c>
    </row>
    <row r="2130" spans="1:33" x14ac:dyDescent="0.35">
      <c r="A2130" s="18">
        <v>44284.618750000001</v>
      </c>
      <c r="B2130">
        <v>1372120</v>
      </c>
      <c r="C2130" t="s">
        <v>4831</v>
      </c>
      <c r="D2130" t="s">
        <v>158</v>
      </c>
      <c r="E2130" s="19">
        <v>41549</v>
      </c>
      <c r="F2130" t="str">
        <f>"9780080951355"</f>
        <v>9780080951355</v>
      </c>
      <c r="G2130" t="str">
        <f>"9781856176330"</f>
        <v>9781856176330</v>
      </c>
      <c r="H2130" t="s">
        <v>3243</v>
      </c>
      <c r="I2130" t="s">
        <v>4832</v>
      </c>
      <c r="J2130" t="s">
        <v>4833</v>
      </c>
      <c r="K2130" t="s">
        <v>73</v>
      </c>
      <c r="N2130" t="s">
        <v>74</v>
      </c>
      <c r="O2130" t="s">
        <v>75</v>
      </c>
      <c r="P2130" t="s">
        <v>74</v>
      </c>
      <c r="Q2130" t="s">
        <v>76</v>
      </c>
      <c r="R2130" t="s">
        <v>73</v>
      </c>
      <c r="S2130">
        <v>0</v>
      </c>
      <c r="W2130" s="20">
        <v>0</v>
      </c>
      <c r="X2130" t="s">
        <v>78</v>
      </c>
      <c r="Y2130">
        <v>0</v>
      </c>
      <c r="Z2130">
        <v>1</v>
      </c>
      <c r="AA2130" t="s">
        <v>4834</v>
      </c>
      <c r="AB2130">
        <v>46</v>
      </c>
      <c r="AC2130" t="s">
        <v>78</v>
      </c>
      <c r="AD2130">
        <v>0</v>
      </c>
      <c r="AE2130">
        <v>10755372</v>
      </c>
      <c r="AF2130" t="s">
        <v>79</v>
      </c>
      <c r="AG2130" t="s">
        <v>4724</v>
      </c>
    </row>
    <row r="2131" spans="1:33" x14ac:dyDescent="0.35">
      <c r="A2131" s="18">
        <v>44284.396527777775</v>
      </c>
      <c r="B2131">
        <v>3020870</v>
      </c>
      <c r="C2131" t="s">
        <v>4748</v>
      </c>
      <c r="D2131" t="s">
        <v>226</v>
      </c>
      <c r="E2131" s="19">
        <v>40452</v>
      </c>
      <c r="F2131" t="str">
        <f>"9781617611629"</f>
        <v>9781617611629</v>
      </c>
      <c r="G2131" t="str">
        <f>"9781617289804"</f>
        <v>9781617289804</v>
      </c>
      <c r="H2131" t="s">
        <v>4749</v>
      </c>
      <c r="I2131">
        <v>551.6</v>
      </c>
      <c r="J2131" t="s">
        <v>4750</v>
      </c>
      <c r="K2131" t="s">
        <v>73</v>
      </c>
      <c r="N2131" t="s">
        <v>74</v>
      </c>
      <c r="O2131" t="s">
        <v>75</v>
      </c>
      <c r="P2131" t="s">
        <v>74</v>
      </c>
      <c r="Q2131" t="s">
        <v>76</v>
      </c>
      <c r="R2131" t="s">
        <v>73</v>
      </c>
      <c r="S2131">
        <v>0</v>
      </c>
      <c r="W2131" s="20">
        <v>6.2500000000000001E-4</v>
      </c>
      <c r="X2131" t="s">
        <v>4835</v>
      </c>
      <c r="Y2131">
        <v>7</v>
      </c>
      <c r="Z2131">
        <v>0</v>
      </c>
      <c r="AA2131" t="s">
        <v>78</v>
      </c>
      <c r="AB2131">
        <v>0</v>
      </c>
      <c r="AC2131" t="s">
        <v>78</v>
      </c>
      <c r="AD2131">
        <v>0</v>
      </c>
      <c r="AE2131">
        <v>10681008</v>
      </c>
      <c r="AF2131" t="s">
        <v>79</v>
      </c>
      <c r="AG2131" t="s">
        <v>4724</v>
      </c>
    </row>
    <row r="2132" spans="1:33" x14ac:dyDescent="0.35">
      <c r="A2132" s="18">
        <v>44284.066666666666</v>
      </c>
      <c r="B2132">
        <v>5987477</v>
      </c>
      <c r="C2132" t="s">
        <v>4836</v>
      </c>
      <c r="D2132" t="s">
        <v>158</v>
      </c>
      <c r="E2132" s="19">
        <v>43797</v>
      </c>
      <c r="F2132" t="str">
        <f>"9780128172582"</f>
        <v>9780128172582</v>
      </c>
      <c r="G2132" t="str">
        <f>"9780128155035"</f>
        <v>9780128155035</v>
      </c>
      <c r="H2132" t="s">
        <v>97</v>
      </c>
      <c r="J2132" t="s">
        <v>4837</v>
      </c>
      <c r="K2132" t="s">
        <v>85</v>
      </c>
      <c r="N2132" t="s">
        <v>74</v>
      </c>
      <c r="O2132" t="s">
        <v>75</v>
      </c>
      <c r="P2132" t="s">
        <v>74</v>
      </c>
      <c r="Q2132" t="s">
        <v>76</v>
      </c>
      <c r="R2132" t="s">
        <v>73</v>
      </c>
      <c r="S2132">
        <v>1</v>
      </c>
      <c r="W2132" s="20">
        <v>0</v>
      </c>
      <c r="X2132" t="s">
        <v>78</v>
      </c>
      <c r="Y2132">
        <v>0</v>
      </c>
      <c r="Z2132">
        <v>0</v>
      </c>
      <c r="AA2132" t="s">
        <v>78</v>
      </c>
      <c r="AB2132">
        <v>0</v>
      </c>
      <c r="AC2132" t="s">
        <v>78</v>
      </c>
      <c r="AD2132">
        <v>0</v>
      </c>
      <c r="AE2132">
        <v>-1</v>
      </c>
      <c r="AF2132" t="s">
        <v>88</v>
      </c>
      <c r="AG2132" t="s">
        <v>333</v>
      </c>
    </row>
    <row r="2133" spans="1:33" x14ac:dyDescent="0.35">
      <c r="A2133" s="18">
        <v>44284.046527777777</v>
      </c>
      <c r="B2133">
        <v>5149434</v>
      </c>
      <c r="C2133" t="s">
        <v>4838</v>
      </c>
      <c r="D2133" t="s">
        <v>158</v>
      </c>
      <c r="E2133" s="19">
        <v>43053</v>
      </c>
      <c r="F2133" t="str">
        <f>"9780128095751"</f>
        <v>9780128095751</v>
      </c>
      <c r="G2133" t="str">
        <f>"9780128092842"</f>
        <v>9780128092842</v>
      </c>
      <c r="H2133" t="s">
        <v>201</v>
      </c>
      <c r="I2133">
        <v>6.37</v>
      </c>
      <c r="J2133" t="s">
        <v>4839</v>
      </c>
      <c r="K2133" t="s">
        <v>73</v>
      </c>
      <c r="N2133" t="s">
        <v>74</v>
      </c>
      <c r="O2133" t="s">
        <v>75</v>
      </c>
      <c r="P2133" t="s">
        <v>74</v>
      </c>
      <c r="Q2133" t="s">
        <v>76</v>
      </c>
      <c r="R2133" t="s">
        <v>73</v>
      </c>
      <c r="S2133">
        <v>1</v>
      </c>
      <c r="W2133" s="20">
        <v>0</v>
      </c>
      <c r="X2133" t="s">
        <v>78</v>
      </c>
      <c r="Y2133">
        <v>0</v>
      </c>
      <c r="Z2133">
        <v>0</v>
      </c>
      <c r="AA2133" t="s">
        <v>78</v>
      </c>
      <c r="AB2133">
        <v>0</v>
      </c>
      <c r="AC2133" t="s">
        <v>78</v>
      </c>
      <c r="AD2133">
        <v>0</v>
      </c>
      <c r="AE2133">
        <v>11467593</v>
      </c>
      <c r="AF2133" t="s">
        <v>88</v>
      </c>
      <c r="AG2133" t="s">
        <v>333</v>
      </c>
    </row>
    <row r="2134" spans="1:33" x14ac:dyDescent="0.35">
      <c r="A2134" s="18">
        <v>44283.847916666666</v>
      </c>
      <c r="B2134">
        <v>227693</v>
      </c>
      <c r="C2134" t="s">
        <v>4840</v>
      </c>
      <c r="D2134" t="s">
        <v>205</v>
      </c>
      <c r="E2134" s="19">
        <v>38291</v>
      </c>
      <c r="F2134" t="str">
        <f>"9781580538435"</f>
        <v>9781580538435</v>
      </c>
      <c r="G2134" t="str">
        <f>"9781580538428"</f>
        <v>9781580538428</v>
      </c>
      <c r="H2134" t="s">
        <v>110</v>
      </c>
      <c r="I2134" t="s">
        <v>4841</v>
      </c>
      <c r="J2134" t="s">
        <v>4842</v>
      </c>
      <c r="K2134" t="s">
        <v>73</v>
      </c>
      <c r="N2134" t="s">
        <v>74</v>
      </c>
      <c r="O2134" t="s">
        <v>75</v>
      </c>
      <c r="P2134" t="s">
        <v>74</v>
      </c>
      <c r="Q2134" t="s">
        <v>76</v>
      </c>
      <c r="R2134" t="s">
        <v>73</v>
      </c>
      <c r="S2134">
        <v>1</v>
      </c>
      <c r="W2134" s="20">
        <v>0</v>
      </c>
      <c r="X2134" t="s">
        <v>78</v>
      </c>
      <c r="Y2134">
        <v>0</v>
      </c>
      <c r="Z2134">
        <v>0</v>
      </c>
      <c r="AA2134" t="s">
        <v>78</v>
      </c>
      <c r="AB2134">
        <v>0</v>
      </c>
      <c r="AC2134" t="s">
        <v>78</v>
      </c>
      <c r="AD2134">
        <v>0</v>
      </c>
      <c r="AE2134">
        <v>10082017</v>
      </c>
      <c r="AF2134" t="s">
        <v>88</v>
      </c>
      <c r="AG2134" t="s">
        <v>4724</v>
      </c>
    </row>
    <row r="2135" spans="1:33" x14ac:dyDescent="0.35">
      <c r="A2135" s="18">
        <v>44283.844444444447</v>
      </c>
      <c r="B2135">
        <v>227693</v>
      </c>
      <c r="C2135" t="s">
        <v>4840</v>
      </c>
      <c r="D2135" t="s">
        <v>205</v>
      </c>
      <c r="E2135" s="19">
        <v>38291</v>
      </c>
      <c r="F2135" t="str">
        <f>"9781580538435"</f>
        <v>9781580538435</v>
      </c>
      <c r="G2135" t="str">
        <f>"9781580538428"</f>
        <v>9781580538428</v>
      </c>
      <c r="H2135" t="s">
        <v>110</v>
      </c>
      <c r="I2135" t="s">
        <v>4841</v>
      </c>
      <c r="J2135" t="s">
        <v>4842</v>
      </c>
      <c r="K2135" t="s">
        <v>73</v>
      </c>
      <c r="N2135" t="s">
        <v>74</v>
      </c>
      <c r="O2135" t="s">
        <v>75</v>
      </c>
      <c r="P2135" t="s">
        <v>74</v>
      </c>
      <c r="Q2135" t="s">
        <v>76</v>
      </c>
      <c r="R2135" t="s">
        <v>73</v>
      </c>
      <c r="S2135">
        <v>0</v>
      </c>
      <c r="W2135" s="20">
        <v>2.3842592592592591E-3</v>
      </c>
      <c r="X2135" t="s">
        <v>4843</v>
      </c>
      <c r="Y2135">
        <v>15</v>
      </c>
      <c r="Z2135">
        <v>0</v>
      </c>
      <c r="AA2135" t="s">
        <v>78</v>
      </c>
      <c r="AB2135">
        <v>0</v>
      </c>
      <c r="AC2135" t="s">
        <v>78</v>
      </c>
      <c r="AD2135">
        <v>0</v>
      </c>
      <c r="AE2135">
        <v>10082017</v>
      </c>
      <c r="AF2135" t="s">
        <v>88</v>
      </c>
      <c r="AG2135" t="s">
        <v>4724</v>
      </c>
    </row>
    <row r="2136" spans="1:33" x14ac:dyDescent="0.35">
      <c r="A2136" s="18">
        <v>44283.754861111112</v>
      </c>
      <c r="B2136">
        <v>3020870</v>
      </c>
      <c r="C2136" t="s">
        <v>4748</v>
      </c>
      <c r="D2136" t="s">
        <v>226</v>
      </c>
      <c r="E2136" s="19">
        <v>40452</v>
      </c>
      <c r="F2136" t="str">
        <f>"9781617611629"</f>
        <v>9781617611629</v>
      </c>
      <c r="G2136" t="str">
        <f>"9781617289804"</f>
        <v>9781617289804</v>
      </c>
      <c r="H2136" t="s">
        <v>4749</v>
      </c>
      <c r="I2136">
        <v>551.6</v>
      </c>
      <c r="J2136" t="s">
        <v>4750</v>
      </c>
      <c r="K2136" t="s">
        <v>73</v>
      </c>
      <c r="N2136" t="s">
        <v>74</v>
      </c>
      <c r="O2136" t="s">
        <v>75</v>
      </c>
      <c r="P2136" t="s">
        <v>74</v>
      </c>
      <c r="Q2136" t="s">
        <v>76</v>
      </c>
      <c r="R2136" t="s">
        <v>73</v>
      </c>
      <c r="S2136">
        <v>0</v>
      </c>
      <c r="W2136" s="20">
        <v>3.4027777777777784E-3</v>
      </c>
      <c r="X2136" t="s">
        <v>4844</v>
      </c>
      <c r="Y2136">
        <v>17</v>
      </c>
      <c r="Z2136">
        <v>0</v>
      </c>
      <c r="AA2136" t="s">
        <v>78</v>
      </c>
      <c r="AB2136">
        <v>0</v>
      </c>
      <c r="AC2136" t="s">
        <v>78</v>
      </c>
      <c r="AD2136">
        <v>0</v>
      </c>
      <c r="AE2136">
        <v>10681008</v>
      </c>
      <c r="AF2136" t="s">
        <v>79</v>
      </c>
      <c r="AG2136" t="s">
        <v>4724</v>
      </c>
    </row>
    <row r="2137" spans="1:33" x14ac:dyDescent="0.35">
      <c r="A2137" s="18">
        <v>44283.585416666669</v>
      </c>
      <c r="B2137">
        <v>510127</v>
      </c>
      <c r="C2137" t="s">
        <v>4424</v>
      </c>
      <c r="D2137" t="s">
        <v>70</v>
      </c>
      <c r="E2137" s="19">
        <v>40224</v>
      </c>
      <c r="F2137" t="str">
        <f>"9780470551561"</f>
        <v>9780470551561</v>
      </c>
      <c r="G2137" t="str">
        <f>"9780470521564"</f>
        <v>9780470521564</v>
      </c>
      <c r="H2137" t="s">
        <v>71</v>
      </c>
      <c r="I2137" t="s">
        <v>4425</v>
      </c>
      <c r="J2137" t="s">
        <v>4426</v>
      </c>
      <c r="K2137" t="s">
        <v>73</v>
      </c>
      <c r="N2137" t="s">
        <v>74</v>
      </c>
      <c r="O2137" t="s">
        <v>75</v>
      </c>
      <c r="P2137" t="s">
        <v>74</v>
      </c>
      <c r="Q2137" t="s">
        <v>76</v>
      </c>
      <c r="R2137" t="s">
        <v>73</v>
      </c>
      <c r="S2137">
        <v>0</v>
      </c>
      <c r="W2137" s="20">
        <v>1.0416666666666667E-4</v>
      </c>
      <c r="X2137" t="s">
        <v>4845</v>
      </c>
      <c r="Y2137">
        <v>2</v>
      </c>
      <c r="Z2137">
        <v>0</v>
      </c>
      <c r="AA2137" t="s">
        <v>78</v>
      </c>
      <c r="AB2137">
        <v>0</v>
      </c>
      <c r="AC2137" t="s">
        <v>78</v>
      </c>
      <c r="AD2137">
        <v>0</v>
      </c>
      <c r="AE2137">
        <v>10381083</v>
      </c>
      <c r="AF2137" t="s">
        <v>79</v>
      </c>
      <c r="AG2137" t="s">
        <v>4494</v>
      </c>
    </row>
    <row r="2138" spans="1:33" x14ac:dyDescent="0.35">
      <c r="A2138" s="18">
        <v>44283.569444444445</v>
      </c>
      <c r="B2138">
        <v>6145304</v>
      </c>
      <c r="C2138" t="s">
        <v>4846</v>
      </c>
      <c r="D2138" t="s">
        <v>314</v>
      </c>
      <c r="E2138" s="19">
        <v>43709</v>
      </c>
      <c r="F2138" t="str">
        <f>"9781474449168"</f>
        <v>9781474449168</v>
      </c>
      <c r="G2138" t="str">
        <f>"9781474449144"</f>
        <v>9781474449144</v>
      </c>
      <c r="H2138" t="s">
        <v>636</v>
      </c>
      <c r="I2138">
        <v>801</v>
      </c>
      <c r="J2138" t="s">
        <v>4847</v>
      </c>
      <c r="K2138" t="s">
        <v>73</v>
      </c>
      <c r="Q2138" t="s">
        <v>76</v>
      </c>
      <c r="R2138" t="s">
        <v>73</v>
      </c>
      <c r="S2138">
        <v>0</v>
      </c>
      <c r="W2138" s="20">
        <v>7.175925925925927E-4</v>
      </c>
      <c r="X2138" t="s">
        <v>4848</v>
      </c>
      <c r="Y2138">
        <v>4</v>
      </c>
      <c r="Z2138">
        <v>0</v>
      </c>
      <c r="AA2138" t="s">
        <v>78</v>
      </c>
      <c r="AB2138">
        <v>0</v>
      </c>
      <c r="AC2138" t="s">
        <v>78</v>
      </c>
      <c r="AD2138">
        <v>0</v>
      </c>
      <c r="AE2138">
        <v>-1</v>
      </c>
      <c r="AF2138" t="s">
        <v>79</v>
      </c>
      <c r="AG2138" t="s">
        <v>4514</v>
      </c>
    </row>
    <row r="2139" spans="1:33" x14ac:dyDescent="0.35">
      <c r="A2139" s="18">
        <v>44283.565972222219</v>
      </c>
      <c r="B2139">
        <v>1446430</v>
      </c>
      <c r="C2139" t="s">
        <v>1649</v>
      </c>
      <c r="D2139" t="s">
        <v>127</v>
      </c>
      <c r="E2139" s="19">
        <v>40274</v>
      </c>
      <c r="F2139" t="str">
        <f>"9781439882573"</f>
        <v>9781439882573</v>
      </c>
      <c r="G2139" t="str">
        <f>"9781420085983"</f>
        <v>9781420085983</v>
      </c>
      <c r="H2139" t="s">
        <v>979</v>
      </c>
      <c r="I2139" t="s">
        <v>1650</v>
      </c>
      <c r="J2139" t="s">
        <v>1651</v>
      </c>
      <c r="K2139" t="s">
        <v>73</v>
      </c>
      <c r="N2139" t="s">
        <v>74</v>
      </c>
      <c r="O2139" t="s">
        <v>75</v>
      </c>
      <c r="P2139" t="s">
        <v>74</v>
      </c>
      <c r="Q2139" t="s">
        <v>76</v>
      </c>
      <c r="R2139" t="s">
        <v>73</v>
      </c>
      <c r="S2139">
        <v>0</v>
      </c>
      <c r="W2139" s="20">
        <v>2.8935185185185189E-4</v>
      </c>
      <c r="X2139" t="s">
        <v>4849</v>
      </c>
      <c r="Y2139">
        <v>6</v>
      </c>
      <c r="Z2139">
        <v>0</v>
      </c>
      <c r="AA2139" t="s">
        <v>78</v>
      </c>
      <c r="AB2139">
        <v>0</v>
      </c>
      <c r="AC2139" t="s">
        <v>78</v>
      </c>
      <c r="AD2139">
        <v>0</v>
      </c>
      <c r="AE2139">
        <v>11166018</v>
      </c>
      <c r="AF2139" t="s">
        <v>79</v>
      </c>
      <c r="AG2139" t="s">
        <v>4850</v>
      </c>
    </row>
    <row r="2140" spans="1:33" x14ac:dyDescent="0.35">
      <c r="A2140" s="18">
        <v>44283.525000000001</v>
      </c>
      <c r="B2140">
        <v>4585271</v>
      </c>
      <c r="C2140" t="s">
        <v>377</v>
      </c>
      <c r="D2140" t="s">
        <v>70</v>
      </c>
      <c r="E2140" s="19">
        <v>42583</v>
      </c>
      <c r="F2140" t="str">
        <f>"9781119179597"</f>
        <v>9781119179597</v>
      </c>
      <c r="G2140" t="str">
        <f>"9781119179573"</f>
        <v>9781119179573</v>
      </c>
      <c r="H2140" t="s">
        <v>378</v>
      </c>
      <c r="I2140">
        <v>658.4</v>
      </c>
      <c r="J2140" t="s">
        <v>379</v>
      </c>
      <c r="K2140" t="s">
        <v>73</v>
      </c>
      <c r="N2140" t="s">
        <v>74</v>
      </c>
      <c r="O2140" t="s">
        <v>75</v>
      </c>
      <c r="P2140" t="s">
        <v>74</v>
      </c>
      <c r="Q2140" t="s">
        <v>76</v>
      </c>
      <c r="R2140" t="s">
        <v>73</v>
      </c>
      <c r="S2140">
        <v>0</v>
      </c>
      <c r="W2140" s="20">
        <v>2.5925925925925925E-3</v>
      </c>
      <c r="X2140" t="s">
        <v>4851</v>
      </c>
      <c r="Y2140">
        <v>23</v>
      </c>
      <c r="Z2140">
        <v>0</v>
      </c>
      <c r="AA2140" t="s">
        <v>78</v>
      </c>
      <c r="AB2140">
        <v>0</v>
      </c>
      <c r="AC2140" t="s">
        <v>78</v>
      </c>
      <c r="AD2140">
        <v>0</v>
      </c>
      <c r="AE2140">
        <v>11234254</v>
      </c>
      <c r="AF2140" t="s">
        <v>79</v>
      </c>
      <c r="AG2140" t="s">
        <v>4724</v>
      </c>
    </row>
    <row r="2141" spans="1:33" x14ac:dyDescent="0.35">
      <c r="A2141" s="18">
        <v>44282.643750000003</v>
      </c>
      <c r="B2141">
        <v>3338641</v>
      </c>
      <c r="C2141" t="s">
        <v>2879</v>
      </c>
      <c r="D2141" t="s">
        <v>300</v>
      </c>
      <c r="E2141" s="19">
        <v>39143</v>
      </c>
      <c r="F2141" t="str">
        <f>"9780262282888"</f>
        <v>9780262282888</v>
      </c>
      <c r="G2141" t="str">
        <f>"9780262195577"</f>
        <v>9780262195577</v>
      </c>
      <c r="H2141" t="s">
        <v>595</v>
      </c>
      <c r="I2141" t="s">
        <v>2880</v>
      </c>
      <c r="J2141" t="s">
        <v>2881</v>
      </c>
      <c r="K2141" t="s">
        <v>73</v>
      </c>
      <c r="N2141" t="s">
        <v>74</v>
      </c>
      <c r="O2141" t="s">
        <v>75</v>
      </c>
      <c r="P2141" t="s">
        <v>74</v>
      </c>
      <c r="Q2141" t="s">
        <v>76</v>
      </c>
      <c r="R2141" t="s">
        <v>73</v>
      </c>
      <c r="S2141">
        <v>0</v>
      </c>
      <c r="W2141" s="20">
        <v>4.8263888888888887E-3</v>
      </c>
      <c r="X2141" t="s">
        <v>4852</v>
      </c>
      <c r="Y2141">
        <v>15</v>
      </c>
      <c r="Z2141">
        <v>0</v>
      </c>
      <c r="AA2141" t="s">
        <v>78</v>
      </c>
      <c r="AB2141">
        <v>0</v>
      </c>
      <c r="AC2141" t="s">
        <v>78</v>
      </c>
      <c r="AD2141">
        <v>0</v>
      </c>
      <c r="AE2141">
        <v>10173702</v>
      </c>
      <c r="AF2141" t="s">
        <v>79</v>
      </c>
      <c r="AG2141" t="s">
        <v>333</v>
      </c>
    </row>
    <row r="2142" spans="1:33" x14ac:dyDescent="0.35">
      <c r="A2142" s="18">
        <v>44282.63958333333</v>
      </c>
      <c r="B2142">
        <v>496322</v>
      </c>
      <c r="C2142" t="s">
        <v>4853</v>
      </c>
      <c r="D2142" t="s">
        <v>127</v>
      </c>
      <c r="E2142" s="19">
        <v>40281</v>
      </c>
      <c r="F2142" t="str">
        <f>"9780203855270"</f>
        <v>9780203855270</v>
      </c>
      <c r="G2142" t="str">
        <f>"9780415555197"</f>
        <v>9780415555197</v>
      </c>
      <c r="H2142" t="s">
        <v>891</v>
      </c>
      <c r="I2142">
        <v>297.5</v>
      </c>
      <c r="J2142" t="s">
        <v>4854</v>
      </c>
      <c r="K2142" t="s">
        <v>73</v>
      </c>
      <c r="N2142" t="s">
        <v>74</v>
      </c>
      <c r="O2142" t="s">
        <v>75</v>
      </c>
      <c r="P2142" t="s">
        <v>74</v>
      </c>
      <c r="Q2142" t="s">
        <v>76</v>
      </c>
      <c r="R2142" t="s">
        <v>73</v>
      </c>
      <c r="S2142">
        <v>0</v>
      </c>
      <c r="W2142" s="20">
        <v>2.6041666666666665E-3</v>
      </c>
      <c r="X2142" t="s">
        <v>4855</v>
      </c>
      <c r="Y2142">
        <v>20</v>
      </c>
      <c r="Z2142">
        <v>0</v>
      </c>
      <c r="AA2142" t="s">
        <v>78</v>
      </c>
      <c r="AB2142">
        <v>0</v>
      </c>
      <c r="AC2142" t="s">
        <v>78</v>
      </c>
      <c r="AD2142">
        <v>0</v>
      </c>
      <c r="AE2142">
        <v>10413139</v>
      </c>
      <c r="AF2142" t="s">
        <v>79</v>
      </c>
      <c r="AG2142" t="s">
        <v>333</v>
      </c>
    </row>
    <row r="2143" spans="1:33" x14ac:dyDescent="0.35">
      <c r="A2143" s="18">
        <v>44282.635416666664</v>
      </c>
      <c r="B2143">
        <v>1681277</v>
      </c>
      <c r="C2143" t="s">
        <v>4856</v>
      </c>
      <c r="D2143" t="s">
        <v>239</v>
      </c>
      <c r="E2143" s="19">
        <v>39448</v>
      </c>
      <c r="F2143" t="str">
        <f>"9789812790835"</f>
        <v>9789812790835</v>
      </c>
      <c r="G2143" t="str">
        <f>"9789812704603"</f>
        <v>9789812704603</v>
      </c>
      <c r="H2143" t="s">
        <v>308</v>
      </c>
      <c r="I2143">
        <v>297.2</v>
      </c>
      <c r="J2143" t="s">
        <v>4857</v>
      </c>
      <c r="K2143" t="s">
        <v>73</v>
      </c>
      <c r="N2143" t="s">
        <v>74</v>
      </c>
      <c r="O2143" t="s">
        <v>75</v>
      </c>
      <c r="P2143" t="s">
        <v>74</v>
      </c>
      <c r="Q2143" t="s">
        <v>76</v>
      </c>
      <c r="R2143" t="s">
        <v>73</v>
      </c>
      <c r="S2143">
        <v>0</v>
      </c>
      <c r="W2143" s="20">
        <v>3.1134259259259257E-3</v>
      </c>
      <c r="X2143" t="s">
        <v>4858</v>
      </c>
      <c r="Y2143">
        <v>24</v>
      </c>
      <c r="Z2143">
        <v>0</v>
      </c>
      <c r="AA2143" t="s">
        <v>78</v>
      </c>
      <c r="AB2143">
        <v>0</v>
      </c>
      <c r="AC2143" t="s">
        <v>78</v>
      </c>
      <c r="AD2143">
        <v>0</v>
      </c>
      <c r="AE2143">
        <v>10255990</v>
      </c>
      <c r="AF2143" t="s">
        <v>79</v>
      </c>
      <c r="AG2143" t="s">
        <v>333</v>
      </c>
    </row>
    <row r="2144" spans="1:33" x14ac:dyDescent="0.35">
      <c r="A2144" s="18">
        <v>44282.633333333331</v>
      </c>
      <c r="B2144">
        <v>3004021</v>
      </c>
      <c r="C2144" t="s">
        <v>4859</v>
      </c>
      <c r="D2144" t="s">
        <v>506</v>
      </c>
      <c r="E2144" s="19">
        <v>38799</v>
      </c>
      <c r="F2144" t="str">
        <f>"9789047409007"</f>
        <v>9789047409007</v>
      </c>
      <c r="G2144" t="str">
        <f>"9789004149915"</f>
        <v>9789004149915</v>
      </c>
      <c r="H2144" t="s">
        <v>528</v>
      </c>
      <c r="J2144" t="s">
        <v>4860</v>
      </c>
      <c r="K2144" t="s">
        <v>73</v>
      </c>
      <c r="N2144" t="s">
        <v>74</v>
      </c>
      <c r="O2144" t="s">
        <v>75</v>
      </c>
      <c r="P2144" t="s">
        <v>74</v>
      </c>
      <c r="Q2144" t="s">
        <v>76</v>
      </c>
      <c r="R2144" t="s">
        <v>73</v>
      </c>
      <c r="S2144">
        <v>0</v>
      </c>
      <c r="W2144" s="20">
        <v>5.6712962962962956E-4</v>
      </c>
      <c r="X2144" t="s">
        <v>2298</v>
      </c>
      <c r="Y2144">
        <v>5</v>
      </c>
      <c r="Z2144">
        <v>0</v>
      </c>
      <c r="AA2144" t="s">
        <v>78</v>
      </c>
      <c r="AB2144">
        <v>0</v>
      </c>
      <c r="AC2144" t="s">
        <v>78</v>
      </c>
      <c r="AD2144">
        <v>0</v>
      </c>
      <c r="AE2144">
        <v>10234681</v>
      </c>
      <c r="AF2144" t="s">
        <v>79</v>
      </c>
      <c r="AG2144" t="s">
        <v>333</v>
      </c>
    </row>
    <row r="2145" spans="1:33" x14ac:dyDescent="0.35">
      <c r="A2145" s="18">
        <v>44282.630555555559</v>
      </c>
      <c r="B2145">
        <v>3420994</v>
      </c>
      <c r="C2145" t="s">
        <v>826</v>
      </c>
      <c r="D2145" t="s">
        <v>827</v>
      </c>
      <c r="E2145" s="19">
        <v>40316</v>
      </c>
      <c r="F2145" t="str">
        <f>"9780300159141"</f>
        <v>9780300159141</v>
      </c>
      <c r="G2145" t="str">
        <f>"9780300159110"</f>
        <v>9780300159110</v>
      </c>
      <c r="H2145" t="s">
        <v>308</v>
      </c>
      <c r="I2145" t="s">
        <v>828</v>
      </c>
      <c r="J2145" t="s">
        <v>829</v>
      </c>
      <c r="K2145" t="s">
        <v>73</v>
      </c>
      <c r="N2145" t="s">
        <v>74</v>
      </c>
      <c r="O2145" t="s">
        <v>75</v>
      </c>
      <c r="P2145" t="s">
        <v>74</v>
      </c>
      <c r="Q2145" t="s">
        <v>76</v>
      </c>
      <c r="R2145" t="s">
        <v>73</v>
      </c>
      <c r="S2145">
        <v>0</v>
      </c>
      <c r="W2145" s="20">
        <v>2.6504629629629625E-3</v>
      </c>
      <c r="X2145" t="s">
        <v>4861</v>
      </c>
      <c r="Y2145">
        <v>15</v>
      </c>
      <c r="Z2145">
        <v>0</v>
      </c>
      <c r="AA2145" t="s">
        <v>78</v>
      </c>
      <c r="AB2145">
        <v>0</v>
      </c>
      <c r="AC2145" t="s">
        <v>78</v>
      </c>
      <c r="AD2145">
        <v>0</v>
      </c>
      <c r="AE2145">
        <v>10579393</v>
      </c>
      <c r="AF2145" t="s">
        <v>79</v>
      </c>
      <c r="AG2145" t="s">
        <v>333</v>
      </c>
    </row>
    <row r="2146" spans="1:33" x14ac:dyDescent="0.35">
      <c r="A2146" s="18">
        <v>44282.62777777778</v>
      </c>
      <c r="B2146">
        <v>1956703</v>
      </c>
      <c r="C2146" t="s">
        <v>4862</v>
      </c>
      <c r="D2146" t="s">
        <v>506</v>
      </c>
      <c r="E2146" s="19">
        <v>42047</v>
      </c>
      <c r="F2146" t="str">
        <f>"9789004289468"</f>
        <v>9789004289468</v>
      </c>
      <c r="G2146" t="str">
        <f>"9789004288072"</f>
        <v>9789004288072</v>
      </c>
      <c r="H2146" t="s">
        <v>308</v>
      </c>
      <c r="I2146" t="s">
        <v>4863</v>
      </c>
      <c r="J2146" t="s">
        <v>4864</v>
      </c>
      <c r="K2146" t="s">
        <v>73</v>
      </c>
      <c r="N2146" t="s">
        <v>74</v>
      </c>
      <c r="O2146" t="s">
        <v>75</v>
      </c>
      <c r="P2146" t="s">
        <v>74</v>
      </c>
      <c r="Q2146" t="s">
        <v>76</v>
      </c>
      <c r="R2146" t="s">
        <v>73</v>
      </c>
      <c r="S2146">
        <v>0</v>
      </c>
      <c r="W2146" s="20">
        <v>1.3194444444444443E-3</v>
      </c>
      <c r="X2146" t="s">
        <v>4865</v>
      </c>
      <c r="Y2146">
        <v>12</v>
      </c>
      <c r="Z2146">
        <v>0</v>
      </c>
      <c r="AA2146" t="s">
        <v>78</v>
      </c>
      <c r="AB2146">
        <v>0</v>
      </c>
      <c r="AC2146" t="s">
        <v>78</v>
      </c>
      <c r="AD2146">
        <v>0</v>
      </c>
      <c r="AE2146">
        <v>11021012</v>
      </c>
      <c r="AF2146" t="s">
        <v>79</v>
      </c>
      <c r="AG2146" t="s">
        <v>333</v>
      </c>
    </row>
    <row r="2147" spans="1:33" x14ac:dyDescent="0.35">
      <c r="A2147" s="18">
        <v>44282.618750000001</v>
      </c>
      <c r="B2147">
        <v>958705</v>
      </c>
      <c r="C2147" t="s">
        <v>4866</v>
      </c>
      <c r="D2147" t="s">
        <v>127</v>
      </c>
      <c r="E2147" s="19">
        <v>40827</v>
      </c>
      <c r="F2147" t="str">
        <f>"9780203806487"</f>
        <v>9780203806487</v>
      </c>
      <c r="G2147" t="str">
        <f>"9780415783071"</f>
        <v>9780415783071</v>
      </c>
      <c r="H2147" t="s">
        <v>528</v>
      </c>
      <c r="I2147" t="s">
        <v>529</v>
      </c>
      <c r="J2147" t="s">
        <v>4867</v>
      </c>
      <c r="K2147" t="s">
        <v>73</v>
      </c>
      <c r="N2147" t="s">
        <v>74</v>
      </c>
      <c r="O2147" t="s">
        <v>75</v>
      </c>
      <c r="P2147" t="s">
        <v>74</v>
      </c>
      <c r="Q2147" t="s">
        <v>76</v>
      </c>
      <c r="R2147" t="s">
        <v>73</v>
      </c>
      <c r="S2147">
        <v>0</v>
      </c>
      <c r="W2147" s="20">
        <v>7.858796296296296E-3</v>
      </c>
      <c r="X2147" t="s">
        <v>4868</v>
      </c>
      <c r="Y2147">
        <v>36</v>
      </c>
      <c r="Z2147">
        <v>0</v>
      </c>
      <c r="AA2147" t="s">
        <v>78</v>
      </c>
      <c r="AB2147">
        <v>0</v>
      </c>
      <c r="AC2147" t="s">
        <v>78</v>
      </c>
      <c r="AD2147">
        <v>0</v>
      </c>
      <c r="AE2147">
        <v>10531813</v>
      </c>
      <c r="AF2147" t="s">
        <v>79</v>
      </c>
      <c r="AG2147" t="s">
        <v>333</v>
      </c>
    </row>
    <row r="2148" spans="1:33" x14ac:dyDescent="0.35">
      <c r="A2148" s="18">
        <v>44282.546527777777</v>
      </c>
      <c r="B2148">
        <v>5607252</v>
      </c>
      <c r="C2148" t="s">
        <v>4869</v>
      </c>
      <c r="D2148" t="s">
        <v>3182</v>
      </c>
      <c r="E2148" s="19">
        <v>43466</v>
      </c>
      <c r="F2148" t="str">
        <f>"9781541543690"</f>
        <v>9781541543690</v>
      </c>
      <c r="G2148" t="str">
        <f>"9781541538627"</f>
        <v>9781541538627</v>
      </c>
      <c r="H2148" t="s">
        <v>1561</v>
      </c>
      <c r="I2148">
        <v>551.6</v>
      </c>
      <c r="K2148" t="s">
        <v>85</v>
      </c>
      <c r="Q2148" t="s">
        <v>76</v>
      </c>
      <c r="R2148" t="s">
        <v>73</v>
      </c>
      <c r="S2148">
        <v>0</v>
      </c>
      <c r="W2148" s="20">
        <v>1.3888888888888889E-4</v>
      </c>
      <c r="X2148" t="s">
        <v>4870</v>
      </c>
      <c r="Y2148">
        <v>2</v>
      </c>
      <c r="Z2148">
        <v>0</v>
      </c>
      <c r="AA2148" t="s">
        <v>78</v>
      </c>
      <c r="AB2148">
        <v>0</v>
      </c>
      <c r="AC2148" t="s">
        <v>78</v>
      </c>
      <c r="AD2148">
        <v>0</v>
      </c>
      <c r="AE2148">
        <v>-1</v>
      </c>
      <c r="AF2148" t="s">
        <v>79</v>
      </c>
      <c r="AG2148" t="s">
        <v>4821</v>
      </c>
    </row>
    <row r="2149" spans="1:33" x14ac:dyDescent="0.35">
      <c r="A2149" s="18">
        <v>44282.54583333333</v>
      </c>
      <c r="B2149">
        <v>5607239</v>
      </c>
      <c r="C2149" t="s">
        <v>4819</v>
      </c>
      <c r="D2149" t="s">
        <v>3182</v>
      </c>
      <c r="E2149" s="19">
        <v>43466</v>
      </c>
      <c r="F2149" t="str">
        <f>"9781541543676"</f>
        <v>9781541543676</v>
      </c>
      <c r="G2149" t="str">
        <f>"9781541538672"</f>
        <v>9781541538672</v>
      </c>
      <c r="H2149" t="s">
        <v>1561</v>
      </c>
      <c r="I2149">
        <v>551.6</v>
      </c>
      <c r="K2149" t="s">
        <v>85</v>
      </c>
      <c r="Q2149" t="s">
        <v>76</v>
      </c>
      <c r="R2149" t="s">
        <v>73</v>
      </c>
      <c r="S2149">
        <v>0</v>
      </c>
      <c r="W2149" s="20">
        <v>4.6296296296296294E-5</v>
      </c>
      <c r="X2149" t="s">
        <v>4871</v>
      </c>
      <c r="Y2149">
        <v>1</v>
      </c>
      <c r="Z2149">
        <v>0</v>
      </c>
      <c r="AA2149" t="s">
        <v>78</v>
      </c>
      <c r="AB2149">
        <v>0</v>
      </c>
      <c r="AC2149" t="s">
        <v>78</v>
      </c>
      <c r="AD2149">
        <v>0</v>
      </c>
      <c r="AE2149">
        <v>-1</v>
      </c>
      <c r="AF2149" t="s">
        <v>79</v>
      </c>
      <c r="AG2149" t="s">
        <v>4821</v>
      </c>
    </row>
    <row r="2150" spans="1:33" x14ac:dyDescent="0.35">
      <c r="A2150" s="18">
        <v>44282.543055555558</v>
      </c>
      <c r="B2150">
        <v>435300</v>
      </c>
      <c r="C2150" t="s">
        <v>2668</v>
      </c>
      <c r="D2150" t="s">
        <v>158</v>
      </c>
      <c r="E2150" s="19">
        <v>39941</v>
      </c>
      <c r="F2150" t="str">
        <f>"9780080933030"</f>
        <v>9780080933030</v>
      </c>
      <c r="G2150" t="str">
        <f>"9780444533012"</f>
        <v>9780444533012</v>
      </c>
      <c r="H2150" t="s">
        <v>3985</v>
      </c>
      <c r="I2150">
        <v>551.6</v>
      </c>
      <c r="J2150" t="s">
        <v>4872</v>
      </c>
      <c r="K2150" t="s">
        <v>73</v>
      </c>
      <c r="N2150" t="s">
        <v>74</v>
      </c>
      <c r="O2150" t="s">
        <v>75</v>
      </c>
      <c r="P2150" t="s">
        <v>74</v>
      </c>
      <c r="Q2150" t="s">
        <v>76</v>
      </c>
      <c r="R2150" t="s">
        <v>73</v>
      </c>
      <c r="S2150">
        <v>0</v>
      </c>
      <c r="W2150" s="20">
        <v>3.4375E-3</v>
      </c>
      <c r="X2150" t="s">
        <v>4873</v>
      </c>
      <c r="Y2150">
        <v>16</v>
      </c>
      <c r="Z2150">
        <v>0</v>
      </c>
      <c r="AA2150" t="s">
        <v>78</v>
      </c>
      <c r="AB2150">
        <v>0</v>
      </c>
      <c r="AC2150" t="s">
        <v>78</v>
      </c>
      <c r="AD2150">
        <v>0</v>
      </c>
      <c r="AE2150">
        <v>10294735</v>
      </c>
      <c r="AF2150" t="s">
        <v>79</v>
      </c>
      <c r="AG2150" t="s">
        <v>4821</v>
      </c>
    </row>
    <row r="2151" spans="1:33" x14ac:dyDescent="0.35">
      <c r="A2151" s="18">
        <v>44282.48333333333</v>
      </c>
      <c r="B2151">
        <v>5607239</v>
      </c>
      <c r="C2151" t="s">
        <v>4819</v>
      </c>
      <c r="D2151" t="s">
        <v>3182</v>
      </c>
      <c r="E2151" s="19">
        <v>43466</v>
      </c>
      <c r="F2151" t="str">
        <f>"9781541543676"</f>
        <v>9781541543676</v>
      </c>
      <c r="G2151" t="str">
        <f>"9781541538672"</f>
        <v>9781541538672</v>
      </c>
      <c r="H2151" t="s">
        <v>1561</v>
      </c>
      <c r="I2151">
        <v>551.6</v>
      </c>
      <c r="K2151" t="s">
        <v>85</v>
      </c>
      <c r="Q2151" t="s">
        <v>76</v>
      </c>
      <c r="R2151" t="s">
        <v>73</v>
      </c>
      <c r="S2151">
        <v>0</v>
      </c>
      <c r="W2151" s="20">
        <v>1.5277777777777779E-3</v>
      </c>
      <c r="X2151" t="s">
        <v>4874</v>
      </c>
      <c r="Y2151">
        <v>18</v>
      </c>
      <c r="Z2151">
        <v>0</v>
      </c>
      <c r="AA2151" t="s">
        <v>78</v>
      </c>
      <c r="AB2151">
        <v>0</v>
      </c>
      <c r="AC2151" t="s">
        <v>78</v>
      </c>
      <c r="AD2151">
        <v>0</v>
      </c>
      <c r="AE2151">
        <v>-1</v>
      </c>
      <c r="AF2151" t="s">
        <v>79</v>
      </c>
      <c r="AG2151" t="s">
        <v>4821</v>
      </c>
    </row>
    <row r="2152" spans="1:33" x14ac:dyDescent="0.35">
      <c r="A2152" s="18">
        <v>44281.811805555553</v>
      </c>
      <c r="B2152">
        <v>2038910</v>
      </c>
      <c r="C2152" t="s">
        <v>4875</v>
      </c>
      <c r="D2152" t="s">
        <v>3175</v>
      </c>
      <c r="E2152" s="19">
        <v>42130</v>
      </c>
      <c r="F2152" t="str">
        <f>"9780323312653"</f>
        <v>9780323312653</v>
      </c>
      <c r="G2152" t="str">
        <f>"9780323312998"</f>
        <v>9780323312998</v>
      </c>
      <c r="H2152" t="s">
        <v>391</v>
      </c>
      <c r="I2152">
        <v>668.423</v>
      </c>
      <c r="J2152" t="s">
        <v>4876</v>
      </c>
      <c r="K2152" t="s">
        <v>73</v>
      </c>
      <c r="N2152" t="s">
        <v>74</v>
      </c>
      <c r="O2152" t="s">
        <v>75</v>
      </c>
      <c r="P2152" t="s">
        <v>74</v>
      </c>
      <c r="Q2152" t="s">
        <v>76</v>
      </c>
      <c r="R2152" t="s">
        <v>73</v>
      </c>
      <c r="S2152">
        <v>0</v>
      </c>
      <c r="W2152" s="20">
        <v>5.7870370370370366E-5</v>
      </c>
      <c r="X2152" t="s">
        <v>132</v>
      </c>
      <c r="Y2152">
        <v>1</v>
      </c>
      <c r="Z2152">
        <v>0</v>
      </c>
      <c r="AA2152" t="s">
        <v>78</v>
      </c>
      <c r="AB2152">
        <v>0</v>
      </c>
      <c r="AC2152" t="s">
        <v>78</v>
      </c>
      <c r="AD2152">
        <v>0</v>
      </c>
      <c r="AE2152">
        <v>11050258</v>
      </c>
      <c r="AF2152" t="s">
        <v>79</v>
      </c>
      <c r="AG2152" t="s">
        <v>4724</v>
      </c>
    </row>
    <row r="2153" spans="1:33" x14ac:dyDescent="0.35">
      <c r="A2153" s="18">
        <v>44281.681250000001</v>
      </c>
      <c r="B2153">
        <v>435300</v>
      </c>
      <c r="C2153" t="s">
        <v>2668</v>
      </c>
      <c r="D2153" t="s">
        <v>158</v>
      </c>
      <c r="E2153" s="19">
        <v>39941</v>
      </c>
      <c r="F2153" t="str">
        <f>"9780080933030"</f>
        <v>9780080933030</v>
      </c>
      <c r="G2153" t="str">
        <f>"9780444533012"</f>
        <v>9780444533012</v>
      </c>
      <c r="H2153" t="s">
        <v>3985</v>
      </c>
      <c r="I2153">
        <v>551.6</v>
      </c>
      <c r="J2153" t="s">
        <v>4872</v>
      </c>
      <c r="K2153" t="s">
        <v>73</v>
      </c>
      <c r="N2153" t="s">
        <v>74</v>
      </c>
      <c r="O2153" t="s">
        <v>75</v>
      </c>
      <c r="P2153" t="s">
        <v>74</v>
      </c>
      <c r="Q2153" t="s">
        <v>76</v>
      </c>
      <c r="R2153" t="s">
        <v>73</v>
      </c>
      <c r="S2153">
        <v>0</v>
      </c>
      <c r="W2153" s="20">
        <v>1.5046296296296297E-4</v>
      </c>
      <c r="X2153" t="s">
        <v>4877</v>
      </c>
      <c r="Y2153">
        <v>3</v>
      </c>
      <c r="Z2153">
        <v>0</v>
      </c>
      <c r="AA2153" t="s">
        <v>78</v>
      </c>
      <c r="AB2153">
        <v>0</v>
      </c>
      <c r="AC2153" t="s">
        <v>78</v>
      </c>
      <c r="AD2153">
        <v>0</v>
      </c>
      <c r="AE2153">
        <v>10294735</v>
      </c>
      <c r="AF2153" t="s">
        <v>79</v>
      </c>
      <c r="AG2153" t="s">
        <v>333</v>
      </c>
    </row>
    <row r="2154" spans="1:33" x14ac:dyDescent="0.35">
      <c r="A2154" s="18">
        <v>44281.674305555556</v>
      </c>
      <c r="B2154">
        <v>5607239</v>
      </c>
      <c r="C2154" t="s">
        <v>4819</v>
      </c>
      <c r="D2154" t="s">
        <v>3182</v>
      </c>
      <c r="E2154" s="19">
        <v>43466</v>
      </c>
      <c r="F2154" t="str">
        <f>"9781541543676"</f>
        <v>9781541543676</v>
      </c>
      <c r="G2154" t="str">
        <f>"9781541538672"</f>
        <v>9781541538672</v>
      </c>
      <c r="H2154" t="s">
        <v>1561</v>
      </c>
      <c r="I2154">
        <v>551.6</v>
      </c>
      <c r="K2154" t="s">
        <v>85</v>
      </c>
      <c r="Q2154" t="s">
        <v>76</v>
      </c>
      <c r="R2154" t="s">
        <v>73</v>
      </c>
      <c r="S2154">
        <v>0</v>
      </c>
      <c r="W2154" s="20">
        <v>3.1365740740740742E-3</v>
      </c>
      <c r="X2154" t="s">
        <v>4878</v>
      </c>
      <c r="Y2154">
        <v>12</v>
      </c>
      <c r="Z2154">
        <v>0</v>
      </c>
      <c r="AA2154" t="s">
        <v>78</v>
      </c>
      <c r="AB2154">
        <v>0</v>
      </c>
      <c r="AC2154" t="s">
        <v>78</v>
      </c>
      <c r="AD2154">
        <v>0</v>
      </c>
      <c r="AE2154">
        <v>-1</v>
      </c>
      <c r="AF2154" t="s">
        <v>79</v>
      </c>
      <c r="AG2154" t="s">
        <v>333</v>
      </c>
    </row>
    <row r="2155" spans="1:33" x14ac:dyDescent="0.35">
      <c r="A2155" s="18">
        <v>44281.595833333333</v>
      </c>
      <c r="B2155">
        <v>2038910</v>
      </c>
      <c r="C2155" t="s">
        <v>4875</v>
      </c>
      <c r="D2155" t="s">
        <v>3175</v>
      </c>
      <c r="E2155" s="19">
        <v>42130</v>
      </c>
      <c r="F2155" t="str">
        <f>"9780323312653"</f>
        <v>9780323312653</v>
      </c>
      <c r="G2155" t="str">
        <f>"9780323312998"</f>
        <v>9780323312998</v>
      </c>
      <c r="H2155" t="s">
        <v>391</v>
      </c>
      <c r="I2155">
        <v>668.423</v>
      </c>
      <c r="J2155" t="s">
        <v>4876</v>
      </c>
      <c r="K2155" t="s">
        <v>73</v>
      </c>
      <c r="N2155" t="s">
        <v>74</v>
      </c>
      <c r="O2155" t="s">
        <v>75</v>
      </c>
      <c r="P2155" t="s">
        <v>74</v>
      </c>
      <c r="Q2155" t="s">
        <v>76</v>
      </c>
      <c r="R2155" t="s">
        <v>73</v>
      </c>
      <c r="S2155">
        <v>0</v>
      </c>
      <c r="W2155" s="20">
        <v>9.9884259259259266E-3</v>
      </c>
      <c r="X2155" t="s">
        <v>4879</v>
      </c>
      <c r="Y2155">
        <v>7</v>
      </c>
      <c r="Z2155">
        <v>0</v>
      </c>
      <c r="AA2155" t="s">
        <v>78</v>
      </c>
      <c r="AB2155">
        <v>0</v>
      </c>
      <c r="AC2155" t="s">
        <v>78</v>
      </c>
      <c r="AD2155">
        <v>0</v>
      </c>
      <c r="AE2155">
        <v>11050258</v>
      </c>
      <c r="AF2155" t="s">
        <v>79</v>
      </c>
      <c r="AG2155" t="s">
        <v>4724</v>
      </c>
    </row>
    <row r="2156" spans="1:33" x14ac:dyDescent="0.35">
      <c r="A2156" s="18">
        <v>44281.595833333333</v>
      </c>
      <c r="B2156">
        <v>1447177</v>
      </c>
      <c r="C2156" t="s">
        <v>4880</v>
      </c>
      <c r="D2156" t="s">
        <v>127</v>
      </c>
      <c r="E2156" s="19">
        <v>40658</v>
      </c>
      <c r="F2156" t="str">
        <f>"9781420093841"</f>
        <v>9781420093841</v>
      </c>
      <c r="G2156" t="str">
        <f>"9781420093834"</f>
        <v>9781420093834</v>
      </c>
      <c r="H2156" t="s">
        <v>159</v>
      </c>
      <c r="I2156" t="s">
        <v>4881</v>
      </c>
      <c r="J2156" t="s">
        <v>4882</v>
      </c>
      <c r="K2156" t="s">
        <v>73</v>
      </c>
      <c r="N2156" t="s">
        <v>74</v>
      </c>
      <c r="O2156" t="s">
        <v>75</v>
      </c>
      <c r="P2156" t="s">
        <v>74</v>
      </c>
      <c r="Q2156" t="s">
        <v>76</v>
      </c>
      <c r="R2156" t="s">
        <v>73</v>
      </c>
      <c r="S2156">
        <v>0</v>
      </c>
      <c r="W2156" s="20">
        <v>8.0671296296296307E-3</v>
      </c>
      <c r="X2156" t="s">
        <v>4883</v>
      </c>
      <c r="Y2156">
        <v>8</v>
      </c>
      <c r="Z2156">
        <v>0</v>
      </c>
      <c r="AA2156" t="s">
        <v>78</v>
      </c>
      <c r="AB2156">
        <v>0</v>
      </c>
      <c r="AC2156" t="s">
        <v>78</v>
      </c>
      <c r="AD2156">
        <v>0</v>
      </c>
      <c r="AE2156">
        <v>10949651</v>
      </c>
      <c r="AF2156" t="s">
        <v>79</v>
      </c>
      <c r="AG2156" t="s">
        <v>4724</v>
      </c>
    </row>
    <row r="2157" spans="1:33" x14ac:dyDescent="0.35">
      <c r="A2157" s="18">
        <v>44281.417361111111</v>
      </c>
      <c r="B2157">
        <v>3001261</v>
      </c>
      <c r="C2157" t="s">
        <v>3419</v>
      </c>
      <c r="D2157" t="s">
        <v>3420</v>
      </c>
      <c r="E2157" s="19">
        <v>39630</v>
      </c>
      <c r="F2157" t="str">
        <f>"9780313352874"</f>
        <v>9780313352874</v>
      </c>
      <c r="G2157" t="str">
        <f>"9780313352867"</f>
        <v>9780313352867</v>
      </c>
      <c r="H2157" t="s">
        <v>3421</v>
      </c>
      <c r="I2157">
        <v>333.79</v>
      </c>
      <c r="J2157" t="s">
        <v>3422</v>
      </c>
      <c r="K2157" t="s">
        <v>73</v>
      </c>
      <c r="N2157" t="s">
        <v>74</v>
      </c>
      <c r="O2157" t="s">
        <v>75</v>
      </c>
      <c r="P2157" t="s">
        <v>74</v>
      </c>
      <c r="Q2157" t="s">
        <v>76</v>
      </c>
      <c r="R2157" t="s">
        <v>73</v>
      </c>
      <c r="S2157">
        <v>0</v>
      </c>
      <c r="W2157" s="20">
        <v>4.6296296296296294E-5</v>
      </c>
      <c r="X2157" t="s">
        <v>132</v>
      </c>
      <c r="Y2157">
        <v>1</v>
      </c>
      <c r="Z2157">
        <v>0</v>
      </c>
      <c r="AA2157" t="s">
        <v>78</v>
      </c>
      <c r="AB2157">
        <v>0</v>
      </c>
      <c r="AC2157" t="s">
        <v>78</v>
      </c>
      <c r="AD2157">
        <v>0</v>
      </c>
      <c r="AE2157">
        <v>10271266</v>
      </c>
      <c r="AF2157" t="s">
        <v>79</v>
      </c>
      <c r="AG2157" t="s">
        <v>333</v>
      </c>
    </row>
    <row r="2158" spans="1:33" x14ac:dyDescent="0.35">
      <c r="A2158" s="18">
        <v>44281</v>
      </c>
      <c r="B2158">
        <v>5353867</v>
      </c>
      <c r="C2158" t="s">
        <v>4884</v>
      </c>
      <c r="D2158" t="s">
        <v>2275</v>
      </c>
      <c r="E2158" s="19">
        <v>36770</v>
      </c>
      <c r="F2158" t="str">
        <f>"9781470446055"</f>
        <v>9781470446055</v>
      </c>
      <c r="G2158" t="str">
        <f>"9780821805312"</f>
        <v>9780821805312</v>
      </c>
      <c r="H2158" t="s">
        <v>115</v>
      </c>
      <c r="I2158">
        <v>519.5</v>
      </c>
      <c r="J2158" t="s">
        <v>4885</v>
      </c>
      <c r="K2158" t="s">
        <v>85</v>
      </c>
      <c r="N2158" t="s">
        <v>86</v>
      </c>
      <c r="P2158" t="s">
        <v>87</v>
      </c>
      <c r="Q2158" t="s">
        <v>76</v>
      </c>
      <c r="R2158" t="s">
        <v>73</v>
      </c>
      <c r="S2158">
        <v>0</v>
      </c>
      <c r="W2158" s="20">
        <v>3.1250000000000001E-4</v>
      </c>
      <c r="X2158" t="s">
        <v>4886</v>
      </c>
      <c r="Y2158">
        <v>7</v>
      </c>
      <c r="Z2158">
        <v>0</v>
      </c>
      <c r="AA2158" t="s">
        <v>78</v>
      </c>
      <c r="AB2158">
        <v>0</v>
      </c>
      <c r="AC2158" t="s">
        <v>78</v>
      </c>
      <c r="AD2158">
        <v>0</v>
      </c>
      <c r="AE2158">
        <v>11548022</v>
      </c>
      <c r="AF2158" t="s">
        <v>79</v>
      </c>
      <c r="AG2158" t="s">
        <v>4887</v>
      </c>
    </row>
    <row r="2159" spans="1:33" x14ac:dyDescent="0.35">
      <c r="A2159" s="18">
        <v>44280.911805555559</v>
      </c>
      <c r="B2159">
        <v>3444852</v>
      </c>
      <c r="C2159" t="s">
        <v>4888</v>
      </c>
      <c r="D2159" t="s">
        <v>4889</v>
      </c>
      <c r="E2159" s="19">
        <v>37889</v>
      </c>
      <c r="F2159" t="str">
        <f>"9780299191436"</f>
        <v>9780299191436</v>
      </c>
      <c r="G2159" t="str">
        <f>"9780299191443"</f>
        <v>9780299191443</v>
      </c>
      <c r="H2159" t="s">
        <v>4890</v>
      </c>
      <c r="I2159" t="s">
        <v>4891</v>
      </c>
      <c r="J2159" t="s">
        <v>4892</v>
      </c>
      <c r="K2159" t="s">
        <v>73</v>
      </c>
      <c r="N2159" t="s">
        <v>74</v>
      </c>
      <c r="O2159" t="s">
        <v>75</v>
      </c>
      <c r="P2159" t="s">
        <v>74</v>
      </c>
      <c r="Q2159" t="s">
        <v>76</v>
      </c>
      <c r="R2159" t="s">
        <v>73</v>
      </c>
      <c r="S2159">
        <v>0</v>
      </c>
      <c r="W2159" s="20">
        <v>0</v>
      </c>
      <c r="X2159" t="s">
        <v>78</v>
      </c>
      <c r="Y2159">
        <v>0</v>
      </c>
      <c r="Z2159">
        <v>5</v>
      </c>
      <c r="AA2159" t="s">
        <v>4893</v>
      </c>
      <c r="AB2159">
        <v>37</v>
      </c>
      <c r="AC2159" t="s">
        <v>78</v>
      </c>
      <c r="AD2159">
        <v>0</v>
      </c>
      <c r="AE2159">
        <v>10315769</v>
      </c>
      <c r="AF2159" t="s">
        <v>88</v>
      </c>
      <c r="AG2159" t="s">
        <v>4894</v>
      </c>
    </row>
    <row r="2160" spans="1:33" x14ac:dyDescent="0.35">
      <c r="A2160" s="18">
        <v>44280.902083333334</v>
      </c>
      <c r="B2160">
        <v>4876973</v>
      </c>
      <c r="C2160" t="s">
        <v>4895</v>
      </c>
      <c r="D2160" t="s">
        <v>741</v>
      </c>
      <c r="E2160" s="19">
        <v>41790</v>
      </c>
      <c r="F2160" t="str">
        <f>"9781423223306"</f>
        <v>9781423223306</v>
      </c>
      <c r="G2160" t="str">
        <f>"9781423222880"</f>
        <v>9781423222880</v>
      </c>
      <c r="H2160" t="s">
        <v>4896</v>
      </c>
      <c r="I2160">
        <v>808.02</v>
      </c>
      <c r="J2160" t="s">
        <v>4897</v>
      </c>
      <c r="K2160" t="s">
        <v>73</v>
      </c>
      <c r="N2160" t="s">
        <v>74</v>
      </c>
      <c r="O2160" t="s">
        <v>75</v>
      </c>
      <c r="P2160" t="s">
        <v>74</v>
      </c>
      <c r="Q2160" t="s">
        <v>76</v>
      </c>
      <c r="R2160" t="s">
        <v>73</v>
      </c>
      <c r="S2160">
        <v>1</v>
      </c>
      <c r="W2160" s="20">
        <v>0</v>
      </c>
      <c r="X2160" t="s">
        <v>78</v>
      </c>
      <c r="Y2160">
        <v>0</v>
      </c>
      <c r="Z2160">
        <v>0</v>
      </c>
      <c r="AA2160" t="s">
        <v>78</v>
      </c>
      <c r="AB2160">
        <v>0</v>
      </c>
      <c r="AC2160" t="s">
        <v>78</v>
      </c>
      <c r="AD2160">
        <v>0</v>
      </c>
      <c r="AE2160">
        <v>11397674</v>
      </c>
      <c r="AF2160" t="s">
        <v>88</v>
      </c>
      <c r="AG2160" t="s">
        <v>4894</v>
      </c>
    </row>
    <row r="2161" spans="1:33" x14ac:dyDescent="0.35">
      <c r="A2161" s="18">
        <v>44280.897916666669</v>
      </c>
      <c r="B2161">
        <v>4876973</v>
      </c>
      <c r="C2161" t="s">
        <v>4895</v>
      </c>
      <c r="D2161" t="s">
        <v>741</v>
      </c>
      <c r="E2161" s="19">
        <v>41790</v>
      </c>
      <c r="F2161" t="str">
        <f>"9781423223306"</f>
        <v>9781423223306</v>
      </c>
      <c r="G2161" t="str">
        <f>"9781423222880"</f>
        <v>9781423222880</v>
      </c>
      <c r="H2161" t="s">
        <v>4896</v>
      </c>
      <c r="I2161">
        <v>808.02</v>
      </c>
      <c r="J2161" t="s">
        <v>4897</v>
      </c>
      <c r="K2161" t="s">
        <v>73</v>
      </c>
      <c r="N2161" t="s">
        <v>74</v>
      </c>
      <c r="O2161" t="s">
        <v>75</v>
      </c>
      <c r="P2161" t="s">
        <v>74</v>
      </c>
      <c r="Q2161" t="s">
        <v>76</v>
      </c>
      <c r="R2161" t="s">
        <v>73</v>
      </c>
      <c r="S2161">
        <v>0</v>
      </c>
      <c r="W2161" s="20">
        <v>3.7037037037037034E-3</v>
      </c>
      <c r="X2161" t="s">
        <v>4898</v>
      </c>
      <c r="Y2161">
        <v>9</v>
      </c>
      <c r="Z2161">
        <v>0</v>
      </c>
      <c r="AA2161" t="s">
        <v>78</v>
      </c>
      <c r="AB2161">
        <v>0</v>
      </c>
      <c r="AC2161" t="s">
        <v>78</v>
      </c>
      <c r="AD2161">
        <v>0</v>
      </c>
      <c r="AE2161">
        <v>11397674</v>
      </c>
      <c r="AF2161" t="s">
        <v>88</v>
      </c>
      <c r="AG2161" t="s">
        <v>4894</v>
      </c>
    </row>
    <row r="2162" spans="1:33" x14ac:dyDescent="0.35">
      <c r="A2162" s="18">
        <v>44280.734027777777</v>
      </c>
      <c r="B2162">
        <v>875913</v>
      </c>
      <c r="C2162" t="s">
        <v>4899</v>
      </c>
      <c r="D2162" t="s">
        <v>70</v>
      </c>
      <c r="E2162" s="19">
        <v>41023</v>
      </c>
      <c r="F2162" t="str">
        <f>"9781118152911"</f>
        <v>9781118152911</v>
      </c>
      <c r="G2162" t="str">
        <f>"9781118152881"</f>
        <v>9781118152881</v>
      </c>
      <c r="H2162" t="s">
        <v>4900</v>
      </c>
      <c r="I2162">
        <v>333.72</v>
      </c>
      <c r="J2162" t="s">
        <v>4901</v>
      </c>
      <c r="K2162" t="s">
        <v>73</v>
      </c>
      <c r="N2162" t="s">
        <v>74</v>
      </c>
      <c r="O2162" t="s">
        <v>75</v>
      </c>
      <c r="P2162" t="s">
        <v>74</v>
      </c>
      <c r="Q2162" t="s">
        <v>76</v>
      </c>
      <c r="R2162" t="s">
        <v>73</v>
      </c>
      <c r="S2162">
        <v>0</v>
      </c>
      <c r="W2162" s="20">
        <v>1.5972222222222221E-3</v>
      </c>
      <c r="X2162" t="s">
        <v>4902</v>
      </c>
      <c r="Y2162">
        <v>14</v>
      </c>
      <c r="Z2162">
        <v>0</v>
      </c>
      <c r="AA2162" t="s">
        <v>78</v>
      </c>
      <c r="AB2162">
        <v>0</v>
      </c>
      <c r="AC2162" t="s">
        <v>78</v>
      </c>
      <c r="AD2162">
        <v>0</v>
      </c>
      <c r="AE2162">
        <v>10630614</v>
      </c>
      <c r="AF2162" t="s">
        <v>79</v>
      </c>
      <c r="AG2162" t="s">
        <v>4724</v>
      </c>
    </row>
    <row r="2163" spans="1:33" x14ac:dyDescent="0.35">
      <c r="A2163" s="18">
        <v>44280.645138888889</v>
      </c>
      <c r="B2163">
        <v>4877020</v>
      </c>
      <c r="C2163" t="s">
        <v>2651</v>
      </c>
      <c r="D2163" t="s">
        <v>741</v>
      </c>
      <c r="E2163" s="19">
        <v>42856</v>
      </c>
      <c r="F2163" t="str">
        <f>"9781423234951"</f>
        <v>9781423234951</v>
      </c>
      <c r="G2163" t="str">
        <f>"9781423234746"</f>
        <v>9781423234746</v>
      </c>
      <c r="H2163" t="s">
        <v>115</v>
      </c>
      <c r="I2163">
        <v>510.76</v>
      </c>
      <c r="J2163" t="s">
        <v>2652</v>
      </c>
      <c r="K2163" t="s">
        <v>73</v>
      </c>
      <c r="N2163" t="s">
        <v>74</v>
      </c>
      <c r="O2163" t="s">
        <v>75</v>
      </c>
      <c r="P2163" t="s">
        <v>74</v>
      </c>
      <c r="Q2163" t="s">
        <v>76</v>
      </c>
      <c r="R2163" t="s">
        <v>73</v>
      </c>
      <c r="S2163">
        <v>0</v>
      </c>
      <c r="W2163" s="20">
        <v>1.273148148148148E-4</v>
      </c>
      <c r="X2163" t="s">
        <v>78</v>
      </c>
      <c r="Y2163">
        <v>0</v>
      </c>
      <c r="Z2163">
        <v>1</v>
      </c>
      <c r="AA2163" t="s">
        <v>2057</v>
      </c>
      <c r="AB2163">
        <v>2</v>
      </c>
      <c r="AC2163" t="s">
        <v>78</v>
      </c>
      <c r="AD2163">
        <v>0</v>
      </c>
      <c r="AE2163">
        <v>11397702</v>
      </c>
      <c r="AF2163" t="s">
        <v>79</v>
      </c>
      <c r="AG2163" t="s">
        <v>4724</v>
      </c>
    </row>
    <row r="2164" spans="1:33" x14ac:dyDescent="0.35">
      <c r="A2164" s="18">
        <v>44280.633333333331</v>
      </c>
      <c r="B2164">
        <v>3007579</v>
      </c>
      <c r="C2164" t="s">
        <v>4903</v>
      </c>
      <c r="D2164" t="s">
        <v>4129</v>
      </c>
      <c r="E2164" s="19">
        <v>37654</v>
      </c>
      <c r="F2164" t="str">
        <f>"9781932973266"</f>
        <v>9781932973266</v>
      </c>
      <c r="G2164" t="str">
        <f>"9781882197750"</f>
        <v>9781882197750</v>
      </c>
      <c r="H2164" t="s">
        <v>143</v>
      </c>
      <c r="I2164" t="s">
        <v>4904</v>
      </c>
      <c r="J2164" t="s">
        <v>4905</v>
      </c>
      <c r="K2164" t="s">
        <v>73</v>
      </c>
      <c r="N2164" t="s">
        <v>74</v>
      </c>
      <c r="O2164" t="s">
        <v>75</v>
      </c>
      <c r="P2164" t="s">
        <v>74</v>
      </c>
      <c r="Q2164" t="s">
        <v>76</v>
      </c>
      <c r="R2164" t="s">
        <v>73</v>
      </c>
      <c r="S2164">
        <v>0</v>
      </c>
      <c r="W2164" s="20">
        <v>7.0601851851851847E-4</v>
      </c>
      <c r="X2164" t="s">
        <v>4906</v>
      </c>
      <c r="Y2164">
        <v>7</v>
      </c>
      <c r="Z2164">
        <v>0</v>
      </c>
      <c r="AA2164" t="s">
        <v>78</v>
      </c>
      <c r="AB2164">
        <v>0</v>
      </c>
      <c r="AC2164" t="s">
        <v>78</v>
      </c>
      <c r="AD2164">
        <v>0</v>
      </c>
      <c r="AE2164">
        <v>10185391</v>
      </c>
      <c r="AF2164" t="s">
        <v>79</v>
      </c>
      <c r="AG2164" t="s">
        <v>4850</v>
      </c>
    </row>
    <row r="2165" spans="1:33" x14ac:dyDescent="0.35">
      <c r="A2165" s="18">
        <v>44280.615277777775</v>
      </c>
      <c r="B2165">
        <v>4877020</v>
      </c>
      <c r="C2165" t="s">
        <v>2651</v>
      </c>
      <c r="D2165" t="s">
        <v>741</v>
      </c>
      <c r="E2165" s="19">
        <v>42856</v>
      </c>
      <c r="F2165" t="str">
        <f>"9781423234951"</f>
        <v>9781423234951</v>
      </c>
      <c r="G2165" t="str">
        <f>"9781423234746"</f>
        <v>9781423234746</v>
      </c>
      <c r="H2165" t="s">
        <v>115</v>
      </c>
      <c r="I2165">
        <v>510.76</v>
      </c>
      <c r="J2165" t="s">
        <v>2652</v>
      </c>
      <c r="K2165" t="s">
        <v>73</v>
      </c>
      <c r="N2165" t="s">
        <v>74</v>
      </c>
      <c r="O2165" t="s">
        <v>75</v>
      </c>
      <c r="P2165" t="s">
        <v>74</v>
      </c>
      <c r="Q2165" t="s">
        <v>76</v>
      </c>
      <c r="R2165" t="s">
        <v>73</v>
      </c>
      <c r="S2165">
        <v>0</v>
      </c>
      <c r="W2165" s="20">
        <v>2.4074074074074076E-3</v>
      </c>
      <c r="X2165" t="s">
        <v>4907</v>
      </c>
      <c r="Y2165">
        <v>6</v>
      </c>
      <c r="Z2165">
        <v>0</v>
      </c>
      <c r="AA2165" t="s">
        <v>78</v>
      </c>
      <c r="AB2165">
        <v>0</v>
      </c>
      <c r="AC2165" t="s">
        <v>78</v>
      </c>
      <c r="AD2165">
        <v>0</v>
      </c>
      <c r="AE2165">
        <v>11397702</v>
      </c>
      <c r="AF2165" t="s">
        <v>79</v>
      </c>
      <c r="AG2165" t="s">
        <v>4724</v>
      </c>
    </row>
    <row r="2166" spans="1:33" x14ac:dyDescent="0.35">
      <c r="A2166" s="18">
        <v>44280.593055555553</v>
      </c>
      <c r="B2166">
        <v>4812122</v>
      </c>
      <c r="C2166" t="s">
        <v>3920</v>
      </c>
      <c r="D2166" t="s">
        <v>300</v>
      </c>
      <c r="E2166" s="19">
        <v>42783</v>
      </c>
      <c r="F2166" t="str">
        <f>"9780262336680"</f>
        <v>9780262336680</v>
      </c>
      <c r="G2166" t="str">
        <f>"9780262035354"</f>
        <v>9780262035354</v>
      </c>
      <c r="H2166" t="s">
        <v>143</v>
      </c>
      <c r="I2166">
        <v>658.40629999999999</v>
      </c>
      <c r="J2166" t="s">
        <v>3921</v>
      </c>
      <c r="K2166" t="s">
        <v>85</v>
      </c>
      <c r="N2166" t="s">
        <v>86</v>
      </c>
      <c r="P2166" t="s">
        <v>87</v>
      </c>
      <c r="Q2166" t="s">
        <v>76</v>
      </c>
      <c r="R2166" t="s">
        <v>73</v>
      </c>
      <c r="S2166">
        <v>0</v>
      </c>
      <c r="W2166" s="20">
        <v>4.6296296296296294E-5</v>
      </c>
      <c r="X2166" t="s">
        <v>132</v>
      </c>
      <c r="Y2166">
        <v>1</v>
      </c>
      <c r="Z2166">
        <v>0</v>
      </c>
      <c r="AA2166" t="s">
        <v>78</v>
      </c>
      <c r="AB2166">
        <v>0</v>
      </c>
      <c r="AC2166" t="s">
        <v>78</v>
      </c>
      <c r="AD2166">
        <v>0</v>
      </c>
      <c r="AE2166">
        <v>11351826</v>
      </c>
      <c r="AF2166" t="s">
        <v>79</v>
      </c>
      <c r="AG2166" t="s">
        <v>4908</v>
      </c>
    </row>
    <row r="2167" spans="1:33" x14ac:dyDescent="0.35">
      <c r="A2167" s="18">
        <v>44280.529166666667</v>
      </c>
      <c r="B2167">
        <v>4812122</v>
      </c>
      <c r="C2167" t="s">
        <v>3920</v>
      </c>
      <c r="D2167" t="s">
        <v>300</v>
      </c>
      <c r="E2167" s="19">
        <v>42783</v>
      </c>
      <c r="F2167" t="str">
        <f>"9780262336680"</f>
        <v>9780262336680</v>
      </c>
      <c r="G2167" t="str">
        <f>"9780262035354"</f>
        <v>9780262035354</v>
      </c>
      <c r="H2167" t="s">
        <v>143</v>
      </c>
      <c r="I2167">
        <v>658.40629999999999</v>
      </c>
      <c r="J2167" t="s">
        <v>3921</v>
      </c>
      <c r="K2167" t="s">
        <v>85</v>
      </c>
      <c r="N2167" t="s">
        <v>86</v>
      </c>
      <c r="P2167" t="s">
        <v>87</v>
      </c>
      <c r="Q2167" t="s">
        <v>76</v>
      </c>
      <c r="R2167" t="s">
        <v>73</v>
      </c>
      <c r="S2167">
        <v>2</v>
      </c>
      <c r="T2167">
        <v>90</v>
      </c>
      <c r="U2167" s="18">
        <v>44262.962500000001</v>
      </c>
      <c r="V2167" s="18">
        <v>44352.962500000001</v>
      </c>
      <c r="W2167" s="20">
        <v>2.4305555555555552E-4</v>
      </c>
      <c r="X2167" t="s">
        <v>4909</v>
      </c>
      <c r="Y2167">
        <v>4</v>
      </c>
      <c r="Z2167">
        <v>0</v>
      </c>
      <c r="AA2167" t="s">
        <v>78</v>
      </c>
      <c r="AB2167">
        <v>0</v>
      </c>
      <c r="AC2167" t="s">
        <v>78</v>
      </c>
      <c r="AD2167">
        <v>0</v>
      </c>
      <c r="AE2167">
        <v>11351826</v>
      </c>
      <c r="AF2167" t="s">
        <v>88</v>
      </c>
      <c r="AG2167" t="s">
        <v>333</v>
      </c>
    </row>
    <row r="2168" spans="1:33" x14ac:dyDescent="0.35">
      <c r="A2168" s="18">
        <v>44280.52847222222</v>
      </c>
      <c r="B2168">
        <v>4812122</v>
      </c>
      <c r="C2168" t="s">
        <v>3920</v>
      </c>
      <c r="D2168" t="s">
        <v>300</v>
      </c>
      <c r="E2168" s="19">
        <v>42783</v>
      </c>
      <c r="F2168" t="str">
        <f>"9780262336680"</f>
        <v>9780262336680</v>
      </c>
      <c r="G2168" t="str">
        <f>"9780262035354"</f>
        <v>9780262035354</v>
      </c>
      <c r="H2168" t="s">
        <v>143</v>
      </c>
      <c r="I2168">
        <v>658.40629999999999</v>
      </c>
      <c r="J2168" t="s">
        <v>3921</v>
      </c>
      <c r="K2168" t="s">
        <v>85</v>
      </c>
      <c r="N2168" t="s">
        <v>86</v>
      </c>
      <c r="P2168" t="s">
        <v>87</v>
      </c>
      <c r="Q2168" t="s">
        <v>76</v>
      </c>
      <c r="R2168" t="s">
        <v>73</v>
      </c>
      <c r="S2168">
        <v>1</v>
      </c>
      <c r="T2168">
        <v>90</v>
      </c>
      <c r="U2168" s="18">
        <v>44262.962500000001</v>
      </c>
      <c r="V2168" s="18">
        <v>44352.962500000001</v>
      </c>
      <c r="W2168" s="20">
        <v>6.9444444444444444E-5</v>
      </c>
      <c r="X2168" t="s">
        <v>132</v>
      </c>
      <c r="Y2168">
        <v>1</v>
      </c>
      <c r="Z2168">
        <v>0</v>
      </c>
      <c r="AA2168" t="s">
        <v>78</v>
      </c>
      <c r="AB2168">
        <v>0</v>
      </c>
      <c r="AC2168" t="s">
        <v>78</v>
      </c>
      <c r="AD2168">
        <v>0</v>
      </c>
      <c r="AE2168">
        <v>11351826</v>
      </c>
      <c r="AF2168" t="s">
        <v>88</v>
      </c>
      <c r="AG2168" t="s">
        <v>4908</v>
      </c>
    </row>
    <row r="2169" spans="1:33" x14ac:dyDescent="0.35">
      <c r="A2169" s="18">
        <v>44280.520833333336</v>
      </c>
      <c r="B2169">
        <v>3007579</v>
      </c>
      <c r="C2169" t="s">
        <v>4903</v>
      </c>
      <c r="D2169" t="s">
        <v>4129</v>
      </c>
      <c r="E2169" s="19">
        <v>37654</v>
      </c>
      <c r="F2169" t="str">
        <f>"9781932973266"</f>
        <v>9781932973266</v>
      </c>
      <c r="G2169" t="str">
        <f>"9781882197750"</f>
        <v>9781882197750</v>
      </c>
      <c r="H2169" t="s">
        <v>143</v>
      </c>
      <c r="I2169" t="s">
        <v>4904</v>
      </c>
      <c r="J2169" t="s">
        <v>4905</v>
      </c>
      <c r="K2169" t="s">
        <v>73</v>
      </c>
      <c r="N2169" t="s">
        <v>74</v>
      </c>
      <c r="O2169" t="s">
        <v>75</v>
      </c>
      <c r="P2169" t="s">
        <v>74</v>
      </c>
      <c r="Q2169" t="s">
        <v>76</v>
      </c>
      <c r="R2169" t="s">
        <v>73</v>
      </c>
      <c r="S2169">
        <v>0</v>
      </c>
      <c r="W2169" s="20">
        <v>7.7546296296296304E-4</v>
      </c>
      <c r="X2169" t="s">
        <v>4910</v>
      </c>
      <c r="Y2169">
        <v>14</v>
      </c>
      <c r="Z2169">
        <v>0</v>
      </c>
      <c r="AA2169" t="s">
        <v>78</v>
      </c>
      <c r="AB2169">
        <v>0</v>
      </c>
      <c r="AC2169" t="s">
        <v>78</v>
      </c>
      <c r="AD2169">
        <v>0</v>
      </c>
      <c r="AE2169">
        <v>10185391</v>
      </c>
      <c r="AF2169" t="s">
        <v>79</v>
      </c>
      <c r="AG2169" t="s">
        <v>4850</v>
      </c>
    </row>
    <row r="2170" spans="1:33" x14ac:dyDescent="0.35">
      <c r="A2170" s="18">
        <v>44279.769444444442</v>
      </c>
      <c r="B2170">
        <v>6190696</v>
      </c>
      <c r="C2170" t="s">
        <v>4911</v>
      </c>
      <c r="D2170" t="s">
        <v>2550</v>
      </c>
      <c r="E2170" s="19">
        <v>43951</v>
      </c>
      <c r="F2170" t="str">
        <f>"9781839212437"</f>
        <v>9781839212437</v>
      </c>
      <c r="G2170" t="str">
        <f>"9781839211140"</f>
        <v>9781839211140</v>
      </c>
      <c r="H2170" t="s">
        <v>110</v>
      </c>
      <c r="I2170">
        <v>5.3</v>
      </c>
      <c r="J2170" t="s">
        <v>4912</v>
      </c>
      <c r="K2170" t="s">
        <v>85</v>
      </c>
      <c r="Q2170" t="s">
        <v>76</v>
      </c>
      <c r="R2170" t="s">
        <v>73</v>
      </c>
      <c r="S2170">
        <v>0</v>
      </c>
      <c r="W2170" s="20">
        <v>1.7245370370370372E-3</v>
      </c>
      <c r="X2170" t="s">
        <v>4913</v>
      </c>
      <c r="Y2170">
        <v>3</v>
      </c>
      <c r="Z2170">
        <v>0</v>
      </c>
      <c r="AA2170" t="s">
        <v>78</v>
      </c>
      <c r="AB2170">
        <v>0</v>
      </c>
      <c r="AC2170" t="s">
        <v>78</v>
      </c>
      <c r="AD2170">
        <v>0</v>
      </c>
      <c r="AE2170">
        <v>-1</v>
      </c>
      <c r="AF2170" t="s">
        <v>79</v>
      </c>
      <c r="AG2170" t="s">
        <v>4850</v>
      </c>
    </row>
    <row r="2171" spans="1:33" x14ac:dyDescent="0.35">
      <c r="A2171" s="18">
        <v>44279.51458333333</v>
      </c>
      <c r="B2171">
        <v>3001261</v>
      </c>
      <c r="C2171" t="s">
        <v>3419</v>
      </c>
      <c r="D2171" t="s">
        <v>3420</v>
      </c>
      <c r="E2171" s="19">
        <v>39630</v>
      </c>
      <c r="F2171" t="str">
        <f>"9780313352874"</f>
        <v>9780313352874</v>
      </c>
      <c r="G2171" t="str">
        <f>"9780313352867"</f>
        <v>9780313352867</v>
      </c>
      <c r="H2171" t="s">
        <v>3421</v>
      </c>
      <c r="I2171">
        <v>333.79</v>
      </c>
      <c r="J2171" t="s">
        <v>3422</v>
      </c>
      <c r="K2171" t="s">
        <v>73</v>
      </c>
      <c r="N2171" t="s">
        <v>74</v>
      </c>
      <c r="O2171" t="s">
        <v>75</v>
      </c>
      <c r="P2171" t="s">
        <v>74</v>
      </c>
      <c r="Q2171" t="s">
        <v>76</v>
      </c>
      <c r="R2171" t="s">
        <v>73</v>
      </c>
      <c r="S2171">
        <v>0</v>
      </c>
      <c r="W2171" s="20">
        <v>5.7870370370370366E-5</v>
      </c>
      <c r="X2171" t="s">
        <v>132</v>
      </c>
      <c r="Y2171">
        <v>1</v>
      </c>
      <c r="Z2171">
        <v>0</v>
      </c>
      <c r="AA2171" t="s">
        <v>78</v>
      </c>
      <c r="AB2171">
        <v>0</v>
      </c>
      <c r="AC2171" t="s">
        <v>78</v>
      </c>
      <c r="AD2171">
        <v>0</v>
      </c>
      <c r="AE2171">
        <v>10271266</v>
      </c>
      <c r="AF2171" t="s">
        <v>79</v>
      </c>
      <c r="AG2171" t="s">
        <v>4914</v>
      </c>
    </row>
    <row r="2172" spans="1:33" x14ac:dyDescent="0.35">
      <c r="A2172" s="18">
        <v>44279.363194444442</v>
      </c>
      <c r="B2172">
        <v>4412594</v>
      </c>
      <c r="C2172" t="s">
        <v>4915</v>
      </c>
      <c r="D2172" t="s">
        <v>900</v>
      </c>
      <c r="E2172" s="19">
        <v>42341</v>
      </c>
      <c r="F2172" t="str">
        <f>"9781681081403"</f>
        <v>9781681081403</v>
      </c>
      <c r="G2172" t="str">
        <f>"9781681081410"</f>
        <v>9781681081410</v>
      </c>
      <c r="H2172" t="s">
        <v>2135</v>
      </c>
      <c r="I2172">
        <v>616.90409999999895</v>
      </c>
      <c r="J2172" t="s">
        <v>4916</v>
      </c>
      <c r="K2172" t="s">
        <v>73</v>
      </c>
      <c r="N2172" t="s">
        <v>74</v>
      </c>
      <c r="O2172" t="s">
        <v>75</v>
      </c>
      <c r="P2172" t="s">
        <v>74</v>
      </c>
      <c r="Q2172" t="s">
        <v>76</v>
      </c>
      <c r="R2172" t="s">
        <v>73</v>
      </c>
      <c r="S2172">
        <v>0</v>
      </c>
      <c r="W2172" s="20">
        <v>5.7870370370370366E-5</v>
      </c>
      <c r="X2172" t="s">
        <v>132</v>
      </c>
      <c r="Y2172">
        <v>1</v>
      </c>
      <c r="Z2172">
        <v>0</v>
      </c>
      <c r="AA2172" t="s">
        <v>78</v>
      </c>
      <c r="AB2172">
        <v>0</v>
      </c>
      <c r="AC2172" t="s">
        <v>78</v>
      </c>
      <c r="AD2172">
        <v>0</v>
      </c>
      <c r="AE2172">
        <v>11235873</v>
      </c>
      <c r="AF2172" t="s">
        <v>79</v>
      </c>
      <c r="AG2172" t="s">
        <v>4724</v>
      </c>
    </row>
    <row r="2173" spans="1:33" x14ac:dyDescent="0.35">
      <c r="A2173" s="18">
        <v>44279.222222222219</v>
      </c>
      <c r="B2173">
        <v>3116743</v>
      </c>
      <c r="C2173" t="s">
        <v>4917</v>
      </c>
      <c r="D2173" t="s">
        <v>2393</v>
      </c>
      <c r="E2173" s="19">
        <v>40148</v>
      </c>
      <c r="F2173" t="str">
        <f>"9781613001110"</f>
        <v>9781613001110</v>
      </c>
      <c r="G2173" t="str">
        <f>"9781583217801"</f>
        <v>9781583217801</v>
      </c>
      <c r="H2173" t="s">
        <v>374</v>
      </c>
      <c r="I2173" t="s">
        <v>443</v>
      </c>
      <c r="J2173" t="s">
        <v>4918</v>
      </c>
      <c r="K2173" t="s">
        <v>73</v>
      </c>
      <c r="N2173" t="s">
        <v>74</v>
      </c>
      <c r="O2173" t="s">
        <v>75</v>
      </c>
      <c r="P2173" t="s">
        <v>74</v>
      </c>
      <c r="Q2173" t="s">
        <v>76</v>
      </c>
      <c r="R2173" t="s">
        <v>73</v>
      </c>
      <c r="S2173">
        <v>0</v>
      </c>
      <c r="W2173" s="20">
        <v>1.2268518518518518E-3</v>
      </c>
      <c r="X2173" t="s">
        <v>4919</v>
      </c>
      <c r="Y2173">
        <v>10</v>
      </c>
      <c r="Z2173">
        <v>0</v>
      </c>
      <c r="AA2173" t="s">
        <v>78</v>
      </c>
      <c r="AB2173">
        <v>0</v>
      </c>
      <c r="AC2173" t="s">
        <v>78</v>
      </c>
      <c r="AD2173">
        <v>0</v>
      </c>
      <c r="AE2173">
        <v>10533523</v>
      </c>
      <c r="AF2173" t="s">
        <v>79</v>
      </c>
      <c r="AG2173" t="s">
        <v>4724</v>
      </c>
    </row>
    <row r="2174" spans="1:33" x14ac:dyDescent="0.35">
      <c r="A2174" s="18">
        <v>44278.928472222222</v>
      </c>
      <c r="B2174">
        <v>1185125</v>
      </c>
      <c r="C2174" t="s">
        <v>4920</v>
      </c>
      <c r="D2174" t="s">
        <v>1637</v>
      </c>
      <c r="E2174" s="19">
        <v>38875</v>
      </c>
      <c r="F2174" t="str">
        <f>"9781847552457"</f>
        <v>9781847552457</v>
      </c>
      <c r="G2174" t="str">
        <f>"9780854042111"</f>
        <v>9780854042111</v>
      </c>
      <c r="H2174" t="s">
        <v>222</v>
      </c>
      <c r="I2174" t="s">
        <v>4921</v>
      </c>
      <c r="J2174">
        <v>2006494634</v>
      </c>
      <c r="K2174" t="s">
        <v>73</v>
      </c>
      <c r="N2174" t="s">
        <v>74</v>
      </c>
      <c r="O2174" t="s">
        <v>75</v>
      </c>
      <c r="P2174" t="s">
        <v>74</v>
      </c>
      <c r="Q2174" t="s">
        <v>76</v>
      </c>
      <c r="R2174" t="s">
        <v>73</v>
      </c>
      <c r="S2174">
        <v>0</v>
      </c>
      <c r="W2174" s="20">
        <v>3.8136574074074073E-2</v>
      </c>
      <c r="X2174" t="s">
        <v>4922</v>
      </c>
      <c r="Y2174">
        <v>52</v>
      </c>
      <c r="Z2174">
        <v>0</v>
      </c>
      <c r="AA2174" t="s">
        <v>78</v>
      </c>
      <c r="AB2174">
        <v>0</v>
      </c>
      <c r="AC2174" t="s">
        <v>78</v>
      </c>
      <c r="AD2174">
        <v>0</v>
      </c>
      <c r="AE2174">
        <v>10626390</v>
      </c>
      <c r="AF2174" t="s">
        <v>79</v>
      </c>
      <c r="AG2174" t="s">
        <v>4724</v>
      </c>
    </row>
    <row r="2175" spans="1:33" x14ac:dyDescent="0.35">
      <c r="A2175" s="18">
        <v>44278.893750000003</v>
      </c>
      <c r="B2175">
        <v>5720630</v>
      </c>
      <c r="C2175" t="s">
        <v>4923</v>
      </c>
      <c r="D2175" t="s">
        <v>338</v>
      </c>
      <c r="E2175" s="19">
        <v>43600</v>
      </c>
      <c r="F2175" t="str">
        <f>"9780323554794"</f>
        <v>9780323554794</v>
      </c>
      <c r="G2175" t="str">
        <f>"9780323554763"</f>
        <v>9780323554763</v>
      </c>
      <c r="H2175" t="s">
        <v>222</v>
      </c>
      <c r="I2175">
        <v>616.80022199999996</v>
      </c>
      <c r="J2175" t="s">
        <v>4924</v>
      </c>
      <c r="K2175" t="s">
        <v>85</v>
      </c>
      <c r="N2175" t="s">
        <v>86</v>
      </c>
      <c r="P2175" t="s">
        <v>297</v>
      </c>
      <c r="Q2175" t="s">
        <v>76</v>
      </c>
      <c r="R2175" t="s">
        <v>73</v>
      </c>
      <c r="S2175">
        <v>0</v>
      </c>
      <c r="W2175" s="20">
        <v>6.053240740740741E-3</v>
      </c>
      <c r="X2175" t="s">
        <v>4925</v>
      </c>
      <c r="Y2175">
        <v>3</v>
      </c>
      <c r="Z2175">
        <v>4</v>
      </c>
      <c r="AA2175" t="s">
        <v>4926</v>
      </c>
      <c r="AB2175">
        <v>82</v>
      </c>
      <c r="AC2175" t="s">
        <v>78</v>
      </c>
      <c r="AD2175">
        <v>0</v>
      </c>
      <c r="AE2175">
        <v>11656927</v>
      </c>
      <c r="AF2175" t="s">
        <v>79</v>
      </c>
      <c r="AG2175" t="s">
        <v>4927</v>
      </c>
    </row>
    <row r="2176" spans="1:33" x14ac:dyDescent="0.35">
      <c r="A2176" s="18">
        <v>44278.695138888892</v>
      </c>
      <c r="B2176">
        <v>932820</v>
      </c>
      <c r="C2176" t="s">
        <v>4928</v>
      </c>
      <c r="D2176" t="s">
        <v>127</v>
      </c>
      <c r="E2176" s="19">
        <v>41065</v>
      </c>
      <c r="F2176" t="str">
        <f>"9781439850671"</f>
        <v>9781439850671</v>
      </c>
      <c r="G2176" t="str">
        <f>"9781439850664"</f>
        <v>9781439850664</v>
      </c>
      <c r="H2176" t="s">
        <v>71</v>
      </c>
      <c r="I2176">
        <v>621.31241999999997</v>
      </c>
      <c r="J2176" t="s">
        <v>4929</v>
      </c>
      <c r="K2176" t="s">
        <v>73</v>
      </c>
      <c r="N2176" t="s">
        <v>74</v>
      </c>
      <c r="O2176" t="s">
        <v>75</v>
      </c>
      <c r="P2176" t="s">
        <v>74</v>
      </c>
      <c r="Q2176" t="s">
        <v>76</v>
      </c>
      <c r="R2176" t="s">
        <v>73</v>
      </c>
      <c r="S2176">
        <v>0</v>
      </c>
      <c r="W2176" s="20">
        <v>7.4074074074074068E-3</v>
      </c>
      <c r="X2176" t="s">
        <v>4930</v>
      </c>
      <c r="Y2176">
        <v>29</v>
      </c>
      <c r="Z2176">
        <v>0</v>
      </c>
      <c r="AA2176" t="s">
        <v>78</v>
      </c>
      <c r="AB2176">
        <v>0</v>
      </c>
      <c r="AC2176" t="s">
        <v>78</v>
      </c>
      <c r="AD2176">
        <v>0</v>
      </c>
      <c r="AE2176">
        <v>10568728</v>
      </c>
      <c r="AF2176" t="s">
        <v>79</v>
      </c>
      <c r="AG2176" t="s">
        <v>4931</v>
      </c>
    </row>
    <row r="2177" spans="1:33" x14ac:dyDescent="0.35">
      <c r="A2177" s="18">
        <v>44278.412499999999</v>
      </c>
      <c r="B2177">
        <v>2198061</v>
      </c>
      <c r="C2177" t="s">
        <v>4932</v>
      </c>
      <c r="D2177" t="s">
        <v>4199</v>
      </c>
      <c r="E2177" s="19">
        <v>42305</v>
      </c>
      <c r="F2177" t="str">
        <f>"9780857937261"</f>
        <v>9780857937261</v>
      </c>
      <c r="G2177" t="str">
        <f>"9780857937254"</f>
        <v>9780857937254</v>
      </c>
      <c r="H2177" t="s">
        <v>143</v>
      </c>
      <c r="I2177">
        <v>388</v>
      </c>
      <c r="J2177" t="s">
        <v>4933</v>
      </c>
      <c r="K2177" t="s">
        <v>85</v>
      </c>
      <c r="N2177" t="s">
        <v>86</v>
      </c>
      <c r="P2177" t="s">
        <v>1850</v>
      </c>
      <c r="Q2177" t="s">
        <v>76</v>
      </c>
      <c r="R2177" t="s">
        <v>73</v>
      </c>
      <c r="S2177">
        <v>0</v>
      </c>
      <c r="W2177" s="20">
        <v>0</v>
      </c>
      <c r="X2177" t="s">
        <v>78</v>
      </c>
      <c r="Y2177">
        <v>0</v>
      </c>
      <c r="Z2177">
        <v>1</v>
      </c>
      <c r="AA2177" t="s">
        <v>4934</v>
      </c>
      <c r="AB2177">
        <v>19</v>
      </c>
      <c r="AC2177" t="s">
        <v>78</v>
      </c>
      <c r="AD2177">
        <v>0</v>
      </c>
      <c r="AE2177">
        <v>11095063</v>
      </c>
      <c r="AF2177" t="s">
        <v>88</v>
      </c>
      <c r="AG2177" t="s">
        <v>4935</v>
      </c>
    </row>
    <row r="2178" spans="1:33" x14ac:dyDescent="0.35">
      <c r="A2178" s="18">
        <v>44278.394444444442</v>
      </c>
      <c r="B2178">
        <v>200407</v>
      </c>
      <c r="C2178" t="s">
        <v>4936</v>
      </c>
      <c r="D2178" t="s">
        <v>127</v>
      </c>
      <c r="E2178" s="19">
        <v>38344</v>
      </c>
      <c r="F2178" t="str">
        <f>"9780203589397"</f>
        <v>9780203589397</v>
      </c>
      <c r="G2178" t="str">
        <f>"9780415317504"</f>
        <v>9780415317504</v>
      </c>
      <c r="H2178" t="s">
        <v>4937</v>
      </c>
      <c r="I2178">
        <v>711.41</v>
      </c>
      <c r="J2178" t="s">
        <v>4938</v>
      </c>
      <c r="K2178" t="s">
        <v>73</v>
      </c>
      <c r="N2178" t="s">
        <v>74</v>
      </c>
      <c r="O2178" t="s">
        <v>75</v>
      </c>
      <c r="P2178" t="s">
        <v>74</v>
      </c>
      <c r="Q2178" t="s">
        <v>76</v>
      </c>
      <c r="R2178" t="s">
        <v>73</v>
      </c>
      <c r="S2178">
        <v>1</v>
      </c>
      <c r="W2178" s="20">
        <v>0</v>
      </c>
      <c r="X2178" t="s">
        <v>78</v>
      </c>
      <c r="Y2178">
        <v>0</v>
      </c>
      <c r="Z2178">
        <v>0</v>
      </c>
      <c r="AA2178" t="s">
        <v>78</v>
      </c>
      <c r="AB2178">
        <v>0</v>
      </c>
      <c r="AC2178" t="s">
        <v>78</v>
      </c>
      <c r="AD2178">
        <v>0</v>
      </c>
      <c r="AE2178">
        <v>10094573</v>
      </c>
      <c r="AF2178" t="s">
        <v>88</v>
      </c>
      <c r="AG2178" t="s">
        <v>4935</v>
      </c>
    </row>
    <row r="2179" spans="1:33" x14ac:dyDescent="0.35">
      <c r="A2179" s="18">
        <v>44278.394444444442</v>
      </c>
      <c r="B2179">
        <v>3020870</v>
      </c>
      <c r="C2179" t="s">
        <v>4748</v>
      </c>
      <c r="D2179" t="s">
        <v>226</v>
      </c>
      <c r="E2179" s="19">
        <v>40452</v>
      </c>
      <c r="F2179" t="str">
        <f>"9781617611629"</f>
        <v>9781617611629</v>
      </c>
      <c r="G2179" t="str">
        <f>"9781617289804"</f>
        <v>9781617289804</v>
      </c>
      <c r="H2179" t="s">
        <v>4749</v>
      </c>
      <c r="I2179">
        <v>551.6</v>
      </c>
      <c r="J2179" t="s">
        <v>4750</v>
      </c>
      <c r="K2179" t="s">
        <v>73</v>
      </c>
      <c r="N2179" t="s">
        <v>74</v>
      </c>
      <c r="O2179" t="s">
        <v>75</v>
      </c>
      <c r="P2179" t="s">
        <v>74</v>
      </c>
      <c r="Q2179" t="s">
        <v>76</v>
      </c>
      <c r="R2179" t="s">
        <v>73</v>
      </c>
      <c r="S2179">
        <v>1</v>
      </c>
      <c r="W2179" s="20">
        <v>1.5740740740740741E-3</v>
      </c>
      <c r="X2179" t="s">
        <v>4939</v>
      </c>
      <c r="Y2179">
        <v>15</v>
      </c>
      <c r="Z2179">
        <v>0</v>
      </c>
      <c r="AA2179" t="s">
        <v>78</v>
      </c>
      <c r="AB2179">
        <v>0</v>
      </c>
      <c r="AC2179" t="s">
        <v>78</v>
      </c>
      <c r="AD2179">
        <v>0</v>
      </c>
      <c r="AE2179">
        <v>10681008</v>
      </c>
      <c r="AF2179" t="s">
        <v>88</v>
      </c>
      <c r="AG2179" t="s">
        <v>4724</v>
      </c>
    </row>
    <row r="2180" spans="1:33" x14ac:dyDescent="0.35">
      <c r="A2180" s="18">
        <v>44278.390277777777</v>
      </c>
      <c r="B2180">
        <v>3020870</v>
      </c>
      <c r="C2180" t="s">
        <v>4748</v>
      </c>
      <c r="D2180" t="s">
        <v>226</v>
      </c>
      <c r="E2180" s="19">
        <v>40452</v>
      </c>
      <c r="F2180" t="str">
        <f>"9781617611629"</f>
        <v>9781617611629</v>
      </c>
      <c r="G2180" t="str">
        <f>"9781617289804"</f>
        <v>9781617289804</v>
      </c>
      <c r="H2180" t="s">
        <v>4749</v>
      </c>
      <c r="I2180">
        <v>551.6</v>
      </c>
      <c r="J2180" t="s">
        <v>4750</v>
      </c>
      <c r="K2180" t="s">
        <v>73</v>
      </c>
      <c r="N2180" t="s">
        <v>74</v>
      </c>
      <c r="O2180" t="s">
        <v>75</v>
      </c>
      <c r="P2180" t="s">
        <v>74</v>
      </c>
      <c r="Q2180" t="s">
        <v>76</v>
      </c>
      <c r="R2180" t="s">
        <v>73</v>
      </c>
      <c r="S2180">
        <v>0</v>
      </c>
      <c r="W2180" s="20">
        <v>4.1319444444444442E-3</v>
      </c>
      <c r="X2180" t="s">
        <v>4940</v>
      </c>
      <c r="Y2180">
        <v>48</v>
      </c>
      <c r="Z2180">
        <v>1</v>
      </c>
      <c r="AA2180" t="s">
        <v>4941</v>
      </c>
      <c r="AB2180">
        <v>1</v>
      </c>
      <c r="AC2180" t="s">
        <v>78</v>
      </c>
      <c r="AD2180">
        <v>0</v>
      </c>
      <c r="AE2180">
        <v>10681008</v>
      </c>
      <c r="AF2180" t="s">
        <v>88</v>
      </c>
      <c r="AG2180" t="s">
        <v>4724</v>
      </c>
    </row>
    <row r="2181" spans="1:33" x14ac:dyDescent="0.35">
      <c r="A2181" s="18">
        <v>44277.981944444444</v>
      </c>
      <c r="B2181">
        <v>3116743</v>
      </c>
      <c r="C2181" t="s">
        <v>4917</v>
      </c>
      <c r="D2181" t="s">
        <v>2393</v>
      </c>
      <c r="E2181" s="19">
        <v>40148</v>
      </c>
      <c r="F2181" t="str">
        <f>"9781613001110"</f>
        <v>9781613001110</v>
      </c>
      <c r="G2181" t="str">
        <f>"9781583217801"</f>
        <v>9781583217801</v>
      </c>
      <c r="H2181" t="s">
        <v>374</v>
      </c>
      <c r="I2181" t="s">
        <v>443</v>
      </c>
      <c r="J2181" t="s">
        <v>4918</v>
      </c>
      <c r="K2181" t="s">
        <v>73</v>
      </c>
      <c r="N2181" t="s">
        <v>74</v>
      </c>
      <c r="O2181" t="s">
        <v>75</v>
      </c>
      <c r="P2181" t="s">
        <v>74</v>
      </c>
      <c r="Q2181" t="s">
        <v>76</v>
      </c>
      <c r="R2181" t="s">
        <v>73</v>
      </c>
      <c r="S2181">
        <v>0</v>
      </c>
      <c r="W2181" s="20">
        <v>5.7870370370370366E-5</v>
      </c>
      <c r="X2181" t="s">
        <v>360</v>
      </c>
      <c r="Y2181">
        <v>2</v>
      </c>
      <c r="Z2181">
        <v>0</v>
      </c>
      <c r="AA2181" t="s">
        <v>78</v>
      </c>
      <c r="AB2181">
        <v>0</v>
      </c>
      <c r="AC2181" t="s">
        <v>78</v>
      </c>
      <c r="AD2181">
        <v>0</v>
      </c>
      <c r="AE2181">
        <v>10533523</v>
      </c>
      <c r="AF2181" t="s">
        <v>79</v>
      </c>
      <c r="AG2181" t="s">
        <v>4724</v>
      </c>
    </row>
    <row r="2182" spans="1:33" x14ac:dyDescent="0.35">
      <c r="A2182" s="18">
        <v>44277.830555555556</v>
      </c>
      <c r="B2182">
        <v>3001261</v>
      </c>
      <c r="C2182" t="s">
        <v>3419</v>
      </c>
      <c r="D2182" t="s">
        <v>3420</v>
      </c>
      <c r="E2182" s="19">
        <v>39630</v>
      </c>
      <c r="F2182" t="str">
        <f>"9780313352874"</f>
        <v>9780313352874</v>
      </c>
      <c r="G2182" t="str">
        <f>"9780313352867"</f>
        <v>9780313352867</v>
      </c>
      <c r="H2182" t="s">
        <v>3421</v>
      </c>
      <c r="I2182">
        <v>333.79</v>
      </c>
      <c r="J2182" t="s">
        <v>3422</v>
      </c>
      <c r="K2182" t="s">
        <v>73</v>
      </c>
      <c r="N2182" t="s">
        <v>74</v>
      </c>
      <c r="O2182" t="s">
        <v>75</v>
      </c>
      <c r="P2182" t="s">
        <v>74</v>
      </c>
      <c r="Q2182" t="s">
        <v>76</v>
      </c>
      <c r="R2182" t="s">
        <v>73</v>
      </c>
      <c r="S2182">
        <v>0</v>
      </c>
      <c r="W2182" s="20">
        <v>4.6296296296296294E-5</v>
      </c>
      <c r="X2182" t="s">
        <v>132</v>
      </c>
      <c r="Y2182">
        <v>1</v>
      </c>
      <c r="Z2182">
        <v>0</v>
      </c>
      <c r="AA2182" t="s">
        <v>78</v>
      </c>
      <c r="AB2182">
        <v>0</v>
      </c>
      <c r="AC2182" t="s">
        <v>78</v>
      </c>
      <c r="AD2182">
        <v>0</v>
      </c>
      <c r="AE2182">
        <v>10271266</v>
      </c>
      <c r="AF2182" t="s">
        <v>79</v>
      </c>
      <c r="AG2182" t="s">
        <v>4914</v>
      </c>
    </row>
    <row r="2183" spans="1:33" x14ac:dyDescent="0.35">
      <c r="A2183" s="18">
        <v>44277.710416666669</v>
      </c>
      <c r="B2183">
        <v>4466296</v>
      </c>
      <c r="C2183" t="s">
        <v>4942</v>
      </c>
      <c r="D2183" t="s">
        <v>4943</v>
      </c>
      <c r="E2183" s="19">
        <v>42409</v>
      </c>
      <c r="F2183" t="str">
        <f>"9782889390137"</f>
        <v>9782889390137</v>
      </c>
      <c r="G2183" t="str">
        <f>""</f>
        <v/>
      </c>
      <c r="H2183" t="s">
        <v>4944</v>
      </c>
      <c r="I2183">
        <v>629.45529999999906</v>
      </c>
      <c r="J2183" t="s">
        <v>4945</v>
      </c>
      <c r="K2183" t="s">
        <v>73</v>
      </c>
      <c r="N2183" t="s">
        <v>74</v>
      </c>
      <c r="O2183" t="s">
        <v>75</v>
      </c>
      <c r="P2183" t="s">
        <v>74</v>
      </c>
      <c r="Q2183" t="s">
        <v>76</v>
      </c>
      <c r="R2183" t="s">
        <v>73</v>
      </c>
      <c r="S2183">
        <v>0</v>
      </c>
      <c r="W2183" s="20">
        <v>3.4722222222222222E-5</v>
      </c>
      <c r="X2183" t="s">
        <v>132</v>
      </c>
      <c r="Y2183">
        <v>1</v>
      </c>
      <c r="Z2183">
        <v>0</v>
      </c>
      <c r="AA2183" t="s">
        <v>78</v>
      </c>
      <c r="AB2183">
        <v>0</v>
      </c>
      <c r="AC2183" t="s">
        <v>78</v>
      </c>
      <c r="AD2183">
        <v>0</v>
      </c>
      <c r="AE2183">
        <v>11190635</v>
      </c>
      <c r="AF2183" t="s">
        <v>79</v>
      </c>
      <c r="AG2183" t="s">
        <v>4946</v>
      </c>
    </row>
    <row r="2184" spans="1:33" x14ac:dyDescent="0.35">
      <c r="A2184" s="18">
        <v>44277.699305555558</v>
      </c>
      <c r="B2184">
        <v>3440632</v>
      </c>
      <c r="C2184" t="s">
        <v>4947</v>
      </c>
      <c r="D2184" t="s">
        <v>4948</v>
      </c>
      <c r="E2184" s="19">
        <v>42299</v>
      </c>
      <c r="F2184" t="str">
        <f>"9780816532261"</f>
        <v>9780816532261</v>
      </c>
      <c r="G2184" t="str">
        <f>"9780816500383"</f>
        <v>9780816500383</v>
      </c>
      <c r="H2184" t="s">
        <v>1561</v>
      </c>
      <c r="I2184">
        <v>550</v>
      </c>
      <c r="J2184" t="s">
        <v>4949</v>
      </c>
      <c r="K2184" t="s">
        <v>73</v>
      </c>
      <c r="N2184" t="s">
        <v>74</v>
      </c>
      <c r="O2184" t="s">
        <v>75</v>
      </c>
      <c r="P2184" t="s">
        <v>74</v>
      </c>
      <c r="Q2184" t="s">
        <v>76</v>
      </c>
      <c r="R2184" t="s">
        <v>73</v>
      </c>
      <c r="S2184">
        <v>0</v>
      </c>
      <c r="W2184" s="20">
        <v>1.0081018518518519E-2</v>
      </c>
      <c r="X2184" t="s">
        <v>4950</v>
      </c>
      <c r="Y2184">
        <v>45</v>
      </c>
      <c r="Z2184">
        <v>0</v>
      </c>
      <c r="AA2184" t="s">
        <v>78</v>
      </c>
      <c r="AB2184">
        <v>0</v>
      </c>
      <c r="AC2184" t="s">
        <v>78</v>
      </c>
      <c r="AD2184">
        <v>0</v>
      </c>
      <c r="AE2184">
        <v>11078256</v>
      </c>
      <c r="AF2184" t="s">
        <v>79</v>
      </c>
      <c r="AG2184" t="s">
        <v>4946</v>
      </c>
    </row>
    <row r="2185" spans="1:33" x14ac:dyDescent="0.35">
      <c r="A2185" s="18">
        <v>44277.542361111111</v>
      </c>
      <c r="B2185">
        <v>1446430</v>
      </c>
      <c r="C2185" t="s">
        <v>1649</v>
      </c>
      <c r="D2185" t="s">
        <v>127</v>
      </c>
      <c r="E2185" s="19">
        <v>40274</v>
      </c>
      <c r="F2185" t="str">
        <f>"9781439882573"</f>
        <v>9781439882573</v>
      </c>
      <c r="G2185" t="str">
        <f>"9781420085983"</f>
        <v>9781420085983</v>
      </c>
      <c r="H2185" t="s">
        <v>979</v>
      </c>
      <c r="I2185" t="s">
        <v>1650</v>
      </c>
      <c r="J2185" t="s">
        <v>1651</v>
      </c>
      <c r="K2185" t="s">
        <v>73</v>
      </c>
      <c r="N2185" t="s">
        <v>74</v>
      </c>
      <c r="O2185" t="s">
        <v>75</v>
      </c>
      <c r="P2185" t="s">
        <v>74</v>
      </c>
      <c r="Q2185" t="s">
        <v>76</v>
      </c>
      <c r="R2185" t="s">
        <v>73</v>
      </c>
      <c r="S2185">
        <v>0</v>
      </c>
      <c r="W2185" s="20">
        <v>2.3842592592592591E-3</v>
      </c>
      <c r="X2185" t="s">
        <v>4951</v>
      </c>
      <c r="Y2185">
        <v>14</v>
      </c>
      <c r="Z2185">
        <v>0</v>
      </c>
      <c r="AA2185" t="s">
        <v>78</v>
      </c>
      <c r="AB2185">
        <v>0</v>
      </c>
      <c r="AC2185" t="s">
        <v>78</v>
      </c>
      <c r="AD2185">
        <v>0</v>
      </c>
      <c r="AE2185">
        <v>11166018</v>
      </c>
      <c r="AF2185" t="s">
        <v>79</v>
      </c>
      <c r="AG2185" t="s">
        <v>4850</v>
      </c>
    </row>
    <row r="2186" spans="1:33" x14ac:dyDescent="0.35">
      <c r="A2186" s="18">
        <v>44277.496527777781</v>
      </c>
      <c r="B2186">
        <v>1629239</v>
      </c>
      <c r="C2186" t="s">
        <v>4952</v>
      </c>
      <c r="D2186" t="s">
        <v>158</v>
      </c>
      <c r="E2186" s="19">
        <v>41715</v>
      </c>
      <c r="F2186" t="str">
        <f>"9780124116061"</f>
        <v>9780124116061</v>
      </c>
      <c r="G2186" t="str">
        <f>"9780124116191"</f>
        <v>9780124116191</v>
      </c>
      <c r="H2186" t="s">
        <v>3682</v>
      </c>
      <c r="I2186">
        <v>611.01827000000003</v>
      </c>
      <c r="J2186" t="s">
        <v>4953</v>
      </c>
      <c r="K2186" t="s">
        <v>73</v>
      </c>
      <c r="N2186" t="s">
        <v>74</v>
      </c>
      <c r="O2186" t="s">
        <v>75</v>
      </c>
      <c r="P2186" t="s">
        <v>74</v>
      </c>
      <c r="Q2186" t="s">
        <v>76</v>
      </c>
      <c r="R2186" t="s">
        <v>73</v>
      </c>
      <c r="S2186">
        <v>1</v>
      </c>
      <c r="W2186" s="20">
        <v>0</v>
      </c>
      <c r="X2186" t="s">
        <v>78</v>
      </c>
      <c r="Y2186">
        <v>0</v>
      </c>
      <c r="Z2186">
        <v>0</v>
      </c>
      <c r="AA2186" t="s">
        <v>78</v>
      </c>
      <c r="AB2186">
        <v>0</v>
      </c>
      <c r="AC2186" t="s">
        <v>78</v>
      </c>
      <c r="AD2186">
        <v>0</v>
      </c>
      <c r="AE2186">
        <v>10838484</v>
      </c>
      <c r="AF2186" t="s">
        <v>88</v>
      </c>
      <c r="AG2186" t="s">
        <v>4954</v>
      </c>
    </row>
    <row r="2187" spans="1:33" x14ac:dyDescent="0.35">
      <c r="A2187" s="18">
        <v>44277.496527777781</v>
      </c>
      <c r="B2187">
        <v>2038910</v>
      </c>
      <c r="C2187" t="s">
        <v>4875</v>
      </c>
      <c r="D2187" t="s">
        <v>3175</v>
      </c>
      <c r="E2187" s="19">
        <v>42130</v>
      </c>
      <c r="F2187" t="str">
        <f>"9780323312653"</f>
        <v>9780323312653</v>
      </c>
      <c r="G2187" t="str">
        <f>"9780323312998"</f>
        <v>9780323312998</v>
      </c>
      <c r="H2187" t="s">
        <v>391</v>
      </c>
      <c r="I2187">
        <v>668.423</v>
      </c>
      <c r="J2187" t="s">
        <v>4876</v>
      </c>
      <c r="K2187" t="s">
        <v>73</v>
      </c>
      <c r="N2187" t="s">
        <v>74</v>
      </c>
      <c r="O2187" t="s">
        <v>75</v>
      </c>
      <c r="P2187" t="s">
        <v>74</v>
      </c>
      <c r="Q2187" t="s">
        <v>76</v>
      </c>
      <c r="R2187" t="s">
        <v>73</v>
      </c>
      <c r="S2187">
        <v>0</v>
      </c>
      <c r="W2187" s="20">
        <v>3.4027777777777784E-3</v>
      </c>
      <c r="X2187" t="s">
        <v>4955</v>
      </c>
      <c r="Y2187">
        <v>16</v>
      </c>
      <c r="Z2187">
        <v>0</v>
      </c>
      <c r="AA2187" t="s">
        <v>78</v>
      </c>
      <c r="AB2187">
        <v>0</v>
      </c>
      <c r="AC2187" t="s">
        <v>78</v>
      </c>
      <c r="AD2187">
        <v>0</v>
      </c>
      <c r="AE2187">
        <v>11050258</v>
      </c>
      <c r="AF2187" t="s">
        <v>79</v>
      </c>
      <c r="AG2187" t="s">
        <v>4724</v>
      </c>
    </row>
    <row r="2188" spans="1:33" x14ac:dyDescent="0.35">
      <c r="A2188" s="18">
        <v>44277.495833333334</v>
      </c>
      <c r="B2188">
        <v>1447177</v>
      </c>
      <c r="C2188" t="s">
        <v>4880</v>
      </c>
      <c r="D2188" t="s">
        <v>127</v>
      </c>
      <c r="E2188" s="19">
        <v>40658</v>
      </c>
      <c r="F2188" t="str">
        <f>"9781420093841"</f>
        <v>9781420093841</v>
      </c>
      <c r="G2188" t="str">
        <f>"9781420093834"</f>
        <v>9781420093834</v>
      </c>
      <c r="H2188" t="s">
        <v>159</v>
      </c>
      <c r="I2188" t="s">
        <v>4881</v>
      </c>
      <c r="J2188" t="s">
        <v>4882</v>
      </c>
      <c r="K2188" t="s">
        <v>73</v>
      </c>
      <c r="N2188" t="s">
        <v>74</v>
      </c>
      <c r="O2188" t="s">
        <v>75</v>
      </c>
      <c r="P2188" t="s">
        <v>74</v>
      </c>
      <c r="Q2188" t="s">
        <v>76</v>
      </c>
      <c r="R2188" t="s">
        <v>73</v>
      </c>
      <c r="S2188">
        <v>0</v>
      </c>
      <c r="W2188" s="20">
        <v>6.9444444444444447E-4</v>
      </c>
      <c r="X2188" t="s">
        <v>615</v>
      </c>
      <c r="Y2188">
        <v>4</v>
      </c>
      <c r="Z2188">
        <v>0</v>
      </c>
      <c r="AA2188" t="s">
        <v>78</v>
      </c>
      <c r="AB2188">
        <v>0</v>
      </c>
      <c r="AC2188" t="s">
        <v>78</v>
      </c>
      <c r="AD2188">
        <v>0</v>
      </c>
      <c r="AE2188">
        <v>10949651</v>
      </c>
      <c r="AF2188" t="s">
        <v>79</v>
      </c>
      <c r="AG2188" t="s">
        <v>4724</v>
      </c>
    </row>
    <row r="2189" spans="1:33" x14ac:dyDescent="0.35">
      <c r="A2189" s="18">
        <v>44277.445833333331</v>
      </c>
      <c r="B2189">
        <v>4412594</v>
      </c>
      <c r="C2189" t="s">
        <v>4915</v>
      </c>
      <c r="D2189" t="s">
        <v>900</v>
      </c>
      <c r="E2189" s="19">
        <v>42341</v>
      </c>
      <c r="F2189" t="str">
        <f>"9781681081403"</f>
        <v>9781681081403</v>
      </c>
      <c r="G2189" t="str">
        <f>"9781681081410"</f>
        <v>9781681081410</v>
      </c>
      <c r="H2189" t="s">
        <v>2135</v>
      </c>
      <c r="I2189">
        <v>616.90409999999895</v>
      </c>
      <c r="J2189" t="s">
        <v>4916</v>
      </c>
      <c r="K2189" t="s">
        <v>73</v>
      </c>
      <c r="N2189" t="s">
        <v>74</v>
      </c>
      <c r="O2189" t="s">
        <v>75</v>
      </c>
      <c r="P2189" t="s">
        <v>74</v>
      </c>
      <c r="Q2189" t="s">
        <v>76</v>
      </c>
      <c r="R2189" t="s">
        <v>73</v>
      </c>
      <c r="S2189">
        <v>0</v>
      </c>
      <c r="W2189" s="20">
        <v>5.3240740740740744E-4</v>
      </c>
      <c r="X2189" t="s">
        <v>125</v>
      </c>
      <c r="Y2189">
        <v>2</v>
      </c>
      <c r="Z2189">
        <v>0</v>
      </c>
      <c r="AA2189" t="s">
        <v>78</v>
      </c>
      <c r="AB2189">
        <v>0</v>
      </c>
      <c r="AC2189" t="s">
        <v>78</v>
      </c>
      <c r="AD2189">
        <v>0</v>
      </c>
      <c r="AE2189">
        <v>11235873</v>
      </c>
      <c r="AF2189" t="s">
        <v>79</v>
      </c>
      <c r="AG2189" t="s">
        <v>4724</v>
      </c>
    </row>
    <row r="2190" spans="1:33" x14ac:dyDescent="0.35">
      <c r="A2190" s="18">
        <v>44277.4375</v>
      </c>
      <c r="B2190">
        <v>894080</v>
      </c>
      <c r="C2190" t="s">
        <v>4070</v>
      </c>
      <c r="D2190" t="s">
        <v>189</v>
      </c>
      <c r="E2190" s="19">
        <v>41138</v>
      </c>
      <c r="F2190" t="str">
        <f>"9783110254655"</f>
        <v>9783110254655</v>
      </c>
      <c r="G2190" t="str">
        <f>"9783110254648"</f>
        <v>9783110254648</v>
      </c>
      <c r="H2190" t="s">
        <v>848</v>
      </c>
      <c r="I2190">
        <v>541.39</v>
      </c>
      <c r="J2190" t="s">
        <v>4071</v>
      </c>
      <c r="K2190" t="s">
        <v>73</v>
      </c>
      <c r="N2190" t="s">
        <v>74</v>
      </c>
      <c r="O2190" t="s">
        <v>75</v>
      </c>
      <c r="P2190" t="s">
        <v>74</v>
      </c>
      <c r="Q2190" t="s">
        <v>76</v>
      </c>
      <c r="R2190" t="s">
        <v>73</v>
      </c>
      <c r="S2190">
        <v>0</v>
      </c>
      <c r="W2190" s="20">
        <v>2.8113425925925927E-2</v>
      </c>
      <c r="X2190" t="s">
        <v>4956</v>
      </c>
      <c r="Y2190">
        <v>28</v>
      </c>
      <c r="Z2190">
        <v>0</v>
      </c>
      <c r="AA2190" t="s">
        <v>78</v>
      </c>
      <c r="AB2190">
        <v>0</v>
      </c>
      <c r="AC2190" t="s">
        <v>78</v>
      </c>
      <c r="AD2190">
        <v>0</v>
      </c>
      <c r="AE2190">
        <v>10606496</v>
      </c>
      <c r="AF2190" t="s">
        <v>79</v>
      </c>
      <c r="AG2190" t="s">
        <v>2640</v>
      </c>
    </row>
    <row r="2191" spans="1:33" x14ac:dyDescent="0.35">
      <c r="A2191" s="18">
        <v>44277.394444444442</v>
      </c>
      <c r="B2191">
        <v>894080</v>
      </c>
      <c r="C2191" t="s">
        <v>4070</v>
      </c>
      <c r="D2191" t="s">
        <v>189</v>
      </c>
      <c r="E2191" s="19">
        <v>41138</v>
      </c>
      <c r="F2191" t="str">
        <f>"9783110254655"</f>
        <v>9783110254655</v>
      </c>
      <c r="G2191" t="str">
        <f>"9783110254648"</f>
        <v>9783110254648</v>
      </c>
      <c r="H2191" t="s">
        <v>848</v>
      </c>
      <c r="I2191">
        <v>541.39</v>
      </c>
      <c r="J2191" t="s">
        <v>4071</v>
      </c>
      <c r="K2191" t="s">
        <v>73</v>
      </c>
      <c r="N2191" t="s">
        <v>74</v>
      </c>
      <c r="O2191" t="s">
        <v>75</v>
      </c>
      <c r="P2191" t="s">
        <v>74</v>
      </c>
      <c r="Q2191" t="s">
        <v>76</v>
      </c>
      <c r="R2191" t="s">
        <v>73</v>
      </c>
      <c r="S2191">
        <v>0</v>
      </c>
      <c r="W2191" s="20">
        <v>1.3888888888888889E-4</v>
      </c>
      <c r="X2191" t="s">
        <v>4957</v>
      </c>
      <c r="Y2191">
        <v>2</v>
      </c>
      <c r="Z2191">
        <v>0</v>
      </c>
      <c r="AA2191" t="s">
        <v>78</v>
      </c>
      <c r="AB2191">
        <v>0</v>
      </c>
      <c r="AC2191" t="s">
        <v>78</v>
      </c>
      <c r="AD2191">
        <v>0</v>
      </c>
      <c r="AE2191">
        <v>10606496</v>
      </c>
      <c r="AF2191" t="s">
        <v>79</v>
      </c>
      <c r="AG2191" t="s">
        <v>2640</v>
      </c>
    </row>
    <row r="2192" spans="1:33" x14ac:dyDescent="0.35">
      <c r="A2192" s="18">
        <v>44276.720138888886</v>
      </c>
      <c r="B2192">
        <v>405191</v>
      </c>
      <c r="C2192" t="s">
        <v>4958</v>
      </c>
      <c r="D2192" t="s">
        <v>158</v>
      </c>
      <c r="E2192" s="19">
        <v>39622</v>
      </c>
      <c r="F2192" t="str">
        <f>"9780080559209"</f>
        <v>9780080559209</v>
      </c>
      <c r="G2192" t="str">
        <f>"9780750685191"</f>
        <v>9780750685191</v>
      </c>
      <c r="H2192" t="s">
        <v>4959</v>
      </c>
      <c r="I2192">
        <v>621.55999999999995</v>
      </c>
      <c r="J2192" t="s">
        <v>4960</v>
      </c>
      <c r="K2192" t="s">
        <v>73</v>
      </c>
      <c r="N2192" t="s">
        <v>74</v>
      </c>
      <c r="O2192" t="s">
        <v>75</v>
      </c>
      <c r="P2192" t="s">
        <v>74</v>
      </c>
      <c r="Q2192" t="s">
        <v>76</v>
      </c>
      <c r="R2192" t="s">
        <v>73</v>
      </c>
      <c r="S2192">
        <v>0</v>
      </c>
      <c r="W2192" s="20">
        <v>3.2256944444444442E-2</v>
      </c>
      <c r="X2192" t="s">
        <v>4961</v>
      </c>
      <c r="Y2192">
        <v>14</v>
      </c>
      <c r="Z2192">
        <v>0</v>
      </c>
      <c r="AA2192" t="s">
        <v>78</v>
      </c>
      <c r="AB2192">
        <v>0</v>
      </c>
      <c r="AC2192" t="s">
        <v>78</v>
      </c>
      <c r="AD2192">
        <v>0</v>
      </c>
      <c r="AE2192">
        <v>10243934</v>
      </c>
      <c r="AF2192" t="s">
        <v>79</v>
      </c>
      <c r="AG2192" t="s">
        <v>4850</v>
      </c>
    </row>
    <row r="2193" spans="1:33" x14ac:dyDescent="0.35">
      <c r="A2193" s="18">
        <v>44276.631944444445</v>
      </c>
      <c r="B2193">
        <v>3116743</v>
      </c>
      <c r="C2193" t="s">
        <v>4917</v>
      </c>
      <c r="D2193" t="s">
        <v>2393</v>
      </c>
      <c r="E2193" s="19">
        <v>40148</v>
      </c>
      <c r="F2193" t="str">
        <f>"9781613001110"</f>
        <v>9781613001110</v>
      </c>
      <c r="G2193" t="str">
        <f>"9781583217801"</f>
        <v>9781583217801</v>
      </c>
      <c r="H2193" t="s">
        <v>374</v>
      </c>
      <c r="I2193" t="s">
        <v>443</v>
      </c>
      <c r="J2193" t="s">
        <v>4918</v>
      </c>
      <c r="K2193" t="s">
        <v>73</v>
      </c>
      <c r="N2193" t="s">
        <v>74</v>
      </c>
      <c r="O2193" t="s">
        <v>75</v>
      </c>
      <c r="P2193" t="s">
        <v>74</v>
      </c>
      <c r="Q2193" t="s">
        <v>76</v>
      </c>
      <c r="R2193" t="s">
        <v>73</v>
      </c>
      <c r="S2193">
        <v>0</v>
      </c>
      <c r="W2193" s="20">
        <v>4.6296296296296294E-5</v>
      </c>
      <c r="X2193" t="s">
        <v>132</v>
      </c>
      <c r="Y2193">
        <v>1</v>
      </c>
      <c r="Z2193">
        <v>0</v>
      </c>
      <c r="AA2193" t="s">
        <v>78</v>
      </c>
      <c r="AB2193">
        <v>0</v>
      </c>
      <c r="AC2193" t="s">
        <v>78</v>
      </c>
      <c r="AD2193">
        <v>0</v>
      </c>
      <c r="AE2193">
        <v>10533523</v>
      </c>
      <c r="AF2193" t="s">
        <v>79</v>
      </c>
      <c r="AG2193" t="s">
        <v>4724</v>
      </c>
    </row>
    <row r="2194" spans="1:33" x14ac:dyDescent="0.35">
      <c r="A2194" s="18">
        <v>44276.601388888892</v>
      </c>
      <c r="B2194">
        <v>1573361</v>
      </c>
      <c r="C2194" t="s">
        <v>4962</v>
      </c>
      <c r="D2194" t="s">
        <v>158</v>
      </c>
      <c r="E2194" s="19">
        <v>41612</v>
      </c>
      <c r="F2194" t="str">
        <f>"9780124202238"</f>
        <v>9780124202238</v>
      </c>
      <c r="G2194" t="str">
        <f>"9780124201620"</f>
        <v>9780124201620</v>
      </c>
      <c r="H2194" t="s">
        <v>1088</v>
      </c>
      <c r="I2194" t="s">
        <v>320</v>
      </c>
      <c r="J2194" t="s">
        <v>4963</v>
      </c>
      <c r="K2194" t="s">
        <v>73</v>
      </c>
      <c r="N2194" t="s">
        <v>74</v>
      </c>
      <c r="O2194" t="s">
        <v>75</v>
      </c>
      <c r="P2194" t="s">
        <v>74</v>
      </c>
      <c r="Q2194" t="s">
        <v>76</v>
      </c>
      <c r="R2194" t="s">
        <v>73</v>
      </c>
      <c r="S2194">
        <v>1</v>
      </c>
      <c r="W2194" s="20">
        <v>0</v>
      </c>
      <c r="X2194" t="s">
        <v>78</v>
      </c>
      <c r="Y2194">
        <v>0</v>
      </c>
      <c r="Z2194">
        <v>0</v>
      </c>
      <c r="AA2194" t="s">
        <v>78</v>
      </c>
      <c r="AB2194">
        <v>0</v>
      </c>
      <c r="AC2194" t="s">
        <v>78</v>
      </c>
      <c r="AD2194">
        <v>0</v>
      </c>
      <c r="AE2194">
        <v>10812559</v>
      </c>
      <c r="AF2194" t="s">
        <v>88</v>
      </c>
      <c r="AG2194" t="s">
        <v>4724</v>
      </c>
    </row>
    <row r="2195" spans="1:33" x14ac:dyDescent="0.35">
      <c r="A2195" s="18">
        <v>44276.595833333333</v>
      </c>
      <c r="B2195">
        <v>5811818</v>
      </c>
      <c r="C2195" t="s">
        <v>4964</v>
      </c>
      <c r="D2195" t="s">
        <v>200</v>
      </c>
      <c r="E2195" s="19">
        <v>43662</v>
      </c>
      <c r="F2195" t="str">
        <f>"9789811387555"</f>
        <v>9789811387555</v>
      </c>
      <c r="G2195" t="str">
        <f>"9789811387548"</f>
        <v>9789811387548</v>
      </c>
      <c r="H2195" t="s">
        <v>1194</v>
      </c>
      <c r="I2195">
        <v>629.89200000000005</v>
      </c>
      <c r="J2195" t="s">
        <v>202</v>
      </c>
      <c r="K2195" t="s">
        <v>85</v>
      </c>
      <c r="N2195" t="s">
        <v>86</v>
      </c>
      <c r="P2195" t="s">
        <v>87</v>
      </c>
      <c r="Q2195" t="s">
        <v>76</v>
      </c>
      <c r="R2195" t="s">
        <v>73</v>
      </c>
      <c r="S2195">
        <v>1</v>
      </c>
      <c r="T2195">
        <v>90</v>
      </c>
      <c r="U2195" s="18">
        <v>44276.595833333333</v>
      </c>
      <c r="V2195" s="18">
        <v>44366.595833333333</v>
      </c>
      <c r="W2195" s="20">
        <v>0</v>
      </c>
      <c r="X2195" t="s">
        <v>78</v>
      </c>
      <c r="Y2195">
        <v>0</v>
      </c>
      <c r="Z2195">
        <v>0</v>
      </c>
      <c r="AA2195" t="s">
        <v>78</v>
      </c>
      <c r="AB2195">
        <v>0</v>
      </c>
      <c r="AC2195" t="s">
        <v>78</v>
      </c>
      <c r="AD2195">
        <v>0</v>
      </c>
      <c r="AE2195">
        <v>-1</v>
      </c>
      <c r="AF2195" t="s">
        <v>88</v>
      </c>
      <c r="AG2195" t="s">
        <v>4724</v>
      </c>
    </row>
    <row r="2196" spans="1:33" x14ac:dyDescent="0.35">
      <c r="A2196" s="18">
        <v>44276.59097222222</v>
      </c>
      <c r="B2196">
        <v>6109824</v>
      </c>
      <c r="C2196" t="s">
        <v>4965</v>
      </c>
      <c r="D2196" t="s">
        <v>200</v>
      </c>
      <c r="E2196" s="19">
        <v>43875</v>
      </c>
      <c r="F2196" t="str">
        <f>"9789811519444"</f>
        <v>9789811519444</v>
      </c>
      <c r="G2196" t="str">
        <f>"9789811519437"</f>
        <v>9789811519437</v>
      </c>
      <c r="H2196" t="s">
        <v>979</v>
      </c>
      <c r="I2196">
        <v>629.89200000000005</v>
      </c>
      <c r="J2196" t="s">
        <v>202</v>
      </c>
      <c r="K2196" t="s">
        <v>85</v>
      </c>
      <c r="N2196" t="s">
        <v>86</v>
      </c>
      <c r="P2196" t="s">
        <v>87</v>
      </c>
      <c r="Q2196" t="s">
        <v>76</v>
      </c>
      <c r="R2196" t="s">
        <v>73</v>
      </c>
      <c r="S2196">
        <v>1</v>
      </c>
      <c r="T2196">
        <v>90</v>
      </c>
      <c r="U2196" s="18">
        <v>44276.59097222222</v>
      </c>
      <c r="V2196" s="18">
        <v>44366.59097222222</v>
      </c>
      <c r="W2196" s="20">
        <v>0</v>
      </c>
      <c r="X2196" t="s">
        <v>78</v>
      </c>
      <c r="Y2196">
        <v>0</v>
      </c>
      <c r="Z2196">
        <v>0</v>
      </c>
      <c r="AA2196" t="s">
        <v>78</v>
      </c>
      <c r="AB2196">
        <v>0</v>
      </c>
      <c r="AC2196" t="s">
        <v>78</v>
      </c>
      <c r="AD2196">
        <v>0</v>
      </c>
      <c r="AE2196">
        <v>-1</v>
      </c>
      <c r="AF2196" t="s">
        <v>88</v>
      </c>
      <c r="AG2196" t="s">
        <v>4724</v>
      </c>
    </row>
    <row r="2197" spans="1:33" x14ac:dyDescent="0.35">
      <c r="A2197" s="18">
        <v>44276.588888888888</v>
      </c>
      <c r="B2197">
        <v>5214696</v>
      </c>
      <c r="C2197" t="s">
        <v>4966</v>
      </c>
      <c r="D2197" t="s">
        <v>200</v>
      </c>
      <c r="E2197" s="19">
        <v>43130</v>
      </c>
      <c r="F2197" t="str">
        <f>"9789811055324"</f>
        <v>9789811055324</v>
      </c>
      <c r="G2197" t="str">
        <f>"9789811055317"</f>
        <v>9789811055317</v>
      </c>
      <c r="H2197" t="s">
        <v>979</v>
      </c>
      <c r="I2197">
        <v>629.89200000000005</v>
      </c>
      <c r="J2197" t="s">
        <v>202</v>
      </c>
      <c r="K2197" t="s">
        <v>85</v>
      </c>
      <c r="N2197" t="s">
        <v>86</v>
      </c>
      <c r="P2197" t="s">
        <v>87</v>
      </c>
      <c r="Q2197" t="s">
        <v>76</v>
      </c>
      <c r="R2197" t="s">
        <v>73</v>
      </c>
      <c r="S2197">
        <v>1</v>
      </c>
      <c r="T2197">
        <v>90</v>
      </c>
      <c r="U2197" s="18">
        <v>44276.588888888888</v>
      </c>
      <c r="V2197" s="18">
        <v>44366.588888888888</v>
      </c>
      <c r="W2197" s="20">
        <v>0</v>
      </c>
      <c r="X2197" t="s">
        <v>78</v>
      </c>
      <c r="Y2197">
        <v>0</v>
      </c>
      <c r="Z2197">
        <v>0</v>
      </c>
      <c r="AA2197" t="s">
        <v>78</v>
      </c>
      <c r="AB2197">
        <v>0</v>
      </c>
      <c r="AC2197" t="s">
        <v>78</v>
      </c>
      <c r="AD2197">
        <v>0</v>
      </c>
      <c r="AE2197">
        <v>11494319</v>
      </c>
      <c r="AF2197" t="s">
        <v>88</v>
      </c>
      <c r="AG2197" t="s">
        <v>4724</v>
      </c>
    </row>
    <row r="2198" spans="1:33" x14ac:dyDescent="0.35">
      <c r="A2198" s="18">
        <v>44276.586111111108</v>
      </c>
      <c r="B2198">
        <v>405191</v>
      </c>
      <c r="C2198" t="s">
        <v>4958</v>
      </c>
      <c r="D2198" t="s">
        <v>158</v>
      </c>
      <c r="E2198" s="19">
        <v>39622</v>
      </c>
      <c r="F2198" t="str">
        <f>"9780080559209"</f>
        <v>9780080559209</v>
      </c>
      <c r="G2198" t="str">
        <f>"9780750685191"</f>
        <v>9780750685191</v>
      </c>
      <c r="H2198" t="s">
        <v>4959</v>
      </c>
      <c r="I2198">
        <v>621.55999999999995</v>
      </c>
      <c r="J2198" t="s">
        <v>4960</v>
      </c>
      <c r="K2198" t="s">
        <v>73</v>
      </c>
      <c r="N2198" t="s">
        <v>74</v>
      </c>
      <c r="O2198" t="s">
        <v>75</v>
      </c>
      <c r="P2198" t="s">
        <v>74</v>
      </c>
      <c r="Q2198" t="s">
        <v>76</v>
      </c>
      <c r="R2198" t="s">
        <v>73</v>
      </c>
      <c r="S2198">
        <v>0</v>
      </c>
      <c r="W2198" s="20">
        <v>6.1342592592592594E-2</v>
      </c>
      <c r="X2198" t="s">
        <v>4967</v>
      </c>
      <c r="Y2198">
        <v>36</v>
      </c>
      <c r="Z2198">
        <v>0</v>
      </c>
      <c r="AA2198" t="s">
        <v>78</v>
      </c>
      <c r="AB2198">
        <v>0</v>
      </c>
      <c r="AC2198" t="s">
        <v>78</v>
      </c>
      <c r="AD2198">
        <v>0</v>
      </c>
      <c r="AE2198">
        <v>10243934</v>
      </c>
      <c r="AF2198" t="s">
        <v>79</v>
      </c>
      <c r="AG2198" t="s">
        <v>4850</v>
      </c>
    </row>
    <row r="2199" spans="1:33" x14ac:dyDescent="0.35">
      <c r="A2199" s="18">
        <v>44276.488888888889</v>
      </c>
      <c r="B2199">
        <v>405191</v>
      </c>
      <c r="C2199" t="s">
        <v>4958</v>
      </c>
      <c r="D2199" t="s">
        <v>158</v>
      </c>
      <c r="E2199" s="19">
        <v>39622</v>
      </c>
      <c r="F2199" t="str">
        <f>"9780080559209"</f>
        <v>9780080559209</v>
      </c>
      <c r="G2199" t="str">
        <f>"9780750685191"</f>
        <v>9780750685191</v>
      </c>
      <c r="H2199" t="s">
        <v>4959</v>
      </c>
      <c r="I2199">
        <v>621.55999999999995</v>
      </c>
      <c r="J2199" t="s">
        <v>4960</v>
      </c>
      <c r="K2199" t="s">
        <v>73</v>
      </c>
      <c r="N2199" t="s">
        <v>74</v>
      </c>
      <c r="O2199" t="s">
        <v>75</v>
      </c>
      <c r="P2199" t="s">
        <v>74</v>
      </c>
      <c r="Q2199" t="s">
        <v>76</v>
      </c>
      <c r="R2199" t="s">
        <v>73</v>
      </c>
      <c r="S2199">
        <v>0</v>
      </c>
      <c r="W2199" s="20">
        <v>8.9467592592592585E-3</v>
      </c>
      <c r="X2199" t="s">
        <v>4968</v>
      </c>
      <c r="Y2199">
        <v>11</v>
      </c>
      <c r="Z2199">
        <v>0</v>
      </c>
      <c r="AA2199" t="s">
        <v>78</v>
      </c>
      <c r="AB2199">
        <v>0</v>
      </c>
      <c r="AC2199" t="s">
        <v>78</v>
      </c>
      <c r="AD2199">
        <v>0</v>
      </c>
      <c r="AE2199">
        <v>10243934</v>
      </c>
      <c r="AF2199" t="s">
        <v>79</v>
      </c>
      <c r="AG2199" t="s">
        <v>4850</v>
      </c>
    </row>
    <row r="2200" spans="1:33" x14ac:dyDescent="0.35">
      <c r="A2200" s="18">
        <v>44276.481944444444</v>
      </c>
      <c r="B2200">
        <v>4307073</v>
      </c>
      <c r="C2200" t="s">
        <v>4969</v>
      </c>
      <c r="D2200" t="s">
        <v>70</v>
      </c>
      <c r="E2200" s="19">
        <v>42436</v>
      </c>
      <c r="F2200" t="str">
        <f>"9781118755365"</f>
        <v>9781118755365</v>
      </c>
      <c r="G2200" t="str">
        <f>"9781118755334"</f>
        <v>9781118755334</v>
      </c>
      <c r="H2200" t="s">
        <v>222</v>
      </c>
      <c r="I2200">
        <v>616.12</v>
      </c>
      <c r="J2200" t="s">
        <v>4970</v>
      </c>
      <c r="K2200" t="s">
        <v>73</v>
      </c>
      <c r="N2200" t="s">
        <v>74</v>
      </c>
      <c r="O2200" t="s">
        <v>75</v>
      </c>
      <c r="P2200" t="s">
        <v>74</v>
      </c>
      <c r="Q2200" t="s">
        <v>76</v>
      </c>
      <c r="R2200" t="s">
        <v>73</v>
      </c>
      <c r="S2200">
        <v>0</v>
      </c>
      <c r="W2200" s="20">
        <v>1.273148148148148E-4</v>
      </c>
      <c r="X2200" t="s">
        <v>360</v>
      </c>
      <c r="Y2200">
        <v>2</v>
      </c>
      <c r="Z2200">
        <v>0</v>
      </c>
      <c r="AA2200" t="s">
        <v>78</v>
      </c>
      <c r="AB2200">
        <v>0</v>
      </c>
      <c r="AC2200" t="s">
        <v>78</v>
      </c>
      <c r="AD2200">
        <v>0</v>
      </c>
      <c r="AE2200">
        <v>11152535</v>
      </c>
      <c r="AF2200" t="s">
        <v>79</v>
      </c>
      <c r="AG2200" t="s">
        <v>4954</v>
      </c>
    </row>
    <row r="2201" spans="1:33" x14ac:dyDescent="0.35">
      <c r="A2201" s="18">
        <v>44276.438194444447</v>
      </c>
      <c r="B2201">
        <v>4307073</v>
      </c>
      <c r="C2201" t="s">
        <v>4969</v>
      </c>
      <c r="D2201" t="s">
        <v>70</v>
      </c>
      <c r="E2201" s="19">
        <v>42436</v>
      </c>
      <c r="F2201" t="str">
        <f>"9781118755365"</f>
        <v>9781118755365</v>
      </c>
      <c r="G2201" t="str">
        <f>"9781118755334"</f>
        <v>9781118755334</v>
      </c>
      <c r="H2201" t="s">
        <v>222</v>
      </c>
      <c r="I2201">
        <v>616.12</v>
      </c>
      <c r="J2201" t="s">
        <v>4970</v>
      </c>
      <c r="K2201" t="s">
        <v>73</v>
      </c>
      <c r="N2201" t="s">
        <v>74</v>
      </c>
      <c r="O2201" t="s">
        <v>75</v>
      </c>
      <c r="P2201" t="s">
        <v>74</v>
      </c>
      <c r="Q2201" t="s">
        <v>76</v>
      </c>
      <c r="R2201" t="s">
        <v>73</v>
      </c>
      <c r="S2201">
        <v>0</v>
      </c>
      <c r="W2201" s="20">
        <v>3.3564814814814812E-4</v>
      </c>
      <c r="X2201" t="s">
        <v>4971</v>
      </c>
      <c r="Y2201">
        <v>5</v>
      </c>
      <c r="Z2201">
        <v>0</v>
      </c>
      <c r="AA2201" t="s">
        <v>78</v>
      </c>
      <c r="AB2201">
        <v>0</v>
      </c>
      <c r="AC2201" t="s">
        <v>78</v>
      </c>
      <c r="AD2201">
        <v>0</v>
      </c>
      <c r="AE2201">
        <v>11152535</v>
      </c>
      <c r="AF2201" t="s">
        <v>88</v>
      </c>
      <c r="AG2201" t="s">
        <v>4954</v>
      </c>
    </row>
    <row r="2202" spans="1:33" x14ac:dyDescent="0.35">
      <c r="A2202" s="18">
        <v>44276.438194444447</v>
      </c>
      <c r="B2202">
        <v>4706474</v>
      </c>
      <c r="C2202" t="s">
        <v>4972</v>
      </c>
      <c r="D2202" t="s">
        <v>102</v>
      </c>
      <c r="E2202" s="19">
        <v>42696</v>
      </c>
      <c r="F2202" t="str">
        <f>"9780191081583"</f>
        <v>9780191081583</v>
      </c>
      <c r="G2202" t="str">
        <f>"9780198733324"</f>
        <v>9780198733324</v>
      </c>
      <c r="H2202" t="s">
        <v>222</v>
      </c>
      <c r="I2202">
        <v>616.1</v>
      </c>
      <c r="J2202" t="s">
        <v>4973</v>
      </c>
      <c r="K2202" t="s">
        <v>73</v>
      </c>
      <c r="N2202" t="s">
        <v>74</v>
      </c>
      <c r="O2202" t="s">
        <v>75</v>
      </c>
      <c r="P2202" t="s">
        <v>74</v>
      </c>
      <c r="Q2202" t="s">
        <v>76</v>
      </c>
      <c r="R2202" t="s">
        <v>73</v>
      </c>
      <c r="S2202">
        <v>0</v>
      </c>
      <c r="W2202" s="20">
        <v>1.0416666666666667E-4</v>
      </c>
      <c r="X2202" t="s">
        <v>360</v>
      </c>
      <c r="Y2202">
        <v>2</v>
      </c>
      <c r="Z2202">
        <v>0</v>
      </c>
      <c r="AA2202" t="s">
        <v>78</v>
      </c>
      <c r="AB2202">
        <v>0</v>
      </c>
      <c r="AC2202" t="s">
        <v>78</v>
      </c>
      <c r="AD2202">
        <v>0</v>
      </c>
      <c r="AE2202">
        <v>11274897</v>
      </c>
      <c r="AF2202" t="s">
        <v>88</v>
      </c>
      <c r="AG2202" t="s">
        <v>4954</v>
      </c>
    </row>
    <row r="2203" spans="1:33" x14ac:dyDescent="0.35">
      <c r="A2203" s="18">
        <v>44276.390972222223</v>
      </c>
      <c r="B2203">
        <v>3020870</v>
      </c>
      <c r="C2203" t="s">
        <v>4748</v>
      </c>
      <c r="D2203" t="s">
        <v>226</v>
      </c>
      <c r="E2203" s="19">
        <v>40452</v>
      </c>
      <c r="F2203" t="str">
        <f>"9781617611629"</f>
        <v>9781617611629</v>
      </c>
      <c r="G2203" t="str">
        <f>"9781617289804"</f>
        <v>9781617289804</v>
      </c>
      <c r="H2203" t="s">
        <v>4749</v>
      </c>
      <c r="I2203">
        <v>551.6</v>
      </c>
      <c r="J2203" t="s">
        <v>4750</v>
      </c>
      <c r="K2203" t="s">
        <v>73</v>
      </c>
      <c r="N2203" t="s">
        <v>74</v>
      </c>
      <c r="O2203" t="s">
        <v>75</v>
      </c>
      <c r="P2203" t="s">
        <v>74</v>
      </c>
      <c r="Q2203" t="s">
        <v>76</v>
      </c>
      <c r="R2203" t="s">
        <v>73</v>
      </c>
      <c r="S2203">
        <v>0</v>
      </c>
      <c r="W2203" s="20">
        <v>5.7870370370370366E-5</v>
      </c>
      <c r="X2203" t="s">
        <v>2911</v>
      </c>
      <c r="Y2203">
        <v>1</v>
      </c>
      <c r="Z2203">
        <v>0</v>
      </c>
      <c r="AA2203" t="s">
        <v>78</v>
      </c>
      <c r="AB2203">
        <v>0</v>
      </c>
      <c r="AC2203" t="s">
        <v>78</v>
      </c>
      <c r="AD2203">
        <v>0</v>
      </c>
      <c r="AE2203">
        <v>10681008</v>
      </c>
      <c r="AF2203" t="s">
        <v>79</v>
      </c>
      <c r="AG2203" t="s">
        <v>4724</v>
      </c>
    </row>
    <row r="2204" spans="1:33" x14ac:dyDescent="0.35">
      <c r="A2204" s="18">
        <v>44276.390972222223</v>
      </c>
      <c r="B2204">
        <v>4585271</v>
      </c>
      <c r="C2204" t="s">
        <v>377</v>
      </c>
      <c r="D2204" t="s">
        <v>70</v>
      </c>
      <c r="E2204" s="19">
        <v>42583</v>
      </c>
      <c r="F2204" t="str">
        <f>"9781119179597"</f>
        <v>9781119179597</v>
      </c>
      <c r="G2204" t="str">
        <f>"9781119179573"</f>
        <v>9781119179573</v>
      </c>
      <c r="H2204" t="s">
        <v>378</v>
      </c>
      <c r="I2204">
        <v>658.4</v>
      </c>
      <c r="J2204" t="s">
        <v>379</v>
      </c>
      <c r="K2204" t="s">
        <v>73</v>
      </c>
      <c r="N2204" t="s">
        <v>74</v>
      </c>
      <c r="O2204" t="s">
        <v>75</v>
      </c>
      <c r="P2204" t="s">
        <v>74</v>
      </c>
      <c r="Q2204" t="s">
        <v>76</v>
      </c>
      <c r="R2204" t="s">
        <v>73</v>
      </c>
      <c r="S2204">
        <v>0</v>
      </c>
      <c r="W2204" s="20">
        <v>6.9212962962962969E-3</v>
      </c>
      <c r="X2204" t="s">
        <v>4974</v>
      </c>
      <c r="Y2204">
        <v>3</v>
      </c>
      <c r="Z2204">
        <v>1</v>
      </c>
      <c r="AA2204" t="s">
        <v>4975</v>
      </c>
      <c r="AB2204">
        <v>29</v>
      </c>
      <c r="AC2204" t="s">
        <v>78</v>
      </c>
      <c r="AD2204">
        <v>0</v>
      </c>
      <c r="AE2204">
        <v>11234254</v>
      </c>
      <c r="AF2204" t="s">
        <v>79</v>
      </c>
      <c r="AG2204" t="s">
        <v>4724</v>
      </c>
    </row>
    <row r="2205" spans="1:33" x14ac:dyDescent="0.35">
      <c r="A2205" s="18">
        <v>44276.330555555556</v>
      </c>
      <c r="B2205">
        <v>3001261</v>
      </c>
      <c r="C2205" t="s">
        <v>3419</v>
      </c>
      <c r="D2205" t="s">
        <v>3420</v>
      </c>
      <c r="E2205" s="19">
        <v>39630</v>
      </c>
      <c r="F2205" t="str">
        <f>"9780313352874"</f>
        <v>9780313352874</v>
      </c>
      <c r="G2205" t="str">
        <f>"9780313352867"</f>
        <v>9780313352867</v>
      </c>
      <c r="H2205" t="s">
        <v>3421</v>
      </c>
      <c r="I2205">
        <v>333.79</v>
      </c>
      <c r="J2205" t="s">
        <v>3422</v>
      </c>
      <c r="K2205" t="s">
        <v>73</v>
      </c>
      <c r="N2205" t="s">
        <v>74</v>
      </c>
      <c r="O2205" t="s">
        <v>75</v>
      </c>
      <c r="P2205" t="s">
        <v>74</v>
      </c>
      <c r="Q2205" t="s">
        <v>76</v>
      </c>
      <c r="R2205" t="s">
        <v>73</v>
      </c>
      <c r="S2205">
        <v>0</v>
      </c>
      <c r="W2205" s="20">
        <v>5.7870370370370366E-5</v>
      </c>
      <c r="X2205" t="s">
        <v>132</v>
      </c>
      <c r="Y2205">
        <v>1</v>
      </c>
      <c r="Z2205">
        <v>0</v>
      </c>
      <c r="AA2205" t="s">
        <v>78</v>
      </c>
      <c r="AB2205">
        <v>0</v>
      </c>
      <c r="AC2205" t="s">
        <v>78</v>
      </c>
      <c r="AD2205">
        <v>0</v>
      </c>
      <c r="AE2205">
        <v>10271266</v>
      </c>
      <c r="AF2205" t="s">
        <v>79</v>
      </c>
      <c r="AG2205" t="s">
        <v>4914</v>
      </c>
    </row>
    <row r="2206" spans="1:33" x14ac:dyDescent="0.35">
      <c r="A2206" s="18">
        <v>44275.811111111114</v>
      </c>
      <c r="B2206">
        <v>1602822</v>
      </c>
      <c r="C2206" t="s">
        <v>4019</v>
      </c>
      <c r="D2206" t="s">
        <v>127</v>
      </c>
      <c r="E2206" s="19">
        <v>40890</v>
      </c>
      <c r="F2206" t="str">
        <f>"9781439897836"</f>
        <v>9781439897836</v>
      </c>
      <c r="G2206" t="str">
        <f>"9781439804452"</f>
        <v>9781439804452</v>
      </c>
      <c r="H2206" t="s">
        <v>979</v>
      </c>
      <c r="I2206" t="s">
        <v>4020</v>
      </c>
      <c r="J2206" t="s">
        <v>4021</v>
      </c>
      <c r="K2206" t="s">
        <v>73</v>
      </c>
      <c r="N2206" t="s">
        <v>74</v>
      </c>
      <c r="O2206" t="s">
        <v>75</v>
      </c>
      <c r="P2206" t="s">
        <v>74</v>
      </c>
      <c r="Q2206" t="s">
        <v>76</v>
      </c>
      <c r="R2206" t="s">
        <v>73</v>
      </c>
      <c r="S2206">
        <v>0</v>
      </c>
      <c r="W2206" s="20">
        <v>1.0104166666666668E-2</v>
      </c>
      <c r="X2206" t="s">
        <v>4976</v>
      </c>
      <c r="Y2206">
        <v>44</v>
      </c>
      <c r="Z2206">
        <v>1</v>
      </c>
      <c r="AA2206" t="s">
        <v>4730</v>
      </c>
      <c r="AB2206">
        <v>42</v>
      </c>
      <c r="AC2206" t="s">
        <v>78</v>
      </c>
      <c r="AD2206">
        <v>0</v>
      </c>
      <c r="AE2206">
        <v>11167228</v>
      </c>
      <c r="AF2206" t="s">
        <v>79</v>
      </c>
      <c r="AG2206" t="s">
        <v>4724</v>
      </c>
    </row>
    <row r="2207" spans="1:33" x14ac:dyDescent="0.35">
      <c r="A2207" s="18">
        <v>44275.709722222222</v>
      </c>
      <c r="B2207">
        <v>894080</v>
      </c>
      <c r="C2207" t="s">
        <v>4070</v>
      </c>
      <c r="D2207" t="s">
        <v>189</v>
      </c>
      <c r="E2207" s="19">
        <v>41138</v>
      </c>
      <c r="F2207" t="str">
        <f>"9783110254655"</f>
        <v>9783110254655</v>
      </c>
      <c r="G2207" t="str">
        <f>"9783110254648"</f>
        <v>9783110254648</v>
      </c>
      <c r="H2207" t="s">
        <v>848</v>
      </c>
      <c r="I2207">
        <v>541.39</v>
      </c>
      <c r="J2207" t="s">
        <v>4071</v>
      </c>
      <c r="K2207" t="s">
        <v>73</v>
      </c>
      <c r="N2207" t="s">
        <v>74</v>
      </c>
      <c r="O2207" t="s">
        <v>75</v>
      </c>
      <c r="P2207" t="s">
        <v>74</v>
      </c>
      <c r="Q2207" t="s">
        <v>76</v>
      </c>
      <c r="R2207" t="s">
        <v>73</v>
      </c>
      <c r="S2207">
        <v>0</v>
      </c>
      <c r="W2207" s="20">
        <v>2.2199074074074076E-2</v>
      </c>
      <c r="X2207" t="s">
        <v>4977</v>
      </c>
      <c r="Y2207">
        <v>27</v>
      </c>
      <c r="Z2207">
        <v>0</v>
      </c>
      <c r="AA2207" t="s">
        <v>78</v>
      </c>
      <c r="AB2207">
        <v>0</v>
      </c>
      <c r="AC2207" t="s">
        <v>78</v>
      </c>
      <c r="AD2207">
        <v>0</v>
      </c>
      <c r="AE2207">
        <v>10606496</v>
      </c>
      <c r="AF2207" t="s">
        <v>79</v>
      </c>
      <c r="AG2207" t="s">
        <v>2640</v>
      </c>
    </row>
    <row r="2208" spans="1:33" x14ac:dyDescent="0.35">
      <c r="A2208" s="18">
        <v>44275.682638888888</v>
      </c>
      <c r="B2208">
        <v>4585271</v>
      </c>
      <c r="C2208" t="s">
        <v>377</v>
      </c>
      <c r="D2208" t="s">
        <v>70</v>
      </c>
      <c r="E2208" s="19">
        <v>42583</v>
      </c>
      <c r="F2208" t="str">
        <f>"9781119179597"</f>
        <v>9781119179597</v>
      </c>
      <c r="G2208" t="str">
        <f>"9781119179573"</f>
        <v>9781119179573</v>
      </c>
      <c r="H2208" t="s">
        <v>378</v>
      </c>
      <c r="I2208">
        <v>658.4</v>
      </c>
      <c r="J2208" t="s">
        <v>379</v>
      </c>
      <c r="K2208" t="s">
        <v>73</v>
      </c>
      <c r="N2208" t="s">
        <v>74</v>
      </c>
      <c r="O2208" t="s">
        <v>75</v>
      </c>
      <c r="P2208" t="s">
        <v>74</v>
      </c>
      <c r="Q2208" t="s">
        <v>76</v>
      </c>
      <c r="R2208" t="s">
        <v>73</v>
      </c>
      <c r="S2208">
        <v>0</v>
      </c>
      <c r="W2208" s="20">
        <v>1.5509259259259261E-3</v>
      </c>
      <c r="X2208" t="s">
        <v>4978</v>
      </c>
      <c r="Y2208">
        <v>24</v>
      </c>
      <c r="Z2208">
        <v>1</v>
      </c>
      <c r="AA2208" t="s">
        <v>4979</v>
      </c>
      <c r="AB2208">
        <v>1</v>
      </c>
      <c r="AC2208" t="s">
        <v>78</v>
      </c>
      <c r="AD2208">
        <v>0</v>
      </c>
      <c r="AE2208">
        <v>11234254</v>
      </c>
      <c r="AF2208" t="s">
        <v>79</v>
      </c>
      <c r="AG2208" t="s">
        <v>4980</v>
      </c>
    </row>
    <row r="2209" spans="1:33" x14ac:dyDescent="0.35">
      <c r="A2209" s="18">
        <v>44275.628472222219</v>
      </c>
      <c r="B2209">
        <v>1660821</v>
      </c>
      <c r="C2209" t="s">
        <v>4981</v>
      </c>
      <c r="D2209" t="s">
        <v>134</v>
      </c>
      <c r="E2209" s="19">
        <v>41725</v>
      </c>
      <c r="F2209" t="str">
        <f>"9781442207127"</f>
        <v>9781442207127</v>
      </c>
      <c r="G2209" t="str">
        <f>"9781442207103"</f>
        <v>9781442207103</v>
      </c>
      <c r="H2209" t="s">
        <v>128</v>
      </c>
      <c r="I2209">
        <v>301</v>
      </c>
      <c r="J2209" t="s">
        <v>4982</v>
      </c>
      <c r="K2209" t="s">
        <v>73</v>
      </c>
      <c r="N2209" t="s">
        <v>74</v>
      </c>
      <c r="O2209" t="s">
        <v>75</v>
      </c>
      <c r="P2209" t="s">
        <v>74</v>
      </c>
      <c r="Q2209" t="s">
        <v>76</v>
      </c>
      <c r="R2209" t="s">
        <v>73</v>
      </c>
      <c r="S2209">
        <v>0</v>
      </c>
      <c r="W2209" s="20">
        <v>0</v>
      </c>
      <c r="X2209" t="s">
        <v>78</v>
      </c>
      <c r="Y2209">
        <v>0</v>
      </c>
      <c r="Z2209">
        <v>4</v>
      </c>
      <c r="AA2209" t="s">
        <v>4983</v>
      </c>
      <c r="AB2209">
        <v>120</v>
      </c>
      <c r="AC2209" t="s">
        <v>78</v>
      </c>
      <c r="AD2209">
        <v>0</v>
      </c>
      <c r="AE2209">
        <v>10855906</v>
      </c>
      <c r="AF2209" t="s">
        <v>79</v>
      </c>
      <c r="AG2209" t="s">
        <v>4724</v>
      </c>
    </row>
    <row r="2210" spans="1:33" x14ac:dyDescent="0.35">
      <c r="A2210" s="18">
        <v>44274.95208333333</v>
      </c>
      <c r="B2210">
        <v>3004026</v>
      </c>
      <c r="C2210" t="s">
        <v>4331</v>
      </c>
      <c r="D2210" t="s">
        <v>506</v>
      </c>
      <c r="E2210" s="19">
        <v>38687</v>
      </c>
      <c r="F2210" t="str">
        <f>"9789047409083"</f>
        <v>9789047409083</v>
      </c>
      <c r="G2210" t="str">
        <f>"9789004150102"</f>
        <v>9789004150102</v>
      </c>
      <c r="H2210" t="s">
        <v>4332</v>
      </c>
      <c r="I2210" t="s">
        <v>4333</v>
      </c>
      <c r="J2210" t="s">
        <v>4334</v>
      </c>
      <c r="K2210" t="s">
        <v>73</v>
      </c>
      <c r="N2210" t="s">
        <v>74</v>
      </c>
      <c r="O2210" t="s">
        <v>75</v>
      </c>
      <c r="P2210" t="s">
        <v>74</v>
      </c>
      <c r="Q2210" t="s">
        <v>76</v>
      </c>
      <c r="R2210" t="s">
        <v>73</v>
      </c>
      <c r="S2210">
        <v>0</v>
      </c>
      <c r="W2210" s="20">
        <v>1.2546296296296297E-2</v>
      </c>
      <c r="X2210" t="s">
        <v>4984</v>
      </c>
      <c r="Y2210">
        <v>10</v>
      </c>
      <c r="Z2210">
        <v>0</v>
      </c>
      <c r="AA2210" t="s">
        <v>78</v>
      </c>
      <c r="AB2210">
        <v>0</v>
      </c>
      <c r="AC2210" t="s">
        <v>78</v>
      </c>
      <c r="AD2210">
        <v>0</v>
      </c>
      <c r="AE2210">
        <v>10234689</v>
      </c>
      <c r="AF2210" t="s">
        <v>79</v>
      </c>
      <c r="AG2210" t="s">
        <v>4985</v>
      </c>
    </row>
    <row r="2211" spans="1:33" x14ac:dyDescent="0.35">
      <c r="A2211" s="18">
        <v>44274.922222222223</v>
      </c>
      <c r="B2211">
        <v>5353867</v>
      </c>
      <c r="C2211" t="s">
        <v>4884</v>
      </c>
      <c r="D2211" t="s">
        <v>2275</v>
      </c>
      <c r="E2211" s="19">
        <v>36770</v>
      </c>
      <c r="F2211" t="str">
        <f>"9781470446055"</f>
        <v>9781470446055</v>
      </c>
      <c r="G2211" t="str">
        <f>"9780821805312"</f>
        <v>9780821805312</v>
      </c>
      <c r="H2211" t="s">
        <v>115</v>
      </c>
      <c r="I2211">
        <v>519.5</v>
      </c>
      <c r="J2211" t="s">
        <v>4885</v>
      </c>
      <c r="K2211" t="s">
        <v>85</v>
      </c>
      <c r="N2211" t="s">
        <v>86</v>
      </c>
      <c r="P2211" t="s">
        <v>87</v>
      </c>
      <c r="Q2211" t="s">
        <v>76</v>
      </c>
      <c r="R2211" t="s">
        <v>73</v>
      </c>
      <c r="S2211">
        <v>0</v>
      </c>
      <c r="W2211" s="20">
        <v>5.7870370370370366E-5</v>
      </c>
      <c r="X2211" t="s">
        <v>4986</v>
      </c>
      <c r="Y2211">
        <v>1</v>
      </c>
      <c r="Z2211">
        <v>0</v>
      </c>
      <c r="AA2211" t="s">
        <v>78</v>
      </c>
      <c r="AB2211">
        <v>0</v>
      </c>
      <c r="AC2211" t="s">
        <v>78</v>
      </c>
      <c r="AD2211">
        <v>0</v>
      </c>
      <c r="AE2211">
        <v>11548022</v>
      </c>
      <c r="AF2211" t="s">
        <v>79</v>
      </c>
      <c r="AG2211" t="s">
        <v>4987</v>
      </c>
    </row>
    <row r="2212" spans="1:33" x14ac:dyDescent="0.35">
      <c r="A2212" s="18">
        <v>44274.717361111114</v>
      </c>
      <c r="B2212">
        <v>3001261</v>
      </c>
      <c r="C2212" t="s">
        <v>3419</v>
      </c>
      <c r="D2212" t="s">
        <v>3420</v>
      </c>
      <c r="E2212" s="19">
        <v>39630</v>
      </c>
      <c r="F2212" t="str">
        <f>"9780313352874"</f>
        <v>9780313352874</v>
      </c>
      <c r="G2212" t="str">
        <f>"9780313352867"</f>
        <v>9780313352867</v>
      </c>
      <c r="H2212" t="s">
        <v>3421</v>
      </c>
      <c r="I2212">
        <v>333.79</v>
      </c>
      <c r="J2212" t="s">
        <v>3422</v>
      </c>
      <c r="K2212" t="s">
        <v>73</v>
      </c>
      <c r="N2212" t="s">
        <v>74</v>
      </c>
      <c r="O2212" t="s">
        <v>75</v>
      </c>
      <c r="P2212" t="s">
        <v>74</v>
      </c>
      <c r="Q2212" t="s">
        <v>76</v>
      </c>
      <c r="R2212" t="s">
        <v>73</v>
      </c>
      <c r="S2212">
        <v>0</v>
      </c>
      <c r="W2212" s="20">
        <v>6.9444444444444444E-5</v>
      </c>
      <c r="X2212" t="s">
        <v>132</v>
      </c>
      <c r="Y2212">
        <v>1</v>
      </c>
      <c r="Z2212">
        <v>0</v>
      </c>
      <c r="AA2212" t="s">
        <v>78</v>
      </c>
      <c r="AB2212">
        <v>0</v>
      </c>
      <c r="AC2212" t="s">
        <v>78</v>
      </c>
      <c r="AD2212">
        <v>0</v>
      </c>
      <c r="AE2212">
        <v>10271266</v>
      </c>
      <c r="AF2212" t="s">
        <v>79</v>
      </c>
      <c r="AG2212" t="s">
        <v>4914</v>
      </c>
    </row>
    <row r="2213" spans="1:33" x14ac:dyDescent="0.35">
      <c r="A2213" s="18">
        <v>44273.888194444444</v>
      </c>
      <c r="B2213">
        <v>1572946</v>
      </c>
      <c r="C2213" t="s">
        <v>4988</v>
      </c>
      <c r="D2213" t="s">
        <v>2550</v>
      </c>
      <c r="E2213" s="19">
        <v>41736</v>
      </c>
      <c r="F2213" t="str">
        <f>"9781849519496"</f>
        <v>9781849519496</v>
      </c>
      <c r="G2213" t="str">
        <f>"9781849519489"</f>
        <v>9781849519489</v>
      </c>
      <c r="H2213" t="s">
        <v>110</v>
      </c>
      <c r="I2213">
        <v>5.8</v>
      </c>
      <c r="J2213" t="s">
        <v>4989</v>
      </c>
      <c r="K2213" t="s">
        <v>73</v>
      </c>
      <c r="N2213" t="s">
        <v>74</v>
      </c>
      <c r="O2213" t="s">
        <v>75</v>
      </c>
      <c r="P2213" t="s">
        <v>230</v>
      </c>
      <c r="Q2213" t="s">
        <v>76</v>
      </c>
      <c r="R2213" t="s">
        <v>85</v>
      </c>
      <c r="S2213">
        <v>0</v>
      </c>
      <c r="W2213" s="20">
        <v>5.3240740740740744E-4</v>
      </c>
      <c r="X2213" t="s">
        <v>4990</v>
      </c>
      <c r="Y2213">
        <v>7</v>
      </c>
      <c r="Z2213">
        <v>0</v>
      </c>
      <c r="AA2213" t="s">
        <v>78</v>
      </c>
      <c r="AB2213">
        <v>0</v>
      </c>
      <c r="AC2213" t="s">
        <v>78</v>
      </c>
      <c r="AD2213">
        <v>0</v>
      </c>
      <c r="AE2213">
        <v>10859685</v>
      </c>
      <c r="AF2213" t="s">
        <v>79</v>
      </c>
      <c r="AG2213" t="s">
        <v>4724</v>
      </c>
    </row>
    <row r="2214" spans="1:33" x14ac:dyDescent="0.35">
      <c r="A2214" s="18">
        <v>44273.646527777775</v>
      </c>
      <c r="B2214">
        <v>5047311</v>
      </c>
      <c r="C2214" t="s">
        <v>4991</v>
      </c>
      <c r="D2214" t="s">
        <v>4992</v>
      </c>
      <c r="E2214" s="19">
        <v>42979</v>
      </c>
      <c r="F2214" t="str">
        <f>"9781869227074"</f>
        <v>9781869227074</v>
      </c>
      <c r="G2214" t="str">
        <f>"9781869227067"</f>
        <v>9781869227067</v>
      </c>
      <c r="H2214" t="s">
        <v>143</v>
      </c>
      <c r="I2214">
        <v>658.40920000000006</v>
      </c>
      <c r="J2214" t="s">
        <v>4993</v>
      </c>
      <c r="K2214" t="s">
        <v>73</v>
      </c>
      <c r="N2214" t="s">
        <v>74</v>
      </c>
      <c r="O2214" t="s">
        <v>75</v>
      </c>
      <c r="P2214" t="s">
        <v>74</v>
      </c>
      <c r="Q2214" t="s">
        <v>76</v>
      </c>
      <c r="R2214" t="s">
        <v>73</v>
      </c>
      <c r="S2214">
        <v>0</v>
      </c>
      <c r="W2214" s="20">
        <v>5.0578703703703706E-3</v>
      </c>
      <c r="X2214" t="s">
        <v>4994</v>
      </c>
      <c r="Y2214">
        <v>31</v>
      </c>
      <c r="Z2214">
        <v>0</v>
      </c>
      <c r="AA2214" t="s">
        <v>78</v>
      </c>
      <c r="AB2214">
        <v>0</v>
      </c>
      <c r="AC2214" t="s">
        <v>4995</v>
      </c>
      <c r="AD2214">
        <v>2</v>
      </c>
      <c r="AE2214">
        <v>11442845</v>
      </c>
      <c r="AF2214" t="s">
        <v>79</v>
      </c>
      <c r="AG2214" t="s">
        <v>4985</v>
      </c>
    </row>
    <row r="2215" spans="1:33" x14ac:dyDescent="0.35">
      <c r="A2215" s="18">
        <v>44273.642361111109</v>
      </c>
      <c r="B2215">
        <v>1895831</v>
      </c>
      <c r="C2215" t="s">
        <v>4996</v>
      </c>
      <c r="D2215" t="s">
        <v>70</v>
      </c>
      <c r="E2215" s="19">
        <v>42107</v>
      </c>
      <c r="F2215" t="str">
        <f>"9781118968161"</f>
        <v>9781118968161</v>
      </c>
      <c r="G2215" t="str">
        <f>"9781118968154"</f>
        <v>9781118968154</v>
      </c>
      <c r="H2215" t="s">
        <v>143</v>
      </c>
      <c r="I2215" t="s">
        <v>4904</v>
      </c>
      <c r="J2215" t="s">
        <v>4997</v>
      </c>
      <c r="K2215" t="s">
        <v>73</v>
      </c>
      <c r="N2215" t="s">
        <v>74</v>
      </c>
      <c r="O2215" t="s">
        <v>75</v>
      </c>
      <c r="P2215" t="s">
        <v>74</v>
      </c>
      <c r="Q2215" t="s">
        <v>76</v>
      </c>
      <c r="R2215" t="s">
        <v>73</v>
      </c>
      <c r="S2215">
        <v>0</v>
      </c>
      <c r="W2215" s="20">
        <v>3.5532407407407405E-3</v>
      </c>
      <c r="X2215" t="s">
        <v>4998</v>
      </c>
      <c r="Y2215">
        <v>48</v>
      </c>
      <c r="Z2215">
        <v>0</v>
      </c>
      <c r="AA2215" t="s">
        <v>78</v>
      </c>
      <c r="AB2215">
        <v>0</v>
      </c>
      <c r="AC2215" t="s">
        <v>78</v>
      </c>
      <c r="AD2215">
        <v>0</v>
      </c>
      <c r="AE2215">
        <v>11041460</v>
      </c>
      <c r="AF2215" t="s">
        <v>79</v>
      </c>
      <c r="AG2215" t="s">
        <v>4985</v>
      </c>
    </row>
    <row r="2216" spans="1:33" x14ac:dyDescent="0.35">
      <c r="A2216" s="18">
        <v>44273.578472222223</v>
      </c>
      <c r="B2216">
        <v>2079965</v>
      </c>
      <c r="C2216" t="s">
        <v>4732</v>
      </c>
      <c r="D2216" t="s">
        <v>158</v>
      </c>
      <c r="E2216" s="19">
        <v>42223</v>
      </c>
      <c r="F2216" t="str">
        <f>"9780128002315"</f>
        <v>9780128002315</v>
      </c>
      <c r="G2216" t="str">
        <f>"9780128000373"</f>
        <v>9780128000373</v>
      </c>
      <c r="H2216" t="s">
        <v>128</v>
      </c>
      <c r="I2216">
        <v>363.25</v>
      </c>
      <c r="J2216" t="s">
        <v>4733</v>
      </c>
      <c r="K2216" t="s">
        <v>73</v>
      </c>
      <c r="N2216" t="s">
        <v>74</v>
      </c>
      <c r="O2216" t="s">
        <v>75</v>
      </c>
      <c r="P2216" t="s">
        <v>74</v>
      </c>
      <c r="Q2216" t="s">
        <v>76</v>
      </c>
      <c r="R2216" t="s">
        <v>73</v>
      </c>
      <c r="S2216">
        <v>0</v>
      </c>
      <c r="W2216" s="20">
        <v>5.7870370370370366E-5</v>
      </c>
      <c r="X2216" t="s">
        <v>132</v>
      </c>
      <c r="Y2216">
        <v>1</v>
      </c>
      <c r="Z2216">
        <v>0</v>
      </c>
      <c r="AA2216" t="s">
        <v>78</v>
      </c>
      <c r="AB2216">
        <v>0</v>
      </c>
      <c r="AC2216" t="s">
        <v>78</v>
      </c>
      <c r="AD2216">
        <v>0</v>
      </c>
      <c r="AE2216">
        <v>11071289</v>
      </c>
      <c r="AF2216" t="s">
        <v>79</v>
      </c>
      <c r="AG2216" t="s">
        <v>4724</v>
      </c>
    </row>
    <row r="2217" spans="1:33" x14ac:dyDescent="0.35">
      <c r="A2217" s="18">
        <v>44273.449305555558</v>
      </c>
      <c r="B2217">
        <v>405191</v>
      </c>
      <c r="C2217" t="s">
        <v>4958</v>
      </c>
      <c r="D2217" t="s">
        <v>158</v>
      </c>
      <c r="E2217" s="19">
        <v>39622</v>
      </c>
      <c r="F2217" t="str">
        <f>"9780080559209"</f>
        <v>9780080559209</v>
      </c>
      <c r="G2217" t="str">
        <f>"9780750685191"</f>
        <v>9780750685191</v>
      </c>
      <c r="H2217" t="s">
        <v>4959</v>
      </c>
      <c r="I2217">
        <v>621.55999999999995</v>
      </c>
      <c r="J2217" t="s">
        <v>4960</v>
      </c>
      <c r="K2217" t="s">
        <v>73</v>
      </c>
      <c r="N2217" t="s">
        <v>74</v>
      </c>
      <c r="O2217" t="s">
        <v>75</v>
      </c>
      <c r="P2217" t="s">
        <v>74</v>
      </c>
      <c r="Q2217" t="s">
        <v>76</v>
      </c>
      <c r="R2217" t="s">
        <v>73</v>
      </c>
      <c r="S2217">
        <v>0</v>
      </c>
      <c r="W2217" s="20">
        <v>7.5115740740740742E-3</v>
      </c>
      <c r="X2217" t="s">
        <v>4999</v>
      </c>
      <c r="Y2217">
        <v>10</v>
      </c>
      <c r="Z2217">
        <v>0</v>
      </c>
      <c r="AA2217" t="s">
        <v>78</v>
      </c>
      <c r="AB2217">
        <v>0</v>
      </c>
      <c r="AC2217" t="s">
        <v>78</v>
      </c>
      <c r="AD2217">
        <v>0</v>
      </c>
      <c r="AE2217">
        <v>10243934</v>
      </c>
      <c r="AF2217" t="s">
        <v>79</v>
      </c>
      <c r="AG2217" t="s">
        <v>4850</v>
      </c>
    </row>
    <row r="2218" spans="1:33" x14ac:dyDescent="0.35">
      <c r="A2218" s="18">
        <v>44273.250694444447</v>
      </c>
      <c r="B2218">
        <v>3018171</v>
      </c>
      <c r="C2218" t="s">
        <v>5000</v>
      </c>
      <c r="D2218" t="s">
        <v>226</v>
      </c>
      <c r="E2218" s="19">
        <v>39692</v>
      </c>
      <c r="F2218" t="str">
        <f>"9781614706038"</f>
        <v>9781614706038</v>
      </c>
      <c r="G2218" t="str">
        <f>"9781604568523"</f>
        <v>9781604568523</v>
      </c>
      <c r="H2218" t="s">
        <v>5001</v>
      </c>
      <c r="I2218">
        <v>671.37</v>
      </c>
      <c r="J2218" t="s">
        <v>5002</v>
      </c>
      <c r="K2218" t="s">
        <v>73</v>
      </c>
      <c r="N2218" t="s">
        <v>74</v>
      </c>
      <c r="O2218" t="s">
        <v>75</v>
      </c>
      <c r="P2218" t="s">
        <v>74</v>
      </c>
      <c r="Q2218" t="s">
        <v>76</v>
      </c>
      <c r="R2218" t="s">
        <v>73</v>
      </c>
      <c r="S2218">
        <v>0</v>
      </c>
      <c r="W2218" s="20">
        <v>6.134259259259259E-4</v>
      </c>
      <c r="X2218" t="s">
        <v>5003</v>
      </c>
      <c r="Y2218">
        <v>4</v>
      </c>
      <c r="Z2218">
        <v>0</v>
      </c>
      <c r="AA2218" t="s">
        <v>78</v>
      </c>
      <c r="AB2218">
        <v>0</v>
      </c>
      <c r="AC2218" t="s">
        <v>78</v>
      </c>
      <c r="AD2218">
        <v>0</v>
      </c>
      <c r="AE2218">
        <v>10659093</v>
      </c>
      <c r="AF2218" t="s">
        <v>79</v>
      </c>
      <c r="AG2218" t="s">
        <v>2640</v>
      </c>
    </row>
    <row r="2219" spans="1:33" x14ac:dyDescent="0.35">
      <c r="A2219" s="18">
        <v>44273.24722222222</v>
      </c>
      <c r="B2219">
        <v>1575038</v>
      </c>
      <c r="C2219" t="s">
        <v>5004</v>
      </c>
      <c r="D2219" t="s">
        <v>158</v>
      </c>
      <c r="E2219" s="19">
        <v>41517</v>
      </c>
      <c r="F2219" t="str">
        <f>"9780857098900"</f>
        <v>9780857098900</v>
      </c>
      <c r="G2219" t="str">
        <f>"9780857094209"</f>
        <v>9780857094209</v>
      </c>
      <c r="H2219" t="s">
        <v>5005</v>
      </c>
      <c r="I2219">
        <v>671.37</v>
      </c>
      <c r="J2219" t="s">
        <v>5006</v>
      </c>
      <c r="K2219" t="s">
        <v>73</v>
      </c>
      <c r="N2219" t="s">
        <v>74</v>
      </c>
      <c r="O2219" t="s">
        <v>75</v>
      </c>
      <c r="P2219" t="s">
        <v>74</v>
      </c>
      <c r="Q2219" t="s">
        <v>76</v>
      </c>
      <c r="R2219" t="s">
        <v>73</v>
      </c>
      <c r="S2219">
        <v>0</v>
      </c>
      <c r="W2219" s="20">
        <v>2.2800925925925927E-3</v>
      </c>
      <c r="X2219" t="s">
        <v>5007</v>
      </c>
      <c r="Y2219">
        <v>13</v>
      </c>
      <c r="Z2219">
        <v>0</v>
      </c>
      <c r="AA2219" t="s">
        <v>78</v>
      </c>
      <c r="AB2219">
        <v>0</v>
      </c>
      <c r="AC2219" t="s">
        <v>78</v>
      </c>
      <c r="AD2219">
        <v>0</v>
      </c>
      <c r="AE2219">
        <v>10785394</v>
      </c>
      <c r="AF2219" t="s">
        <v>79</v>
      </c>
      <c r="AG2219" t="s">
        <v>2640</v>
      </c>
    </row>
    <row r="2220" spans="1:33" x14ac:dyDescent="0.35">
      <c r="A2220" s="18">
        <v>44273.242361111108</v>
      </c>
      <c r="B2220">
        <v>3007738</v>
      </c>
      <c r="C2220" t="s">
        <v>5008</v>
      </c>
      <c r="D2220" t="s">
        <v>5009</v>
      </c>
      <c r="E2220" s="19">
        <v>35400</v>
      </c>
      <c r="F2220" t="str">
        <f>"9781904602859"</f>
        <v>9781904602859</v>
      </c>
      <c r="G2220" t="str">
        <f>"9781898326403"</f>
        <v>9781898326403</v>
      </c>
      <c r="H2220" t="s">
        <v>5010</v>
      </c>
      <c r="I2220">
        <v>671.37</v>
      </c>
      <c r="J2220" t="s">
        <v>5011</v>
      </c>
      <c r="K2220" t="s">
        <v>73</v>
      </c>
      <c r="N2220" t="s">
        <v>74</v>
      </c>
      <c r="O2220" t="s">
        <v>75</v>
      </c>
      <c r="P2220" t="s">
        <v>74</v>
      </c>
      <c r="Q2220" t="s">
        <v>76</v>
      </c>
      <c r="R2220" t="s">
        <v>73</v>
      </c>
      <c r="S2220">
        <v>0</v>
      </c>
      <c r="W2220" s="20">
        <v>3.5648148148148154E-3</v>
      </c>
      <c r="X2220" t="s">
        <v>5012</v>
      </c>
      <c r="Y2220">
        <v>20</v>
      </c>
      <c r="Z2220">
        <v>0</v>
      </c>
      <c r="AA2220" t="s">
        <v>78</v>
      </c>
      <c r="AB2220">
        <v>0</v>
      </c>
      <c r="AC2220" t="s">
        <v>78</v>
      </c>
      <c r="AD2220">
        <v>0</v>
      </c>
      <c r="AE2220">
        <v>10087040</v>
      </c>
      <c r="AF2220" t="s">
        <v>79</v>
      </c>
      <c r="AG2220" t="s">
        <v>2640</v>
      </c>
    </row>
    <row r="2221" spans="1:33" x14ac:dyDescent="0.35">
      <c r="A2221" s="18">
        <v>44273.163194444445</v>
      </c>
      <c r="B2221">
        <v>3116743</v>
      </c>
      <c r="C2221" t="s">
        <v>4917</v>
      </c>
      <c r="D2221" t="s">
        <v>2393</v>
      </c>
      <c r="E2221" s="19">
        <v>40148</v>
      </c>
      <c r="F2221" t="str">
        <f>"9781613001110"</f>
        <v>9781613001110</v>
      </c>
      <c r="G2221" t="str">
        <f>"9781583217801"</f>
        <v>9781583217801</v>
      </c>
      <c r="H2221" t="s">
        <v>374</v>
      </c>
      <c r="I2221" t="s">
        <v>443</v>
      </c>
      <c r="J2221" t="s">
        <v>4918</v>
      </c>
      <c r="K2221" t="s">
        <v>73</v>
      </c>
      <c r="N2221" t="s">
        <v>74</v>
      </c>
      <c r="O2221" t="s">
        <v>75</v>
      </c>
      <c r="P2221" t="s">
        <v>74</v>
      </c>
      <c r="Q2221" t="s">
        <v>76</v>
      </c>
      <c r="R2221" t="s">
        <v>73</v>
      </c>
      <c r="S2221">
        <v>0</v>
      </c>
      <c r="W2221" s="20">
        <v>5.7870370370370366E-5</v>
      </c>
      <c r="X2221" t="s">
        <v>132</v>
      </c>
      <c r="Y2221">
        <v>1</v>
      </c>
      <c r="Z2221">
        <v>0</v>
      </c>
      <c r="AA2221" t="s">
        <v>78</v>
      </c>
      <c r="AB2221">
        <v>0</v>
      </c>
      <c r="AC2221" t="s">
        <v>78</v>
      </c>
      <c r="AD2221">
        <v>0</v>
      </c>
      <c r="AE2221">
        <v>10533523</v>
      </c>
      <c r="AF2221" t="s">
        <v>79</v>
      </c>
      <c r="AG2221" t="s">
        <v>4850</v>
      </c>
    </row>
    <row r="2222" spans="1:33" x14ac:dyDescent="0.35">
      <c r="A2222" s="18">
        <v>44272.749305555553</v>
      </c>
      <c r="B2222">
        <v>405191</v>
      </c>
      <c r="C2222" t="s">
        <v>4958</v>
      </c>
      <c r="D2222" t="s">
        <v>158</v>
      </c>
      <c r="E2222" s="19">
        <v>39622</v>
      </c>
      <c r="F2222" t="str">
        <f>"9780080559209"</f>
        <v>9780080559209</v>
      </c>
      <c r="G2222" t="str">
        <f>"9780750685191"</f>
        <v>9780750685191</v>
      </c>
      <c r="H2222" t="s">
        <v>4959</v>
      </c>
      <c r="I2222">
        <v>621.55999999999995</v>
      </c>
      <c r="J2222" t="s">
        <v>4960</v>
      </c>
      <c r="K2222" t="s">
        <v>73</v>
      </c>
      <c r="N2222" t="s">
        <v>74</v>
      </c>
      <c r="O2222" t="s">
        <v>75</v>
      </c>
      <c r="P2222" t="s">
        <v>74</v>
      </c>
      <c r="Q2222" t="s">
        <v>76</v>
      </c>
      <c r="R2222" t="s">
        <v>73</v>
      </c>
      <c r="S2222">
        <v>0</v>
      </c>
      <c r="W2222" s="20">
        <v>2.56712962962963E-2</v>
      </c>
      <c r="X2222" t="s">
        <v>5013</v>
      </c>
      <c r="Y2222">
        <v>10</v>
      </c>
      <c r="Z2222">
        <v>0</v>
      </c>
      <c r="AA2222" t="s">
        <v>78</v>
      </c>
      <c r="AB2222">
        <v>0</v>
      </c>
      <c r="AC2222" t="s">
        <v>78</v>
      </c>
      <c r="AD2222">
        <v>0</v>
      </c>
      <c r="AE2222">
        <v>10243934</v>
      </c>
      <c r="AF2222" t="s">
        <v>79</v>
      </c>
      <c r="AG2222" t="s">
        <v>4850</v>
      </c>
    </row>
    <row r="2223" spans="1:33" x14ac:dyDescent="0.35">
      <c r="A2223" s="18">
        <v>44272.675000000003</v>
      </c>
      <c r="B2223">
        <v>716578</v>
      </c>
      <c r="C2223" t="s">
        <v>5014</v>
      </c>
      <c r="D2223" t="s">
        <v>314</v>
      </c>
      <c r="E2223" s="19">
        <v>40679</v>
      </c>
      <c r="F2223" t="str">
        <f>"9780748646302"</f>
        <v>9780748646302</v>
      </c>
      <c r="G2223" t="str">
        <f>"9780748640577"</f>
        <v>9780748640577</v>
      </c>
      <c r="H2223" t="s">
        <v>308</v>
      </c>
      <c r="I2223">
        <v>211.822</v>
      </c>
      <c r="J2223" t="s">
        <v>5015</v>
      </c>
      <c r="K2223" t="s">
        <v>73</v>
      </c>
      <c r="N2223" t="s">
        <v>74</v>
      </c>
      <c r="O2223" t="s">
        <v>75</v>
      </c>
      <c r="P2223" t="s">
        <v>74</v>
      </c>
      <c r="Q2223" t="s">
        <v>76</v>
      </c>
      <c r="R2223" t="s">
        <v>73</v>
      </c>
      <c r="S2223">
        <v>0</v>
      </c>
      <c r="W2223" s="20">
        <v>2.0659722222222222E-2</v>
      </c>
      <c r="X2223" t="s">
        <v>5016</v>
      </c>
      <c r="Y2223">
        <v>13</v>
      </c>
      <c r="Z2223">
        <v>0</v>
      </c>
      <c r="AA2223" t="s">
        <v>78</v>
      </c>
      <c r="AB2223">
        <v>0</v>
      </c>
      <c r="AC2223" t="s">
        <v>78</v>
      </c>
      <c r="AD2223">
        <v>0</v>
      </c>
      <c r="AE2223">
        <v>10478313</v>
      </c>
      <c r="AF2223" t="s">
        <v>79</v>
      </c>
      <c r="AG2223" t="s">
        <v>4850</v>
      </c>
    </row>
    <row r="2224" spans="1:33" x14ac:dyDescent="0.35">
      <c r="A2224" s="18">
        <v>44272.63958333333</v>
      </c>
      <c r="B2224">
        <v>405191</v>
      </c>
      <c r="C2224" t="s">
        <v>4958</v>
      </c>
      <c r="D2224" t="s">
        <v>158</v>
      </c>
      <c r="E2224" s="19">
        <v>39622</v>
      </c>
      <c r="F2224" t="str">
        <f>"9780080559209"</f>
        <v>9780080559209</v>
      </c>
      <c r="G2224" t="str">
        <f>"9780750685191"</f>
        <v>9780750685191</v>
      </c>
      <c r="H2224" t="s">
        <v>4959</v>
      </c>
      <c r="I2224">
        <v>621.55999999999995</v>
      </c>
      <c r="J2224" t="s">
        <v>4960</v>
      </c>
      <c r="K2224" t="s">
        <v>73</v>
      </c>
      <c r="N2224" t="s">
        <v>74</v>
      </c>
      <c r="O2224" t="s">
        <v>75</v>
      </c>
      <c r="P2224" t="s">
        <v>74</v>
      </c>
      <c r="Q2224" t="s">
        <v>76</v>
      </c>
      <c r="R2224" t="s">
        <v>73</v>
      </c>
      <c r="S2224">
        <v>0</v>
      </c>
      <c r="W2224" s="20">
        <v>5.5219907407407405E-2</v>
      </c>
      <c r="X2224" t="s">
        <v>5017</v>
      </c>
      <c r="Y2224">
        <v>89</v>
      </c>
      <c r="Z2224">
        <v>0</v>
      </c>
      <c r="AA2224" t="s">
        <v>78</v>
      </c>
      <c r="AB2224">
        <v>0</v>
      </c>
      <c r="AC2224" t="s">
        <v>78</v>
      </c>
      <c r="AD2224">
        <v>0</v>
      </c>
      <c r="AE2224">
        <v>10243934</v>
      </c>
      <c r="AF2224" t="s">
        <v>79</v>
      </c>
      <c r="AG2224" t="s">
        <v>4850</v>
      </c>
    </row>
    <row r="2225" spans="1:33" x14ac:dyDescent="0.35">
      <c r="A2225" s="18">
        <v>44272.5</v>
      </c>
      <c r="B2225">
        <v>716578</v>
      </c>
      <c r="C2225" t="s">
        <v>5014</v>
      </c>
      <c r="D2225" t="s">
        <v>314</v>
      </c>
      <c r="E2225" s="19">
        <v>40679</v>
      </c>
      <c r="F2225" t="str">
        <f>"9780748646302"</f>
        <v>9780748646302</v>
      </c>
      <c r="G2225" t="str">
        <f>"9780748640577"</f>
        <v>9780748640577</v>
      </c>
      <c r="H2225" t="s">
        <v>308</v>
      </c>
      <c r="I2225">
        <v>211.822</v>
      </c>
      <c r="J2225" t="s">
        <v>5015</v>
      </c>
      <c r="K2225" t="s">
        <v>73</v>
      </c>
      <c r="N2225" t="s">
        <v>74</v>
      </c>
      <c r="O2225" t="s">
        <v>75</v>
      </c>
      <c r="P2225" t="s">
        <v>74</v>
      </c>
      <c r="Q2225" t="s">
        <v>76</v>
      </c>
      <c r="R2225" t="s">
        <v>73</v>
      </c>
      <c r="S2225">
        <v>0</v>
      </c>
      <c r="W2225" s="20">
        <v>6.122685185185185E-3</v>
      </c>
      <c r="X2225" t="s">
        <v>5018</v>
      </c>
      <c r="Y2225">
        <v>8</v>
      </c>
      <c r="Z2225">
        <v>0</v>
      </c>
      <c r="AA2225" t="s">
        <v>78</v>
      </c>
      <c r="AB2225">
        <v>0</v>
      </c>
      <c r="AC2225" t="s">
        <v>78</v>
      </c>
      <c r="AD2225">
        <v>0</v>
      </c>
      <c r="AE2225">
        <v>10478313</v>
      </c>
      <c r="AF2225" t="s">
        <v>79</v>
      </c>
      <c r="AG2225" t="s">
        <v>4850</v>
      </c>
    </row>
    <row r="2226" spans="1:33" x14ac:dyDescent="0.35">
      <c r="A2226" s="18">
        <v>44272.498611111114</v>
      </c>
      <c r="B2226">
        <v>818767</v>
      </c>
      <c r="C2226" t="s">
        <v>5019</v>
      </c>
      <c r="D2226" t="s">
        <v>70</v>
      </c>
      <c r="E2226" s="19">
        <v>40862</v>
      </c>
      <c r="F2226" t="str">
        <f>"9781118137017"</f>
        <v>9781118137017</v>
      </c>
      <c r="G2226" t="str">
        <f>"9781118028964"</f>
        <v>9781118028964</v>
      </c>
      <c r="H2226" t="s">
        <v>149</v>
      </c>
      <c r="I2226" t="s">
        <v>5020</v>
      </c>
      <c r="J2226" t="s">
        <v>5021</v>
      </c>
      <c r="K2226" t="s">
        <v>73</v>
      </c>
      <c r="N2226" t="s">
        <v>74</v>
      </c>
      <c r="O2226" t="s">
        <v>75</v>
      </c>
      <c r="P2226" t="s">
        <v>74</v>
      </c>
      <c r="Q2226" t="s">
        <v>76</v>
      </c>
      <c r="R2226" t="s">
        <v>73</v>
      </c>
      <c r="S2226">
        <v>0</v>
      </c>
      <c r="W2226" s="20">
        <v>2.2893518518518521E-2</v>
      </c>
      <c r="X2226" t="s">
        <v>5022</v>
      </c>
      <c r="Y2226">
        <v>18</v>
      </c>
      <c r="Z2226">
        <v>0</v>
      </c>
      <c r="AA2226" t="s">
        <v>78</v>
      </c>
      <c r="AB2226">
        <v>0</v>
      </c>
      <c r="AC2226" t="s">
        <v>78</v>
      </c>
      <c r="AD2226">
        <v>0</v>
      </c>
      <c r="AE2226">
        <v>10501256</v>
      </c>
      <c r="AF2226" t="s">
        <v>79</v>
      </c>
      <c r="AG2226" t="s">
        <v>4442</v>
      </c>
    </row>
    <row r="2227" spans="1:33" x14ac:dyDescent="0.35">
      <c r="A2227" s="18">
        <v>44272.498611111114</v>
      </c>
      <c r="B2227">
        <v>510194</v>
      </c>
      <c r="C2227" t="s">
        <v>5023</v>
      </c>
      <c r="D2227" t="s">
        <v>70</v>
      </c>
      <c r="E2227" s="19">
        <v>40322</v>
      </c>
      <c r="F2227" t="str">
        <f>"9780470603864"</f>
        <v>9780470603864</v>
      </c>
      <c r="G2227" t="str">
        <f>"9780471754022"</f>
        <v>9780471754022</v>
      </c>
      <c r="H2227" t="s">
        <v>149</v>
      </c>
      <c r="I2227">
        <v>572.6</v>
      </c>
      <c r="J2227" t="s">
        <v>5024</v>
      </c>
      <c r="K2227" t="s">
        <v>73</v>
      </c>
      <c r="N2227" t="s">
        <v>74</v>
      </c>
      <c r="O2227" t="s">
        <v>75</v>
      </c>
      <c r="P2227" t="s">
        <v>74</v>
      </c>
      <c r="Q2227" t="s">
        <v>76</v>
      </c>
      <c r="R2227" t="s">
        <v>73</v>
      </c>
      <c r="S2227">
        <v>0</v>
      </c>
      <c r="W2227" s="20">
        <v>2.6620370370370374E-3</v>
      </c>
      <c r="X2227" t="s">
        <v>5025</v>
      </c>
      <c r="Y2227">
        <v>20</v>
      </c>
      <c r="Z2227">
        <v>1</v>
      </c>
      <c r="AA2227" t="s">
        <v>5026</v>
      </c>
      <c r="AB2227">
        <v>4</v>
      </c>
      <c r="AC2227" t="s">
        <v>78</v>
      </c>
      <c r="AD2227">
        <v>0</v>
      </c>
      <c r="AE2227">
        <v>10381034</v>
      </c>
      <c r="AF2227" t="s">
        <v>79</v>
      </c>
      <c r="AG2227" t="s">
        <v>4442</v>
      </c>
    </row>
    <row r="2228" spans="1:33" x14ac:dyDescent="0.35">
      <c r="A2228" s="18">
        <v>44272.022916666669</v>
      </c>
      <c r="B2228">
        <v>1832723</v>
      </c>
      <c r="C2228" t="s">
        <v>2044</v>
      </c>
      <c r="D2228" t="s">
        <v>70</v>
      </c>
      <c r="E2228" s="19">
        <v>42031</v>
      </c>
      <c r="F2228" t="str">
        <f>"9781118902110"</f>
        <v>9781118902110</v>
      </c>
      <c r="G2228" t="str">
        <f>"9780470656709"</f>
        <v>9780470656709</v>
      </c>
      <c r="H2228" t="s">
        <v>1905</v>
      </c>
      <c r="I2228">
        <v>551.9</v>
      </c>
      <c r="J2228" t="s">
        <v>2045</v>
      </c>
      <c r="K2228" t="s">
        <v>73</v>
      </c>
      <c r="N2228" t="s">
        <v>74</v>
      </c>
      <c r="O2228" t="s">
        <v>75</v>
      </c>
      <c r="P2228" t="s">
        <v>74</v>
      </c>
      <c r="Q2228" t="s">
        <v>76</v>
      </c>
      <c r="R2228" t="s">
        <v>73</v>
      </c>
      <c r="S2228">
        <v>0</v>
      </c>
      <c r="W2228" s="20">
        <v>1.5277777777777777E-2</v>
      </c>
      <c r="X2228" t="s">
        <v>5027</v>
      </c>
      <c r="Y2228">
        <v>49</v>
      </c>
      <c r="Z2228">
        <v>0</v>
      </c>
      <c r="AA2228" t="s">
        <v>78</v>
      </c>
      <c r="AB2228">
        <v>0</v>
      </c>
      <c r="AC2228" t="s">
        <v>78</v>
      </c>
      <c r="AD2228">
        <v>0</v>
      </c>
      <c r="AE2228">
        <v>10964407</v>
      </c>
      <c r="AF2228" t="s">
        <v>79</v>
      </c>
      <c r="AG2228" t="s">
        <v>4894</v>
      </c>
    </row>
    <row r="2229" spans="1:33" x14ac:dyDescent="0.35">
      <c r="A2229" s="18">
        <v>44271.956944444442</v>
      </c>
      <c r="B2229">
        <v>1832723</v>
      </c>
      <c r="C2229" t="s">
        <v>2044</v>
      </c>
      <c r="D2229" t="s">
        <v>70</v>
      </c>
      <c r="E2229" s="19">
        <v>42031</v>
      </c>
      <c r="F2229" t="str">
        <f>"9781118902110"</f>
        <v>9781118902110</v>
      </c>
      <c r="G2229" t="str">
        <f>"9780470656709"</f>
        <v>9780470656709</v>
      </c>
      <c r="H2229" t="s">
        <v>1905</v>
      </c>
      <c r="I2229">
        <v>551.9</v>
      </c>
      <c r="J2229" t="s">
        <v>2045</v>
      </c>
      <c r="K2229" t="s">
        <v>73</v>
      </c>
      <c r="N2229" t="s">
        <v>74</v>
      </c>
      <c r="O2229" t="s">
        <v>75</v>
      </c>
      <c r="P2229" t="s">
        <v>74</v>
      </c>
      <c r="Q2229" t="s">
        <v>76</v>
      </c>
      <c r="R2229" t="s">
        <v>73</v>
      </c>
      <c r="S2229">
        <v>0</v>
      </c>
      <c r="W2229" s="20">
        <v>1.736111111111111E-3</v>
      </c>
      <c r="X2229" t="s">
        <v>5028</v>
      </c>
      <c r="Y2229">
        <v>13</v>
      </c>
      <c r="Z2229">
        <v>0</v>
      </c>
      <c r="AA2229" t="s">
        <v>78</v>
      </c>
      <c r="AB2229">
        <v>0</v>
      </c>
      <c r="AC2229" t="s">
        <v>78</v>
      </c>
      <c r="AD2229">
        <v>0</v>
      </c>
      <c r="AE2229">
        <v>10964407</v>
      </c>
      <c r="AF2229" t="s">
        <v>79</v>
      </c>
      <c r="AG2229" t="s">
        <v>4894</v>
      </c>
    </row>
    <row r="2230" spans="1:33" x14ac:dyDescent="0.35">
      <c r="A2230" s="18">
        <v>44271.540972222225</v>
      </c>
      <c r="B2230">
        <v>472341</v>
      </c>
      <c r="C2230" t="s">
        <v>5029</v>
      </c>
      <c r="D2230" t="s">
        <v>102</v>
      </c>
      <c r="E2230" s="19">
        <v>40189</v>
      </c>
      <c r="F2230" t="str">
        <f>"9780191571893"</f>
        <v>9780191571893</v>
      </c>
      <c r="G2230" t="str">
        <f>"9780199567904"</f>
        <v>9780199567904</v>
      </c>
      <c r="H2230" t="s">
        <v>528</v>
      </c>
      <c r="I2230">
        <v>182.3</v>
      </c>
      <c r="J2230" t="s">
        <v>5030</v>
      </c>
      <c r="K2230" t="s">
        <v>73</v>
      </c>
      <c r="N2230" t="s">
        <v>74</v>
      </c>
      <c r="O2230" t="s">
        <v>75</v>
      </c>
      <c r="P2230" t="s">
        <v>74</v>
      </c>
      <c r="Q2230" t="s">
        <v>76</v>
      </c>
      <c r="R2230" t="s">
        <v>73</v>
      </c>
      <c r="S2230">
        <v>0</v>
      </c>
      <c r="W2230" s="20">
        <v>5.1249999999999997E-2</v>
      </c>
      <c r="X2230" t="s">
        <v>5031</v>
      </c>
      <c r="Y2230">
        <v>18</v>
      </c>
      <c r="Z2230">
        <v>0</v>
      </c>
      <c r="AA2230" t="s">
        <v>78</v>
      </c>
      <c r="AB2230">
        <v>0</v>
      </c>
      <c r="AC2230" t="s">
        <v>78</v>
      </c>
      <c r="AD2230">
        <v>0</v>
      </c>
      <c r="AE2230">
        <v>10358475</v>
      </c>
      <c r="AF2230" t="s">
        <v>79</v>
      </c>
      <c r="AG2230" t="s">
        <v>4850</v>
      </c>
    </row>
    <row r="2231" spans="1:33" x14ac:dyDescent="0.35">
      <c r="A2231" s="18">
        <v>44271.517361111109</v>
      </c>
      <c r="B2231">
        <v>4707905</v>
      </c>
      <c r="C2231" t="s">
        <v>5032</v>
      </c>
      <c r="D2231" t="s">
        <v>189</v>
      </c>
      <c r="E2231" s="19">
        <v>42639</v>
      </c>
      <c r="F2231" t="str">
        <f>"9783110420104"</f>
        <v>9783110420104</v>
      </c>
      <c r="G2231" t="str">
        <f>"9783110419467"</f>
        <v>9783110419467</v>
      </c>
      <c r="H2231" t="s">
        <v>528</v>
      </c>
      <c r="I2231" t="s">
        <v>5033</v>
      </c>
      <c r="J2231" t="s">
        <v>5034</v>
      </c>
      <c r="K2231" t="s">
        <v>73</v>
      </c>
      <c r="N2231" t="s">
        <v>74</v>
      </c>
      <c r="O2231" t="s">
        <v>75</v>
      </c>
      <c r="P2231" t="s">
        <v>74</v>
      </c>
      <c r="Q2231" t="s">
        <v>76</v>
      </c>
      <c r="R2231" t="s">
        <v>73</v>
      </c>
      <c r="S2231">
        <v>0</v>
      </c>
      <c r="W2231" s="20">
        <v>2.2662037037037036E-2</v>
      </c>
      <c r="X2231" t="s">
        <v>5035</v>
      </c>
      <c r="Y2231">
        <v>41</v>
      </c>
      <c r="Z2231">
        <v>0</v>
      </c>
      <c r="AA2231" t="s">
        <v>78</v>
      </c>
      <c r="AB2231">
        <v>0</v>
      </c>
      <c r="AC2231" t="s">
        <v>4986</v>
      </c>
      <c r="AD2231">
        <v>1</v>
      </c>
      <c r="AE2231">
        <v>11274535</v>
      </c>
      <c r="AF2231" t="s">
        <v>79</v>
      </c>
      <c r="AG2231" t="s">
        <v>4850</v>
      </c>
    </row>
    <row r="2232" spans="1:33" x14ac:dyDescent="0.35">
      <c r="A2232" s="18">
        <v>44271.415277777778</v>
      </c>
      <c r="B2232">
        <v>3020870</v>
      </c>
      <c r="C2232" t="s">
        <v>4748</v>
      </c>
      <c r="D2232" t="s">
        <v>226</v>
      </c>
      <c r="E2232" s="19">
        <v>40452</v>
      </c>
      <c r="F2232" t="str">
        <f>"9781617611629"</f>
        <v>9781617611629</v>
      </c>
      <c r="G2232" t="str">
        <f>"9781617289804"</f>
        <v>9781617289804</v>
      </c>
      <c r="H2232" t="s">
        <v>4749</v>
      </c>
      <c r="I2232">
        <v>551.6</v>
      </c>
      <c r="J2232" t="s">
        <v>4750</v>
      </c>
      <c r="K2232" t="s">
        <v>73</v>
      </c>
      <c r="N2232" t="s">
        <v>74</v>
      </c>
      <c r="O2232" t="s">
        <v>75</v>
      </c>
      <c r="P2232" t="s">
        <v>74</v>
      </c>
      <c r="Q2232" t="s">
        <v>76</v>
      </c>
      <c r="R2232" t="s">
        <v>73</v>
      </c>
      <c r="S2232">
        <v>0</v>
      </c>
      <c r="W2232" s="20">
        <v>6.7939814814814816E-3</v>
      </c>
      <c r="X2232" t="s">
        <v>5036</v>
      </c>
      <c r="Y2232">
        <v>4</v>
      </c>
      <c r="Z2232">
        <v>0</v>
      </c>
      <c r="AA2232" t="s">
        <v>78</v>
      </c>
      <c r="AB2232">
        <v>0</v>
      </c>
      <c r="AC2232" t="s">
        <v>78</v>
      </c>
      <c r="AD2232">
        <v>0</v>
      </c>
      <c r="AE2232">
        <v>10681008</v>
      </c>
      <c r="AF2232" t="s">
        <v>79</v>
      </c>
      <c r="AG2232" t="s">
        <v>4850</v>
      </c>
    </row>
    <row r="2233" spans="1:33" x14ac:dyDescent="0.35">
      <c r="A2233" s="18">
        <v>44271.006944444445</v>
      </c>
      <c r="B2233">
        <v>3020870</v>
      </c>
      <c r="C2233" t="s">
        <v>4748</v>
      </c>
      <c r="D2233" t="s">
        <v>226</v>
      </c>
      <c r="E2233" s="19">
        <v>40452</v>
      </c>
      <c r="F2233" t="str">
        <f>"9781617611629"</f>
        <v>9781617611629</v>
      </c>
      <c r="G2233" t="str">
        <f>"9781617289804"</f>
        <v>9781617289804</v>
      </c>
      <c r="H2233" t="s">
        <v>4749</v>
      </c>
      <c r="I2233">
        <v>551.6</v>
      </c>
      <c r="J2233" t="s">
        <v>4750</v>
      </c>
      <c r="K2233" t="s">
        <v>73</v>
      </c>
      <c r="N2233" t="s">
        <v>74</v>
      </c>
      <c r="O2233" t="s">
        <v>75</v>
      </c>
      <c r="P2233" t="s">
        <v>74</v>
      </c>
      <c r="Q2233" t="s">
        <v>76</v>
      </c>
      <c r="R2233" t="s">
        <v>73</v>
      </c>
      <c r="S2233">
        <v>0</v>
      </c>
      <c r="W2233" s="20">
        <v>3.4722222222222222E-5</v>
      </c>
      <c r="X2233" t="s">
        <v>2911</v>
      </c>
      <c r="Y2233">
        <v>1</v>
      </c>
      <c r="Z2233">
        <v>0</v>
      </c>
      <c r="AA2233" t="s">
        <v>78</v>
      </c>
      <c r="AB2233">
        <v>0</v>
      </c>
      <c r="AC2233" t="s">
        <v>78</v>
      </c>
      <c r="AD2233">
        <v>0</v>
      </c>
      <c r="AE2233">
        <v>10681008</v>
      </c>
      <c r="AF2233" t="s">
        <v>79</v>
      </c>
      <c r="AG2233" t="s">
        <v>4850</v>
      </c>
    </row>
    <row r="2234" spans="1:33" x14ac:dyDescent="0.35">
      <c r="A2234" s="18">
        <v>44270.82708333333</v>
      </c>
      <c r="B2234">
        <v>892998</v>
      </c>
      <c r="C2234" t="s">
        <v>5037</v>
      </c>
      <c r="D2234" t="s">
        <v>127</v>
      </c>
      <c r="E2234" s="19">
        <v>41010</v>
      </c>
      <c r="F2234" t="str">
        <f>"9781439867174"</f>
        <v>9781439867174</v>
      </c>
      <c r="G2234" t="str">
        <f>"9781439867136"</f>
        <v>9781439867136</v>
      </c>
      <c r="H2234" t="s">
        <v>143</v>
      </c>
      <c r="I2234">
        <v>658.40599999999995</v>
      </c>
      <c r="J2234" t="s">
        <v>5038</v>
      </c>
      <c r="K2234" t="s">
        <v>73</v>
      </c>
      <c r="N2234" t="s">
        <v>74</v>
      </c>
      <c r="O2234" t="s">
        <v>75</v>
      </c>
      <c r="P2234" t="s">
        <v>74</v>
      </c>
      <c r="Q2234" t="s">
        <v>76</v>
      </c>
      <c r="R2234" t="s">
        <v>73</v>
      </c>
      <c r="S2234">
        <v>0</v>
      </c>
      <c r="W2234" s="20">
        <v>5.0810185185185186E-3</v>
      </c>
      <c r="X2234" t="s">
        <v>5039</v>
      </c>
      <c r="Y2234">
        <v>18</v>
      </c>
      <c r="Z2234">
        <v>0</v>
      </c>
      <c r="AA2234" t="s">
        <v>78</v>
      </c>
      <c r="AB2234">
        <v>0</v>
      </c>
      <c r="AC2234" t="s">
        <v>78</v>
      </c>
      <c r="AD2234">
        <v>0</v>
      </c>
      <c r="AE2234">
        <v>10552121</v>
      </c>
      <c r="AF2234" t="s">
        <v>79</v>
      </c>
      <c r="AG2234" t="s">
        <v>4985</v>
      </c>
    </row>
    <row r="2235" spans="1:33" x14ac:dyDescent="0.35">
      <c r="A2235" s="18">
        <v>44270.796527777777</v>
      </c>
      <c r="B2235">
        <v>3020870</v>
      </c>
      <c r="C2235" t="s">
        <v>4748</v>
      </c>
      <c r="D2235" t="s">
        <v>226</v>
      </c>
      <c r="E2235" s="19">
        <v>40452</v>
      </c>
      <c r="F2235" t="str">
        <f>"9781617611629"</f>
        <v>9781617611629</v>
      </c>
      <c r="G2235" t="str">
        <f>"9781617289804"</f>
        <v>9781617289804</v>
      </c>
      <c r="H2235" t="s">
        <v>4749</v>
      </c>
      <c r="I2235">
        <v>551.6</v>
      </c>
      <c r="J2235" t="s">
        <v>4750</v>
      </c>
      <c r="K2235" t="s">
        <v>73</v>
      </c>
      <c r="N2235" t="s">
        <v>74</v>
      </c>
      <c r="O2235" t="s">
        <v>75</v>
      </c>
      <c r="P2235" t="s">
        <v>74</v>
      </c>
      <c r="Q2235" t="s">
        <v>76</v>
      </c>
      <c r="R2235" t="s">
        <v>73</v>
      </c>
      <c r="S2235">
        <v>0</v>
      </c>
      <c r="W2235" s="20">
        <v>1.273148148148148E-4</v>
      </c>
      <c r="X2235" t="s">
        <v>5040</v>
      </c>
      <c r="Y2235">
        <v>2</v>
      </c>
      <c r="Z2235">
        <v>2</v>
      </c>
      <c r="AA2235" t="s">
        <v>5041</v>
      </c>
      <c r="AB2235">
        <v>4</v>
      </c>
      <c r="AC2235" t="s">
        <v>78</v>
      </c>
      <c r="AD2235">
        <v>0</v>
      </c>
      <c r="AE2235">
        <v>10681008</v>
      </c>
      <c r="AF2235" t="s">
        <v>79</v>
      </c>
      <c r="AG2235" t="s">
        <v>4850</v>
      </c>
    </row>
    <row r="2236" spans="1:33" x14ac:dyDescent="0.35">
      <c r="A2236" s="18">
        <v>44270.527777777781</v>
      </c>
      <c r="B2236">
        <v>5613391</v>
      </c>
      <c r="C2236" t="s">
        <v>5042</v>
      </c>
      <c r="D2236" t="s">
        <v>369</v>
      </c>
      <c r="E2236" s="19">
        <v>43458</v>
      </c>
      <c r="F2236" t="str">
        <f>"9783030032296"</f>
        <v>9783030032296</v>
      </c>
      <c r="G2236" t="str">
        <f>"9783030032289"</f>
        <v>9783030032289</v>
      </c>
      <c r="H2236" t="s">
        <v>5043</v>
      </c>
      <c r="I2236">
        <v>333.79</v>
      </c>
      <c r="J2236" t="s">
        <v>5044</v>
      </c>
      <c r="K2236" t="s">
        <v>85</v>
      </c>
      <c r="Q2236" t="s">
        <v>76</v>
      </c>
      <c r="R2236" t="s">
        <v>73</v>
      </c>
      <c r="S2236">
        <v>0</v>
      </c>
      <c r="W2236" s="20">
        <v>5.5555555555555556E-4</v>
      </c>
      <c r="X2236" t="s">
        <v>5045</v>
      </c>
      <c r="Y2236">
        <v>10</v>
      </c>
      <c r="Z2236">
        <v>0</v>
      </c>
      <c r="AA2236" t="s">
        <v>78</v>
      </c>
      <c r="AB2236">
        <v>0</v>
      </c>
      <c r="AC2236" t="s">
        <v>78</v>
      </c>
      <c r="AD2236">
        <v>0</v>
      </c>
      <c r="AE2236">
        <v>-1</v>
      </c>
      <c r="AF2236" t="s">
        <v>79</v>
      </c>
      <c r="AG2236" t="s">
        <v>4850</v>
      </c>
    </row>
    <row r="2237" spans="1:33" x14ac:dyDescent="0.35">
      <c r="A2237" s="18">
        <v>44269.791666666664</v>
      </c>
      <c r="B2237">
        <v>1372120</v>
      </c>
      <c r="C2237" t="s">
        <v>4831</v>
      </c>
      <c r="D2237" t="s">
        <v>158</v>
      </c>
      <c r="E2237" s="19">
        <v>41549</v>
      </c>
      <c r="F2237" t="str">
        <f>"9780080951355"</f>
        <v>9780080951355</v>
      </c>
      <c r="G2237" t="str">
        <f>"9781856176330"</f>
        <v>9781856176330</v>
      </c>
      <c r="H2237" t="s">
        <v>3243</v>
      </c>
      <c r="I2237" t="s">
        <v>4832</v>
      </c>
      <c r="J2237" t="s">
        <v>4833</v>
      </c>
      <c r="K2237" t="s">
        <v>73</v>
      </c>
      <c r="N2237" t="s">
        <v>74</v>
      </c>
      <c r="O2237" t="s">
        <v>75</v>
      </c>
      <c r="P2237" t="s">
        <v>74</v>
      </c>
      <c r="Q2237" t="s">
        <v>76</v>
      </c>
      <c r="R2237" t="s">
        <v>73</v>
      </c>
      <c r="S2237">
        <v>1</v>
      </c>
      <c r="W2237" s="20">
        <v>0</v>
      </c>
      <c r="X2237" t="s">
        <v>78</v>
      </c>
      <c r="Y2237">
        <v>0</v>
      </c>
      <c r="Z2237">
        <v>0</v>
      </c>
      <c r="AA2237" t="s">
        <v>78</v>
      </c>
      <c r="AB2237">
        <v>0</v>
      </c>
      <c r="AC2237" t="s">
        <v>78</v>
      </c>
      <c r="AD2237">
        <v>0</v>
      </c>
      <c r="AE2237">
        <v>10755372</v>
      </c>
      <c r="AF2237" t="s">
        <v>88</v>
      </c>
      <c r="AG2237" t="s">
        <v>4850</v>
      </c>
    </row>
    <row r="2238" spans="1:33" x14ac:dyDescent="0.35">
      <c r="A2238" s="18">
        <v>44269.791666666664</v>
      </c>
      <c r="B2238">
        <v>1429417</v>
      </c>
      <c r="C2238" t="s">
        <v>5046</v>
      </c>
      <c r="D2238" t="s">
        <v>158</v>
      </c>
      <c r="E2238" s="19">
        <v>41493</v>
      </c>
      <c r="F2238" t="str">
        <f>"9780080994413"</f>
        <v>9780080994413</v>
      </c>
      <c r="G2238" t="str">
        <f>"9780080983561"</f>
        <v>9780080983561</v>
      </c>
      <c r="H2238" t="s">
        <v>3243</v>
      </c>
      <c r="I2238">
        <v>620.00151535299995</v>
      </c>
      <c r="J2238" t="s">
        <v>5047</v>
      </c>
      <c r="K2238" t="s">
        <v>73</v>
      </c>
      <c r="N2238" t="s">
        <v>74</v>
      </c>
      <c r="O2238" t="s">
        <v>75</v>
      </c>
      <c r="P2238" t="s">
        <v>74</v>
      </c>
      <c r="Q2238" t="s">
        <v>76</v>
      </c>
      <c r="R2238" t="s">
        <v>73</v>
      </c>
      <c r="S2238">
        <v>1</v>
      </c>
      <c r="W2238" s="20">
        <v>0</v>
      </c>
      <c r="X2238" t="s">
        <v>78</v>
      </c>
      <c r="Y2238">
        <v>0</v>
      </c>
      <c r="Z2238">
        <v>0</v>
      </c>
      <c r="AA2238" t="s">
        <v>78</v>
      </c>
      <c r="AB2238">
        <v>0</v>
      </c>
      <c r="AC2238" t="s">
        <v>78</v>
      </c>
      <c r="AD2238">
        <v>0</v>
      </c>
      <c r="AE2238">
        <v>10775006</v>
      </c>
      <c r="AF2238" t="s">
        <v>88</v>
      </c>
      <c r="AG2238" t="s">
        <v>4850</v>
      </c>
    </row>
    <row r="2239" spans="1:33" x14ac:dyDescent="0.35">
      <c r="A2239" s="18">
        <v>44269.009722222225</v>
      </c>
      <c r="B2239">
        <v>1332527</v>
      </c>
      <c r="C2239" t="s">
        <v>4058</v>
      </c>
      <c r="D2239" t="s">
        <v>70</v>
      </c>
      <c r="E2239" s="19">
        <v>41498</v>
      </c>
      <c r="F2239" t="str">
        <f>"9781118720882"</f>
        <v>9781118720882</v>
      </c>
      <c r="G2239" t="str">
        <f>"9781118692288"</f>
        <v>9781118692288</v>
      </c>
      <c r="H2239" t="s">
        <v>143</v>
      </c>
      <c r="I2239">
        <v>658.11</v>
      </c>
      <c r="J2239" t="s">
        <v>4059</v>
      </c>
      <c r="K2239" t="s">
        <v>73</v>
      </c>
      <c r="N2239" t="s">
        <v>74</v>
      </c>
      <c r="O2239" t="s">
        <v>75</v>
      </c>
      <c r="P2239" t="s">
        <v>74</v>
      </c>
      <c r="Q2239" t="s">
        <v>76</v>
      </c>
      <c r="R2239" t="s">
        <v>73</v>
      </c>
      <c r="S2239">
        <v>0</v>
      </c>
      <c r="W2239" s="20">
        <v>2.9953703703703705E-2</v>
      </c>
      <c r="X2239" t="s">
        <v>5048</v>
      </c>
      <c r="Y2239">
        <v>21</v>
      </c>
      <c r="Z2239">
        <v>4</v>
      </c>
      <c r="AA2239" t="s">
        <v>5049</v>
      </c>
      <c r="AB2239">
        <v>12</v>
      </c>
      <c r="AC2239" t="s">
        <v>78</v>
      </c>
      <c r="AD2239">
        <v>0</v>
      </c>
      <c r="AE2239">
        <v>10740434</v>
      </c>
      <c r="AF2239" t="s">
        <v>79</v>
      </c>
      <c r="AG2239" t="s">
        <v>4850</v>
      </c>
    </row>
    <row r="2240" spans="1:33" x14ac:dyDescent="0.35">
      <c r="A2240" s="18">
        <v>44269.007638888892</v>
      </c>
      <c r="B2240">
        <v>1332527</v>
      </c>
      <c r="C2240" t="s">
        <v>4058</v>
      </c>
      <c r="D2240" t="s">
        <v>70</v>
      </c>
      <c r="E2240" s="19">
        <v>41498</v>
      </c>
      <c r="F2240" t="str">
        <f>"9781118720882"</f>
        <v>9781118720882</v>
      </c>
      <c r="G2240" t="str">
        <f>"9781118692288"</f>
        <v>9781118692288</v>
      </c>
      <c r="H2240" t="s">
        <v>143</v>
      </c>
      <c r="I2240">
        <v>658.11</v>
      </c>
      <c r="J2240" t="s">
        <v>4059</v>
      </c>
      <c r="K2240" t="s">
        <v>73</v>
      </c>
      <c r="N2240" t="s">
        <v>74</v>
      </c>
      <c r="O2240" t="s">
        <v>75</v>
      </c>
      <c r="P2240" t="s">
        <v>74</v>
      </c>
      <c r="Q2240" t="s">
        <v>76</v>
      </c>
      <c r="R2240" t="s">
        <v>73</v>
      </c>
      <c r="S2240">
        <v>0</v>
      </c>
      <c r="W2240" s="20">
        <v>0</v>
      </c>
      <c r="X2240" t="s">
        <v>78</v>
      </c>
      <c r="Y2240">
        <v>0</v>
      </c>
      <c r="Z2240">
        <v>6</v>
      </c>
      <c r="AA2240" t="s">
        <v>5050</v>
      </c>
      <c r="AB2240">
        <v>58</v>
      </c>
      <c r="AC2240" t="s">
        <v>78</v>
      </c>
      <c r="AD2240">
        <v>0</v>
      </c>
      <c r="AE2240">
        <v>10740434</v>
      </c>
      <c r="AF2240" t="s">
        <v>79</v>
      </c>
      <c r="AG2240" t="s">
        <v>4850</v>
      </c>
    </row>
    <row r="2241" spans="1:33" x14ac:dyDescent="0.35">
      <c r="A2241" s="18">
        <v>44269.006249999999</v>
      </c>
      <c r="B2241">
        <v>1332527</v>
      </c>
      <c r="C2241" t="s">
        <v>4058</v>
      </c>
      <c r="D2241" t="s">
        <v>70</v>
      </c>
      <c r="E2241" s="19">
        <v>41498</v>
      </c>
      <c r="F2241" t="str">
        <f>"9781118720882"</f>
        <v>9781118720882</v>
      </c>
      <c r="G2241" t="str">
        <f>"9781118692288"</f>
        <v>9781118692288</v>
      </c>
      <c r="H2241" t="s">
        <v>143</v>
      </c>
      <c r="I2241">
        <v>658.11</v>
      </c>
      <c r="J2241" t="s">
        <v>4059</v>
      </c>
      <c r="K2241" t="s">
        <v>73</v>
      </c>
      <c r="N2241" t="s">
        <v>74</v>
      </c>
      <c r="O2241" t="s">
        <v>75</v>
      </c>
      <c r="P2241" t="s">
        <v>74</v>
      </c>
      <c r="Q2241" t="s">
        <v>76</v>
      </c>
      <c r="R2241" t="s">
        <v>73</v>
      </c>
      <c r="S2241">
        <v>0</v>
      </c>
      <c r="W2241" s="20">
        <v>0</v>
      </c>
      <c r="X2241" t="s">
        <v>78</v>
      </c>
      <c r="Y2241">
        <v>0</v>
      </c>
      <c r="Z2241">
        <v>6</v>
      </c>
      <c r="AA2241" t="s">
        <v>5051</v>
      </c>
      <c r="AB2241">
        <v>54</v>
      </c>
      <c r="AC2241" t="s">
        <v>78</v>
      </c>
      <c r="AD2241">
        <v>0</v>
      </c>
      <c r="AE2241">
        <v>10740434</v>
      </c>
      <c r="AF2241" t="s">
        <v>79</v>
      </c>
      <c r="AG2241" t="s">
        <v>4850</v>
      </c>
    </row>
    <row r="2242" spans="1:33" x14ac:dyDescent="0.35">
      <c r="A2242" s="18">
        <v>44269.003472222219</v>
      </c>
      <c r="B2242">
        <v>1332527</v>
      </c>
      <c r="C2242" t="s">
        <v>4058</v>
      </c>
      <c r="D2242" t="s">
        <v>70</v>
      </c>
      <c r="E2242" s="19">
        <v>41498</v>
      </c>
      <c r="F2242" t="str">
        <f>"9781118720882"</f>
        <v>9781118720882</v>
      </c>
      <c r="G2242" t="str">
        <f>"9781118692288"</f>
        <v>9781118692288</v>
      </c>
      <c r="H2242" t="s">
        <v>143</v>
      </c>
      <c r="I2242">
        <v>658.11</v>
      </c>
      <c r="J2242" t="s">
        <v>4059</v>
      </c>
      <c r="K2242" t="s">
        <v>73</v>
      </c>
      <c r="N2242" t="s">
        <v>74</v>
      </c>
      <c r="O2242" t="s">
        <v>75</v>
      </c>
      <c r="P2242" t="s">
        <v>74</v>
      </c>
      <c r="Q2242" t="s">
        <v>76</v>
      </c>
      <c r="R2242" t="s">
        <v>73</v>
      </c>
      <c r="S2242">
        <v>0</v>
      </c>
      <c r="W2242" s="20">
        <v>0</v>
      </c>
      <c r="X2242" t="s">
        <v>78</v>
      </c>
      <c r="Y2242">
        <v>0</v>
      </c>
      <c r="Z2242">
        <v>6</v>
      </c>
      <c r="AA2242" t="s">
        <v>5052</v>
      </c>
      <c r="AB2242">
        <v>58</v>
      </c>
      <c r="AC2242" t="s">
        <v>78</v>
      </c>
      <c r="AD2242">
        <v>0</v>
      </c>
      <c r="AE2242">
        <v>10740434</v>
      </c>
      <c r="AF2242" t="s">
        <v>79</v>
      </c>
      <c r="AG2242" t="s">
        <v>4850</v>
      </c>
    </row>
    <row r="2243" spans="1:33" x14ac:dyDescent="0.35">
      <c r="A2243" s="18">
        <v>44268.977777777778</v>
      </c>
      <c r="B2243">
        <v>1332527</v>
      </c>
      <c r="C2243" t="s">
        <v>4058</v>
      </c>
      <c r="D2243" t="s">
        <v>70</v>
      </c>
      <c r="E2243" s="19">
        <v>41498</v>
      </c>
      <c r="F2243" t="str">
        <f>"9781118720882"</f>
        <v>9781118720882</v>
      </c>
      <c r="G2243" t="str">
        <f>"9781118692288"</f>
        <v>9781118692288</v>
      </c>
      <c r="H2243" t="s">
        <v>143</v>
      </c>
      <c r="I2243">
        <v>658.11</v>
      </c>
      <c r="J2243" t="s">
        <v>4059</v>
      </c>
      <c r="K2243" t="s">
        <v>73</v>
      </c>
      <c r="N2243" t="s">
        <v>74</v>
      </c>
      <c r="O2243" t="s">
        <v>75</v>
      </c>
      <c r="P2243" t="s">
        <v>74</v>
      </c>
      <c r="Q2243" t="s">
        <v>76</v>
      </c>
      <c r="R2243" t="s">
        <v>73</v>
      </c>
      <c r="S2243">
        <v>0</v>
      </c>
      <c r="W2243" s="20">
        <v>1.7141203703703704E-2</v>
      </c>
      <c r="X2243" t="s">
        <v>5053</v>
      </c>
      <c r="Y2243">
        <v>91</v>
      </c>
      <c r="Z2243">
        <v>15</v>
      </c>
      <c r="AA2243" t="s">
        <v>5054</v>
      </c>
      <c r="AB2243">
        <v>108</v>
      </c>
      <c r="AC2243" t="s">
        <v>78</v>
      </c>
      <c r="AD2243">
        <v>0</v>
      </c>
      <c r="AE2243">
        <v>10740434</v>
      </c>
      <c r="AF2243" t="s">
        <v>88</v>
      </c>
      <c r="AG2243" t="s">
        <v>4850</v>
      </c>
    </row>
    <row r="2244" spans="1:33" x14ac:dyDescent="0.35">
      <c r="A2244" s="18">
        <v>44268.881249999999</v>
      </c>
      <c r="B2244">
        <v>1811524</v>
      </c>
      <c r="C2244" t="s">
        <v>5055</v>
      </c>
      <c r="D2244" t="s">
        <v>158</v>
      </c>
      <c r="E2244" s="19">
        <v>41912</v>
      </c>
      <c r="F2244" t="str">
        <f>"9780124095298"</f>
        <v>9780124095298</v>
      </c>
      <c r="G2244" t="str">
        <f>"9780124080591"</f>
        <v>9780124080591</v>
      </c>
      <c r="H2244" t="s">
        <v>466</v>
      </c>
      <c r="I2244">
        <v>621.38149999999996</v>
      </c>
      <c r="J2244" t="s">
        <v>5056</v>
      </c>
      <c r="K2244" t="s">
        <v>73</v>
      </c>
      <c r="N2244" t="s">
        <v>74</v>
      </c>
      <c r="O2244" t="s">
        <v>75</v>
      </c>
      <c r="P2244" t="s">
        <v>74</v>
      </c>
      <c r="Q2244" t="s">
        <v>76</v>
      </c>
      <c r="R2244" t="s">
        <v>73</v>
      </c>
      <c r="S2244">
        <v>0</v>
      </c>
      <c r="W2244" s="20">
        <v>4.9768518518518521E-4</v>
      </c>
      <c r="X2244" t="s">
        <v>5057</v>
      </c>
      <c r="Y2244">
        <v>8</v>
      </c>
      <c r="Z2244">
        <v>0</v>
      </c>
      <c r="AA2244" t="s">
        <v>78</v>
      </c>
      <c r="AB2244">
        <v>0</v>
      </c>
      <c r="AC2244" t="s">
        <v>78</v>
      </c>
      <c r="AD2244">
        <v>0</v>
      </c>
      <c r="AE2244">
        <v>10950291</v>
      </c>
      <c r="AF2244" t="s">
        <v>79</v>
      </c>
      <c r="AG2244" t="s">
        <v>4850</v>
      </c>
    </row>
    <row r="2245" spans="1:33" x14ac:dyDescent="0.35">
      <c r="A2245" s="18">
        <v>44268.874305555553</v>
      </c>
      <c r="B2245">
        <v>4039159</v>
      </c>
      <c r="C2245" t="s">
        <v>5058</v>
      </c>
      <c r="D2245" t="s">
        <v>70</v>
      </c>
      <c r="E2245" s="19">
        <v>42233</v>
      </c>
      <c r="F2245" t="str">
        <f>"9781118841129"</f>
        <v>9781118841129</v>
      </c>
      <c r="G2245" t="str">
        <f>"9781118841099"</f>
        <v>9781118841099</v>
      </c>
      <c r="H2245" t="s">
        <v>466</v>
      </c>
      <c r="I2245" t="s">
        <v>5059</v>
      </c>
      <c r="J2245" t="s">
        <v>5060</v>
      </c>
      <c r="K2245" t="s">
        <v>73</v>
      </c>
      <c r="N2245" t="s">
        <v>74</v>
      </c>
      <c r="O2245" t="s">
        <v>75</v>
      </c>
      <c r="P2245" t="s">
        <v>74</v>
      </c>
      <c r="Q2245" t="s">
        <v>76</v>
      </c>
      <c r="R2245" t="s">
        <v>73</v>
      </c>
      <c r="S2245">
        <v>0</v>
      </c>
      <c r="W2245" s="20">
        <v>4.8611111111111104E-4</v>
      </c>
      <c r="X2245" t="s">
        <v>5061</v>
      </c>
      <c r="Y2245">
        <v>5</v>
      </c>
      <c r="Z2245">
        <v>2</v>
      </c>
      <c r="AA2245" t="s">
        <v>5062</v>
      </c>
      <c r="AB2245">
        <v>62</v>
      </c>
      <c r="AC2245" t="s">
        <v>78</v>
      </c>
      <c r="AD2245">
        <v>0</v>
      </c>
      <c r="AE2245">
        <v>11112804</v>
      </c>
      <c r="AF2245" t="s">
        <v>79</v>
      </c>
      <c r="AG2245" t="s">
        <v>4850</v>
      </c>
    </row>
    <row r="2246" spans="1:33" x14ac:dyDescent="0.35">
      <c r="A2246" s="18">
        <v>44268.84652777778</v>
      </c>
      <c r="B2246">
        <v>1173081</v>
      </c>
      <c r="C2246" t="s">
        <v>3999</v>
      </c>
      <c r="D2246" t="s">
        <v>70</v>
      </c>
      <c r="E2246" s="19">
        <v>41393</v>
      </c>
      <c r="F2246" t="str">
        <f>"9781118417591"</f>
        <v>9781118417591</v>
      </c>
      <c r="G2246" t="str">
        <f>"9781118394106"</f>
        <v>9781118394106</v>
      </c>
      <c r="H2246" t="s">
        <v>143</v>
      </c>
      <c r="I2246" t="s">
        <v>4000</v>
      </c>
      <c r="J2246" t="s">
        <v>4001</v>
      </c>
      <c r="K2246" t="s">
        <v>73</v>
      </c>
      <c r="N2246" t="s">
        <v>74</v>
      </c>
      <c r="O2246" t="s">
        <v>75</v>
      </c>
      <c r="P2246" t="s">
        <v>74</v>
      </c>
      <c r="Q2246" t="s">
        <v>76</v>
      </c>
      <c r="R2246" t="s">
        <v>73</v>
      </c>
      <c r="S2246">
        <v>1</v>
      </c>
      <c r="W2246" s="20">
        <v>1.273148148148148E-4</v>
      </c>
      <c r="X2246" t="s">
        <v>5063</v>
      </c>
      <c r="Y2246">
        <v>4</v>
      </c>
      <c r="Z2246">
        <v>0</v>
      </c>
      <c r="AA2246" t="s">
        <v>78</v>
      </c>
      <c r="AB2246">
        <v>0</v>
      </c>
      <c r="AC2246" t="s">
        <v>78</v>
      </c>
      <c r="AD2246">
        <v>0</v>
      </c>
      <c r="AE2246">
        <v>10691459</v>
      </c>
      <c r="AF2246" t="s">
        <v>88</v>
      </c>
      <c r="AG2246" t="s">
        <v>4850</v>
      </c>
    </row>
    <row r="2247" spans="1:33" x14ac:dyDescent="0.35">
      <c r="A2247" s="18">
        <v>44268.835416666669</v>
      </c>
      <c r="B2247">
        <v>4039159</v>
      </c>
      <c r="C2247" t="s">
        <v>5058</v>
      </c>
      <c r="D2247" t="s">
        <v>70</v>
      </c>
      <c r="E2247" s="19">
        <v>42233</v>
      </c>
      <c r="F2247" t="str">
        <f>"9781118841129"</f>
        <v>9781118841129</v>
      </c>
      <c r="G2247" t="str">
        <f>"9781118841099"</f>
        <v>9781118841099</v>
      </c>
      <c r="H2247" t="s">
        <v>466</v>
      </c>
      <c r="I2247" t="s">
        <v>5059</v>
      </c>
      <c r="J2247" t="s">
        <v>5060</v>
      </c>
      <c r="K2247" t="s">
        <v>73</v>
      </c>
      <c r="N2247" t="s">
        <v>74</v>
      </c>
      <c r="O2247" t="s">
        <v>75</v>
      </c>
      <c r="P2247" t="s">
        <v>74</v>
      </c>
      <c r="Q2247" t="s">
        <v>76</v>
      </c>
      <c r="R2247" t="s">
        <v>73</v>
      </c>
      <c r="S2247">
        <v>0</v>
      </c>
      <c r="W2247" s="20">
        <v>6.875E-3</v>
      </c>
      <c r="X2247" t="s">
        <v>5064</v>
      </c>
      <c r="Y2247">
        <v>32</v>
      </c>
      <c r="Z2247">
        <v>0</v>
      </c>
      <c r="AA2247" t="s">
        <v>78</v>
      </c>
      <c r="AB2247">
        <v>0</v>
      </c>
      <c r="AC2247" t="s">
        <v>78</v>
      </c>
      <c r="AD2247">
        <v>0</v>
      </c>
      <c r="AE2247">
        <v>11112804</v>
      </c>
      <c r="AF2247" t="s">
        <v>79</v>
      </c>
      <c r="AG2247" t="s">
        <v>4850</v>
      </c>
    </row>
    <row r="2248" spans="1:33" x14ac:dyDescent="0.35">
      <c r="A2248" s="18">
        <v>44268.832638888889</v>
      </c>
      <c r="B2248">
        <v>1173081</v>
      </c>
      <c r="C2248" t="s">
        <v>3999</v>
      </c>
      <c r="D2248" t="s">
        <v>70</v>
      </c>
      <c r="E2248" s="19">
        <v>41393</v>
      </c>
      <c r="F2248" t="str">
        <f>"9781118417591"</f>
        <v>9781118417591</v>
      </c>
      <c r="G2248" t="str">
        <f>"9781118394106"</f>
        <v>9781118394106</v>
      </c>
      <c r="H2248" t="s">
        <v>143</v>
      </c>
      <c r="I2248" t="s">
        <v>4000</v>
      </c>
      <c r="J2248" t="s">
        <v>4001</v>
      </c>
      <c r="K2248" t="s">
        <v>73</v>
      </c>
      <c r="N2248" t="s">
        <v>74</v>
      </c>
      <c r="O2248" t="s">
        <v>75</v>
      </c>
      <c r="P2248" t="s">
        <v>74</v>
      </c>
      <c r="Q2248" t="s">
        <v>76</v>
      </c>
      <c r="R2248" t="s">
        <v>73</v>
      </c>
      <c r="S2248">
        <v>0</v>
      </c>
      <c r="W2248" s="20">
        <v>1.3773148148148147E-2</v>
      </c>
      <c r="X2248" t="s">
        <v>5065</v>
      </c>
      <c r="Y2248">
        <v>28</v>
      </c>
      <c r="Z2248">
        <v>2</v>
      </c>
      <c r="AA2248" t="s">
        <v>5066</v>
      </c>
      <c r="AB2248">
        <v>5</v>
      </c>
      <c r="AC2248" t="s">
        <v>78</v>
      </c>
      <c r="AD2248">
        <v>0</v>
      </c>
      <c r="AE2248">
        <v>10691459</v>
      </c>
      <c r="AF2248" t="s">
        <v>88</v>
      </c>
      <c r="AG2248" t="s">
        <v>4850</v>
      </c>
    </row>
    <row r="2249" spans="1:33" x14ac:dyDescent="0.35">
      <c r="A2249" s="18">
        <v>44268.831944444442</v>
      </c>
      <c r="B2249">
        <v>200407</v>
      </c>
      <c r="C2249" t="s">
        <v>4936</v>
      </c>
      <c r="D2249" t="s">
        <v>127</v>
      </c>
      <c r="E2249" s="19">
        <v>38344</v>
      </c>
      <c r="F2249" t="str">
        <f>"9780203589397"</f>
        <v>9780203589397</v>
      </c>
      <c r="G2249" t="str">
        <f>"9780415317504"</f>
        <v>9780415317504</v>
      </c>
      <c r="H2249" t="s">
        <v>4937</v>
      </c>
      <c r="I2249">
        <v>711.41</v>
      </c>
      <c r="J2249" t="s">
        <v>4938</v>
      </c>
      <c r="K2249" t="s">
        <v>73</v>
      </c>
      <c r="N2249" t="s">
        <v>74</v>
      </c>
      <c r="O2249" t="s">
        <v>75</v>
      </c>
      <c r="P2249" t="s">
        <v>74</v>
      </c>
      <c r="Q2249" t="s">
        <v>76</v>
      </c>
      <c r="R2249" t="s">
        <v>73</v>
      </c>
      <c r="S2249">
        <v>0</v>
      </c>
      <c r="W2249" s="20">
        <v>9.2592592592592588E-5</v>
      </c>
      <c r="X2249" t="s">
        <v>5067</v>
      </c>
      <c r="Y2249">
        <v>2</v>
      </c>
      <c r="Z2249">
        <v>0</v>
      </c>
      <c r="AA2249" t="s">
        <v>78</v>
      </c>
      <c r="AB2249">
        <v>0</v>
      </c>
      <c r="AC2249" t="s">
        <v>78</v>
      </c>
      <c r="AD2249">
        <v>0</v>
      </c>
      <c r="AE2249">
        <v>10094573</v>
      </c>
      <c r="AF2249" t="s">
        <v>79</v>
      </c>
      <c r="AG2249" t="s">
        <v>4850</v>
      </c>
    </row>
    <row r="2250" spans="1:33" x14ac:dyDescent="0.35">
      <c r="A2250" s="18">
        <v>44268.716666666667</v>
      </c>
      <c r="B2250">
        <v>3121238</v>
      </c>
      <c r="C2250" t="s">
        <v>5068</v>
      </c>
      <c r="D2250" t="s">
        <v>502</v>
      </c>
      <c r="E2250" s="19">
        <v>42019</v>
      </c>
      <c r="F2250" t="str">
        <f>"9781780406886"</f>
        <v>9781780406886</v>
      </c>
      <c r="G2250" t="str">
        <f>"9781780406879"</f>
        <v>9781780406879</v>
      </c>
      <c r="H2250" t="s">
        <v>767</v>
      </c>
      <c r="I2250">
        <v>628.29999999999995</v>
      </c>
      <c r="J2250" t="s">
        <v>5069</v>
      </c>
      <c r="K2250" t="s">
        <v>73</v>
      </c>
      <c r="N2250" t="s">
        <v>74</v>
      </c>
      <c r="O2250" t="s">
        <v>75</v>
      </c>
      <c r="P2250" t="s">
        <v>74</v>
      </c>
      <c r="Q2250" t="s">
        <v>76</v>
      </c>
      <c r="R2250" t="s">
        <v>73</v>
      </c>
      <c r="S2250">
        <v>0</v>
      </c>
      <c r="W2250" s="20">
        <v>1.2268518518518518E-3</v>
      </c>
      <c r="X2250" t="s">
        <v>5070</v>
      </c>
      <c r="Y2250">
        <v>11</v>
      </c>
      <c r="Z2250">
        <v>0</v>
      </c>
      <c r="AA2250" t="s">
        <v>78</v>
      </c>
      <c r="AB2250">
        <v>0</v>
      </c>
      <c r="AC2250" t="s">
        <v>78</v>
      </c>
      <c r="AD2250">
        <v>0</v>
      </c>
      <c r="AE2250">
        <v>10994517</v>
      </c>
      <c r="AF2250" t="s">
        <v>79</v>
      </c>
      <c r="AG2250" t="s">
        <v>333</v>
      </c>
    </row>
    <row r="2251" spans="1:33" x14ac:dyDescent="0.35">
      <c r="A2251" s="18">
        <v>44268.713194444441</v>
      </c>
      <c r="B2251">
        <v>1343427</v>
      </c>
      <c r="C2251" t="s">
        <v>5071</v>
      </c>
      <c r="D2251" t="s">
        <v>338</v>
      </c>
      <c r="E2251" s="19">
        <v>41514</v>
      </c>
      <c r="F2251" t="str">
        <f>"9780444538321"</f>
        <v>9780444538321</v>
      </c>
      <c r="G2251" t="str">
        <f>"9780444538314"</f>
        <v>9780444538314</v>
      </c>
      <c r="H2251" t="s">
        <v>1905</v>
      </c>
      <c r="I2251">
        <v>552.58000000000004</v>
      </c>
      <c r="J2251" t="s">
        <v>5072</v>
      </c>
      <c r="K2251" t="s">
        <v>73</v>
      </c>
      <c r="N2251" t="s">
        <v>74</v>
      </c>
      <c r="O2251" t="s">
        <v>75</v>
      </c>
      <c r="P2251" t="s">
        <v>74</v>
      </c>
      <c r="Q2251" t="s">
        <v>76</v>
      </c>
      <c r="R2251" t="s">
        <v>73</v>
      </c>
      <c r="S2251">
        <v>0</v>
      </c>
      <c r="W2251" s="20">
        <v>3.483796296296296E-3</v>
      </c>
      <c r="X2251" t="s">
        <v>5073</v>
      </c>
      <c r="Y2251">
        <v>3</v>
      </c>
      <c r="Z2251">
        <v>0</v>
      </c>
      <c r="AA2251" t="s">
        <v>78</v>
      </c>
      <c r="AB2251">
        <v>0</v>
      </c>
      <c r="AC2251" t="s">
        <v>78</v>
      </c>
      <c r="AD2251">
        <v>0</v>
      </c>
      <c r="AE2251">
        <v>10745985</v>
      </c>
      <c r="AF2251" t="s">
        <v>79</v>
      </c>
      <c r="AG2251" t="s">
        <v>4850</v>
      </c>
    </row>
    <row r="2252" spans="1:33" x14ac:dyDescent="0.35">
      <c r="A2252" s="18">
        <v>44268.657638888886</v>
      </c>
      <c r="B2252">
        <v>1173081</v>
      </c>
      <c r="C2252" t="s">
        <v>3999</v>
      </c>
      <c r="D2252" t="s">
        <v>70</v>
      </c>
      <c r="E2252" s="19">
        <v>41393</v>
      </c>
      <c r="F2252" t="str">
        <f>"9781118417591"</f>
        <v>9781118417591</v>
      </c>
      <c r="G2252" t="str">
        <f>"9781118394106"</f>
        <v>9781118394106</v>
      </c>
      <c r="H2252" t="s">
        <v>143</v>
      </c>
      <c r="I2252" t="s">
        <v>4000</v>
      </c>
      <c r="J2252" t="s">
        <v>4001</v>
      </c>
      <c r="K2252" t="s">
        <v>73</v>
      </c>
      <c r="N2252" t="s">
        <v>74</v>
      </c>
      <c r="O2252" t="s">
        <v>75</v>
      </c>
      <c r="P2252" t="s">
        <v>74</v>
      </c>
      <c r="Q2252" t="s">
        <v>76</v>
      </c>
      <c r="R2252" t="s">
        <v>73</v>
      </c>
      <c r="S2252">
        <v>0</v>
      </c>
      <c r="W2252" s="20">
        <v>1.2731481481481483E-3</v>
      </c>
      <c r="X2252" t="s">
        <v>5074</v>
      </c>
      <c r="Y2252">
        <v>9</v>
      </c>
      <c r="Z2252">
        <v>1</v>
      </c>
      <c r="AA2252" t="s">
        <v>5075</v>
      </c>
      <c r="AB2252">
        <v>4</v>
      </c>
      <c r="AC2252" t="s">
        <v>5076</v>
      </c>
      <c r="AD2252">
        <v>1</v>
      </c>
      <c r="AE2252">
        <v>10691459</v>
      </c>
      <c r="AF2252" t="s">
        <v>79</v>
      </c>
      <c r="AG2252" t="s">
        <v>4442</v>
      </c>
    </row>
    <row r="2253" spans="1:33" x14ac:dyDescent="0.35">
      <c r="A2253" s="18">
        <v>44268.609722222223</v>
      </c>
      <c r="B2253">
        <v>472849</v>
      </c>
      <c r="C2253" t="s">
        <v>5077</v>
      </c>
      <c r="D2253" t="s">
        <v>158</v>
      </c>
      <c r="E2253" s="19">
        <v>40081</v>
      </c>
      <c r="F2253" t="str">
        <f>"9780080919720"</f>
        <v>9780080919720</v>
      </c>
      <c r="G2253" t="str">
        <f>"9780123725066"</f>
        <v>9780123725066</v>
      </c>
      <c r="H2253" t="s">
        <v>159</v>
      </c>
      <c r="I2253">
        <v>660</v>
      </c>
      <c r="J2253" t="s">
        <v>5078</v>
      </c>
      <c r="K2253" t="s">
        <v>73</v>
      </c>
      <c r="N2253" t="s">
        <v>74</v>
      </c>
      <c r="O2253" t="s">
        <v>75</v>
      </c>
      <c r="P2253" t="s">
        <v>74</v>
      </c>
      <c r="Q2253" t="s">
        <v>76</v>
      </c>
      <c r="R2253" t="s">
        <v>73</v>
      </c>
      <c r="S2253">
        <v>0</v>
      </c>
      <c r="W2253" s="20">
        <v>0</v>
      </c>
      <c r="X2253" t="s">
        <v>78</v>
      </c>
      <c r="Y2253">
        <v>0</v>
      </c>
      <c r="Z2253">
        <v>1</v>
      </c>
      <c r="AA2253" t="s">
        <v>5079</v>
      </c>
      <c r="AB2253">
        <v>60</v>
      </c>
      <c r="AC2253" t="s">
        <v>78</v>
      </c>
      <c r="AD2253">
        <v>0</v>
      </c>
      <c r="AE2253">
        <v>10335190</v>
      </c>
      <c r="AF2253" t="s">
        <v>79</v>
      </c>
      <c r="AG2253" t="s">
        <v>5080</v>
      </c>
    </row>
    <row r="2254" spans="1:33" x14ac:dyDescent="0.35">
      <c r="A2254" s="18">
        <v>44268.363194444442</v>
      </c>
      <c r="B2254">
        <v>1173081</v>
      </c>
      <c r="C2254" t="s">
        <v>3999</v>
      </c>
      <c r="D2254" t="s">
        <v>70</v>
      </c>
      <c r="E2254" s="19">
        <v>41393</v>
      </c>
      <c r="F2254" t="str">
        <f>"9781118417591"</f>
        <v>9781118417591</v>
      </c>
      <c r="G2254" t="str">
        <f>"9781118394106"</f>
        <v>9781118394106</v>
      </c>
      <c r="H2254" t="s">
        <v>143</v>
      </c>
      <c r="I2254" t="s">
        <v>4000</v>
      </c>
      <c r="J2254" t="s">
        <v>4001</v>
      </c>
      <c r="K2254" t="s">
        <v>73</v>
      </c>
      <c r="N2254" t="s">
        <v>74</v>
      </c>
      <c r="O2254" t="s">
        <v>75</v>
      </c>
      <c r="P2254" t="s">
        <v>74</v>
      </c>
      <c r="Q2254" t="s">
        <v>76</v>
      </c>
      <c r="R2254" t="s">
        <v>73</v>
      </c>
      <c r="S2254">
        <v>0</v>
      </c>
      <c r="W2254" s="20">
        <v>8.6689814814814806E-3</v>
      </c>
      <c r="X2254" t="s">
        <v>5081</v>
      </c>
      <c r="Y2254">
        <v>44</v>
      </c>
      <c r="Z2254">
        <v>0</v>
      </c>
      <c r="AA2254" t="s">
        <v>78</v>
      </c>
      <c r="AB2254">
        <v>0</v>
      </c>
      <c r="AC2254" t="s">
        <v>78</v>
      </c>
      <c r="AD2254">
        <v>0</v>
      </c>
      <c r="AE2254">
        <v>10691459</v>
      </c>
      <c r="AF2254" t="s">
        <v>79</v>
      </c>
      <c r="AG2254" t="s">
        <v>4442</v>
      </c>
    </row>
    <row r="2255" spans="1:33" x14ac:dyDescent="0.35">
      <c r="A2255" s="18">
        <v>44267.998611111114</v>
      </c>
      <c r="B2255">
        <v>1173081</v>
      </c>
      <c r="C2255" t="s">
        <v>3999</v>
      </c>
      <c r="D2255" t="s">
        <v>70</v>
      </c>
      <c r="E2255" s="19">
        <v>41393</v>
      </c>
      <c r="F2255" t="str">
        <f>"9781118417591"</f>
        <v>9781118417591</v>
      </c>
      <c r="G2255" t="str">
        <f>"9781118394106"</f>
        <v>9781118394106</v>
      </c>
      <c r="H2255" t="s">
        <v>143</v>
      </c>
      <c r="I2255" t="s">
        <v>4000</v>
      </c>
      <c r="J2255" t="s">
        <v>4001</v>
      </c>
      <c r="K2255" t="s">
        <v>73</v>
      </c>
      <c r="N2255" t="s">
        <v>74</v>
      </c>
      <c r="O2255" t="s">
        <v>75</v>
      </c>
      <c r="P2255" t="s">
        <v>74</v>
      </c>
      <c r="Q2255" t="s">
        <v>76</v>
      </c>
      <c r="R2255" t="s">
        <v>73</v>
      </c>
      <c r="S2255">
        <v>0</v>
      </c>
      <c r="W2255" s="20">
        <v>7.2106481481481475E-3</v>
      </c>
      <c r="X2255" t="s">
        <v>5082</v>
      </c>
      <c r="Y2255">
        <v>8</v>
      </c>
      <c r="Z2255">
        <v>0</v>
      </c>
      <c r="AA2255" t="s">
        <v>78</v>
      </c>
      <c r="AB2255">
        <v>0</v>
      </c>
      <c r="AC2255" t="s">
        <v>78</v>
      </c>
      <c r="AD2255">
        <v>0</v>
      </c>
      <c r="AE2255">
        <v>10691459</v>
      </c>
      <c r="AF2255" t="s">
        <v>79</v>
      </c>
      <c r="AG2255" t="s">
        <v>4850</v>
      </c>
    </row>
    <row r="2256" spans="1:33" x14ac:dyDescent="0.35">
      <c r="A2256" s="18">
        <v>44267.910416666666</v>
      </c>
      <c r="B2256">
        <v>1173081</v>
      </c>
      <c r="C2256" t="s">
        <v>3999</v>
      </c>
      <c r="D2256" t="s">
        <v>70</v>
      </c>
      <c r="E2256" s="19">
        <v>41393</v>
      </c>
      <c r="F2256" t="str">
        <f>"9781118417591"</f>
        <v>9781118417591</v>
      </c>
      <c r="G2256" t="str">
        <f>"9781118394106"</f>
        <v>9781118394106</v>
      </c>
      <c r="H2256" t="s">
        <v>143</v>
      </c>
      <c r="I2256" t="s">
        <v>4000</v>
      </c>
      <c r="J2256" t="s">
        <v>4001</v>
      </c>
      <c r="K2256" t="s">
        <v>73</v>
      </c>
      <c r="N2256" t="s">
        <v>74</v>
      </c>
      <c r="O2256" t="s">
        <v>75</v>
      </c>
      <c r="P2256" t="s">
        <v>74</v>
      </c>
      <c r="Q2256" t="s">
        <v>76</v>
      </c>
      <c r="R2256" t="s">
        <v>73</v>
      </c>
      <c r="S2256">
        <v>0</v>
      </c>
      <c r="W2256" s="20">
        <v>1.3541666666666667E-2</v>
      </c>
      <c r="X2256" t="s">
        <v>5083</v>
      </c>
      <c r="Y2256">
        <v>25</v>
      </c>
      <c r="Z2256">
        <v>2</v>
      </c>
      <c r="AA2256" t="s">
        <v>5084</v>
      </c>
      <c r="AB2256">
        <v>23</v>
      </c>
      <c r="AC2256" t="s">
        <v>78</v>
      </c>
      <c r="AD2256">
        <v>0</v>
      </c>
      <c r="AE2256">
        <v>10691459</v>
      </c>
      <c r="AF2256" t="s">
        <v>79</v>
      </c>
      <c r="AG2256" t="s">
        <v>4850</v>
      </c>
    </row>
    <row r="2257" spans="1:33" x14ac:dyDescent="0.35">
      <c r="A2257" s="18">
        <v>44267.787499999999</v>
      </c>
      <c r="B2257">
        <v>1173081</v>
      </c>
      <c r="C2257" t="s">
        <v>3999</v>
      </c>
      <c r="D2257" t="s">
        <v>70</v>
      </c>
      <c r="E2257" s="19">
        <v>41393</v>
      </c>
      <c r="F2257" t="str">
        <f>"9781118417591"</f>
        <v>9781118417591</v>
      </c>
      <c r="G2257" t="str">
        <f>"9781118394106"</f>
        <v>9781118394106</v>
      </c>
      <c r="H2257" t="s">
        <v>143</v>
      </c>
      <c r="I2257" t="s">
        <v>4000</v>
      </c>
      <c r="J2257" t="s">
        <v>4001</v>
      </c>
      <c r="K2257" t="s">
        <v>73</v>
      </c>
      <c r="N2257" t="s">
        <v>74</v>
      </c>
      <c r="O2257" t="s">
        <v>75</v>
      </c>
      <c r="P2257" t="s">
        <v>74</v>
      </c>
      <c r="Q2257" t="s">
        <v>76</v>
      </c>
      <c r="R2257" t="s">
        <v>73</v>
      </c>
      <c r="S2257">
        <v>0</v>
      </c>
      <c r="W2257" s="20">
        <v>7.8009259259259256E-3</v>
      </c>
      <c r="X2257" t="s">
        <v>5085</v>
      </c>
      <c r="Y2257">
        <v>13</v>
      </c>
      <c r="Z2257">
        <v>0</v>
      </c>
      <c r="AA2257" t="s">
        <v>78</v>
      </c>
      <c r="AB2257">
        <v>0</v>
      </c>
      <c r="AC2257" t="s">
        <v>78</v>
      </c>
      <c r="AD2257">
        <v>0</v>
      </c>
      <c r="AE2257">
        <v>10691459</v>
      </c>
      <c r="AF2257" t="s">
        <v>79</v>
      </c>
      <c r="AG2257" t="s">
        <v>4850</v>
      </c>
    </row>
    <row r="2258" spans="1:33" x14ac:dyDescent="0.35">
      <c r="A2258" s="18">
        <v>44267.682638888888</v>
      </c>
      <c r="B2258">
        <v>4412594</v>
      </c>
      <c r="C2258" t="s">
        <v>4915</v>
      </c>
      <c r="D2258" t="s">
        <v>900</v>
      </c>
      <c r="E2258" s="19">
        <v>42341</v>
      </c>
      <c r="F2258" t="str">
        <f>"9781681081403"</f>
        <v>9781681081403</v>
      </c>
      <c r="G2258" t="str">
        <f>"9781681081410"</f>
        <v>9781681081410</v>
      </c>
      <c r="H2258" t="s">
        <v>2135</v>
      </c>
      <c r="I2258">
        <v>616.90409999999895</v>
      </c>
      <c r="J2258" t="s">
        <v>4916</v>
      </c>
      <c r="K2258" t="s">
        <v>73</v>
      </c>
      <c r="N2258" t="s">
        <v>74</v>
      </c>
      <c r="O2258" t="s">
        <v>75</v>
      </c>
      <c r="P2258" t="s">
        <v>74</v>
      </c>
      <c r="Q2258" t="s">
        <v>76</v>
      </c>
      <c r="R2258" t="s">
        <v>73</v>
      </c>
      <c r="S2258">
        <v>0</v>
      </c>
      <c r="W2258" s="20">
        <v>3.4375E-3</v>
      </c>
      <c r="X2258" t="s">
        <v>5086</v>
      </c>
      <c r="Y2258">
        <v>4</v>
      </c>
      <c r="Z2258">
        <v>0</v>
      </c>
      <c r="AA2258" t="s">
        <v>78</v>
      </c>
      <c r="AB2258">
        <v>0</v>
      </c>
      <c r="AC2258" t="s">
        <v>78</v>
      </c>
      <c r="AD2258">
        <v>0</v>
      </c>
      <c r="AE2258">
        <v>11235873</v>
      </c>
      <c r="AF2258" t="s">
        <v>79</v>
      </c>
      <c r="AG2258" t="s">
        <v>4442</v>
      </c>
    </row>
    <row r="2259" spans="1:33" x14ac:dyDescent="0.35">
      <c r="A2259" s="18">
        <v>44267.6</v>
      </c>
      <c r="B2259">
        <v>4412594</v>
      </c>
      <c r="C2259" t="s">
        <v>4915</v>
      </c>
      <c r="D2259" t="s">
        <v>900</v>
      </c>
      <c r="E2259" s="19">
        <v>42341</v>
      </c>
      <c r="F2259" t="str">
        <f>"9781681081403"</f>
        <v>9781681081403</v>
      </c>
      <c r="G2259" t="str">
        <f>"9781681081410"</f>
        <v>9781681081410</v>
      </c>
      <c r="H2259" t="s">
        <v>2135</v>
      </c>
      <c r="I2259">
        <v>616.90409999999895</v>
      </c>
      <c r="J2259" t="s">
        <v>4916</v>
      </c>
      <c r="K2259" t="s">
        <v>73</v>
      </c>
      <c r="N2259" t="s">
        <v>74</v>
      </c>
      <c r="O2259" t="s">
        <v>75</v>
      </c>
      <c r="P2259" t="s">
        <v>74</v>
      </c>
      <c r="Q2259" t="s">
        <v>76</v>
      </c>
      <c r="R2259" t="s">
        <v>73</v>
      </c>
      <c r="S2259">
        <v>0</v>
      </c>
      <c r="W2259" s="20">
        <v>5.1550925925925924E-2</v>
      </c>
      <c r="X2259" t="s">
        <v>5087</v>
      </c>
      <c r="Y2259">
        <v>31</v>
      </c>
      <c r="Z2259">
        <v>0</v>
      </c>
      <c r="AA2259" t="s">
        <v>78</v>
      </c>
      <c r="AB2259">
        <v>0</v>
      </c>
      <c r="AC2259" t="s">
        <v>5088</v>
      </c>
      <c r="AD2259">
        <v>3</v>
      </c>
      <c r="AE2259">
        <v>11235873</v>
      </c>
      <c r="AF2259" t="s">
        <v>79</v>
      </c>
      <c r="AG2259" t="s">
        <v>4442</v>
      </c>
    </row>
    <row r="2260" spans="1:33" x14ac:dyDescent="0.35">
      <c r="A2260" s="18">
        <v>44267.359722222223</v>
      </c>
      <c r="B2260">
        <v>3001261</v>
      </c>
      <c r="C2260" t="s">
        <v>3419</v>
      </c>
      <c r="D2260" t="s">
        <v>3420</v>
      </c>
      <c r="E2260" s="19">
        <v>39630</v>
      </c>
      <c r="F2260" t="str">
        <f>"9780313352874"</f>
        <v>9780313352874</v>
      </c>
      <c r="G2260" t="str">
        <f>"9780313352867"</f>
        <v>9780313352867</v>
      </c>
      <c r="H2260" t="s">
        <v>3421</v>
      </c>
      <c r="I2260">
        <v>333.79</v>
      </c>
      <c r="J2260" t="s">
        <v>3422</v>
      </c>
      <c r="K2260" t="s">
        <v>73</v>
      </c>
      <c r="N2260" t="s">
        <v>74</v>
      </c>
      <c r="O2260" t="s">
        <v>75</v>
      </c>
      <c r="P2260" t="s">
        <v>74</v>
      </c>
      <c r="Q2260" t="s">
        <v>76</v>
      </c>
      <c r="R2260" t="s">
        <v>73</v>
      </c>
      <c r="S2260">
        <v>0</v>
      </c>
      <c r="W2260" s="20">
        <v>4.6296296296296294E-5</v>
      </c>
      <c r="X2260" t="s">
        <v>132</v>
      </c>
      <c r="Y2260">
        <v>1</v>
      </c>
      <c r="Z2260">
        <v>0</v>
      </c>
      <c r="AA2260" t="s">
        <v>78</v>
      </c>
      <c r="AB2260">
        <v>0</v>
      </c>
      <c r="AC2260" t="s">
        <v>78</v>
      </c>
      <c r="AD2260">
        <v>0</v>
      </c>
      <c r="AE2260">
        <v>10271266</v>
      </c>
      <c r="AF2260" t="s">
        <v>79</v>
      </c>
      <c r="AG2260" t="s">
        <v>4914</v>
      </c>
    </row>
    <row r="2261" spans="1:33" x14ac:dyDescent="0.35">
      <c r="A2261" s="18">
        <v>44267.331250000003</v>
      </c>
      <c r="B2261">
        <v>3001261</v>
      </c>
      <c r="C2261" t="s">
        <v>3419</v>
      </c>
      <c r="D2261" t="s">
        <v>3420</v>
      </c>
      <c r="E2261" s="19">
        <v>39630</v>
      </c>
      <c r="F2261" t="str">
        <f>"9780313352874"</f>
        <v>9780313352874</v>
      </c>
      <c r="G2261" t="str">
        <f>"9780313352867"</f>
        <v>9780313352867</v>
      </c>
      <c r="H2261" t="s">
        <v>3421</v>
      </c>
      <c r="I2261">
        <v>333.79</v>
      </c>
      <c r="J2261" t="s">
        <v>3422</v>
      </c>
      <c r="K2261" t="s">
        <v>73</v>
      </c>
      <c r="N2261" t="s">
        <v>74</v>
      </c>
      <c r="O2261" t="s">
        <v>75</v>
      </c>
      <c r="P2261" t="s">
        <v>74</v>
      </c>
      <c r="Q2261" t="s">
        <v>76</v>
      </c>
      <c r="R2261" t="s">
        <v>73</v>
      </c>
      <c r="S2261">
        <v>0</v>
      </c>
      <c r="W2261" s="20">
        <v>4.6296296296296294E-5</v>
      </c>
      <c r="X2261" t="s">
        <v>132</v>
      </c>
      <c r="Y2261">
        <v>1</v>
      </c>
      <c r="Z2261">
        <v>0</v>
      </c>
      <c r="AA2261" t="s">
        <v>78</v>
      </c>
      <c r="AB2261">
        <v>0</v>
      </c>
      <c r="AC2261" t="s">
        <v>78</v>
      </c>
      <c r="AD2261">
        <v>0</v>
      </c>
      <c r="AE2261">
        <v>10271266</v>
      </c>
      <c r="AF2261" t="s">
        <v>79</v>
      </c>
      <c r="AG2261" t="s">
        <v>4914</v>
      </c>
    </row>
    <row r="2262" spans="1:33" x14ac:dyDescent="0.35">
      <c r="A2262" s="18">
        <v>44266.47152777778</v>
      </c>
      <c r="B2262">
        <v>3021220</v>
      </c>
      <c r="C2262" t="s">
        <v>3118</v>
      </c>
      <c r="D2262" t="s">
        <v>226</v>
      </c>
      <c r="E2262" s="19">
        <v>40848</v>
      </c>
      <c r="F2262" t="str">
        <f>"9781620814857"</f>
        <v>9781620814857</v>
      </c>
      <c r="G2262" t="str">
        <f>"9781613240199"</f>
        <v>9781613240199</v>
      </c>
      <c r="H2262" t="s">
        <v>1466</v>
      </c>
      <c r="I2262">
        <v>6.3</v>
      </c>
      <c r="J2262" t="s">
        <v>3119</v>
      </c>
      <c r="K2262" t="s">
        <v>73</v>
      </c>
      <c r="N2262" t="s">
        <v>74</v>
      </c>
      <c r="O2262" t="s">
        <v>75</v>
      </c>
      <c r="P2262" t="s">
        <v>230</v>
      </c>
      <c r="Q2262" t="s">
        <v>76</v>
      </c>
      <c r="R2262" t="s">
        <v>85</v>
      </c>
      <c r="S2262">
        <v>1</v>
      </c>
      <c r="W2262" s="20">
        <v>0</v>
      </c>
      <c r="X2262" t="s">
        <v>78</v>
      </c>
      <c r="Y2262">
        <v>0</v>
      </c>
      <c r="Z2262">
        <v>0</v>
      </c>
      <c r="AA2262" t="s">
        <v>78</v>
      </c>
      <c r="AB2262">
        <v>0</v>
      </c>
      <c r="AC2262" t="s">
        <v>78</v>
      </c>
      <c r="AD2262">
        <v>0</v>
      </c>
      <c r="AE2262">
        <v>10681420</v>
      </c>
      <c r="AF2262" t="s">
        <v>88</v>
      </c>
      <c r="AG2262" t="s">
        <v>4507</v>
      </c>
    </row>
    <row r="2263" spans="1:33" x14ac:dyDescent="0.35">
      <c r="A2263" s="18">
        <v>44266.470138888886</v>
      </c>
      <c r="B2263">
        <v>3021220</v>
      </c>
      <c r="C2263" t="s">
        <v>3118</v>
      </c>
      <c r="D2263" t="s">
        <v>226</v>
      </c>
      <c r="E2263" s="19">
        <v>40848</v>
      </c>
      <c r="F2263" t="str">
        <f>"9781620814857"</f>
        <v>9781620814857</v>
      </c>
      <c r="G2263" t="str">
        <f>"9781613240199"</f>
        <v>9781613240199</v>
      </c>
      <c r="H2263" t="s">
        <v>1466</v>
      </c>
      <c r="I2263">
        <v>6.3</v>
      </c>
      <c r="J2263" t="s">
        <v>3119</v>
      </c>
      <c r="K2263" t="s">
        <v>73</v>
      </c>
      <c r="N2263" t="s">
        <v>74</v>
      </c>
      <c r="O2263" t="s">
        <v>75</v>
      </c>
      <c r="P2263" t="s">
        <v>230</v>
      </c>
      <c r="Q2263" t="s">
        <v>76</v>
      </c>
      <c r="R2263" t="s">
        <v>85</v>
      </c>
      <c r="S2263">
        <v>0</v>
      </c>
      <c r="W2263" s="20">
        <v>8.6805555555555551E-4</v>
      </c>
      <c r="X2263" t="s">
        <v>5089</v>
      </c>
      <c r="Y2263">
        <v>3</v>
      </c>
      <c r="Z2263">
        <v>0</v>
      </c>
      <c r="AA2263" t="s">
        <v>78</v>
      </c>
      <c r="AB2263">
        <v>0</v>
      </c>
      <c r="AC2263" t="s">
        <v>78</v>
      </c>
      <c r="AD2263">
        <v>0</v>
      </c>
      <c r="AE2263">
        <v>10681420</v>
      </c>
      <c r="AF2263" t="s">
        <v>88</v>
      </c>
      <c r="AG2263" t="s">
        <v>4507</v>
      </c>
    </row>
    <row r="2264" spans="1:33" x14ac:dyDescent="0.35">
      <c r="A2264" s="18">
        <v>44266.404861111114</v>
      </c>
      <c r="B2264">
        <v>881653</v>
      </c>
      <c r="C2264" t="s">
        <v>5090</v>
      </c>
      <c r="D2264" t="s">
        <v>70</v>
      </c>
      <c r="E2264" s="19">
        <v>41029</v>
      </c>
      <c r="F2264" t="str">
        <f>"9781119969235"</f>
        <v>9781119969235</v>
      </c>
      <c r="G2264" t="str">
        <f>"9780470978290"</f>
        <v>9780470978290</v>
      </c>
      <c r="H2264" t="s">
        <v>1623</v>
      </c>
      <c r="I2264">
        <v>621.46</v>
      </c>
      <c r="J2264" t="s">
        <v>5091</v>
      </c>
      <c r="K2264" t="s">
        <v>73</v>
      </c>
      <c r="N2264" t="s">
        <v>74</v>
      </c>
      <c r="O2264" t="s">
        <v>75</v>
      </c>
      <c r="P2264" t="s">
        <v>74</v>
      </c>
      <c r="Q2264" t="s">
        <v>76</v>
      </c>
      <c r="R2264" t="s">
        <v>73</v>
      </c>
      <c r="S2264">
        <v>0</v>
      </c>
      <c r="W2264" s="20">
        <v>1.0532407407407407E-3</v>
      </c>
      <c r="X2264" t="s">
        <v>5092</v>
      </c>
      <c r="Y2264">
        <v>3</v>
      </c>
      <c r="Z2264">
        <v>0</v>
      </c>
      <c r="AA2264" t="s">
        <v>78</v>
      </c>
      <c r="AB2264">
        <v>0</v>
      </c>
      <c r="AC2264" t="s">
        <v>78</v>
      </c>
      <c r="AD2264">
        <v>0</v>
      </c>
      <c r="AE2264">
        <v>10546534</v>
      </c>
      <c r="AF2264" t="s">
        <v>88</v>
      </c>
      <c r="AG2264" t="s">
        <v>5093</v>
      </c>
    </row>
    <row r="2265" spans="1:33" x14ac:dyDescent="0.35">
      <c r="A2265" s="18">
        <v>44266.352083333331</v>
      </c>
      <c r="B2265">
        <v>227665</v>
      </c>
      <c r="C2265" t="s">
        <v>5094</v>
      </c>
      <c r="D2265" t="s">
        <v>205</v>
      </c>
      <c r="E2265" s="19">
        <v>38168</v>
      </c>
      <c r="F2265" t="str">
        <f>"9781580535915"</f>
        <v>9781580535915</v>
      </c>
      <c r="G2265" t="str">
        <f>"9781580535908"</f>
        <v>9781580535908</v>
      </c>
      <c r="H2265" t="s">
        <v>466</v>
      </c>
      <c r="I2265">
        <v>621.38099999999997</v>
      </c>
      <c r="J2265" t="s">
        <v>5095</v>
      </c>
      <c r="K2265" t="s">
        <v>73</v>
      </c>
      <c r="N2265" t="s">
        <v>74</v>
      </c>
      <c r="O2265" t="s">
        <v>75</v>
      </c>
      <c r="P2265" t="s">
        <v>74</v>
      </c>
      <c r="Q2265" t="s">
        <v>76</v>
      </c>
      <c r="R2265" t="s">
        <v>73</v>
      </c>
      <c r="S2265">
        <v>1</v>
      </c>
      <c r="W2265" s="20">
        <v>4.4907407407407405E-3</v>
      </c>
      <c r="X2265" t="s">
        <v>360</v>
      </c>
      <c r="Y2265">
        <v>2</v>
      </c>
      <c r="Z2265">
        <v>0</v>
      </c>
      <c r="AA2265" t="s">
        <v>78</v>
      </c>
      <c r="AB2265">
        <v>0</v>
      </c>
      <c r="AC2265" t="s">
        <v>78</v>
      </c>
      <c r="AD2265">
        <v>0</v>
      </c>
      <c r="AE2265">
        <v>10081925</v>
      </c>
      <c r="AF2265" t="s">
        <v>88</v>
      </c>
      <c r="AG2265" t="s">
        <v>5096</v>
      </c>
    </row>
    <row r="2266" spans="1:33" x14ac:dyDescent="0.35">
      <c r="A2266" s="18">
        <v>44266.35</v>
      </c>
      <c r="B2266">
        <v>227665</v>
      </c>
      <c r="C2266" t="s">
        <v>5094</v>
      </c>
      <c r="D2266" t="s">
        <v>205</v>
      </c>
      <c r="E2266" s="19">
        <v>38168</v>
      </c>
      <c r="F2266" t="str">
        <f>"9781580535915"</f>
        <v>9781580535915</v>
      </c>
      <c r="G2266" t="str">
        <f>"9781580535908"</f>
        <v>9781580535908</v>
      </c>
      <c r="H2266" t="s">
        <v>466</v>
      </c>
      <c r="I2266">
        <v>621.38099999999997</v>
      </c>
      <c r="J2266" t="s">
        <v>5095</v>
      </c>
      <c r="K2266" t="s">
        <v>73</v>
      </c>
      <c r="N2266" t="s">
        <v>74</v>
      </c>
      <c r="O2266" t="s">
        <v>75</v>
      </c>
      <c r="P2266" t="s">
        <v>74</v>
      </c>
      <c r="Q2266" t="s">
        <v>76</v>
      </c>
      <c r="R2266" t="s">
        <v>73</v>
      </c>
      <c r="S2266">
        <v>0</v>
      </c>
      <c r="W2266" s="20">
        <v>2.0370370370370373E-3</v>
      </c>
      <c r="X2266" t="s">
        <v>5097</v>
      </c>
      <c r="Y2266">
        <v>5</v>
      </c>
      <c r="Z2266">
        <v>0</v>
      </c>
      <c r="AA2266" t="s">
        <v>78</v>
      </c>
      <c r="AB2266">
        <v>0</v>
      </c>
      <c r="AC2266" t="s">
        <v>78</v>
      </c>
      <c r="AD2266">
        <v>0</v>
      </c>
      <c r="AE2266">
        <v>10081925</v>
      </c>
      <c r="AF2266" t="s">
        <v>88</v>
      </c>
      <c r="AG2266" t="s">
        <v>5096</v>
      </c>
    </row>
    <row r="2267" spans="1:33" x14ac:dyDescent="0.35">
      <c r="A2267" s="18">
        <v>44266.34097222222</v>
      </c>
      <c r="B2267">
        <v>227665</v>
      </c>
      <c r="C2267" t="s">
        <v>5094</v>
      </c>
      <c r="D2267" t="s">
        <v>205</v>
      </c>
      <c r="E2267" s="19">
        <v>38168</v>
      </c>
      <c r="F2267" t="str">
        <f>"9781580535915"</f>
        <v>9781580535915</v>
      </c>
      <c r="G2267" t="str">
        <f>"9781580535908"</f>
        <v>9781580535908</v>
      </c>
      <c r="H2267" t="s">
        <v>466</v>
      </c>
      <c r="I2267">
        <v>621.38099999999997</v>
      </c>
      <c r="J2267" t="s">
        <v>5095</v>
      </c>
      <c r="K2267" t="s">
        <v>73</v>
      </c>
      <c r="N2267" t="s">
        <v>74</v>
      </c>
      <c r="O2267" t="s">
        <v>75</v>
      </c>
      <c r="P2267" t="s">
        <v>74</v>
      </c>
      <c r="Q2267" t="s">
        <v>76</v>
      </c>
      <c r="R2267" t="s">
        <v>73</v>
      </c>
      <c r="S2267">
        <v>0</v>
      </c>
      <c r="W2267" s="20">
        <v>3.2407407407407406E-4</v>
      </c>
      <c r="X2267" t="s">
        <v>5098</v>
      </c>
      <c r="Y2267">
        <v>6</v>
      </c>
      <c r="Z2267">
        <v>0</v>
      </c>
      <c r="AA2267" t="s">
        <v>78</v>
      </c>
      <c r="AB2267">
        <v>0</v>
      </c>
      <c r="AC2267" t="s">
        <v>78</v>
      </c>
      <c r="AD2267">
        <v>0</v>
      </c>
      <c r="AE2267">
        <v>10081925</v>
      </c>
      <c r="AF2267" t="s">
        <v>79</v>
      </c>
      <c r="AG2267" t="s">
        <v>4442</v>
      </c>
    </row>
    <row r="2268" spans="1:33" x14ac:dyDescent="0.35">
      <c r="A2268" s="18">
        <v>44265.958333333336</v>
      </c>
      <c r="B2268">
        <v>1173081</v>
      </c>
      <c r="C2268" t="s">
        <v>3999</v>
      </c>
      <c r="D2268" t="s">
        <v>70</v>
      </c>
      <c r="E2268" s="19">
        <v>41393</v>
      </c>
      <c r="F2268" t="str">
        <f>"9781118417591"</f>
        <v>9781118417591</v>
      </c>
      <c r="G2268" t="str">
        <f>"9781118394106"</f>
        <v>9781118394106</v>
      </c>
      <c r="H2268" t="s">
        <v>143</v>
      </c>
      <c r="I2268" t="s">
        <v>4000</v>
      </c>
      <c r="J2268" t="s">
        <v>4001</v>
      </c>
      <c r="K2268" t="s">
        <v>73</v>
      </c>
      <c r="N2268" t="s">
        <v>74</v>
      </c>
      <c r="O2268" t="s">
        <v>75</v>
      </c>
      <c r="P2268" t="s">
        <v>74</v>
      </c>
      <c r="Q2268" t="s">
        <v>76</v>
      </c>
      <c r="R2268" t="s">
        <v>73</v>
      </c>
      <c r="S2268">
        <v>1</v>
      </c>
      <c r="W2268" s="20">
        <v>0</v>
      </c>
      <c r="X2268" t="s">
        <v>78</v>
      </c>
      <c r="Y2268">
        <v>0</v>
      </c>
      <c r="Z2268">
        <v>0</v>
      </c>
      <c r="AA2268" t="s">
        <v>78</v>
      </c>
      <c r="AB2268">
        <v>0</v>
      </c>
      <c r="AC2268" t="s">
        <v>78</v>
      </c>
      <c r="AD2268">
        <v>0</v>
      </c>
      <c r="AE2268">
        <v>10691459</v>
      </c>
      <c r="AF2268" t="s">
        <v>88</v>
      </c>
      <c r="AG2268" t="s">
        <v>4442</v>
      </c>
    </row>
    <row r="2269" spans="1:33" x14ac:dyDescent="0.35">
      <c r="A2269" s="18">
        <v>44265.935416666667</v>
      </c>
      <c r="B2269">
        <v>4585271</v>
      </c>
      <c r="C2269" t="s">
        <v>377</v>
      </c>
      <c r="D2269" t="s">
        <v>70</v>
      </c>
      <c r="E2269" s="19">
        <v>42583</v>
      </c>
      <c r="F2269" t="str">
        <f>"9781119179597"</f>
        <v>9781119179597</v>
      </c>
      <c r="G2269" t="str">
        <f>"9781119179573"</f>
        <v>9781119179573</v>
      </c>
      <c r="H2269" t="s">
        <v>378</v>
      </c>
      <c r="I2269">
        <v>658.4</v>
      </c>
      <c r="J2269" t="s">
        <v>379</v>
      </c>
      <c r="K2269" t="s">
        <v>73</v>
      </c>
      <c r="N2269" t="s">
        <v>74</v>
      </c>
      <c r="O2269" t="s">
        <v>75</v>
      </c>
      <c r="P2269" t="s">
        <v>74</v>
      </c>
      <c r="Q2269" t="s">
        <v>76</v>
      </c>
      <c r="R2269" t="s">
        <v>73</v>
      </c>
      <c r="S2269">
        <v>0</v>
      </c>
      <c r="W2269" s="20">
        <v>1.7361111111111112E-4</v>
      </c>
      <c r="X2269" t="s">
        <v>615</v>
      </c>
      <c r="Y2269">
        <v>4</v>
      </c>
      <c r="Z2269">
        <v>0</v>
      </c>
      <c r="AA2269" t="s">
        <v>78</v>
      </c>
      <c r="AB2269">
        <v>0</v>
      </c>
      <c r="AC2269" t="s">
        <v>78</v>
      </c>
      <c r="AD2269">
        <v>0</v>
      </c>
      <c r="AE2269">
        <v>11234254</v>
      </c>
      <c r="AF2269" t="s">
        <v>79</v>
      </c>
      <c r="AG2269" t="s">
        <v>4442</v>
      </c>
    </row>
    <row r="2270" spans="1:33" x14ac:dyDescent="0.35">
      <c r="A2270" s="18">
        <v>44265.918055555558</v>
      </c>
      <c r="B2270">
        <v>1173081</v>
      </c>
      <c r="C2270" t="s">
        <v>3999</v>
      </c>
      <c r="D2270" t="s">
        <v>70</v>
      </c>
      <c r="E2270" s="19">
        <v>41393</v>
      </c>
      <c r="F2270" t="str">
        <f>"9781118417591"</f>
        <v>9781118417591</v>
      </c>
      <c r="G2270" t="str">
        <f>"9781118394106"</f>
        <v>9781118394106</v>
      </c>
      <c r="H2270" t="s">
        <v>143</v>
      </c>
      <c r="I2270" t="s">
        <v>4000</v>
      </c>
      <c r="J2270" t="s">
        <v>4001</v>
      </c>
      <c r="K2270" t="s">
        <v>73</v>
      </c>
      <c r="N2270" t="s">
        <v>74</v>
      </c>
      <c r="O2270" t="s">
        <v>75</v>
      </c>
      <c r="P2270" t="s">
        <v>74</v>
      </c>
      <c r="Q2270" t="s">
        <v>76</v>
      </c>
      <c r="R2270" t="s">
        <v>73</v>
      </c>
      <c r="S2270">
        <v>0</v>
      </c>
      <c r="W2270" s="20">
        <v>1.5682870370370371E-2</v>
      </c>
      <c r="X2270" t="s">
        <v>5099</v>
      </c>
      <c r="Y2270">
        <v>14</v>
      </c>
      <c r="Z2270">
        <v>0</v>
      </c>
      <c r="AA2270" t="s">
        <v>78</v>
      </c>
      <c r="AB2270">
        <v>0</v>
      </c>
      <c r="AC2270" t="s">
        <v>78</v>
      </c>
      <c r="AD2270">
        <v>0</v>
      </c>
      <c r="AE2270">
        <v>10691459</v>
      </c>
      <c r="AF2270" t="s">
        <v>79</v>
      </c>
      <c r="AG2270" t="s">
        <v>4442</v>
      </c>
    </row>
    <row r="2271" spans="1:33" x14ac:dyDescent="0.35">
      <c r="A2271" s="18">
        <v>44265.895833333336</v>
      </c>
      <c r="B2271">
        <v>515617</v>
      </c>
      <c r="C2271" t="s">
        <v>5100</v>
      </c>
      <c r="D2271" t="s">
        <v>2903</v>
      </c>
      <c r="E2271" s="19">
        <v>37965</v>
      </c>
      <c r="F2271" t="str">
        <f>"9781604730432"</f>
        <v>9781604730432</v>
      </c>
      <c r="G2271" t="str">
        <f>"9781578065738"</f>
        <v>9781578065738</v>
      </c>
      <c r="H2271" t="s">
        <v>222</v>
      </c>
      <c r="I2271" t="s">
        <v>5101</v>
      </c>
      <c r="J2271" t="s">
        <v>5102</v>
      </c>
      <c r="K2271" t="s">
        <v>73</v>
      </c>
      <c r="N2271" t="s">
        <v>74</v>
      </c>
      <c r="O2271" t="s">
        <v>75</v>
      </c>
      <c r="P2271" t="s">
        <v>74</v>
      </c>
      <c r="Q2271" t="s">
        <v>76</v>
      </c>
      <c r="R2271" t="s">
        <v>73</v>
      </c>
      <c r="S2271">
        <v>1</v>
      </c>
      <c r="W2271" s="20">
        <v>0</v>
      </c>
      <c r="X2271" t="s">
        <v>78</v>
      </c>
      <c r="Y2271">
        <v>0</v>
      </c>
      <c r="Z2271">
        <v>0</v>
      </c>
      <c r="AA2271" t="s">
        <v>78</v>
      </c>
      <c r="AB2271">
        <v>0</v>
      </c>
      <c r="AC2271" t="s">
        <v>78</v>
      </c>
      <c r="AD2271">
        <v>0</v>
      </c>
      <c r="AE2271">
        <v>10157867</v>
      </c>
      <c r="AF2271" t="s">
        <v>88</v>
      </c>
      <c r="AG2271" t="s">
        <v>4442</v>
      </c>
    </row>
    <row r="2272" spans="1:33" x14ac:dyDescent="0.35">
      <c r="A2272" s="18">
        <v>44265.820138888892</v>
      </c>
      <c r="B2272">
        <v>470061</v>
      </c>
      <c r="C2272" t="s">
        <v>5103</v>
      </c>
      <c r="D2272" t="s">
        <v>70</v>
      </c>
      <c r="E2272" s="19">
        <v>39461</v>
      </c>
      <c r="F2272" t="str">
        <f>"9780470697931"</f>
        <v>9780470697931</v>
      </c>
      <c r="G2272" t="str">
        <f>"9781405151276"</f>
        <v>9781405151276</v>
      </c>
      <c r="H2272" t="s">
        <v>5104</v>
      </c>
      <c r="I2272">
        <v>624.06809999999996</v>
      </c>
      <c r="J2272" t="s">
        <v>5105</v>
      </c>
      <c r="K2272" t="s">
        <v>73</v>
      </c>
      <c r="N2272" t="s">
        <v>74</v>
      </c>
      <c r="O2272" t="s">
        <v>75</v>
      </c>
      <c r="P2272" t="s">
        <v>74</v>
      </c>
      <c r="Q2272" t="s">
        <v>76</v>
      </c>
      <c r="R2272" t="s">
        <v>73</v>
      </c>
      <c r="S2272">
        <v>0</v>
      </c>
      <c r="W2272" s="20">
        <v>7.6388888888888893E-4</v>
      </c>
      <c r="X2272" t="s">
        <v>5106</v>
      </c>
      <c r="Y2272">
        <v>10</v>
      </c>
      <c r="Z2272">
        <v>0</v>
      </c>
      <c r="AA2272" t="s">
        <v>78</v>
      </c>
      <c r="AB2272">
        <v>0</v>
      </c>
      <c r="AC2272" t="s">
        <v>78</v>
      </c>
      <c r="AD2272">
        <v>0</v>
      </c>
      <c r="AE2272">
        <v>10297638</v>
      </c>
      <c r="AF2272" t="s">
        <v>79</v>
      </c>
      <c r="AG2272" t="s">
        <v>4442</v>
      </c>
    </row>
    <row r="2273" spans="1:33" x14ac:dyDescent="0.35">
      <c r="A2273" s="18">
        <v>44265.819444444445</v>
      </c>
      <c r="B2273">
        <v>943512</v>
      </c>
      <c r="C2273" t="s">
        <v>5107</v>
      </c>
      <c r="D2273" t="s">
        <v>4700</v>
      </c>
      <c r="E2273" s="19">
        <v>40909</v>
      </c>
      <c r="F2273" t="str">
        <f>"9780821395288"</f>
        <v>9780821395288</v>
      </c>
      <c r="G2273" t="str">
        <f>"9780821395271"</f>
        <v>9780821395271</v>
      </c>
      <c r="H2273" t="s">
        <v>1878</v>
      </c>
      <c r="I2273" t="s">
        <v>5108</v>
      </c>
      <c r="J2273" t="s">
        <v>5109</v>
      </c>
      <c r="K2273" t="s">
        <v>73</v>
      </c>
      <c r="N2273" t="s">
        <v>74</v>
      </c>
      <c r="O2273" t="s">
        <v>75</v>
      </c>
      <c r="P2273" t="s">
        <v>230</v>
      </c>
      <c r="Q2273" t="s">
        <v>76</v>
      </c>
      <c r="R2273" t="s">
        <v>85</v>
      </c>
      <c r="S2273">
        <v>0</v>
      </c>
      <c r="W2273" s="20">
        <v>3.8194444444444446E-4</v>
      </c>
      <c r="X2273" t="s">
        <v>1000</v>
      </c>
      <c r="Y2273">
        <v>7</v>
      </c>
      <c r="Z2273">
        <v>0</v>
      </c>
      <c r="AA2273" t="s">
        <v>78</v>
      </c>
      <c r="AB2273">
        <v>0</v>
      </c>
      <c r="AC2273" t="s">
        <v>78</v>
      </c>
      <c r="AD2273">
        <v>0</v>
      </c>
      <c r="AE2273">
        <v>10571264</v>
      </c>
      <c r="AF2273" t="s">
        <v>79</v>
      </c>
      <c r="AG2273" t="s">
        <v>4442</v>
      </c>
    </row>
    <row r="2274" spans="1:33" x14ac:dyDescent="0.35">
      <c r="A2274" s="18">
        <v>44265.720138888886</v>
      </c>
      <c r="B2274">
        <v>716578</v>
      </c>
      <c r="C2274" t="s">
        <v>5014</v>
      </c>
      <c r="D2274" t="s">
        <v>314</v>
      </c>
      <c r="E2274" s="19">
        <v>40679</v>
      </c>
      <c r="F2274" t="str">
        <f>"9780748646302"</f>
        <v>9780748646302</v>
      </c>
      <c r="G2274" t="str">
        <f>"9780748640577"</f>
        <v>9780748640577</v>
      </c>
      <c r="H2274" t="s">
        <v>308</v>
      </c>
      <c r="I2274">
        <v>211.822</v>
      </c>
      <c r="J2274" t="s">
        <v>5015</v>
      </c>
      <c r="K2274" t="s">
        <v>73</v>
      </c>
      <c r="N2274" t="s">
        <v>74</v>
      </c>
      <c r="O2274" t="s">
        <v>75</v>
      </c>
      <c r="P2274" t="s">
        <v>74</v>
      </c>
      <c r="Q2274" t="s">
        <v>76</v>
      </c>
      <c r="R2274" t="s">
        <v>73</v>
      </c>
      <c r="S2274">
        <v>0</v>
      </c>
      <c r="W2274" s="20">
        <v>1.5520833333333333E-2</v>
      </c>
      <c r="X2274" t="s">
        <v>5110</v>
      </c>
      <c r="Y2274">
        <v>10</v>
      </c>
      <c r="Z2274">
        <v>0</v>
      </c>
      <c r="AA2274" t="s">
        <v>78</v>
      </c>
      <c r="AB2274">
        <v>0</v>
      </c>
      <c r="AC2274" t="s">
        <v>78</v>
      </c>
      <c r="AD2274">
        <v>0</v>
      </c>
      <c r="AE2274">
        <v>10478313</v>
      </c>
      <c r="AF2274" t="s">
        <v>79</v>
      </c>
      <c r="AG2274" t="s">
        <v>4442</v>
      </c>
    </row>
    <row r="2275" spans="1:33" x14ac:dyDescent="0.35">
      <c r="A2275" s="18">
        <v>44265.701388888891</v>
      </c>
      <c r="B2275">
        <v>4183022</v>
      </c>
      <c r="C2275" t="s">
        <v>5111</v>
      </c>
      <c r="D2275" t="s">
        <v>70</v>
      </c>
      <c r="E2275" s="19">
        <v>42352</v>
      </c>
      <c r="F2275" t="str">
        <f>"9781119055495"</f>
        <v>9781119055495</v>
      </c>
      <c r="G2275" t="str">
        <f>"9781119055426"</f>
        <v>9781119055426</v>
      </c>
      <c r="H2275" t="s">
        <v>466</v>
      </c>
      <c r="I2275">
        <v>621.38099999999997</v>
      </c>
      <c r="J2275" t="s">
        <v>5112</v>
      </c>
      <c r="K2275" t="s">
        <v>73</v>
      </c>
      <c r="N2275" t="s">
        <v>74</v>
      </c>
      <c r="O2275" t="s">
        <v>75</v>
      </c>
      <c r="P2275" t="s">
        <v>74</v>
      </c>
      <c r="Q2275" t="s">
        <v>76</v>
      </c>
      <c r="R2275" t="s">
        <v>73</v>
      </c>
      <c r="S2275">
        <v>0</v>
      </c>
      <c r="W2275" s="20">
        <v>6.9444444444444444E-5</v>
      </c>
      <c r="X2275" t="s">
        <v>132</v>
      </c>
      <c r="Y2275">
        <v>1</v>
      </c>
      <c r="Z2275">
        <v>0</v>
      </c>
      <c r="AA2275" t="s">
        <v>78</v>
      </c>
      <c r="AB2275">
        <v>0</v>
      </c>
      <c r="AC2275" t="s">
        <v>78</v>
      </c>
      <c r="AD2275">
        <v>0</v>
      </c>
      <c r="AE2275">
        <v>11125577</v>
      </c>
      <c r="AF2275" t="s">
        <v>79</v>
      </c>
      <c r="AG2275" t="s">
        <v>5096</v>
      </c>
    </row>
    <row r="2276" spans="1:33" x14ac:dyDescent="0.35">
      <c r="A2276" s="18">
        <v>44265.662499999999</v>
      </c>
      <c r="B2276">
        <v>716578</v>
      </c>
      <c r="C2276" t="s">
        <v>5014</v>
      </c>
      <c r="D2276" t="s">
        <v>314</v>
      </c>
      <c r="E2276" s="19">
        <v>40679</v>
      </c>
      <c r="F2276" t="str">
        <f>"9780748646302"</f>
        <v>9780748646302</v>
      </c>
      <c r="G2276" t="str">
        <f>"9780748640577"</f>
        <v>9780748640577</v>
      </c>
      <c r="H2276" t="s">
        <v>308</v>
      </c>
      <c r="I2276">
        <v>211.822</v>
      </c>
      <c r="J2276" t="s">
        <v>5015</v>
      </c>
      <c r="K2276" t="s">
        <v>73</v>
      </c>
      <c r="N2276" t="s">
        <v>74</v>
      </c>
      <c r="O2276" t="s">
        <v>75</v>
      </c>
      <c r="P2276" t="s">
        <v>74</v>
      </c>
      <c r="Q2276" t="s">
        <v>76</v>
      </c>
      <c r="R2276" t="s">
        <v>73</v>
      </c>
      <c r="S2276">
        <v>0</v>
      </c>
      <c r="W2276" s="20">
        <v>1.8333333333333333E-2</v>
      </c>
      <c r="X2276" t="s">
        <v>5113</v>
      </c>
      <c r="Y2276">
        <v>8</v>
      </c>
      <c r="Z2276">
        <v>0</v>
      </c>
      <c r="AA2276" t="s">
        <v>78</v>
      </c>
      <c r="AB2276">
        <v>0</v>
      </c>
      <c r="AC2276" t="s">
        <v>78</v>
      </c>
      <c r="AD2276">
        <v>0</v>
      </c>
      <c r="AE2276">
        <v>10478313</v>
      </c>
      <c r="AF2276" t="s">
        <v>79</v>
      </c>
      <c r="AG2276" t="s">
        <v>4442</v>
      </c>
    </row>
    <row r="2277" spans="1:33" x14ac:dyDescent="0.35">
      <c r="A2277" s="18">
        <v>44265.655555555553</v>
      </c>
      <c r="B2277">
        <v>424090</v>
      </c>
      <c r="C2277" t="s">
        <v>5114</v>
      </c>
      <c r="D2277" t="s">
        <v>234</v>
      </c>
      <c r="E2277" s="19">
        <v>38353</v>
      </c>
      <c r="F2277" t="str">
        <f>"9788122424119"</f>
        <v>9788122424119</v>
      </c>
      <c r="G2277" t="str">
        <f>"9788122415735"</f>
        <v>9788122415735</v>
      </c>
      <c r="H2277" t="s">
        <v>285</v>
      </c>
      <c r="I2277">
        <v>631.41999999999996</v>
      </c>
      <c r="J2277" t="s">
        <v>5115</v>
      </c>
      <c r="K2277" t="s">
        <v>73</v>
      </c>
      <c r="N2277" t="s">
        <v>74</v>
      </c>
      <c r="O2277" t="s">
        <v>75</v>
      </c>
      <c r="P2277" t="s">
        <v>74</v>
      </c>
      <c r="Q2277" t="s">
        <v>76</v>
      </c>
      <c r="R2277" t="s">
        <v>73</v>
      </c>
      <c r="S2277">
        <v>0</v>
      </c>
      <c r="W2277" s="20">
        <v>3.3564814814814812E-4</v>
      </c>
      <c r="X2277" t="s">
        <v>5116</v>
      </c>
      <c r="Y2277">
        <v>7</v>
      </c>
      <c r="Z2277">
        <v>0</v>
      </c>
      <c r="AA2277" t="s">
        <v>78</v>
      </c>
      <c r="AB2277">
        <v>0</v>
      </c>
      <c r="AC2277" t="s">
        <v>78</v>
      </c>
      <c r="AD2277">
        <v>0</v>
      </c>
      <c r="AE2277">
        <v>10318667</v>
      </c>
      <c r="AF2277" t="s">
        <v>79</v>
      </c>
      <c r="AG2277" t="s">
        <v>4442</v>
      </c>
    </row>
    <row r="2278" spans="1:33" x14ac:dyDescent="0.35">
      <c r="A2278" s="18">
        <v>44265.651388888888</v>
      </c>
      <c r="B2278">
        <v>588240</v>
      </c>
      <c r="C2278" t="s">
        <v>5117</v>
      </c>
      <c r="D2278" t="s">
        <v>265</v>
      </c>
      <c r="E2278" s="19">
        <v>39448</v>
      </c>
      <c r="F2278" t="str">
        <f>"9789350434086"</f>
        <v>9789350434086</v>
      </c>
      <c r="G2278" t="str">
        <f>"9788184881011"</f>
        <v>9788184881011</v>
      </c>
      <c r="H2278" t="s">
        <v>848</v>
      </c>
      <c r="I2278">
        <v>543</v>
      </c>
      <c r="J2278" t="s">
        <v>5118</v>
      </c>
      <c r="K2278" t="s">
        <v>73</v>
      </c>
      <c r="N2278" t="s">
        <v>74</v>
      </c>
      <c r="O2278" t="s">
        <v>75</v>
      </c>
      <c r="P2278" t="s">
        <v>74</v>
      </c>
      <c r="Q2278" t="s">
        <v>76</v>
      </c>
      <c r="R2278" t="s">
        <v>73</v>
      </c>
      <c r="S2278">
        <v>0</v>
      </c>
      <c r="W2278" s="20">
        <v>4.1666666666666669E-4</v>
      </c>
      <c r="X2278" t="s">
        <v>5119</v>
      </c>
      <c r="Y2278">
        <v>7</v>
      </c>
      <c r="Z2278">
        <v>0</v>
      </c>
      <c r="AA2278" t="s">
        <v>78</v>
      </c>
      <c r="AB2278">
        <v>0</v>
      </c>
      <c r="AC2278" t="s">
        <v>78</v>
      </c>
      <c r="AD2278">
        <v>0</v>
      </c>
      <c r="AE2278">
        <v>10416026</v>
      </c>
      <c r="AF2278" t="s">
        <v>79</v>
      </c>
      <c r="AG2278" t="s">
        <v>4442</v>
      </c>
    </row>
    <row r="2279" spans="1:33" x14ac:dyDescent="0.35">
      <c r="A2279" s="18">
        <v>44265.618055555555</v>
      </c>
      <c r="B2279">
        <v>2012870</v>
      </c>
      <c r="C2279" t="s">
        <v>3366</v>
      </c>
      <c r="D2279" t="s">
        <v>102</v>
      </c>
      <c r="E2279" s="19">
        <v>36076</v>
      </c>
      <c r="F2279" t="str">
        <f>"9780195352108"</f>
        <v>9780195352108</v>
      </c>
      <c r="G2279" t="str">
        <f>"9780195126600"</f>
        <v>9780195126600</v>
      </c>
      <c r="H2279" t="s">
        <v>128</v>
      </c>
      <c r="I2279" t="s">
        <v>3367</v>
      </c>
      <c r="J2279" t="s">
        <v>3368</v>
      </c>
      <c r="K2279" t="s">
        <v>73</v>
      </c>
      <c r="N2279" t="s">
        <v>74</v>
      </c>
      <c r="O2279" t="s">
        <v>75</v>
      </c>
      <c r="P2279" t="s">
        <v>74</v>
      </c>
      <c r="Q2279" t="s">
        <v>76</v>
      </c>
      <c r="R2279" t="s">
        <v>73</v>
      </c>
      <c r="S2279">
        <v>0</v>
      </c>
      <c r="W2279" s="20">
        <v>1.1782407407407406E-2</v>
      </c>
      <c r="X2279" t="s">
        <v>5120</v>
      </c>
      <c r="Y2279">
        <v>9</v>
      </c>
      <c r="Z2279">
        <v>0</v>
      </c>
      <c r="AA2279" t="s">
        <v>78</v>
      </c>
      <c r="AB2279">
        <v>0</v>
      </c>
      <c r="AC2279" t="s">
        <v>78</v>
      </c>
      <c r="AD2279">
        <v>0</v>
      </c>
      <c r="AE2279">
        <v>10279371</v>
      </c>
      <c r="AF2279" t="s">
        <v>79</v>
      </c>
      <c r="AG2279" t="s">
        <v>4442</v>
      </c>
    </row>
    <row r="2280" spans="1:33" x14ac:dyDescent="0.35">
      <c r="A2280" s="18">
        <v>44265.615972222222</v>
      </c>
      <c r="B2280">
        <v>4585271</v>
      </c>
      <c r="C2280" t="s">
        <v>377</v>
      </c>
      <c r="D2280" t="s">
        <v>70</v>
      </c>
      <c r="E2280" s="19">
        <v>42583</v>
      </c>
      <c r="F2280" t="str">
        <f>"9781119179597"</f>
        <v>9781119179597</v>
      </c>
      <c r="G2280" t="str">
        <f>"9781119179573"</f>
        <v>9781119179573</v>
      </c>
      <c r="H2280" t="s">
        <v>378</v>
      </c>
      <c r="I2280">
        <v>658.4</v>
      </c>
      <c r="J2280" t="s">
        <v>379</v>
      </c>
      <c r="K2280" t="s">
        <v>73</v>
      </c>
      <c r="N2280" t="s">
        <v>74</v>
      </c>
      <c r="O2280" t="s">
        <v>75</v>
      </c>
      <c r="P2280" t="s">
        <v>74</v>
      </c>
      <c r="Q2280" t="s">
        <v>76</v>
      </c>
      <c r="R2280" t="s">
        <v>73</v>
      </c>
      <c r="S2280">
        <v>0</v>
      </c>
      <c r="W2280" s="20">
        <v>1.7372685185185185E-2</v>
      </c>
      <c r="X2280" t="s">
        <v>5121</v>
      </c>
      <c r="Y2280">
        <v>25</v>
      </c>
      <c r="Z2280">
        <v>0</v>
      </c>
      <c r="AA2280" t="s">
        <v>78</v>
      </c>
      <c r="AB2280">
        <v>0</v>
      </c>
      <c r="AC2280" t="s">
        <v>5122</v>
      </c>
      <c r="AD2280">
        <v>2</v>
      </c>
      <c r="AE2280">
        <v>11234254</v>
      </c>
      <c r="AF2280" t="s">
        <v>79</v>
      </c>
      <c r="AG2280" t="s">
        <v>5123</v>
      </c>
    </row>
    <row r="2281" spans="1:33" x14ac:dyDescent="0.35">
      <c r="A2281" s="18">
        <v>44265.37777777778</v>
      </c>
      <c r="B2281">
        <v>4412594</v>
      </c>
      <c r="C2281" t="s">
        <v>4915</v>
      </c>
      <c r="D2281" t="s">
        <v>900</v>
      </c>
      <c r="E2281" s="19">
        <v>42341</v>
      </c>
      <c r="F2281" t="str">
        <f>"9781681081403"</f>
        <v>9781681081403</v>
      </c>
      <c r="G2281" t="str">
        <f>"9781681081410"</f>
        <v>9781681081410</v>
      </c>
      <c r="H2281" t="s">
        <v>2135</v>
      </c>
      <c r="I2281">
        <v>616.90409999999895</v>
      </c>
      <c r="J2281" t="s">
        <v>4916</v>
      </c>
      <c r="K2281" t="s">
        <v>73</v>
      </c>
      <c r="N2281" t="s">
        <v>74</v>
      </c>
      <c r="O2281" t="s">
        <v>75</v>
      </c>
      <c r="P2281" t="s">
        <v>74</v>
      </c>
      <c r="Q2281" t="s">
        <v>76</v>
      </c>
      <c r="R2281" t="s">
        <v>73</v>
      </c>
      <c r="S2281">
        <v>0</v>
      </c>
      <c r="W2281" s="20">
        <v>1.3888888888888888E-2</v>
      </c>
      <c r="X2281" t="s">
        <v>5124</v>
      </c>
      <c r="Y2281">
        <v>20</v>
      </c>
      <c r="Z2281">
        <v>0</v>
      </c>
      <c r="AA2281" t="s">
        <v>78</v>
      </c>
      <c r="AB2281">
        <v>0</v>
      </c>
      <c r="AC2281" t="s">
        <v>5125</v>
      </c>
      <c r="AD2281">
        <v>10</v>
      </c>
      <c r="AE2281">
        <v>11235873</v>
      </c>
      <c r="AF2281" t="s">
        <v>79</v>
      </c>
      <c r="AG2281" t="s">
        <v>4442</v>
      </c>
    </row>
    <row r="2282" spans="1:33" x14ac:dyDescent="0.35">
      <c r="A2282" s="18">
        <v>44265.348611111112</v>
      </c>
      <c r="B2282">
        <v>4412594</v>
      </c>
      <c r="C2282" t="s">
        <v>4915</v>
      </c>
      <c r="D2282" t="s">
        <v>900</v>
      </c>
      <c r="E2282" s="19">
        <v>42341</v>
      </c>
      <c r="F2282" t="str">
        <f>"9781681081403"</f>
        <v>9781681081403</v>
      </c>
      <c r="G2282" t="str">
        <f>"9781681081410"</f>
        <v>9781681081410</v>
      </c>
      <c r="H2282" t="s">
        <v>2135</v>
      </c>
      <c r="I2282">
        <v>616.90409999999895</v>
      </c>
      <c r="J2282" t="s">
        <v>4916</v>
      </c>
      <c r="K2282" t="s">
        <v>73</v>
      </c>
      <c r="N2282" t="s">
        <v>74</v>
      </c>
      <c r="O2282" t="s">
        <v>75</v>
      </c>
      <c r="P2282" t="s">
        <v>74</v>
      </c>
      <c r="Q2282" t="s">
        <v>76</v>
      </c>
      <c r="R2282" t="s">
        <v>73</v>
      </c>
      <c r="S2282">
        <v>0</v>
      </c>
      <c r="W2282" s="20">
        <v>4.3981481481481481E-4</v>
      </c>
      <c r="X2282" t="s">
        <v>125</v>
      </c>
      <c r="Y2282">
        <v>2</v>
      </c>
      <c r="Z2282">
        <v>0</v>
      </c>
      <c r="AA2282" t="s">
        <v>78</v>
      </c>
      <c r="AB2282">
        <v>0</v>
      </c>
      <c r="AC2282" t="s">
        <v>78</v>
      </c>
      <c r="AD2282">
        <v>0</v>
      </c>
      <c r="AE2282">
        <v>11235873</v>
      </c>
      <c r="AF2282" t="s">
        <v>79</v>
      </c>
      <c r="AG2282" t="s">
        <v>4442</v>
      </c>
    </row>
    <row r="2283" spans="1:33" x14ac:dyDescent="0.35">
      <c r="A2283" s="18">
        <v>44264.872916666667</v>
      </c>
      <c r="B2283">
        <v>1602822</v>
      </c>
      <c r="C2283" t="s">
        <v>4019</v>
      </c>
      <c r="D2283" t="s">
        <v>127</v>
      </c>
      <c r="E2283" s="19">
        <v>40890</v>
      </c>
      <c r="F2283" t="str">
        <f>"9781439897836"</f>
        <v>9781439897836</v>
      </c>
      <c r="G2283" t="str">
        <f>"9781439804452"</f>
        <v>9781439804452</v>
      </c>
      <c r="H2283" t="s">
        <v>979</v>
      </c>
      <c r="I2283" t="s">
        <v>4020</v>
      </c>
      <c r="J2283" t="s">
        <v>4021</v>
      </c>
      <c r="K2283" t="s">
        <v>73</v>
      </c>
      <c r="N2283" t="s">
        <v>74</v>
      </c>
      <c r="O2283" t="s">
        <v>75</v>
      </c>
      <c r="P2283" t="s">
        <v>74</v>
      </c>
      <c r="Q2283" t="s">
        <v>76</v>
      </c>
      <c r="R2283" t="s">
        <v>73</v>
      </c>
      <c r="S2283">
        <v>0</v>
      </c>
      <c r="W2283" s="20">
        <v>1.8171296296296297E-3</v>
      </c>
      <c r="X2283" t="s">
        <v>5126</v>
      </c>
      <c r="Y2283">
        <v>13</v>
      </c>
      <c r="Z2283">
        <v>3</v>
      </c>
      <c r="AA2283" t="s">
        <v>5127</v>
      </c>
      <c r="AB2283">
        <v>80</v>
      </c>
      <c r="AC2283" t="s">
        <v>78</v>
      </c>
      <c r="AD2283">
        <v>0</v>
      </c>
      <c r="AE2283">
        <v>11167228</v>
      </c>
      <c r="AF2283" t="s">
        <v>79</v>
      </c>
      <c r="AG2283" t="s">
        <v>333</v>
      </c>
    </row>
    <row r="2284" spans="1:33" x14ac:dyDescent="0.35">
      <c r="A2284" s="18">
        <v>44264.843055555553</v>
      </c>
      <c r="B2284">
        <v>1752821</v>
      </c>
      <c r="C2284" t="s">
        <v>5128</v>
      </c>
      <c r="D2284" t="s">
        <v>1642</v>
      </c>
      <c r="E2284" s="19">
        <v>41802</v>
      </c>
      <c r="F2284" t="str">
        <f>"9781784411817"</f>
        <v>9781784411817</v>
      </c>
      <c r="G2284" t="str">
        <f>"9781784411800"</f>
        <v>9781784411800</v>
      </c>
      <c r="H2284" t="s">
        <v>110</v>
      </c>
      <c r="I2284">
        <v>5.74</v>
      </c>
      <c r="J2284" t="s">
        <v>5129</v>
      </c>
      <c r="K2284" t="s">
        <v>73</v>
      </c>
      <c r="N2284" t="s">
        <v>74</v>
      </c>
      <c r="O2284" t="s">
        <v>75</v>
      </c>
      <c r="P2284" t="s">
        <v>74</v>
      </c>
      <c r="Q2284" t="s">
        <v>76</v>
      </c>
      <c r="R2284" t="s">
        <v>73</v>
      </c>
      <c r="S2284">
        <v>0</v>
      </c>
      <c r="W2284" s="20">
        <v>5.7870370370370378E-4</v>
      </c>
      <c r="X2284" t="s">
        <v>2347</v>
      </c>
      <c r="Y2284">
        <v>3</v>
      </c>
      <c r="Z2284">
        <v>0</v>
      </c>
      <c r="AA2284" t="s">
        <v>78</v>
      </c>
      <c r="AB2284">
        <v>0</v>
      </c>
      <c r="AC2284" t="s">
        <v>78</v>
      </c>
      <c r="AD2284">
        <v>0</v>
      </c>
      <c r="AE2284">
        <v>10900573</v>
      </c>
      <c r="AF2284" t="s">
        <v>79</v>
      </c>
      <c r="AG2284" t="s">
        <v>4442</v>
      </c>
    </row>
    <row r="2285" spans="1:33" x14ac:dyDescent="0.35">
      <c r="A2285" s="18">
        <v>44264.831944444442</v>
      </c>
      <c r="B2285">
        <v>1108578</v>
      </c>
      <c r="C2285" t="s">
        <v>5130</v>
      </c>
      <c r="D2285" t="s">
        <v>127</v>
      </c>
      <c r="E2285" s="19">
        <v>41304</v>
      </c>
      <c r="F2285" t="str">
        <f>"9781136266751"</f>
        <v>9781136266751</v>
      </c>
      <c r="G2285" t="str">
        <f>"9780415538992"</f>
        <v>9780415538992</v>
      </c>
      <c r="H2285" t="s">
        <v>4804</v>
      </c>
      <c r="I2285" t="s">
        <v>5131</v>
      </c>
      <c r="J2285" t="s">
        <v>5132</v>
      </c>
      <c r="K2285" t="s">
        <v>73</v>
      </c>
      <c r="N2285" t="s">
        <v>74</v>
      </c>
      <c r="O2285" t="s">
        <v>75</v>
      </c>
      <c r="P2285" t="s">
        <v>74</v>
      </c>
      <c r="Q2285" t="s">
        <v>76</v>
      </c>
      <c r="R2285" t="s">
        <v>73</v>
      </c>
      <c r="S2285">
        <v>0</v>
      </c>
      <c r="W2285" s="20">
        <v>2.0717592592592593E-3</v>
      </c>
      <c r="X2285" t="s">
        <v>5133</v>
      </c>
      <c r="Y2285">
        <v>9</v>
      </c>
      <c r="Z2285">
        <v>0</v>
      </c>
      <c r="AA2285" t="s">
        <v>78</v>
      </c>
      <c r="AB2285">
        <v>0</v>
      </c>
      <c r="AC2285" t="s">
        <v>78</v>
      </c>
      <c r="AD2285">
        <v>0</v>
      </c>
      <c r="AE2285">
        <v>10643553</v>
      </c>
      <c r="AF2285" t="s">
        <v>79</v>
      </c>
      <c r="AG2285" t="s">
        <v>333</v>
      </c>
    </row>
    <row r="2286" spans="1:33" x14ac:dyDescent="0.35">
      <c r="A2286" s="18">
        <v>44264.71597222222</v>
      </c>
      <c r="B2286">
        <v>1108578</v>
      </c>
      <c r="C2286" t="s">
        <v>5130</v>
      </c>
      <c r="D2286" t="s">
        <v>127</v>
      </c>
      <c r="E2286" s="19">
        <v>41304</v>
      </c>
      <c r="F2286" t="str">
        <f>"9781136266751"</f>
        <v>9781136266751</v>
      </c>
      <c r="G2286" t="str">
        <f>"9780415538992"</f>
        <v>9780415538992</v>
      </c>
      <c r="H2286" t="s">
        <v>4804</v>
      </c>
      <c r="I2286" t="s">
        <v>5131</v>
      </c>
      <c r="J2286" t="s">
        <v>5132</v>
      </c>
      <c r="K2286" t="s">
        <v>73</v>
      </c>
      <c r="N2286" t="s">
        <v>74</v>
      </c>
      <c r="O2286" t="s">
        <v>75</v>
      </c>
      <c r="P2286" t="s">
        <v>74</v>
      </c>
      <c r="Q2286" t="s">
        <v>76</v>
      </c>
      <c r="R2286" t="s">
        <v>73</v>
      </c>
      <c r="S2286">
        <v>0</v>
      </c>
      <c r="W2286" s="20">
        <v>1.0416666666666667E-4</v>
      </c>
      <c r="X2286" t="s">
        <v>125</v>
      </c>
      <c r="Y2286">
        <v>2</v>
      </c>
      <c r="Z2286">
        <v>0</v>
      </c>
      <c r="AA2286" t="s">
        <v>78</v>
      </c>
      <c r="AB2286">
        <v>0</v>
      </c>
      <c r="AC2286" t="s">
        <v>78</v>
      </c>
      <c r="AD2286">
        <v>0</v>
      </c>
      <c r="AE2286">
        <v>10643553</v>
      </c>
      <c r="AF2286" t="s">
        <v>79</v>
      </c>
      <c r="AG2286" t="s">
        <v>333</v>
      </c>
    </row>
    <row r="2287" spans="1:33" x14ac:dyDescent="0.35">
      <c r="A2287" s="18">
        <v>44264.706944444442</v>
      </c>
      <c r="B2287">
        <v>4585271</v>
      </c>
      <c r="C2287" t="s">
        <v>377</v>
      </c>
      <c r="D2287" t="s">
        <v>70</v>
      </c>
      <c r="E2287" s="19">
        <v>42583</v>
      </c>
      <c r="F2287" t="str">
        <f>"9781119179597"</f>
        <v>9781119179597</v>
      </c>
      <c r="G2287" t="str">
        <f>"9781119179573"</f>
        <v>9781119179573</v>
      </c>
      <c r="H2287" t="s">
        <v>378</v>
      </c>
      <c r="I2287">
        <v>658.4</v>
      </c>
      <c r="J2287" t="s">
        <v>379</v>
      </c>
      <c r="K2287" t="s">
        <v>73</v>
      </c>
      <c r="N2287" t="s">
        <v>74</v>
      </c>
      <c r="O2287" t="s">
        <v>75</v>
      </c>
      <c r="P2287" t="s">
        <v>74</v>
      </c>
      <c r="Q2287" t="s">
        <v>76</v>
      </c>
      <c r="R2287" t="s">
        <v>73</v>
      </c>
      <c r="S2287">
        <v>0</v>
      </c>
      <c r="W2287" s="20">
        <v>1.1689814814814816E-3</v>
      </c>
      <c r="X2287" t="s">
        <v>5134</v>
      </c>
      <c r="Y2287">
        <v>15</v>
      </c>
      <c r="Z2287">
        <v>0</v>
      </c>
      <c r="AA2287" t="s">
        <v>78</v>
      </c>
      <c r="AB2287">
        <v>0</v>
      </c>
      <c r="AC2287" t="s">
        <v>78</v>
      </c>
      <c r="AD2287">
        <v>0</v>
      </c>
      <c r="AE2287">
        <v>11234254</v>
      </c>
      <c r="AF2287" t="s">
        <v>79</v>
      </c>
      <c r="AG2287" t="s">
        <v>5135</v>
      </c>
    </row>
    <row r="2288" spans="1:33" x14ac:dyDescent="0.35">
      <c r="A2288" s="18">
        <v>44264.445138888892</v>
      </c>
      <c r="B2288">
        <v>3019121</v>
      </c>
      <c r="C2288" t="s">
        <v>4523</v>
      </c>
      <c r="D2288" t="s">
        <v>226</v>
      </c>
      <c r="E2288" s="19">
        <v>39965</v>
      </c>
      <c r="F2288" t="str">
        <f>"9781612098005"</f>
        <v>9781612098005</v>
      </c>
      <c r="G2288" t="str">
        <f>"9781607412335"</f>
        <v>9781607412335</v>
      </c>
      <c r="H2288" t="s">
        <v>876</v>
      </c>
      <c r="I2288" t="s">
        <v>4524</v>
      </c>
      <c r="J2288" t="s">
        <v>4525</v>
      </c>
      <c r="K2288" t="s">
        <v>73</v>
      </c>
      <c r="N2288" t="s">
        <v>74</v>
      </c>
      <c r="O2288" t="s">
        <v>75</v>
      </c>
      <c r="P2288" t="s">
        <v>230</v>
      </c>
      <c r="Q2288" t="s">
        <v>76</v>
      </c>
      <c r="R2288" t="s">
        <v>85</v>
      </c>
      <c r="S2288">
        <v>0</v>
      </c>
      <c r="W2288" s="20">
        <v>1.5046296296296297E-4</v>
      </c>
      <c r="X2288" t="s">
        <v>5136</v>
      </c>
      <c r="Y2288">
        <v>3</v>
      </c>
      <c r="Z2288">
        <v>1</v>
      </c>
      <c r="AA2288" t="s">
        <v>5137</v>
      </c>
      <c r="AB2288">
        <v>32</v>
      </c>
      <c r="AC2288" t="s">
        <v>78</v>
      </c>
      <c r="AD2288">
        <v>0</v>
      </c>
      <c r="AE2288">
        <v>10662928</v>
      </c>
      <c r="AF2288" t="s">
        <v>79</v>
      </c>
      <c r="AG2288" t="s">
        <v>4442</v>
      </c>
    </row>
    <row r="2289" spans="1:33" x14ac:dyDescent="0.35">
      <c r="A2289" s="18">
        <v>44264.44027777778</v>
      </c>
      <c r="B2289">
        <v>5047311</v>
      </c>
      <c r="C2289" t="s">
        <v>4991</v>
      </c>
      <c r="D2289" t="s">
        <v>4992</v>
      </c>
      <c r="E2289" s="19">
        <v>42979</v>
      </c>
      <c r="F2289" t="str">
        <f>"9781869227074"</f>
        <v>9781869227074</v>
      </c>
      <c r="G2289" t="str">
        <f>"9781869227067"</f>
        <v>9781869227067</v>
      </c>
      <c r="H2289" t="s">
        <v>143</v>
      </c>
      <c r="I2289">
        <v>658.40920000000006</v>
      </c>
      <c r="J2289" t="s">
        <v>4993</v>
      </c>
      <c r="K2289" t="s">
        <v>73</v>
      </c>
      <c r="N2289" t="s">
        <v>74</v>
      </c>
      <c r="O2289" t="s">
        <v>75</v>
      </c>
      <c r="P2289" t="s">
        <v>74</v>
      </c>
      <c r="Q2289" t="s">
        <v>76</v>
      </c>
      <c r="R2289" t="s">
        <v>73</v>
      </c>
      <c r="S2289">
        <v>0</v>
      </c>
      <c r="W2289" s="20">
        <v>8.1018518518518516E-5</v>
      </c>
      <c r="X2289" t="s">
        <v>360</v>
      </c>
      <c r="Y2289">
        <v>2</v>
      </c>
      <c r="Z2289">
        <v>0</v>
      </c>
      <c r="AA2289" t="s">
        <v>78</v>
      </c>
      <c r="AB2289">
        <v>0</v>
      </c>
      <c r="AC2289" t="s">
        <v>78</v>
      </c>
      <c r="AD2289">
        <v>0</v>
      </c>
      <c r="AE2289">
        <v>11442845</v>
      </c>
      <c r="AF2289" t="s">
        <v>79</v>
      </c>
      <c r="AG2289" t="s">
        <v>4442</v>
      </c>
    </row>
    <row r="2290" spans="1:33" x14ac:dyDescent="0.35">
      <c r="A2290" s="18">
        <v>44264.438888888886</v>
      </c>
      <c r="B2290">
        <v>5518671</v>
      </c>
      <c r="C2290" t="s">
        <v>5138</v>
      </c>
      <c r="D2290" t="s">
        <v>158</v>
      </c>
      <c r="E2290" s="19">
        <v>43362</v>
      </c>
      <c r="F2290" t="str">
        <f>"9780128026724"</f>
        <v>9780128026724</v>
      </c>
      <c r="G2290" t="str">
        <f>"9780128025796"</f>
        <v>9780128025796</v>
      </c>
      <c r="H2290" t="s">
        <v>128</v>
      </c>
      <c r="I2290">
        <v>306.44081999999997</v>
      </c>
      <c r="J2290" t="s">
        <v>5139</v>
      </c>
      <c r="K2290" t="s">
        <v>73</v>
      </c>
      <c r="N2290" t="s">
        <v>74</v>
      </c>
      <c r="O2290" t="s">
        <v>75</v>
      </c>
      <c r="P2290" t="s">
        <v>74</v>
      </c>
      <c r="Q2290" t="s">
        <v>76</v>
      </c>
      <c r="R2290" t="s">
        <v>73</v>
      </c>
      <c r="S2290">
        <v>0</v>
      </c>
      <c r="W2290" s="20">
        <v>5.9027777777777778E-4</v>
      </c>
      <c r="X2290" t="s">
        <v>5140</v>
      </c>
      <c r="Y2290">
        <v>12</v>
      </c>
      <c r="Z2290">
        <v>0</v>
      </c>
      <c r="AA2290" t="s">
        <v>78</v>
      </c>
      <c r="AB2290">
        <v>0</v>
      </c>
      <c r="AC2290" t="s">
        <v>78</v>
      </c>
      <c r="AD2290">
        <v>0</v>
      </c>
      <c r="AE2290">
        <v>-1</v>
      </c>
      <c r="AF2290" t="s">
        <v>79</v>
      </c>
      <c r="AG2290" t="s">
        <v>4442</v>
      </c>
    </row>
    <row r="2291" spans="1:33" x14ac:dyDescent="0.35">
      <c r="A2291" s="18">
        <v>44264.40625</v>
      </c>
      <c r="B2291">
        <v>1390902</v>
      </c>
      <c r="C2291" t="s">
        <v>5141</v>
      </c>
      <c r="D2291" t="s">
        <v>3412</v>
      </c>
      <c r="E2291" s="19">
        <v>41696</v>
      </c>
      <c r="F2291" t="str">
        <f>"9780814433423"</f>
        <v>9780814433423</v>
      </c>
      <c r="G2291" t="str">
        <f>"9780814433416"</f>
        <v>9780814433416</v>
      </c>
      <c r="H2291" t="s">
        <v>143</v>
      </c>
      <c r="I2291" t="s">
        <v>4904</v>
      </c>
      <c r="J2291" t="s">
        <v>5142</v>
      </c>
      <c r="K2291" t="s">
        <v>73</v>
      </c>
      <c r="N2291" t="s">
        <v>74</v>
      </c>
      <c r="O2291" t="s">
        <v>75</v>
      </c>
      <c r="P2291" t="s">
        <v>74</v>
      </c>
      <c r="Q2291" t="s">
        <v>76</v>
      </c>
      <c r="R2291" t="s">
        <v>73</v>
      </c>
      <c r="S2291">
        <v>0</v>
      </c>
      <c r="W2291" s="20">
        <v>3.6921296296296298E-3</v>
      </c>
      <c r="X2291" t="s">
        <v>5143</v>
      </c>
      <c r="Y2291">
        <v>36</v>
      </c>
      <c r="Z2291">
        <v>0</v>
      </c>
      <c r="AA2291" t="s">
        <v>78</v>
      </c>
      <c r="AB2291">
        <v>0</v>
      </c>
      <c r="AC2291" t="s">
        <v>78</v>
      </c>
      <c r="AD2291">
        <v>0</v>
      </c>
      <c r="AE2291">
        <v>10821817</v>
      </c>
      <c r="AF2291" t="s">
        <v>79</v>
      </c>
      <c r="AG2291" t="s">
        <v>4442</v>
      </c>
    </row>
    <row r="2292" spans="1:33" x14ac:dyDescent="0.35">
      <c r="A2292" s="18">
        <v>44264.395833333336</v>
      </c>
      <c r="B2292">
        <v>5047311</v>
      </c>
      <c r="C2292" t="s">
        <v>4991</v>
      </c>
      <c r="D2292" t="s">
        <v>4992</v>
      </c>
      <c r="E2292" s="19">
        <v>42979</v>
      </c>
      <c r="F2292" t="str">
        <f>"9781869227074"</f>
        <v>9781869227074</v>
      </c>
      <c r="G2292" t="str">
        <f>"9781869227067"</f>
        <v>9781869227067</v>
      </c>
      <c r="H2292" t="s">
        <v>143</v>
      </c>
      <c r="I2292">
        <v>658.40920000000006</v>
      </c>
      <c r="J2292" t="s">
        <v>4993</v>
      </c>
      <c r="K2292" t="s">
        <v>73</v>
      </c>
      <c r="N2292" t="s">
        <v>74</v>
      </c>
      <c r="O2292" t="s">
        <v>75</v>
      </c>
      <c r="P2292" t="s">
        <v>74</v>
      </c>
      <c r="Q2292" t="s">
        <v>76</v>
      </c>
      <c r="R2292" t="s">
        <v>73</v>
      </c>
      <c r="S2292">
        <v>0</v>
      </c>
      <c r="W2292" s="20">
        <v>1.4351851851851854E-3</v>
      </c>
      <c r="X2292" t="s">
        <v>5144</v>
      </c>
      <c r="Y2292">
        <v>13</v>
      </c>
      <c r="Z2292">
        <v>0</v>
      </c>
      <c r="AA2292" t="s">
        <v>78</v>
      </c>
      <c r="AB2292">
        <v>0</v>
      </c>
      <c r="AC2292" t="s">
        <v>78</v>
      </c>
      <c r="AD2292">
        <v>0</v>
      </c>
      <c r="AE2292">
        <v>11442845</v>
      </c>
      <c r="AF2292" t="s">
        <v>79</v>
      </c>
      <c r="AG2292" t="s">
        <v>4442</v>
      </c>
    </row>
    <row r="2293" spans="1:33" x14ac:dyDescent="0.35">
      <c r="A2293" s="18">
        <v>44264.395833333336</v>
      </c>
      <c r="B2293">
        <v>5518671</v>
      </c>
      <c r="C2293" t="s">
        <v>5138</v>
      </c>
      <c r="D2293" t="s">
        <v>158</v>
      </c>
      <c r="E2293" s="19">
        <v>43362</v>
      </c>
      <c r="F2293" t="str">
        <f>"9780128026724"</f>
        <v>9780128026724</v>
      </c>
      <c r="G2293" t="str">
        <f>"9780128025796"</f>
        <v>9780128025796</v>
      </c>
      <c r="H2293" t="s">
        <v>128</v>
      </c>
      <c r="I2293">
        <v>306.44081999999997</v>
      </c>
      <c r="J2293" t="s">
        <v>5139</v>
      </c>
      <c r="K2293" t="s">
        <v>73</v>
      </c>
      <c r="N2293" t="s">
        <v>74</v>
      </c>
      <c r="O2293" t="s">
        <v>75</v>
      </c>
      <c r="P2293" t="s">
        <v>74</v>
      </c>
      <c r="Q2293" t="s">
        <v>76</v>
      </c>
      <c r="R2293" t="s">
        <v>73</v>
      </c>
      <c r="S2293">
        <v>0</v>
      </c>
      <c r="W2293" s="20">
        <v>2.199074074074074E-4</v>
      </c>
      <c r="X2293" t="s">
        <v>360</v>
      </c>
      <c r="Y2293">
        <v>2</v>
      </c>
      <c r="Z2293">
        <v>0</v>
      </c>
      <c r="AA2293" t="s">
        <v>78</v>
      </c>
      <c r="AB2293">
        <v>0</v>
      </c>
      <c r="AC2293" t="s">
        <v>78</v>
      </c>
      <c r="AD2293">
        <v>0</v>
      </c>
      <c r="AE2293">
        <v>-1</v>
      </c>
      <c r="AF2293" t="s">
        <v>79</v>
      </c>
      <c r="AG2293" t="s">
        <v>4442</v>
      </c>
    </row>
    <row r="2294" spans="1:33" x14ac:dyDescent="0.35">
      <c r="A2294" s="18">
        <v>44264.395138888889</v>
      </c>
      <c r="B2294">
        <v>2079965</v>
      </c>
      <c r="C2294" t="s">
        <v>4732</v>
      </c>
      <c r="D2294" t="s">
        <v>158</v>
      </c>
      <c r="E2294" s="19">
        <v>42223</v>
      </c>
      <c r="F2294" t="str">
        <f>"9780128002315"</f>
        <v>9780128002315</v>
      </c>
      <c r="G2294" t="str">
        <f>"9780128000373"</f>
        <v>9780128000373</v>
      </c>
      <c r="H2294" t="s">
        <v>128</v>
      </c>
      <c r="I2294">
        <v>363.25</v>
      </c>
      <c r="J2294" t="s">
        <v>4733</v>
      </c>
      <c r="K2294" t="s">
        <v>73</v>
      </c>
      <c r="N2294" t="s">
        <v>74</v>
      </c>
      <c r="O2294" t="s">
        <v>75</v>
      </c>
      <c r="P2294" t="s">
        <v>74</v>
      </c>
      <c r="Q2294" t="s">
        <v>76</v>
      </c>
      <c r="R2294" t="s">
        <v>73</v>
      </c>
      <c r="S2294">
        <v>0</v>
      </c>
      <c r="W2294" s="20">
        <v>4.6296296296296294E-5</v>
      </c>
      <c r="X2294" t="s">
        <v>132</v>
      </c>
      <c r="Y2294">
        <v>1</v>
      </c>
      <c r="Z2294">
        <v>0</v>
      </c>
      <c r="AA2294" t="s">
        <v>78</v>
      </c>
      <c r="AB2294">
        <v>0</v>
      </c>
      <c r="AC2294" t="s">
        <v>78</v>
      </c>
      <c r="AD2294">
        <v>0</v>
      </c>
      <c r="AE2294">
        <v>11071289</v>
      </c>
      <c r="AF2294" t="s">
        <v>79</v>
      </c>
      <c r="AG2294" t="s">
        <v>5145</v>
      </c>
    </row>
    <row r="2295" spans="1:33" x14ac:dyDescent="0.35">
      <c r="A2295" s="18">
        <v>44264.072916666664</v>
      </c>
      <c r="B2295">
        <v>1895831</v>
      </c>
      <c r="C2295" t="s">
        <v>4996</v>
      </c>
      <c r="D2295" t="s">
        <v>70</v>
      </c>
      <c r="E2295" s="19">
        <v>42107</v>
      </c>
      <c r="F2295" t="str">
        <f>"9781118968161"</f>
        <v>9781118968161</v>
      </c>
      <c r="G2295" t="str">
        <f>"9781118968154"</f>
        <v>9781118968154</v>
      </c>
      <c r="H2295" t="s">
        <v>143</v>
      </c>
      <c r="I2295" t="s">
        <v>4904</v>
      </c>
      <c r="J2295" t="s">
        <v>4997</v>
      </c>
      <c r="K2295" t="s">
        <v>73</v>
      </c>
      <c r="N2295" t="s">
        <v>74</v>
      </c>
      <c r="O2295" t="s">
        <v>75</v>
      </c>
      <c r="P2295" t="s">
        <v>74</v>
      </c>
      <c r="Q2295" t="s">
        <v>76</v>
      </c>
      <c r="R2295" t="s">
        <v>73</v>
      </c>
      <c r="S2295">
        <v>0</v>
      </c>
      <c r="W2295" s="20">
        <v>5.5439814814814822E-3</v>
      </c>
      <c r="X2295" t="s">
        <v>5146</v>
      </c>
      <c r="Y2295">
        <v>30</v>
      </c>
      <c r="Z2295">
        <v>0</v>
      </c>
      <c r="AA2295" t="s">
        <v>78</v>
      </c>
      <c r="AB2295">
        <v>0</v>
      </c>
      <c r="AC2295" t="s">
        <v>78</v>
      </c>
      <c r="AD2295">
        <v>0</v>
      </c>
      <c r="AE2295">
        <v>11041460</v>
      </c>
      <c r="AF2295" t="s">
        <v>79</v>
      </c>
      <c r="AG2295" t="s">
        <v>4442</v>
      </c>
    </row>
    <row r="2296" spans="1:33" x14ac:dyDescent="0.35">
      <c r="A2296" s="18">
        <v>44264.064583333333</v>
      </c>
      <c r="B2296">
        <v>1830135</v>
      </c>
      <c r="C2296" t="s">
        <v>5147</v>
      </c>
      <c r="D2296" t="s">
        <v>70</v>
      </c>
      <c r="E2296" s="19">
        <v>41960</v>
      </c>
      <c r="F2296" t="str">
        <f>"9781119003960"</f>
        <v>9781119003960</v>
      </c>
      <c r="G2296" t="str">
        <f>"9781119003953"</f>
        <v>9781119003953</v>
      </c>
      <c r="H2296" t="s">
        <v>143</v>
      </c>
      <c r="I2296">
        <v>658.40920000000006</v>
      </c>
      <c r="J2296" t="s">
        <v>5148</v>
      </c>
      <c r="K2296" t="s">
        <v>73</v>
      </c>
      <c r="N2296" t="s">
        <v>74</v>
      </c>
      <c r="O2296" t="s">
        <v>75</v>
      </c>
      <c r="P2296" t="s">
        <v>74</v>
      </c>
      <c r="Q2296" t="s">
        <v>76</v>
      </c>
      <c r="R2296" t="s">
        <v>73</v>
      </c>
      <c r="S2296">
        <v>0</v>
      </c>
      <c r="W2296" s="20">
        <v>5.7523148148148143E-3</v>
      </c>
      <c r="X2296" t="s">
        <v>5149</v>
      </c>
      <c r="Y2296">
        <v>29</v>
      </c>
      <c r="Z2296">
        <v>0</v>
      </c>
      <c r="AA2296" t="s">
        <v>78</v>
      </c>
      <c r="AB2296">
        <v>0</v>
      </c>
      <c r="AC2296" t="s">
        <v>78</v>
      </c>
      <c r="AD2296">
        <v>0</v>
      </c>
      <c r="AE2296">
        <v>10963351</v>
      </c>
      <c r="AF2296" t="s">
        <v>79</v>
      </c>
      <c r="AG2296" t="s">
        <v>4442</v>
      </c>
    </row>
    <row r="2297" spans="1:33" x14ac:dyDescent="0.35">
      <c r="A2297" s="18">
        <v>44263.931944444441</v>
      </c>
      <c r="B2297">
        <v>1108578</v>
      </c>
      <c r="C2297" t="s">
        <v>5130</v>
      </c>
      <c r="D2297" t="s">
        <v>127</v>
      </c>
      <c r="E2297" s="19">
        <v>41304</v>
      </c>
      <c r="F2297" t="str">
        <f>"9781136266751"</f>
        <v>9781136266751</v>
      </c>
      <c r="G2297" t="str">
        <f>"9780415538992"</f>
        <v>9780415538992</v>
      </c>
      <c r="H2297" t="s">
        <v>4804</v>
      </c>
      <c r="I2297" t="s">
        <v>5131</v>
      </c>
      <c r="J2297" t="s">
        <v>5132</v>
      </c>
      <c r="K2297" t="s">
        <v>73</v>
      </c>
      <c r="N2297" t="s">
        <v>74</v>
      </c>
      <c r="O2297" t="s">
        <v>75</v>
      </c>
      <c r="P2297" t="s">
        <v>74</v>
      </c>
      <c r="Q2297" t="s">
        <v>76</v>
      </c>
      <c r="R2297" t="s">
        <v>73</v>
      </c>
      <c r="S2297">
        <v>0</v>
      </c>
      <c r="W2297" s="20">
        <v>2.4305555555555552E-4</v>
      </c>
      <c r="X2297" t="s">
        <v>5150</v>
      </c>
      <c r="Y2297">
        <v>7</v>
      </c>
      <c r="Z2297">
        <v>0</v>
      </c>
      <c r="AA2297" t="s">
        <v>78</v>
      </c>
      <c r="AB2297">
        <v>0</v>
      </c>
      <c r="AC2297" t="s">
        <v>78</v>
      </c>
      <c r="AD2297">
        <v>0</v>
      </c>
      <c r="AE2297">
        <v>10643553</v>
      </c>
      <c r="AF2297" t="s">
        <v>79</v>
      </c>
      <c r="AG2297" t="s">
        <v>333</v>
      </c>
    </row>
    <row r="2298" spans="1:33" x14ac:dyDescent="0.35">
      <c r="A2298" s="18">
        <v>44263.917361111111</v>
      </c>
      <c r="B2298">
        <v>4353526</v>
      </c>
      <c r="C2298" t="s">
        <v>5151</v>
      </c>
      <c r="D2298" t="s">
        <v>3024</v>
      </c>
      <c r="E2298" s="19">
        <v>42418</v>
      </c>
      <c r="F2298" t="str">
        <f>"9780833092663"</f>
        <v>9780833092663</v>
      </c>
      <c r="G2298" t="str">
        <f>"9780833092038"</f>
        <v>9780833092038</v>
      </c>
      <c r="H2298" t="s">
        <v>461</v>
      </c>
      <c r="I2298">
        <v>359.9</v>
      </c>
      <c r="J2298" t="s">
        <v>5152</v>
      </c>
      <c r="K2298" t="s">
        <v>73</v>
      </c>
      <c r="N2298" t="s">
        <v>74</v>
      </c>
      <c r="O2298" t="s">
        <v>75</v>
      </c>
      <c r="P2298" t="s">
        <v>230</v>
      </c>
      <c r="Q2298" t="s">
        <v>76</v>
      </c>
      <c r="R2298" t="s">
        <v>85</v>
      </c>
      <c r="S2298">
        <v>0</v>
      </c>
      <c r="W2298" s="20">
        <v>1.1574074074074073E-4</v>
      </c>
      <c r="X2298" t="s">
        <v>5153</v>
      </c>
      <c r="Y2298">
        <v>2</v>
      </c>
      <c r="Z2298">
        <v>0</v>
      </c>
      <c r="AA2298" t="s">
        <v>78</v>
      </c>
      <c r="AB2298">
        <v>0</v>
      </c>
      <c r="AC2298" t="s">
        <v>78</v>
      </c>
      <c r="AD2298">
        <v>0</v>
      </c>
      <c r="AE2298">
        <v>11150384</v>
      </c>
      <c r="AF2298" t="s">
        <v>79</v>
      </c>
      <c r="AG2298" t="s">
        <v>5154</v>
      </c>
    </row>
    <row r="2299" spans="1:33" x14ac:dyDescent="0.35">
      <c r="A2299" s="18">
        <v>44263.907638888886</v>
      </c>
      <c r="B2299">
        <v>4412594</v>
      </c>
      <c r="C2299" t="s">
        <v>4915</v>
      </c>
      <c r="D2299" t="s">
        <v>900</v>
      </c>
      <c r="E2299" s="19">
        <v>42341</v>
      </c>
      <c r="F2299" t="str">
        <f>"9781681081403"</f>
        <v>9781681081403</v>
      </c>
      <c r="G2299" t="str">
        <f>"9781681081410"</f>
        <v>9781681081410</v>
      </c>
      <c r="H2299" t="s">
        <v>2135</v>
      </c>
      <c r="I2299">
        <v>616.90409999999895</v>
      </c>
      <c r="J2299" t="s">
        <v>4916</v>
      </c>
      <c r="K2299" t="s">
        <v>73</v>
      </c>
      <c r="N2299" t="s">
        <v>74</v>
      </c>
      <c r="O2299" t="s">
        <v>75</v>
      </c>
      <c r="P2299" t="s">
        <v>74</v>
      </c>
      <c r="Q2299" t="s">
        <v>76</v>
      </c>
      <c r="R2299" t="s">
        <v>73</v>
      </c>
      <c r="S2299">
        <v>0</v>
      </c>
      <c r="W2299" s="20">
        <v>1.1574074074074073E-3</v>
      </c>
      <c r="X2299" t="s">
        <v>5155</v>
      </c>
      <c r="Y2299">
        <v>8</v>
      </c>
      <c r="Z2299">
        <v>0</v>
      </c>
      <c r="AA2299" t="s">
        <v>78</v>
      </c>
      <c r="AB2299">
        <v>0</v>
      </c>
      <c r="AC2299" t="s">
        <v>5156</v>
      </c>
      <c r="AD2299">
        <v>3</v>
      </c>
      <c r="AE2299">
        <v>11235873</v>
      </c>
      <c r="AF2299" t="s">
        <v>88</v>
      </c>
      <c r="AG2299" t="s">
        <v>4442</v>
      </c>
    </row>
    <row r="2300" spans="1:33" x14ac:dyDescent="0.35">
      <c r="A2300" s="18">
        <v>44263.904166666667</v>
      </c>
      <c r="B2300">
        <v>4412594</v>
      </c>
      <c r="C2300" t="s">
        <v>4915</v>
      </c>
      <c r="D2300" t="s">
        <v>900</v>
      </c>
      <c r="E2300" s="19">
        <v>42341</v>
      </c>
      <c r="F2300" t="str">
        <f>"9781681081403"</f>
        <v>9781681081403</v>
      </c>
      <c r="G2300" t="str">
        <f>"9781681081410"</f>
        <v>9781681081410</v>
      </c>
      <c r="H2300" t="s">
        <v>2135</v>
      </c>
      <c r="I2300">
        <v>616.90409999999895</v>
      </c>
      <c r="J2300" t="s">
        <v>4916</v>
      </c>
      <c r="K2300" t="s">
        <v>73</v>
      </c>
      <c r="N2300" t="s">
        <v>74</v>
      </c>
      <c r="O2300" t="s">
        <v>75</v>
      </c>
      <c r="P2300" t="s">
        <v>74</v>
      </c>
      <c r="Q2300" t="s">
        <v>76</v>
      </c>
      <c r="R2300" t="s">
        <v>73</v>
      </c>
      <c r="S2300">
        <v>0</v>
      </c>
      <c r="W2300" s="20">
        <v>2.0833333333333333E-3</v>
      </c>
      <c r="X2300" t="s">
        <v>5157</v>
      </c>
      <c r="Y2300">
        <v>16</v>
      </c>
      <c r="Z2300">
        <v>2</v>
      </c>
      <c r="AA2300" t="s">
        <v>5158</v>
      </c>
      <c r="AB2300">
        <v>8</v>
      </c>
      <c r="AC2300" t="s">
        <v>78</v>
      </c>
      <c r="AD2300">
        <v>0</v>
      </c>
      <c r="AE2300">
        <v>11235873</v>
      </c>
      <c r="AF2300" t="s">
        <v>79</v>
      </c>
      <c r="AG2300" t="s">
        <v>4442</v>
      </c>
    </row>
    <row r="2301" spans="1:33" x14ac:dyDescent="0.35">
      <c r="A2301" s="18">
        <v>44263.87777777778</v>
      </c>
      <c r="B2301">
        <v>4412594</v>
      </c>
      <c r="C2301" t="s">
        <v>4915</v>
      </c>
      <c r="D2301" t="s">
        <v>900</v>
      </c>
      <c r="E2301" s="19">
        <v>42341</v>
      </c>
      <c r="F2301" t="str">
        <f>"9781681081403"</f>
        <v>9781681081403</v>
      </c>
      <c r="G2301" t="str">
        <f>"9781681081410"</f>
        <v>9781681081410</v>
      </c>
      <c r="H2301" t="s">
        <v>2135</v>
      </c>
      <c r="I2301">
        <v>616.90409999999895</v>
      </c>
      <c r="J2301" t="s">
        <v>4916</v>
      </c>
      <c r="K2301" t="s">
        <v>73</v>
      </c>
      <c r="N2301" t="s">
        <v>74</v>
      </c>
      <c r="O2301" t="s">
        <v>75</v>
      </c>
      <c r="P2301" t="s">
        <v>74</v>
      </c>
      <c r="Q2301" t="s">
        <v>76</v>
      </c>
      <c r="R2301" t="s">
        <v>73</v>
      </c>
      <c r="S2301">
        <v>0</v>
      </c>
      <c r="W2301" s="20">
        <v>6.9444444444444444E-5</v>
      </c>
      <c r="X2301" t="s">
        <v>132</v>
      </c>
      <c r="Y2301">
        <v>1</v>
      </c>
      <c r="Z2301">
        <v>0</v>
      </c>
      <c r="AA2301" t="s">
        <v>78</v>
      </c>
      <c r="AB2301">
        <v>0</v>
      </c>
      <c r="AC2301" t="s">
        <v>78</v>
      </c>
      <c r="AD2301">
        <v>0</v>
      </c>
      <c r="AE2301">
        <v>11235873</v>
      </c>
      <c r="AF2301" t="s">
        <v>79</v>
      </c>
      <c r="AG2301" t="s">
        <v>4442</v>
      </c>
    </row>
    <row r="2302" spans="1:33" x14ac:dyDescent="0.35">
      <c r="A2302" s="18">
        <v>44263.811805555553</v>
      </c>
      <c r="B2302">
        <v>3116743</v>
      </c>
      <c r="C2302" t="s">
        <v>4917</v>
      </c>
      <c r="D2302" t="s">
        <v>2393</v>
      </c>
      <c r="E2302" s="19">
        <v>40148</v>
      </c>
      <c r="F2302" t="str">
        <f>"9781613001110"</f>
        <v>9781613001110</v>
      </c>
      <c r="G2302" t="str">
        <f>"9781583217801"</f>
        <v>9781583217801</v>
      </c>
      <c r="H2302" t="s">
        <v>374</v>
      </c>
      <c r="I2302" t="s">
        <v>443</v>
      </c>
      <c r="J2302" t="s">
        <v>4918</v>
      </c>
      <c r="K2302" t="s">
        <v>73</v>
      </c>
      <c r="N2302" t="s">
        <v>74</v>
      </c>
      <c r="O2302" t="s">
        <v>75</v>
      </c>
      <c r="P2302" t="s">
        <v>74</v>
      </c>
      <c r="Q2302" t="s">
        <v>76</v>
      </c>
      <c r="R2302" t="s">
        <v>73</v>
      </c>
      <c r="S2302">
        <v>0</v>
      </c>
      <c r="W2302" s="20">
        <v>5.7870370370370366E-5</v>
      </c>
      <c r="X2302" t="s">
        <v>132</v>
      </c>
      <c r="Y2302">
        <v>1</v>
      </c>
      <c r="Z2302">
        <v>0</v>
      </c>
      <c r="AA2302" t="s">
        <v>78</v>
      </c>
      <c r="AB2302">
        <v>0</v>
      </c>
      <c r="AC2302" t="s">
        <v>78</v>
      </c>
      <c r="AD2302">
        <v>0</v>
      </c>
      <c r="AE2302">
        <v>10533523</v>
      </c>
      <c r="AF2302" t="s">
        <v>79</v>
      </c>
      <c r="AG2302" t="s">
        <v>4442</v>
      </c>
    </row>
    <row r="2303" spans="1:33" x14ac:dyDescent="0.35">
      <c r="A2303" s="18">
        <v>44263.759027777778</v>
      </c>
      <c r="B2303">
        <v>5047311</v>
      </c>
      <c r="C2303" t="s">
        <v>4991</v>
      </c>
      <c r="D2303" t="s">
        <v>4992</v>
      </c>
      <c r="E2303" s="19">
        <v>42979</v>
      </c>
      <c r="F2303" t="str">
        <f>"9781869227074"</f>
        <v>9781869227074</v>
      </c>
      <c r="G2303" t="str">
        <f>"9781869227067"</f>
        <v>9781869227067</v>
      </c>
      <c r="H2303" t="s">
        <v>143</v>
      </c>
      <c r="I2303">
        <v>658.40920000000006</v>
      </c>
      <c r="J2303" t="s">
        <v>4993</v>
      </c>
      <c r="K2303" t="s">
        <v>73</v>
      </c>
      <c r="N2303" t="s">
        <v>74</v>
      </c>
      <c r="O2303" t="s">
        <v>75</v>
      </c>
      <c r="P2303" t="s">
        <v>74</v>
      </c>
      <c r="Q2303" t="s">
        <v>76</v>
      </c>
      <c r="R2303" t="s">
        <v>73</v>
      </c>
      <c r="S2303">
        <v>0</v>
      </c>
      <c r="W2303" s="20">
        <v>2.5231481481481481E-3</v>
      </c>
      <c r="X2303" t="s">
        <v>5159</v>
      </c>
      <c r="Y2303">
        <v>26</v>
      </c>
      <c r="Z2303">
        <v>0</v>
      </c>
      <c r="AA2303" t="s">
        <v>78</v>
      </c>
      <c r="AB2303">
        <v>0</v>
      </c>
      <c r="AC2303" t="s">
        <v>5160</v>
      </c>
      <c r="AD2303">
        <v>1</v>
      </c>
      <c r="AE2303">
        <v>11442845</v>
      </c>
      <c r="AF2303" t="s">
        <v>79</v>
      </c>
      <c r="AG2303" t="s">
        <v>5123</v>
      </c>
    </row>
    <row r="2304" spans="1:33" x14ac:dyDescent="0.35">
      <c r="A2304" s="18">
        <v>44263.693749999999</v>
      </c>
      <c r="B2304">
        <v>1830135</v>
      </c>
      <c r="C2304" t="s">
        <v>5147</v>
      </c>
      <c r="D2304" t="s">
        <v>70</v>
      </c>
      <c r="E2304" s="19">
        <v>41960</v>
      </c>
      <c r="F2304" t="str">
        <f>"9781119003960"</f>
        <v>9781119003960</v>
      </c>
      <c r="G2304" t="str">
        <f>"9781119003953"</f>
        <v>9781119003953</v>
      </c>
      <c r="H2304" t="s">
        <v>143</v>
      </c>
      <c r="I2304">
        <v>658.40920000000006</v>
      </c>
      <c r="J2304" t="s">
        <v>5148</v>
      </c>
      <c r="K2304" t="s">
        <v>73</v>
      </c>
      <c r="N2304" t="s">
        <v>74</v>
      </c>
      <c r="O2304" t="s">
        <v>75</v>
      </c>
      <c r="P2304" t="s">
        <v>74</v>
      </c>
      <c r="Q2304" t="s">
        <v>76</v>
      </c>
      <c r="R2304" t="s">
        <v>73</v>
      </c>
      <c r="S2304">
        <v>0</v>
      </c>
      <c r="W2304" s="20">
        <v>1.1562499999999998E-2</v>
      </c>
      <c r="X2304" t="s">
        <v>5161</v>
      </c>
      <c r="Y2304">
        <v>8</v>
      </c>
      <c r="Z2304">
        <v>0</v>
      </c>
      <c r="AA2304" t="s">
        <v>78</v>
      </c>
      <c r="AB2304">
        <v>0</v>
      </c>
      <c r="AC2304" t="s">
        <v>78</v>
      </c>
      <c r="AD2304">
        <v>0</v>
      </c>
      <c r="AE2304">
        <v>10963351</v>
      </c>
      <c r="AF2304" t="s">
        <v>79</v>
      </c>
      <c r="AG2304" t="s">
        <v>4442</v>
      </c>
    </row>
    <row r="2305" spans="1:33" x14ac:dyDescent="0.35">
      <c r="A2305" s="18">
        <v>44263.693749999999</v>
      </c>
      <c r="B2305">
        <v>1390902</v>
      </c>
      <c r="C2305" t="s">
        <v>5141</v>
      </c>
      <c r="D2305" t="s">
        <v>3412</v>
      </c>
      <c r="E2305" s="19">
        <v>41696</v>
      </c>
      <c r="F2305" t="str">
        <f>"9780814433423"</f>
        <v>9780814433423</v>
      </c>
      <c r="G2305" t="str">
        <f>"9780814433416"</f>
        <v>9780814433416</v>
      </c>
      <c r="H2305" t="s">
        <v>143</v>
      </c>
      <c r="I2305" t="s">
        <v>4904</v>
      </c>
      <c r="J2305" t="s">
        <v>5142</v>
      </c>
      <c r="K2305" t="s">
        <v>73</v>
      </c>
      <c r="N2305" t="s">
        <v>74</v>
      </c>
      <c r="O2305" t="s">
        <v>75</v>
      </c>
      <c r="P2305" t="s">
        <v>74</v>
      </c>
      <c r="Q2305" t="s">
        <v>76</v>
      </c>
      <c r="R2305" t="s">
        <v>73</v>
      </c>
      <c r="S2305">
        <v>0</v>
      </c>
      <c r="W2305" s="20">
        <v>6.018518518518519E-4</v>
      </c>
      <c r="X2305" t="s">
        <v>5162</v>
      </c>
      <c r="Y2305">
        <v>10</v>
      </c>
      <c r="Z2305">
        <v>0</v>
      </c>
      <c r="AA2305" t="s">
        <v>78</v>
      </c>
      <c r="AB2305">
        <v>0</v>
      </c>
      <c r="AC2305" t="s">
        <v>5163</v>
      </c>
      <c r="AD2305">
        <v>1</v>
      </c>
      <c r="AE2305">
        <v>10821817</v>
      </c>
      <c r="AF2305" t="s">
        <v>79</v>
      </c>
      <c r="AG2305" t="s">
        <v>5123</v>
      </c>
    </row>
    <row r="2306" spans="1:33" x14ac:dyDescent="0.35">
      <c r="A2306" s="18">
        <v>44263.688194444447</v>
      </c>
      <c r="B2306">
        <v>1830135</v>
      </c>
      <c r="C2306" t="s">
        <v>5147</v>
      </c>
      <c r="D2306" t="s">
        <v>70</v>
      </c>
      <c r="E2306" s="19">
        <v>41960</v>
      </c>
      <c r="F2306" t="str">
        <f>"9781119003960"</f>
        <v>9781119003960</v>
      </c>
      <c r="G2306" t="str">
        <f>"9781119003953"</f>
        <v>9781119003953</v>
      </c>
      <c r="H2306" t="s">
        <v>143</v>
      </c>
      <c r="I2306">
        <v>658.40920000000006</v>
      </c>
      <c r="J2306" t="s">
        <v>5148</v>
      </c>
      <c r="K2306" t="s">
        <v>73</v>
      </c>
      <c r="N2306" t="s">
        <v>74</v>
      </c>
      <c r="O2306" t="s">
        <v>75</v>
      </c>
      <c r="P2306" t="s">
        <v>74</v>
      </c>
      <c r="Q2306" t="s">
        <v>76</v>
      </c>
      <c r="R2306" t="s">
        <v>73</v>
      </c>
      <c r="S2306">
        <v>0</v>
      </c>
      <c r="W2306" s="20">
        <v>4.3981481481481481E-4</v>
      </c>
      <c r="X2306" t="s">
        <v>5164</v>
      </c>
      <c r="Y2306">
        <v>9</v>
      </c>
      <c r="Z2306">
        <v>0</v>
      </c>
      <c r="AA2306" t="s">
        <v>78</v>
      </c>
      <c r="AB2306">
        <v>0</v>
      </c>
      <c r="AC2306" t="s">
        <v>244</v>
      </c>
      <c r="AD2306">
        <v>1</v>
      </c>
      <c r="AE2306">
        <v>10963351</v>
      </c>
      <c r="AF2306" t="s">
        <v>79</v>
      </c>
      <c r="AG2306" t="s">
        <v>5123</v>
      </c>
    </row>
    <row r="2307" spans="1:33" x14ac:dyDescent="0.35">
      <c r="A2307" s="18">
        <v>44263.68472222222</v>
      </c>
      <c r="B2307">
        <v>4585271</v>
      </c>
      <c r="C2307" t="s">
        <v>377</v>
      </c>
      <c r="D2307" t="s">
        <v>70</v>
      </c>
      <c r="E2307" s="19">
        <v>42583</v>
      </c>
      <c r="F2307" t="str">
        <f>"9781119179597"</f>
        <v>9781119179597</v>
      </c>
      <c r="G2307" t="str">
        <f>"9781119179573"</f>
        <v>9781119179573</v>
      </c>
      <c r="H2307" t="s">
        <v>378</v>
      </c>
      <c r="I2307">
        <v>658.4</v>
      </c>
      <c r="J2307" t="s">
        <v>379</v>
      </c>
      <c r="K2307" t="s">
        <v>73</v>
      </c>
      <c r="N2307" t="s">
        <v>74</v>
      </c>
      <c r="O2307" t="s">
        <v>75</v>
      </c>
      <c r="P2307" t="s">
        <v>74</v>
      </c>
      <c r="Q2307" t="s">
        <v>76</v>
      </c>
      <c r="R2307" t="s">
        <v>73</v>
      </c>
      <c r="S2307">
        <v>0</v>
      </c>
      <c r="W2307" s="20">
        <v>1.0416666666666667E-4</v>
      </c>
      <c r="X2307" t="s">
        <v>132</v>
      </c>
      <c r="Y2307">
        <v>1</v>
      </c>
      <c r="Z2307">
        <v>0</v>
      </c>
      <c r="AA2307" t="s">
        <v>78</v>
      </c>
      <c r="AB2307">
        <v>0</v>
      </c>
      <c r="AC2307" t="s">
        <v>78</v>
      </c>
      <c r="AD2307">
        <v>0</v>
      </c>
      <c r="AE2307">
        <v>11234254</v>
      </c>
      <c r="AF2307" t="s">
        <v>79</v>
      </c>
      <c r="AG2307" t="s">
        <v>4442</v>
      </c>
    </row>
    <row r="2308" spans="1:33" x14ac:dyDescent="0.35">
      <c r="A2308" s="18">
        <v>44263.68472222222</v>
      </c>
      <c r="B2308">
        <v>1895831</v>
      </c>
      <c r="C2308" t="s">
        <v>4996</v>
      </c>
      <c r="D2308" t="s">
        <v>70</v>
      </c>
      <c r="E2308" s="19">
        <v>42107</v>
      </c>
      <c r="F2308" t="str">
        <f>"9781118968161"</f>
        <v>9781118968161</v>
      </c>
      <c r="G2308" t="str">
        <f>"9781118968154"</f>
        <v>9781118968154</v>
      </c>
      <c r="H2308" t="s">
        <v>143</v>
      </c>
      <c r="I2308" t="s">
        <v>4904</v>
      </c>
      <c r="J2308" t="s">
        <v>4997</v>
      </c>
      <c r="K2308" t="s">
        <v>73</v>
      </c>
      <c r="N2308" t="s">
        <v>74</v>
      </c>
      <c r="O2308" t="s">
        <v>75</v>
      </c>
      <c r="P2308" t="s">
        <v>74</v>
      </c>
      <c r="Q2308" t="s">
        <v>76</v>
      </c>
      <c r="R2308" t="s">
        <v>73</v>
      </c>
      <c r="S2308">
        <v>0</v>
      </c>
      <c r="W2308" s="20">
        <v>2.5462962962962961E-4</v>
      </c>
      <c r="X2308" t="s">
        <v>5165</v>
      </c>
      <c r="Y2308">
        <v>4</v>
      </c>
      <c r="Z2308">
        <v>0</v>
      </c>
      <c r="AA2308" t="s">
        <v>78</v>
      </c>
      <c r="AB2308">
        <v>0</v>
      </c>
      <c r="AC2308" t="s">
        <v>78</v>
      </c>
      <c r="AD2308">
        <v>0</v>
      </c>
      <c r="AE2308">
        <v>11041460</v>
      </c>
      <c r="AF2308" t="s">
        <v>79</v>
      </c>
      <c r="AG2308" t="s">
        <v>5123</v>
      </c>
    </row>
    <row r="2309" spans="1:33" x14ac:dyDescent="0.35">
      <c r="A2309" s="18">
        <v>44263.640277777777</v>
      </c>
      <c r="B2309">
        <v>4829166</v>
      </c>
      <c r="C2309" t="s">
        <v>4004</v>
      </c>
      <c r="D2309" t="s">
        <v>70</v>
      </c>
      <c r="E2309" s="19">
        <v>42835</v>
      </c>
      <c r="F2309" t="str">
        <f>"9781119219835"</f>
        <v>9781119219835</v>
      </c>
      <c r="G2309" t="str">
        <f>"9781119219811"</f>
        <v>9781119219811</v>
      </c>
      <c r="H2309" t="s">
        <v>724</v>
      </c>
      <c r="I2309" t="s">
        <v>4005</v>
      </c>
      <c r="J2309" t="s">
        <v>4006</v>
      </c>
      <c r="K2309" t="s">
        <v>73</v>
      </c>
      <c r="N2309" t="s">
        <v>74</v>
      </c>
      <c r="O2309" t="s">
        <v>75</v>
      </c>
      <c r="P2309" t="s">
        <v>74</v>
      </c>
      <c r="Q2309" t="s">
        <v>76</v>
      </c>
      <c r="R2309" t="s">
        <v>73</v>
      </c>
      <c r="S2309">
        <v>0</v>
      </c>
      <c r="W2309" s="20">
        <v>6.7245370370370367E-3</v>
      </c>
      <c r="X2309" t="s">
        <v>5166</v>
      </c>
      <c r="Y2309">
        <v>38</v>
      </c>
      <c r="Z2309">
        <v>0</v>
      </c>
      <c r="AA2309" t="s">
        <v>78</v>
      </c>
      <c r="AB2309">
        <v>0</v>
      </c>
      <c r="AC2309" t="s">
        <v>78</v>
      </c>
      <c r="AD2309">
        <v>0</v>
      </c>
      <c r="AE2309">
        <v>11365259</v>
      </c>
      <c r="AF2309" t="s">
        <v>79</v>
      </c>
      <c r="AG2309" t="s">
        <v>4375</v>
      </c>
    </row>
    <row r="2310" spans="1:33" x14ac:dyDescent="0.35">
      <c r="A2310" s="18">
        <v>44263.603472222225</v>
      </c>
      <c r="B2310">
        <v>5518671</v>
      </c>
      <c r="C2310" t="s">
        <v>5138</v>
      </c>
      <c r="D2310" t="s">
        <v>158</v>
      </c>
      <c r="E2310" s="19">
        <v>43362</v>
      </c>
      <c r="F2310" t="str">
        <f>"9780128026724"</f>
        <v>9780128026724</v>
      </c>
      <c r="G2310" t="str">
        <f>"9780128025796"</f>
        <v>9780128025796</v>
      </c>
      <c r="H2310" t="s">
        <v>128</v>
      </c>
      <c r="I2310">
        <v>306.44081999999997</v>
      </c>
      <c r="J2310" t="s">
        <v>5139</v>
      </c>
      <c r="K2310" t="s">
        <v>73</v>
      </c>
      <c r="N2310" t="s">
        <v>74</v>
      </c>
      <c r="O2310" t="s">
        <v>75</v>
      </c>
      <c r="P2310" t="s">
        <v>74</v>
      </c>
      <c r="Q2310" t="s">
        <v>76</v>
      </c>
      <c r="R2310" t="s">
        <v>73</v>
      </c>
      <c r="S2310">
        <v>0</v>
      </c>
      <c r="W2310" s="20">
        <v>8.1018518518518516E-5</v>
      </c>
      <c r="X2310" t="s">
        <v>360</v>
      </c>
      <c r="Y2310">
        <v>2</v>
      </c>
      <c r="Z2310">
        <v>0</v>
      </c>
      <c r="AA2310" t="s">
        <v>78</v>
      </c>
      <c r="AB2310">
        <v>0</v>
      </c>
      <c r="AC2310" t="s">
        <v>78</v>
      </c>
      <c r="AD2310">
        <v>0</v>
      </c>
      <c r="AE2310">
        <v>-1</v>
      </c>
      <c r="AF2310" t="s">
        <v>79</v>
      </c>
      <c r="AG2310" t="s">
        <v>4442</v>
      </c>
    </row>
    <row r="2311" spans="1:33" x14ac:dyDescent="0.35">
      <c r="A2311" s="18">
        <v>44263.543055555558</v>
      </c>
      <c r="B2311">
        <v>5518671</v>
      </c>
      <c r="C2311" t="s">
        <v>5138</v>
      </c>
      <c r="D2311" t="s">
        <v>158</v>
      </c>
      <c r="E2311" s="19">
        <v>43362</v>
      </c>
      <c r="F2311" t="str">
        <f>"9780128026724"</f>
        <v>9780128026724</v>
      </c>
      <c r="G2311" t="str">
        <f>"9780128025796"</f>
        <v>9780128025796</v>
      </c>
      <c r="H2311" t="s">
        <v>128</v>
      </c>
      <c r="I2311">
        <v>306.44081999999997</v>
      </c>
      <c r="J2311" t="s">
        <v>5139</v>
      </c>
      <c r="K2311" t="s">
        <v>73</v>
      </c>
      <c r="N2311" t="s">
        <v>74</v>
      </c>
      <c r="O2311" t="s">
        <v>75</v>
      </c>
      <c r="P2311" t="s">
        <v>74</v>
      </c>
      <c r="Q2311" t="s">
        <v>76</v>
      </c>
      <c r="R2311" t="s">
        <v>73</v>
      </c>
      <c r="S2311">
        <v>0</v>
      </c>
      <c r="W2311" s="20">
        <v>2.2129629629629628E-2</v>
      </c>
      <c r="X2311" t="s">
        <v>5167</v>
      </c>
      <c r="Y2311">
        <v>10</v>
      </c>
      <c r="Z2311">
        <v>0</v>
      </c>
      <c r="AA2311" t="s">
        <v>78</v>
      </c>
      <c r="AB2311">
        <v>0</v>
      </c>
      <c r="AC2311" t="s">
        <v>78</v>
      </c>
      <c r="AD2311">
        <v>0</v>
      </c>
      <c r="AE2311">
        <v>-1</v>
      </c>
      <c r="AF2311" t="s">
        <v>79</v>
      </c>
      <c r="AG2311" t="s">
        <v>4442</v>
      </c>
    </row>
    <row r="2312" spans="1:33" x14ac:dyDescent="0.35">
      <c r="A2312" s="18">
        <v>44263.541666666664</v>
      </c>
      <c r="B2312">
        <v>5047311</v>
      </c>
      <c r="C2312" t="s">
        <v>4991</v>
      </c>
      <c r="D2312" t="s">
        <v>4992</v>
      </c>
      <c r="E2312" s="19">
        <v>42979</v>
      </c>
      <c r="F2312" t="str">
        <f>"9781869227074"</f>
        <v>9781869227074</v>
      </c>
      <c r="G2312" t="str">
        <f>"9781869227067"</f>
        <v>9781869227067</v>
      </c>
      <c r="H2312" t="s">
        <v>143</v>
      </c>
      <c r="I2312">
        <v>658.40920000000006</v>
      </c>
      <c r="J2312" t="s">
        <v>4993</v>
      </c>
      <c r="K2312" t="s">
        <v>73</v>
      </c>
      <c r="N2312" t="s">
        <v>74</v>
      </c>
      <c r="O2312" t="s">
        <v>75</v>
      </c>
      <c r="P2312" t="s">
        <v>74</v>
      </c>
      <c r="Q2312" t="s">
        <v>76</v>
      </c>
      <c r="R2312" t="s">
        <v>73</v>
      </c>
      <c r="S2312">
        <v>0</v>
      </c>
      <c r="W2312" s="20">
        <v>8.7962962962962962E-4</v>
      </c>
      <c r="X2312" t="s">
        <v>5168</v>
      </c>
      <c r="Y2312">
        <v>4</v>
      </c>
      <c r="Z2312">
        <v>0</v>
      </c>
      <c r="AA2312" t="s">
        <v>78</v>
      </c>
      <c r="AB2312">
        <v>0</v>
      </c>
      <c r="AC2312" t="s">
        <v>78</v>
      </c>
      <c r="AD2312">
        <v>0</v>
      </c>
      <c r="AE2312">
        <v>11442845</v>
      </c>
      <c r="AF2312" t="s">
        <v>79</v>
      </c>
      <c r="AG2312" t="s">
        <v>4442</v>
      </c>
    </row>
    <row r="2313" spans="1:33" x14ac:dyDescent="0.35">
      <c r="A2313" s="18">
        <v>44263.540972222225</v>
      </c>
      <c r="B2313">
        <v>2079965</v>
      </c>
      <c r="C2313" t="s">
        <v>4732</v>
      </c>
      <c r="D2313" t="s">
        <v>158</v>
      </c>
      <c r="E2313" s="19">
        <v>42223</v>
      </c>
      <c r="F2313" t="str">
        <f>"9780128002315"</f>
        <v>9780128002315</v>
      </c>
      <c r="G2313" t="str">
        <f>"9780128000373"</f>
        <v>9780128000373</v>
      </c>
      <c r="H2313" t="s">
        <v>128</v>
      </c>
      <c r="I2313">
        <v>363.25</v>
      </c>
      <c r="J2313" t="s">
        <v>4733</v>
      </c>
      <c r="K2313" t="s">
        <v>73</v>
      </c>
      <c r="N2313" t="s">
        <v>74</v>
      </c>
      <c r="O2313" t="s">
        <v>75</v>
      </c>
      <c r="P2313" t="s">
        <v>74</v>
      </c>
      <c r="Q2313" t="s">
        <v>76</v>
      </c>
      <c r="R2313" t="s">
        <v>73</v>
      </c>
      <c r="S2313">
        <v>0</v>
      </c>
      <c r="W2313" s="20">
        <v>2.5925925925925925E-3</v>
      </c>
      <c r="X2313" t="s">
        <v>5169</v>
      </c>
      <c r="Y2313">
        <v>43</v>
      </c>
      <c r="Z2313">
        <v>1</v>
      </c>
      <c r="AA2313" t="s">
        <v>5170</v>
      </c>
      <c r="AB2313">
        <v>28</v>
      </c>
      <c r="AC2313" t="s">
        <v>78</v>
      </c>
      <c r="AD2313">
        <v>0</v>
      </c>
      <c r="AE2313">
        <v>11071289</v>
      </c>
      <c r="AF2313" t="s">
        <v>79</v>
      </c>
      <c r="AG2313" t="s">
        <v>5145</v>
      </c>
    </row>
    <row r="2314" spans="1:33" x14ac:dyDescent="0.35">
      <c r="A2314" s="18">
        <v>44263.493055555555</v>
      </c>
      <c r="B2314">
        <v>1895831</v>
      </c>
      <c r="C2314" t="s">
        <v>4996</v>
      </c>
      <c r="D2314" t="s">
        <v>70</v>
      </c>
      <c r="E2314" s="19">
        <v>42107</v>
      </c>
      <c r="F2314" t="str">
        <f>"9781118968161"</f>
        <v>9781118968161</v>
      </c>
      <c r="G2314" t="str">
        <f>"9781118968154"</f>
        <v>9781118968154</v>
      </c>
      <c r="H2314" t="s">
        <v>143</v>
      </c>
      <c r="I2314" t="s">
        <v>4904</v>
      </c>
      <c r="J2314" t="s">
        <v>4997</v>
      </c>
      <c r="K2314" t="s">
        <v>73</v>
      </c>
      <c r="N2314" t="s">
        <v>74</v>
      </c>
      <c r="O2314" t="s">
        <v>75</v>
      </c>
      <c r="P2314" t="s">
        <v>74</v>
      </c>
      <c r="Q2314" t="s">
        <v>76</v>
      </c>
      <c r="R2314" t="s">
        <v>73</v>
      </c>
      <c r="S2314">
        <v>0</v>
      </c>
      <c r="W2314" s="20">
        <v>9.9537037037037042E-3</v>
      </c>
      <c r="X2314" t="s">
        <v>5171</v>
      </c>
      <c r="Y2314">
        <v>21</v>
      </c>
      <c r="Z2314">
        <v>0</v>
      </c>
      <c r="AA2314" t="s">
        <v>78</v>
      </c>
      <c r="AB2314">
        <v>0</v>
      </c>
      <c r="AC2314" t="s">
        <v>78</v>
      </c>
      <c r="AD2314">
        <v>0</v>
      </c>
      <c r="AE2314">
        <v>11041460</v>
      </c>
      <c r="AF2314" t="s">
        <v>79</v>
      </c>
      <c r="AG2314" t="s">
        <v>5123</v>
      </c>
    </row>
    <row r="2315" spans="1:33" x14ac:dyDescent="0.35">
      <c r="A2315" s="18">
        <v>44263.490972222222</v>
      </c>
      <c r="B2315">
        <v>564285</v>
      </c>
      <c r="C2315" t="s">
        <v>5172</v>
      </c>
      <c r="D2315" t="s">
        <v>1240</v>
      </c>
      <c r="E2315" s="19">
        <v>40092</v>
      </c>
      <c r="F2315" t="str">
        <f>"9781855395060"</f>
        <v>9781855395060</v>
      </c>
      <c r="G2315" t="str">
        <f>"9781855394704"</f>
        <v>9781855394704</v>
      </c>
      <c r="H2315" t="s">
        <v>1179</v>
      </c>
      <c r="I2315">
        <v>372.12</v>
      </c>
      <c r="J2315" t="s">
        <v>5173</v>
      </c>
      <c r="K2315" t="s">
        <v>73</v>
      </c>
      <c r="N2315" t="s">
        <v>74</v>
      </c>
      <c r="O2315" t="s">
        <v>75</v>
      </c>
      <c r="P2315" t="s">
        <v>74</v>
      </c>
      <c r="Q2315" t="s">
        <v>76</v>
      </c>
      <c r="R2315" t="s">
        <v>73</v>
      </c>
      <c r="S2315">
        <v>0</v>
      </c>
      <c r="W2315" s="20">
        <v>1.5046296296296294E-3</v>
      </c>
      <c r="X2315" t="s">
        <v>5174</v>
      </c>
      <c r="Y2315">
        <v>12</v>
      </c>
      <c r="Z2315">
        <v>0</v>
      </c>
      <c r="AA2315" t="s">
        <v>78</v>
      </c>
      <c r="AB2315">
        <v>0</v>
      </c>
      <c r="AC2315" t="s">
        <v>4871</v>
      </c>
      <c r="AD2315">
        <v>1</v>
      </c>
      <c r="AE2315">
        <v>10427049</v>
      </c>
      <c r="AF2315" t="s">
        <v>79</v>
      </c>
      <c r="AG2315" t="s">
        <v>5123</v>
      </c>
    </row>
    <row r="2316" spans="1:33" x14ac:dyDescent="0.35">
      <c r="A2316" s="18">
        <v>44263.490277777775</v>
      </c>
      <c r="B2316">
        <v>564285</v>
      </c>
      <c r="C2316" t="s">
        <v>5172</v>
      </c>
      <c r="D2316" t="s">
        <v>1240</v>
      </c>
      <c r="E2316" s="19">
        <v>40092</v>
      </c>
      <c r="F2316" t="str">
        <f>"9781855395060"</f>
        <v>9781855395060</v>
      </c>
      <c r="G2316" t="str">
        <f>"9781855394704"</f>
        <v>9781855394704</v>
      </c>
      <c r="H2316" t="s">
        <v>1179</v>
      </c>
      <c r="I2316">
        <v>372.12</v>
      </c>
      <c r="J2316" t="s">
        <v>5173</v>
      </c>
      <c r="K2316" t="s">
        <v>73</v>
      </c>
      <c r="N2316" t="s">
        <v>74</v>
      </c>
      <c r="O2316" t="s">
        <v>75</v>
      </c>
      <c r="P2316" t="s">
        <v>74</v>
      </c>
      <c r="Q2316" t="s">
        <v>76</v>
      </c>
      <c r="R2316" t="s">
        <v>73</v>
      </c>
      <c r="S2316">
        <v>0</v>
      </c>
      <c r="W2316" s="20">
        <v>0</v>
      </c>
      <c r="X2316" t="s">
        <v>78</v>
      </c>
      <c r="Y2316">
        <v>0</v>
      </c>
      <c r="Z2316">
        <v>0</v>
      </c>
      <c r="AA2316" t="s">
        <v>78</v>
      </c>
      <c r="AB2316">
        <v>0</v>
      </c>
      <c r="AC2316" t="s">
        <v>78</v>
      </c>
      <c r="AD2316">
        <v>0</v>
      </c>
      <c r="AE2316">
        <v>10427049</v>
      </c>
      <c r="AF2316" t="s">
        <v>79</v>
      </c>
      <c r="AG2316" t="s">
        <v>5123</v>
      </c>
    </row>
    <row r="2317" spans="1:33" x14ac:dyDescent="0.35">
      <c r="A2317" s="18">
        <v>44263.46597222222</v>
      </c>
      <c r="B2317">
        <v>3035374</v>
      </c>
      <c r="C2317" t="s">
        <v>3351</v>
      </c>
      <c r="D2317" t="s">
        <v>978</v>
      </c>
      <c r="E2317" s="19">
        <v>36647</v>
      </c>
      <c r="F2317" t="str">
        <f>"9780306468568"</f>
        <v>9780306468568</v>
      </c>
      <c r="G2317" t="str">
        <f>"9780306462429"</f>
        <v>9780306462429</v>
      </c>
      <c r="H2317" t="s">
        <v>848</v>
      </c>
      <c r="I2317">
        <v>547</v>
      </c>
      <c r="J2317" t="s">
        <v>1350</v>
      </c>
      <c r="K2317" t="s">
        <v>73</v>
      </c>
      <c r="N2317" t="s">
        <v>74</v>
      </c>
      <c r="O2317" t="s">
        <v>75</v>
      </c>
      <c r="P2317" t="s">
        <v>74</v>
      </c>
      <c r="Q2317" t="s">
        <v>76</v>
      </c>
      <c r="R2317" t="s">
        <v>73</v>
      </c>
      <c r="S2317">
        <v>0</v>
      </c>
      <c r="W2317" s="20">
        <v>3.4490740740740745E-3</v>
      </c>
      <c r="X2317" t="s">
        <v>5175</v>
      </c>
      <c r="Y2317">
        <v>43</v>
      </c>
      <c r="Z2317">
        <v>0</v>
      </c>
      <c r="AA2317" t="s">
        <v>78</v>
      </c>
      <c r="AB2317">
        <v>0</v>
      </c>
      <c r="AC2317" t="s">
        <v>78</v>
      </c>
      <c r="AD2317">
        <v>0</v>
      </c>
      <c r="AE2317">
        <v>10046999</v>
      </c>
      <c r="AF2317" t="s">
        <v>79</v>
      </c>
      <c r="AG2317" t="s">
        <v>4442</v>
      </c>
    </row>
    <row r="2318" spans="1:33" x14ac:dyDescent="0.35">
      <c r="A2318" s="18">
        <v>44263.444444444445</v>
      </c>
      <c r="B2318">
        <v>4533877</v>
      </c>
      <c r="C2318" t="s">
        <v>5176</v>
      </c>
      <c r="D2318" t="s">
        <v>390</v>
      </c>
      <c r="E2318" s="19">
        <v>42485</v>
      </c>
      <c r="F2318" t="str">
        <f>"9783035607383"</f>
        <v>9783035607383</v>
      </c>
      <c r="G2318" t="str">
        <f>"9783035609196"</f>
        <v>9783035609196</v>
      </c>
      <c r="H2318" t="s">
        <v>5177</v>
      </c>
      <c r="I2318">
        <v>745.2</v>
      </c>
      <c r="J2318" t="s">
        <v>5178</v>
      </c>
      <c r="K2318" t="s">
        <v>73</v>
      </c>
      <c r="N2318" t="s">
        <v>74</v>
      </c>
      <c r="O2318" t="s">
        <v>75</v>
      </c>
      <c r="P2318" t="s">
        <v>74</v>
      </c>
      <c r="Q2318" t="s">
        <v>76</v>
      </c>
      <c r="R2318" t="s">
        <v>73</v>
      </c>
      <c r="S2318">
        <v>0</v>
      </c>
      <c r="W2318" s="20">
        <v>2.2800925925925927E-3</v>
      </c>
      <c r="X2318" t="s">
        <v>5179</v>
      </c>
      <c r="Y2318">
        <v>6</v>
      </c>
      <c r="Z2318">
        <v>1</v>
      </c>
      <c r="AA2318" t="s">
        <v>5180</v>
      </c>
      <c r="AB2318">
        <v>6</v>
      </c>
      <c r="AC2318" t="s">
        <v>78</v>
      </c>
      <c r="AD2318">
        <v>0</v>
      </c>
      <c r="AE2318">
        <v>11214964</v>
      </c>
      <c r="AF2318" t="s">
        <v>79</v>
      </c>
      <c r="AG2318" t="s">
        <v>5181</v>
      </c>
    </row>
    <row r="2319" spans="1:33" x14ac:dyDescent="0.35">
      <c r="A2319" s="18">
        <v>44263.440972222219</v>
      </c>
      <c r="B2319">
        <v>1800888</v>
      </c>
      <c r="C2319" t="s">
        <v>5182</v>
      </c>
      <c r="D2319" t="s">
        <v>70</v>
      </c>
      <c r="E2319" s="19">
        <v>41960</v>
      </c>
      <c r="F2319" t="str">
        <f>"9781119043966"</f>
        <v>9781119043966</v>
      </c>
      <c r="G2319" t="str">
        <f>"9781848217584"</f>
        <v>9781848217584</v>
      </c>
      <c r="H2319" t="s">
        <v>110</v>
      </c>
      <c r="I2319">
        <v>5.8</v>
      </c>
      <c r="J2319" t="s">
        <v>5183</v>
      </c>
      <c r="K2319" t="s">
        <v>73</v>
      </c>
      <c r="N2319" t="s">
        <v>74</v>
      </c>
      <c r="O2319" t="s">
        <v>75</v>
      </c>
      <c r="P2319" t="s">
        <v>74</v>
      </c>
      <c r="Q2319" t="s">
        <v>76</v>
      </c>
      <c r="R2319" t="s">
        <v>73</v>
      </c>
      <c r="S2319">
        <v>0</v>
      </c>
      <c r="W2319" s="20">
        <v>4.6296296296296294E-5</v>
      </c>
      <c r="X2319" t="s">
        <v>132</v>
      </c>
      <c r="Y2319">
        <v>1</v>
      </c>
      <c r="Z2319">
        <v>0</v>
      </c>
      <c r="AA2319" t="s">
        <v>78</v>
      </c>
      <c r="AB2319">
        <v>0</v>
      </c>
      <c r="AC2319" t="s">
        <v>78</v>
      </c>
      <c r="AD2319">
        <v>0</v>
      </c>
      <c r="AE2319">
        <v>10945002</v>
      </c>
      <c r="AF2319" t="s">
        <v>79</v>
      </c>
      <c r="AG2319" t="s">
        <v>4442</v>
      </c>
    </row>
    <row r="2320" spans="1:33" x14ac:dyDescent="0.35">
      <c r="A2320" s="18">
        <v>44263.115277777775</v>
      </c>
      <c r="B2320">
        <v>294304</v>
      </c>
      <c r="C2320" t="s">
        <v>4455</v>
      </c>
      <c r="D2320" t="s">
        <v>158</v>
      </c>
      <c r="E2320" s="19">
        <v>39176</v>
      </c>
      <c r="F2320" t="str">
        <f>"9780080479958"</f>
        <v>9780080479958</v>
      </c>
      <c r="G2320" t="str">
        <f>"9780750682701"</f>
        <v>9780750682701</v>
      </c>
      <c r="H2320" t="s">
        <v>4456</v>
      </c>
      <c r="I2320">
        <v>665.5</v>
      </c>
      <c r="J2320" t="s">
        <v>4457</v>
      </c>
      <c r="K2320" t="s">
        <v>73</v>
      </c>
      <c r="N2320" t="s">
        <v>74</v>
      </c>
      <c r="O2320" t="s">
        <v>75</v>
      </c>
      <c r="P2320" t="s">
        <v>74</v>
      </c>
      <c r="Q2320" t="s">
        <v>76</v>
      </c>
      <c r="R2320" t="s">
        <v>73</v>
      </c>
      <c r="S2320">
        <v>0</v>
      </c>
      <c r="W2320" s="20">
        <v>7.5578703703703702E-3</v>
      </c>
      <c r="X2320" t="s">
        <v>5184</v>
      </c>
      <c r="Y2320">
        <v>42</v>
      </c>
      <c r="Z2320">
        <v>0</v>
      </c>
      <c r="AA2320" t="s">
        <v>78</v>
      </c>
      <c r="AB2320">
        <v>0</v>
      </c>
      <c r="AC2320" t="s">
        <v>78</v>
      </c>
      <c r="AD2320">
        <v>0</v>
      </c>
      <c r="AE2320">
        <v>10186217</v>
      </c>
      <c r="AF2320" t="s">
        <v>88</v>
      </c>
      <c r="AG2320" t="s">
        <v>1330</v>
      </c>
    </row>
    <row r="2321" spans="1:33" x14ac:dyDescent="0.35">
      <c r="A2321" s="18">
        <v>44263.103472222225</v>
      </c>
      <c r="B2321">
        <v>4804260</v>
      </c>
      <c r="C2321" t="s">
        <v>4452</v>
      </c>
      <c r="D2321" t="s">
        <v>158</v>
      </c>
      <c r="E2321" s="19">
        <v>42811</v>
      </c>
      <c r="F2321" t="str">
        <f>"9780128096123"</f>
        <v>9780128096123</v>
      </c>
      <c r="G2321" t="str">
        <f>"9780128093740"</f>
        <v>9780128093740</v>
      </c>
      <c r="H2321" t="s">
        <v>3067</v>
      </c>
      <c r="I2321">
        <v>665.5</v>
      </c>
      <c r="J2321" t="s">
        <v>4453</v>
      </c>
      <c r="K2321" t="s">
        <v>73</v>
      </c>
      <c r="N2321" t="s">
        <v>74</v>
      </c>
      <c r="O2321" t="s">
        <v>75</v>
      </c>
      <c r="P2321" t="s">
        <v>74</v>
      </c>
      <c r="Q2321" t="s">
        <v>76</v>
      </c>
      <c r="R2321" t="s">
        <v>73</v>
      </c>
      <c r="S2321">
        <v>0</v>
      </c>
      <c r="W2321" s="20">
        <v>1.087962962962963E-2</v>
      </c>
      <c r="X2321" t="s">
        <v>5185</v>
      </c>
      <c r="Y2321">
        <v>13</v>
      </c>
      <c r="Z2321">
        <v>0</v>
      </c>
      <c r="AA2321" t="s">
        <v>78</v>
      </c>
      <c r="AB2321">
        <v>0</v>
      </c>
      <c r="AC2321" t="s">
        <v>78</v>
      </c>
      <c r="AD2321">
        <v>0</v>
      </c>
      <c r="AE2321">
        <v>11344799</v>
      </c>
      <c r="AF2321" t="s">
        <v>88</v>
      </c>
      <c r="AG2321" t="s">
        <v>1330</v>
      </c>
    </row>
    <row r="2322" spans="1:33" x14ac:dyDescent="0.35">
      <c r="A2322" s="18">
        <v>44262.963888888888</v>
      </c>
      <c r="B2322">
        <v>1332527</v>
      </c>
      <c r="C2322" t="s">
        <v>4058</v>
      </c>
      <c r="D2322" t="s">
        <v>70</v>
      </c>
      <c r="E2322" s="19">
        <v>41498</v>
      </c>
      <c r="F2322" t="str">
        <f>"9781118720882"</f>
        <v>9781118720882</v>
      </c>
      <c r="G2322" t="str">
        <f>"9781118692288"</f>
        <v>9781118692288</v>
      </c>
      <c r="H2322" t="s">
        <v>143</v>
      </c>
      <c r="I2322">
        <v>658.11</v>
      </c>
      <c r="J2322" t="s">
        <v>4059</v>
      </c>
      <c r="K2322" t="s">
        <v>73</v>
      </c>
      <c r="N2322" t="s">
        <v>74</v>
      </c>
      <c r="O2322" t="s">
        <v>75</v>
      </c>
      <c r="P2322" t="s">
        <v>74</v>
      </c>
      <c r="Q2322" t="s">
        <v>76</v>
      </c>
      <c r="R2322" t="s">
        <v>73</v>
      </c>
      <c r="S2322">
        <v>0</v>
      </c>
      <c r="W2322" s="20">
        <v>2.0833333333333335E-4</v>
      </c>
      <c r="X2322" t="s">
        <v>1492</v>
      </c>
      <c r="Y2322">
        <v>2</v>
      </c>
      <c r="Z2322">
        <v>1</v>
      </c>
      <c r="AA2322" t="s">
        <v>1428</v>
      </c>
      <c r="AB2322">
        <v>6</v>
      </c>
      <c r="AC2322" t="s">
        <v>78</v>
      </c>
      <c r="AD2322">
        <v>0</v>
      </c>
      <c r="AE2322">
        <v>10740434</v>
      </c>
      <c r="AF2322" t="s">
        <v>88</v>
      </c>
      <c r="AG2322" t="s">
        <v>333</v>
      </c>
    </row>
    <row r="2323" spans="1:33" x14ac:dyDescent="0.35">
      <c r="A2323" s="18">
        <v>44262.962500000001</v>
      </c>
      <c r="B2323">
        <v>4812122</v>
      </c>
      <c r="C2323" t="s">
        <v>3920</v>
      </c>
      <c r="D2323" t="s">
        <v>300</v>
      </c>
      <c r="E2323" s="19">
        <v>42783</v>
      </c>
      <c r="F2323" t="str">
        <f>"9780262336680"</f>
        <v>9780262336680</v>
      </c>
      <c r="G2323" t="str">
        <f>"9780262035354"</f>
        <v>9780262035354</v>
      </c>
      <c r="H2323" t="s">
        <v>143</v>
      </c>
      <c r="I2323">
        <v>658.40629999999999</v>
      </c>
      <c r="J2323" t="s">
        <v>3921</v>
      </c>
      <c r="K2323" t="s">
        <v>85</v>
      </c>
      <c r="N2323" t="s">
        <v>86</v>
      </c>
      <c r="P2323" t="s">
        <v>87</v>
      </c>
      <c r="Q2323" t="s">
        <v>76</v>
      </c>
      <c r="R2323" t="s">
        <v>73</v>
      </c>
      <c r="S2323">
        <v>1</v>
      </c>
      <c r="T2323">
        <v>90</v>
      </c>
      <c r="U2323" s="18">
        <v>44262.962500000001</v>
      </c>
      <c r="V2323" s="18">
        <v>44352.962500000001</v>
      </c>
      <c r="W2323" s="20">
        <v>0</v>
      </c>
      <c r="X2323" t="s">
        <v>78</v>
      </c>
      <c r="Y2323">
        <v>0</v>
      </c>
      <c r="Z2323">
        <v>0</v>
      </c>
      <c r="AA2323" t="s">
        <v>78</v>
      </c>
      <c r="AB2323">
        <v>0</v>
      </c>
      <c r="AC2323" t="s">
        <v>78</v>
      </c>
      <c r="AD2323">
        <v>0</v>
      </c>
      <c r="AE2323">
        <v>11351826</v>
      </c>
      <c r="AF2323" t="s">
        <v>88</v>
      </c>
      <c r="AG2323" t="s">
        <v>333</v>
      </c>
    </row>
    <row r="2324" spans="1:33" x14ac:dyDescent="0.35">
      <c r="A2324" s="18">
        <v>44262.831944444442</v>
      </c>
      <c r="B2324">
        <v>4585271</v>
      </c>
      <c r="C2324" t="s">
        <v>377</v>
      </c>
      <c r="D2324" t="s">
        <v>70</v>
      </c>
      <c r="E2324" s="19">
        <v>42583</v>
      </c>
      <c r="F2324" t="str">
        <f>"9781119179597"</f>
        <v>9781119179597</v>
      </c>
      <c r="G2324" t="str">
        <f>"9781119179573"</f>
        <v>9781119179573</v>
      </c>
      <c r="H2324" t="s">
        <v>378</v>
      </c>
      <c r="I2324">
        <v>658.4</v>
      </c>
      <c r="J2324" t="s">
        <v>379</v>
      </c>
      <c r="K2324" t="s">
        <v>73</v>
      </c>
      <c r="N2324" t="s">
        <v>74</v>
      </c>
      <c r="O2324" t="s">
        <v>75</v>
      </c>
      <c r="P2324" t="s">
        <v>74</v>
      </c>
      <c r="Q2324" t="s">
        <v>76</v>
      </c>
      <c r="R2324" t="s">
        <v>73</v>
      </c>
      <c r="S2324">
        <v>0</v>
      </c>
      <c r="W2324" s="20">
        <v>1.5046296296296294E-3</v>
      </c>
      <c r="X2324" t="s">
        <v>5186</v>
      </c>
      <c r="Y2324">
        <v>21</v>
      </c>
      <c r="Z2324">
        <v>0</v>
      </c>
      <c r="AA2324" t="s">
        <v>78</v>
      </c>
      <c r="AB2324">
        <v>0</v>
      </c>
      <c r="AC2324" t="s">
        <v>5187</v>
      </c>
      <c r="AD2324">
        <v>1</v>
      </c>
      <c r="AE2324">
        <v>11234254</v>
      </c>
      <c r="AF2324" t="s">
        <v>79</v>
      </c>
      <c r="AG2324" t="s">
        <v>4442</v>
      </c>
    </row>
    <row r="2325" spans="1:33" x14ac:dyDescent="0.35">
      <c r="A2325" s="18">
        <v>44262.814583333333</v>
      </c>
      <c r="B2325">
        <v>1173081</v>
      </c>
      <c r="C2325" t="s">
        <v>3999</v>
      </c>
      <c r="D2325" t="s">
        <v>70</v>
      </c>
      <c r="E2325" s="19">
        <v>41393</v>
      </c>
      <c r="F2325" t="str">
        <f>"9781118417591"</f>
        <v>9781118417591</v>
      </c>
      <c r="G2325" t="str">
        <f>"9781118394106"</f>
        <v>9781118394106</v>
      </c>
      <c r="H2325" t="s">
        <v>143</v>
      </c>
      <c r="I2325" t="s">
        <v>4000</v>
      </c>
      <c r="J2325" t="s">
        <v>4001</v>
      </c>
      <c r="K2325" t="s">
        <v>73</v>
      </c>
      <c r="N2325" t="s">
        <v>74</v>
      </c>
      <c r="O2325" t="s">
        <v>75</v>
      </c>
      <c r="P2325" t="s">
        <v>74</v>
      </c>
      <c r="Q2325" t="s">
        <v>76</v>
      </c>
      <c r="R2325" t="s">
        <v>73</v>
      </c>
      <c r="S2325">
        <v>0</v>
      </c>
      <c r="W2325" s="20">
        <v>4.4560185185185189E-3</v>
      </c>
      <c r="X2325" t="s">
        <v>360</v>
      </c>
      <c r="Y2325">
        <v>2</v>
      </c>
      <c r="Z2325">
        <v>0</v>
      </c>
      <c r="AA2325" t="s">
        <v>78</v>
      </c>
      <c r="AB2325">
        <v>0</v>
      </c>
      <c r="AC2325" t="s">
        <v>78</v>
      </c>
      <c r="AD2325">
        <v>0</v>
      </c>
      <c r="AE2325">
        <v>10691459</v>
      </c>
      <c r="AF2325" t="s">
        <v>79</v>
      </c>
      <c r="AG2325" t="s">
        <v>4850</v>
      </c>
    </row>
    <row r="2326" spans="1:33" x14ac:dyDescent="0.35">
      <c r="A2326" s="18">
        <v>44262.814583333333</v>
      </c>
      <c r="B2326">
        <v>200407</v>
      </c>
      <c r="C2326" t="s">
        <v>4936</v>
      </c>
      <c r="D2326" t="s">
        <v>127</v>
      </c>
      <c r="E2326" s="19">
        <v>38344</v>
      </c>
      <c r="F2326" t="str">
        <f>"9780203589397"</f>
        <v>9780203589397</v>
      </c>
      <c r="G2326" t="str">
        <f>"9780415317504"</f>
        <v>9780415317504</v>
      </c>
      <c r="H2326" t="s">
        <v>4937</v>
      </c>
      <c r="I2326">
        <v>711.41</v>
      </c>
      <c r="J2326" t="s">
        <v>4938</v>
      </c>
      <c r="K2326" t="s">
        <v>73</v>
      </c>
      <c r="N2326" t="s">
        <v>74</v>
      </c>
      <c r="O2326" t="s">
        <v>75</v>
      </c>
      <c r="P2326" t="s">
        <v>74</v>
      </c>
      <c r="Q2326" t="s">
        <v>76</v>
      </c>
      <c r="R2326" t="s">
        <v>73</v>
      </c>
      <c r="S2326">
        <v>0</v>
      </c>
      <c r="W2326" s="20">
        <v>1.8252314814814815E-2</v>
      </c>
      <c r="X2326" t="s">
        <v>5188</v>
      </c>
      <c r="Y2326">
        <v>33</v>
      </c>
      <c r="Z2326">
        <v>1</v>
      </c>
      <c r="AA2326" t="s">
        <v>5189</v>
      </c>
      <c r="AB2326">
        <v>6</v>
      </c>
      <c r="AC2326" t="s">
        <v>78</v>
      </c>
      <c r="AD2326">
        <v>0</v>
      </c>
      <c r="AE2326">
        <v>10094573</v>
      </c>
      <c r="AF2326" t="s">
        <v>79</v>
      </c>
      <c r="AG2326" t="s">
        <v>4850</v>
      </c>
    </row>
    <row r="2327" spans="1:33" x14ac:dyDescent="0.35">
      <c r="A2327" s="18">
        <v>44262.732638888891</v>
      </c>
      <c r="B2327">
        <v>4043002</v>
      </c>
      <c r="C2327" t="s">
        <v>5190</v>
      </c>
      <c r="D2327" t="s">
        <v>70</v>
      </c>
      <c r="E2327" s="19">
        <v>42388</v>
      </c>
      <c r="F2327" t="str">
        <f>"9781119045076"</f>
        <v>9781119045076</v>
      </c>
      <c r="G2327" t="str">
        <f>"9781119045069"</f>
        <v>9781119045069</v>
      </c>
      <c r="H2327" t="s">
        <v>128</v>
      </c>
      <c r="I2327" t="s">
        <v>5191</v>
      </c>
      <c r="J2327" t="s">
        <v>5192</v>
      </c>
      <c r="K2327" t="s">
        <v>73</v>
      </c>
      <c r="N2327" t="s">
        <v>74</v>
      </c>
      <c r="O2327" t="s">
        <v>75</v>
      </c>
      <c r="P2327" t="s">
        <v>74</v>
      </c>
      <c r="Q2327" t="s">
        <v>76</v>
      </c>
      <c r="R2327" t="s">
        <v>73</v>
      </c>
      <c r="S2327">
        <v>0</v>
      </c>
      <c r="W2327" s="20">
        <v>3.4722222222222222E-5</v>
      </c>
      <c r="X2327" t="s">
        <v>132</v>
      </c>
      <c r="Y2327">
        <v>1</v>
      </c>
      <c r="Z2327">
        <v>0</v>
      </c>
      <c r="AA2327" t="s">
        <v>78</v>
      </c>
      <c r="AB2327">
        <v>0</v>
      </c>
      <c r="AC2327" t="s">
        <v>78</v>
      </c>
      <c r="AD2327">
        <v>0</v>
      </c>
      <c r="AE2327">
        <v>11115179</v>
      </c>
      <c r="AF2327" t="s">
        <v>79</v>
      </c>
      <c r="AG2327" t="s">
        <v>4850</v>
      </c>
    </row>
    <row r="2328" spans="1:33" x14ac:dyDescent="0.35">
      <c r="A2328" s="18">
        <v>44262.638194444444</v>
      </c>
      <c r="B2328">
        <v>564285</v>
      </c>
      <c r="C2328" t="s">
        <v>5172</v>
      </c>
      <c r="D2328" t="s">
        <v>1240</v>
      </c>
      <c r="E2328" s="19">
        <v>40092</v>
      </c>
      <c r="F2328" t="str">
        <f>"9781855395060"</f>
        <v>9781855395060</v>
      </c>
      <c r="G2328" t="str">
        <f>"9781855394704"</f>
        <v>9781855394704</v>
      </c>
      <c r="H2328" t="s">
        <v>1179</v>
      </c>
      <c r="I2328">
        <v>372.12</v>
      </c>
      <c r="J2328" t="s">
        <v>5173</v>
      </c>
      <c r="K2328" t="s">
        <v>73</v>
      </c>
      <c r="N2328" t="s">
        <v>74</v>
      </c>
      <c r="O2328" t="s">
        <v>75</v>
      </c>
      <c r="P2328" t="s">
        <v>74</v>
      </c>
      <c r="Q2328" t="s">
        <v>76</v>
      </c>
      <c r="R2328" t="s">
        <v>73</v>
      </c>
      <c r="S2328">
        <v>0</v>
      </c>
      <c r="W2328" s="20">
        <v>1.6712962962962961E-2</v>
      </c>
      <c r="X2328" t="s">
        <v>5193</v>
      </c>
      <c r="Y2328">
        <v>9</v>
      </c>
      <c r="Z2328">
        <v>0</v>
      </c>
      <c r="AA2328" t="s">
        <v>78</v>
      </c>
      <c r="AB2328">
        <v>0</v>
      </c>
      <c r="AC2328" t="s">
        <v>78</v>
      </c>
      <c r="AD2328">
        <v>0</v>
      </c>
      <c r="AE2328">
        <v>10427049</v>
      </c>
      <c r="AF2328" t="s">
        <v>79</v>
      </c>
      <c r="AG2328" t="s">
        <v>5123</v>
      </c>
    </row>
    <row r="2329" spans="1:33" x14ac:dyDescent="0.35">
      <c r="A2329" s="18">
        <v>44262.637499999997</v>
      </c>
      <c r="B2329">
        <v>958445</v>
      </c>
      <c r="C2329" t="s">
        <v>5194</v>
      </c>
      <c r="D2329" t="s">
        <v>127</v>
      </c>
      <c r="E2329" s="19">
        <v>40875</v>
      </c>
      <c r="F2329" t="str">
        <f>"9780203157732"</f>
        <v>9780203157732</v>
      </c>
      <c r="G2329" t="str">
        <f>"9780415686754"</f>
        <v>9780415686754</v>
      </c>
      <c r="H2329" t="s">
        <v>1878</v>
      </c>
      <c r="I2329" t="s">
        <v>5195</v>
      </c>
      <c r="J2329" t="s">
        <v>5196</v>
      </c>
      <c r="K2329" t="s">
        <v>73</v>
      </c>
      <c r="N2329" t="s">
        <v>74</v>
      </c>
      <c r="O2329" t="s">
        <v>75</v>
      </c>
      <c r="P2329" t="s">
        <v>74</v>
      </c>
      <c r="Q2329" t="s">
        <v>76</v>
      </c>
      <c r="R2329" t="s">
        <v>73</v>
      </c>
      <c r="S2329">
        <v>0</v>
      </c>
      <c r="W2329" s="20">
        <v>2.943287037037037E-2</v>
      </c>
      <c r="X2329" t="s">
        <v>5197</v>
      </c>
      <c r="Y2329">
        <v>69</v>
      </c>
      <c r="Z2329">
        <v>0</v>
      </c>
      <c r="AA2329" t="s">
        <v>78</v>
      </c>
      <c r="AB2329">
        <v>0</v>
      </c>
      <c r="AC2329" t="s">
        <v>5198</v>
      </c>
      <c r="AD2329">
        <v>8</v>
      </c>
      <c r="AE2329">
        <v>10610090</v>
      </c>
      <c r="AF2329" t="s">
        <v>79</v>
      </c>
      <c r="AG2329" t="s">
        <v>4442</v>
      </c>
    </row>
    <row r="2330" spans="1:33" x14ac:dyDescent="0.35">
      <c r="A2330" s="18">
        <v>44262.635416666664</v>
      </c>
      <c r="B2330">
        <v>1390902</v>
      </c>
      <c r="C2330" t="s">
        <v>5141</v>
      </c>
      <c r="D2330" t="s">
        <v>3412</v>
      </c>
      <c r="E2330" s="19">
        <v>41696</v>
      </c>
      <c r="F2330" t="str">
        <f>"9780814433423"</f>
        <v>9780814433423</v>
      </c>
      <c r="G2330" t="str">
        <f>"9780814433416"</f>
        <v>9780814433416</v>
      </c>
      <c r="H2330" t="s">
        <v>143</v>
      </c>
      <c r="I2330" t="s">
        <v>4904</v>
      </c>
      <c r="J2330" t="s">
        <v>5142</v>
      </c>
      <c r="K2330" t="s">
        <v>73</v>
      </c>
      <c r="N2330" t="s">
        <v>74</v>
      </c>
      <c r="O2330" t="s">
        <v>75</v>
      </c>
      <c r="P2330" t="s">
        <v>74</v>
      </c>
      <c r="Q2330" t="s">
        <v>76</v>
      </c>
      <c r="R2330" t="s">
        <v>73</v>
      </c>
      <c r="S2330">
        <v>0</v>
      </c>
      <c r="W2330" s="20">
        <v>5.6712962962962956E-4</v>
      </c>
      <c r="X2330" t="s">
        <v>5199</v>
      </c>
      <c r="Y2330">
        <v>10</v>
      </c>
      <c r="Z2330">
        <v>0</v>
      </c>
      <c r="AA2330" t="s">
        <v>78</v>
      </c>
      <c r="AB2330">
        <v>0</v>
      </c>
      <c r="AC2330" t="s">
        <v>78</v>
      </c>
      <c r="AD2330">
        <v>0</v>
      </c>
      <c r="AE2330">
        <v>10821817</v>
      </c>
      <c r="AF2330" t="s">
        <v>79</v>
      </c>
      <c r="AG2330" t="s">
        <v>5123</v>
      </c>
    </row>
    <row r="2331" spans="1:33" x14ac:dyDescent="0.35">
      <c r="A2331" s="18">
        <v>44262.634722222225</v>
      </c>
      <c r="B2331">
        <v>1830135</v>
      </c>
      <c r="C2331" t="s">
        <v>5147</v>
      </c>
      <c r="D2331" t="s">
        <v>70</v>
      </c>
      <c r="E2331" s="19">
        <v>41960</v>
      </c>
      <c r="F2331" t="str">
        <f>"9781119003960"</f>
        <v>9781119003960</v>
      </c>
      <c r="G2331" t="str">
        <f>"9781119003953"</f>
        <v>9781119003953</v>
      </c>
      <c r="H2331" t="s">
        <v>143</v>
      </c>
      <c r="I2331">
        <v>658.40920000000006</v>
      </c>
      <c r="J2331" t="s">
        <v>5148</v>
      </c>
      <c r="K2331" t="s">
        <v>73</v>
      </c>
      <c r="N2331" t="s">
        <v>74</v>
      </c>
      <c r="O2331" t="s">
        <v>75</v>
      </c>
      <c r="P2331" t="s">
        <v>74</v>
      </c>
      <c r="Q2331" t="s">
        <v>76</v>
      </c>
      <c r="R2331" t="s">
        <v>73</v>
      </c>
      <c r="S2331">
        <v>0</v>
      </c>
      <c r="W2331" s="20">
        <v>1.2430555555555554E-2</v>
      </c>
      <c r="X2331" t="s">
        <v>5200</v>
      </c>
      <c r="Y2331">
        <v>25</v>
      </c>
      <c r="Z2331">
        <v>0</v>
      </c>
      <c r="AA2331" t="s">
        <v>78</v>
      </c>
      <c r="AB2331">
        <v>0</v>
      </c>
      <c r="AC2331" t="s">
        <v>78</v>
      </c>
      <c r="AD2331">
        <v>0</v>
      </c>
      <c r="AE2331">
        <v>10963351</v>
      </c>
      <c r="AF2331" t="s">
        <v>79</v>
      </c>
      <c r="AG2331" t="s">
        <v>5123</v>
      </c>
    </row>
    <row r="2332" spans="1:33" x14ac:dyDescent="0.35">
      <c r="A2332" s="18">
        <v>44262.620138888888</v>
      </c>
      <c r="B2332">
        <v>1895831</v>
      </c>
      <c r="C2332" t="s">
        <v>4996</v>
      </c>
      <c r="D2332" t="s">
        <v>70</v>
      </c>
      <c r="E2332" s="19">
        <v>42107</v>
      </c>
      <c r="F2332" t="str">
        <f>"9781118968161"</f>
        <v>9781118968161</v>
      </c>
      <c r="G2332" t="str">
        <f>"9781118968154"</f>
        <v>9781118968154</v>
      </c>
      <c r="H2332" t="s">
        <v>143</v>
      </c>
      <c r="I2332" t="s">
        <v>4904</v>
      </c>
      <c r="J2332" t="s">
        <v>4997</v>
      </c>
      <c r="K2332" t="s">
        <v>73</v>
      </c>
      <c r="N2332" t="s">
        <v>74</v>
      </c>
      <c r="O2332" t="s">
        <v>75</v>
      </c>
      <c r="P2332" t="s">
        <v>74</v>
      </c>
      <c r="Q2332" t="s">
        <v>76</v>
      </c>
      <c r="R2332" t="s">
        <v>73</v>
      </c>
      <c r="S2332">
        <v>0</v>
      </c>
      <c r="W2332" s="20">
        <v>5.7870370370370378E-4</v>
      </c>
      <c r="X2332" t="s">
        <v>5201</v>
      </c>
      <c r="Y2332">
        <v>8</v>
      </c>
      <c r="Z2332">
        <v>0</v>
      </c>
      <c r="AA2332" t="s">
        <v>78</v>
      </c>
      <c r="AB2332">
        <v>0</v>
      </c>
      <c r="AC2332" t="s">
        <v>78</v>
      </c>
      <c r="AD2332">
        <v>0</v>
      </c>
      <c r="AE2332">
        <v>11041460</v>
      </c>
      <c r="AF2332" t="s">
        <v>79</v>
      </c>
      <c r="AG2332" t="s">
        <v>5123</v>
      </c>
    </row>
    <row r="2333" spans="1:33" x14ac:dyDescent="0.35">
      <c r="A2333" s="18">
        <v>44262.600694444445</v>
      </c>
      <c r="B2333">
        <v>2068780</v>
      </c>
      <c r="C2333" t="s">
        <v>5202</v>
      </c>
      <c r="D2333" t="s">
        <v>158</v>
      </c>
      <c r="E2333" s="19">
        <v>42180</v>
      </c>
      <c r="F2333" t="str">
        <f>"9780123977755"</f>
        <v>9780123977755</v>
      </c>
      <c r="G2333" t="str">
        <f>"9780123971814"</f>
        <v>9780123971814</v>
      </c>
      <c r="H2333" t="s">
        <v>5203</v>
      </c>
      <c r="I2333">
        <v>500.82</v>
      </c>
      <c r="J2333" t="s">
        <v>5204</v>
      </c>
      <c r="K2333" t="s">
        <v>73</v>
      </c>
      <c r="N2333" t="s">
        <v>74</v>
      </c>
      <c r="O2333" t="s">
        <v>75</v>
      </c>
      <c r="P2333" t="s">
        <v>74</v>
      </c>
      <c r="Q2333" t="s">
        <v>76</v>
      </c>
      <c r="R2333" t="s">
        <v>73</v>
      </c>
      <c r="S2333">
        <v>0</v>
      </c>
      <c r="W2333" s="20">
        <v>8.1018518518518516E-5</v>
      </c>
      <c r="X2333" t="s">
        <v>360</v>
      </c>
      <c r="Y2333">
        <v>2</v>
      </c>
      <c r="Z2333">
        <v>0</v>
      </c>
      <c r="AA2333" t="s">
        <v>78</v>
      </c>
      <c r="AB2333">
        <v>0</v>
      </c>
      <c r="AC2333" t="s">
        <v>78</v>
      </c>
      <c r="AD2333">
        <v>0</v>
      </c>
      <c r="AE2333">
        <v>11064652</v>
      </c>
      <c r="AF2333" t="s">
        <v>79</v>
      </c>
      <c r="AG2333" t="s">
        <v>4442</v>
      </c>
    </row>
    <row r="2334" spans="1:33" x14ac:dyDescent="0.35">
      <c r="A2334" s="18">
        <v>44262.5625</v>
      </c>
      <c r="B2334">
        <v>1574968</v>
      </c>
      <c r="C2334" t="s">
        <v>5205</v>
      </c>
      <c r="D2334" t="s">
        <v>158</v>
      </c>
      <c r="E2334" s="19">
        <v>41368</v>
      </c>
      <c r="F2334" t="str">
        <f>"9780857098832"</f>
        <v>9780857098832</v>
      </c>
      <c r="G2334" t="str">
        <f>"9780857095442"</f>
        <v>9780857095442</v>
      </c>
      <c r="H2334" t="s">
        <v>5206</v>
      </c>
      <c r="I2334">
        <v>690.02859999999998</v>
      </c>
      <c r="J2334" t="s">
        <v>5207</v>
      </c>
      <c r="K2334" t="s">
        <v>73</v>
      </c>
      <c r="N2334" t="s">
        <v>74</v>
      </c>
      <c r="O2334" t="s">
        <v>75</v>
      </c>
      <c r="P2334" t="s">
        <v>74</v>
      </c>
      <c r="Q2334" t="s">
        <v>76</v>
      </c>
      <c r="R2334" t="s">
        <v>73</v>
      </c>
      <c r="S2334">
        <v>0</v>
      </c>
      <c r="W2334" s="20">
        <v>5.7870370370370366E-5</v>
      </c>
      <c r="X2334" t="s">
        <v>132</v>
      </c>
      <c r="Y2334">
        <v>1</v>
      </c>
      <c r="Z2334">
        <v>0</v>
      </c>
      <c r="AA2334" t="s">
        <v>78</v>
      </c>
      <c r="AB2334">
        <v>0</v>
      </c>
      <c r="AC2334" t="s">
        <v>78</v>
      </c>
      <c r="AD2334">
        <v>0</v>
      </c>
      <c r="AE2334">
        <v>10767146</v>
      </c>
      <c r="AF2334" t="s">
        <v>79</v>
      </c>
      <c r="AG2334" t="s">
        <v>4442</v>
      </c>
    </row>
    <row r="2335" spans="1:33" x14ac:dyDescent="0.35">
      <c r="A2335" s="18">
        <v>44262.555555555555</v>
      </c>
      <c r="B2335">
        <v>534973</v>
      </c>
      <c r="C2335" t="s">
        <v>5208</v>
      </c>
      <c r="D2335" t="s">
        <v>158</v>
      </c>
      <c r="E2335" s="19">
        <v>39778</v>
      </c>
      <c r="F2335" t="str">
        <f>"9780080949123"</f>
        <v>9780080949123</v>
      </c>
      <c r="G2335" t="str">
        <f>"9781597492720"</f>
        <v>9781597492720</v>
      </c>
      <c r="H2335" t="s">
        <v>5209</v>
      </c>
      <c r="I2335">
        <v>6.4</v>
      </c>
      <c r="J2335" t="s">
        <v>5210</v>
      </c>
      <c r="K2335" t="s">
        <v>73</v>
      </c>
      <c r="N2335" t="s">
        <v>74</v>
      </c>
      <c r="O2335" t="s">
        <v>75</v>
      </c>
      <c r="P2335" t="s">
        <v>74</v>
      </c>
      <c r="Q2335" t="s">
        <v>76</v>
      </c>
      <c r="R2335" t="s">
        <v>73</v>
      </c>
      <c r="S2335">
        <v>1</v>
      </c>
      <c r="W2335" s="20">
        <v>0</v>
      </c>
      <c r="X2335" t="s">
        <v>78</v>
      </c>
      <c r="Y2335">
        <v>0</v>
      </c>
      <c r="Z2335">
        <v>0</v>
      </c>
      <c r="AA2335" t="s">
        <v>78</v>
      </c>
      <c r="AB2335">
        <v>0</v>
      </c>
      <c r="AC2335" t="s">
        <v>78</v>
      </c>
      <c r="AD2335">
        <v>0</v>
      </c>
      <c r="AE2335">
        <v>10378858</v>
      </c>
      <c r="AF2335" t="s">
        <v>88</v>
      </c>
      <c r="AG2335" t="s">
        <v>515</v>
      </c>
    </row>
    <row r="2336" spans="1:33" x14ac:dyDescent="0.35">
      <c r="A2336" s="18">
        <v>44262.529166666667</v>
      </c>
      <c r="B2336">
        <v>1710960</v>
      </c>
      <c r="C2336" t="s">
        <v>5211</v>
      </c>
      <c r="D2336" t="s">
        <v>70</v>
      </c>
      <c r="E2336" s="19">
        <v>41432</v>
      </c>
      <c r="F2336" t="str">
        <f>"9781118781562"</f>
        <v>9781118781562</v>
      </c>
      <c r="G2336" t="str">
        <f>"9781118781487"</f>
        <v>9781118781487</v>
      </c>
      <c r="H2336" t="s">
        <v>4707</v>
      </c>
      <c r="I2336">
        <v>690.09199999999998</v>
      </c>
      <c r="J2336" t="s">
        <v>5212</v>
      </c>
      <c r="K2336" t="s">
        <v>73</v>
      </c>
      <c r="N2336" t="s">
        <v>74</v>
      </c>
      <c r="O2336" t="s">
        <v>75</v>
      </c>
      <c r="P2336" t="s">
        <v>74</v>
      </c>
      <c r="Q2336" t="s">
        <v>76</v>
      </c>
      <c r="R2336" t="s">
        <v>73</v>
      </c>
      <c r="S2336">
        <v>0</v>
      </c>
      <c r="W2336" s="20">
        <v>6.8287037037037025E-4</v>
      </c>
      <c r="X2336" t="s">
        <v>5213</v>
      </c>
      <c r="Y2336">
        <v>10</v>
      </c>
      <c r="Z2336">
        <v>0</v>
      </c>
      <c r="AA2336" t="s">
        <v>78</v>
      </c>
      <c r="AB2336">
        <v>0</v>
      </c>
      <c r="AC2336" t="s">
        <v>78</v>
      </c>
      <c r="AD2336">
        <v>0</v>
      </c>
      <c r="AE2336">
        <v>11100274</v>
      </c>
      <c r="AF2336" t="s">
        <v>79</v>
      </c>
      <c r="AG2336" t="s">
        <v>4850</v>
      </c>
    </row>
    <row r="2337" spans="1:33" x14ac:dyDescent="0.35">
      <c r="A2337" s="18">
        <v>44262.50277777778</v>
      </c>
      <c r="B2337">
        <v>470320</v>
      </c>
      <c r="C2337" t="s">
        <v>5214</v>
      </c>
      <c r="D2337" t="s">
        <v>70</v>
      </c>
      <c r="E2337" s="19">
        <v>39785</v>
      </c>
      <c r="F2337" t="str">
        <f>"9780470997826"</f>
        <v>9780470997826</v>
      </c>
      <c r="G2337" t="str">
        <f>"9780470061954"</f>
        <v>9780470061954</v>
      </c>
      <c r="H2337" t="s">
        <v>386</v>
      </c>
      <c r="I2337">
        <v>628.03</v>
      </c>
      <c r="J2337" t="s">
        <v>5215</v>
      </c>
      <c r="K2337" t="s">
        <v>73</v>
      </c>
      <c r="N2337" t="s">
        <v>74</v>
      </c>
      <c r="O2337" t="s">
        <v>75</v>
      </c>
      <c r="P2337" t="s">
        <v>74</v>
      </c>
      <c r="Q2337" t="s">
        <v>76</v>
      </c>
      <c r="R2337" t="s">
        <v>73</v>
      </c>
      <c r="S2337">
        <v>0</v>
      </c>
      <c r="W2337" s="20">
        <v>9.1435185185185185E-4</v>
      </c>
      <c r="X2337" t="s">
        <v>5216</v>
      </c>
      <c r="Y2337">
        <v>10</v>
      </c>
      <c r="Z2337">
        <v>0</v>
      </c>
      <c r="AA2337" t="s">
        <v>78</v>
      </c>
      <c r="AB2337">
        <v>0</v>
      </c>
      <c r="AC2337" t="s">
        <v>78</v>
      </c>
      <c r="AD2337">
        <v>0</v>
      </c>
      <c r="AE2337">
        <v>10300786</v>
      </c>
      <c r="AF2337" t="s">
        <v>79</v>
      </c>
      <c r="AG2337" t="s">
        <v>5123</v>
      </c>
    </row>
    <row r="2338" spans="1:33" x14ac:dyDescent="0.35">
      <c r="A2338" s="18">
        <v>44262.484027777777</v>
      </c>
      <c r="B2338">
        <v>1069825</v>
      </c>
      <c r="C2338" t="s">
        <v>5217</v>
      </c>
      <c r="D2338" t="s">
        <v>239</v>
      </c>
      <c r="E2338" s="19">
        <v>41153</v>
      </c>
      <c r="F2338" t="str">
        <f>"9789814343503"</f>
        <v>9789814343503</v>
      </c>
      <c r="G2338" t="str">
        <f>"9789814343497"</f>
        <v>9789814343497</v>
      </c>
      <c r="H2338" t="s">
        <v>1466</v>
      </c>
      <c r="I2338">
        <v>6.3</v>
      </c>
      <c r="J2338" t="s">
        <v>5218</v>
      </c>
      <c r="K2338" t="s">
        <v>73</v>
      </c>
      <c r="N2338" t="s">
        <v>74</v>
      </c>
      <c r="O2338" t="s">
        <v>75</v>
      </c>
      <c r="P2338" t="s">
        <v>74</v>
      </c>
      <c r="Q2338" t="s">
        <v>76</v>
      </c>
      <c r="R2338" t="s">
        <v>73</v>
      </c>
      <c r="S2338">
        <v>0</v>
      </c>
      <c r="W2338" s="20">
        <v>3.3564814814814812E-4</v>
      </c>
      <c r="X2338" t="s">
        <v>5219</v>
      </c>
      <c r="Y2338">
        <v>7</v>
      </c>
      <c r="Z2338">
        <v>0</v>
      </c>
      <c r="AA2338" t="s">
        <v>78</v>
      </c>
      <c r="AB2338">
        <v>0</v>
      </c>
      <c r="AC2338" t="s">
        <v>78</v>
      </c>
      <c r="AD2338">
        <v>0</v>
      </c>
      <c r="AE2338">
        <v>10622819</v>
      </c>
      <c r="AF2338" t="s">
        <v>79</v>
      </c>
      <c r="AG2338" t="s">
        <v>5123</v>
      </c>
    </row>
    <row r="2339" spans="1:33" x14ac:dyDescent="0.35">
      <c r="A2339" s="18">
        <v>44262.479861111111</v>
      </c>
      <c r="B2339">
        <v>470061</v>
      </c>
      <c r="C2339" t="s">
        <v>5103</v>
      </c>
      <c r="D2339" t="s">
        <v>70</v>
      </c>
      <c r="E2339" s="19">
        <v>39461</v>
      </c>
      <c r="F2339" t="str">
        <f>"9780470697931"</f>
        <v>9780470697931</v>
      </c>
      <c r="G2339" t="str">
        <f>"9781405151276"</f>
        <v>9781405151276</v>
      </c>
      <c r="H2339" t="s">
        <v>5104</v>
      </c>
      <c r="I2339">
        <v>624.06809999999996</v>
      </c>
      <c r="J2339" t="s">
        <v>5105</v>
      </c>
      <c r="K2339" t="s">
        <v>73</v>
      </c>
      <c r="N2339" t="s">
        <v>74</v>
      </c>
      <c r="O2339" t="s">
        <v>75</v>
      </c>
      <c r="P2339" t="s">
        <v>74</v>
      </c>
      <c r="Q2339" t="s">
        <v>76</v>
      </c>
      <c r="R2339" t="s">
        <v>73</v>
      </c>
      <c r="S2339">
        <v>0</v>
      </c>
      <c r="W2339" s="20">
        <v>2.3148148148148147E-5</v>
      </c>
      <c r="X2339" t="s">
        <v>132</v>
      </c>
      <c r="Y2339">
        <v>1</v>
      </c>
      <c r="Z2339">
        <v>0</v>
      </c>
      <c r="AA2339" t="s">
        <v>78</v>
      </c>
      <c r="AB2339">
        <v>0</v>
      </c>
      <c r="AC2339" t="s">
        <v>78</v>
      </c>
      <c r="AD2339">
        <v>0</v>
      </c>
      <c r="AE2339">
        <v>10297638</v>
      </c>
      <c r="AF2339" t="s">
        <v>79</v>
      </c>
      <c r="AG2339" t="s">
        <v>5220</v>
      </c>
    </row>
    <row r="2340" spans="1:33" x14ac:dyDescent="0.35">
      <c r="A2340" s="18">
        <v>44262.436111111114</v>
      </c>
      <c r="B2340">
        <v>470061</v>
      </c>
      <c r="C2340" t="s">
        <v>5103</v>
      </c>
      <c r="D2340" t="s">
        <v>70</v>
      </c>
      <c r="E2340" s="19">
        <v>39461</v>
      </c>
      <c r="F2340" t="str">
        <f>"9780470697931"</f>
        <v>9780470697931</v>
      </c>
      <c r="G2340" t="str">
        <f>"9781405151276"</f>
        <v>9781405151276</v>
      </c>
      <c r="H2340" t="s">
        <v>5104</v>
      </c>
      <c r="I2340">
        <v>624.06809999999996</v>
      </c>
      <c r="J2340" t="s">
        <v>5105</v>
      </c>
      <c r="K2340" t="s">
        <v>73</v>
      </c>
      <c r="N2340" t="s">
        <v>74</v>
      </c>
      <c r="O2340" t="s">
        <v>75</v>
      </c>
      <c r="P2340" t="s">
        <v>74</v>
      </c>
      <c r="Q2340" t="s">
        <v>76</v>
      </c>
      <c r="R2340" t="s">
        <v>73</v>
      </c>
      <c r="S2340">
        <v>0</v>
      </c>
      <c r="W2340" s="20">
        <v>4.0509259259259258E-4</v>
      </c>
      <c r="X2340" t="s">
        <v>5221</v>
      </c>
      <c r="Y2340">
        <v>2</v>
      </c>
      <c r="Z2340">
        <v>0</v>
      </c>
      <c r="AA2340" t="s">
        <v>78</v>
      </c>
      <c r="AB2340">
        <v>0</v>
      </c>
      <c r="AC2340" t="s">
        <v>78</v>
      </c>
      <c r="AD2340">
        <v>0</v>
      </c>
      <c r="AE2340">
        <v>10297638</v>
      </c>
      <c r="AF2340" t="s">
        <v>79</v>
      </c>
      <c r="AG2340" t="s">
        <v>4442</v>
      </c>
    </row>
    <row r="2341" spans="1:33" x14ac:dyDescent="0.35">
      <c r="A2341" s="18">
        <v>44262.435416666667</v>
      </c>
      <c r="B2341">
        <v>470061</v>
      </c>
      <c r="C2341" t="s">
        <v>5103</v>
      </c>
      <c r="D2341" t="s">
        <v>70</v>
      </c>
      <c r="E2341" s="19">
        <v>39461</v>
      </c>
      <c r="F2341" t="str">
        <f>"9780470697931"</f>
        <v>9780470697931</v>
      </c>
      <c r="G2341" t="str">
        <f>"9781405151276"</f>
        <v>9781405151276</v>
      </c>
      <c r="H2341" t="s">
        <v>5104</v>
      </c>
      <c r="I2341">
        <v>624.06809999999996</v>
      </c>
      <c r="J2341" t="s">
        <v>5105</v>
      </c>
      <c r="K2341" t="s">
        <v>73</v>
      </c>
      <c r="N2341" t="s">
        <v>74</v>
      </c>
      <c r="O2341" t="s">
        <v>75</v>
      </c>
      <c r="P2341" t="s">
        <v>74</v>
      </c>
      <c r="Q2341" t="s">
        <v>76</v>
      </c>
      <c r="R2341" t="s">
        <v>73</v>
      </c>
      <c r="S2341">
        <v>0</v>
      </c>
      <c r="W2341" s="20">
        <v>1.5046296296296297E-4</v>
      </c>
      <c r="X2341" t="s">
        <v>5222</v>
      </c>
      <c r="Y2341">
        <v>4</v>
      </c>
      <c r="Z2341">
        <v>0</v>
      </c>
      <c r="AA2341" t="s">
        <v>78</v>
      </c>
      <c r="AB2341">
        <v>0</v>
      </c>
      <c r="AC2341" t="s">
        <v>78</v>
      </c>
      <c r="AD2341">
        <v>0</v>
      </c>
      <c r="AE2341">
        <v>10297638</v>
      </c>
      <c r="AF2341" t="s">
        <v>79</v>
      </c>
      <c r="AG2341" t="s">
        <v>5220</v>
      </c>
    </row>
    <row r="2342" spans="1:33" x14ac:dyDescent="0.35">
      <c r="A2342" s="18">
        <v>44262.433333333334</v>
      </c>
      <c r="B2342">
        <v>5968933</v>
      </c>
      <c r="C2342" t="s">
        <v>5223</v>
      </c>
      <c r="D2342" t="s">
        <v>158</v>
      </c>
      <c r="E2342" s="19">
        <v>43753</v>
      </c>
      <c r="F2342" t="str">
        <f>"9780081026649"</f>
        <v>9780081026649</v>
      </c>
      <c r="G2342" t="str">
        <f>"9780081026632"</f>
        <v>9780081026632</v>
      </c>
      <c r="H2342" t="s">
        <v>222</v>
      </c>
      <c r="I2342">
        <v>610.28011300000003</v>
      </c>
      <c r="J2342" t="s">
        <v>5224</v>
      </c>
      <c r="K2342" t="s">
        <v>85</v>
      </c>
      <c r="N2342" t="s">
        <v>86</v>
      </c>
      <c r="P2342" t="s">
        <v>87</v>
      </c>
      <c r="Q2342" t="s">
        <v>76</v>
      </c>
      <c r="R2342" t="s">
        <v>73</v>
      </c>
      <c r="S2342">
        <v>1</v>
      </c>
      <c r="T2342">
        <v>90</v>
      </c>
      <c r="U2342" s="18">
        <v>44262.433333333334</v>
      </c>
      <c r="V2342" s="18">
        <v>44352.433333333334</v>
      </c>
      <c r="W2342" s="20">
        <v>0</v>
      </c>
      <c r="X2342" t="s">
        <v>78</v>
      </c>
      <c r="Y2342">
        <v>0</v>
      </c>
      <c r="Z2342">
        <v>0</v>
      </c>
      <c r="AA2342" t="s">
        <v>78</v>
      </c>
      <c r="AB2342">
        <v>0</v>
      </c>
      <c r="AC2342" t="s">
        <v>78</v>
      </c>
      <c r="AD2342">
        <v>0</v>
      </c>
      <c r="AE2342">
        <v>-1</v>
      </c>
      <c r="AF2342" t="s">
        <v>88</v>
      </c>
      <c r="AG2342" t="s">
        <v>5123</v>
      </c>
    </row>
    <row r="2343" spans="1:33" x14ac:dyDescent="0.35">
      <c r="A2343" s="18">
        <v>44262.404166666667</v>
      </c>
      <c r="B2343">
        <v>470061</v>
      </c>
      <c r="C2343" t="s">
        <v>5103</v>
      </c>
      <c r="D2343" t="s">
        <v>70</v>
      </c>
      <c r="E2343" s="19">
        <v>39461</v>
      </c>
      <c r="F2343" t="str">
        <f>"9780470697931"</f>
        <v>9780470697931</v>
      </c>
      <c r="G2343" t="str">
        <f>"9781405151276"</f>
        <v>9781405151276</v>
      </c>
      <c r="H2343" t="s">
        <v>5104</v>
      </c>
      <c r="I2343">
        <v>624.06809999999996</v>
      </c>
      <c r="J2343" t="s">
        <v>5105</v>
      </c>
      <c r="K2343" t="s">
        <v>73</v>
      </c>
      <c r="N2343" t="s">
        <v>74</v>
      </c>
      <c r="O2343" t="s">
        <v>75</v>
      </c>
      <c r="P2343" t="s">
        <v>74</v>
      </c>
      <c r="Q2343" t="s">
        <v>76</v>
      </c>
      <c r="R2343" t="s">
        <v>73</v>
      </c>
      <c r="S2343">
        <v>0</v>
      </c>
      <c r="W2343" s="20">
        <v>3.1759259259259258E-2</v>
      </c>
      <c r="X2343" t="s">
        <v>5225</v>
      </c>
      <c r="Y2343">
        <v>18</v>
      </c>
      <c r="Z2343">
        <v>0</v>
      </c>
      <c r="AA2343" t="s">
        <v>78</v>
      </c>
      <c r="AB2343">
        <v>0</v>
      </c>
      <c r="AC2343" t="s">
        <v>5226</v>
      </c>
      <c r="AD2343">
        <v>3</v>
      </c>
      <c r="AE2343">
        <v>10297638</v>
      </c>
      <c r="AF2343" t="s">
        <v>79</v>
      </c>
      <c r="AG2343" t="s">
        <v>5220</v>
      </c>
    </row>
    <row r="2344" spans="1:33" x14ac:dyDescent="0.35">
      <c r="A2344" s="18">
        <v>44262.393750000003</v>
      </c>
      <c r="B2344">
        <v>1663369</v>
      </c>
      <c r="C2344" t="s">
        <v>5227</v>
      </c>
      <c r="D2344" t="s">
        <v>3175</v>
      </c>
      <c r="E2344" s="19">
        <v>41723</v>
      </c>
      <c r="F2344" t="str">
        <f>"9781455730469"</f>
        <v>9781455730469</v>
      </c>
      <c r="G2344" t="str">
        <f>"9781455725533"</f>
        <v>9781455725533</v>
      </c>
      <c r="H2344" t="s">
        <v>391</v>
      </c>
      <c r="I2344">
        <v>660.28449000000001</v>
      </c>
      <c r="J2344" t="s">
        <v>5228</v>
      </c>
      <c r="K2344" t="s">
        <v>73</v>
      </c>
      <c r="N2344" t="s">
        <v>74</v>
      </c>
      <c r="O2344" t="s">
        <v>75</v>
      </c>
      <c r="P2344" t="s">
        <v>74</v>
      </c>
      <c r="Q2344" t="s">
        <v>76</v>
      </c>
      <c r="R2344" t="s">
        <v>73</v>
      </c>
      <c r="S2344">
        <v>0</v>
      </c>
      <c r="W2344" s="20">
        <v>7.7546296296296304E-4</v>
      </c>
      <c r="X2344" t="s">
        <v>5229</v>
      </c>
      <c r="Y2344">
        <v>6</v>
      </c>
      <c r="Z2344">
        <v>1</v>
      </c>
      <c r="AA2344" t="s">
        <v>5230</v>
      </c>
      <c r="AB2344">
        <v>14</v>
      </c>
      <c r="AC2344" t="s">
        <v>78</v>
      </c>
      <c r="AD2344">
        <v>0</v>
      </c>
      <c r="AE2344">
        <v>10853840</v>
      </c>
      <c r="AF2344" t="s">
        <v>79</v>
      </c>
      <c r="AG2344" t="s">
        <v>5093</v>
      </c>
    </row>
    <row r="2345" spans="1:33" x14ac:dyDescent="0.35">
      <c r="A2345" s="18">
        <v>44262.042361111111</v>
      </c>
      <c r="B2345">
        <v>2068780</v>
      </c>
      <c r="C2345" t="s">
        <v>5202</v>
      </c>
      <c r="D2345" t="s">
        <v>158</v>
      </c>
      <c r="E2345" s="19">
        <v>42180</v>
      </c>
      <c r="F2345" t="str">
        <f>"9780123977755"</f>
        <v>9780123977755</v>
      </c>
      <c r="G2345" t="str">
        <f>"9780123971814"</f>
        <v>9780123971814</v>
      </c>
      <c r="H2345" t="s">
        <v>5203</v>
      </c>
      <c r="I2345">
        <v>500.82</v>
      </c>
      <c r="J2345" t="s">
        <v>5204</v>
      </c>
      <c r="K2345" t="s">
        <v>73</v>
      </c>
      <c r="N2345" t="s">
        <v>74</v>
      </c>
      <c r="O2345" t="s">
        <v>75</v>
      </c>
      <c r="P2345" t="s">
        <v>74</v>
      </c>
      <c r="Q2345" t="s">
        <v>76</v>
      </c>
      <c r="R2345" t="s">
        <v>73</v>
      </c>
      <c r="S2345">
        <v>0</v>
      </c>
      <c r="W2345" s="20">
        <v>6.122685185185185E-3</v>
      </c>
      <c r="X2345" t="s">
        <v>5231</v>
      </c>
      <c r="Y2345">
        <v>40</v>
      </c>
      <c r="Z2345">
        <v>0</v>
      </c>
      <c r="AA2345" t="s">
        <v>78</v>
      </c>
      <c r="AB2345">
        <v>0</v>
      </c>
      <c r="AC2345" t="s">
        <v>78</v>
      </c>
      <c r="AD2345">
        <v>0</v>
      </c>
      <c r="AE2345">
        <v>11064652</v>
      </c>
      <c r="AF2345" t="s">
        <v>79</v>
      </c>
      <c r="AG2345" t="s">
        <v>4442</v>
      </c>
    </row>
    <row r="2346" spans="1:33" x14ac:dyDescent="0.35">
      <c r="A2346" s="18">
        <v>44262.042361111111</v>
      </c>
      <c r="B2346">
        <v>5752234</v>
      </c>
      <c r="C2346" t="s">
        <v>5232</v>
      </c>
      <c r="D2346" t="s">
        <v>1642</v>
      </c>
      <c r="E2346" s="19">
        <v>43529</v>
      </c>
      <c r="F2346" t="str">
        <f>"9781838671907"</f>
        <v>9781838671907</v>
      </c>
      <c r="G2346" t="str">
        <f>"9781838671891"</f>
        <v>9781838671891</v>
      </c>
      <c r="H2346" t="s">
        <v>143</v>
      </c>
      <c r="I2346">
        <v>658.3</v>
      </c>
      <c r="J2346" t="s">
        <v>5233</v>
      </c>
      <c r="K2346" t="s">
        <v>85</v>
      </c>
      <c r="Q2346" t="s">
        <v>76</v>
      </c>
      <c r="R2346" t="s">
        <v>73</v>
      </c>
      <c r="S2346">
        <v>0</v>
      </c>
      <c r="W2346" s="20">
        <v>3.1250000000000001E-4</v>
      </c>
      <c r="X2346" t="s">
        <v>5234</v>
      </c>
      <c r="Y2346">
        <v>4</v>
      </c>
      <c r="Z2346">
        <v>0</v>
      </c>
      <c r="AA2346" t="s">
        <v>78</v>
      </c>
      <c r="AB2346">
        <v>0</v>
      </c>
      <c r="AC2346" t="s">
        <v>78</v>
      </c>
      <c r="AD2346">
        <v>0</v>
      </c>
      <c r="AE2346">
        <v>-1</v>
      </c>
      <c r="AF2346" t="s">
        <v>79</v>
      </c>
      <c r="AG2346" t="s">
        <v>4442</v>
      </c>
    </row>
    <row r="2347" spans="1:33" x14ac:dyDescent="0.35">
      <c r="A2347" s="18">
        <v>44262.040277777778</v>
      </c>
      <c r="B2347">
        <v>5518671</v>
      </c>
      <c r="C2347" t="s">
        <v>5138</v>
      </c>
      <c r="D2347" t="s">
        <v>158</v>
      </c>
      <c r="E2347" s="19">
        <v>43362</v>
      </c>
      <c r="F2347" t="str">
        <f>"9780128026724"</f>
        <v>9780128026724</v>
      </c>
      <c r="G2347" t="str">
        <f>"9780128025796"</f>
        <v>9780128025796</v>
      </c>
      <c r="H2347" t="s">
        <v>128</v>
      </c>
      <c r="I2347">
        <v>306.44081999999997</v>
      </c>
      <c r="J2347" t="s">
        <v>5139</v>
      </c>
      <c r="K2347" t="s">
        <v>73</v>
      </c>
      <c r="N2347" t="s">
        <v>74</v>
      </c>
      <c r="O2347" t="s">
        <v>75</v>
      </c>
      <c r="P2347" t="s">
        <v>74</v>
      </c>
      <c r="Q2347" t="s">
        <v>76</v>
      </c>
      <c r="R2347" t="s">
        <v>73</v>
      </c>
      <c r="S2347">
        <v>0</v>
      </c>
      <c r="W2347" s="20">
        <v>7.175925925925927E-4</v>
      </c>
      <c r="X2347" t="s">
        <v>5235</v>
      </c>
      <c r="Y2347">
        <v>8</v>
      </c>
      <c r="Z2347">
        <v>0</v>
      </c>
      <c r="AA2347" t="s">
        <v>78</v>
      </c>
      <c r="AB2347">
        <v>0</v>
      </c>
      <c r="AC2347" t="s">
        <v>78</v>
      </c>
      <c r="AD2347">
        <v>0</v>
      </c>
      <c r="AE2347">
        <v>-1</v>
      </c>
      <c r="AF2347" t="s">
        <v>79</v>
      </c>
      <c r="AG2347" t="s">
        <v>4442</v>
      </c>
    </row>
    <row r="2348" spans="1:33" x14ac:dyDescent="0.35">
      <c r="A2348" s="18">
        <v>44262.02847222222</v>
      </c>
      <c r="B2348">
        <v>4054888</v>
      </c>
      <c r="C2348" t="s">
        <v>5236</v>
      </c>
      <c r="D2348" t="s">
        <v>70</v>
      </c>
      <c r="E2348" s="19">
        <v>42317</v>
      </c>
      <c r="F2348" t="str">
        <f>"9781119041825"</f>
        <v>9781119041825</v>
      </c>
      <c r="G2348" t="str">
        <f>"9781119041801"</f>
        <v>9781119041801</v>
      </c>
      <c r="H2348" t="s">
        <v>110</v>
      </c>
      <c r="I2348">
        <v>4.16</v>
      </c>
      <c r="J2348" t="s">
        <v>5237</v>
      </c>
      <c r="K2348" t="s">
        <v>73</v>
      </c>
      <c r="N2348" t="s">
        <v>74</v>
      </c>
      <c r="O2348" t="s">
        <v>75</v>
      </c>
      <c r="P2348" t="s">
        <v>74</v>
      </c>
      <c r="Q2348" t="s">
        <v>76</v>
      </c>
      <c r="R2348" t="s">
        <v>73</v>
      </c>
      <c r="S2348">
        <v>0</v>
      </c>
      <c r="W2348" s="20">
        <v>1.1932870370370371E-2</v>
      </c>
      <c r="X2348" t="s">
        <v>5238</v>
      </c>
      <c r="Y2348">
        <v>24</v>
      </c>
      <c r="Z2348">
        <v>1</v>
      </c>
      <c r="AA2348" t="s">
        <v>5239</v>
      </c>
      <c r="AB2348">
        <v>1</v>
      </c>
      <c r="AC2348" t="s">
        <v>5240</v>
      </c>
      <c r="AD2348">
        <v>2</v>
      </c>
      <c r="AE2348">
        <v>11118828</v>
      </c>
      <c r="AF2348" t="s">
        <v>79</v>
      </c>
      <c r="AG2348" t="s">
        <v>5241</v>
      </c>
    </row>
    <row r="2349" spans="1:33" x14ac:dyDescent="0.35">
      <c r="A2349" s="18">
        <v>44262.006944444445</v>
      </c>
      <c r="B2349">
        <v>5047311</v>
      </c>
      <c r="C2349" t="s">
        <v>4991</v>
      </c>
      <c r="D2349" t="s">
        <v>4992</v>
      </c>
      <c r="E2349" s="19">
        <v>42979</v>
      </c>
      <c r="F2349" t="str">
        <f>"9781869227074"</f>
        <v>9781869227074</v>
      </c>
      <c r="G2349" t="str">
        <f>"9781869227067"</f>
        <v>9781869227067</v>
      </c>
      <c r="H2349" t="s">
        <v>143</v>
      </c>
      <c r="I2349">
        <v>658.40920000000006</v>
      </c>
      <c r="J2349" t="s">
        <v>4993</v>
      </c>
      <c r="K2349" t="s">
        <v>73</v>
      </c>
      <c r="N2349" t="s">
        <v>74</v>
      </c>
      <c r="O2349" t="s">
        <v>75</v>
      </c>
      <c r="P2349" t="s">
        <v>74</v>
      </c>
      <c r="Q2349" t="s">
        <v>76</v>
      </c>
      <c r="R2349" t="s">
        <v>73</v>
      </c>
      <c r="S2349">
        <v>0</v>
      </c>
      <c r="W2349" s="20">
        <v>5.7870370370370366E-5</v>
      </c>
      <c r="X2349" t="s">
        <v>360</v>
      </c>
      <c r="Y2349">
        <v>2</v>
      </c>
      <c r="Z2349">
        <v>0</v>
      </c>
      <c r="AA2349" t="s">
        <v>78</v>
      </c>
      <c r="AB2349">
        <v>0</v>
      </c>
      <c r="AC2349" t="s">
        <v>78</v>
      </c>
      <c r="AD2349">
        <v>0</v>
      </c>
      <c r="AE2349">
        <v>11442845</v>
      </c>
      <c r="AF2349" t="s">
        <v>79</v>
      </c>
      <c r="AG2349" t="s">
        <v>4442</v>
      </c>
    </row>
    <row r="2350" spans="1:33" x14ac:dyDescent="0.35">
      <c r="A2350" s="18">
        <v>44261.957638888889</v>
      </c>
      <c r="B2350">
        <v>3020809</v>
      </c>
      <c r="C2350" t="s">
        <v>5242</v>
      </c>
      <c r="D2350" t="s">
        <v>226</v>
      </c>
      <c r="E2350" s="19">
        <v>40483</v>
      </c>
      <c r="F2350" t="str">
        <f>"9781617287909"</f>
        <v>9781617287909</v>
      </c>
      <c r="G2350" t="str">
        <f>"9781616689636"</f>
        <v>9781616689636</v>
      </c>
      <c r="H2350" t="s">
        <v>159</v>
      </c>
      <c r="I2350" t="s">
        <v>5243</v>
      </c>
      <c r="J2350" t="s">
        <v>5244</v>
      </c>
      <c r="K2350" t="s">
        <v>73</v>
      </c>
      <c r="N2350" t="s">
        <v>74</v>
      </c>
      <c r="O2350" t="s">
        <v>75</v>
      </c>
      <c r="P2350" t="s">
        <v>230</v>
      </c>
      <c r="Q2350" t="s">
        <v>76</v>
      </c>
      <c r="R2350" t="s">
        <v>85</v>
      </c>
      <c r="S2350">
        <v>0</v>
      </c>
      <c r="W2350" s="20">
        <v>2.7083333333333334E-3</v>
      </c>
      <c r="X2350" t="s">
        <v>5245</v>
      </c>
      <c r="Y2350">
        <v>33</v>
      </c>
      <c r="Z2350">
        <v>0</v>
      </c>
      <c r="AA2350" t="s">
        <v>78</v>
      </c>
      <c r="AB2350">
        <v>0</v>
      </c>
      <c r="AC2350" t="s">
        <v>78</v>
      </c>
      <c r="AD2350">
        <v>0</v>
      </c>
      <c r="AE2350">
        <v>10680947</v>
      </c>
      <c r="AF2350" t="s">
        <v>79</v>
      </c>
      <c r="AG2350" t="s">
        <v>1173</v>
      </c>
    </row>
    <row r="2351" spans="1:33" x14ac:dyDescent="0.35">
      <c r="A2351" s="18">
        <v>44261.885416666664</v>
      </c>
      <c r="B2351">
        <v>4043002</v>
      </c>
      <c r="C2351" t="s">
        <v>5190</v>
      </c>
      <c r="D2351" t="s">
        <v>70</v>
      </c>
      <c r="E2351" s="19">
        <v>42388</v>
      </c>
      <c r="F2351" t="str">
        <f>"9781119045076"</f>
        <v>9781119045076</v>
      </c>
      <c r="G2351" t="str">
        <f>"9781119045069"</f>
        <v>9781119045069</v>
      </c>
      <c r="H2351" t="s">
        <v>128</v>
      </c>
      <c r="I2351" t="s">
        <v>5191</v>
      </c>
      <c r="J2351" t="s">
        <v>5192</v>
      </c>
      <c r="K2351" t="s">
        <v>73</v>
      </c>
      <c r="N2351" t="s">
        <v>74</v>
      </c>
      <c r="O2351" t="s">
        <v>75</v>
      </c>
      <c r="P2351" t="s">
        <v>74</v>
      </c>
      <c r="Q2351" t="s">
        <v>76</v>
      </c>
      <c r="R2351" t="s">
        <v>73</v>
      </c>
      <c r="S2351">
        <v>0</v>
      </c>
      <c r="W2351" s="20">
        <v>9.9074074074074082E-3</v>
      </c>
      <c r="X2351" t="s">
        <v>5246</v>
      </c>
      <c r="Y2351">
        <v>4</v>
      </c>
      <c r="Z2351">
        <v>1</v>
      </c>
      <c r="AA2351" t="s">
        <v>5247</v>
      </c>
      <c r="AB2351">
        <v>28</v>
      </c>
      <c r="AC2351" t="s">
        <v>78</v>
      </c>
      <c r="AD2351">
        <v>0</v>
      </c>
      <c r="AE2351">
        <v>11115179</v>
      </c>
      <c r="AF2351" t="s">
        <v>79</v>
      </c>
      <c r="AG2351" t="s">
        <v>4850</v>
      </c>
    </row>
    <row r="2352" spans="1:33" x14ac:dyDescent="0.35">
      <c r="A2352" s="18">
        <v>44261.884722222225</v>
      </c>
      <c r="B2352">
        <v>1173081</v>
      </c>
      <c r="C2352" t="s">
        <v>3999</v>
      </c>
      <c r="D2352" t="s">
        <v>70</v>
      </c>
      <c r="E2352" s="19">
        <v>41393</v>
      </c>
      <c r="F2352" t="str">
        <f>"9781118417591"</f>
        <v>9781118417591</v>
      </c>
      <c r="G2352" t="str">
        <f>"9781118394106"</f>
        <v>9781118394106</v>
      </c>
      <c r="H2352" t="s">
        <v>143</v>
      </c>
      <c r="I2352" t="s">
        <v>4000</v>
      </c>
      <c r="J2352" t="s">
        <v>4001</v>
      </c>
      <c r="K2352" t="s">
        <v>73</v>
      </c>
      <c r="N2352" t="s">
        <v>74</v>
      </c>
      <c r="O2352" t="s">
        <v>75</v>
      </c>
      <c r="P2352" t="s">
        <v>74</v>
      </c>
      <c r="Q2352" t="s">
        <v>76</v>
      </c>
      <c r="R2352" t="s">
        <v>73</v>
      </c>
      <c r="S2352">
        <v>0</v>
      </c>
      <c r="W2352" s="20">
        <v>3.4722222222222222E-5</v>
      </c>
      <c r="X2352" t="s">
        <v>132</v>
      </c>
      <c r="Y2352">
        <v>1</v>
      </c>
      <c r="Z2352">
        <v>0</v>
      </c>
      <c r="AA2352" t="s">
        <v>78</v>
      </c>
      <c r="AB2352">
        <v>0</v>
      </c>
      <c r="AC2352" t="s">
        <v>78</v>
      </c>
      <c r="AD2352">
        <v>0</v>
      </c>
      <c r="AE2352">
        <v>10691459</v>
      </c>
      <c r="AF2352" t="s">
        <v>79</v>
      </c>
      <c r="AG2352" t="s">
        <v>4850</v>
      </c>
    </row>
    <row r="2353" spans="1:33" x14ac:dyDescent="0.35">
      <c r="A2353" s="18">
        <v>44261.884722222225</v>
      </c>
      <c r="B2353">
        <v>200407</v>
      </c>
      <c r="C2353" t="s">
        <v>4936</v>
      </c>
      <c r="D2353" t="s">
        <v>127</v>
      </c>
      <c r="E2353" s="19">
        <v>38344</v>
      </c>
      <c r="F2353" t="str">
        <f>"9780203589397"</f>
        <v>9780203589397</v>
      </c>
      <c r="G2353" t="str">
        <f>"9780415317504"</f>
        <v>9780415317504</v>
      </c>
      <c r="H2353" t="s">
        <v>4937</v>
      </c>
      <c r="I2353">
        <v>711.41</v>
      </c>
      <c r="J2353" t="s">
        <v>4938</v>
      </c>
      <c r="K2353" t="s">
        <v>73</v>
      </c>
      <c r="N2353" t="s">
        <v>74</v>
      </c>
      <c r="O2353" t="s">
        <v>75</v>
      </c>
      <c r="P2353" t="s">
        <v>74</v>
      </c>
      <c r="Q2353" t="s">
        <v>76</v>
      </c>
      <c r="R2353" t="s">
        <v>73</v>
      </c>
      <c r="S2353">
        <v>0</v>
      </c>
      <c r="W2353" s="20">
        <v>4.6296296296296294E-5</v>
      </c>
      <c r="X2353" t="s">
        <v>137</v>
      </c>
      <c r="Y2353">
        <v>1</v>
      </c>
      <c r="Z2353">
        <v>0</v>
      </c>
      <c r="AA2353" t="s">
        <v>78</v>
      </c>
      <c r="AB2353">
        <v>0</v>
      </c>
      <c r="AC2353" t="s">
        <v>78</v>
      </c>
      <c r="AD2353">
        <v>0</v>
      </c>
      <c r="AE2353">
        <v>10094573</v>
      </c>
      <c r="AF2353" t="s">
        <v>79</v>
      </c>
      <c r="AG2353" t="s">
        <v>4850</v>
      </c>
    </row>
    <row r="2354" spans="1:33" x14ac:dyDescent="0.35">
      <c r="A2354" s="18">
        <v>44261.870138888888</v>
      </c>
      <c r="B2354">
        <v>1143698</v>
      </c>
      <c r="C2354" t="s">
        <v>5248</v>
      </c>
      <c r="D2354" t="s">
        <v>127</v>
      </c>
      <c r="E2354" s="19">
        <v>41367</v>
      </c>
      <c r="F2354" t="str">
        <f>"9781136469862"</f>
        <v>9781136469862</v>
      </c>
      <c r="G2354" t="str">
        <f>"9781849713399"</f>
        <v>9781849713399</v>
      </c>
      <c r="H2354" t="s">
        <v>1194</v>
      </c>
      <c r="I2354" t="s">
        <v>5249</v>
      </c>
      <c r="J2354" t="s">
        <v>5250</v>
      </c>
      <c r="K2354" t="s">
        <v>73</v>
      </c>
      <c r="N2354" t="s">
        <v>74</v>
      </c>
      <c r="O2354" t="s">
        <v>75</v>
      </c>
      <c r="P2354" t="s">
        <v>74</v>
      </c>
      <c r="Q2354" t="s">
        <v>76</v>
      </c>
      <c r="R2354" t="s">
        <v>73</v>
      </c>
      <c r="S2354">
        <v>0</v>
      </c>
      <c r="W2354" s="20">
        <v>2.146990740740741E-2</v>
      </c>
      <c r="X2354" t="s">
        <v>5251</v>
      </c>
      <c r="Y2354">
        <v>35</v>
      </c>
      <c r="Z2354">
        <v>0</v>
      </c>
      <c r="AA2354" t="s">
        <v>78</v>
      </c>
      <c r="AB2354">
        <v>0</v>
      </c>
      <c r="AC2354" t="s">
        <v>78</v>
      </c>
      <c r="AD2354">
        <v>0</v>
      </c>
      <c r="AE2354">
        <v>10672587</v>
      </c>
      <c r="AF2354" t="s">
        <v>79</v>
      </c>
      <c r="AG2354" t="s">
        <v>4818</v>
      </c>
    </row>
    <row r="2355" spans="1:33" x14ac:dyDescent="0.35">
      <c r="A2355" s="18">
        <v>44261.868055555555</v>
      </c>
      <c r="B2355">
        <v>5047311</v>
      </c>
      <c r="C2355" t="s">
        <v>4991</v>
      </c>
      <c r="D2355" t="s">
        <v>4992</v>
      </c>
      <c r="E2355" s="19">
        <v>42979</v>
      </c>
      <c r="F2355" t="str">
        <f>"9781869227074"</f>
        <v>9781869227074</v>
      </c>
      <c r="G2355" t="str">
        <f>"9781869227067"</f>
        <v>9781869227067</v>
      </c>
      <c r="H2355" t="s">
        <v>143</v>
      </c>
      <c r="I2355">
        <v>658.40920000000006</v>
      </c>
      <c r="J2355" t="s">
        <v>4993</v>
      </c>
      <c r="K2355" t="s">
        <v>73</v>
      </c>
      <c r="N2355" t="s">
        <v>74</v>
      </c>
      <c r="O2355" t="s">
        <v>75</v>
      </c>
      <c r="P2355" t="s">
        <v>74</v>
      </c>
      <c r="Q2355" t="s">
        <v>76</v>
      </c>
      <c r="R2355" t="s">
        <v>73</v>
      </c>
      <c r="S2355">
        <v>0</v>
      </c>
      <c r="W2355" s="20">
        <v>1.511574074074074E-2</v>
      </c>
      <c r="X2355" t="s">
        <v>5252</v>
      </c>
      <c r="Y2355">
        <v>28</v>
      </c>
      <c r="Z2355">
        <v>0</v>
      </c>
      <c r="AA2355" t="s">
        <v>78</v>
      </c>
      <c r="AB2355">
        <v>0</v>
      </c>
      <c r="AC2355" t="s">
        <v>78</v>
      </c>
      <c r="AD2355">
        <v>0</v>
      </c>
      <c r="AE2355">
        <v>11442845</v>
      </c>
      <c r="AF2355" t="s">
        <v>79</v>
      </c>
      <c r="AG2355" t="s">
        <v>4442</v>
      </c>
    </row>
    <row r="2356" spans="1:33" x14ac:dyDescent="0.35">
      <c r="A2356" s="18">
        <v>44261.867361111108</v>
      </c>
      <c r="B2356">
        <v>837612</v>
      </c>
      <c r="C2356" t="s">
        <v>5253</v>
      </c>
      <c r="D2356" t="s">
        <v>70</v>
      </c>
      <c r="E2356" s="19">
        <v>41086</v>
      </c>
      <c r="F2356" t="str">
        <f>"9781118334003"</f>
        <v>9781118334003</v>
      </c>
      <c r="G2356" t="str">
        <f>"9781118293195"</f>
        <v>9781118293195</v>
      </c>
      <c r="H2356" t="s">
        <v>143</v>
      </c>
      <c r="I2356" t="s">
        <v>5254</v>
      </c>
      <c r="J2356" t="s">
        <v>5255</v>
      </c>
      <c r="K2356" t="s">
        <v>73</v>
      </c>
      <c r="N2356" t="s">
        <v>74</v>
      </c>
      <c r="O2356" t="s">
        <v>75</v>
      </c>
      <c r="P2356" t="s">
        <v>74</v>
      </c>
      <c r="Q2356" t="s">
        <v>76</v>
      </c>
      <c r="R2356" t="s">
        <v>73</v>
      </c>
      <c r="S2356">
        <v>0</v>
      </c>
      <c r="W2356" s="20">
        <v>7.175925925925927E-4</v>
      </c>
      <c r="X2356" t="s">
        <v>5256</v>
      </c>
      <c r="Y2356">
        <v>6</v>
      </c>
      <c r="Z2356">
        <v>0</v>
      </c>
      <c r="AA2356" t="s">
        <v>78</v>
      </c>
      <c r="AB2356">
        <v>0</v>
      </c>
      <c r="AC2356" t="s">
        <v>78</v>
      </c>
      <c r="AD2356">
        <v>0</v>
      </c>
      <c r="AE2356">
        <v>10580200</v>
      </c>
      <c r="AF2356" t="s">
        <v>79</v>
      </c>
      <c r="AG2356" t="s">
        <v>4442</v>
      </c>
    </row>
    <row r="2357" spans="1:33" x14ac:dyDescent="0.35">
      <c r="A2357" s="18">
        <v>44261.863888888889</v>
      </c>
      <c r="B2357">
        <v>3406960</v>
      </c>
      <c r="C2357" t="s">
        <v>5257</v>
      </c>
      <c r="D2357" t="s">
        <v>517</v>
      </c>
      <c r="E2357" s="19">
        <v>33962</v>
      </c>
      <c r="F2357" t="str">
        <f>"9781438405957"</f>
        <v>9781438405957</v>
      </c>
      <c r="G2357" t="str">
        <f>"9780791412923"</f>
        <v>9780791412923</v>
      </c>
      <c r="H2357" t="s">
        <v>1179</v>
      </c>
      <c r="I2357" t="s">
        <v>5258</v>
      </c>
      <c r="J2357" t="s">
        <v>5259</v>
      </c>
      <c r="K2357" t="s">
        <v>73</v>
      </c>
      <c r="N2357" t="s">
        <v>74</v>
      </c>
      <c r="O2357" t="s">
        <v>75</v>
      </c>
      <c r="P2357" t="s">
        <v>74</v>
      </c>
      <c r="Q2357" t="s">
        <v>76</v>
      </c>
      <c r="R2357" t="s">
        <v>73</v>
      </c>
      <c r="S2357">
        <v>0</v>
      </c>
      <c r="W2357" s="20">
        <v>6.8287037037037025E-4</v>
      </c>
      <c r="X2357" t="s">
        <v>5144</v>
      </c>
      <c r="Y2357">
        <v>13</v>
      </c>
      <c r="Z2357">
        <v>0</v>
      </c>
      <c r="AA2357" t="s">
        <v>78</v>
      </c>
      <c r="AB2357">
        <v>0</v>
      </c>
      <c r="AC2357" t="s">
        <v>78</v>
      </c>
      <c r="AD2357">
        <v>0</v>
      </c>
      <c r="AE2357">
        <v>10022522</v>
      </c>
      <c r="AF2357" t="s">
        <v>79</v>
      </c>
      <c r="AG2357" t="s">
        <v>4442</v>
      </c>
    </row>
    <row r="2358" spans="1:33" x14ac:dyDescent="0.35">
      <c r="A2358" s="18">
        <v>44261.818055555559</v>
      </c>
      <c r="B2358">
        <v>967167</v>
      </c>
      <c r="C2358" t="s">
        <v>5260</v>
      </c>
      <c r="D2358" t="s">
        <v>127</v>
      </c>
      <c r="E2358" s="19">
        <v>41112</v>
      </c>
      <c r="F2358" t="str">
        <f>"9781444164947"</f>
        <v>9781444164947</v>
      </c>
      <c r="G2358" t="str">
        <f>"9781444121346"</f>
        <v>9781444121346</v>
      </c>
      <c r="H2358" t="s">
        <v>222</v>
      </c>
      <c r="I2358">
        <v>616.79999999999995</v>
      </c>
      <c r="J2358" t="s">
        <v>5261</v>
      </c>
      <c r="K2358" t="s">
        <v>85</v>
      </c>
      <c r="N2358" t="s">
        <v>86</v>
      </c>
      <c r="P2358" t="s">
        <v>87</v>
      </c>
      <c r="Q2358" t="s">
        <v>76</v>
      </c>
      <c r="R2358" t="s">
        <v>73</v>
      </c>
      <c r="S2358">
        <v>0</v>
      </c>
      <c r="W2358" s="20">
        <v>2.0138888888888888E-3</v>
      </c>
      <c r="X2358" t="s">
        <v>5262</v>
      </c>
      <c r="Y2358">
        <v>17</v>
      </c>
      <c r="Z2358">
        <v>0</v>
      </c>
      <c r="AA2358" t="s">
        <v>78</v>
      </c>
      <c r="AB2358">
        <v>0</v>
      </c>
      <c r="AC2358" t="s">
        <v>78</v>
      </c>
      <c r="AD2358">
        <v>0</v>
      </c>
      <c r="AE2358">
        <v>11165258</v>
      </c>
      <c r="AF2358" t="s">
        <v>79</v>
      </c>
      <c r="AG2358" t="s">
        <v>515</v>
      </c>
    </row>
    <row r="2359" spans="1:33" x14ac:dyDescent="0.35">
      <c r="A2359" s="18">
        <v>44261.788194444445</v>
      </c>
      <c r="B2359">
        <v>967167</v>
      </c>
      <c r="C2359" t="s">
        <v>5260</v>
      </c>
      <c r="D2359" t="s">
        <v>127</v>
      </c>
      <c r="E2359" s="19">
        <v>41112</v>
      </c>
      <c r="F2359" t="str">
        <f>"9781444164947"</f>
        <v>9781444164947</v>
      </c>
      <c r="G2359" t="str">
        <f>"9781444121346"</f>
        <v>9781444121346</v>
      </c>
      <c r="H2359" t="s">
        <v>222</v>
      </c>
      <c r="I2359">
        <v>616.79999999999995</v>
      </c>
      <c r="J2359" t="s">
        <v>5261</v>
      </c>
      <c r="K2359" t="s">
        <v>85</v>
      </c>
      <c r="N2359" t="s">
        <v>86</v>
      </c>
      <c r="P2359" t="s">
        <v>87</v>
      </c>
      <c r="Q2359" t="s">
        <v>76</v>
      </c>
      <c r="R2359" t="s">
        <v>73</v>
      </c>
      <c r="S2359">
        <v>0</v>
      </c>
      <c r="W2359" s="20">
        <v>9.6064814814814808E-4</v>
      </c>
      <c r="X2359" t="s">
        <v>5263</v>
      </c>
      <c r="Y2359">
        <v>12</v>
      </c>
      <c r="Z2359">
        <v>0</v>
      </c>
      <c r="AA2359" t="s">
        <v>78</v>
      </c>
      <c r="AB2359">
        <v>0</v>
      </c>
      <c r="AC2359" t="s">
        <v>78</v>
      </c>
      <c r="AD2359">
        <v>0</v>
      </c>
      <c r="AE2359">
        <v>11165258</v>
      </c>
      <c r="AF2359" t="s">
        <v>79</v>
      </c>
      <c r="AG2359" t="s">
        <v>515</v>
      </c>
    </row>
    <row r="2360" spans="1:33" x14ac:dyDescent="0.35">
      <c r="A2360" s="18">
        <v>44261.73541666667</v>
      </c>
      <c r="B2360">
        <v>967167</v>
      </c>
      <c r="C2360" t="s">
        <v>5260</v>
      </c>
      <c r="D2360" t="s">
        <v>127</v>
      </c>
      <c r="E2360" s="19">
        <v>41112</v>
      </c>
      <c r="F2360" t="str">
        <f>"9781444164947"</f>
        <v>9781444164947</v>
      </c>
      <c r="G2360" t="str">
        <f>"9781444121346"</f>
        <v>9781444121346</v>
      </c>
      <c r="H2360" t="s">
        <v>222</v>
      </c>
      <c r="I2360">
        <v>616.79999999999995</v>
      </c>
      <c r="J2360" t="s">
        <v>5261</v>
      </c>
      <c r="K2360" t="s">
        <v>85</v>
      </c>
      <c r="N2360" t="s">
        <v>86</v>
      </c>
      <c r="P2360" t="s">
        <v>87</v>
      </c>
      <c r="Q2360" t="s">
        <v>76</v>
      </c>
      <c r="R2360" t="s">
        <v>73</v>
      </c>
      <c r="S2360">
        <v>0</v>
      </c>
      <c r="W2360" s="20">
        <v>1.5624999999999999E-3</v>
      </c>
      <c r="X2360" t="s">
        <v>5264</v>
      </c>
      <c r="Y2360">
        <v>17</v>
      </c>
      <c r="Z2360">
        <v>0</v>
      </c>
      <c r="AA2360" t="s">
        <v>78</v>
      </c>
      <c r="AB2360">
        <v>0</v>
      </c>
      <c r="AC2360" t="s">
        <v>78</v>
      </c>
      <c r="AD2360">
        <v>0</v>
      </c>
      <c r="AE2360">
        <v>11165258</v>
      </c>
      <c r="AF2360" t="s">
        <v>79</v>
      </c>
      <c r="AG2360" t="s">
        <v>515</v>
      </c>
    </row>
    <row r="2361" spans="1:33" x14ac:dyDescent="0.35">
      <c r="A2361" s="18">
        <v>44261.637499999997</v>
      </c>
      <c r="B2361">
        <v>470061</v>
      </c>
      <c r="C2361" t="s">
        <v>5103</v>
      </c>
      <c r="D2361" t="s">
        <v>70</v>
      </c>
      <c r="E2361" s="19">
        <v>39461</v>
      </c>
      <c r="F2361" t="str">
        <f>"9780470697931"</f>
        <v>9780470697931</v>
      </c>
      <c r="G2361" t="str">
        <f>"9781405151276"</f>
        <v>9781405151276</v>
      </c>
      <c r="H2361" t="s">
        <v>5104</v>
      </c>
      <c r="I2361">
        <v>624.06809999999996</v>
      </c>
      <c r="J2361" t="s">
        <v>5105</v>
      </c>
      <c r="K2361" t="s">
        <v>73</v>
      </c>
      <c r="N2361" t="s">
        <v>74</v>
      </c>
      <c r="O2361" t="s">
        <v>75</v>
      </c>
      <c r="P2361" t="s">
        <v>74</v>
      </c>
      <c r="Q2361" t="s">
        <v>76</v>
      </c>
      <c r="R2361" t="s">
        <v>73</v>
      </c>
      <c r="S2361">
        <v>0</v>
      </c>
      <c r="W2361" s="20">
        <v>6.3888888888888884E-3</v>
      </c>
      <c r="X2361" t="s">
        <v>5265</v>
      </c>
      <c r="Y2361">
        <v>20</v>
      </c>
      <c r="Z2361">
        <v>0</v>
      </c>
      <c r="AA2361" t="s">
        <v>78</v>
      </c>
      <c r="AB2361">
        <v>0</v>
      </c>
      <c r="AC2361" t="s">
        <v>78</v>
      </c>
      <c r="AD2361">
        <v>0</v>
      </c>
      <c r="AE2361">
        <v>10297638</v>
      </c>
      <c r="AF2361" t="s">
        <v>79</v>
      </c>
      <c r="AG2361" t="s">
        <v>5266</v>
      </c>
    </row>
    <row r="2362" spans="1:33" x14ac:dyDescent="0.35">
      <c r="A2362" s="18">
        <v>44261.633333333331</v>
      </c>
      <c r="B2362">
        <v>3001261</v>
      </c>
      <c r="C2362" t="s">
        <v>3419</v>
      </c>
      <c r="D2362" t="s">
        <v>3420</v>
      </c>
      <c r="E2362" s="19">
        <v>39630</v>
      </c>
      <c r="F2362" t="str">
        <f>"9780313352874"</f>
        <v>9780313352874</v>
      </c>
      <c r="G2362" t="str">
        <f>"9780313352867"</f>
        <v>9780313352867</v>
      </c>
      <c r="H2362" t="s">
        <v>3421</v>
      </c>
      <c r="I2362">
        <v>333.79</v>
      </c>
      <c r="J2362" t="s">
        <v>3422</v>
      </c>
      <c r="K2362" t="s">
        <v>73</v>
      </c>
      <c r="N2362" t="s">
        <v>74</v>
      </c>
      <c r="O2362" t="s">
        <v>75</v>
      </c>
      <c r="P2362" t="s">
        <v>74</v>
      </c>
      <c r="Q2362" t="s">
        <v>76</v>
      </c>
      <c r="R2362" t="s">
        <v>73</v>
      </c>
      <c r="S2362">
        <v>0</v>
      </c>
      <c r="W2362" s="20">
        <v>6.9444444444444444E-5</v>
      </c>
      <c r="X2362" t="s">
        <v>132</v>
      </c>
      <c r="Y2362">
        <v>1</v>
      </c>
      <c r="Z2362">
        <v>0</v>
      </c>
      <c r="AA2362" t="s">
        <v>78</v>
      </c>
      <c r="AB2362">
        <v>0</v>
      </c>
      <c r="AC2362" t="s">
        <v>78</v>
      </c>
      <c r="AD2362">
        <v>0</v>
      </c>
      <c r="AE2362">
        <v>10271266</v>
      </c>
      <c r="AF2362" t="s">
        <v>79</v>
      </c>
      <c r="AG2362" t="s">
        <v>4914</v>
      </c>
    </row>
    <row r="2363" spans="1:33" x14ac:dyDescent="0.35">
      <c r="A2363" s="18">
        <v>44261.466666666667</v>
      </c>
      <c r="B2363">
        <v>4585271</v>
      </c>
      <c r="C2363" t="s">
        <v>377</v>
      </c>
      <c r="D2363" t="s">
        <v>70</v>
      </c>
      <c r="E2363" s="19">
        <v>42583</v>
      </c>
      <c r="F2363" t="str">
        <f>"9781119179597"</f>
        <v>9781119179597</v>
      </c>
      <c r="G2363" t="str">
        <f>"9781119179573"</f>
        <v>9781119179573</v>
      </c>
      <c r="H2363" t="s">
        <v>378</v>
      </c>
      <c r="I2363">
        <v>658.4</v>
      </c>
      <c r="J2363" t="s">
        <v>379</v>
      </c>
      <c r="K2363" t="s">
        <v>73</v>
      </c>
      <c r="N2363" t="s">
        <v>74</v>
      </c>
      <c r="O2363" t="s">
        <v>75</v>
      </c>
      <c r="P2363" t="s">
        <v>74</v>
      </c>
      <c r="Q2363" t="s">
        <v>76</v>
      </c>
      <c r="R2363" t="s">
        <v>73</v>
      </c>
      <c r="S2363">
        <v>0</v>
      </c>
      <c r="W2363" s="20">
        <v>7.7083333333333335E-3</v>
      </c>
      <c r="X2363" t="s">
        <v>5267</v>
      </c>
      <c r="Y2363">
        <v>22</v>
      </c>
      <c r="Z2363">
        <v>0</v>
      </c>
      <c r="AA2363" t="s">
        <v>5268</v>
      </c>
      <c r="AB2363">
        <v>25</v>
      </c>
      <c r="AC2363" t="s">
        <v>78</v>
      </c>
      <c r="AD2363">
        <v>0</v>
      </c>
      <c r="AE2363">
        <v>11234254</v>
      </c>
      <c r="AF2363" t="s">
        <v>79</v>
      </c>
      <c r="AG2363" t="s">
        <v>4442</v>
      </c>
    </row>
    <row r="2364" spans="1:33" x14ac:dyDescent="0.35">
      <c r="A2364" s="18">
        <v>44260.807638888888</v>
      </c>
      <c r="B2364">
        <v>1752821</v>
      </c>
      <c r="C2364" t="s">
        <v>5128</v>
      </c>
      <c r="D2364" t="s">
        <v>1642</v>
      </c>
      <c r="E2364" s="19">
        <v>41802</v>
      </c>
      <c r="F2364" t="str">
        <f>"9781784411817"</f>
        <v>9781784411817</v>
      </c>
      <c r="G2364" t="str">
        <f>"9781784411800"</f>
        <v>9781784411800</v>
      </c>
      <c r="H2364" t="s">
        <v>110</v>
      </c>
      <c r="I2364">
        <v>5.74</v>
      </c>
      <c r="J2364" t="s">
        <v>5129</v>
      </c>
      <c r="K2364" t="s">
        <v>73</v>
      </c>
      <c r="N2364" t="s">
        <v>74</v>
      </c>
      <c r="O2364" t="s">
        <v>75</v>
      </c>
      <c r="P2364" t="s">
        <v>74</v>
      </c>
      <c r="Q2364" t="s">
        <v>76</v>
      </c>
      <c r="R2364" t="s">
        <v>73</v>
      </c>
      <c r="S2364">
        <v>0</v>
      </c>
      <c r="W2364" s="20">
        <v>4.6643518518518518E-3</v>
      </c>
      <c r="X2364" t="s">
        <v>5269</v>
      </c>
      <c r="Y2364">
        <v>14</v>
      </c>
      <c r="Z2364">
        <v>0</v>
      </c>
      <c r="AA2364" t="s">
        <v>78</v>
      </c>
      <c r="AB2364">
        <v>0</v>
      </c>
      <c r="AC2364" t="s">
        <v>78</v>
      </c>
      <c r="AD2364">
        <v>0</v>
      </c>
      <c r="AE2364">
        <v>10900573</v>
      </c>
      <c r="AF2364" t="s">
        <v>79</v>
      </c>
      <c r="AG2364" t="s">
        <v>4442</v>
      </c>
    </row>
    <row r="2365" spans="1:33" x14ac:dyDescent="0.35">
      <c r="A2365" s="18">
        <v>44260.48541666667</v>
      </c>
      <c r="B2365">
        <v>1895549</v>
      </c>
      <c r="C2365" t="s">
        <v>5270</v>
      </c>
      <c r="D2365" t="s">
        <v>70</v>
      </c>
      <c r="E2365" s="19">
        <v>41988</v>
      </c>
      <c r="F2365" t="str">
        <f>"9781118699317"</f>
        <v>9781118699317</v>
      </c>
      <c r="G2365" t="str">
        <f>"9781118699324"</f>
        <v>9781118699324</v>
      </c>
      <c r="H2365" t="s">
        <v>1878</v>
      </c>
      <c r="I2365" t="s">
        <v>5271</v>
      </c>
      <c r="J2365" t="s">
        <v>5272</v>
      </c>
      <c r="K2365" t="s">
        <v>73</v>
      </c>
      <c r="N2365" t="s">
        <v>74</v>
      </c>
      <c r="O2365" t="s">
        <v>75</v>
      </c>
      <c r="P2365" t="s">
        <v>74</v>
      </c>
      <c r="Q2365" t="s">
        <v>76</v>
      </c>
      <c r="R2365" t="s">
        <v>73</v>
      </c>
      <c r="S2365">
        <v>0</v>
      </c>
      <c r="W2365" s="20">
        <v>2.2592592592592591E-2</v>
      </c>
      <c r="X2365" t="s">
        <v>5273</v>
      </c>
      <c r="Y2365">
        <v>34</v>
      </c>
      <c r="Z2365">
        <v>0</v>
      </c>
      <c r="AA2365" t="s">
        <v>78</v>
      </c>
      <c r="AB2365">
        <v>0</v>
      </c>
      <c r="AC2365" t="s">
        <v>78</v>
      </c>
      <c r="AD2365">
        <v>0</v>
      </c>
      <c r="AE2365">
        <v>11005783</v>
      </c>
      <c r="AF2365" t="s">
        <v>79</v>
      </c>
      <c r="AG2365" t="s">
        <v>548</v>
      </c>
    </row>
    <row r="2366" spans="1:33" x14ac:dyDescent="0.35">
      <c r="A2366" s="18">
        <v>44259.87222222222</v>
      </c>
      <c r="B2366">
        <v>1099785</v>
      </c>
      <c r="C2366" t="s">
        <v>5274</v>
      </c>
      <c r="D2366" t="s">
        <v>538</v>
      </c>
      <c r="E2366" s="19">
        <v>41277</v>
      </c>
      <c r="F2366" t="str">
        <f>"9781139611404"</f>
        <v>9781139611404</v>
      </c>
      <c r="G2366" t="str">
        <f>"9780521187084"</f>
        <v>9780521187084</v>
      </c>
      <c r="H2366" t="s">
        <v>5275</v>
      </c>
      <c r="I2366">
        <v>174.28</v>
      </c>
      <c r="J2366" t="s">
        <v>5276</v>
      </c>
      <c r="K2366" t="s">
        <v>73</v>
      </c>
      <c r="N2366" t="s">
        <v>74</v>
      </c>
      <c r="O2366" t="s">
        <v>75</v>
      </c>
      <c r="P2366" t="s">
        <v>74</v>
      </c>
      <c r="Q2366" t="s">
        <v>76</v>
      </c>
      <c r="R2366" t="s">
        <v>73</v>
      </c>
      <c r="S2366">
        <v>0</v>
      </c>
      <c r="W2366" s="20">
        <v>2.0833333333333335E-4</v>
      </c>
      <c r="X2366" t="s">
        <v>5277</v>
      </c>
      <c r="Y2366">
        <v>3</v>
      </c>
      <c r="Z2366">
        <v>0</v>
      </c>
      <c r="AA2366" t="s">
        <v>78</v>
      </c>
      <c r="AB2366">
        <v>0</v>
      </c>
      <c r="AC2366" t="s">
        <v>78</v>
      </c>
      <c r="AD2366">
        <v>0</v>
      </c>
      <c r="AE2366">
        <v>10634031</v>
      </c>
      <c r="AF2366" t="s">
        <v>79</v>
      </c>
      <c r="AG2366" t="s">
        <v>5278</v>
      </c>
    </row>
    <row r="2367" spans="1:33" x14ac:dyDescent="0.35">
      <c r="A2367" s="18">
        <v>44259.863888888889</v>
      </c>
      <c r="B2367">
        <v>1752821</v>
      </c>
      <c r="C2367" t="s">
        <v>5128</v>
      </c>
      <c r="D2367" t="s">
        <v>1642</v>
      </c>
      <c r="E2367" s="19">
        <v>41802</v>
      </c>
      <c r="F2367" t="str">
        <f>"9781784411817"</f>
        <v>9781784411817</v>
      </c>
      <c r="G2367" t="str">
        <f>"9781784411800"</f>
        <v>9781784411800</v>
      </c>
      <c r="H2367" t="s">
        <v>110</v>
      </c>
      <c r="I2367">
        <v>5.74</v>
      </c>
      <c r="J2367" t="s">
        <v>5129</v>
      </c>
      <c r="K2367" t="s">
        <v>73</v>
      </c>
      <c r="N2367" t="s">
        <v>74</v>
      </c>
      <c r="O2367" t="s">
        <v>75</v>
      </c>
      <c r="P2367" t="s">
        <v>74</v>
      </c>
      <c r="Q2367" t="s">
        <v>76</v>
      </c>
      <c r="R2367" t="s">
        <v>73</v>
      </c>
      <c r="S2367">
        <v>0</v>
      </c>
      <c r="W2367" s="20">
        <v>2.6967592592592594E-3</v>
      </c>
      <c r="X2367" t="s">
        <v>5279</v>
      </c>
      <c r="Y2367">
        <v>9</v>
      </c>
      <c r="Z2367">
        <v>0</v>
      </c>
      <c r="AA2367" t="s">
        <v>78</v>
      </c>
      <c r="AB2367">
        <v>0</v>
      </c>
      <c r="AC2367" t="s">
        <v>78</v>
      </c>
      <c r="AD2367">
        <v>0</v>
      </c>
      <c r="AE2367">
        <v>10900573</v>
      </c>
      <c r="AF2367" t="s">
        <v>79</v>
      </c>
      <c r="AG2367" t="s">
        <v>4442</v>
      </c>
    </row>
    <row r="2368" spans="1:33" x14ac:dyDescent="0.35">
      <c r="A2368" s="18">
        <v>44259.82916666667</v>
      </c>
      <c r="B2368">
        <v>361914</v>
      </c>
      <c r="C2368" t="s">
        <v>5280</v>
      </c>
      <c r="D2368" t="s">
        <v>5281</v>
      </c>
      <c r="E2368" s="19">
        <v>38780</v>
      </c>
      <c r="F2368" t="str">
        <f>"9781593394929"</f>
        <v>9781593394929</v>
      </c>
      <c r="G2368" t="str">
        <f>"9781593392932"</f>
        <v>9781593392932</v>
      </c>
      <c r="H2368" t="s">
        <v>551</v>
      </c>
      <c r="I2368">
        <v>31</v>
      </c>
      <c r="J2368" t="s">
        <v>5282</v>
      </c>
      <c r="K2368" t="s">
        <v>73</v>
      </c>
      <c r="N2368" t="s">
        <v>74</v>
      </c>
      <c r="O2368" t="s">
        <v>75</v>
      </c>
      <c r="P2368" t="s">
        <v>74</v>
      </c>
      <c r="Q2368" t="s">
        <v>76</v>
      </c>
      <c r="R2368" t="s">
        <v>73</v>
      </c>
      <c r="S2368">
        <v>0</v>
      </c>
      <c r="W2368" s="20">
        <v>8.2175925925925917E-4</v>
      </c>
      <c r="X2368" t="s">
        <v>5283</v>
      </c>
      <c r="Y2368">
        <v>9</v>
      </c>
      <c r="Z2368">
        <v>0</v>
      </c>
      <c r="AA2368" t="s">
        <v>78</v>
      </c>
      <c r="AB2368">
        <v>0</v>
      </c>
      <c r="AC2368" t="s">
        <v>78</v>
      </c>
      <c r="AD2368">
        <v>0</v>
      </c>
      <c r="AE2368">
        <v>10270935</v>
      </c>
      <c r="AF2368" t="s">
        <v>79</v>
      </c>
      <c r="AG2368" t="s">
        <v>4442</v>
      </c>
    </row>
    <row r="2369" spans="1:33" x14ac:dyDescent="0.35">
      <c r="A2369" s="18">
        <v>44259.790277777778</v>
      </c>
      <c r="B2369">
        <v>4039537</v>
      </c>
      <c r="C2369" t="s">
        <v>5284</v>
      </c>
      <c r="D2369" t="s">
        <v>70</v>
      </c>
      <c r="E2369" s="19">
        <v>42170</v>
      </c>
      <c r="F2369" t="str">
        <f>"9781118882924"</f>
        <v>9781118882924</v>
      </c>
      <c r="G2369" t="str">
        <f>"9781118510704"</f>
        <v>9781118510704</v>
      </c>
      <c r="H2369" t="s">
        <v>391</v>
      </c>
      <c r="I2369" t="s">
        <v>5285</v>
      </c>
      <c r="J2369" t="s">
        <v>5286</v>
      </c>
      <c r="K2369" t="s">
        <v>85</v>
      </c>
      <c r="N2369" t="s">
        <v>74</v>
      </c>
      <c r="O2369" t="s">
        <v>75</v>
      </c>
      <c r="P2369" t="s">
        <v>74</v>
      </c>
      <c r="Q2369" t="s">
        <v>76</v>
      </c>
      <c r="R2369" t="s">
        <v>73</v>
      </c>
      <c r="S2369">
        <v>1</v>
      </c>
      <c r="W2369" s="20">
        <v>0</v>
      </c>
      <c r="X2369" t="s">
        <v>78</v>
      </c>
      <c r="Y2369">
        <v>0</v>
      </c>
      <c r="Z2369">
        <v>0</v>
      </c>
      <c r="AA2369" t="s">
        <v>78</v>
      </c>
      <c r="AB2369">
        <v>0</v>
      </c>
      <c r="AC2369" t="s">
        <v>78</v>
      </c>
      <c r="AD2369">
        <v>0</v>
      </c>
      <c r="AE2369">
        <v>11056829</v>
      </c>
      <c r="AF2369" t="s">
        <v>88</v>
      </c>
      <c r="AG2369" t="s">
        <v>5287</v>
      </c>
    </row>
    <row r="2370" spans="1:33" x14ac:dyDescent="0.35">
      <c r="A2370" s="18">
        <v>44259.401388888888</v>
      </c>
      <c r="B2370">
        <v>4585271</v>
      </c>
      <c r="C2370" t="s">
        <v>377</v>
      </c>
      <c r="D2370" t="s">
        <v>70</v>
      </c>
      <c r="E2370" s="19">
        <v>42583</v>
      </c>
      <c r="F2370" t="str">
        <f>"9781119179597"</f>
        <v>9781119179597</v>
      </c>
      <c r="G2370" t="str">
        <f>"9781119179573"</f>
        <v>9781119179573</v>
      </c>
      <c r="H2370" t="s">
        <v>378</v>
      </c>
      <c r="I2370">
        <v>658.4</v>
      </c>
      <c r="J2370" t="s">
        <v>379</v>
      </c>
      <c r="K2370" t="s">
        <v>73</v>
      </c>
      <c r="N2370" t="s">
        <v>74</v>
      </c>
      <c r="O2370" t="s">
        <v>75</v>
      </c>
      <c r="P2370" t="s">
        <v>74</v>
      </c>
      <c r="Q2370" t="s">
        <v>76</v>
      </c>
      <c r="R2370" t="s">
        <v>73</v>
      </c>
      <c r="S2370">
        <v>0</v>
      </c>
      <c r="W2370" s="20">
        <v>1.6875000000000001E-2</v>
      </c>
      <c r="X2370" t="s">
        <v>5288</v>
      </c>
      <c r="Y2370">
        <v>11</v>
      </c>
      <c r="Z2370">
        <v>0</v>
      </c>
      <c r="AA2370" t="s">
        <v>5289</v>
      </c>
      <c r="AB2370">
        <v>2</v>
      </c>
      <c r="AC2370" t="s">
        <v>78</v>
      </c>
      <c r="AD2370">
        <v>0</v>
      </c>
      <c r="AE2370">
        <v>11234254</v>
      </c>
      <c r="AF2370" t="s">
        <v>79</v>
      </c>
      <c r="AG2370" t="s">
        <v>4442</v>
      </c>
    </row>
    <row r="2371" spans="1:33" x14ac:dyDescent="0.35">
      <c r="A2371" s="18">
        <v>44259.30972222222</v>
      </c>
      <c r="B2371">
        <v>4039537</v>
      </c>
      <c r="C2371" t="s">
        <v>5284</v>
      </c>
      <c r="D2371" t="s">
        <v>70</v>
      </c>
      <c r="E2371" s="19">
        <v>42170</v>
      </c>
      <c r="F2371" t="str">
        <f>"9781118882924"</f>
        <v>9781118882924</v>
      </c>
      <c r="G2371" t="str">
        <f>"9781118510704"</f>
        <v>9781118510704</v>
      </c>
      <c r="H2371" t="s">
        <v>391</v>
      </c>
      <c r="I2371" t="s">
        <v>5285</v>
      </c>
      <c r="J2371" t="s">
        <v>5286</v>
      </c>
      <c r="K2371" t="s">
        <v>85</v>
      </c>
      <c r="N2371" t="s">
        <v>74</v>
      </c>
      <c r="O2371" t="s">
        <v>75</v>
      </c>
      <c r="P2371" t="s">
        <v>74</v>
      </c>
      <c r="Q2371" t="s">
        <v>76</v>
      </c>
      <c r="R2371" t="s">
        <v>73</v>
      </c>
      <c r="S2371">
        <v>0</v>
      </c>
      <c r="W2371" s="20">
        <v>2.7199074074074073E-2</v>
      </c>
      <c r="X2371" t="s">
        <v>5290</v>
      </c>
      <c r="Y2371">
        <v>12</v>
      </c>
      <c r="Z2371">
        <v>0</v>
      </c>
      <c r="AA2371" t="s">
        <v>78</v>
      </c>
      <c r="AB2371">
        <v>0</v>
      </c>
      <c r="AC2371" t="s">
        <v>5291</v>
      </c>
      <c r="AD2371">
        <v>1</v>
      </c>
      <c r="AE2371">
        <v>11056829</v>
      </c>
      <c r="AF2371" t="s">
        <v>79</v>
      </c>
      <c r="AG2371" t="s">
        <v>5292</v>
      </c>
    </row>
    <row r="2372" spans="1:33" x14ac:dyDescent="0.35">
      <c r="A2372" s="18">
        <v>44259.179861111108</v>
      </c>
      <c r="B2372">
        <v>1602822</v>
      </c>
      <c r="C2372" t="s">
        <v>4019</v>
      </c>
      <c r="D2372" t="s">
        <v>127</v>
      </c>
      <c r="E2372" s="19">
        <v>40890</v>
      </c>
      <c r="F2372" t="str">
        <f>"9781439897836"</f>
        <v>9781439897836</v>
      </c>
      <c r="G2372" t="str">
        <f>"9781439804452"</f>
        <v>9781439804452</v>
      </c>
      <c r="H2372" t="s">
        <v>979</v>
      </c>
      <c r="I2372" t="s">
        <v>4020</v>
      </c>
      <c r="J2372" t="s">
        <v>4021</v>
      </c>
      <c r="K2372" t="s">
        <v>73</v>
      </c>
      <c r="N2372" t="s">
        <v>74</v>
      </c>
      <c r="O2372" t="s">
        <v>75</v>
      </c>
      <c r="P2372" t="s">
        <v>74</v>
      </c>
      <c r="Q2372" t="s">
        <v>76</v>
      </c>
      <c r="R2372" t="s">
        <v>73</v>
      </c>
      <c r="S2372">
        <v>0</v>
      </c>
      <c r="W2372" s="20">
        <v>2.3842592592592591E-3</v>
      </c>
      <c r="X2372" t="s">
        <v>5293</v>
      </c>
      <c r="Y2372">
        <v>6</v>
      </c>
      <c r="Z2372">
        <v>3</v>
      </c>
      <c r="AA2372" t="s">
        <v>5294</v>
      </c>
      <c r="AB2372">
        <v>24</v>
      </c>
      <c r="AC2372" t="s">
        <v>137</v>
      </c>
      <c r="AD2372">
        <v>1</v>
      </c>
      <c r="AE2372">
        <v>11167228</v>
      </c>
      <c r="AF2372" t="s">
        <v>79</v>
      </c>
      <c r="AG2372" t="s">
        <v>548</v>
      </c>
    </row>
    <row r="2373" spans="1:33" x14ac:dyDescent="0.35">
      <c r="A2373" s="18">
        <v>44258.667361111111</v>
      </c>
      <c r="B2373">
        <v>4585271</v>
      </c>
      <c r="C2373" t="s">
        <v>377</v>
      </c>
      <c r="D2373" t="s">
        <v>70</v>
      </c>
      <c r="E2373" s="19">
        <v>42583</v>
      </c>
      <c r="F2373" t="str">
        <f>"9781119179597"</f>
        <v>9781119179597</v>
      </c>
      <c r="G2373" t="str">
        <f>"9781119179573"</f>
        <v>9781119179573</v>
      </c>
      <c r="H2373" t="s">
        <v>378</v>
      </c>
      <c r="I2373">
        <v>658.4</v>
      </c>
      <c r="J2373" t="s">
        <v>379</v>
      </c>
      <c r="K2373" t="s">
        <v>73</v>
      </c>
      <c r="N2373" t="s">
        <v>74</v>
      </c>
      <c r="O2373" t="s">
        <v>75</v>
      </c>
      <c r="P2373" t="s">
        <v>74</v>
      </c>
      <c r="Q2373" t="s">
        <v>76</v>
      </c>
      <c r="R2373" t="s">
        <v>73</v>
      </c>
      <c r="S2373">
        <v>0</v>
      </c>
      <c r="W2373" s="20">
        <v>3.4722222222222224E-4</v>
      </c>
      <c r="X2373" t="s">
        <v>5295</v>
      </c>
      <c r="Y2373">
        <v>3</v>
      </c>
      <c r="Z2373">
        <v>1</v>
      </c>
      <c r="AA2373" t="s">
        <v>5296</v>
      </c>
      <c r="AB2373">
        <v>21</v>
      </c>
      <c r="AC2373" t="s">
        <v>78</v>
      </c>
      <c r="AD2373">
        <v>0</v>
      </c>
      <c r="AE2373">
        <v>11234254</v>
      </c>
      <c r="AF2373" t="s">
        <v>79</v>
      </c>
      <c r="AG2373" t="s">
        <v>4442</v>
      </c>
    </row>
    <row r="2374" spans="1:33" x14ac:dyDescent="0.35">
      <c r="A2374" s="18">
        <v>44258.645833333336</v>
      </c>
      <c r="B2374">
        <v>4812122</v>
      </c>
      <c r="C2374" t="s">
        <v>3920</v>
      </c>
      <c r="D2374" t="s">
        <v>300</v>
      </c>
      <c r="E2374" s="19">
        <v>42783</v>
      </c>
      <c r="F2374" t="str">
        <f>"9780262336680"</f>
        <v>9780262336680</v>
      </c>
      <c r="G2374" t="str">
        <f>"9780262035354"</f>
        <v>9780262035354</v>
      </c>
      <c r="H2374" t="s">
        <v>143</v>
      </c>
      <c r="I2374">
        <v>658.40629999999999</v>
      </c>
      <c r="J2374" t="s">
        <v>3921</v>
      </c>
      <c r="K2374" t="s">
        <v>85</v>
      </c>
      <c r="N2374" t="s">
        <v>86</v>
      </c>
      <c r="P2374" t="s">
        <v>87</v>
      </c>
      <c r="Q2374" t="s">
        <v>76</v>
      </c>
      <c r="R2374" t="s">
        <v>73</v>
      </c>
      <c r="S2374">
        <v>0</v>
      </c>
      <c r="W2374" s="20">
        <v>2.3148148148148146E-4</v>
      </c>
      <c r="X2374" t="s">
        <v>5297</v>
      </c>
      <c r="Y2374">
        <v>5</v>
      </c>
      <c r="Z2374">
        <v>0</v>
      </c>
      <c r="AA2374" t="s">
        <v>78</v>
      </c>
      <c r="AB2374">
        <v>0</v>
      </c>
      <c r="AC2374" t="s">
        <v>78</v>
      </c>
      <c r="AD2374">
        <v>0</v>
      </c>
      <c r="AE2374">
        <v>11351826</v>
      </c>
      <c r="AF2374" t="s">
        <v>79</v>
      </c>
      <c r="AG2374" t="s">
        <v>5298</v>
      </c>
    </row>
    <row r="2375" spans="1:33" x14ac:dyDescent="0.35">
      <c r="A2375" s="18">
        <v>44258.522916666669</v>
      </c>
      <c r="B2375">
        <v>2044717</v>
      </c>
      <c r="C2375" t="s">
        <v>5299</v>
      </c>
      <c r="D2375" t="s">
        <v>70</v>
      </c>
      <c r="E2375" s="19">
        <v>42150</v>
      </c>
      <c r="F2375" t="str">
        <f>"9783527682065"</f>
        <v>9783527682065</v>
      </c>
      <c r="G2375" t="str">
        <f>"9783527412822"</f>
        <v>9783527412822</v>
      </c>
      <c r="H2375" t="s">
        <v>2606</v>
      </c>
      <c r="I2375">
        <v>530.41</v>
      </c>
      <c r="J2375" t="s">
        <v>5300</v>
      </c>
      <c r="K2375" t="s">
        <v>73</v>
      </c>
      <c r="N2375" t="s">
        <v>74</v>
      </c>
      <c r="O2375" t="s">
        <v>75</v>
      </c>
      <c r="P2375" t="s">
        <v>74</v>
      </c>
      <c r="Q2375" t="s">
        <v>76</v>
      </c>
      <c r="R2375" t="s">
        <v>73</v>
      </c>
      <c r="S2375">
        <v>0</v>
      </c>
      <c r="W2375" s="20">
        <v>2.4189814814814816E-3</v>
      </c>
      <c r="X2375" t="s">
        <v>5301</v>
      </c>
      <c r="Y2375">
        <v>3</v>
      </c>
      <c r="Z2375">
        <v>1</v>
      </c>
      <c r="AA2375" t="s">
        <v>5302</v>
      </c>
      <c r="AB2375">
        <v>30</v>
      </c>
      <c r="AC2375" t="s">
        <v>78</v>
      </c>
      <c r="AD2375">
        <v>0</v>
      </c>
      <c r="AE2375">
        <v>11059001</v>
      </c>
      <c r="AF2375" t="s">
        <v>79</v>
      </c>
      <c r="AG2375" t="s">
        <v>4442</v>
      </c>
    </row>
    <row r="2376" spans="1:33" x14ac:dyDescent="0.35">
      <c r="A2376" s="18">
        <v>44258.498611111114</v>
      </c>
      <c r="B2376">
        <v>534858</v>
      </c>
      <c r="C2376" t="s">
        <v>3959</v>
      </c>
      <c r="D2376" t="s">
        <v>158</v>
      </c>
      <c r="E2376" s="19">
        <v>40144</v>
      </c>
      <c r="F2376" t="str">
        <f>"9780080931562"</f>
        <v>9780080931562</v>
      </c>
      <c r="G2376" t="str">
        <f>"9780444527851"</f>
        <v>9780444527851</v>
      </c>
      <c r="H2376" t="s">
        <v>159</v>
      </c>
      <c r="I2376">
        <v>665.53</v>
      </c>
      <c r="J2376" t="s">
        <v>3960</v>
      </c>
      <c r="K2376" t="s">
        <v>73</v>
      </c>
      <c r="N2376" t="s">
        <v>74</v>
      </c>
      <c r="O2376" t="s">
        <v>75</v>
      </c>
      <c r="P2376" t="s">
        <v>74</v>
      </c>
      <c r="Q2376" t="s">
        <v>76</v>
      </c>
      <c r="R2376" t="s">
        <v>73</v>
      </c>
      <c r="S2376">
        <v>0</v>
      </c>
      <c r="W2376" s="20">
        <v>7.3842592592592597E-3</v>
      </c>
      <c r="X2376" t="s">
        <v>5303</v>
      </c>
      <c r="Y2376">
        <v>35</v>
      </c>
      <c r="Z2376">
        <v>0</v>
      </c>
      <c r="AA2376" t="s">
        <v>78</v>
      </c>
      <c r="AB2376">
        <v>0</v>
      </c>
      <c r="AC2376" t="s">
        <v>78</v>
      </c>
      <c r="AD2376">
        <v>0</v>
      </c>
      <c r="AE2376">
        <v>10378873</v>
      </c>
      <c r="AF2376" t="s">
        <v>79</v>
      </c>
      <c r="AG2376" t="s">
        <v>4442</v>
      </c>
    </row>
    <row r="2377" spans="1:33" x14ac:dyDescent="0.35">
      <c r="A2377" s="18">
        <v>44258.036111111112</v>
      </c>
      <c r="B2377">
        <v>3017910</v>
      </c>
      <c r="C2377" t="s">
        <v>5304</v>
      </c>
      <c r="D2377" t="s">
        <v>226</v>
      </c>
      <c r="E2377" s="19">
        <v>40452</v>
      </c>
      <c r="F2377" t="str">
        <f>"9781619428225"</f>
        <v>9781619428225</v>
      </c>
      <c r="G2377" t="str">
        <f>"9781617286889"</f>
        <v>9781617286889</v>
      </c>
      <c r="H2377" t="s">
        <v>110</v>
      </c>
      <c r="J2377" t="s">
        <v>5305</v>
      </c>
      <c r="K2377" t="s">
        <v>73</v>
      </c>
      <c r="N2377" t="s">
        <v>74</v>
      </c>
      <c r="O2377" t="s">
        <v>75</v>
      </c>
      <c r="P2377" t="s">
        <v>230</v>
      </c>
      <c r="Q2377" t="s">
        <v>76</v>
      </c>
      <c r="R2377" t="s">
        <v>85</v>
      </c>
      <c r="S2377">
        <v>0</v>
      </c>
      <c r="W2377" s="20">
        <v>0</v>
      </c>
      <c r="X2377" t="s">
        <v>78</v>
      </c>
      <c r="Y2377">
        <v>0</v>
      </c>
      <c r="Z2377">
        <v>2</v>
      </c>
      <c r="AA2377" t="s">
        <v>5306</v>
      </c>
      <c r="AB2377">
        <v>341</v>
      </c>
      <c r="AC2377" t="s">
        <v>78</v>
      </c>
      <c r="AD2377">
        <v>0</v>
      </c>
      <c r="AE2377">
        <v>10654881</v>
      </c>
      <c r="AF2377" t="s">
        <v>79</v>
      </c>
      <c r="AG2377" t="s">
        <v>5123</v>
      </c>
    </row>
    <row r="2378" spans="1:33" x14ac:dyDescent="0.35">
      <c r="A2378" s="18">
        <v>44258.010416666664</v>
      </c>
      <c r="B2378">
        <v>3338586</v>
      </c>
      <c r="C2378" t="s">
        <v>5307</v>
      </c>
      <c r="D2378" t="s">
        <v>300</v>
      </c>
      <c r="E2378" s="19">
        <v>38473</v>
      </c>
      <c r="F2378" t="str">
        <f>"9780262256247"</f>
        <v>9780262256247</v>
      </c>
      <c r="G2378" t="str">
        <f>"9780262072601"</f>
        <v>9780262072601</v>
      </c>
      <c r="H2378" t="s">
        <v>5308</v>
      </c>
      <c r="I2378">
        <v>302.3</v>
      </c>
      <c r="J2378" t="s">
        <v>5309</v>
      </c>
      <c r="K2378" t="s">
        <v>73</v>
      </c>
      <c r="N2378" t="s">
        <v>74</v>
      </c>
      <c r="O2378" t="s">
        <v>75</v>
      </c>
      <c r="P2378" t="s">
        <v>74</v>
      </c>
      <c r="Q2378" t="s">
        <v>76</v>
      </c>
      <c r="R2378" t="s">
        <v>73</v>
      </c>
      <c r="S2378">
        <v>0</v>
      </c>
      <c r="W2378" s="20">
        <v>8.1018518518518516E-4</v>
      </c>
      <c r="X2378" t="s">
        <v>482</v>
      </c>
      <c r="Y2378">
        <v>1</v>
      </c>
      <c r="Z2378">
        <v>1</v>
      </c>
      <c r="AA2378" t="s">
        <v>5310</v>
      </c>
      <c r="AB2378">
        <v>28</v>
      </c>
      <c r="AC2378" t="s">
        <v>78</v>
      </c>
      <c r="AD2378">
        <v>0</v>
      </c>
      <c r="AE2378">
        <v>10173644</v>
      </c>
      <c r="AF2378" t="s">
        <v>79</v>
      </c>
      <c r="AG2378" t="s">
        <v>5123</v>
      </c>
    </row>
    <row r="2379" spans="1:33" x14ac:dyDescent="0.35">
      <c r="A2379" s="18">
        <v>44257.856249999997</v>
      </c>
      <c r="B2379">
        <v>183075</v>
      </c>
      <c r="C2379" t="s">
        <v>5311</v>
      </c>
      <c r="D2379" t="s">
        <v>127</v>
      </c>
      <c r="E2379" s="19">
        <v>37936</v>
      </c>
      <c r="F2379" t="str">
        <f>"9780203634493"</f>
        <v>9780203634493</v>
      </c>
      <c r="G2379" t="str">
        <f>"9780700717286"</f>
        <v>9780700717286</v>
      </c>
      <c r="H2379" t="s">
        <v>968</v>
      </c>
      <c r="I2379">
        <v>338.95100000000002</v>
      </c>
      <c r="J2379" t="s">
        <v>5312</v>
      </c>
      <c r="K2379" t="s">
        <v>73</v>
      </c>
      <c r="N2379" t="s">
        <v>74</v>
      </c>
      <c r="O2379" t="s">
        <v>75</v>
      </c>
      <c r="P2379" t="s">
        <v>74</v>
      </c>
      <c r="Q2379" t="s">
        <v>76</v>
      </c>
      <c r="R2379" t="s">
        <v>73</v>
      </c>
      <c r="S2379">
        <v>0</v>
      </c>
      <c r="W2379" s="20">
        <v>4.2361111111111106E-3</v>
      </c>
      <c r="X2379" t="s">
        <v>5313</v>
      </c>
      <c r="Y2379">
        <v>33</v>
      </c>
      <c r="Z2379">
        <v>0</v>
      </c>
      <c r="AA2379" t="s">
        <v>78</v>
      </c>
      <c r="AB2379">
        <v>0</v>
      </c>
      <c r="AC2379" t="s">
        <v>78</v>
      </c>
      <c r="AD2379">
        <v>0</v>
      </c>
      <c r="AE2379">
        <v>10098666</v>
      </c>
      <c r="AF2379" t="s">
        <v>79</v>
      </c>
      <c r="AG2379" t="s">
        <v>4442</v>
      </c>
    </row>
    <row r="2380" spans="1:33" x14ac:dyDescent="0.35">
      <c r="A2380" s="18">
        <v>44257.828472222223</v>
      </c>
      <c r="B2380">
        <v>1602822</v>
      </c>
      <c r="C2380" t="s">
        <v>4019</v>
      </c>
      <c r="D2380" t="s">
        <v>127</v>
      </c>
      <c r="E2380" s="19">
        <v>40890</v>
      </c>
      <c r="F2380" t="str">
        <f>"9781439897836"</f>
        <v>9781439897836</v>
      </c>
      <c r="G2380" t="str">
        <f>"9781439804452"</f>
        <v>9781439804452</v>
      </c>
      <c r="H2380" t="s">
        <v>979</v>
      </c>
      <c r="I2380" t="s">
        <v>4020</v>
      </c>
      <c r="J2380" t="s">
        <v>4021</v>
      </c>
      <c r="K2380" t="s">
        <v>73</v>
      </c>
      <c r="N2380" t="s">
        <v>74</v>
      </c>
      <c r="O2380" t="s">
        <v>75</v>
      </c>
      <c r="P2380" t="s">
        <v>74</v>
      </c>
      <c r="Q2380" t="s">
        <v>76</v>
      </c>
      <c r="R2380" t="s">
        <v>73</v>
      </c>
      <c r="S2380">
        <v>0</v>
      </c>
      <c r="W2380" s="20">
        <v>1.2870370370370372E-2</v>
      </c>
      <c r="X2380" t="s">
        <v>5314</v>
      </c>
      <c r="Y2380">
        <v>20</v>
      </c>
      <c r="Z2380">
        <v>1</v>
      </c>
      <c r="AA2380" t="s">
        <v>5315</v>
      </c>
      <c r="AB2380">
        <v>26</v>
      </c>
      <c r="AC2380" t="s">
        <v>78</v>
      </c>
      <c r="AD2380">
        <v>0</v>
      </c>
      <c r="AE2380">
        <v>11167228</v>
      </c>
      <c r="AF2380" t="s">
        <v>79</v>
      </c>
      <c r="AG2380" t="s">
        <v>5316</v>
      </c>
    </row>
    <row r="2381" spans="1:33" x14ac:dyDescent="0.35">
      <c r="A2381" s="18">
        <v>44257.617361111108</v>
      </c>
      <c r="B2381">
        <v>5124051</v>
      </c>
      <c r="C2381" t="s">
        <v>5317</v>
      </c>
      <c r="D2381" t="s">
        <v>5318</v>
      </c>
      <c r="E2381" s="19">
        <v>42198</v>
      </c>
      <c r="F2381" t="str">
        <f>"9789814620673"</f>
        <v>9789814620673</v>
      </c>
      <c r="G2381" t="str">
        <f>"9789814620390"</f>
        <v>9789814620390</v>
      </c>
      <c r="H2381" t="s">
        <v>5319</v>
      </c>
      <c r="I2381">
        <v>333.79</v>
      </c>
      <c r="J2381" t="s">
        <v>5320</v>
      </c>
      <c r="K2381" t="s">
        <v>73</v>
      </c>
      <c r="N2381" t="s">
        <v>74</v>
      </c>
      <c r="O2381" t="s">
        <v>75</v>
      </c>
      <c r="P2381" t="s">
        <v>230</v>
      </c>
      <c r="Q2381" t="s">
        <v>76</v>
      </c>
      <c r="R2381" t="s">
        <v>85</v>
      </c>
      <c r="S2381">
        <v>0</v>
      </c>
      <c r="W2381" s="20">
        <v>1.2731481481481483E-3</v>
      </c>
      <c r="X2381" t="s">
        <v>5321</v>
      </c>
      <c r="Y2381">
        <v>13</v>
      </c>
      <c r="Z2381">
        <v>1</v>
      </c>
      <c r="AA2381" t="s">
        <v>5322</v>
      </c>
      <c r="AB2381">
        <v>13</v>
      </c>
      <c r="AC2381" t="s">
        <v>78</v>
      </c>
      <c r="AD2381">
        <v>0</v>
      </c>
      <c r="AE2381">
        <v>11464872</v>
      </c>
      <c r="AF2381" t="s">
        <v>79</v>
      </c>
      <c r="AG2381" t="s">
        <v>4442</v>
      </c>
    </row>
    <row r="2382" spans="1:33" x14ac:dyDescent="0.35">
      <c r="A2382" s="18">
        <v>44257.531944444447</v>
      </c>
      <c r="B2382">
        <v>3317444</v>
      </c>
      <c r="C2382" t="s">
        <v>5323</v>
      </c>
      <c r="D2382" t="s">
        <v>1153</v>
      </c>
      <c r="E2382" s="19">
        <v>37799</v>
      </c>
      <c r="F2382" t="str">
        <f>"9781610911092"</f>
        <v>9781610911092</v>
      </c>
      <c r="G2382" t="str">
        <f>"9781559639163"</f>
        <v>9781559639163</v>
      </c>
      <c r="H2382" t="s">
        <v>5324</v>
      </c>
      <c r="I2382" t="s">
        <v>5325</v>
      </c>
      <c r="J2382" t="s">
        <v>5326</v>
      </c>
      <c r="K2382" t="s">
        <v>73</v>
      </c>
      <c r="N2382" t="s">
        <v>74</v>
      </c>
      <c r="O2382" t="s">
        <v>75</v>
      </c>
      <c r="P2382" t="s">
        <v>74</v>
      </c>
      <c r="Q2382" t="s">
        <v>76</v>
      </c>
      <c r="R2382" t="s">
        <v>73</v>
      </c>
      <c r="S2382">
        <v>0</v>
      </c>
      <c r="W2382" s="20">
        <v>2.8078703703703703E-2</v>
      </c>
      <c r="X2382" t="s">
        <v>5327</v>
      </c>
      <c r="Y2382">
        <v>9</v>
      </c>
      <c r="Z2382">
        <v>0</v>
      </c>
      <c r="AA2382" t="s">
        <v>78</v>
      </c>
      <c r="AB2382">
        <v>0</v>
      </c>
      <c r="AC2382" t="s">
        <v>78</v>
      </c>
      <c r="AD2382">
        <v>0</v>
      </c>
      <c r="AE2382">
        <v>10196544</v>
      </c>
      <c r="AF2382" t="s">
        <v>79</v>
      </c>
      <c r="AG2382" t="s">
        <v>4442</v>
      </c>
    </row>
    <row r="2383" spans="1:33" x14ac:dyDescent="0.35">
      <c r="A2383" s="18">
        <v>44257.531944444447</v>
      </c>
      <c r="B2383">
        <v>200407</v>
      </c>
      <c r="C2383" t="s">
        <v>4936</v>
      </c>
      <c r="D2383" t="s">
        <v>127</v>
      </c>
      <c r="E2383" s="19">
        <v>38344</v>
      </c>
      <c r="F2383" t="str">
        <f>"9780203589397"</f>
        <v>9780203589397</v>
      </c>
      <c r="G2383" t="str">
        <f>"9780415317504"</f>
        <v>9780415317504</v>
      </c>
      <c r="H2383" t="s">
        <v>4937</v>
      </c>
      <c r="I2383">
        <v>711.41</v>
      </c>
      <c r="J2383" t="s">
        <v>4938</v>
      </c>
      <c r="K2383" t="s">
        <v>73</v>
      </c>
      <c r="N2383" t="s">
        <v>74</v>
      </c>
      <c r="O2383" t="s">
        <v>75</v>
      </c>
      <c r="P2383" t="s">
        <v>74</v>
      </c>
      <c r="Q2383" t="s">
        <v>76</v>
      </c>
      <c r="R2383" t="s">
        <v>73</v>
      </c>
      <c r="S2383">
        <v>0</v>
      </c>
      <c r="W2383" s="20">
        <v>2.809027777777778E-2</v>
      </c>
      <c r="X2383" t="s">
        <v>5328</v>
      </c>
      <c r="Y2383">
        <v>25</v>
      </c>
      <c r="Z2383">
        <v>1</v>
      </c>
      <c r="AA2383" t="s">
        <v>5329</v>
      </c>
      <c r="AB2383">
        <v>14</v>
      </c>
      <c r="AC2383" t="s">
        <v>78</v>
      </c>
      <c r="AD2383">
        <v>0</v>
      </c>
      <c r="AE2383">
        <v>10094573</v>
      </c>
      <c r="AF2383" t="s">
        <v>79</v>
      </c>
      <c r="AG2383" t="s">
        <v>4442</v>
      </c>
    </row>
    <row r="2384" spans="1:33" x14ac:dyDescent="0.35">
      <c r="A2384" s="18">
        <v>44257.530555555553</v>
      </c>
      <c r="B2384">
        <v>3317444</v>
      </c>
      <c r="C2384" t="s">
        <v>5323</v>
      </c>
      <c r="D2384" t="s">
        <v>1153</v>
      </c>
      <c r="E2384" s="19">
        <v>37799</v>
      </c>
      <c r="F2384" t="str">
        <f>"9781610911092"</f>
        <v>9781610911092</v>
      </c>
      <c r="G2384" t="str">
        <f>"9781559639163"</f>
        <v>9781559639163</v>
      </c>
      <c r="H2384" t="s">
        <v>5324</v>
      </c>
      <c r="I2384" t="s">
        <v>5325</v>
      </c>
      <c r="J2384" t="s">
        <v>5326</v>
      </c>
      <c r="K2384" t="s">
        <v>73</v>
      </c>
      <c r="N2384" t="s">
        <v>74</v>
      </c>
      <c r="O2384" t="s">
        <v>75</v>
      </c>
      <c r="P2384" t="s">
        <v>74</v>
      </c>
      <c r="Q2384" t="s">
        <v>76</v>
      </c>
      <c r="R2384" t="s">
        <v>73</v>
      </c>
      <c r="S2384">
        <v>0</v>
      </c>
      <c r="W2384" s="20">
        <v>6.9444444444444444E-5</v>
      </c>
      <c r="X2384" t="s">
        <v>132</v>
      </c>
      <c r="Y2384">
        <v>1</v>
      </c>
      <c r="Z2384">
        <v>0</v>
      </c>
      <c r="AA2384" t="s">
        <v>78</v>
      </c>
      <c r="AB2384">
        <v>0</v>
      </c>
      <c r="AC2384" t="s">
        <v>78</v>
      </c>
      <c r="AD2384">
        <v>0</v>
      </c>
      <c r="AE2384">
        <v>10196544</v>
      </c>
      <c r="AF2384" t="s">
        <v>79</v>
      </c>
      <c r="AG2384" t="s">
        <v>4442</v>
      </c>
    </row>
    <row r="2385" spans="1:33" x14ac:dyDescent="0.35">
      <c r="A2385" s="18">
        <v>44257.527083333334</v>
      </c>
      <c r="B2385">
        <v>200407</v>
      </c>
      <c r="C2385" t="s">
        <v>4936</v>
      </c>
      <c r="D2385" t="s">
        <v>127</v>
      </c>
      <c r="E2385" s="19">
        <v>38344</v>
      </c>
      <c r="F2385" t="str">
        <f>"9780203589397"</f>
        <v>9780203589397</v>
      </c>
      <c r="G2385" t="str">
        <f>"9780415317504"</f>
        <v>9780415317504</v>
      </c>
      <c r="H2385" t="s">
        <v>4937</v>
      </c>
      <c r="I2385">
        <v>711.41</v>
      </c>
      <c r="J2385" t="s">
        <v>4938</v>
      </c>
      <c r="K2385" t="s">
        <v>73</v>
      </c>
      <c r="N2385" t="s">
        <v>74</v>
      </c>
      <c r="O2385" t="s">
        <v>75</v>
      </c>
      <c r="P2385" t="s">
        <v>74</v>
      </c>
      <c r="Q2385" t="s">
        <v>76</v>
      </c>
      <c r="R2385" t="s">
        <v>73</v>
      </c>
      <c r="S2385">
        <v>0</v>
      </c>
      <c r="W2385" s="20">
        <v>1.1805555555555556E-3</v>
      </c>
      <c r="X2385" t="s">
        <v>5330</v>
      </c>
      <c r="Y2385">
        <v>10</v>
      </c>
      <c r="Z2385">
        <v>0</v>
      </c>
      <c r="AA2385" t="s">
        <v>78</v>
      </c>
      <c r="AB2385">
        <v>0</v>
      </c>
      <c r="AC2385" t="s">
        <v>78</v>
      </c>
      <c r="AD2385">
        <v>0</v>
      </c>
      <c r="AE2385">
        <v>10094573</v>
      </c>
      <c r="AF2385" t="s">
        <v>79</v>
      </c>
      <c r="AG2385" t="s">
        <v>4442</v>
      </c>
    </row>
    <row r="2386" spans="1:33" x14ac:dyDescent="0.35">
      <c r="A2386" s="18">
        <v>44256.90902777778</v>
      </c>
      <c r="B2386">
        <v>1752821</v>
      </c>
      <c r="C2386" t="s">
        <v>5128</v>
      </c>
      <c r="D2386" t="s">
        <v>1642</v>
      </c>
      <c r="E2386" s="19">
        <v>41802</v>
      </c>
      <c r="F2386" t="str">
        <f>"9781784411817"</f>
        <v>9781784411817</v>
      </c>
      <c r="G2386" t="str">
        <f>"9781784411800"</f>
        <v>9781784411800</v>
      </c>
      <c r="H2386" t="s">
        <v>110</v>
      </c>
      <c r="I2386">
        <v>5.74</v>
      </c>
      <c r="J2386" t="s">
        <v>5129</v>
      </c>
      <c r="K2386" t="s">
        <v>73</v>
      </c>
      <c r="N2386" t="s">
        <v>74</v>
      </c>
      <c r="O2386" t="s">
        <v>75</v>
      </c>
      <c r="P2386" t="s">
        <v>74</v>
      </c>
      <c r="Q2386" t="s">
        <v>76</v>
      </c>
      <c r="R2386" t="s">
        <v>73</v>
      </c>
      <c r="S2386">
        <v>0</v>
      </c>
      <c r="W2386" s="20">
        <v>4.6296296296296294E-5</v>
      </c>
      <c r="X2386" t="s">
        <v>132</v>
      </c>
      <c r="Y2386">
        <v>1</v>
      </c>
      <c r="Z2386">
        <v>0</v>
      </c>
      <c r="AA2386" t="s">
        <v>78</v>
      </c>
      <c r="AB2386">
        <v>0</v>
      </c>
      <c r="AC2386" t="s">
        <v>78</v>
      </c>
      <c r="AD2386">
        <v>0</v>
      </c>
      <c r="AE2386">
        <v>10900573</v>
      </c>
      <c r="AF2386" t="s">
        <v>79</v>
      </c>
      <c r="AG2386" t="s">
        <v>4442</v>
      </c>
    </row>
    <row r="2387" spans="1:33" x14ac:dyDescent="0.35">
      <c r="A2387" s="18">
        <v>44256.833333333336</v>
      </c>
      <c r="B2387">
        <v>3001261</v>
      </c>
      <c r="C2387" t="s">
        <v>3419</v>
      </c>
      <c r="D2387" t="s">
        <v>3420</v>
      </c>
      <c r="E2387" s="19">
        <v>39630</v>
      </c>
      <c r="F2387" t="str">
        <f>"9780313352874"</f>
        <v>9780313352874</v>
      </c>
      <c r="G2387" t="str">
        <f>"9780313352867"</f>
        <v>9780313352867</v>
      </c>
      <c r="H2387" t="s">
        <v>3421</v>
      </c>
      <c r="I2387">
        <v>333.79</v>
      </c>
      <c r="J2387" t="s">
        <v>3422</v>
      </c>
      <c r="K2387" t="s">
        <v>73</v>
      </c>
      <c r="N2387" t="s">
        <v>74</v>
      </c>
      <c r="O2387" t="s">
        <v>75</v>
      </c>
      <c r="P2387" t="s">
        <v>74</v>
      </c>
      <c r="Q2387" t="s">
        <v>76</v>
      </c>
      <c r="R2387" t="s">
        <v>73</v>
      </c>
      <c r="S2387">
        <v>0</v>
      </c>
      <c r="W2387" s="20">
        <v>0</v>
      </c>
      <c r="X2387" t="s">
        <v>78</v>
      </c>
      <c r="Y2387">
        <v>0</v>
      </c>
      <c r="Z2387">
        <v>0</v>
      </c>
      <c r="AA2387" t="s">
        <v>78</v>
      </c>
      <c r="AB2387">
        <v>0</v>
      </c>
      <c r="AC2387" t="s">
        <v>78</v>
      </c>
      <c r="AD2387">
        <v>0</v>
      </c>
      <c r="AE2387">
        <v>10271266</v>
      </c>
      <c r="AF2387" t="s">
        <v>79</v>
      </c>
      <c r="AG2387" t="s">
        <v>4914</v>
      </c>
    </row>
    <row r="2388" spans="1:33" x14ac:dyDescent="0.35">
      <c r="A2388" s="18">
        <v>44256.78402777778</v>
      </c>
      <c r="B2388">
        <v>1584625</v>
      </c>
      <c r="C2388" t="s">
        <v>5331</v>
      </c>
      <c r="D2388" t="s">
        <v>158</v>
      </c>
      <c r="E2388" s="19">
        <v>41052</v>
      </c>
      <c r="F2388" t="str">
        <f>"9780857095152"</f>
        <v>9780857095152</v>
      </c>
      <c r="G2388" t="str">
        <f>"9781855739468"</f>
        <v>9781855739468</v>
      </c>
      <c r="H2388" t="s">
        <v>1088</v>
      </c>
      <c r="I2388">
        <v>629.1</v>
      </c>
      <c r="J2388" t="s">
        <v>5332</v>
      </c>
      <c r="K2388" t="s">
        <v>73</v>
      </c>
      <c r="N2388" t="s">
        <v>74</v>
      </c>
      <c r="O2388" t="s">
        <v>75</v>
      </c>
      <c r="P2388" t="s">
        <v>74</v>
      </c>
      <c r="Q2388" t="s">
        <v>76</v>
      </c>
      <c r="R2388" t="s">
        <v>73</v>
      </c>
      <c r="S2388">
        <v>0</v>
      </c>
      <c r="W2388" s="20">
        <v>5.3356481481481484E-3</v>
      </c>
      <c r="X2388" t="s">
        <v>5333</v>
      </c>
      <c r="Y2388">
        <v>9</v>
      </c>
      <c r="Z2388">
        <v>2</v>
      </c>
      <c r="AA2388" t="s">
        <v>5334</v>
      </c>
      <c r="AB2388">
        <v>45</v>
      </c>
      <c r="AC2388" t="s">
        <v>78</v>
      </c>
      <c r="AD2388">
        <v>0</v>
      </c>
      <c r="AE2388">
        <v>10817787</v>
      </c>
      <c r="AF2388" t="s">
        <v>79</v>
      </c>
      <c r="AG2388" t="s">
        <v>5335</v>
      </c>
    </row>
    <row r="2389" spans="1:33" x14ac:dyDescent="0.35">
      <c r="A2389" s="18">
        <v>44256.76458333333</v>
      </c>
      <c r="B2389">
        <v>3001261</v>
      </c>
      <c r="C2389" t="s">
        <v>3419</v>
      </c>
      <c r="D2389" t="s">
        <v>3420</v>
      </c>
      <c r="E2389" s="19">
        <v>39630</v>
      </c>
      <c r="F2389" t="str">
        <f>"9780313352874"</f>
        <v>9780313352874</v>
      </c>
      <c r="G2389" t="str">
        <f>"9780313352867"</f>
        <v>9780313352867</v>
      </c>
      <c r="H2389" t="s">
        <v>3421</v>
      </c>
      <c r="I2389">
        <v>333.79</v>
      </c>
      <c r="J2389" t="s">
        <v>3422</v>
      </c>
      <c r="K2389" t="s">
        <v>73</v>
      </c>
      <c r="N2389" t="s">
        <v>74</v>
      </c>
      <c r="O2389" t="s">
        <v>75</v>
      </c>
      <c r="P2389" t="s">
        <v>74</v>
      </c>
      <c r="Q2389" t="s">
        <v>76</v>
      </c>
      <c r="R2389" t="s">
        <v>73</v>
      </c>
      <c r="S2389">
        <v>0</v>
      </c>
      <c r="W2389" s="20">
        <v>4.6296296296296294E-5</v>
      </c>
      <c r="X2389" t="s">
        <v>132</v>
      </c>
      <c r="Y2389">
        <v>1</v>
      </c>
      <c r="Z2389">
        <v>0</v>
      </c>
      <c r="AA2389" t="s">
        <v>78</v>
      </c>
      <c r="AB2389">
        <v>0</v>
      </c>
      <c r="AC2389" t="s">
        <v>78</v>
      </c>
      <c r="AD2389">
        <v>0</v>
      </c>
      <c r="AE2389">
        <v>10271266</v>
      </c>
      <c r="AF2389" t="s">
        <v>79</v>
      </c>
      <c r="AG2389" t="s">
        <v>4914</v>
      </c>
    </row>
    <row r="2390" spans="1:33" x14ac:dyDescent="0.35">
      <c r="A2390" s="18">
        <v>44256.739583333336</v>
      </c>
      <c r="B2390">
        <v>3001261</v>
      </c>
      <c r="C2390" t="s">
        <v>3419</v>
      </c>
      <c r="D2390" t="s">
        <v>3420</v>
      </c>
      <c r="E2390" s="19">
        <v>39630</v>
      </c>
      <c r="F2390" t="str">
        <f>"9780313352874"</f>
        <v>9780313352874</v>
      </c>
      <c r="G2390" t="str">
        <f>"9780313352867"</f>
        <v>9780313352867</v>
      </c>
      <c r="H2390" t="s">
        <v>3421</v>
      </c>
      <c r="I2390">
        <v>333.79</v>
      </c>
      <c r="J2390" t="s">
        <v>3422</v>
      </c>
      <c r="K2390" t="s">
        <v>73</v>
      </c>
      <c r="N2390" t="s">
        <v>74</v>
      </c>
      <c r="O2390" t="s">
        <v>75</v>
      </c>
      <c r="P2390" t="s">
        <v>74</v>
      </c>
      <c r="Q2390" t="s">
        <v>76</v>
      </c>
      <c r="R2390" t="s">
        <v>73</v>
      </c>
      <c r="S2390">
        <v>0</v>
      </c>
      <c r="W2390" s="20">
        <v>4.6296296296296294E-5</v>
      </c>
      <c r="X2390" t="s">
        <v>132</v>
      </c>
      <c r="Y2390">
        <v>1</v>
      </c>
      <c r="Z2390">
        <v>0</v>
      </c>
      <c r="AA2390" t="s">
        <v>78</v>
      </c>
      <c r="AB2390">
        <v>0</v>
      </c>
      <c r="AC2390" t="s">
        <v>78</v>
      </c>
      <c r="AD2390">
        <v>0</v>
      </c>
      <c r="AE2390">
        <v>10271266</v>
      </c>
      <c r="AF2390" t="s">
        <v>79</v>
      </c>
      <c r="AG2390" t="s">
        <v>4914</v>
      </c>
    </row>
    <row r="2391" spans="1:33" x14ac:dyDescent="0.35">
      <c r="A2391" s="18">
        <v>44256.737500000003</v>
      </c>
      <c r="B2391">
        <v>4585271</v>
      </c>
      <c r="C2391" t="s">
        <v>377</v>
      </c>
      <c r="D2391" t="s">
        <v>70</v>
      </c>
      <c r="E2391" s="19">
        <v>42583</v>
      </c>
      <c r="F2391" t="str">
        <f>"9781119179597"</f>
        <v>9781119179597</v>
      </c>
      <c r="G2391" t="str">
        <f>"9781119179573"</f>
        <v>9781119179573</v>
      </c>
      <c r="H2391" t="s">
        <v>378</v>
      </c>
      <c r="I2391">
        <v>658.4</v>
      </c>
      <c r="J2391" t="s">
        <v>379</v>
      </c>
      <c r="K2391" t="s">
        <v>73</v>
      </c>
      <c r="N2391" t="s">
        <v>74</v>
      </c>
      <c r="O2391" t="s">
        <v>75</v>
      </c>
      <c r="P2391" t="s">
        <v>74</v>
      </c>
      <c r="Q2391" t="s">
        <v>76</v>
      </c>
      <c r="R2391" t="s">
        <v>73</v>
      </c>
      <c r="S2391">
        <v>0</v>
      </c>
      <c r="W2391" s="20">
        <v>1.8981481481481482E-3</v>
      </c>
      <c r="X2391" t="s">
        <v>5336</v>
      </c>
      <c r="Y2391">
        <v>12</v>
      </c>
      <c r="Z2391">
        <v>2</v>
      </c>
      <c r="AA2391" t="s">
        <v>5337</v>
      </c>
      <c r="AB2391">
        <v>28</v>
      </c>
      <c r="AC2391" t="s">
        <v>78</v>
      </c>
      <c r="AD2391">
        <v>0</v>
      </c>
      <c r="AE2391">
        <v>11234254</v>
      </c>
      <c r="AF2391" t="s">
        <v>88</v>
      </c>
      <c r="AG2391" t="s">
        <v>4442</v>
      </c>
    </row>
    <row r="2392" spans="1:33" x14ac:dyDescent="0.35">
      <c r="A2392" s="18">
        <v>44256.644444444442</v>
      </c>
      <c r="B2392">
        <v>1446430</v>
      </c>
      <c r="C2392" t="s">
        <v>1649</v>
      </c>
      <c r="D2392" t="s">
        <v>127</v>
      </c>
      <c r="E2392" s="19">
        <v>40274</v>
      </c>
      <c r="F2392" t="str">
        <f>"9781439882573"</f>
        <v>9781439882573</v>
      </c>
      <c r="G2392" t="str">
        <f>"9781420085983"</f>
        <v>9781420085983</v>
      </c>
      <c r="H2392" t="s">
        <v>979</v>
      </c>
      <c r="I2392" t="s">
        <v>1650</v>
      </c>
      <c r="J2392" t="s">
        <v>1651</v>
      </c>
      <c r="K2392" t="s">
        <v>73</v>
      </c>
      <c r="N2392" t="s">
        <v>74</v>
      </c>
      <c r="O2392" t="s">
        <v>75</v>
      </c>
      <c r="P2392" t="s">
        <v>74</v>
      </c>
      <c r="Q2392" t="s">
        <v>76</v>
      </c>
      <c r="R2392" t="s">
        <v>73</v>
      </c>
      <c r="S2392">
        <v>0</v>
      </c>
      <c r="W2392" s="20">
        <v>4.6296296296296294E-5</v>
      </c>
      <c r="X2392" t="s">
        <v>132</v>
      </c>
      <c r="Y2392">
        <v>1</v>
      </c>
      <c r="Z2392">
        <v>0</v>
      </c>
      <c r="AA2392" t="s">
        <v>78</v>
      </c>
      <c r="AB2392">
        <v>0</v>
      </c>
      <c r="AC2392" t="s">
        <v>78</v>
      </c>
      <c r="AD2392">
        <v>0</v>
      </c>
      <c r="AE2392">
        <v>11166018</v>
      </c>
      <c r="AF2392" t="s">
        <v>79</v>
      </c>
      <c r="AG2392" t="s">
        <v>5181</v>
      </c>
    </row>
    <row r="2393" spans="1:33" x14ac:dyDescent="0.35">
      <c r="A2393" s="18">
        <v>44256.499305555553</v>
      </c>
      <c r="B2393">
        <v>1446430</v>
      </c>
      <c r="C2393" t="s">
        <v>1649</v>
      </c>
      <c r="D2393" t="s">
        <v>127</v>
      </c>
      <c r="E2393" s="19">
        <v>40274</v>
      </c>
      <c r="F2393" t="str">
        <f>"9781439882573"</f>
        <v>9781439882573</v>
      </c>
      <c r="G2393" t="str">
        <f>"9781420085983"</f>
        <v>9781420085983</v>
      </c>
      <c r="H2393" t="s">
        <v>979</v>
      </c>
      <c r="I2393" t="s">
        <v>1650</v>
      </c>
      <c r="J2393" t="s">
        <v>1651</v>
      </c>
      <c r="K2393" t="s">
        <v>73</v>
      </c>
      <c r="N2393" t="s">
        <v>74</v>
      </c>
      <c r="O2393" t="s">
        <v>75</v>
      </c>
      <c r="P2393" t="s">
        <v>74</v>
      </c>
      <c r="Q2393" t="s">
        <v>76</v>
      </c>
      <c r="R2393" t="s">
        <v>73</v>
      </c>
      <c r="S2393">
        <v>0</v>
      </c>
      <c r="W2393" s="20">
        <v>5.7870370370370366E-5</v>
      </c>
      <c r="X2393" t="s">
        <v>132</v>
      </c>
      <c r="Y2393">
        <v>1</v>
      </c>
      <c r="Z2393">
        <v>0</v>
      </c>
      <c r="AA2393" t="s">
        <v>78</v>
      </c>
      <c r="AB2393">
        <v>0</v>
      </c>
      <c r="AC2393" t="s">
        <v>78</v>
      </c>
      <c r="AD2393">
        <v>0</v>
      </c>
      <c r="AE2393">
        <v>11166018</v>
      </c>
      <c r="AF2393" t="s">
        <v>79</v>
      </c>
      <c r="AG2393" t="s">
        <v>4442</v>
      </c>
    </row>
    <row r="2394" spans="1:33" x14ac:dyDescent="0.35">
      <c r="A2394" s="18">
        <v>44256.43472222222</v>
      </c>
      <c r="B2394">
        <v>3004026</v>
      </c>
      <c r="C2394" t="s">
        <v>4331</v>
      </c>
      <c r="D2394" t="s">
        <v>506</v>
      </c>
      <c r="E2394" s="19">
        <v>38687</v>
      </c>
      <c r="F2394" t="str">
        <f>"9789047409083"</f>
        <v>9789047409083</v>
      </c>
      <c r="G2394" t="str">
        <f>"9789004150102"</f>
        <v>9789004150102</v>
      </c>
      <c r="H2394" t="s">
        <v>4332</v>
      </c>
      <c r="I2394" t="s">
        <v>4333</v>
      </c>
      <c r="J2394" t="s">
        <v>4334</v>
      </c>
      <c r="K2394" t="s">
        <v>73</v>
      </c>
      <c r="N2394" t="s">
        <v>74</v>
      </c>
      <c r="O2394" t="s">
        <v>75</v>
      </c>
      <c r="P2394" t="s">
        <v>74</v>
      </c>
      <c r="Q2394" t="s">
        <v>76</v>
      </c>
      <c r="R2394" t="s">
        <v>73</v>
      </c>
      <c r="S2394">
        <v>0</v>
      </c>
      <c r="W2394" s="20">
        <v>6.3657407407407402E-4</v>
      </c>
      <c r="X2394" t="s">
        <v>5338</v>
      </c>
      <c r="Y2394">
        <v>13</v>
      </c>
      <c r="Z2394">
        <v>0</v>
      </c>
      <c r="AA2394" t="s">
        <v>78</v>
      </c>
      <c r="AB2394">
        <v>0</v>
      </c>
      <c r="AC2394" t="s">
        <v>78</v>
      </c>
      <c r="AD2394">
        <v>0</v>
      </c>
      <c r="AE2394">
        <v>10234689</v>
      </c>
      <c r="AF2394" t="s">
        <v>79</v>
      </c>
      <c r="AG2394" t="s">
        <v>5123</v>
      </c>
    </row>
    <row r="2395" spans="1:33" x14ac:dyDescent="0.35">
      <c r="A2395" s="18">
        <v>44256.39166666667</v>
      </c>
      <c r="B2395">
        <v>4789487</v>
      </c>
      <c r="C2395" t="s">
        <v>5339</v>
      </c>
      <c r="D2395" t="s">
        <v>158</v>
      </c>
      <c r="E2395" s="19">
        <v>42758</v>
      </c>
      <c r="F2395" t="str">
        <f>"9780128036396"</f>
        <v>9780128036396</v>
      </c>
      <c r="G2395" t="str">
        <f>"9780128036389"</f>
        <v>9780128036389</v>
      </c>
      <c r="H2395" t="s">
        <v>128</v>
      </c>
      <c r="I2395">
        <v>363.34</v>
      </c>
      <c r="J2395" t="s">
        <v>5340</v>
      </c>
      <c r="K2395" t="s">
        <v>73</v>
      </c>
      <c r="N2395" t="s">
        <v>74</v>
      </c>
      <c r="O2395" t="s">
        <v>75</v>
      </c>
      <c r="P2395" t="s">
        <v>74</v>
      </c>
      <c r="Q2395" t="s">
        <v>76</v>
      </c>
      <c r="R2395" t="s">
        <v>73</v>
      </c>
      <c r="S2395">
        <v>0</v>
      </c>
      <c r="W2395" s="20">
        <v>3.4722222222222222E-5</v>
      </c>
      <c r="X2395" t="s">
        <v>5341</v>
      </c>
      <c r="Y2395">
        <v>1</v>
      </c>
      <c r="Z2395">
        <v>0</v>
      </c>
      <c r="AA2395" t="s">
        <v>78</v>
      </c>
      <c r="AB2395">
        <v>0</v>
      </c>
      <c r="AC2395" t="s">
        <v>78</v>
      </c>
      <c r="AD2395">
        <v>0</v>
      </c>
      <c r="AE2395">
        <v>11332247</v>
      </c>
      <c r="AF2395" t="s">
        <v>79</v>
      </c>
      <c r="AG2395" t="s">
        <v>5298</v>
      </c>
    </row>
    <row r="2396" spans="1:33" x14ac:dyDescent="0.35">
      <c r="A2396" s="18">
        <v>44256.388194444444</v>
      </c>
      <c r="B2396">
        <v>5611493</v>
      </c>
      <c r="C2396" t="s">
        <v>5342</v>
      </c>
      <c r="D2396" t="s">
        <v>1311</v>
      </c>
      <c r="E2396" s="19">
        <v>43447</v>
      </c>
      <c r="F2396" t="str">
        <f>"9781351261074"</f>
        <v>9781351261074</v>
      </c>
      <c r="G2396" t="str">
        <f>"9780815365648"</f>
        <v>9780815365648</v>
      </c>
      <c r="H2396" t="s">
        <v>5343</v>
      </c>
      <c r="I2396">
        <v>307.72000000000003</v>
      </c>
      <c r="J2396" t="s">
        <v>5344</v>
      </c>
      <c r="K2396" t="s">
        <v>85</v>
      </c>
      <c r="Q2396" t="s">
        <v>76</v>
      </c>
      <c r="R2396" t="s">
        <v>73</v>
      </c>
      <c r="S2396">
        <v>0</v>
      </c>
      <c r="W2396" s="20">
        <v>1.273148148148148E-4</v>
      </c>
      <c r="X2396" t="s">
        <v>5345</v>
      </c>
      <c r="Y2396">
        <v>2</v>
      </c>
      <c r="Z2396">
        <v>0</v>
      </c>
      <c r="AA2396" t="s">
        <v>78</v>
      </c>
      <c r="AB2396">
        <v>0</v>
      </c>
      <c r="AC2396" t="s">
        <v>78</v>
      </c>
      <c r="AD2396">
        <v>0</v>
      </c>
      <c r="AE2396">
        <v>-1</v>
      </c>
      <c r="AF2396" t="s">
        <v>79</v>
      </c>
      <c r="AG2396" t="s">
        <v>5298</v>
      </c>
    </row>
    <row r="2397" spans="1:33" x14ac:dyDescent="0.35">
      <c r="A2397" s="18">
        <v>44256.37777777778</v>
      </c>
      <c r="B2397">
        <v>6319177</v>
      </c>
      <c r="C2397" t="s">
        <v>5346</v>
      </c>
      <c r="D2397" t="s">
        <v>973</v>
      </c>
      <c r="E2397" s="19">
        <v>44081</v>
      </c>
      <c r="F2397" t="str">
        <f>"9783035737479"</f>
        <v>9783035737479</v>
      </c>
      <c r="G2397" t="str">
        <f>""</f>
        <v/>
      </c>
      <c r="H2397" t="s">
        <v>1194</v>
      </c>
      <c r="I2397">
        <v>620.11</v>
      </c>
      <c r="J2397" t="s">
        <v>5347</v>
      </c>
      <c r="K2397" t="s">
        <v>73</v>
      </c>
      <c r="Q2397" t="s">
        <v>76</v>
      </c>
      <c r="R2397" t="s">
        <v>73</v>
      </c>
      <c r="S2397">
        <v>0</v>
      </c>
      <c r="W2397" s="20">
        <v>4.363425925925926E-3</v>
      </c>
      <c r="X2397" t="s">
        <v>5348</v>
      </c>
      <c r="Y2397">
        <v>15</v>
      </c>
      <c r="Z2397">
        <v>0</v>
      </c>
      <c r="AA2397" t="s">
        <v>78</v>
      </c>
      <c r="AB2397">
        <v>0</v>
      </c>
      <c r="AC2397" t="s">
        <v>78</v>
      </c>
      <c r="AD2397">
        <v>0</v>
      </c>
      <c r="AE2397">
        <v>-1</v>
      </c>
      <c r="AF2397" t="s">
        <v>79</v>
      </c>
      <c r="AG2397" t="s">
        <v>5298</v>
      </c>
    </row>
    <row r="2398" spans="1:33" x14ac:dyDescent="0.35">
      <c r="A2398" s="18">
        <v>44256.37222222222</v>
      </c>
      <c r="B2398">
        <v>5528118</v>
      </c>
      <c r="C2398" t="s">
        <v>5349</v>
      </c>
      <c r="D2398" t="s">
        <v>158</v>
      </c>
      <c r="E2398" s="19">
        <v>43320</v>
      </c>
      <c r="F2398" t="str">
        <f>"9780128117965"</f>
        <v>9780128117965</v>
      </c>
      <c r="G2398" t="str">
        <f>"9780128117958"</f>
        <v>9780128117958</v>
      </c>
      <c r="H2398" t="s">
        <v>143</v>
      </c>
      <c r="I2398" t="s">
        <v>5350</v>
      </c>
      <c r="J2398" t="s">
        <v>5351</v>
      </c>
      <c r="K2398" t="s">
        <v>73</v>
      </c>
      <c r="N2398" t="s">
        <v>74</v>
      </c>
      <c r="O2398" t="s">
        <v>75</v>
      </c>
      <c r="P2398" t="s">
        <v>74</v>
      </c>
      <c r="Q2398" t="s">
        <v>76</v>
      </c>
      <c r="R2398" t="s">
        <v>73</v>
      </c>
      <c r="S2398">
        <v>0</v>
      </c>
      <c r="W2398" s="20">
        <v>6.9444444444444447E-4</v>
      </c>
      <c r="X2398" t="s">
        <v>5352</v>
      </c>
      <c r="Y2398">
        <v>6</v>
      </c>
      <c r="Z2398">
        <v>0</v>
      </c>
      <c r="AA2398" t="s">
        <v>78</v>
      </c>
      <c r="AB2398">
        <v>0</v>
      </c>
      <c r="AC2398" t="s">
        <v>78</v>
      </c>
      <c r="AD2398">
        <v>0</v>
      </c>
      <c r="AE2398">
        <v>11613865</v>
      </c>
      <c r="AF2398" t="s">
        <v>79</v>
      </c>
      <c r="AG2398" t="s">
        <v>5298</v>
      </c>
    </row>
    <row r="2399" spans="1:33" x14ac:dyDescent="0.35">
      <c r="A2399" s="18">
        <v>44256.365277777775</v>
      </c>
      <c r="B2399">
        <v>4778464</v>
      </c>
      <c r="C2399" t="s">
        <v>5353</v>
      </c>
      <c r="D2399" t="s">
        <v>70</v>
      </c>
      <c r="E2399" s="19">
        <v>42814</v>
      </c>
      <c r="F2399" t="str">
        <f>"9781118843604"</f>
        <v>9781118843604</v>
      </c>
      <c r="G2399" t="str">
        <f>"9781118843598"</f>
        <v>9781118843598</v>
      </c>
      <c r="H2399" t="s">
        <v>128</v>
      </c>
      <c r="I2399">
        <v>364.40973000000002</v>
      </c>
      <c r="J2399" t="s">
        <v>5354</v>
      </c>
      <c r="K2399" t="s">
        <v>73</v>
      </c>
      <c r="N2399" t="s">
        <v>74</v>
      </c>
      <c r="O2399" t="s">
        <v>75</v>
      </c>
      <c r="P2399" t="s">
        <v>74</v>
      </c>
      <c r="Q2399" t="s">
        <v>76</v>
      </c>
      <c r="R2399" t="s">
        <v>73</v>
      </c>
      <c r="S2399">
        <v>0</v>
      </c>
      <c r="W2399" s="20">
        <v>1.7708333333333332E-3</v>
      </c>
      <c r="X2399" t="s">
        <v>5355</v>
      </c>
      <c r="Y2399">
        <v>8</v>
      </c>
      <c r="Z2399">
        <v>0</v>
      </c>
      <c r="AA2399" t="s">
        <v>78</v>
      </c>
      <c r="AB2399">
        <v>0</v>
      </c>
      <c r="AC2399" t="s">
        <v>78</v>
      </c>
      <c r="AD2399">
        <v>0</v>
      </c>
      <c r="AE2399">
        <v>11325725</v>
      </c>
      <c r="AF2399" t="s">
        <v>79</v>
      </c>
      <c r="AG2399" t="s">
        <v>5298</v>
      </c>
    </row>
    <row r="2400" spans="1:33" x14ac:dyDescent="0.35">
      <c r="A2400" s="18">
        <v>44255.952777777777</v>
      </c>
      <c r="B2400">
        <v>3004026</v>
      </c>
      <c r="C2400" t="s">
        <v>4331</v>
      </c>
      <c r="D2400" t="s">
        <v>506</v>
      </c>
      <c r="E2400" s="19">
        <v>38687</v>
      </c>
      <c r="F2400" t="str">
        <f>"9789047409083"</f>
        <v>9789047409083</v>
      </c>
      <c r="G2400" t="str">
        <f>"9789004150102"</f>
        <v>9789004150102</v>
      </c>
      <c r="H2400" t="s">
        <v>4332</v>
      </c>
      <c r="I2400" t="s">
        <v>4333</v>
      </c>
      <c r="J2400" t="s">
        <v>4334</v>
      </c>
      <c r="K2400" t="s">
        <v>73</v>
      </c>
      <c r="N2400" t="s">
        <v>74</v>
      </c>
      <c r="O2400" t="s">
        <v>75</v>
      </c>
      <c r="P2400" t="s">
        <v>74</v>
      </c>
      <c r="Q2400" t="s">
        <v>76</v>
      </c>
      <c r="R2400" t="s">
        <v>73</v>
      </c>
      <c r="S2400">
        <v>0</v>
      </c>
      <c r="W2400" s="20">
        <v>2.3622685185185188E-2</v>
      </c>
      <c r="X2400" t="s">
        <v>5356</v>
      </c>
      <c r="Y2400">
        <v>13</v>
      </c>
      <c r="Z2400">
        <v>0</v>
      </c>
      <c r="AA2400" t="s">
        <v>78</v>
      </c>
      <c r="AB2400">
        <v>0</v>
      </c>
      <c r="AC2400" t="s">
        <v>78</v>
      </c>
      <c r="AD2400">
        <v>0</v>
      </c>
      <c r="AE2400">
        <v>10234689</v>
      </c>
      <c r="AF2400" t="s">
        <v>79</v>
      </c>
      <c r="AG2400" t="s">
        <v>5123</v>
      </c>
    </row>
    <row r="2401" spans="1:33" x14ac:dyDescent="0.35">
      <c r="A2401" s="18">
        <v>44255.833333333336</v>
      </c>
      <c r="B2401">
        <v>3001261</v>
      </c>
      <c r="C2401" t="s">
        <v>3419</v>
      </c>
      <c r="D2401" t="s">
        <v>3420</v>
      </c>
      <c r="E2401" s="19">
        <v>39630</v>
      </c>
      <c r="F2401" t="str">
        <f>"9780313352874"</f>
        <v>9780313352874</v>
      </c>
      <c r="G2401" t="str">
        <f>"9780313352867"</f>
        <v>9780313352867</v>
      </c>
      <c r="H2401" t="s">
        <v>3421</v>
      </c>
      <c r="I2401">
        <v>333.79</v>
      </c>
      <c r="J2401" t="s">
        <v>3422</v>
      </c>
      <c r="K2401" t="s">
        <v>73</v>
      </c>
      <c r="N2401" t="s">
        <v>74</v>
      </c>
      <c r="O2401" t="s">
        <v>75</v>
      </c>
      <c r="P2401" t="s">
        <v>74</v>
      </c>
      <c r="Q2401" t="s">
        <v>76</v>
      </c>
      <c r="R2401" t="s">
        <v>73</v>
      </c>
      <c r="S2401">
        <v>0</v>
      </c>
      <c r="W2401" s="20">
        <v>4.6296296296296294E-5</v>
      </c>
      <c r="X2401" t="s">
        <v>132</v>
      </c>
      <c r="Y2401">
        <v>1</v>
      </c>
      <c r="Z2401">
        <v>0</v>
      </c>
      <c r="AA2401" t="s">
        <v>78</v>
      </c>
      <c r="AB2401">
        <v>0</v>
      </c>
      <c r="AC2401" t="s">
        <v>78</v>
      </c>
      <c r="AD2401">
        <v>0</v>
      </c>
      <c r="AE2401">
        <v>10271266</v>
      </c>
      <c r="AF2401" t="s">
        <v>79</v>
      </c>
      <c r="AG2401" t="s">
        <v>4914</v>
      </c>
    </row>
    <row r="2402" spans="1:33" x14ac:dyDescent="0.35">
      <c r="A2402" s="18">
        <v>44255.737500000003</v>
      </c>
      <c r="B2402">
        <v>3001261</v>
      </c>
      <c r="C2402" t="s">
        <v>3419</v>
      </c>
      <c r="D2402" t="s">
        <v>3420</v>
      </c>
      <c r="E2402" s="19">
        <v>39630</v>
      </c>
      <c r="F2402" t="str">
        <f>"9780313352874"</f>
        <v>9780313352874</v>
      </c>
      <c r="G2402" t="str">
        <f>"9780313352867"</f>
        <v>9780313352867</v>
      </c>
      <c r="H2402" t="s">
        <v>3421</v>
      </c>
      <c r="I2402">
        <v>333.79</v>
      </c>
      <c r="J2402" t="s">
        <v>3422</v>
      </c>
      <c r="K2402" t="s">
        <v>73</v>
      </c>
      <c r="N2402" t="s">
        <v>74</v>
      </c>
      <c r="O2402" t="s">
        <v>75</v>
      </c>
      <c r="P2402" t="s">
        <v>74</v>
      </c>
      <c r="Q2402" t="s">
        <v>76</v>
      </c>
      <c r="R2402" t="s">
        <v>73</v>
      </c>
      <c r="S2402">
        <v>0</v>
      </c>
      <c r="W2402" s="20">
        <v>4.6296296296296294E-5</v>
      </c>
      <c r="X2402" t="s">
        <v>132</v>
      </c>
      <c r="Y2402">
        <v>1</v>
      </c>
      <c r="Z2402">
        <v>0</v>
      </c>
      <c r="AA2402" t="s">
        <v>78</v>
      </c>
      <c r="AB2402">
        <v>0</v>
      </c>
      <c r="AC2402" t="s">
        <v>78</v>
      </c>
      <c r="AD2402">
        <v>0</v>
      </c>
      <c r="AE2402">
        <v>10271266</v>
      </c>
      <c r="AF2402" t="s">
        <v>79</v>
      </c>
      <c r="AG2402" t="s">
        <v>4914</v>
      </c>
    </row>
    <row r="2403" spans="1:33" x14ac:dyDescent="0.35">
      <c r="A2403" s="18">
        <v>44255.688888888886</v>
      </c>
      <c r="B2403">
        <v>1416272</v>
      </c>
      <c r="C2403" t="s">
        <v>5357</v>
      </c>
      <c r="D2403" t="s">
        <v>127</v>
      </c>
      <c r="E2403" s="19">
        <v>41551</v>
      </c>
      <c r="F2403" t="str">
        <f>"9781439880548"</f>
        <v>9781439880548</v>
      </c>
      <c r="G2403" t="str">
        <f>"9781439879351"</f>
        <v>9781439879351</v>
      </c>
      <c r="H2403" t="s">
        <v>979</v>
      </c>
      <c r="I2403">
        <v>620.11800000000005</v>
      </c>
      <c r="J2403" t="s">
        <v>5358</v>
      </c>
      <c r="K2403" t="s">
        <v>85</v>
      </c>
      <c r="N2403" t="s">
        <v>86</v>
      </c>
      <c r="P2403" t="s">
        <v>1850</v>
      </c>
      <c r="Q2403" t="s">
        <v>76</v>
      </c>
      <c r="R2403" t="s">
        <v>73</v>
      </c>
      <c r="S2403">
        <v>0</v>
      </c>
      <c r="W2403" s="20">
        <v>1.9467592592592595E-2</v>
      </c>
      <c r="X2403" t="s">
        <v>5359</v>
      </c>
      <c r="Y2403">
        <v>92</v>
      </c>
      <c r="Z2403">
        <v>0</v>
      </c>
      <c r="AA2403" t="s">
        <v>78</v>
      </c>
      <c r="AB2403">
        <v>0</v>
      </c>
      <c r="AC2403" t="s">
        <v>78</v>
      </c>
      <c r="AD2403">
        <v>0</v>
      </c>
      <c r="AE2403">
        <v>10756266</v>
      </c>
      <c r="AF2403" t="s">
        <v>79</v>
      </c>
      <c r="AG2403" t="s">
        <v>5360</v>
      </c>
    </row>
    <row r="2404" spans="1:33" x14ac:dyDescent="0.35">
      <c r="A2404" s="18">
        <v>44255.682638888888</v>
      </c>
      <c r="B2404">
        <v>319098</v>
      </c>
      <c r="C2404" t="s">
        <v>5361</v>
      </c>
      <c r="D2404" t="s">
        <v>158</v>
      </c>
      <c r="E2404" s="19">
        <v>35020</v>
      </c>
      <c r="F2404" t="str">
        <f>"9780080505695"</f>
        <v>9780080505695</v>
      </c>
      <c r="G2404" t="str">
        <f>"9780125249959"</f>
        <v>9780125249959</v>
      </c>
      <c r="H2404" t="s">
        <v>979</v>
      </c>
      <c r="I2404" t="s">
        <v>256</v>
      </c>
      <c r="J2404" t="s">
        <v>5362</v>
      </c>
      <c r="K2404" t="s">
        <v>73</v>
      </c>
      <c r="N2404" t="s">
        <v>74</v>
      </c>
      <c r="O2404" t="s">
        <v>75</v>
      </c>
      <c r="P2404" t="s">
        <v>74</v>
      </c>
      <c r="Q2404" t="s">
        <v>76</v>
      </c>
      <c r="R2404" t="s">
        <v>73</v>
      </c>
      <c r="S2404">
        <v>0</v>
      </c>
      <c r="W2404" s="20">
        <v>1.6319444444444445E-3</v>
      </c>
      <c r="X2404" t="s">
        <v>5363</v>
      </c>
      <c r="Y2404">
        <v>34</v>
      </c>
      <c r="Z2404">
        <v>0</v>
      </c>
      <c r="AA2404" t="s">
        <v>78</v>
      </c>
      <c r="AB2404">
        <v>0</v>
      </c>
      <c r="AC2404" t="s">
        <v>78</v>
      </c>
      <c r="AD2404">
        <v>0</v>
      </c>
      <c r="AE2404">
        <v>10206031</v>
      </c>
      <c r="AF2404" t="s">
        <v>79</v>
      </c>
      <c r="AG2404" t="s">
        <v>5360</v>
      </c>
    </row>
    <row r="2405" spans="1:33" x14ac:dyDescent="0.35">
      <c r="A2405" s="18">
        <v>44255.681250000001</v>
      </c>
      <c r="B2405">
        <v>424097</v>
      </c>
      <c r="C2405" t="s">
        <v>5364</v>
      </c>
      <c r="D2405" t="s">
        <v>234</v>
      </c>
      <c r="E2405" s="19">
        <v>37987</v>
      </c>
      <c r="F2405" t="str">
        <f>"9788122426564"</f>
        <v>9788122426564</v>
      </c>
      <c r="G2405" t="str">
        <f>"9788122415285"</f>
        <v>9788122415285</v>
      </c>
      <c r="H2405" t="s">
        <v>979</v>
      </c>
      <c r="I2405" t="s">
        <v>5365</v>
      </c>
      <c r="J2405" t="s">
        <v>5366</v>
      </c>
      <c r="K2405" t="s">
        <v>73</v>
      </c>
      <c r="N2405" t="s">
        <v>74</v>
      </c>
      <c r="O2405" t="s">
        <v>75</v>
      </c>
      <c r="P2405" t="s">
        <v>74</v>
      </c>
      <c r="Q2405" t="s">
        <v>76</v>
      </c>
      <c r="R2405" t="s">
        <v>73</v>
      </c>
      <c r="S2405">
        <v>0</v>
      </c>
      <c r="W2405" s="20">
        <v>5.9027777777777778E-4</v>
      </c>
      <c r="X2405" t="s">
        <v>5367</v>
      </c>
      <c r="Y2405">
        <v>17</v>
      </c>
      <c r="Z2405">
        <v>0</v>
      </c>
      <c r="AA2405" t="s">
        <v>78</v>
      </c>
      <c r="AB2405">
        <v>0</v>
      </c>
      <c r="AC2405" t="s">
        <v>78</v>
      </c>
      <c r="AD2405">
        <v>0</v>
      </c>
      <c r="AE2405">
        <v>10318701</v>
      </c>
      <c r="AF2405" t="s">
        <v>79</v>
      </c>
      <c r="AG2405" t="s">
        <v>5360</v>
      </c>
    </row>
    <row r="2406" spans="1:33" x14ac:dyDescent="0.35">
      <c r="A2406" s="18">
        <v>44255.531944444447</v>
      </c>
      <c r="B2406">
        <v>4778464</v>
      </c>
      <c r="C2406" t="s">
        <v>5353</v>
      </c>
      <c r="D2406" t="s">
        <v>70</v>
      </c>
      <c r="E2406" s="19">
        <v>42814</v>
      </c>
      <c r="F2406" t="str">
        <f>"9781118843604"</f>
        <v>9781118843604</v>
      </c>
      <c r="G2406" t="str">
        <f>"9781118843598"</f>
        <v>9781118843598</v>
      </c>
      <c r="H2406" t="s">
        <v>128</v>
      </c>
      <c r="I2406">
        <v>364.40973000000002</v>
      </c>
      <c r="J2406" t="s">
        <v>5354</v>
      </c>
      <c r="K2406" t="s">
        <v>73</v>
      </c>
      <c r="N2406" t="s">
        <v>74</v>
      </c>
      <c r="O2406" t="s">
        <v>75</v>
      </c>
      <c r="P2406" t="s">
        <v>74</v>
      </c>
      <c r="Q2406" t="s">
        <v>76</v>
      </c>
      <c r="R2406" t="s">
        <v>73</v>
      </c>
      <c r="S2406">
        <v>0</v>
      </c>
      <c r="W2406" s="20">
        <v>3.9548611111111111E-2</v>
      </c>
      <c r="X2406" t="s">
        <v>5368</v>
      </c>
      <c r="Y2406">
        <v>15</v>
      </c>
      <c r="Z2406">
        <v>0</v>
      </c>
      <c r="AA2406" t="s">
        <v>78</v>
      </c>
      <c r="AB2406">
        <v>0</v>
      </c>
      <c r="AC2406" t="s">
        <v>78</v>
      </c>
      <c r="AD2406">
        <v>0</v>
      </c>
      <c r="AE2406">
        <v>11325725</v>
      </c>
      <c r="AF2406" t="s">
        <v>79</v>
      </c>
      <c r="AG2406" t="s">
        <v>5298</v>
      </c>
    </row>
    <row r="2407" spans="1:33" x14ac:dyDescent="0.35">
      <c r="A2407" s="18">
        <v>44255.45416666667</v>
      </c>
      <c r="B2407">
        <v>4585271</v>
      </c>
      <c r="C2407" t="s">
        <v>377</v>
      </c>
      <c r="D2407" t="s">
        <v>70</v>
      </c>
      <c r="E2407" s="19">
        <v>42583</v>
      </c>
      <c r="F2407" t="str">
        <f>"9781119179597"</f>
        <v>9781119179597</v>
      </c>
      <c r="G2407" t="str">
        <f>"9781119179573"</f>
        <v>9781119179573</v>
      </c>
      <c r="H2407" t="s">
        <v>378</v>
      </c>
      <c r="I2407">
        <v>658.4</v>
      </c>
      <c r="J2407" t="s">
        <v>379</v>
      </c>
      <c r="K2407" t="s">
        <v>73</v>
      </c>
      <c r="N2407" t="s">
        <v>74</v>
      </c>
      <c r="O2407" t="s">
        <v>75</v>
      </c>
      <c r="P2407" t="s">
        <v>74</v>
      </c>
      <c r="Q2407" t="s">
        <v>76</v>
      </c>
      <c r="R2407" t="s">
        <v>73</v>
      </c>
      <c r="S2407">
        <v>0</v>
      </c>
      <c r="W2407" s="20">
        <v>8.2870370370370372E-3</v>
      </c>
      <c r="X2407" t="s">
        <v>5369</v>
      </c>
      <c r="Y2407">
        <v>5</v>
      </c>
      <c r="Z2407">
        <v>0</v>
      </c>
      <c r="AA2407" t="s">
        <v>78</v>
      </c>
      <c r="AB2407">
        <v>0</v>
      </c>
      <c r="AC2407" t="s">
        <v>78</v>
      </c>
      <c r="AD2407">
        <v>0</v>
      </c>
      <c r="AE2407">
        <v>11234254</v>
      </c>
      <c r="AF2407" t="s">
        <v>79</v>
      </c>
      <c r="AG2407" t="s">
        <v>4442</v>
      </c>
    </row>
    <row r="2408" spans="1:33" x14ac:dyDescent="0.35">
      <c r="A2408" s="18">
        <v>44255.370833333334</v>
      </c>
      <c r="B2408">
        <v>5344838</v>
      </c>
      <c r="C2408" t="s">
        <v>5370</v>
      </c>
      <c r="D2408" t="s">
        <v>369</v>
      </c>
      <c r="E2408" s="19">
        <v>43201</v>
      </c>
      <c r="F2408" t="str">
        <f>"9783319778846"</f>
        <v>9783319778846</v>
      </c>
      <c r="G2408" t="str">
        <f>"9783319778839"</f>
        <v>9783319778839</v>
      </c>
      <c r="H2408" t="s">
        <v>5371</v>
      </c>
      <c r="I2408">
        <v>620.42999999999995</v>
      </c>
      <c r="J2408" t="s">
        <v>5372</v>
      </c>
      <c r="K2408" t="s">
        <v>85</v>
      </c>
      <c r="N2408" t="s">
        <v>86</v>
      </c>
      <c r="P2408" t="s">
        <v>87</v>
      </c>
      <c r="Q2408" t="s">
        <v>76</v>
      </c>
      <c r="R2408" t="s">
        <v>73</v>
      </c>
      <c r="S2408">
        <v>0</v>
      </c>
      <c r="W2408" s="20">
        <v>0</v>
      </c>
      <c r="X2408" t="s">
        <v>78</v>
      </c>
      <c r="Y2408">
        <v>0</v>
      </c>
      <c r="Z2408">
        <v>1</v>
      </c>
      <c r="AA2408" t="s">
        <v>1428</v>
      </c>
      <c r="AB2408">
        <v>6</v>
      </c>
      <c r="AC2408" t="s">
        <v>78</v>
      </c>
      <c r="AD2408">
        <v>0</v>
      </c>
      <c r="AE2408">
        <v>11543287</v>
      </c>
      <c r="AF2408" t="s">
        <v>79</v>
      </c>
      <c r="AG2408" t="s">
        <v>4442</v>
      </c>
    </row>
    <row r="2409" spans="1:33" x14ac:dyDescent="0.35">
      <c r="A2409" s="18">
        <v>44255.323611111111</v>
      </c>
      <c r="B2409">
        <v>470061</v>
      </c>
      <c r="C2409" t="s">
        <v>5103</v>
      </c>
      <c r="D2409" t="s">
        <v>70</v>
      </c>
      <c r="E2409" s="19">
        <v>39461</v>
      </c>
      <c r="F2409" t="str">
        <f>"9780470697931"</f>
        <v>9780470697931</v>
      </c>
      <c r="G2409" t="str">
        <f>"9781405151276"</f>
        <v>9781405151276</v>
      </c>
      <c r="H2409" t="s">
        <v>5104</v>
      </c>
      <c r="I2409">
        <v>624.06809999999996</v>
      </c>
      <c r="J2409" t="s">
        <v>5105</v>
      </c>
      <c r="K2409" t="s">
        <v>73</v>
      </c>
      <c r="N2409" t="s">
        <v>74</v>
      </c>
      <c r="O2409" t="s">
        <v>75</v>
      </c>
      <c r="P2409" t="s">
        <v>74</v>
      </c>
      <c r="Q2409" t="s">
        <v>76</v>
      </c>
      <c r="R2409" t="s">
        <v>73</v>
      </c>
      <c r="S2409">
        <v>0</v>
      </c>
      <c r="W2409" s="20">
        <v>1.4374999999999999E-2</v>
      </c>
      <c r="X2409" t="s">
        <v>851</v>
      </c>
      <c r="Y2409">
        <v>8</v>
      </c>
      <c r="Z2409">
        <v>0</v>
      </c>
      <c r="AA2409" t="s">
        <v>78</v>
      </c>
      <c r="AB2409">
        <v>0</v>
      </c>
      <c r="AC2409" t="s">
        <v>78</v>
      </c>
      <c r="AD2409">
        <v>0</v>
      </c>
      <c r="AE2409">
        <v>10297638</v>
      </c>
      <c r="AF2409" t="s">
        <v>79</v>
      </c>
      <c r="AG2409" t="s">
        <v>4442</v>
      </c>
    </row>
    <row r="2410" spans="1:33" x14ac:dyDescent="0.35">
      <c r="A2410" s="18">
        <v>44254.927777777775</v>
      </c>
      <c r="B2410">
        <v>3004026</v>
      </c>
      <c r="C2410" t="s">
        <v>4331</v>
      </c>
      <c r="D2410" t="s">
        <v>506</v>
      </c>
      <c r="E2410" s="19">
        <v>38687</v>
      </c>
      <c r="F2410" t="str">
        <f>"9789047409083"</f>
        <v>9789047409083</v>
      </c>
      <c r="G2410" t="str">
        <f>"9789004150102"</f>
        <v>9789004150102</v>
      </c>
      <c r="H2410" t="s">
        <v>4332</v>
      </c>
      <c r="I2410" t="s">
        <v>4333</v>
      </c>
      <c r="J2410" t="s">
        <v>4334</v>
      </c>
      <c r="K2410" t="s">
        <v>73</v>
      </c>
      <c r="N2410" t="s">
        <v>74</v>
      </c>
      <c r="O2410" t="s">
        <v>75</v>
      </c>
      <c r="P2410" t="s">
        <v>74</v>
      </c>
      <c r="Q2410" t="s">
        <v>76</v>
      </c>
      <c r="R2410" t="s">
        <v>73</v>
      </c>
      <c r="S2410">
        <v>0</v>
      </c>
      <c r="W2410" s="20">
        <v>2.0960648148148148E-2</v>
      </c>
      <c r="X2410" t="s">
        <v>5373</v>
      </c>
      <c r="Y2410">
        <v>9</v>
      </c>
      <c r="Z2410">
        <v>0</v>
      </c>
      <c r="AA2410" t="s">
        <v>78</v>
      </c>
      <c r="AB2410">
        <v>0</v>
      </c>
      <c r="AC2410" t="s">
        <v>78</v>
      </c>
      <c r="AD2410">
        <v>0</v>
      </c>
      <c r="AE2410">
        <v>10234689</v>
      </c>
      <c r="AF2410" t="s">
        <v>79</v>
      </c>
      <c r="AG2410" t="s">
        <v>5374</v>
      </c>
    </row>
    <row r="2411" spans="1:33" x14ac:dyDescent="0.35">
      <c r="A2411" s="18">
        <v>44254.888194444444</v>
      </c>
      <c r="B2411">
        <v>2042346</v>
      </c>
      <c r="C2411" t="s">
        <v>5375</v>
      </c>
      <c r="D2411" t="s">
        <v>5376</v>
      </c>
      <c r="E2411" s="19">
        <v>42150</v>
      </c>
      <c r="F2411" t="str">
        <f>"9781504013055"</f>
        <v>9781504013055</v>
      </c>
      <c r="G2411" t="str">
        <f>""</f>
        <v/>
      </c>
      <c r="H2411" t="s">
        <v>528</v>
      </c>
      <c r="I2411">
        <v>199.49199999999999</v>
      </c>
      <c r="J2411" t="s">
        <v>5377</v>
      </c>
      <c r="K2411" t="s">
        <v>73</v>
      </c>
      <c r="N2411" t="s">
        <v>74</v>
      </c>
      <c r="O2411" t="s">
        <v>75</v>
      </c>
      <c r="P2411" t="s">
        <v>74</v>
      </c>
      <c r="Q2411" t="s">
        <v>76</v>
      </c>
      <c r="R2411" t="s">
        <v>73</v>
      </c>
      <c r="S2411">
        <v>0</v>
      </c>
      <c r="W2411" s="20">
        <v>3.4722222222222224E-4</v>
      </c>
      <c r="X2411" t="s">
        <v>5378</v>
      </c>
      <c r="Y2411">
        <v>9</v>
      </c>
      <c r="Z2411">
        <v>0</v>
      </c>
      <c r="AA2411" t="s">
        <v>78</v>
      </c>
      <c r="AB2411">
        <v>0</v>
      </c>
      <c r="AC2411" t="s">
        <v>78</v>
      </c>
      <c r="AD2411">
        <v>0</v>
      </c>
      <c r="AE2411">
        <v>-1</v>
      </c>
      <c r="AF2411" t="s">
        <v>79</v>
      </c>
      <c r="AG2411" t="s">
        <v>5379</v>
      </c>
    </row>
    <row r="2412" spans="1:33" x14ac:dyDescent="0.35">
      <c r="A2412" s="18">
        <v>44254.888194444444</v>
      </c>
      <c r="B2412">
        <v>5439446</v>
      </c>
      <c r="C2412" t="s">
        <v>5380</v>
      </c>
      <c r="D2412" t="s">
        <v>5381</v>
      </c>
      <c r="E2412" s="19">
        <v>43191</v>
      </c>
      <c r="F2412" t="str">
        <f>"9781610022774"</f>
        <v>9781610022774</v>
      </c>
      <c r="G2412" t="str">
        <f>"9781610021814"</f>
        <v>9781610021814</v>
      </c>
      <c r="H2412" t="s">
        <v>5382</v>
      </c>
      <c r="I2412">
        <v>614.47</v>
      </c>
      <c r="J2412" t="s">
        <v>5383</v>
      </c>
      <c r="K2412" t="s">
        <v>73</v>
      </c>
      <c r="N2412" t="s">
        <v>74</v>
      </c>
      <c r="O2412" t="s">
        <v>75</v>
      </c>
      <c r="P2412" t="s">
        <v>74</v>
      </c>
      <c r="Q2412" t="s">
        <v>76</v>
      </c>
      <c r="R2412" t="s">
        <v>73</v>
      </c>
      <c r="S2412">
        <v>0</v>
      </c>
      <c r="W2412" s="20">
        <v>4.6296296296296293E-4</v>
      </c>
      <c r="X2412" t="s">
        <v>5384</v>
      </c>
      <c r="Y2412">
        <v>8</v>
      </c>
      <c r="Z2412">
        <v>0</v>
      </c>
      <c r="AA2412" t="s">
        <v>78</v>
      </c>
      <c r="AB2412">
        <v>0</v>
      </c>
      <c r="AC2412" t="s">
        <v>78</v>
      </c>
      <c r="AD2412">
        <v>0</v>
      </c>
      <c r="AE2412">
        <v>-1</v>
      </c>
      <c r="AF2412" t="s">
        <v>79</v>
      </c>
      <c r="AG2412" t="s">
        <v>4442</v>
      </c>
    </row>
    <row r="2413" spans="1:33" x14ac:dyDescent="0.35">
      <c r="A2413" s="18">
        <v>44254.884722222225</v>
      </c>
      <c r="B2413">
        <v>2064681</v>
      </c>
      <c r="C2413" t="s">
        <v>5385</v>
      </c>
      <c r="D2413" t="s">
        <v>70</v>
      </c>
      <c r="E2413" s="19">
        <v>42184</v>
      </c>
      <c r="F2413" t="str">
        <f>"9781118674918"</f>
        <v>9781118674918</v>
      </c>
      <c r="G2413" t="str">
        <f>"9781118675021"</f>
        <v>9781118675021</v>
      </c>
      <c r="H2413" t="s">
        <v>5386</v>
      </c>
      <c r="I2413" t="s">
        <v>5387</v>
      </c>
      <c r="J2413" t="s">
        <v>5388</v>
      </c>
      <c r="K2413" t="s">
        <v>73</v>
      </c>
      <c r="N2413" t="s">
        <v>74</v>
      </c>
      <c r="O2413" t="s">
        <v>75</v>
      </c>
      <c r="P2413" t="s">
        <v>74</v>
      </c>
      <c r="Q2413" t="s">
        <v>76</v>
      </c>
      <c r="R2413" t="s">
        <v>73</v>
      </c>
      <c r="S2413">
        <v>0</v>
      </c>
      <c r="W2413" s="20">
        <v>1.5624999999999999E-3</v>
      </c>
      <c r="X2413" t="s">
        <v>5389</v>
      </c>
      <c r="Y2413">
        <v>16</v>
      </c>
      <c r="Z2413">
        <v>0</v>
      </c>
      <c r="AA2413" t="s">
        <v>78</v>
      </c>
      <c r="AB2413">
        <v>0</v>
      </c>
      <c r="AC2413" t="s">
        <v>78</v>
      </c>
      <c r="AD2413">
        <v>0</v>
      </c>
      <c r="AE2413">
        <v>11197072</v>
      </c>
      <c r="AF2413" t="s">
        <v>79</v>
      </c>
      <c r="AG2413" t="s">
        <v>5390</v>
      </c>
    </row>
    <row r="2414" spans="1:33" x14ac:dyDescent="0.35">
      <c r="A2414" s="18">
        <v>44254.86041666667</v>
      </c>
      <c r="B2414">
        <v>470061</v>
      </c>
      <c r="C2414" t="s">
        <v>5103</v>
      </c>
      <c r="D2414" t="s">
        <v>70</v>
      </c>
      <c r="E2414" s="19">
        <v>39461</v>
      </c>
      <c r="F2414" t="str">
        <f>"9780470697931"</f>
        <v>9780470697931</v>
      </c>
      <c r="G2414" t="str">
        <f>"9781405151276"</f>
        <v>9781405151276</v>
      </c>
      <c r="H2414" t="s">
        <v>5104</v>
      </c>
      <c r="I2414">
        <v>624.06809999999996</v>
      </c>
      <c r="J2414" t="s">
        <v>5105</v>
      </c>
      <c r="K2414" t="s">
        <v>73</v>
      </c>
      <c r="N2414" t="s">
        <v>74</v>
      </c>
      <c r="O2414" t="s">
        <v>75</v>
      </c>
      <c r="P2414" t="s">
        <v>74</v>
      </c>
      <c r="Q2414" t="s">
        <v>76</v>
      </c>
      <c r="R2414" t="s">
        <v>73</v>
      </c>
      <c r="S2414">
        <v>0</v>
      </c>
      <c r="W2414" s="20">
        <v>5.0115740740740737E-3</v>
      </c>
      <c r="X2414" t="s">
        <v>639</v>
      </c>
      <c r="Y2414">
        <v>3</v>
      </c>
      <c r="Z2414">
        <v>0</v>
      </c>
      <c r="AA2414" t="s">
        <v>78</v>
      </c>
      <c r="AB2414">
        <v>0</v>
      </c>
      <c r="AC2414" t="s">
        <v>78</v>
      </c>
      <c r="AD2414">
        <v>0</v>
      </c>
      <c r="AE2414">
        <v>10297638</v>
      </c>
      <c r="AF2414" t="s">
        <v>79</v>
      </c>
      <c r="AG2414" t="s">
        <v>4442</v>
      </c>
    </row>
    <row r="2415" spans="1:33" x14ac:dyDescent="0.35">
      <c r="A2415" s="18">
        <v>44254.831944444442</v>
      </c>
      <c r="B2415">
        <v>1752821</v>
      </c>
      <c r="C2415" t="s">
        <v>5128</v>
      </c>
      <c r="D2415" t="s">
        <v>1642</v>
      </c>
      <c r="E2415" s="19">
        <v>41802</v>
      </c>
      <c r="F2415" t="str">
        <f>"9781784411817"</f>
        <v>9781784411817</v>
      </c>
      <c r="G2415" t="str">
        <f>"9781784411800"</f>
        <v>9781784411800</v>
      </c>
      <c r="H2415" t="s">
        <v>110</v>
      </c>
      <c r="I2415">
        <v>5.74</v>
      </c>
      <c r="J2415" t="s">
        <v>5129</v>
      </c>
      <c r="K2415" t="s">
        <v>73</v>
      </c>
      <c r="N2415" t="s">
        <v>74</v>
      </c>
      <c r="O2415" t="s">
        <v>75</v>
      </c>
      <c r="P2415" t="s">
        <v>74</v>
      </c>
      <c r="Q2415" t="s">
        <v>76</v>
      </c>
      <c r="R2415" t="s">
        <v>73</v>
      </c>
      <c r="S2415">
        <v>0</v>
      </c>
      <c r="W2415" s="20">
        <v>2.7199074074074074E-3</v>
      </c>
      <c r="X2415" t="s">
        <v>5391</v>
      </c>
      <c r="Y2415">
        <v>6</v>
      </c>
      <c r="Z2415">
        <v>0</v>
      </c>
      <c r="AA2415" t="s">
        <v>78</v>
      </c>
      <c r="AB2415">
        <v>0</v>
      </c>
      <c r="AC2415" t="s">
        <v>78</v>
      </c>
      <c r="AD2415">
        <v>0</v>
      </c>
      <c r="AE2415">
        <v>10900573</v>
      </c>
      <c r="AF2415" t="s">
        <v>79</v>
      </c>
      <c r="AG2415" t="s">
        <v>4442</v>
      </c>
    </row>
    <row r="2416" spans="1:33" x14ac:dyDescent="0.35">
      <c r="A2416" s="18">
        <v>44254.790972222225</v>
      </c>
      <c r="B2416">
        <v>2058695</v>
      </c>
      <c r="C2416" t="s">
        <v>4814</v>
      </c>
      <c r="D2416" t="s">
        <v>102</v>
      </c>
      <c r="E2416" s="19">
        <v>42215</v>
      </c>
      <c r="F2416" t="str">
        <f>"9780190202460"</f>
        <v>9780190202460</v>
      </c>
      <c r="G2416" t="str">
        <f>"9780190202453"</f>
        <v>9780190202453</v>
      </c>
      <c r="H2416" t="s">
        <v>775</v>
      </c>
      <c r="I2416">
        <v>616.98800000000006</v>
      </c>
      <c r="J2416" t="s">
        <v>4815</v>
      </c>
      <c r="K2416" t="s">
        <v>73</v>
      </c>
      <c r="N2416" t="s">
        <v>74</v>
      </c>
      <c r="O2416" t="s">
        <v>75</v>
      </c>
      <c r="P2416" t="s">
        <v>74</v>
      </c>
      <c r="Q2416" t="s">
        <v>76</v>
      </c>
      <c r="R2416" t="s">
        <v>73</v>
      </c>
      <c r="S2416">
        <v>0</v>
      </c>
      <c r="W2416" s="20">
        <v>4.6296296296296294E-5</v>
      </c>
      <c r="X2416" t="s">
        <v>132</v>
      </c>
      <c r="Y2416">
        <v>1</v>
      </c>
      <c r="Z2416">
        <v>0</v>
      </c>
      <c r="AA2416" t="s">
        <v>78</v>
      </c>
      <c r="AB2416">
        <v>0</v>
      </c>
      <c r="AC2416" t="s">
        <v>78</v>
      </c>
      <c r="AD2416">
        <v>0</v>
      </c>
      <c r="AE2416">
        <v>11058631</v>
      </c>
      <c r="AF2416" t="s">
        <v>79</v>
      </c>
      <c r="AG2416" t="s">
        <v>4442</v>
      </c>
    </row>
    <row r="2417" spans="1:33" x14ac:dyDescent="0.35">
      <c r="A2417" s="18">
        <v>44254.786111111112</v>
      </c>
      <c r="B2417">
        <v>801918</v>
      </c>
      <c r="C2417" t="s">
        <v>5392</v>
      </c>
      <c r="D2417" t="s">
        <v>127</v>
      </c>
      <c r="E2417" s="19">
        <v>40641</v>
      </c>
      <c r="F2417" t="str">
        <f>"9780203833094"</f>
        <v>9780203833094</v>
      </c>
      <c r="G2417" t="str">
        <f>"9780415608510"</f>
        <v>9780415608510</v>
      </c>
      <c r="H2417" t="s">
        <v>636</v>
      </c>
      <c r="I2417">
        <v>891.55110000000002</v>
      </c>
      <c r="J2417" t="s">
        <v>5393</v>
      </c>
      <c r="K2417" t="s">
        <v>73</v>
      </c>
      <c r="N2417" t="s">
        <v>74</v>
      </c>
      <c r="O2417" t="s">
        <v>75</v>
      </c>
      <c r="P2417" t="s">
        <v>74</v>
      </c>
      <c r="Q2417" t="s">
        <v>76</v>
      </c>
      <c r="R2417" t="s">
        <v>73</v>
      </c>
      <c r="S2417">
        <v>1</v>
      </c>
      <c r="W2417" s="20">
        <v>0</v>
      </c>
      <c r="X2417" t="s">
        <v>78</v>
      </c>
      <c r="Y2417">
        <v>0</v>
      </c>
      <c r="Z2417">
        <v>0</v>
      </c>
      <c r="AA2417" t="s">
        <v>78</v>
      </c>
      <c r="AB2417">
        <v>0</v>
      </c>
      <c r="AC2417" t="s">
        <v>78</v>
      </c>
      <c r="AD2417">
        <v>0</v>
      </c>
      <c r="AE2417">
        <v>10558562</v>
      </c>
      <c r="AF2417" t="s">
        <v>88</v>
      </c>
      <c r="AG2417" t="s">
        <v>5394</v>
      </c>
    </row>
    <row r="2418" spans="1:33" x14ac:dyDescent="0.35">
      <c r="A2418" s="18">
        <v>44254.783333333333</v>
      </c>
      <c r="B2418">
        <v>801918</v>
      </c>
      <c r="C2418" t="s">
        <v>5392</v>
      </c>
      <c r="D2418" t="s">
        <v>127</v>
      </c>
      <c r="E2418" s="19">
        <v>40641</v>
      </c>
      <c r="F2418" t="str">
        <f>"9780203833094"</f>
        <v>9780203833094</v>
      </c>
      <c r="G2418" t="str">
        <f>"9780415608510"</f>
        <v>9780415608510</v>
      </c>
      <c r="H2418" t="s">
        <v>636</v>
      </c>
      <c r="I2418">
        <v>891.55110000000002</v>
      </c>
      <c r="J2418" t="s">
        <v>5393</v>
      </c>
      <c r="K2418" t="s">
        <v>73</v>
      </c>
      <c r="N2418" t="s">
        <v>74</v>
      </c>
      <c r="O2418" t="s">
        <v>75</v>
      </c>
      <c r="P2418" t="s">
        <v>74</v>
      </c>
      <c r="Q2418" t="s">
        <v>76</v>
      </c>
      <c r="R2418" t="s">
        <v>73</v>
      </c>
      <c r="S2418">
        <v>0</v>
      </c>
      <c r="W2418" s="20">
        <v>2.7546296296296294E-3</v>
      </c>
      <c r="X2418" t="s">
        <v>792</v>
      </c>
      <c r="Y2418">
        <v>3</v>
      </c>
      <c r="Z2418">
        <v>0</v>
      </c>
      <c r="AA2418" t="s">
        <v>78</v>
      </c>
      <c r="AB2418">
        <v>0</v>
      </c>
      <c r="AC2418" t="s">
        <v>78</v>
      </c>
      <c r="AD2418">
        <v>0</v>
      </c>
      <c r="AE2418">
        <v>10558562</v>
      </c>
      <c r="AF2418" t="s">
        <v>79</v>
      </c>
      <c r="AG2418" t="s">
        <v>5394</v>
      </c>
    </row>
    <row r="2419" spans="1:33" x14ac:dyDescent="0.35">
      <c r="A2419" s="18">
        <v>44254.765972222223</v>
      </c>
      <c r="B2419">
        <v>4585271</v>
      </c>
      <c r="C2419" t="s">
        <v>377</v>
      </c>
      <c r="D2419" t="s">
        <v>70</v>
      </c>
      <c r="E2419" s="19">
        <v>42583</v>
      </c>
      <c r="F2419" t="str">
        <f>"9781119179597"</f>
        <v>9781119179597</v>
      </c>
      <c r="G2419" t="str">
        <f>"9781119179573"</f>
        <v>9781119179573</v>
      </c>
      <c r="H2419" t="s">
        <v>378</v>
      </c>
      <c r="I2419">
        <v>658.4</v>
      </c>
      <c r="J2419" t="s">
        <v>379</v>
      </c>
      <c r="K2419" t="s">
        <v>73</v>
      </c>
      <c r="N2419" t="s">
        <v>74</v>
      </c>
      <c r="O2419" t="s">
        <v>75</v>
      </c>
      <c r="P2419" t="s">
        <v>74</v>
      </c>
      <c r="Q2419" t="s">
        <v>76</v>
      </c>
      <c r="R2419" t="s">
        <v>73</v>
      </c>
      <c r="S2419">
        <v>0</v>
      </c>
      <c r="W2419" s="20">
        <v>5.7870370370370366E-5</v>
      </c>
      <c r="X2419" t="s">
        <v>132</v>
      </c>
      <c r="Y2419">
        <v>1</v>
      </c>
      <c r="Z2419">
        <v>0</v>
      </c>
      <c r="AA2419" t="s">
        <v>78</v>
      </c>
      <c r="AB2419">
        <v>0</v>
      </c>
      <c r="AC2419" t="s">
        <v>78</v>
      </c>
      <c r="AD2419">
        <v>0</v>
      </c>
      <c r="AE2419">
        <v>11234254</v>
      </c>
      <c r="AF2419" t="s">
        <v>79</v>
      </c>
      <c r="AG2419" t="s">
        <v>4442</v>
      </c>
    </row>
    <row r="2420" spans="1:33" x14ac:dyDescent="0.35">
      <c r="A2420" s="18">
        <v>44254.753472222219</v>
      </c>
      <c r="B2420">
        <v>2058695</v>
      </c>
      <c r="C2420" t="s">
        <v>4814</v>
      </c>
      <c r="D2420" t="s">
        <v>102</v>
      </c>
      <c r="E2420" s="19">
        <v>42215</v>
      </c>
      <c r="F2420" t="str">
        <f>"9780190202460"</f>
        <v>9780190202460</v>
      </c>
      <c r="G2420" t="str">
        <f>"9780190202453"</f>
        <v>9780190202453</v>
      </c>
      <c r="H2420" t="s">
        <v>775</v>
      </c>
      <c r="I2420">
        <v>616.98800000000006</v>
      </c>
      <c r="J2420" t="s">
        <v>4815</v>
      </c>
      <c r="K2420" t="s">
        <v>73</v>
      </c>
      <c r="N2420" t="s">
        <v>74</v>
      </c>
      <c r="O2420" t="s">
        <v>75</v>
      </c>
      <c r="P2420" t="s">
        <v>74</v>
      </c>
      <c r="Q2420" t="s">
        <v>76</v>
      </c>
      <c r="R2420" t="s">
        <v>73</v>
      </c>
      <c r="S2420">
        <v>0</v>
      </c>
      <c r="W2420" s="20">
        <v>1.0532407407407407E-3</v>
      </c>
      <c r="X2420" t="s">
        <v>5395</v>
      </c>
      <c r="Y2420">
        <v>13</v>
      </c>
      <c r="Z2420">
        <v>0</v>
      </c>
      <c r="AA2420" t="s">
        <v>78</v>
      </c>
      <c r="AB2420">
        <v>0</v>
      </c>
      <c r="AC2420" t="s">
        <v>78</v>
      </c>
      <c r="AD2420">
        <v>0</v>
      </c>
      <c r="AE2420">
        <v>11058631</v>
      </c>
      <c r="AF2420" t="s">
        <v>79</v>
      </c>
      <c r="AG2420" t="s">
        <v>4442</v>
      </c>
    </row>
    <row r="2421" spans="1:33" x14ac:dyDescent="0.35">
      <c r="A2421" s="18">
        <v>44254.731944444444</v>
      </c>
      <c r="B2421">
        <v>281279</v>
      </c>
      <c r="C2421" t="s">
        <v>5396</v>
      </c>
      <c r="D2421" t="s">
        <v>990</v>
      </c>
      <c r="E2421" s="19">
        <v>37280</v>
      </c>
      <c r="F2421" t="str">
        <f>"9780198033097"</f>
        <v>9780198033097</v>
      </c>
      <c r="G2421" t="str">
        <f>"9780195144901"</f>
        <v>9780195144901</v>
      </c>
      <c r="H2421" t="s">
        <v>1145</v>
      </c>
      <c r="I2421">
        <v>616.79999999999995</v>
      </c>
      <c r="J2421" t="s">
        <v>5397</v>
      </c>
      <c r="K2421" t="s">
        <v>73</v>
      </c>
      <c r="N2421" t="s">
        <v>74</v>
      </c>
      <c r="O2421" t="s">
        <v>75</v>
      </c>
      <c r="P2421" t="s">
        <v>74</v>
      </c>
      <c r="Q2421" t="s">
        <v>76</v>
      </c>
      <c r="R2421" t="s">
        <v>73</v>
      </c>
      <c r="S2421">
        <v>0</v>
      </c>
      <c r="W2421" s="20">
        <v>1.0763888888888889E-3</v>
      </c>
      <c r="X2421" t="s">
        <v>5398</v>
      </c>
      <c r="Y2421">
        <v>12</v>
      </c>
      <c r="Z2421">
        <v>0</v>
      </c>
      <c r="AA2421" t="s">
        <v>78</v>
      </c>
      <c r="AB2421">
        <v>0</v>
      </c>
      <c r="AC2421" t="s">
        <v>78</v>
      </c>
      <c r="AD2421">
        <v>0</v>
      </c>
      <c r="AE2421">
        <v>10269089</v>
      </c>
      <c r="AF2421" t="s">
        <v>79</v>
      </c>
      <c r="AG2421" t="s">
        <v>515</v>
      </c>
    </row>
    <row r="2422" spans="1:33" x14ac:dyDescent="0.35">
      <c r="A2422" s="18">
        <v>44254.70208333333</v>
      </c>
      <c r="B2422">
        <v>2087302</v>
      </c>
      <c r="C2422" t="s">
        <v>2099</v>
      </c>
      <c r="D2422" t="s">
        <v>2100</v>
      </c>
      <c r="E2422" s="19">
        <v>43390</v>
      </c>
      <c r="F2422" t="str">
        <f>"9782335008593"</f>
        <v>9782335008593</v>
      </c>
      <c r="G2422" t="str">
        <f>""</f>
        <v/>
      </c>
      <c r="H2422" t="s">
        <v>2101</v>
      </c>
      <c r="I2422">
        <v>822.33</v>
      </c>
      <c r="J2422" t="s">
        <v>2102</v>
      </c>
      <c r="K2422" t="s">
        <v>73</v>
      </c>
      <c r="N2422" t="s">
        <v>74</v>
      </c>
      <c r="O2422" t="s">
        <v>75</v>
      </c>
      <c r="P2422" t="s">
        <v>74</v>
      </c>
      <c r="Q2422" t="s">
        <v>76</v>
      </c>
      <c r="R2422" t="s">
        <v>73</v>
      </c>
      <c r="S2422">
        <v>0</v>
      </c>
      <c r="W2422" s="20">
        <v>2.5462962962962961E-4</v>
      </c>
      <c r="X2422" t="s">
        <v>5399</v>
      </c>
      <c r="Y2422">
        <v>4</v>
      </c>
      <c r="Z2422">
        <v>0</v>
      </c>
      <c r="AA2422" t="s">
        <v>78</v>
      </c>
      <c r="AB2422">
        <v>0</v>
      </c>
      <c r="AC2422" t="s">
        <v>78</v>
      </c>
      <c r="AD2422">
        <v>0</v>
      </c>
      <c r="AE2422">
        <v>-1</v>
      </c>
      <c r="AF2422" t="s">
        <v>79</v>
      </c>
      <c r="AG2422" t="s">
        <v>548</v>
      </c>
    </row>
    <row r="2423" spans="1:33" x14ac:dyDescent="0.35">
      <c r="A2423" s="18">
        <v>44254.700694444444</v>
      </c>
      <c r="B2423">
        <v>351217</v>
      </c>
      <c r="C2423" t="s">
        <v>5400</v>
      </c>
      <c r="D2423" t="s">
        <v>70</v>
      </c>
      <c r="E2423" s="19">
        <v>37071</v>
      </c>
      <c r="F2423" t="str">
        <f>"9780470999660"</f>
        <v>9780470999660</v>
      </c>
      <c r="G2423" t="str">
        <f>"9780632058891"</f>
        <v>9780632058891</v>
      </c>
      <c r="H2423" t="s">
        <v>386</v>
      </c>
      <c r="I2423" t="s">
        <v>5401</v>
      </c>
      <c r="J2423" t="s">
        <v>5402</v>
      </c>
      <c r="K2423" t="s">
        <v>73</v>
      </c>
      <c r="N2423" t="s">
        <v>74</v>
      </c>
      <c r="O2423" t="s">
        <v>75</v>
      </c>
      <c r="P2423" t="s">
        <v>74</v>
      </c>
      <c r="Q2423" t="s">
        <v>76</v>
      </c>
      <c r="R2423" t="s">
        <v>73</v>
      </c>
      <c r="S2423">
        <v>0</v>
      </c>
      <c r="W2423" s="20">
        <v>4.3981481481481481E-4</v>
      </c>
      <c r="X2423" t="s">
        <v>5403</v>
      </c>
      <c r="Y2423">
        <v>6</v>
      </c>
      <c r="Z2423">
        <v>0</v>
      </c>
      <c r="AA2423" t="s">
        <v>78</v>
      </c>
      <c r="AB2423">
        <v>0</v>
      </c>
      <c r="AC2423" t="s">
        <v>78</v>
      </c>
      <c r="AD2423">
        <v>0</v>
      </c>
      <c r="AE2423">
        <v>10240521</v>
      </c>
      <c r="AF2423" t="s">
        <v>79</v>
      </c>
      <c r="AG2423" t="s">
        <v>5374</v>
      </c>
    </row>
    <row r="2424" spans="1:33" x14ac:dyDescent="0.35">
      <c r="A2424" s="18">
        <v>44254.581944444442</v>
      </c>
      <c r="B2424">
        <v>766156</v>
      </c>
      <c r="C2424" t="s">
        <v>5404</v>
      </c>
      <c r="D2424" t="s">
        <v>5405</v>
      </c>
      <c r="E2424" s="19">
        <v>40664</v>
      </c>
      <c r="F2424" t="str">
        <f>"9781554698059"</f>
        <v>9781554698059</v>
      </c>
      <c r="G2424" t="str">
        <f>"9781554698042"</f>
        <v>9781554698042</v>
      </c>
      <c r="H2424" t="s">
        <v>5406</v>
      </c>
      <c r="I2424" t="s">
        <v>5407</v>
      </c>
      <c r="J2424" t="s">
        <v>5408</v>
      </c>
      <c r="K2424" t="s">
        <v>73</v>
      </c>
      <c r="N2424" t="s">
        <v>74</v>
      </c>
      <c r="O2424" t="s">
        <v>75</v>
      </c>
      <c r="P2424" t="s">
        <v>74</v>
      </c>
      <c r="Q2424" t="s">
        <v>76</v>
      </c>
      <c r="R2424" t="s">
        <v>73</v>
      </c>
      <c r="S2424">
        <v>0</v>
      </c>
      <c r="W2424" s="20">
        <v>4.6296296296296293E-4</v>
      </c>
      <c r="X2424" t="s">
        <v>5409</v>
      </c>
      <c r="Y2424">
        <v>6</v>
      </c>
      <c r="Z2424">
        <v>0</v>
      </c>
      <c r="AA2424" t="s">
        <v>78</v>
      </c>
      <c r="AB2424">
        <v>0</v>
      </c>
      <c r="AC2424" t="s">
        <v>78</v>
      </c>
      <c r="AD2424">
        <v>0</v>
      </c>
      <c r="AE2424">
        <v>10754487</v>
      </c>
      <c r="AF2424" t="s">
        <v>79</v>
      </c>
      <c r="AG2424" t="s">
        <v>3108</v>
      </c>
    </row>
    <row r="2425" spans="1:33" x14ac:dyDescent="0.35">
      <c r="A2425" s="18">
        <v>44254.548611111109</v>
      </c>
      <c r="B2425">
        <v>3004026</v>
      </c>
      <c r="C2425" t="s">
        <v>4331</v>
      </c>
      <c r="D2425" t="s">
        <v>506</v>
      </c>
      <c r="E2425" s="19">
        <v>38687</v>
      </c>
      <c r="F2425" t="str">
        <f>"9789047409083"</f>
        <v>9789047409083</v>
      </c>
      <c r="G2425" t="str">
        <f>"9789004150102"</f>
        <v>9789004150102</v>
      </c>
      <c r="H2425" t="s">
        <v>4332</v>
      </c>
      <c r="I2425" t="s">
        <v>4333</v>
      </c>
      <c r="J2425" t="s">
        <v>4334</v>
      </c>
      <c r="K2425" t="s">
        <v>73</v>
      </c>
      <c r="N2425" t="s">
        <v>74</v>
      </c>
      <c r="O2425" t="s">
        <v>75</v>
      </c>
      <c r="P2425" t="s">
        <v>74</v>
      </c>
      <c r="Q2425" t="s">
        <v>76</v>
      </c>
      <c r="R2425" t="s">
        <v>73</v>
      </c>
      <c r="S2425">
        <v>0</v>
      </c>
      <c r="W2425" s="20">
        <v>2.0069444444444442E-2</v>
      </c>
      <c r="X2425" t="s">
        <v>5410</v>
      </c>
      <c r="Y2425">
        <v>11</v>
      </c>
      <c r="Z2425">
        <v>0</v>
      </c>
      <c r="AA2425" t="s">
        <v>78</v>
      </c>
      <c r="AB2425">
        <v>0</v>
      </c>
      <c r="AC2425" t="s">
        <v>78</v>
      </c>
      <c r="AD2425">
        <v>0</v>
      </c>
      <c r="AE2425">
        <v>10234689</v>
      </c>
      <c r="AF2425" t="s">
        <v>79</v>
      </c>
      <c r="AG2425" t="s">
        <v>5374</v>
      </c>
    </row>
    <row r="2426" spans="1:33" x14ac:dyDescent="0.35">
      <c r="A2426" s="18">
        <v>44254.520833333336</v>
      </c>
      <c r="B2426">
        <v>3004026</v>
      </c>
      <c r="C2426" t="s">
        <v>4331</v>
      </c>
      <c r="D2426" t="s">
        <v>506</v>
      </c>
      <c r="E2426" s="19">
        <v>38687</v>
      </c>
      <c r="F2426" t="str">
        <f>"9789047409083"</f>
        <v>9789047409083</v>
      </c>
      <c r="G2426" t="str">
        <f>"9789004150102"</f>
        <v>9789004150102</v>
      </c>
      <c r="H2426" t="s">
        <v>4332</v>
      </c>
      <c r="I2426" t="s">
        <v>4333</v>
      </c>
      <c r="J2426" t="s">
        <v>4334</v>
      </c>
      <c r="K2426" t="s">
        <v>73</v>
      </c>
      <c r="N2426" t="s">
        <v>74</v>
      </c>
      <c r="O2426" t="s">
        <v>75</v>
      </c>
      <c r="P2426" t="s">
        <v>74</v>
      </c>
      <c r="Q2426" t="s">
        <v>76</v>
      </c>
      <c r="R2426" t="s">
        <v>73</v>
      </c>
      <c r="S2426">
        <v>0</v>
      </c>
      <c r="W2426" s="20">
        <v>1.2384259259259258E-3</v>
      </c>
      <c r="X2426" t="s">
        <v>5411</v>
      </c>
      <c r="Y2426">
        <v>6</v>
      </c>
      <c r="Z2426">
        <v>0</v>
      </c>
      <c r="AA2426" t="s">
        <v>78</v>
      </c>
      <c r="AB2426">
        <v>0</v>
      </c>
      <c r="AC2426" t="s">
        <v>78</v>
      </c>
      <c r="AD2426">
        <v>0</v>
      </c>
      <c r="AE2426">
        <v>10234689</v>
      </c>
      <c r="AF2426" t="s">
        <v>79</v>
      </c>
      <c r="AG2426" t="s">
        <v>5374</v>
      </c>
    </row>
    <row r="2427" spans="1:33" x14ac:dyDescent="0.35">
      <c r="A2427" s="18">
        <v>44254.51666666667</v>
      </c>
      <c r="B2427">
        <v>3001261</v>
      </c>
      <c r="C2427" t="s">
        <v>3419</v>
      </c>
      <c r="D2427" t="s">
        <v>3420</v>
      </c>
      <c r="E2427" s="19">
        <v>39630</v>
      </c>
      <c r="F2427" t="str">
        <f>"9780313352874"</f>
        <v>9780313352874</v>
      </c>
      <c r="G2427" t="str">
        <f>"9780313352867"</f>
        <v>9780313352867</v>
      </c>
      <c r="H2427" t="s">
        <v>3421</v>
      </c>
      <c r="I2427">
        <v>333.79</v>
      </c>
      <c r="J2427" t="s">
        <v>3422</v>
      </c>
      <c r="K2427" t="s">
        <v>73</v>
      </c>
      <c r="N2427" t="s">
        <v>74</v>
      </c>
      <c r="O2427" t="s">
        <v>75</v>
      </c>
      <c r="P2427" t="s">
        <v>74</v>
      </c>
      <c r="Q2427" t="s">
        <v>76</v>
      </c>
      <c r="R2427" t="s">
        <v>73</v>
      </c>
      <c r="S2427">
        <v>0</v>
      </c>
      <c r="W2427" s="20">
        <v>3.4722222222222222E-5</v>
      </c>
      <c r="X2427" t="s">
        <v>132</v>
      </c>
      <c r="Y2427">
        <v>1</v>
      </c>
      <c r="Z2427">
        <v>0</v>
      </c>
      <c r="AA2427" t="s">
        <v>78</v>
      </c>
      <c r="AB2427">
        <v>0</v>
      </c>
      <c r="AC2427" t="s">
        <v>78</v>
      </c>
      <c r="AD2427">
        <v>0</v>
      </c>
      <c r="AE2427">
        <v>10271266</v>
      </c>
      <c r="AF2427" t="s">
        <v>79</v>
      </c>
      <c r="AG2427" t="s">
        <v>5412</v>
      </c>
    </row>
    <row r="2428" spans="1:33" x14ac:dyDescent="0.35">
      <c r="A2428" s="18">
        <v>44254.447916666664</v>
      </c>
      <c r="B2428">
        <v>1368909</v>
      </c>
      <c r="C2428" t="s">
        <v>5413</v>
      </c>
      <c r="D2428" t="s">
        <v>70</v>
      </c>
      <c r="E2428" s="19">
        <v>41589</v>
      </c>
      <c r="F2428" t="str">
        <f>"9781118535936"</f>
        <v>9781118535936</v>
      </c>
      <c r="G2428" t="str">
        <f>"9781118535912"</f>
        <v>9781118535912</v>
      </c>
      <c r="H2428" t="s">
        <v>4548</v>
      </c>
      <c r="I2428" t="s">
        <v>5414</v>
      </c>
      <c r="J2428" t="s">
        <v>5415</v>
      </c>
      <c r="K2428" t="s">
        <v>73</v>
      </c>
      <c r="N2428" t="s">
        <v>74</v>
      </c>
      <c r="O2428" t="s">
        <v>75</v>
      </c>
      <c r="P2428" t="s">
        <v>74</v>
      </c>
      <c r="Q2428" t="s">
        <v>76</v>
      </c>
      <c r="R2428" t="s">
        <v>73</v>
      </c>
      <c r="S2428">
        <v>3</v>
      </c>
      <c r="W2428" s="20">
        <v>2.8761574074074075E-2</v>
      </c>
      <c r="X2428" t="s">
        <v>5416</v>
      </c>
      <c r="Y2428">
        <v>81</v>
      </c>
      <c r="Z2428">
        <v>4</v>
      </c>
      <c r="AA2428" t="s">
        <v>5417</v>
      </c>
      <c r="AB2428">
        <v>168</v>
      </c>
      <c r="AC2428" t="s">
        <v>78</v>
      </c>
      <c r="AD2428">
        <v>0</v>
      </c>
      <c r="AE2428">
        <v>10756551</v>
      </c>
      <c r="AF2428" t="s">
        <v>88</v>
      </c>
      <c r="AG2428" t="s">
        <v>4442</v>
      </c>
    </row>
    <row r="2429" spans="1:33" x14ac:dyDescent="0.35">
      <c r="A2429" s="18">
        <v>44254.443055555559</v>
      </c>
      <c r="B2429">
        <v>3411929</v>
      </c>
      <c r="C2429" t="s">
        <v>5418</v>
      </c>
      <c r="D2429" t="s">
        <v>4948</v>
      </c>
      <c r="E2429" s="19">
        <v>42152</v>
      </c>
      <c r="F2429" t="str">
        <f>"9780816502172"</f>
        <v>9780816502172</v>
      </c>
      <c r="G2429" t="str">
        <f>"9780816531561"</f>
        <v>9780816531561</v>
      </c>
      <c r="H2429" t="s">
        <v>756</v>
      </c>
      <c r="I2429" t="s">
        <v>5419</v>
      </c>
      <c r="J2429" t="s">
        <v>5420</v>
      </c>
      <c r="K2429" t="s">
        <v>73</v>
      </c>
      <c r="N2429" t="s">
        <v>74</v>
      </c>
      <c r="O2429" t="s">
        <v>75</v>
      </c>
      <c r="P2429" t="s">
        <v>74</v>
      </c>
      <c r="Q2429" t="s">
        <v>76</v>
      </c>
      <c r="R2429" t="s">
        <v>73</v>
      </c>
      <c r="S2429">
        <v>0</v>
      </c>
      <c r="W2429" s="20">
        <v>3.1249999999999997E-3</v>
      </c>
      <c r="X2429" t="s">
        <v>5421</v>
      </c>
      <c r="Y2429">
        <v>18</v>
      </c>
      <c r="Z2429">
        <v>0</v>
      </c>
      <c r="AA2429" t="s">
        <v>78</v>
      </c>
      <c r="AB2429">
        <v>0</v>
      </c>
      <c r="AC2429" t="s">
        <v>78</v>
      </c>
      <c r="AD2429">
        <v>0</v>
      </c>
      <c r="AE2429">
        <v>11043006</v>
      </c>
      <c r="AF2429" t="s">
        <v>79</v>
      </c>
      <c r="AG2429" t="s">
        <v>5181</v>
      </c>
    </row>
    <row r="2430" spans="1:33" x14ac:dyDescent="0.35">
      <c r="A2430" s="18">
        <v>44254.441666666666</v>
      </c>
      <c r="B2430">
        <v>4397405</v>
      </c>
      <c r="C2430" t="s">
        <v>5422</v>
      </c>
      <c r="D2430" t="s">
        <v>5423</v>
      </c>
      <c r="E2430" s="19">
        <v>42323</v>
      </c>
      <c r="F2430" t="str">
        <f>"9781783601998"</f>
        <v>9781783601998</v>
      </c>
      <c r="G2430" t="str">
        <f>"9781783601981"</f>
        <v>9781783601981</v>
      </c>
      <c r="H2430" t="s">
        <v>135</v>
      </c>
      <c r="I2430">
        <v>320.98700000000002</v>
      </c>
      <c r="J2430" t="s">
        <v>5424</v>
      </c>
      <c r="K2430" t="s">
        <v>73</v>
      </c>
      <c r="N2430" t="s">
        <v>74</v>
      </c>
      <c r="O2430" t="s">
        <v>75</v>
      </c>
      <c r="P2430" t="s">
        <v>74</v>
      </c>
      <c r="Q2430" t="s">
        <v>76</v>
      </c>
      <c r="R2430" t="s">
        <v>73</v>
      </c>
      <c r="S2430">
        <v>0</v>
      </c>
      <c r="W2430" s="20">
        <v>4.9305555555555552E-3</v>
      </c>
      <c r="X2430" t="s">
        <v>5425</v>
      </c>
      <c r="Y2430">
        <v>7</v>
      </c>
      <c r="Z2430">
        <v>0</v>
      </c>
      <c r="AA2430" t="s">
        <v>78</v>
      </c>
      <c r="AB2430">
        <v>0</v>
      </c>
      <c r="AC2430" t="s">
        <v>78</v>
      </c>
      <c r="AD2430">
        <v>0</v>
      </c>
      <c r="AE2430">
        <v>11160983</v>
      </c>
      <c r="AF2430" t="s">
        <v>79</v>
      </c>
      <c r="AG2430" t="s">
        <v>5181</v>
      </c>
    </row>
    <row r="2431" spans="1:33" x14ac:dyDescent="0.35">
      <c r="A2431" s="18">
        <v>44254.291666666664</v>
      </c>
      <c r="B2431">
        <v>981859</v>
      </c>
      <c r="C2431" t="s">
        <v>2663</v>
      </c>
      <c r="D2431" t="s">
        <v>127</v>
      </c>
      <c r="E2431" s="19">
        <v>40572</v>
      </c>
      <c r="F2431" t="str">
        <f>"9780203834244"</f>
        <v>9780203834244</v>
      </c>
      <c r="G2431" t="str">
        <f>"9780415892032"</f>
        <v>9780415892032</v>
      </c>
      <c r="H2431" t="s">
        <v>2664</v>
      </c>
      <c r="I2431" t="s">
        <v>2665</v>
      </c>
      <c r="J2431" t="s">
        <v>2666</v>
      </c>
      <c r="K2431" t="s">
        <v>73</v>
      </c>
      <c r="N2431" t="s">
        <v>74</v>
      </c>
      <c r="O2431" t="s">
        <v>75</v>
      </c>
      <c r="P2431" t="s">
        <v>74</v>
      </c>
      <c r="Q2431" t="s">
        <v>76</v>
      </c>
      <c r="R2431" t="s">
        <v>73</v>
      </c>
      <c r="S2431">
        <v>0</v>
      </c>
      <c r="W2431" s="20">
        <v>1.8634259259259261E-3</v>
      </c>
      <c r="X2431" t="s">
        <v>5426</v>
      </c>
      <c r="Y2431">
        <v>17</v>
      </c>
      <c r="Z2431">
        <v>0</v>
      </c>
      <c r="AA2431" t="s">
        <v>78</v>
      </c>
      <c r="AB2431">
        <v>0</v>
      </c>
      <c r="AC2431" t="s">
        <v>78</v>
      </c>
      <c r="AD2431">
        <v>0</v>
      </c>
      <c r="AE2431">
        <v>10578148</v>
      </c>
      <c r="AF2431" t="s">
        <v>79</v>
      </c>
      <c r="AG2431" t="s">
        <v>5298</v>
      </c>
    </row>
    <row r="2432" spans="1:33" x14ac:dyDescent="0.35">
      <c r="A2432" s="18">
        <v>44254.038194444445</v>
      </c>
      <c r="B2432">
        <v>6304271</v>
      </c>
      <c r="C2432" t="s">
        <v>5427</v>
      </c>
      <c r="D2432" t="s">
        <v>158</v>
      </c>
      <c r="E2432" s="19">
        <v>44058</v>
      </c>
      <c r="F2432" t="str">
        <f>"9780081025437"</f>
        <v>9780081025437</v>
      </c>
      <c r="G2432" t="str">
        <f>"9780081025420"</f>
        <v>9780081025420</v>
      </c>
      <c r="H2432" t="s">
        <v>222</v>
      </c>
      <c r="I2432">
        <v>610.28</v>
      </c>
      <c r="J2432" t="s">
        <v>5428</v>
      </c>
      <c r="K2432" t="s">
        <v>85</v>
      </c>
      <c r="N2432" t="s">
        <v>86</v>
      </c>
      <c r="P2432" t="s">
        <v>87</v>
      </c>
      <c r="Q2432" t="s">
        <v>76</v>
      </c>
      <c r="R2432" t="s">
        <v>73</v>
      </c>
      <c r="S2432">
        <v>0</v>
      </c>
      <c r="W2432" s="20">
        <v>0</v>
      </c>
      <c r="X2432" t="s">
        <v>78</v>
      </c>
      <c r="Y2432">
        <v>0</v>
      </c>
      <c r="Z2432">
        <v>1</v>
      </c>
      <c r="AA2432" t="s">
        <v>5429</v>
      </c>
      <c r="AB2432">
        <v>2</v>
      </c>
      <c r="AC2432" t="s">
        <v>78</v>
      </c>
      <c r="AD2432">
        <v>0</v>
      </c>
      <c r="AE2432">
        <v>-1</v>
      </c>
      <c r="AF2432" t="s">
        <v>79</v>
      </c>
      <c r="AG2432" t="s">
        <v>5374</v>
      </c>
    </row>
    <row r="2433" spans="1:33" x14ac:dyDescent="0.35">
      <c r="A2433" s="18">
        <v>44254.034722222219</v>
      </c>
      <c r="B2433">
        <v>735284</v>
      </c>
      <c r="C2433" t="s">
        <v>5430</v>
      </c>
      <c r="D2433" t="s">
        <v>127</v>
      </c>
      <c r="E2433" s="19">
        <v>40778</v>
      </c>
      <c r="F2433" t="str">
        <f>"9781136651076"</f>
        <v>9781136651076</v>
      </c>
      <c r="G2433" t="str">
        <f>"9780415664660"</f>
        <v>9780415664660</v>
      </c>
      <c r="H2433" t="s">
        <v>1461</v>
      </c>
      <c r="I2433">
        <v>320.60000000000002</v>
      </c>
      <c r="J2433" t="s">
        <v>5431</v>
      </c>
      <c r="K2433" t="s">
        <v>73</v>
      </c>
      <c r="N2433" t="s">
        <v>74</v>
      </c>
      <c r="O2433" t="s">
        <v>75</v>
      </c>
      <c r="P2433" t="s">
        <v>74</v>
      </c>
      <c r="Q2433" t="s">
        <v>76</v>
      </c>
      <c r="R2433" t="s">
        <v>73</v>
      </c>
      <c r="S2433">
        <v>1</v>
      </c>
      <c r="W2433" s="20">
        <v>0</v>
      </c>
      <c r="X2433" t="s">
        <v>78</v>
      </c>
      <c r="Y2433">
        <v>0</v>
      </c>
      <c r="Z2433">
        <v>0</v>
      </c>
      <c r="AA2433" t="s">
        <v>78</v>
      </c>
      <c r="AB2433">
        <v>0</v>
      </c>
      <c r="AC2433" t="s">
        <v>78</v>
      </c>
      <c r="AD2433">
        <v>0</v>
      </c>
      <c r="AE2433">
        <v>10522472</v>
      </c>
      <c r="AF2433" t="s">
        <v>88</v>
      </c>
      <c r="AG2433" t="s">
        <v>1184</v>
      </c>
    </row>
    <row r="2434" spans="1:33" x14ac:dyDescent="0.35">
      <c r="A2434" s="18">
        <v>44253.989583333336</v>
      </c>
      <c r="B2434">
        <v>3004512</v>
      </c>
      <c r="C2434" t="s">
        <v>5432</v>
      </c>
      <c r="D2434" t="s">
        <v>538</v>
      </c>
      <c r="E2434" s="19">
        <v>37014</v>
      </c>
      <c r="F2434" t="str">
        <f>"9780511152788"</f>
        <v>9780511152788</v>
      </c>
      <c r="G2434" t="str">
        <f>"9780521561259"</f>
        <v>9780521561259</v>
      </c>
      <c r="H2434" t="s">
        <v>3985</v>
      </c>
      <c r="I2434">
        <v>551.6</v>
      </c>
      <c r="J2434" t="s">
        <v>5433</v>
      </c>
      <c r="K2434" t="s">
        <v>73</v>
      </c>
      <c r="N2434" t="s">
        <v>74</v>
      </c>
      <c r="O2434" t="s">
        <v>75</v>
      </c>
      <c r="P2434" t="s">
        <v>74</v>
      </c>
      <c r="Q2434" t="s">
        <v>76</v>
      </c>
      <c r="R2434" t="s">
        <v>73</v>
      </c>
      <c r="S2434">
        <v>0</v>
      </c>
      <c r="W2434" s="20">
        <v>6.9444444444444444E-5</v>
      </c>
      <c r="X2434" t="s">
        <v>132</v>
      </c>
      <c r="Y2434">
        <v>1</v>
      </c>
      <c r="Z2434">
        <v>0</v>
      </c>
      <c r="AA2434" t="s">
        <v>78</v>
      </c>
      <c r="AB2434">
        <v>0</v>
      </c>
      <c r="AC2434" t="s">
        <v>78</v>
      </c>
      <c r="AD2434">
        <v>0</v>
      </c>
      <c r="AE2434">
        <v>5006355</v>
      </c>
      <c r="AF2434" t="s">
        <v>79</v>
      </c>
      <c r="AG2434" t="s">
        <v>5298</v>
      </c>
    </row>
    <row r="2435" spans="1:33" x14ac:dyDescent="0.35">
      <c r="A2435" s="18">
        <v>44253.972916666666</v>
      </c>
      <c r="B2435">
        <v>3020870</v>
      </c>
      <c r="C2435" t="s">
        <v>4748</v>
      </c>
      <c r="D2435" t="s">
        <v>226</v>
      </c>
      <c r="E2435" s="19">
        <v>40452</v>
      </c>
      <c r="F2435" t="str">
        <f>"9781617611629"</f>
        <v>9781617611629</v>
      </c>
      <c r="G2435" t="str">
        <f>"9781617289804"</f>
        <v>9781617289804</v>
      </c>
      <c r="H2435" t="s">
        <v>4749</v>
      </c>
      <c r="I2435">
        <v>551.6</v>
      </c>
      <c r="J2435" t="s">
        <v>4750</v>
      </c>
      <c r="K2435" t="s">
        <v>73</v>
      </c>
      <c r="N2435" t="s">
        <v>74</v>
      </c>
      <c r="O2435" t="s">
        <v>75</v>
      </c>
      <c r="P2435" t="s">
        <v>74</v>
      </c>
      <c r="Q2435" t="s">
        <v>76</v>
      </c>
      <c r="R2435" t="s">
        <v>73</v>
      </c>
      <c r="S2435">
        <v>0</v>
      </c>
      <c r="W2435" s="20">
        <v>2.974537037037037E-2</v>
      </c>
      <c r="X2435" t="s">
        <v>5434</v>
      </c>
      <c r="Y2435">
        <v>60</v>
      </c>
      <c r="Z2435">
        <v>0</v>
      </c>
      <c r="AA2435" t="s">
        <v>78</v>
      </c>
      <c r="AB2435">
        <v>0</v>
      </c>
      <c r="AC2435" t="s">
        <v>3002</v>
      </c>
      <c r="AD2435">
        <v>1</v>
      </c>
      <c r="AE2435">
        <v>10681008</v>
      </c>
      <c r="AF2435" t="s">
        <v>79</v>
      </c>
      <c r="AG2435" t="s">
        <v>333</v>
      </c>
    </row>
    <row r="2436" spans="1:33" x14ac:dyDescent="0.35">
      <c r="A2436" s="18">
        <v>44253.946527777778</v>
      </c>
      <c r="B2436">
        <v>3004026</v>
      </c>
      <c r="C2436" t="s">
        <v>4331</v>
      </c>
      <c r="D2436" t="s">
        <v>506</v>
      </c>
      <c r="E2436" s="19">
        <v>38687</v>
      </c>
      <c r="F2436" t="str">
        <f>"9789047409083"</f>
        <v>9789047409083</v>
      </c>
      <c r="G2436" t="str">
        <f>"9789004150102"</f>
        <v>9789004150102</v>
      </c>
      <c r="H2436" t="s">
        <v>4332</v>
      </c>
      <c r="I2436" t="s">
        <v>4333</v>
      </c>
      <c r="J2436" t="s">
        <v>4334</v>
      </c>
      <c r="K2436" t="s">
        <v>73</v>
      </c>
      <c r="N2436" t="s">
        <v>74</v>
      </c>
      <c r="O2436" t="s">
        <v>75</v>
      </c>
      <c r="P2436" t="s">
        <v>74</v>
      </c>
      <c r="Q2436" t="s">
        <v>76</v>
      </c>
      <c r="R2436" t="s">
        <v>73</v>
      </c>
      <c r="S2436">
        <v>0</v>
      </c>
      <c r="W2436" s="20">
        <v>2.4525462962962968E-2</v>
      </c>
      <c r="X2436" t="s">
        <v>5435</v>
      </c>
      <c r="Y2436">
        <v>11</v>
      </c>
      <c r="Z2436">
        <v>0</v>
      </c>
      <c r="AA2436" t="s">
        <v>78</v>
      </c>
      <c r="AB2436">
        <v>0</v>
      </c>
      <c r="AC2436" t="s">
        <v>78</v>
      </c>
      <c r="AD2436">
        <v>0</v>
      </c>
      <c r="AE2436">
        <v>10234689</v>
      </c>
      <c r="AF2436" t="s">
        <v>79</v>
      </c>
      <c r="AG2436" t="s">
        <v>5374</v>
      </c>
    </row>
    <row r="2437" spans="1:33" x14ac:dyDescent="0.35">
      <c r="A2437" s="18">
        <v>44253.936111111114</v>
      </c>
      <c r="B2437">
        <v>3004512</v>
      </c>
      <c r="C2437" t="s">
        <v>5432</v>
      </c>
      <c r="D2437" t="s">
        <v>538</v>
      </c>
      <c r="E2437" s="19">
        <v>37014</v>
      </c>
      <c r="F2437" t="str">
        <f>"9780511152788"</f>
        <v>9780511152788</v>
      </c>
      <c r="G2437" t="str">
        <f>"9780521561259"</f>
        <v>9780521561259</v>
      </c>
      <c r="H2437" t="s">
        <v>3985</v>
      </c>
      <c r="I2437">
        <v>551.6</v>
      </c>
      <c r="J2437" t="s">
        <v>5433</v>
      </c>
      <c r="K2437" t="s">
        <v>73</v>
      </c>
      <c r="N2437" t="s">
        <v>74</v>
      </c>
      <c r="O2437" t="s">
        <v>75</v>
      </c>
      <c r="P2437" t="s">
        <v>74</v>
      </c>
      <c r="Q2437" t="s">
        <v>76</v>
      </c>
      <c r="R2437" t="s">
        <v>73</v>
      </c>
      <c r="S2437">
        <v>0</v>
      </c>
      <c r="W2437" s="20">
        <v>2.0821759259259259E-2</v>
      </c>
      <c r="X2437" t="s">
        <v>5436</v>
      </c>
      <c r="Y2437">
        <v>9</v>
      </c>
      <c r="Z2437">
        <v>0</v>
      </c>
      <c r="AA2437" t="s">
        <v>78</v>
      </c>
      <c r="AB2437">
        <v>0</v>
      </c>
      <c r="AC2437" t="s">
        <v>78</v>
      </c>
      <c r="AD2437">
        <v>0</v>
      </c>
      <c r="AE2437">
        <v>5006355</v>
      </c>
      <c r="AF2437" t="s">
        <v>79</v>
      </c>
      <c r="AG2437" t="s">
        <v>5437</v>
      </c>
    </row>
    <row r="2438" spans="1:33" x14ac:dyDescent="0.35">
      <c r="A2438" s="18">
        <v>44253.9</v>
      </c>
      <c r="B2438">
        <v>981859</v>
      </c>
      <c r="C2438" t="s">
        <v>2663</v>
      </c>
      <c r="D2438" t="s">
        <v>127</v>
      </c>
      <c r="E2438" s="19">
        <v>40572</v>
      </c>
      <c r="F2438" t="str">
        <f>"9780203834244"</f>
        <v>9780203834244</v>
      </c>
      <c r="G2438" t="str">
        <f>"9780415892032"</f>
        <v>9780415892032</v>
      </c>
      <c r="H2438" t="s">
        <v>2664</v>
      </c>
      <c r="I2438" t="s">
        <v>2665</v>
      </c>
      <c r="J2438" t="s">
        <v>2666</v>
      </c>
      <c r="K2438" t="s">
        <v>73</v>
      </c>
      <c r="N2438" t="s">
        <v>74</v>
      </c>
      <c r="O2438" t="s">
        <v>75</v>
      </c>
      <c r="P2438" t="s">
        <v>74</v>
      </c>
      <c r="Q2438" t="s">
        <v>76</v>
      </c>
      <c r="R2438" t="s">
        <v>73</v>
      </c>
      <c r="S2438">
        <v>0</v>
      </c>
      <c r="W2438" s="20">
        <v>8.449074074074075E-4</v>
      </c>
      <c r="X2438" t="s">
        <v>5438</v>
      </c>
      <c r="Y2438">
        <v>8</v>
      </c>
      <c r="Z2438">
        <v>0</v>
      </c>
      <c r="AA2438" t="s">
        <v>78</v>
      </c>
      <c r="AB2438">
        <v>0</v>
      </c>
      <c r="AC2438" t="s">
        <v>78</v>
      </c>
      <c r="AD2438">
        <v>0</v>
      </c>
      <c r="AE2438">
        <v>10578148</v>
      </c>
      <c r="AF2438" t="s">
        <v>79</v>
      </c>
      <c r="AG2438" t="s">
        <v>3345</v>
      </c>
    </row>
    <row r="2439" spans="1:33" x14ac:dyDescent="0.35">
      <c r="A2439" s="18">
        <v>44253.883333333331</v>
      </c>
      <c r="B2439">
        <v>1752821</v>
      </c>
      <c r="C2439" t="s">
        <v>5128</v>
      </c>
      <c r="D2439" t="s">
        <v>1642</v>
      </c>
      <c r="E2439" s="19">
        <v>41802</v>
      </c>
      <c r="F2439" t="str">
        <f>"9781784411817"</f>
        <v>9781784411817</v>
      </c>
      <c r="G2439" t="str">
        <f>"9781784411800"</f>
        <v>9781784411800</v>
      </c>
      <c r="H2439" t="s">
        <v>110</v>
      </c>
      <c r="I2439">
        <v>5.74</v>
      </c>
      <c r="J2439" t="s">
        <v>5129</v>
      </c>
      <c r="K2439" t="s">
        <v>73</v>
      </c>
      <c r="N2439" t="s">
        <v>74</v>
      </c>
      <c r="O2439" t="s">
        <v>75</v>
      </c>
      <c r="P2439" t="s">
        <v>74</v>
      </c>
      <c r="Q2439" t="s">
        <v>76</v>
      </c>
      <c r="R2439" t="s">
        <v>73</v>
      </c>
      <c r="S2439">
        <v>0</v>
      </c>
      <c r="W2439" s="20">
        <v>3.9351851851851852E-4</v>
      </c>
      <c r="X2439" t="s">
        <v>5439</v>
      </c>
      <c r="Y2439">
        <v>3</v>
      </c>
      <c r="Z2439">
        <v>0</v>
      </c>
      <c r="AA2439" t="s">
        <v>78</v>
      </c>
      <c r="AB2439">
        <v>0</v>
      </c>
      <c r="AC2439" t="s">
        <v>78</v>
      </c>
      <c r="AD2439">
        <v>0</v>
      </c>
      <c r="AE2439">
        <v>10900573</v>
      </c>
      <c r="AF2439" t="s">
        <v>79</v>
      </c>
      <c r="AG2439" t="s">
        <v>4442</v>
      </c>
    </row>
    <row r="2440" spans="1:33" x14ac:dyDescent="0.35">
      <c r="A2440" s="18">
        <v>44253.879861111112</v>
      </c>
      <c r="B2440">
        <v>3001261</v>
      </c>
      <c r="C2440" t="s">
        <v>3419</v>
      </c>
      <c r="D2440" t="s">
        <v>3420</v>
      </c>
      <c r="E2440" s="19">
        <v>39630</v>
      </c>
      <c r="F2440" t="str">
        <f>"9780313352874"</f>
        <v>9780313352874</v>
      </c>
      <c r="G2440" t="str">
        <f>"9780313352867"</f>
        <v>9780313352867</v>
      </c>
      <c r="H2440" t="s">
        <v>3421</v>
      </c>
      <c r="I2440">
        <v>333.79</v>
      </c>
      <c r="J2440" t="s">
        <v>3422</v>
      </c>
      <c r="K2440" t="s">
        <v>73</v>
      </c>
      <c r="N2440" t="s">
        <v>74</v>
      </c>
      <c r="O2440" t="s">
        <v>75</v>
      </c>
      <c r="P2440" t="s">
        <v>74</v>
      </c>
      <c r="Q2440" t="s">
        <v>76</v>
      </c>
      <c r="R2440" t="s">
        <v>73</v>
      </c>
      <c r="S2440">
        <v>0</v>
      </c>
      <c r="W2440" s="20">
        <v>1.1574074074074073E-4</v>
      </c>
      <c r="X2440" t="s">
        <v>1492</v>
      </c>
      <c r="Y2440">
        <v>2</v>
      </c>
      <c r="Z2440">
        <v>0</v>
      </c>
      <c r="AA2440" t="s">
        <v>78</v>
      </c>
      <c r="AB2440">
        <v>0</v>
      </c>
      <c r="AC2440" t="s">
        <v>78</v>
      </c>
      <c r="AD2440">
        <v>0</v>
      </c>
      <c r="AE2440">
        <v>10271266</v>
      </c>
      <c r="AF2440" t="s">
        <v>79</v>
      </c>
      <c r="AG2440" t="s">
        <v>5412</v>
      </c>
    </row>
    <row r="2441" spans="1:33" x14ac:dyDescent="0.35">
      <c r="A2441" s="18">
        <v>44253.875</v>
      </c>
      <c r="B2441">
        <v>3004512</v>
      </c>
      <c r="C2441" t="s">
        <v>5432</v>
      </c>
      <c r="D2441" t="s">
        <v>538</v>
      </c>
      <c r="E2441" s="19">
        <v>37014</v>
      </c>
      <c r="F2441" t="str">
        <f>"9780511152788"</f>
        <v>9780511152788</v>
      </c>
      <c r="G2441" t="str">
        <f>"9780521561259"</f>
        <v>9780521561259</v>
      </c>
      <c r="H2441" t="s">
        <v>3985</v>
      </c>
      <c r="I2441">
        <v>551.6</v>
      </c>
      <c r="J2441" t="s">
        <v>5433</v>
      </c>
      <c r="K2441" t="s">
        <v>73</v>
      </c>
      <c r="N2441" t="s">
        <v>74</v>
      </c>
      <c r="O2441" t="s">
        <v>75</v>
      </c>
      <c r="P2441" t="s">
        <v>74</v>
      </c>
      <c r="Q2441" t="s">
        <v>76</v>
      </c>
      <c r="R2441" t="s">
        <v>73</v>
      </c>
      <c r="S2441">
        <v>0</v>
      </c>
      <c r="W2441" s="20">
        <v>1.0254629629629629E-2</v>
      </c>
      <c r="X2441" t="s">
        <v>5440</v>
      </c>
      <c r="Y2441">
        <v>13</v>
      </c>
      <c r="Z2441">
        <v>0</v>
      </c>
      <c r="AA2441" t="s">
        <v>78</v>
      </c>
      <c r="AB2441">
        <v>0</v>
      </c>
      <c r="AC2441" t="s">
        <v>1242</v>
      </c>
      <c r="AD2441">
        <v>2</v>
      </c>
      <c r="AE2441">
        <v>5006355</v>
      </c>
      <c r="AF2441" t="s">
        <v>79</v>
      </c>
      <c r="AG2441" t="s">
        <v>333</v>
      </c>
    </row>
    <row r="2442" spans="1:33" x14ac:dyDescent="0.35">
      <c r="A2442" s="18">
        <v>44253.873611111114</v>
      </c>
      <c r="B2442">
        <v>1830138</v>
      </c>
      <c r="C2442" t="s">
        <v>5441</v>
      </c>
      <c r="D2442" t="s">
        <v>70</v>
      </c>
      <c r="E2442" s="19">
        <v>41984</v>
      </c>
      <c r="F2442" t="str">
        <f>"9781119053941"</f>
        <v>9781119053941</v>
      </c>
      <c r="G2442" t="str">
        <f>"9781848217775"</f>
        <v>9781848217775</v>
      </c>
      <c r="H2442" t="s">
        <v>1246</v>
      </c>
      <c r="I2442">
        <v>551.60113000000001</v>
      </c>
      <c r="J2442" t="s">
        <v>5442</v>
      </c>
      <c r="K2442" t="s">
        <v>73</v>
      </c>
      <c r="N2442" t="s">
        <v>74</v>
      </c>
      <c r="O2442" t="s">
        <v>75</v>
      </c>
      <c r="P2442" t="s">
        <v>74</v>
      </c>
      <c r="Q2442" t="s">
        <v>76</v>
      </c>
      <c r="R2442" t="s">
        <v>73</v>
      </c>
      <c r="S2442">
        <v>0</v>
      </c>
      <c r="W2442" s="20">
        <v>8.564814814814815E-4</v>
      </c>
      <c r="X2442" t="s">
        <v>5443</v>
      </c>
      <c r="Y2442">
        <v>4</v>
      </c>
      <c r="Z2442">
        <v>0</v>
      </c>
      <c r="AA2442" t="s">
        <v>78</v>
      </c>
      <c r="AB2442">
        <v>0</v>
      </c>
      <c r="AC2442" t="s">
        <v>78</v>
      </c>
      <c r="AD2442">
        <v>0</v>
      </c>
      <c r="AE2442">
        <v>10963355</v>
      </c>
      <c r="AF2442" t="s">
        <v>79</v>
      </c>
      <c r="AG2442" t="s">
        <v>333</v>
      </c>
    </row>
    <row r="2443" spans="1:33" x14ac:dyDescent="0.35">
      <c r="A2443" s="18">
        <v>44253.863888888889</v>
      </c>
      <c r="B2443">
        <v>766156</v>
      </c>
      <c r="C2443" t="s">
        <v>5404</v>
      </c>
      <c r="D2443" t="s">
        <v>5405</v>
      </c>
      <c r="E2443" s="19">
        <v>40664</v>
      </c>
      <c r="F2443" t="str">
        <f>"9781554698059"</f>
        <v>9781554698059</v>
      </c>
      <c r="G2443" t="str">
        <f>"9781554698042"</f>
        <v>9781554698042</v>
      </c>
      <c r="H2443" t="s">
        <v>5406</v>
      </c>
      <c r="I2443" t="s">
        <v>5407</v>
      </c>
      <c r="J2443" t="s">
        <v>5408</v>
      </c>
      <c r="K2443" t="s">
        <v>73</v>
      </c>
      <c r="N2443" t="s">
        <v>74</v>
      </c>
      <c r="O2443" t="s">
        <v>75</v>
      </c>
      <c r="P2443" t="s">
        <v>74</v>
      </c>
      <c r="Q2443" t="s">
        <v>76</v>
      </c>
      <c r="R2443" t="s">
        <v>73</v>
      </c>
      <c r="S2443">
        <v>0</v>
      </c>
      <c r="W2443" s="20">
        <v>1.0115740740740741E-2</v>
      </c>
      <c r="X2443" t="s">
        <v>5444</v>
      </c>
      <c r="Y2443">
        <v>34</v>
      </c>
      <c r="Z2443">
        <v>0</v>
      </c>
      <c r="AA2443" t="s">
        <v>78</v>
      </c>
      <c r="AB2443">
        <v>0</v>
      </c>
      <c r="AC2443" t="s">
        <v>78</v>
      </c>
      <c r="AD2443">
        <v>0</v>
      </c>
      <c r="AE2443">
        <v>10754487</v>
      </c>
      <c r="AF2443" t="s">
        <v>79</v>
      </c>
      <c r="AG2443" t="s">
        <v>5445</v>
      </c>
    </row>
    <row r="2444" spans="1:33" x14ac:dyDescent="0.35">
      <c r="A2444" s="18">
        <v>44253.861805555556</v>
      </c>
      <c r="B2444">
        <v>3001261</v>
      </c>
      <c r="C2444" t="s">
        <v>3419</v>
      </c>
      <c r="D2444" t="s">
        <v>3420</v>
      </c>
      <c r="E2444" s="19">
        <v>39630</v>
      </c>
      <c r="F2444" t="str">
        <f>"9780313352874"</f>
        <v>9780313352874</v>
      </c>
      <c r="G2444" t="str">
        <f>"9780313352867"</f>
        <v>9780313352867</v>
      </c>
      <c r="H2444" t="s">
        <v>3421</v>
      </c>
      <c r="I2444">
        <v>333.79</v>
      </c>
      <c r="J2444" t="s">
        <v>3422</v>
      </c>
      <c r="K2444" t="s">
        <v>73</v>
      </c>
      <c r="N2444" t="s">
        <v>74</v>
      </c>
      <c r="O2444" t="s">
        <v>75</v>
      </c>
      <c r="P2444" t="s">
        <v>74</v>
      </c>
      <c r="Q2444" t="s">
        <v>76</v>
      </c>
      <c r="R2444" t="s">
        <v>73</v>
      </c>
      <c r="S2444">
        <v>0</v>
      </c>
      <c r="W2444" s="20">
        <v>1.7939814814814815E-3</v>
      </c>
      <c r="X2444" t="s">
        <v>5446</v>
      </c>
      <c r="Y2444">
        <v>23</v>
      </c>
      <c r="Z2444">
        <v>0</v>
      </c>
      <c r="AA2444" t="s">
        <v>78</v>
      </c>
      <c r="AB2444">
        <v>0</v>
      </c>
      <c r="AC2444" t="s">
        <v>78</v>
      </c>
      <c r="AD2444">
        <v>0</v>
      </c>
      <c r="AE2444">
        <v>10271266</v>
      </c>
      <c r="AF2444" t="s">
        <v>79</v>
      </c>
      <c r="AG2444" t="s">
        <v>5445</v>
      </c>
    </row>
    <row r="2445" spans="1:33" x14ac:dyDescent="0.35">
      <c r="A2445" s="18">
        <v>44253.806250000001</v>
      </c>
      <c r="B2445">
        <v>1752821</v>
      </c>
      <c r="C2445" t="s">
        <v>5128</v>
      </c>
      <c r="D2445" t="s">
        <v>1642</v>
      </c>
      <c r="E2445" s="19">
        <v>41802</v>
      </c>
      <c r="F2445" t="str">
        <f>"9781784411817"</f>
        <v>9781784411817</v>
      </c>
      <c r="G2445" t="str">
        <f>"9781784411800"</f>
        <v>9781784411800</v>
      </c>
      <c r="H2445" t="s">
        <v>110</v>
      </c>
      <c r="I2445">
        <v>5.74</v>
      </c>
      <c r="J2445" t="s">
        <v>5129</v>
      </c>
      <c r="K2445" t="s">
        <v>73</v>
      </c>
      <c r="N2445" t="s">
        <v>74</v>
      </c>
      <c r="O2445" t="s">
        <v>75</v>
      </c>
      <c r="P2445" t="s">
        <v>74</v>
      </c>
      <c r="Q2445" t="s">
        <v>76</v>
      </c>
      <c r="R2445" t="s">
        <v>73</v>
      </c>
      <c r="S2445">
        <v>0</v>
      </c>
      <c r="W2445" s="20">
        <v>6.4467592592592597E-3</v>
      </c>
      <c r="X2445" t="s">
        <v>5447</v>
      </c>
      <c r="Y2445">
        <v>11</v>
      </c>
      <c r="Z2445">
        <v>1</v>
      </c>
      <c r="AA2445" t="s">
        <v>132</v>
      </c>
      <c r="AB2445">
        <v>1</v>
      </c>
      <c r="AC2445" t="s">
        <v>78</v>
      </c>
      <c r="AD2445">
        <v>0</v>
      </c>
      <c r="AE2445">
        <v>10900573</v>
      </c>
      <c r="AF2445" t="s">
        <v>79</v>
      </c>
      <c r="AG2445" t="s">
        <v>4442</v>
      </c>
    </row>
    <row r="2446" spans="1:33" x14ac:dyDescent="0.35">
      <c r="A2446" s="18">
        <v>44253.743750000001</v>
      </c>
      <c r="B2446">
        <v>1390902</v>
      </c>
      <c r="C2446" t="s">
        <v>5141</v>
      </c>
      <c r="D2446" t="s">
        <v>3412</v>
      </c>
      <c r="E2446" s="19">
        <v>41696</v>
      </c>
      <c r="F2446" t="str">
        <f>"9780814433423"</f>
        <v>9780814433423</v>
      </c>
      <c r="G2446" t="str">
        <f>"9780814433416"</f>
        <v>9780814433416</v>
      </c>
      <c r="H2446" t="s">
        <v>143</v>
      </c>
      <c r="I2446" t="s">
        <v>4904</v>
      </c>
      <c r="J2446" t="s">
        <v>5142</v>
      </c>
      <c r="K2446" t="s">
        <v>73</v>
      </c>
      <c r="N2446" t="s">
        <v>74</v>
      </c>
      <c r="O2446" t="s">
        <v>75</v>
      </c>
      <c r="P2446" t="s">
        <v>74</v>
      </c>
      <c r="Q2446" t="s">
        <v>76</v>
      </c>
      <c r="R2446" t="s">
        <v>73</v>
      </c>
      <c r="S2446">
        <v>0</v>
      </c>
      <c r="W2446" s="20">
        <v>5.347222222222222E-3</v>
      </c>
      <c r="X2446" t="s">
        <v>5448</v>
      </c>
      <c r="Y2446">
        <v>11</v>
      </c>
      <c r="Z2446">
        <v>0</v>
      </c>
      <c r="AA2446" t="s">
        <v>78</v>
      </c>
      <c r="AB2446">
        <v>0</v>
      </c>
      <c r="AC2446" t="s">
        <v>244</v>
      </c>
      <c r="AD2446">
        <v>1</v>
      </c>
      <c r="AE2446">
        <v>10821817</v>
      </c>
      <c r="AF2446" t="s">
        <v>79</v>
      </c>
      <c r="AG2446" t="s">
        <v>4442</v>
      </c>
    </row>
    <row r="2447" spans="1:33" x14ac:dyDescent="0.35">
      <c r="A2447" s="18">
        <v>44253.739583333336</v>
      </c>
      <c r="B2447">
        <v>1895831</v>
      </c>
      <c r="C2447" t="s">
        <v>4996</v>
      </c>
      <c r="D2447" t="s">
        <v>70</v>
      </c>
      <c r="E2447" s="19">
        <v>42107</v>
      </c>
      <c r="F2447" t="str">
        <f>"9781118968161"</f>
        <v>9781118968161</v>
      </c>
      <c r="G2447" t="str">
        <f>"9781118968154"</f>
        <v>9781118968154</v>
      </c>
      <c r="H2447" t="s">
        <v>143</v>
      </c>
      <c r="I2447" t="s">
        <v>4904</v>
      </c>
      <c r="J2447" t="s">
        <v>4997</v>
      </c>
      <c r="K2447" t="s">
        <v>73</v>
      </c>
      <c r="N2447" t="s">
        <v>74</v>
      </c>
      <c r="O2447" t="s">
        <v>75</v>
      </c>
      <c r="P2447" t="s">
        <v>74</v>
      </c>
      <c r="Q2447" t="s">
        <v>76</v>
      </c>
      <c r="R2447" t="s">
        <v>73</v>
      </c>
      <c r="S2447">
        <v>0</v>
      </c>
      <c r="W2447" s="20">
        <v>8.9120370370370362E-4</v>
      </c>
      <c r="X2447" t="s">
        <v>5449</v>
      </c>
      <c r="Y2447">
        <v>18</v>
      </c>
      <c r="Z2447">
        <v>0</v>
      </c>
      <c r="AA2447" t="s">
        <v>78</v>
      </c>
      <c r="AB2447">
        <v>0</v>
      </c>
      <c r="AC2447" t="s">
        <v>78</v>
      </c>
      <c r="AD2447">
        <v>0</v>
      </c>
      <c r="AE2447">
        <v>11041460</v>
      </c>
      <c r="AF2447" t="s">
        <v>79</v>
      </c>
      <c r="AG2447" t="s">
        <v>4442</v>
      </c>
    </row>
    <row r="2448" spans="1:33" x14ac:dyDescent="0.35">
      <c r="A2448" s="18">
        <v>44253.715277777781</v>
      </c>
      <c r="B2448">
        <v>3004026</v>
      </c>
      <c r="C2448" t="s">
        <v>4331</v>
      </c>
      <c r="D2448" t="s">
        <v>506</v>
      </c>
      <c r="E2448" s="19">
        <v>38687</v>
      </c>
      <c r="F2448" t="str">
        <f>"9789047409083"</f>
        <v>9789047409083</v>
      </c>
      <c r="G2448" t="str">
        <f>"9789004150102"</f>
        <v>9789004150102</v>
      </c>
      <c r="H2448" t="s">
        <v>4332</v>
      </c>
      <c r="I2448" t="s">
        <v>4333</v>
      </c>
      <c r="J2448" t="s">
        <v>4334</v>
      </c>
      <c r="K2448" t="s">
        <v>73</v>
      </c>
      <c r="N2448" t="s">
        <v>74</v>
      </c>
      <c r="O2448" t="s">
        <v>75</v>
      </c>
      <c r="P2448" t="s">
        <v>74</v>
      </c>
      <c r="Q2448" t="s">
        <v>76</v>
      </c>
      <c r="R2448" t="s">
        <v>73</v>
      </c>
      <c r="S2448">
        <v>1</v>
      </c>
      <c r="W2448" s="20">
        <v>3.3449074074074071E-3</v>
      </c>
      <c r="X2448" t="s">
        <v>5450</v>
      </c>
      <c r="Y2448">
        <v>8</v>
      </c>
      <c r="Z2448">
        <v>0</v>
      </c>
      <c r="AA2448" t="s">
        <v>78</v>
      </c>
      <c r="AB2448">
        <v>0</v>
      </c>
      <c r="AC2448" t="s">
        <v>78</v>
      </c>
      <c r="AD2448">
        <v>0</v>
      </c>
      <c r="AE2448">
        <v>10234689</v>
      </c>
      <c r="AF2448" t="s">
        <v>88</v>
      </c>
      <c r="AG2448" t="s">
        <v>5374</v>
      </c>
    </row>
    <row r="2449" spans="1:33" x14ac:dyDescent="0.35">
      <c r="A2449" s="18">
        <v>44253.713888888888</v>
      </c>
      <c r="B2449">
        <v>3004026</v>
      </c>
      <c r="C2449" t="s">
        <v>4331</v>
      </c>
      <c r="D2449" t="s">
        <v>506</v>
      </c>
      <c r="E2449" s="19">
        <v>38687</v>
      </c>
      <c r="F2449" t="str">
        <f>"9789047409083"</f>
        <v>9789047409083</v>
      </c>
      <c r="G2449" t="str">
        <f>"9789004150102"</f>
        <v>9789004150102</v>
      </c>
      <c r="H2449" t="s">
        <v>4332</v>
      </c>
      <c r="I2449" t="s">
        <v>4333</v>
      </c>
      <c r="J2449" t="s">
        <v>4334</v>
      </c>
      <c r="K2449" t="s">
        <v>73</v>
      </c>
      <c r="N2449" t="s">
        <v>74</v>
      </c>
      <c r="O2449" t="s">
        <v>75</v>
      </c>
      <c r="P2449" t="s">
        <v>74</v>
      </c>
      <c r="Q2449" t="s">
        <v>76</v>
      </c>
      <c r="R2449" t="s">
        <v>73</v>
      </c>
      <c r="S2449">
        <v>0</v>
      </c>
      <c r="W2449" s="20">
        <v>2.0833333333333335E-4</v>
      </c>
      <c r="X2449" t="s">
        <v>132</v>
      </c>
      <c r="Y2449">
        <v>1</v>
      </c>
      <c r="Z2449">
        <v>0</v>
      </c>
      <c r="AA2449" t="s">
        <v>78</v>
      </c>
      <c r="AB2449">
        <v>0</v>
      </c>
      <c r="AC2449" t="s">
        <v>78</v>
      </c>
      <c r="AD2449">
        <v>0</v>
      </c>
      <c r="AE2449">
        <v>10234689</v>
      </c>
      <c r="AF2449" t="s">
        <v>79</v>
      </c>
      <c r="AG2449" t="s">
        <v>5374</v>
      </c>
    </row>
    <row r="2450" spans="1:33" x14ac:dyDescent="0.35">
      <c r="A2450" s="18">
        <v>44253.691666666666</v>
      </c>
      <c r="B2450">
        <v>564285</v>
      </c>
      <c r="C2450" t="s">
        <v>5172</v>
      </c>
      <c r="D2450" t="s">
        <v>1240</v>
      </c>
      <c r="E2450" s="19">
        <v>40092</v>
      </c>
      <c r="F2450" t="str">
        <f>"9781855395060"</f>
        <v>9781855395060</v>
      </c>
      <c r="G2450" t="str">
        <f>"9781855394704"</f>
        <v>9781855394704</v>
      </c>
      <c r="H2450" t="s">
        <v>1179</v>
      </c>
      <c r="I2450">
        <v>372.12</v>
      </c>
      <c r="J2450" t="s">
        <v>5173</v>
      </c>
      <c r="K2450" t="s">
        <v>73</v>
      </c>
      <c r="N2450" t="s">
        <v>74</v>
      </c>
      <c r="O2450" t="s">
        <v>75</v>
      </c>
      <c r="P2450" t="s">
        <v>74</v>
      </c>
      <c r="Q2450" t="s">
        <v>76</v>
      </c>
      <c r="R2450" t="s">
        <v>73</v>
      </c>
      <c r="S2450">
        <v>0</v>
      </c>
      <c r="W2450" s="20">
        <v>8.6805555555555551E-4</v>
      </c>
      <c r="X2450" t="s">
        <v>5451</v>
      </c>
      <c r="Y2450">
        <v>12</v>
      </c>
      <c r="Z2450">
        <v>0</v>
      </c>
      <c r="AA2450" t="s">
        <v>78</v>
      </c>
      <c r="AB2450">
        <v>0</v>
      </c>
      <c r="AC2450" t="s">
        <v>4871</v>
      </c>
      <c r="AD2450">
        <v>1</v>
      </c>
      <c r="AE2450">
        <v>10427049</v>
      </c>
      <c r="AF2450" t="s">
        <v>79</v>
      </c>
      <c r="AG2450" t="s">
        <v>4442</v>
      </c>
    </row>
    <row r="2451" spans="1:33" x14ac:dyDescent="0.35">
      <c r="A2451" s="18">
        <v>44253.645833333336</v>
      </c>
      <c r="B2451">
        <v>1390902</v>
      </c>
      <c r="C2451" t="s">
        <v>5141</v>
      </c>
      <c r="D2451" t="s">
        <v>3412</v>
      </c>
      <c r="E2451" s="19">
        <v>41696</v>
      </c>
      <c r="F2451" t="str">
        <f>"9780814433423"</f>
        <v>9780814433423</v>
      </c>
      <c r="G2451" t="str">
        <f>"9780814433416"</f>
        <v>9780814433416</v>
      </c>
      <c r="H2451" t="s">
        <v>143</v>
      </c>
      <c r="I2451" t="s">
        <v>4904</v>
      </c>
      <c r="J2451" t="s">
        <v>5142</v>
      </c>
      <c r="K2451" t="s">
        <v>73</v>
      </c>
      <c r="N2451" t="s">
        <v>74</v>
      </c>
      <c r="O2451" t="s">
        <v>75</v>
      </c>
      <c r="P2451" t="s">
        <v>74</v>
      </c>
      <c r="Q2451" t="s">
        <v>76</v>
      </c>
      <c r="R2451" t="s">
        <v>73</v>
      </c>
      <c r="S2451">
        <v>0</v>
      </c>
      <c r="W2451" s="20">
        <v>1.0115740740740741E-2</v>
      </c>
      <c r="X2451" t="s">
        <v>5452</v>
      </c>
      <c r="Y2451">
        <v>14</v>
      </c>
      <c r="Z2451">
        <v>0</v>
      </c>
      <c r="AA2451" t="s">
        <v>78</v>
      </c>
      <c r="AB2451">
        <v>0</v>
      </c>
      <c r="AC2451" t="s">
        <v>5453</v>
      </c>
      <c r="AD2451">
        <v>2</v>
      </c>
      <c r="AE2451">
        <v>10821817</v>
      </c>
      <c r="AF2451" t="s">
        <v>79</v>
      </c>
      <c r="AG2451" t="s">
        <v>4442</v>
      </c>
    </row>
    <row r="2452" spans="1:33" x14ac:dyDescent="0.35">
      <c r="A2452" s="18">
        <v>44253.642361111109</v>
      </c>
      <c r="B2452">
        <v>3339772</v>
      </c>
      <c r="C2452" t="s">
        <v>2490</v>
      </c>
      <c r="D2452" t="s">
        <v>300</v>
      </c>
      <c r="E2452" s="19">
        <v>41719</v>
      </c>
      <c r="F2452" t="str">
        <f>"9780262322300"</f>
        <v>9780262322300</v>
      </c>
      <c r="G2452" t="str">
        <f>"9780262525879"</f>
        <v>9780262525879</v>
      </c>
      <c r="H2452" t="s">
        <v>2491</v>
      </c>
      <c r="I2452">
        <v>577.22</v>
      </c>
      <c r="J2452" t="s">
        <v>2492</v>
      </c>
      <c r="K2452" t="s">
        <v>73</v>
      </c>
      <c r="N2452" t="s">
        <v>74</v>
      </c>
      <c r="O2452" t="s">
        <v>75</v>
      </c>
      <c r="P2452" t="s">
        <v>74</v>
      </c>
      <c r="Q2452" t="s">
        <v>76</v>
      </c>
      <c r="R2452" t="s">
        <v>73</v>
      </c>
      <c r="S2452">
        <v>0</v>
      </c>
      <c r="W2452" s="20">
        <v>1.3888888888888889E-4</v>
      </c>
      <c r="X2452" t="s">
        <v>639</v>
      </c>
      <c r="Y2452">
        <v>3</v>
      </c>
      <c r="Z2452">
        <v>0</v>
      </c>
      <c r="AA2452" t="s">
        <v>78</v>
      </c>
      <c r="AB2452">
        <v>0</v>
      </c>
      <c r="AC2452" t="s">
        <v>78</v>
      </c>
      <c r="AD2452">
        <v>0</v>
      </c>
      <c r="AE2452">
        <v>10853346</v>
      </c>
      <c r="AF2452" t="s">
        <v>79</v>
      </c>
      <c r="AG2452" t="s">
        <v>5454</v>
      </c>
    </row>
    <row r="2453" spans="1:33" x14ac:dyDescent="0.35">
      <c r="A2453" s="18">
        <v>44253.611111111109</v>
      </c>
      <c r="B2453">
        <v>1895831</v>
      </c>
      <c r="C2453" t="s">
        <v>4996</v>
      </c>
      <c r="D2453" t="s">
        <v>70</v>
      </c>
      <c r="E2453" s="19">
        <v>42107</v>
      </c>
      <c r="F2453" t="str">
        <f>"9781118968161"</f>
        <v>9781118968161</v>
      </c>
      <c r="G2453" t="str">
        <f>"9781118968154"</f>
        <v>9781118968154</v>
      </c>
      <c r="H2453" t="s">
        <v>143</v>
      </c>
      <c r="I2453" t="s">
        <v>4904</v>
      </c>
      <c r="J2453" t="s">
        <v>4997</v>
      </c>
      <c r="K2453" t="s">
        <v>73</v>
      </c>
      <c r="N2453" t="s">
        <v>74</v>
      </c>
      <c r="O2453" t="s">
        <v>75</v>
      </c>
      <c r="P2453" t="s">
        <v>74</v>
      </c>
      <c r="Q2453" t="s">
        <v>76</v>
      </c>
      <c r="R2453" t="s">
        <v>73</v>
      </c>
      <c r="S2453">
        <v>0</v>
      </c>
      <c r="W2453" s="20">
        <v>1.0636574074074074E-2</v>
      </c>
      <c r="X2453" t="s">
        <v>5455</v>
      </c>
      <c r="Y2453">
        <v>24</v>
      </c>
      <c r="Z2453">
        <v>0</v>
      </c>
      <c r="AA2453" t="s">
        <v>78</v>
      </c>
      <c r="AB2453">
        <v>0</v>
      </c>
      <c r="AC2453" t="s">
        <v>78</v>
      </c>
      <c r="AD2453">
        <v>0</v>
      </c>
      <c r="AE2453">
        <v>11041460</v>
      </c>
      <c r="AF2453" t="s">
        <v>79</v>
      </c>
      <c r="AG2453" t="s">
        <v>4442</v>
      </c>
    </row>
    <row r="2454" spans="1:33" x14ac:dyDescent="0.35">
      <c r="A2454" s="18">
        <v>44253.560416666667</v>
      </c>
      <c r="B2454">
        <v>3386712</v>
      </c>
      <c r="C2454" t="s">
        <v>5456</v>
      </c>
      <c r="D2454" t="s">
        <v>3311</v>
      </c>
      <c r="E2454" s="19">
        <v>41339</v>
      </c>
      <c r="F2454" t="str">
        <f>"9781849648608"</f>
        <v>9781849648608</v>
      </c>
      <c r="G2454" t="str">
        <f>"9780745330686"</f>
        <v>9780745330686</v>
      </c>
      <c r="H2454" t="s">
        <v>5308</v>
      </c>
      <c r="I2454">
        <v>363.80917240000002</v>
      </c>
      <c r="J2454" t="s">
        <v>5457</v>
      </c>
      <c r="K2454" t="s">
        <v>73</v>
      </c>
      <c r="N2454" t="s">
        <v>74</v>
      </c>
      <c r="O2454" t="s">
        <v>75</v>
      </c>
      <c r="P2454" t="s">
        <v>74</v>
      </c>
      <c r="Q2454" t="s">
        <v>76</v>
      </c>
      <c r="R2454" t="s">
        <v>73</v>
      </c>
      <c r="S2454">
        <v>0</v>
      </c>
      <c r="W2454" s="20">
        <v>2.8240740740740736E-2</v>
      </c>
      <c r="X2454" t="s">
        <v>5458</v>
      </c>
      <c r="Y2454">
        <v>29</v>
      </c>
      <c r="Z2454">
        <v>0</v>
      </c>
      <c r="AA2454" t="s">
        <v>78</v>
      </c>
      <c r="AB2454">
        <v>0</v>
      </c>
      <c r="AC2454" t="s">
        <v>78</v>
      </c>
      <c r="AD2454">
        <v>0</v>
      </c>
      <c r="AE2454">
        <v>10675215</v>
      </c>
      <c r="AF2454" t="s">
        <v>79</v>
      </c>
      <c r="AG2454" t="s">
        <v>548</v>
      </c>
    </row>
    <row r="2455" spans="1:33" x14ac:dyDescent="0.35">
      <c r="A2455" s="18">
        <v>44253.504166666666</v>
      </c>
      <c r="B2455">
        <v>624741</v>
      </c>
      <c r="C2455" t="s">
        <v>5459</v>
      </c>
      <c r="D2455" t="s">
        <v>70</v>
      </c>
      <c r="E2455" s="19">
        <v>40532</v>
      </c>
      <c r="F2455" t="str">
        <f>"9780470666968"</f>
        <v>9780470666968</v>
      </c>
      <c r="G2455" t="str">
        <f>"9781405175173"</f>
        <v>9781405175173</v>
      </c>
      <c r="H2455" t="s">
        <v>374</v>
      </c>
      <c r="I2455" t="s">
        <v>5460</v>
      </c>
      <c r="J2455" t="s">
        <v>5461</v>
      </c>
      <c r="K2455" t="s">
        <v>73</v>
      </c>
      <c r="N2455" t="s">
        <v>74</v>
      </c>
      <c r="O2455" t="s">
        <v>75</v>
      </c>
      <c r="P2455" t="s">
        <v>74</v>
      </c>
      <c r="Q2455" t="s">
        <v>76</v>
      </c>
      <c r="R2455" t="s">
        <v>73</v>
      </c>
      <c r="S2455">
        <v>0</v>
      </c>
      <c r="W2455" s="20">
        <v>1.3310185185185185E-3</v>
      </c>
      <c r="X2455" t="s">
        <v>5462</v>
      </c>
      <c r="Y2455">
        <v>12</v>
      </c>
      <c r="Z2455">
        <v>0</v>
      </c>
      <c r="AA2455" t="s">
        <v>78</v>
      </c>
      <c r="AB2455">
        <v>0</v>
      </c>
      <c r="AC2455" t="s">
        <v>78</v>
      </c>
      <c r="AD2455">
        <v>0</v>
      </c>
      <c r="AE2455">
        <v>10510413</v>
      </c>
      <c r="AF2455" t="s">
        <v>79</v>
      </c>
      <c r="AG2455" t="s">
        <v>5374</v>
      </c>
    </row>
    <row r="2456" spans="1:33" x14ac:dyDescent="0.35">
      <c r="A2456" s="18">
        <v>44253.500694444447</v>
      </c>
      <c r="B2456">
        <v>1186458</v>
      </c>
      <c r="C2456" t="s">
        <v>5463</v>
      </c>
      <c r="D2456" t="s">
        <v>127</v>
      </c>
      <c r="E2456" s="19">
        <v>41354</v>
      </c>
      <c r="F2456" t="str">
        <f>"9781135985790"</f>
        <v>9781135985790</v>
      </c>
      <c r="G2456" t="str">
        <f>"9780415826419"</f>
        <v>9780415826419</v>
      </c>
      <c r="H2456" t="s">
        <v>194</v>
      </c>
      <c r="I2456">
        <v>302.35000000000002</v>
      </c>
      <c r="J2456" t="s">
        <v>5464</v>
      </c>
      <c r="K2456" t="s">
        <v>73</v>
      </c>
      <c r="N2456" t="s">
        <v>74</v>
      </c>
      <c r="O2456" t="s">
        <v>75</v>
      </c>
      <c r="P2456" t="s">
        <v>74</v>
      </c>
      <c r="Q2456" t="s">
        <v>76</v>
      </c>
      <c r="R2456" t="s">
        <v>73</v>
      </c>
      <c r="S2456">
        <v>0</v>
      </c>
      <c r="W2456" s="20">
        <v>5.2546296296296299E-3</v>
      </c>
      <c r="X2456" t="s">
        <v>5465</v>
      </c>
      <c r="Y2456">
        <v>26</v>
      </c>
      <c r="Z2456">
        <v>0</v>
      </c>
      <c r="AA2456" t="s">
        <v>78</v>
      </c>
      <c r="AB2456">
        <v>0</v>
      </c>
      <c r="AC2456" t="s">
        <v>78</v>
      </c>
      <c r="AD2456">
        <v>0</v>
      </c>
      <c r="AE2456">
        <v>10699394</v>
      </c>
      <c r="AF2456" t="s">
        <v>79</v>
      </c>
      <c r="AG2456" t="s">
        <v>5298</v>
      </c>
    </row>
    <row r="2457" spans="1:33" x14ac:dyDescent="0.35">
      <c r="A2457" s="18">
        <v>44253.498611111114</v>
      </c>
      <c r="B2457">
        <v>4537463</v>
      </c>
      <c r="C2457" t="s">
        <v>5466</v>
      </c>
      <c r="D2457" t="s">
        <v>5467</v>
      </c>
      <c r="E2457" s="19">
        <v>42496</v>
      </c>
      <c r="F2457" t="str">
        <f>"9781936763924"</f>
        <v>9781936763924</v>
      </c>
      <c r="G2457" t="str">
        <f>"9781936763917"</f>
        <v>9781936763917</v>
      </c>
      <c r="H2457" t="s">
        <v>1179</v>
      </c>
      <c r="I2457">
        <v>371.2</v>
      </c>
      <c r="J2457" t="s">
        <v>5468</v>
      </c>
      <c r="K2457" t="s">
        <v>73</v>
      </c>
      <c r="N2457" t="s">
        <v>74</v>
      </c>
      <c r="O2457" t="s">
        <v>75</v>
      </c>
      <c r="P2457" t="s">
        <v>74</v>
      </c>
      <c r="Q2457" t="s">
        <v>76</v>
      </c>
      <c r="R2457" t="s">
        <v>73</v>
      </c>
      <c r="S2457">
        <v>0</v>
      </c>
      <c r="W2457" s="20">
        <v>1.7476851851851852E-3</v>
      </c>
      <c r="X2457" t="s">
        <v>5469</v>
      </c>
      <c r="Y2457">
        <v>13</v>
      </c>
      <c r="Z2457">
        <v>0</v>
      </c>
      <c r="AA2457" t="s">
        <v>78</v>
      </c>
      <c r="AB2457">
        <v>0</v>
      </c>
      <c r="AC2457" t="s">
        <v>78</v>
      </c>
      <c r="AD2457">
        <v>0</v>
      </c>
      <c r="AE2457">
        <v>11424980</v>
      </c>
      <c r="AF2457" t="s">
        <v>79</v>
      </c>
      <c r="AG2457" t="s">
        <v>5298</v>
      </c>
    </row>
    <row r="2458" spans="1:33" x14ac:dyDescent="0.35">
      <c r="A2458" s="18">
        <v>44253.49722222222</v>
      </c>
      <c r="B2458">
        <v>1666502</v>
      </c>
      <c r="C2458" t="s">
        <v>5470</v>
      </c>
      <c r="D2458" t="s">
        <v>70</v>
      </c>
      <c r="E2458" s="19">
        <v>39465</v>
      </c>
      <c r="F2458" t="str">
        <f>"9781118930885"</f>
        <v>9781118930885</v>
      </c>
      <c r="G2458" t="str">
        <f>"9780787988197"</f>
        <v>9780787988197</v>
      </c>
      <c r="H2458" t="s">
        <v>143</v>
      </c>
      <c r="I2458" t="s">
        <v>4904</v>
      </c>
      <c r="J2458" t="s">
        <v>5471</v>
      </c>
      <c r="K2458" t="s">
        <v>73</v>
      </c>
      <c r="N2458" t="s">
        <v>74</v>
      </c>
      <c r="O2458" t="s">
        <v>75</v>
      </c>
      <c r="P2458" t="s">
        <v>74</v>
      </c>
      <c r="Q2458" t="s">
        <v>76</v>
      </c>
      <c r="R2458" t="s">
        <v>73</v>
      </c>
      <c r="S2458">
        <v>0</v>
      </c>
      <c r="W2458" s="20">
        <v>4.0509259259259258E-4</v>
      </c>
      <c r="X2458" t="s">
        <v>5472</v>
      </c>
      <c r="Y2458">
        <v>7</v>
      </c>
      <c r="Z2458">
        <v>0</v>
      </c>
      <c r="AA2458" t="s">
        <v>78</v>
      </c>
      <c r="AB2458">
        <v>0</v>
      </c>
      <c r="AC2458" t="s">
        <v>78</v>
      </c>
      <c r="AD2458">
        <v>0</v>
      </c>
      <c r="AE2458">
        <v>10861020</v>
      </c>
      <c r="AF2458" t="s">
        <v>79</v>
      </c>
      <c r="AG2458" t="s">
        <v>5298</v>
      </c>
    </row>
    <row r="2459" spans="1:33" x14ac:dyDescent="0.35">
      <c r="A2459" s="18">
        <v>44253.487500000003</v>
      </c>
      <c r="B2459">
        <v>1830135</v>
      </c>
      <c r="C2459" t="s">
        <v>5147</v>
      </c>
      <c r="D2459" t="s">
        <v>70</v>
      </c>
      <c r="E2459" s="19">
        <v>41960</v>
      </c>
      <c r="F2459" t="str">
        <f>"9781119003960"</f>
        <v>9781119003960</v>
      </c>
      <c r="G2459" t="str">
        <f>"9781119003953"</f>
        <v>9781119003953</v>
      </c>
      <c r="H2459" t="s">
        <v>143</v>
      </c>
      <c r="I2459">
        <v>658.40920000000006</v>
      </c>
      <c r="J2459" t="s">
        <v>5148</v>
      </c>
      <c r="K2459" t="s">
        <v>73</v>
      </c>
      <c r="N2459" t="s">
        <v>74</v>
      </c>
      <c r="O2459" t="s">
        <v>75</v>
      </c>
      <c r="P2459" t="s">
        <v>74</v>
      </c>
      <c r="Q2459" t="s">
        <v>76</v>
      </c>
      <c r="R2459" t="s">
        <v>73</v>
      </c>
      <c r="S2459">
        <v>0</v>
      </c>
      <c r="W2459" s="20">
        <v>8.3101851851851861E-3</v>
      </c>
      <c r="X2459" t="s">
        <v>5473</v>
      </c>
      <c r="Y2459">
        <v>61</v>
      </c>
      <c r="Z2459">
        <v>0</v>
      </c>
      <c r="AA2459" t="s">
        <v>78</v>
      </c>
      <c r="AB2459">
        <v>0</v>
      </c>
      <c r="AC2459" t="s">
        <v>244</v>
      </c>
      <c r="AD2459">
        <v>1</v>
      </c>
      <c r="AE2459">
        <v>10963351</v>
      </c>
      <c r="AF2459" t="s">
        <v>79</v>
      </c>
      <c r="AG2459" t="s">
        <v>5298</v>
      </c>
    </row>
    <row r="2460" spans="1:33" x14ac:dyDescent="0.35">
      <c r="A2460" s="18">
        <v>44253.473611111112</v>
      </c>
      <c r="B2460">
        <v>1895831</v>
      </c>
      <c r="C2460" t="s">
        <v>4996</v>
      </c>
      <c r="D2460" t="s">
        <v>70</v>
      </c>
      <c r="E2460" s="19">
        <v>42107</v>
      </c>
      <c r="F2460" t="str">
        <f>"9781118968161"</f>
        <v>9781118968161</v>
      </c>
      <c r="G2460" t="str">
        <f>"9781118968154"</f>
        <v>9781118968154</v>
      </c>
      <c r="H2460" t="s">
        <v>143</v>
      </c>
      <c r="I2460" t="s">
        <v>4904</v>
      </c>
      <c r="J2460" t="s">
        <v>4997</v>
      </c>
      <c r="K2460" t="s">
        <v>73</v>
      </c>
      <c r="N2460" t="s">
        <v>74</v>
      </c>
      <c r="O2460" t="s">
        <v>75</v>
      </c>
      <c r="P2460" t="s">
        <v>74</v>
      </c>
      <c r="Q2460" t="s">
        <v>76</v>
      </c>
      <c r="R2460" t="s">
        <v>73</v>
      </c>
      <c r="S2460">
        <v>0</v>
      </c>
      <c r="W2460" s="20">
        <v>8.5532407407407415E-3</v>
      </c>
      <c r="X2460" t="s">
        <v>5474</v>
      </c>
      <c r="Y2460">
        <v>18</v>
      </c>
      <c r="Z2460">
        <v>1</v>
      </c>
      <c r="AA2460" t="s">
        <v>5475</v>
      </c>
      <c r="AB2460">
        <v>4</v>
      </c>
      <c r="AC2460" t="s">
        <v>5476</v>
      </c>
      <c r="AD2460">
        <v>1</v>
      </c>
      <c r="AE2460">
        <v>11041460</v>
      </c>
      <c r="AF2460" t="s">
        <v>79</v>
      </c>
      <c r="AG2460" t="s">
        <v>5298</v>
      </c>
    </row>
    <row r="2461" spans="1:33" x14ac:dyDescent="0.35">
      <c r="A2461" s="18">
        <v>44253.195833333331</v>
      </c>
      <c r="B2461">
        <v>4043002</v>
      </c>
      <c r="C2461" t="s">
        <v>5190</v>
      </c>
      <c r="D2461" t="s">
        <v>70</v>
      </c>
      <c r="E2461" s="19">
        <v>42388</v>
      </c>
      <c r="F2461" t="str">
        <f>"9781119045076"</f>
        <v>9781119045076</v>
      </c>
      <c r="G2461" t="str">
        <f>"9781119045069"</f>
        <v>9781119045069</v>
      </c>
      <c r="H2461" t="s">
        <v>128</v>
      </c>
      <c r="I2461" t="s">
        <v>5191</v>
      </c>
      <c r="J2461" t="s">
        <v>5192</v>
      </c>
      <c r="K2461" t="s">
        <v>73</v>
      </c>
      <c r="N2461" t="s">
        <v>74</v>
      </c>
      <c r="O2461" t="s">
        <v>75</v>
      </c>
      <c r="P2461" t="s">
        <v>74</v>
      </c>
      <c r="Q2461" t="s">
        <v>76</v>
      </c>
      <c r="R2461" t="s">
        <v>73</v>
      </c>
      <c r="S2461">
        <v>0</v>
      </c>
      <c r="W2461" s="20">
        <v>4.6064814814814814E-3</v>
      </c>
      <c r="X2461" t="s">
        <v>5477</v>
      </c>
      <c r="Y2461">
        <v>29</v>
      </c>
      <c r="Z2461">
        <v>0</v>
      </c>
      <c r="AA2461" t="s">
        <v>78</v>
      </c>
      <c r="AB2461">
        <v>0</v>
      </c>
      <c r="AC2461" t="s">
        <v>78</v>
      </c>
      <c r="AD2461">
        <v>0</v>
      </c>
      <c r="AE2461">
        <v>11115179</v>
      </c>
      <c r="AF2461" t="s">
        <v>79</v>
      </c>
      <c r="AG2461" t="s">
        <v>5298</v>
      </c>
    </row>
    <row r="2462" spans="1:33" x14ac:dyDescent="0.35">
      <c r="A2462" s="18">
        <v>44253.121527777781</v>
      </c>
      <c r="B2462">
        <v>534858</v>
      </c>
      <c r="C2462" t="s">
        <v>3959</v>
      </c>
      <c r="D2462" t="s">
        <v>158</v>
      </c>
      <c r="E2462" s="19">
        <v>40144</v>
      </c>
      <c r="F2462" t="str">
        <f>"9780080931562"</f>
        <v>9780080931562</v>
      </c>
      <c r="G2462" t="str">
        <f>"9780444527851"</f>
        <v>9780444527851</v>
      </c>
      <c r="H2462" t="s">
        <v>159</v>
      </c>
      <c r="I2462">
        <v>665.53</v>
      </c>
      <c r="J2462" t="s">
        <v>3960</v>
      </c>
      <c r="K2462" t="s">
        <v>73</v>
      </c>
      <c r="N2462" t="s">
        <v>74</v>
      </c>
      <c r="O2462" t="s">
        <v>75</v>
      </c>
      <c r="P2462" t="s">
        <v>74</v>
      </c>
      <c r="Q2462" t="s">
        <v>76</v>
      </c>
      <c r="R2462" t="s">
        <v>73</v>
      </c>
      <c r="S2462">
        <v>0</v>
      </c>
      <c r="W2462" s="20">
        <v>7.8703703703703705E-4</v>
      </c>
      <c r="X2462" t="s">
        <v>5478</v>
      </c>
      <c r="Y2462">
        <v>25</v>
      </c>
      <c r="Z2462">
        <v>0</v>
      </c>
      <c r="AA2462" t="s">
        <v>78</v>
      </c>
      <c r="AB2462">
        <v>0</v>
      </c>
      <c r="AC2462" t="s">
        <v>78</v>
      </c>
      <c r="AD2462">
        <v>0</v>
      </c>
      <c r="AE2462">
        <v>10378873</v>
      </c>
      <c r="AF2462" t="s">
        <v>79</v>
      </c>
      <c r="AG2462" t="s">
        <v>5298</v>
      </c>
    </row>
    <row r="2463" spans="1:33" x14ac:dyDescent="0.35">
      <c r="A2463" s="18">
        <v>44253.064583333333</v>
      </c>
      <c r="B2463">
        <v>3382679</v>
      </c>
      <c r="C2463" t="s">
        <v>4473</v>
      </c>
      <c r="D2463" t="s">
        <v>4474</v>
      </c>
      <c r="E2463" s="19">
        <v>39783</v>
      </c>
      <c r="F2463" t="str">
        <f>""</f>
        <v/>
      </c>
      <c r="G2463" t="str">
        <f>"9789289317917"</f>
        <v>9789289317917</v>
      </c>
      <c r="H2463" t="s">
        <v>3320</v>
      </c>
      <c r="J2463" t="s">
        <v>4475</v>
      </c>
      <c r="K2463" t="s">
        <v>73</v>
      </c>
      <c r="N2463" t="s">
        <v>74</v>
      </c>
      <c r="O2463" t="s">
        <v>75</v>
      </c>
      <c r="P2463" t="s">
        <v>74</v>
      </c>
      <c r="Q2463" t="s">
        <v>76</v>
      </c>
      <c r="R2463" t="s">
        <v>73</v>
      </c>
      <c r="S2463">
        <v>1</v>
      </c>
      <c r="W2463" s="20">
        <v>0</v>
      </c>
      <c r="X2463" t="s">
        <v>78</v>
      </c>
      <c r="Y2463">
        <v>0</v>
      </c>
      <c r="Z2463">
        <v>0</v>
      </c>
      <c r="AA2463" t="s">
        <v>78</v>
      </c>
      <c r="AB2463">
        <v>0</v>
      </c>
      <c r="AC2463" t="s">
        <v>78</v>
      </c>
      <c r="AD2463">
        <v>0</v>
      </c>
      <c r="AE2463">
        <v>10567751</v>
      </c>
      <c r="AF2463" t="s">
        <v>88</v>
      </c>
      <c r="AG2463" t="s">
        <v>5479</v>
      </c>
    </row>
    <row r="2464" spans="1:33" x14ac:dyDescent="0.35">
      <c r="A2464" s="18">
        <v>44253.043749999997</v>
      </c>
      <c r="B2464">
        <v>4043002</v>
      </c>
      <c r="C2464" t="s">
        <v>5190</v>
      </c>
      <c r="D2464" t="s">
        <v>70</v>
      </c>
      <c r="E2464" s="19">
        <v>42388</v>
      </c>
      <c r="F2464" t="str">
        <f>"9781119045076"</f>
        <v>9781119045076</v>
      </c>
      <c r="G2464" t="str">
        <f>"9781119045069"</f>
        <v>9781119045069</v>
      </c>
      <c r="H2464" t="s">
        <v>128</v>
      </c>
      <c r="I2464" t="s">
        <v>5191</v>
      </c>
      <c r="J2464" t="s">
        <v>5192</v>
      </c>
      <c r="K2464" t="s">
        <v>73</v>
      </c>
      <c r="N2464" t="s">
        <v>74</v>
      </c>
      <c r="O2464" t="s">
        <v>75</v>
      </c>
      <c r="P2464" t="s">
        <v>74</v>
      </c>
      <c r="Q2464" t="s">
        <v>76</v>
      </c>
      <c r="R2464" t="s">
        <v>73</v>
      </c>
      <c r="S2464">
        <v>0</v>
      </c>
      <c r="W2464" s="20">
        <v>1.8981481481481482E-3</v>
      </c>
      <c r="X2464" t="s">
        <v>5480</v>
      </c>
      <c r="Y2464">
        <v>3</v>
      </c>
      <c r="Z2464">
        <v>0</v>
      </c>
      <c r="AA2464" t="s">
        <v>78</v>
      </c>
      <c r="AB2464">
        <v>0</v>
      </c>
      <c r="AC2464" t="s">
        <v>78</v>
      </c>
      <c r="AD2464">
        <v>0</v>
      </c>
      <c r="AE2464">
        <v>11115179</v>
      </c>
      <c r="AF2464" t="s">
        <v>79</v>
      </c>
      <c r="AG2464" t="s">
        <v>5298</v>
      </c>
    </row>
    <row r="2465" spans="1:33" x14ac:dyDescent="0.35">
      <c r="A2465" s="18">
        <v>44252.953472222223</v>
      </c>
      <c r="B2465">
        <v>1895549</v>
      </c>
      <c r="C2465" t="s">
        <v>5270</v>
      </c>
      <c r="D2465" t="s">
        <v>70</v>
      </c>
      <c r="E2465" s="19">
        <v>41988</v>
      </c>
      <c r="F2465" t="str">
        <f>"9781118699317"</f>
        <v>9781118699317</v>
      </c>
      <c r="G2465" t="str">
        <f>"9781118699324"</f>
        <v>9781118699324</v>
      </c>
      <c r="H2465" t="s">
        <v>1878</v>
      </c>
      <c r="I2465" t="s">
        <v>5271</v>
      </c>
      <c r="J2465" t="s">
        <v>5272</v>
      </c>
      <c r="K2465" t="s">
        <v>73</v>
      </c>
      <c r="N2465" t="s">
        <v>74</v>
      </c>
      <c r="O2465" t="s">
        <v>75</v>
      </c>
      <c r="P2465" t="s">
        <v>74</v>
      </c>
      <c r="Q2465" t="s">
        <v>76</v>
      </c>
      <c r="R2465" t="s">
        <v>73</v>
      </c>
      <c r="S2465">
        <v>0</v>
      </c>
      <c r="W2465" s="20">
        <v>1.1226851851851851E-3</v>
      </c>
      <c r="X2465" t="s">
        <v>2298</v>
      </c>
      <c r="Y2465">
        <v>5</v>
      </c>
      <c r="Z2465">
        <v>0</v>
      </c>
      <c r="AA2465" t="s">
        <v>78</v>
      </c>
      <c r="AB2465">
        <v>0</v>
      </c>
      <c r="AC2465" t="s">
        <v>78</v>
      </c>
      <c r="AD2465">
        <v>0</v>
      </c>
      <c r="AE2465">
        <v>11005783</v>
      </c>
      <c r="AF2465" t="s">
        <v>79</v>
      </c>
      <c r="AG2465" t="s">
        <v>548</v>
      </c>
    </row>
    <row r="2466" spans="1:33" x14ac:dyDescent="0.35">
      <c r="A2466" s="18">
        <v>44252.765972222223</v>
      </c>
      <c r="B2466">
        <v>3001261</v>
      </c>
      <c r="C2466" t="s">
        <v>3419</v>
      </c>
      <c r="D2466" t="s">
        <v>3420</v>
      </c>
      <c r="E2466" s="19">
        <v>39630</v>
      </c>
      <c r="F2466" t="str">
        <f>"9780313352874"</f>
        <v>9780313352874</v>
      </c>
      <c r="G2466" t="str">
        <f>"9780313352867"</f>
        <v>9780313352867</v>
      </c>
      <c r="H2466" t="s">
        <v>3421</v>
      </c>
      <c r="I2466">
        <v>333.79</v>
      </c>
      <c r="J2466" t="s">
        <v>3422</v>
      </c>
      <c r="K2466" t="s">
        <v>73</v>
      </c>
      <c r="N2466" t="s">
        <v>74</v>
      </c>
      <c r="O2466" t="s">
        <v>75</v>
      </c>
      <c r="P2466" t="s">
        <v>74</v>
      </c>
      <c r="Q2466" t="s">
        <v>76</v>
      </c>
      <c r="R2466" t="s">
        <v>73</v>
      </c>
      <c r="S2466">
        <v>0</v>
      </c>
      <c r="W2466" s="20">
        <v>3.4722222222222222E-5</v>
      </c>
      <c r="X2466" t="s">
        <v>132</v>
      </c>
      <c r="Y2466">
        <v>1</v>
      </c>
      <c r="Z2466">
        <v>0</v>
      </c>
      <c r="AA2466" t="s">
        <v>78</v>
      </c>
      <c r="AB2466">
        <v>0</v>
      </c>
      <c r="AC2466" t="s">
        <v>78</v>
      </c>
      <c r="AD2466">
        <v>0</v>
      </c>
      <c r="AE2466">
        <v>10271266</v>
      </c>
      <c r="AF2466" t="s">
        <v>79</v>
      </c>
      <c r="AG2466" t="s">
        <v>4914</v>
      </c>
    </row>
    <row r="2467" spans="1:33" x14ac:dyDescent="0.35">
      <c r="A2467" s="18">
        <v>44252.712500000001</v>
      </c>
      <c r="B2467">
        <v>3001261</v>
      </c>
      <c r="C2467" t="s">
        <v>3419</v>
      </c>
      <c r="D2467" t="s">
        <v>3420</v>
      </c>
      <c r="E2467" s="19">
        <v>39630</v>
      </c>
      <c r="F2467" t="str">
        <f>"9780313352874"</f>
        <v>9780313352874</v>
      </c>
      <c r="G2467" t="str">
        <f>"9780313352867"</f>
        <v>9780313352867</v>
      </c>
      <c r="H2467" t="s">
        <v>3421</v>
      </c>
      <c r="I2467">
        <v>333.79</v>
      </c>
      <c r="J2467" t="s">
        <v>3422</v>
      </c>
      <c r="K2467" t="s">
        <v>73</v>
      </c>
      <c r="N2467" t="s">
        <v>74</v>
      </c>
      <c r="O2467" t="s">
        <v>75</v>
      </c>
      <c r="P2467" t="s">
        <v>74</v>
      </c>
      <c r="Q2467" t="s">
        <v>76</v>
      </c>
      <c r="R2467" t="s">
        <v>73</v>
      </c>
      <c r="S2467">
        <v>0</v>
      </c>
      <c r="W2467" s="20">
        <v>5.4398148148148144E-4</v>
      </c>
      <c r="X2467" t="s">
        <v>5481</v>
      </c>
      <c r="Y2467">
        <v>6</v>
      </c>
      <c r="Z2467">
        <v>0</v>
      </c>
      <c r="AA2467" t="s">
        <v>78</v>
      </c>
      <c r="AB2467">
        <v>0</v>
      </c>
      <c r="AC2467" t="s">
        <v>78</v>
      </c>
      <c r="AD2467">
        <v>0</v>
      </c>
      <c r="AE2467">
        <v>10271266</v>
      </c>
      <c r="AF2467" t="s">
        <v>79</v>
      </c>
      <c r="AG2467" t="s">
        <v>5412</v>
      </c>
    </row>
    <row r="2468" spans="1:33" x14ac:dyDescent="0.35">
      <c r="A2468" s="18">
        <v>44252.711805555555</v>
      </c>
      <c r="B2468">
        <v>3001261</v>
      </c>
      <c r="C2468" t="s">
        <v>3419</v>
      </c>
      <c r="D2468" t="s">
        <v>3420</v>
      </c>
      <c r="E2468" s="19">
        <v>39630</v>
      </c>
      <c r="F2468" t="str">
        <f>"9780313352874"</f>
        <v>9780313352874</v>
      </c>
      <c r="G2468" t="str">
        <f>"9780313352867"</f>
        <v>9780313352867</v>
      </c>
      <c r="H2468" t="s">
        <v>3421</v>
      </c>
      <c r="I2468">
        <v>333.79</v>
      </c>
      <c r="J2468" t="s">
        <v>3422</v>
      </c>
      <c r="K2468" t="s">
        <v>73</v>
      </c>
      <c r="N2468" t="s">
        <v>74</v>
      </c>
      <c r="O2468" t="s">
        <v>75</v>
      </c>
      <c r="P2468" t="s">
        <v>74</v>
      </c>
      <c r="Q2468" t="s">
        <v>76</v>
      </c>
      <c r="R2468" t="s">
        <v>73</v>
      </c>
      <c r="S2468">
        <v>0</v>
      </c>
      <c r="W2468" s="20">
        <v>2.6620370370370372E-4</v>
      </c>
      <c r="X2468" t="s">
        <v>5482</v>
      </c>
      <c r="Y2468">
        <v>8</v>
      </c>
      <c r="Z2468">
        <v>0</v>
      </c>
      <c r="AA2468" t="s">
        <v>78</v>
      </c>
      <c r="AB2468">
        <v>0</v>
      </c>
      <c r="AC2468" t="s">
        <v>78</v>
      </c>
      <c r="AD2468">
        <v>0</v>
      </c>
      <c r="AE2468">
        <v>10271266</v>
      </c>
      <c r="AF2468" t="s">
        <v>79</v>
      </c>
      <c r="AG2468" t="s">
        <v>5394</v>
      </c>
    </row>
    <row r="2469" spans="1:33" x14ac:dyDescent="0.35">
      <c r="A2469" s="18">
        <v>44252.710416666669</v>
      </c>
      <c r="B2469">
        <v>3001261</v>
      </c>
      <c r="C2469" t="s">
        <v>3419</v>
      </c>
      <c r="D2469" t="s">
        <v>3420</v>
      </c>
      <c r="E2469" s="19">
        <v>39630</v>
      </c>
      <c r="F2469" t="str">
        <f>"9780313352874"</f>
        <v>9780313352874</v>
      </c>
      <c r="G2469" t="str">
        <f>"9780313352867"</f>
        <v>9780313352867</v>
      </c>
      <c r="H2469" t="s">
        <v>3421</v>
      </c>
      <c r="I2469">
        <v>333.79</v>
      </c>
      <c r="J2469" t="s">
        <v>3422</v>
      </c>
      <c r="K2469" t="s">
        <v>73</v>
      </c>
      <c r="N2469" t="s">
        <v>74</v>
      </c>
      <c r="O2469" t="s">
        <v>75</v>
      </c>
      <c r="P2469" t="s">
        <v>74</v>
      </c>
      <c r="Q2469" t="s">
        <v>76</v>
      </c>
      <c r="R2469" t="s">
        <v>73</v>
      </c>
      <c r="S2469">
        <v>0</v>
      </c>
      <c r="W2469" s="20">
        <v>3.2754629629629631E-3</v>
      </c>
      <c r="X2469" t="s">
        <v>5483</v>
      </c>
      <c r="Y2469">
        <v>11</v>
      </c>
      <c r="Z2469">
        <v>0</v>
      </c>
      <c r="AA2469" t="s">
        <v>78</v>
      </c>
      <c r="AB2469">
        <v>0</v>
      </c>
      <c r="AC2469" t="s">
        <v>78</v>
      </c>
      <c r="AD2469">
        <v>0</v>
      </c>
      <c r="AE2469">
        <v>10271266</v>
      </c>
      <c r="AF2469" t="s">
        <v>79</v>
      </c>
      <c r="AG2469" t="s">
        <v>4914</v>
      </c>
    </row>
    <row r="2470" spans="1:33" x14ac:dyDescent="0.35">
      <c r="A2470" s="18">
        <v>44252.668055555558</v>
      </c>
      <c r="B2470">
        <v>4778464</v>
      </c>
      <c r="C2470" t="s">
        <v>5353</v>
      </c>
      <c r="D2470" t="s">
        <v>70</v>
      </c>
      <c r="E2470" s="19">
        <v>42814</v>
      </c>
      <c r="F2470" t="str">
        <f>"9781118843604"</f>
        <v>9781118843604</v>
      </c>
      <c r="G2470" t="str">
        <f>"9781118843598"</f>
        <v>9781118843598</v>
      </c>
      <c r="H2470" t="s">
        <v>128</v>
      </c>
      <c r="I2470">
        <v>364.40973000000002</v>
      </c>
      <c r="J2470" t="s">
        <v>5354</v>
      </c>
      <c r="K2470" t="s">
        <v>73</v>
      </c>
      <c r="N2470" t="s">
        <v>74</v>
      </c>
      <c r="O2470" t="s">
        <v>75</v>
      </c>
      <c r="P2470" t="s">
        <v>74</v>
      </c>
      <c r="Q2470" t="s">
        <v>76</v>
      </c>
      <c r="R2470" t="s">
        <v>73</v>
      </c>
      <c r="S2470">
        <v>0</v>
      </c>
      <c r="W2470" s="20">
        <v>2.3148148148148146E-4</v>
      </c>
      <c r="X2470" t="s">
        <v>5484</v>
      </c>
      <c r="Y2470">
        <v>3</v>
      </c>
      <c r="Z2470">
        <v>0</v>
      </c>
      <c r="AA2470" t="s">
        <v>78</v>
      </c>
      <c r="AB2470">
        <v>0</v>
      </c>
      <c r="AC2470" t="s">
        <v>78</v>
      </c>
      <c r="AD2470">
        <v>0</v>
      </c>
      <c r="AE2470">
        <v>11325725</v>
      </c>
      <c r="AF2470" t="s">
        <v>79</v>
      </c>
      <c r="AG2470" t="s">
        <v>5298</v>
      </c>
    </row>
    <row r="2471" spans="1:33" x14ac:dyDescent="0.35">
      <c r="A2471" s="18">
        <v>44252.645833333336</v>
      </c>
      <c r="B2471">
        <v>5353867</v>
      </c>
      <c r="C2471" t="s">
        <v>4884</v>
      </c>
      <c r="D2471" t="s">
        <v>2275</v>
      </c>
      <c r="E2471" s="19">
        <v>36770</v>
      </c>
      <c r="F2471" t="str">
        <f>"9781470446055"</f>
        <v>9781470446055</v>
      </c>
      <c r="G2471" t="str">
        <f>"9780821805312"</f>
        <v>9780821805312</v>
      </c>
      <c r="H2471" t="s">
        <v>115</v>
      </c>
      <c r="I2471">
        <v>519.5</v>
      </c>
      <c r="J2471" t="s">
        <v>4885</v>
      </c>
      <c r="K2471" t="s">
        <v>85</v>
      </c>
      <c r="N2471" t="s">
        <v>86</v>
      </c>
      <c r="P2471" t="s">
        <v>87</v>
      </c>
      <c r="Q2471" t="s">
        <v>76</v>
      </c>
      <c r="R2471" t="s">
        <v>73</v>
      </c>
      <c r="S2471">
        <v>0</v>
      </c>
      <c r="W2471" s="20">
        <v>6.9444444444444444E-5</v>
      </c>
      <c r="X2471" t="s">
        <v>4986</v>
      </c>
      <c r="Y2471">
        <v>1</v>
      </c>
      <c r="Z2471">
        <v>0</v>
      </c>
      <c r="AA2471" t="s">
        <v>78</v>
      </c>
      <c r="AB2471">
        <v>0</v>
      </c>
      <c r="AC2471" t="s">
        <v>78</v>
      </c>
      <c r="AD2471">
        <v>0</v>
      </c>
      <c r="AE2471">
        <v>11548022</v>
      </c>
      <c r="AF2471" t="s">
        <v>79</v>
      </c>
      <c r="AG2471" t="s">
        <v>5485</v>
      </c>
    </row>
    <row r="2472" spans="1:33" x14ac:dyDescent="0.35">
      <c r="A2472" s="18">
        <v>44252.63958333333</v>
      </c>
      <c r="B2472">
        <v>803164</v>
      </c>
      <c r="C2472" t="s">
        <v>5486</v>
      </c>
      <c r="D2472" t="s">
        <v>538</v>
      </c>
      <c r="E2472" s="19">
        <v>40805</v>
      </c>
      <c r="F2472" t="str">
        <f>"9781139142052"</f>
        <v>9781139142052</v>
      </c>
      <c r="G2472" t="str">
        <f>"9781107011519"</f>
        <v>9781107011519</v>
      </c>
      <c r="H2472" t="s">
        <v>2595</v>
      </c>
      <c r="I2472">
        <v>363.73874000000001</v>
      </c>
      <c r="J2472" t="s">
        <v>5487</v>
      </c>
      <c r="K2472" t="s">
        <v>73</v>
      </c>
      <c r="N2472" t="s">
        <v>74</v>
      </c>
      <c r="O2472" t="s">
        <v>75</v>
      </c>
      <c r="P2472" t="s">
        <v>74</v>
      </c>
      <c r="Q2472" t="s">
        <v>76</v>
      </c>
      <c r="R2472" t="s">
        <v>73</v>
      </c>
      <c r="S2472">
        <v>0</v>
      </c>
      <c r="W2472" s="20">
        <v>3.7037037037037035E-4</v>
      </c>
      <c r="X2472" t="s">
        <v>5488</v>
      </c>
      <c r="Y2472">
        <v>6</v>
      </c>
      <c r="Z2472">
        <v>0</v>
      </c>
      <c r="AA2472" t="s">
        <v>78</v>
      </c>
      <c r="AB2472">
        <v>0</v>
      </c>
      <c r="AC2472" t="s">
        <v>78</v>
      </c>
      <c r="AD2472">
        <v>0</v>
      </c>
      <c r="AE2472">
        <v>10506200</v>
      </c>
      <c r="AF2472" t="s">
        <v>79</v>
      </c>
      <c r="AG2472" t="s">
        <v>4914</v>
      </c>
    </row>
    <row r="2473" spans="1:33" x14ac:dyDescent="0.35">
      <c r="A2473" s="18">
        <v>44252.622916666667</v>
      </c>
      <c r="B2473">
        <v>647359</v>
      </c>
      <c r="C2473" t="s">
        <v>5489</v>
      </c>
      <c r="D2473" t="s">
        <v>538</v>
      </c>
      <c r="E2473" s="19">
        <v>40605</v>
      </c>
      <c r="F2473" t="str">
        <f>"9780511989230"</f>
        <v>9780511989230</v>
      </c>
      <c r="G2473" t="str">
        <f>"9780521198363"</f>
        <v>9780521198363</v>
      </c>
      <c r="H2473" t="s">
        <v>876</v>
      </c>
      <c r="I2473">
        <v>363.73874000000001</v>
      </c>
      <c r="J2473" t="s">
        <v>5490</v>
      </c>
      <c r="K2473" t="s">
        <v>73</v>
      </c>
      <c r="N2473" t="s">
        <v>74</v>
      </c>
      <c r="O2473" t="s">
        <v>75</v>
      </c>
      <c r="P2473" t="s">
        <v>74</v>
      </c>
      <c r="Q2473" t="s">
        <v>76</v>
      </c>
      <c r="R2473" t="s">
        <v>73</v>
      </c>
      <c r="S2473">
        <v>0</v>
      </c>
      <c r="W2473" s="20">
        <v>5.4050925925925924E-3</v>
      </c>
      <c r="X2473" t="s">
        <v>5491</v>
      </c>
      <c r="Y2473">
        <v>11</v>
      </c>
      <c r="Z2473">
        <v>0</v>
      </c>
      <c r="AA2473" t="s">
        <v>78</v>
      </c>
      <c r="AB2473">
        <v>0</v>
      </c>
      <c r="AC2473" t="s">
        <v>78</v>
      </c>
      <c r="AD2473">
        <v>0</v>
      </c>
      <c r="AE2473">
        <v>10449444</v>
      </c>
      <c r="AF2473" t="s">
        <v>79</v>
      </c>
      <c r="AG2473" t="s">
        <v>4914</v>
      </c>
    </row>
    <row r="2474" spans="1:33" x14ac:dyDescent="0.35">
      <c r="A2474" s="18">
        <v>44252.620138888888</v>
      </c>
      <c r="B2474">
        <v>3339772</v>
      </c>
      <c r="C2474" t="s">
        <v>2490</v>
      </c>
      <c r="D2474" t="s">
        <v>300</v>
      </c>
      <c r="E2474" s="19">
        <v>41719</v>
      </c>
      <c r="F2474" t="str">
        <f>"9780262322300"</f>
        <v>9780262322300</v>
      </c>
      <c r="G2474" t="str">
        <f>"9780262525879"</f>
        <v>9780262525879</v>
      </c>
      <c r="H2474" t="s">
        <v>2491</v>
      </c>
      <c r="I2474">
        <v>577.22</v>
      </c>
      <c r="J2474" t="s">
        <v>2492</v>
      </c>
      <c r="K2474" t="s">
        <v>73</v>
      </c>
      <c r="N2474" t="s">
        <v>74</v>
      </c>
      <c r="O2474" t="s">
        <v>75</v>
      </c>
      <c r="P2474" t="s">
        <v>74</v>
      </c>
      <c r="Q2474" t="s">
        <v>76</v>
      </c>
      <c r="R2474" t="s">
        <v>73</v>
      </c>
      <c r="S2474">
        <v>0</v>
      </c>
      <c r="W2474" s="20">
        <v>1.3877314814814815E-2</v>
      </c>
      <c r="X2474" t="s">
        <v>5492</v>
      </c>
      <c r="Y2474">
        <v>15</v>
      </c>
      <c r="Z2474">
        <v>0</v>
      </c>
      <c r="AA2474" t="s">
        <v>78</v>
      </c>
      <c r="AB2474">
        <v>0</v>
      </c>
      <c r="AC2474" t="s">
        <v>78</v>
      </c>
      <c r="AD2474">
        <v>0</v>
      </c>
      <c r="AE2474">
        <v>10853346</v>
      </c>
      <c r="AF2474" t="s">
        <v>79</v>
      </c>
      <c r="AG2474" t="s">
        <v>4914</v>
      </c>
    </row>
    <row r="2475" spans="1:33" x14ac:dyDescent="0.35">
      <c r="A2475" s="18">
        <v>44252.613194444442</v>
      </c>
      <c r="B2475">
        <v>1830135</v>
      </c>
      <c r="C2475" t="s">
        <v>5147</v>
      </c>
      <c r="D2475" t="s">
        <v>70</v>
      </c>
      <c r="E2475" s="19">
        <v>41960</v>
      </c>
      <c r="F2475" t="str">
        <f>"9781119003960"</f>
        <v>9781119003960</v>
      </c>
      <c r="G2475" t="str">
        <f>"9781119003953"</f>
        <v>9781119003953</v>
      </c>
      <c r="H2475" t="s">
        <v>143</v>
      </c>
      <c r="I2475">
        <v>658.40920000000006</v>
      </c>
      <c r="J2475" t="s">
        <v>5148</v>
      </c>
      <c r="K2475" t="s">
        <v>73</v>
      </c>
      <c r="N2475" t="s">
        <v>74</v>
      </c>
      <c r="O2475" t="s">
        <v>75</v>
      </c>
      <c r="P2475" t="s">
        <v>74</v>
      </c>
      <c r="Q2475" t="s">
        <v>76</v>
      </c>
      <c r="R2475" t="s">
        <v>73</v>
      </c>
      <c r="S2475">
        <v>0</v>
      </c>
      <c r="W2475" s="20">
        <v>3.7037037037037035E-4</v>
      </c>
      <c r="X2475" t="s">
        <v>5493</v>
      </c>
      <c r="Y2475">
        <v>9</v>
      </c>
      <c r="Z2475">
        <v>0</v>
      </c>
      <c r="AA2475" t="s">
        <v>78</v>
      </c>
      <c r="AB2475">
        <v>0</v>
      </c>
      <c r="AC2475" t="s">
        <v>78</v>
      </c>
      <c r="AD2475">
        <v>0</v>
      </c>
      <c r="AE2475">
        <v>10963351</v>
      </c>
      <c r="AF2475" t="s">
        <v>79</v>
      </c>
      <c r="AG2475" t="s">
        <v>4442</v>
      </c>
    </row>
    <row r="2476" spans="1:33" x14ac:dyDescent="0.35">
      <c r="A2476" s="18">
        <v>44252.581250000003</v>
      </c>
      <c r="B2476">
        <v>1481143</v>
      </c>
      <c r="C2476" t="s">
        <v>5494</v>
      </c>
      <c r="D2476" t="s">
        <v>506</v>
      </c>
      <c r="E2476" s="19">
        <v>41557</v>
      </c>
      <c r="F2476" t="str">
        <f>"9789004255258"</f>
        <v>9789004255258</v>
      </c>
      <c r="G2476" t="str">
        <f>"9789004225169"</f>
        <v>9789004225169</v>
      </c>
      <c r="H2476" t="s">
        <v>128</v>
      </c>
      <c r="I2476">
        <v>305.40956109033999</v>
      </c>
      <c r="J2476" t="s">
        <v>5495</v>
      </c>
      <c r="K2476" t="s">
        <v>73</v>
      </c>
      <c r="N2476" t="s">
        <v>74</v>
      </c>
      <c r="O2476" t="s">
        <v>75</v>
      </c>
      <c r="P2476" t="s">
        <v>74</v>
      </c>
      <c r="Q2476" t="s">
        <v>76</v>
      </c>
      <c r="R2476" t="s">
        <v>73</v>
      </c>
      <c r="S2476">
        <v>0</v>
      </c>
      <c r="W2476" s="20">
        <v>6.6956018518518512E-2</v>
      </c>
      <c r="X2476" t="s">
        <v>5496</v>
      </c>
      <c r="Y2476">
        <v>114</v>
      </c>
      <c r="Z2476">
        <v>0</v>
      </c>
      <c r="AA2476" t="s">
        <v>78</v>
      </c>
      <c r="AB2476">
        <v>0</v>
      </c>
      <c r="AC2476" t="s">
        <v>5497</v>
      </c>
      <c r="AD2476">
        <v>40</v>
      </c>
      <c r="AE2476">
        <v>10783951</v>
      </c>
      <c r="AF2476" t="s">
        <v>79</v>
      </c>
      <c r="AG2476" t="s">
        <v>5298</v>
      </c>
    </row>
    <row r="2477" spans="1:33" x14ac:dyDescent="0.35">
      <c r="A2477" s="18">
        <v>44252.086111111108</v>
      </c>
      <c r="B2477">
        <v>4455672</v>
      </c>
      <c r="C2477" t="s">
        <v>5498</v>
      </c>
      <c r="D2477" t="s">
        <v>4557</v>
      </c>
      <c r="E2477" s="19">
        <v>42339</v>
      </c>
      <c r="F2477" t="str">
        <f>"9783959342247"</f>
        <v>9783959342247</v>
      </c>
      <c r="G2477" t="str">
        <f>"9783959347242"</f>
        <v>9783959347242</v>
      </c>
      <c r="H2477" t="s">
        <v>143</v>
      </c>
      <c r="I2477">
        <v>658.40120000000002</v>
      </c>
      <c r="J2477" t="s">
        <v>5499</v>
      </c>
      <c r="K2477" t="s">
        <v>73</v>
      </c>
      <c r="N2477" t="s">
        <v>74</v>
      </c>
      <c r="O2477" t="s">
        <v>75</v>
      </c>
      <c r="P2477" t="s">
        <v>230</v>
      </c>
      <c r="Q2477" t="s">
        <v>76</v>
      </c>
      <c r="R2477" t="s">
        <v>85</v>
      </c>
      <c r="S2477">
        <v>0</v>
      </c>
      <c r="W2477" s="20">
        <v>1.0416666666666667E-3</v>
      </c>
      <c r="X2477" t="s">
        <v>5500</v>
      </c>
      <c r="Y2477">
        <v>17</v>
      </c>
      <c r="Z2477">
        <v>0</v>
      </c>
      <c r="AA2477" t="s">
        <v>78</v>
      </c>
      <c r="AB2477">
        <v>0</v>
      </c>
      <c r="AC2477" t="s">
        <v>78</v>
      </c>
      <c r="AD2477">
        <v>0</v>
      </c>
      <c r="AE2477">
        <v>11177755</v>
      </c>
      <c r="AF2477" t="s">
        <v>79</v>
      </c>
      <c r="AG2477" t="s">
        <v>5501</v>
      </c>
    </row>
    <row r="2478" spans="1:33" x14ac:dyDescent="0.35">
      <c r="A2478" s="18">
        <v>44251.90902777778</v>
      </c>
      <c r="B2478">
        <v>4307182</v>
      </c>
      <c r="C2478" t="s">
        <v>2672</v>
      </c>
      <c r="D2478" t="s">
        <v>1258</v>
      </c>
      <c r="E2478" s="19">
        <v>42361</v>
      </c>
      <c r="F2478" t="str">
        <f>"9781606508480"</f>
        <v>9781606508480</v>
      </c>
      <c r="G2478" t="str">
        <f>"9781606508473"</f>
        <v>9781606508473</v>
      </c>
      <c r="H2478" t="s">
        <v>2673</v>
      </c>
      <c r="I2478">
        <v>363.73874000000001</v>
      </c>
      <c r="J2478" t="s">
        <v>2674</v>
      </c>
      <c r="K2478" t="s">
        <v>73</v>
      </c>
      <c r="N2478" t="s">
        <v>74</v>
      </c>
      <c r="O2478" t="s">
        <v>75</v>
      </c>
      <c r="P2478" t="s">
        <v>74</v>
      </c>
      <c r="Q2478" t="s">
        <v>76</v>
      </c>
      <c r="R2478" t="s">
        <v>73</v>
      </c>
      <c r="S2478">
        <v>0</v>
      </c>
      <c r="W2478" s="20">
        <v>3.4722222222222222E-5</v>
      </c>
      <c r="X2478" t="s">
        <v>5502</v>
      </c>
      <c r="Y2478">
        <v>1</v>
      </c>
      <c r="Z2478">
        <v>3</v>
      </c>
      <c r="AA2478" t="s">
        <v>5503</v>
      </c>
      <c r="AB2478">
        <v>42</v>
      </c>
      <c r="AC2478" t="s">
        <v>78</v>
      </c>
      <c r="AD2478">
        <v>0</v>
      </c>
      <c r="AE2478">
        <v>11147005</v>
      </c>
      <c r="AF2478" t="s">
        <v>79</v>
      </c>
      <c r="AG2478" t="s">
        <v>5335</v>
      </c>
    </row>
    <row r="2479" spans="1:33" x14ac:dyDescent="0.35">
      <c r="A2479" s="18">
        <v>44251.905555555553</v>
      </c>
      <c r="B2479">
        <v>1830138</v>
      </c>
      <c r="C2479" t="s">
        <v>5441</v>
      </c>
      <c r="D2479" t="s">
        <v>70</v>
      </c>
      <c r="E2479" s="19">
        <v>41984</v>
      </c>
      <c r="F2479" t="str">
        <f>"9781119053941"</f>
        <v>9781119053941</v>
      </c>
      <c r="G2479" t="str">
        <f>"9781848217775"</f>
        <v>9781848217775</v>
      </c>
      <c r="H2479" t="s">
        <v>1246</v>
      </c>
      <c r="I2479">
        <v>551.60113000000001</v>
      </c>
      <c r="J2479" t="s">
        <v>5442</v>
      </c>
      <c r="K2479" t="s">
        <v>73</v>
      </c>
      <c r="N2479" t="s">
        <v>74</v>
      </c>
      <c r="O2479" t="s">
        <v>75</v>
      </c>
      <c r="P2479" t="s">
        <v>74</v>
      </c>
      <c r="Q2479" t="s">
        <v>76</v>
      </c>
      <c r="R2479" t="s">
        <v>73</v>
      </c>
      <c r="S2479">
        <v>0</v>
      </c>
      <c r="W2479" s="20">
        <v>8.6805555555555551E-4</v>
      </c>
      <c r="X2479" t="s">
        <v>5504</v>
      </c>
      <c r="Y2479">
        <v>3</v>
      </c>
      <c r="Z2479">
        <v>2</v>
      </c>
      <c r="AA2479" t="s">
        <v>5505</v>
      </c>
      <c r="AB2479">
        <v>26</v>
      </c>
      <c r="AC2479" t="s">
        <v>78</v>
      </c>
      <c r="AD2479">
        <v>0</v>
      </c>
      <c r="AE2479">
        <v>10963355</v>
      </c>
      <c r="AF2479" t="s">
        <v>79</v>
      </c>
      <c r="AG2479" t="s">
        <v>5335</v>
      </c>
    </row>
    <row r="2480" spans="1:33" x14ac:dyDescent="0.35">
      <c r="A2480" s="18">
        <v>44251.823611111111</v>
      </c>
      <c r="B2480">
        <v>571095</v>
      </c>
      <c r="C2480" t="s">
        <v>5506</v>
      </c>
      <c r="D2480" t="s">
        <v>5507</v>
      </c>
      <c r="E2480" s="19">
        <v>39701</v>
      </c>
      <c r="F2480" t="str">
        <f>"9780387746357"</f>
        <v>9780387746357</v>
      </c>
      <c r="G2480" t="str">
        <f>"9780387746333"</f>
        <v>9780387746333</v>
      </c>
      <c r="H2480" t="s">
        <v>5508</v>
      </c>
      <c r="I2480">
        <v>303.49</v>
      </c>
      <c r="J2480" t="s">
        <v>5372</v>
      </c>
      <c r="K2480" t="s">
        <v>73</v>
      </c>
      <c r="N2480" t="s">
        <v>74</v>
      </c>
      <c r="O2480" t="s">
        <v>75</v>
      </c>
      <c r="P2480" t="s">
        <v>74</v>
      </c>
      <c r="Q2480" t="s">
        <v>76</v>
      </c>
      <c r="R2480" t="s">
        <v>73</v>
      </c>
      <c r="S2480">
        <v>0</v>
      </c>
      <c r="W2480" s="20">
        <v>4.6296296296296293E-4</v>
      </c>
      <c r="X2480" t="s">
        <v>5509</v>
      </c>
      <c r="Y2480">
        <v>13</v>
      </c>
      <c r="Z2480">
        <v>0</v>
      </c>
      <c r="AA2480" t="s">
        <v>78</v>
      </c>
      <c r="AB2480">
        <v>0</v>
      </c>
      <c r="AC2480" t="s">
        <v>78</v>
      </c>
      <c r="AD2480">
        <v>0</v>
      </c>
      <c r="AE2480">
        <v>10379443</v>
      </c>
      <c r="AF2480" t="s">
        <v>79</v>
      </c>
      <c r="AG2480" t="s">
        <v>5298</v>
      </c>
    </row>
    <row r="2481" spans="1:33" x14ac:dyDescent="0.35">
      <c r="A2481" s="18">
        <v>44251.706250000003</v>
      </c>
      <c r="B2481">
        <v>1576655</v>
      </c>
      <c r="C2481" t="s">
        <v>5510</v>
      </c>
      <c r="D2481" t="s">
        <v>338</v>
      </c>
      <c r="E2481" s="19">
        <v>41614</v>
      </c>
      <c r="F2481" t="str">
        <f>"9780080993935"</f>
        <v>9780080993935</v>
      </c>
      <c r="G2481" t="str">
        <f>"9780080993928"</f>
        <v>9780080993928</v>
      </c>
      <c r="H2481" t="s">
        <v>5511</v>
      </c>
      <c r="I2481">
        <v>621.48379999999997</v>
      </c>
      <c r="J2481" t="s">
        <v>5512</v>
      </c>
      <c r="K2481" t="s">
        <v>73</v>
      </c>
      <c r="N2481" t="s">
        <v>74</v>
      </c>
      <c r="O2481" t="s">
        <v>75</v>
      </c>
      <c r="P2481" t="s">
        <v>74</v>
      </c>
      <c r="Q2481" t="s">
        <v>76</v>
      </c>
      <c r="R2481" t="s">
        <v>73</v>
      </c>
      <c r="S2481">
        <v>0</v>
      </c>
      <c r="W2481" s="20">
        <v>1.5046296296296297E-4</v>
      </c>
      <c r="X2481" t="s">
        <v>951</v>
      </c>
      <c r="Y2481">
        <v>5</v>
      </c>
      <c r="Z2481">
        <v>0</v>
      </c>
      <c r="AA2481" t="s">
        <v>78</v>
      </c>
      <c r="AB2481">
        <v>0</v>
      </c>
      <c r="AC2481" t="s">
        <v>78</v>
      </c>
      <c r="AD2481">
        <v>0</v>
      </c>
      <c r="AE2481">
        <v>10817786</v>
      </c>
      <c r="AF2481" t="s">
        <v>79</v>
      </c>
      <c r="AG2481" t="s">
        <v>5513</v>
      </c>
    </row>
    <row r="2482" spans="1:33" x14ac:dyDescent="0.35">
      <c r="A2482" s="18">
        <v>44251.68472222222</v>
      </c>
      <c r="B2482">
        <v>1681463</v>
      </c>
      <c r="C2482" t="s">
        <v>5514</v>
      </c>
      <c r="D2482" t="s">
        <v>239</v>
      </c>
      <c r="E2482" s="19">
        <v>38869</v>
      </c>
      <c r="F2482" t="str">
        <f>"9789812774316"</f>
        <v>9789812774316</v>
      </c>
      <c r="G2482" t="str">
        <f>"9789812566478"</f>
        <v>9789812566478</v>
      </c>
      <c r="H2482" t="s">
        <v>1194</v>
      </c>
      <c r="I2482">
        <v>620.1</v>
      </c>
      <c r="J2482" t="s">
        <v>5515</v>
      </c>
      <c r="K2482" t="s">
        <v>73</v>
      </c>
      <c r="N2482" t="s">
        <v>74</v>
      </c>
      <c r="O2482" t="s">
        <v>75</v>
      </c>
      <c r="P2482" t="s">
        <v>74</v>
      </c>
      <c r="Q2482" t="s">
        <v>76</v>
      </c>
      <c r="R2482" t="s">
        <v>73</v>
      </c>
      <c r="S2482">
        <v>0</v>
      </c>
      <c r="W2482" s="20">
        <v>2.3148148148148147E-5</v>
      </c>
      <c r="X2482" t="s">
        <v>132</v>
      </c>
      <c r="Y2482">
        <v>1</v>
      </c>
      <c r="Z2482">
        <v>0</v>
      </c>
      <c r="AA2482" t="s">
        <v>78</v>
      </c>
      <c r="AB2482">
        <v>0</v>
      </c>
      <c r="AC2482" t="s">
        <v>78</v>
      </c>
      <c r="AD2482">
        <v>0</v>
      </c>
      <c r="AE2482">
        <v>10201439</v>
      </c>
      <c r="AF2482" t="s">
        <v>79</v>
      </c>
      <c r="AG2482" t="s">
        <v>3161</v>
      </c>
    </row>
    <row r="2483" spans="1:33" x14ac:dyDescent="0.35">
      <c r="A2483" s="18">
        <v>44251.652083333334</v>
      </c>
      <c r="B2483">
        <v>1681463</v>
      </c>
      <c r="C2483" t="s">
        <v>5514</v>
      </c>
      <c r="D2483" t="s">
        <v>239</v>
      </c>
      <c r="E2483" s="19">
        <v>38869</v>
      </c>
      <c r="F2483" t="str">
        <f>"9789812774316"</f>
        <v>9789812774316</v>
      </c>
      <c r="G2483" t="str">
        <f>"9789812566478"</f>
        <v>9789812566478</v>
      </c>
      <c r="H2483" t="s">
        <v>1194</v>
      </c>
      <c r="I2483">
        <v>620.1</v>
      </c>
      <c r="J2483" t="s">
        <v>5515</v>
      </c>
      <c r="K2483" t="s">
        <v>73</v>
      </c>
      <c r="N2483" t="s">
        <v>74</v>
      </c>
      <c r="O2483" t="s">
        <v>75</v>
      </c>
      <c r="P2483" t="s">
        <v>74</v>
      </c>
      <c r="Q2483" t="s">
        <v>76</v>
      </c>
      <c r="R2483" t="s">
        <v>73</v>
      </c>
      <c r="S2483">
        <v>0</v>
      </c>
      <c r="W2483" s="20">
        <v>1.5138888888888889E-2</v>
      </c>
      <c r="X2483" t="s">
        <v>5516</v>
      </c>
      <c r="Y2483">
        <v>29</v>
      </c>
      <c r="Z2483">
        <v>0</v>
      </c>
      <c r="AA2483" t="s">
        <v>78</v>
      </c>
      <c r="AB2483">
        <v>0</v>
      </c>
      <c r="AC2483" t="s">
        <v>78</v>
      </c>
      <c r="AD2483">
        <v>0</v>
      </c>
      <c r="AE2483">
        <v>10201439</v>
      </c>
      <c r="AF2483" t="s">
        <v>79</v>
      </c>
      <c r="AG2483" t="s">
        <v>3161</v>
      </c>
    </row>
    <row r="2484" spans="1:33" x14ac:dyDescent="0.35">
      <c r="A2484" s="18">
        <v>44251.618750000001</v>
      </c>
      <c r="B2484">
        <v>4412594</v>
      </c>
      <c r="C2484" t="s">
        <v>4915</v>
      </c>
      <c r="D2484" t="s">
        <v>900</v>
      </c>
      <c r="E2484" s="19">
        <v>42341</v>
      </c>
      <c r="F2484" t="str">
        <f>"9781681081403"</f>
        <v>9781681081403</v>
      </c>
      <c r="G2484" t="str">
        <f>"9781681081410"</f>
        <v>9781681081410</v>
      </c>
      <c r="H2484" t="s">
        <v>2135</v>
      </c>
      <c r="I2484">
        <v>616.90409999999895</v>
      </c>
      <c r="J2484" t="s">
        <v>4916</v>
      </c>
      <c r="K2484" t="s">
        <v>73</v>
      </c>
      <c r="N2484" t="s">
        <v>74</v>
      </c>
      <c r="O2484" t="s">
        <v>75</v>
      </c>
      <c r="P2484" t="s">
        <v>74</v>
      </c>
      <c r="Q2484" t="s">
        <v>76</v>
      </c>
      <c r="R2484" t="s">
        <v>73</v>
      </c>
      <c r="S2484">
        <v>0</v>
      </c>
      <c r="W2484" s="20">
        <v>2.1516203703703704E-2</v>
      </c>
      <c r="X2484" t="s">
        <v>5517</v>
      </c>
      <c r="Y2484">
        <v>13</v>
      </c>
      <c r="Z2484">
        <v>0</v>
      </c>
      <c r="AA2484" t="s">
        <v>78</v>
      </c>
      <c r="AB2484">
        <v>0</v>
      </c>
      <c r="AC2484" t="s">
        <v>78</v>
      </c>
      <c r="AD2484">
        <v>0</v>
      </c>
      <c r="AE2484">
        <v>11235873</v>
      </c>
      <c r="AF2484" t="s">
        <v>79</v>
      </c>
      <c r="AG2484" t="s">
        <v>5298</v>
      </c>
    </row>
    <row r="2485" spans="1:33" x14ac:dyDescent="0.35">
      <c r="A2485" s="18">
        <v>44251.567361111112</v>
      </c>
      <c r="B2485">
        <v>1173081</v>
      </c>
      <c r="C2485" t="s">
        <v>3999</v>
      </c>
      <c r="D2485" t="s">
        <v>70</v>
      </c>
      <c r="E2485" s="19">
        <v>41393</v>
      </c>
      <c r="F2485" t="str">
        <f>"9781118417591"</f>
        <v>9781118417591</v>
      </c>
      <c r="G2485" t="str">
        <f>"9781118394106"</f>
        <v>9781118394106</v>
      </c>
      <c r="H2485" t="s">
        <v>143</v>
      </c>
      <c r="I2485" t="s">
        <v>4000</v>
      </c>
      <c r="J2485" t="s">
        <v>4001</v>
      </c>
      <c r="K2485" t="s">
        <v>73</v>
      </c>
      <c r="N2485" t="s">
        <v>74</v>
      </c>
      <c r="O2485" t="s">
        <v>75</v>
      </c>
      <c r="P2485" t="s">
        <v>74</v>
      </c>
      <c r="Q2485" t="s">
        <v>76</v>
      </c>
      <c r="R2485" t="s">
        <v>73</v>
      </c>
      <c r="S2485">
        <v>0</v>
      </c>
      <c r="W2485" s="20">
        <v>1.3773148148148147E-3</v>
      </c>
      <c r="X2485" t="s">
        <v>639</v>
      </c>
      <c r="Y2485">
        <v>3</v>
      </c>
      <c r="Z2485">
        <v>0</v>
      </c>
      <c r="AA2485" t="s">
        <v>78</v>
      </c>
      <c r="AB2485">
        <v>0</v>
      </c>
      <c r="AC2485" t="s">
        <v>78</v>
      </c>
      <c r="AD2485">
        <v>0</v>
      </c>
      <c r="AE2485">
        <v>10691459</v>
      </c>
      <c r="AF2485" t="s">
        <v>79</v>
      </c>
      <c r="AG2485" t="s">
        <v>4442</v>
      </c>
    </row>
    <row r="2486" spans="1:33" x14ac:dyDescent="0.35">
      <c r="A2486" s="18">
        <v>44251.539583333331</v>
      </c>
      <c r="B2486">
        <v>4412594</v>
      </c>
      <c r="C2486" t="s">
        <v>4915</v>
      </c>
      <c r="D2486" t="s">
        <v>900</v>
      </c>
      <c r="E2486" s="19">
        <v>42341</v>
      </c>
      <c r="F2486" t="str">
        <f>"9781681081403"</f>
        <v>9781681081403</v>
      </c>
      <c r="G2486" t="str">
        <f>"9781681081410"</f>
        <v>9781681081410</v>
      </c>
      <c r="H2486" t="s">
        <v>2135</v>
      </c>
      <c r="I2486">
        <v>616.90409999999895</v>
      </c>
      <c r="J2486" t="s">
        <v>4916</v>
      </c>
      <c r="K2486" t="s">
        <v>73</v>
      </c>
      <c r="N2486" t="s">
        <v>74</v>
      </c>
      <c r="O2486" t="s">
        <v>75</v>
      </c>
      <c r="P2486" t="s">
        <v>74</v>
      </c>
      <c r="Q2486" t="s">
        <v>76</v>
      </c>
      <c r="R2486" t="s">
        <v>73</v>
      </c>
      <c r="S2486">
        <v>0</v>
      </c>
      <c r="W2486" s="20">
        <v>6.9444444444444444E-5</v>
      </c>
      <c r="X2486" t="s">
        <v>125</v>
      </c>
      <c r="Y2486">
        <v>2</v>
      </c>
      <c r="Z2486">
        <v>0</v>
      </c>
      <c r="AA2486" t="s">
        <v>78</v>
      </c>
      <c r="AB2486">
        <v>0</v>
      </c>
      <c r="AC2486" t="s">
        <v>78</v>
      </c>
      <c r="AD2486">
        <v>0</v>
      </c>
      <c r="AE2486">
        <v>11235873</v>
      </c>
      <c r="AF2486" t="s">
        <v>79</v>
      </c>
      <c r="AG2486" t="s">
        <v>5298</v>
      </c>
    </row>
    <row r="2487" spans="1:33" x14ac:dyDescent="0.35">
      <c r="A2487" s="18">
        <v>44251.487500000003</v>
      </c>
      <c r="B2487">
        <v>571095</v>
      </c>
      <c r="C2487" t="s">
        <v>5506</v>
      </c>
      <c r="D2487" t="s">
        <v>5507</v>
      </c>
      <c r="E2487" s="19">
        <v>39701</v>
      </c>
      <c r="F2487" t="str">
        <f>"9780387746357"</f>
        <v>9780387746357</v>
      </c>
      <c r="G2487" t="str">
        <f>"9780387746333"</f>
        <v>9780387746333</v>
      </c>
      <c r="H2487" t="s">
        <v>5508</v>
      </c>
      <c r="I2487">
        <v>303.49</v>
      </c>
      <c r="J2487" t="s">
        <v>5372</v>
      </c>
      <c r="K2487" t="s">
        <v>73</v>
      </c>
      <c r="N2487" t="s">
        <v>74</v>
      </c>
      <c r="O2487" t="s">
        <v>75</v>
      </c>
      <c r="P2487" t="s">
        <v>74</v>
      </c>
      <c r="Q2487" t="s">
        <v>76</v>
      </c>
      <c r="R2487" t="s">
        <v>73</v>
      </c>
      <c r="S2487">
        <v>0</v>
      </c>
      <c r="W2487" s="20">
        <v>7.0601851851851847E-4</v>
      </c>
      <c r="X2487" t="s">
        <v>5518</v>
      </c>
      <c r="Y2487">
        <v>12</v>
      </c>
      <c r="Z2487">
        <v>0</v>
      </c>
      <c r="AA2487" t="s">
        <v>78</v>
      </c>
      <c r="AB2487">
        <v>0</v>
      </c>
      <c r="AC2487" t="s">
        <v>78</v>
      </c>
      <c r="AD2487">
        <v>0</v>
      </c>
      <c r="AE2487">
        <v>10379443</v>
      </c>
      <c r="AF2487" t="s">
        <v>79</v>
      </c>
      <c r="AG2487" t="s">
        <v>5374</v>
      </c>
    </row>
    <row r="2488" spans="1:33" x14ac:dyDescent="0.35">
      <c r="A2488" s="18">
        <v>44251.461805555555</v>
      </c>
      <c r="B2488">
        <v>4412594</v>
      </c>
      <c r="C2488" t="s">
        <v>4915</v>
      </c>
      <c r="D2488" t="s">
        <v>900</v>
      </c>
      <c r="E2488" s="19">
        <v>42341</v>
      </c>
      <c r="F2488" t="str">
        <f>"9781681081403"</f>
        <v>9781681081403</v>
      </c>
      <c r="G2488" t="str">
        <f>"9781681081410"</f>
        <v>9781681081410</v>
      </c>
      <c r="H2488" t="s">
        <v>2135</v>
      </c>
      <c r="I2488">
        <v>616.90409999999895</v>
      </c>
      <c r="J2488" t="s">
        <v>4916</v>
      </c>
      <c r="K2488" t="s">
        <v>73</v>
      </c>
      <c r="N2488" t="s">
        <v>74</v>
      </c>
      <c r="O2488" t="s">
        <v>75</v>
      </c>
      <c r="P2488" t="s">
        <v>74</v>
      </c>
      <c r="Q2488" t="s">
        <v>76</v>
      </c>
      <c r="R2488" t="s">
        <v>73</v>
      </c>
      <c r="S2488">
        <v>0</v>
      </c>
      <c r="W2488" s="20">
        <v>1.7546296296296296E-2</v>
      </c>
      <c r="X2488" t="s">
        <v>5519</v>
      </c>
      <c r="Y2488">
        <v>9</v>
      </c>
      <c r="Z2488">
        <v>0</v>
      </c>
      <c r="AA2488" t="s">
        <v>78</v>
      </c>
      <c r="AB2488">
        <v>0</v>
      </c>
      <c r="AC2488" t="s">
        <v>78</v>
      </c>
      <c r="AD2488">
        <v>0</v>
      </c>
      <c r="AE2488">
        <v>11235873</v>
      </c>
      <c r="AF2488" t="s">
        <v>79</v>
      </c>
      <c r="AG2488" t="s">
        <v>5298</v>
      </c>
    </row>
    <row r="2489" spans="1:33" x14ac:dyDescent="0.35">
      <c r="A2489" s="18">
        <v>44251.431250000001</v>
      </c>
      <c r="B2489">
        <v>1446430</v>
      </c>
      <c r="C2489" t="s">
        <v>1649</v>
      </c>
      <c r="D2489" t="s">
        <v>127</v>
      </c>
      <c r="E2489" s="19">
        <v>40274</v>
      </c>
      <c r="F2489" t="str">
        <f>"9781439882573"</f>
        <v>9781439882573</v>
      </c>
      <c r="G2489" t="str">
        <f>"9781420085983"</f>
        <v>9781420085983</v>
      </c>
      <c r="H2489" t="s">
        <v>979</v>
      </c>
      <c r="I2489" t="s">
        <v>1650</v>
      </c>
      <c r="J2489" t="s">
        <v>1651</v>
      </c>
      <c r="K2489" t="s">
        <v>73</v>
      </c>
      <c r="N2489" t="s">
        <v>74</v>
      </c>
      <c r="O2489" t="s">
        <v>75</v>
      </c>
      <c r="P2489" t="s">
        <v>74</v>
      </c>
      <c r="Q2489" t="s">
        <v>76</v>
      </c>
      <c r="R2489" t="s">
        <v>73</v>
      </c>
      <c r="S2489">
        <v>0</v>
      </c>
      <c r="W2489" s="20">
        <v>6.9444444444444444E-5</v>
      </c>
      <c r="X2489" t="s">
        <v>132</v>
      </c>
      <c r="Y2489">
        <v>1</v>
      </c>
      <c r="Z2489">
        <v>0</v>
      </c>
      <c r="AA2489" t="s">
        <v>78</v>
      </c>
      <c r="AB2489">
        <v>0</v>
      </c>
      <c r="AC2489" t="s">
        <v>78</v>
      </c>
      <c r="AD2489">
        <v>0</v>
      </c>
      <c r="AE2489">
        <v>11166018</v>
      </c>
      <c r="AF2489" t="s">
        <v>79</v>
      </c>
      <c r="AG2489" t="s">
        <v>5181</v>
      </c>
    </row>
    <row r="2490" spans="1:33" x14ac:dyDescent="0.35">
      <c r="A2490" s="18">
        <v>44251.409722222219</v>
      </c>
      <c r="B2490">
        <v>4812122</v>
      </c>
      <c r="C2490" t="s">
        <v>3920</v>
      </c>
      <c r="D2490" t="s">
        <v>300</v>
      </c>
      <c r="E2490" s="19">
        <v>42783</v>
      </c>
      <c r="F2490" t="str">
        <f>"9780262336680"</f>
        <v>9780262336680</v>
      </c>
      <c r="G2490" t="str">
        <f>"9780262035354"</f>
        <v>9780262035354</v>
      </c>
      <c r="H2490" t="s">
        <v>143</v>
      </c>
      <c r="I2490">
        <v>658.40629999999999</v>
      </c>
      <c r="J2490" t="s">
        <v>3921</v>
      </c>
      <c r="K2490" t="s">
        <v>85</v>
      </c>
      <c r="N2490" t="s">
        <v>86</v>
      </c>
      <c r="P2490" t="s">
        <v>87</v>
      </c>
      <c r="Q2490" t="s">
        <v>76</v>
      </c>
      <c r="R2490" t="s">
        <v>73</v>
      </c>
      <c r="S2490">
        <v>0</v>
      </c>
      <c r="W2490" s="20">
        <v>7.0601851851851847E-4</v>
      </c>
      <c r="X2490" t="s">
        <v>5520</v>
      </c>
      <c r="Y2490">
        <v>9</v>
      </c>
      <c r="Z2490">
        <v>0</v>
      </c>
      <c r="AA2490" t="s">
        <v>78</v>
      </c>
      <c r="AB2490">
        <v>0</v>
      </c>
      <c r="AC2490" t="s">
        <v>78</v>
      </c>
      <c r="AD2490">
        <v>0</v>
      </c>
      <c r="AE2490">
        <v>11351826</v>
      </c>
      <c r="AF2490" t="s">
        <v>79</v>
      </c>
      <c r="AG2490" t="s">
        <v>3778</v>
      </c>
    </row>
    <row r="2491" spans="1:33" x14ac:dyDescent="0.35">
      <c r="A2491" s="18">
        <v>44251.409722222219</v>
      </c>
      <c r="B2491">
        <v>5109053</v>
      </c>
      <c r="C2491" t="s">
        <v>5521</v>
      </c>
      <c r="D2491" t="s">
        <v>300</v>
      </c>
      <c r="E2491" s="19">
        <v>43014</v>
      </c>
      <c r="F2491" t="str">
        <f>"9780262344937"</f>
        <v>9780262344937</v>
      </c>
      <c r="G2491" t="str">
        <f>"9780262037273"</f>
        <v>9780262037273</v>
      </c>
      <c r="H2491" t="s">
        <v>143</v>
      </c>
      <c r="I2491" t="s">
        <v>5522</v>
      </c>
      <c r="J2491" t="s">
        <v>5523</v>
      </c>
      <c r="K2491" t="s">
        <v>85</v>
      </c>
      <c r="N2491" t="s">
        <v>86</v>
      </c>
      <c r="P2491" t="s">
        <v>87</v>
      </c>
      <c r="Q2491" t="s">
        <v>76</v>
      </c>
      <c r="R2491" t="s">
        <v>73</v>
      </c>
      <c r="S2491">
        <v>0</v>
      </c>
      <c r="W2491" s="20">
        <v>2.4421296296296296E-3</v>
      </c>
      <c r="X2491" t="s">
        <v>5524</v>
      </c>
      <c r="Y2491">
        <v>6</v>
      </c>
      <c r="Z2491">
        <v>0</v>
      </c>
      <c r="AA2491" t="s">
        <v>78</v>
      </c>
      <c r="AB2491">
        <v>0</v>
      </c>
      <c r="AC2491" t="s">
        <v>78</v>
      </c>
      <c r="AD2491">
        <v>0</v>
      </c>
      <c r="AE2491">
        <v>11457824</v>
      </c>
      <c r="AF2491" t="s">
        <v>79</v>
      </c>
      <c r="AG2491" t="s">
        <v>3778</v>
      </c>
    </row>
    <row r="2492" spans="1:33" x14ac:dyDescent="0.35">
      <c r="A2492" s="18">
        <v>44251.40902777778</v>
      </c>
      <c r="B2492">
        <v>1332527</v>
      </c>
      <c r="C2492" t="s">
        <v>4058</v>
      </c>
      <c r="D2492" t="s">
        <v>70</v>
      </c>
      <c r="E2492" s="19">
        <v>41498</v>
      </c>
      <c r="F2492" t="str">
        <f>"9781118720882"</f>
        <v>9781118720882</v>
      </c>
      <c r="G2492" t="str">
        <f>"9781118692288"</f>
        <v>9781118692288</v>
      </c>
      <c r="H2492" t="s">
        <v>143</v>
      </c>
      <c r="I2492">
        <v>658.11</v>
      </c>
      <c r="J2492" t="s">
        <v>4059</v>
      </c>
      <c r="K2492" t="s">
        <v>73</v>
      </c>
      <c r="N2492" t="s">
        <v>74</v>
      </c>
      <c r="O2492" t="s">
        <v>75</v>
      </c>
      <c r="P2492" t="s">
        <v>74</v>
      </c>
      <c r="Q2492" t="s">
        <v>76</v>
      </c>
      <c r="R2492" t="s">
        <v>73</v>
      </c>
      <c r="S2492">
        <v>0</v>
      </c>
      <c r="W2492" s="20">
        <v>2.7893518518518519E-3</v>
      </c>
      <c r="X2492" t="s">
        <v>5525</v>
      </c>
      <c r="Y2492">
        <v>8</v>
      </c>
      <c r="Z2492">
        <v>0</v>
      </c>
      <c r="AA2492" t="s">
        <v>78</v>
      </c>
      <c r="AB2492">
        <v>0</v>
      </c>
      <c r="AC2492" t="s">
        <v>78</v>
      </c>
      <c r="AD2492">
        <v>0</v>
      </c>
      <c r="AE2492">
        <v>10740434</v>
      </c>
      <c r="AF2492" t="s">
        <v>79</v>
      </c>
      <c r="AG2492" t="s">
        <v>3778</v>
      </c>
    </row>
    <row r="2493" spans="1:33" x14ac:dyDescent="0.35">
      <c r="A2493" s="18">
        <v>44250.90347222222</v>
      </c>
      <c r="B2493">
        <v>4412594</v>
      </c>
      <c r="C2493" t="s">
        <v>4915</v>
      </c>
      <c r="D2493" t="s">
        <v>900</v>
      </c>
      <c r="E2493" s="19">
        <v>42341</v>
      </c>
      <c r="F2493" t="str">
        <f>"9781681081403"</f>
        <v>9781681081403</v>
      </c>
      <c r="G2493" t="str">
        <f>"9781681081410"</f>
        <v>9781681081410</v>
      </c>
      <c r="H2493" t="s">
        <v>2135</v>
      </c>
      <c r="I2493">
        <v>616.90409999999895</v>
      </c>
      <c r="J2493" t="s">
        <v>4916</v>
      </c>
      <c r="K2493" t="s">
        <v>73</v>
      </c>
      <c r="N2493" t="s">
        <v>74</v>
      </c>
      <c r="O2493" t="s">
        <v>75</v>
      </c>
      <c r="P2493" t="s">
        <v>74</v>
      </c>
      <c r="Q2493" t="s">
        <v>76</v>
      </c>
      <c r="R2493" t="s">
        <v>73</v>
      </c>
      <c r="S2493">
        <v>0</v>
      </c>
      <c r="W2493" s="20">
        <v>7.3726851851851861E-3</v>
      </c>
      <c r="X2493" t="s">
        <v>5526</v>
      </c>
      <c r="Y2493">
        <v>6</v>
      </c>
      <c r="Z2493">
        <v>0</v>
      </c>
      <c r="AA2493" t="s">
        <v>78</v>
      </c>
      <c r="AB2493">
        <v>0</v>
      </c>
      <c r="AC2493" t="s">
        <v>78</v>
      </c>
      <c r="AD2493">
        <v>0</v>
      </c>
      <c r="AE2493">
        <v>11235873</v>
      </c>
      <c r="AF2493" t="s">
        <v>79</v>
      </c>
      <c r="AG2493" t="s">
        <v>5298</v>
      </c>
    </row>
    <row r="2494" spans="1:33" x14ac:dyDescent="0.35">
      <c r="A2494" s="18">
        <v>44250.881249999999</v>
      </c>
      <c r="B2494">
        <v>3001734</v>
      </c>
      <c r="C2494" t="s">
        <v>5527</v>
      </c>
      <c r="D2494" t="s">
        <v>3412</v>
      </c>
      <c r="E2494" s="19">
        <v>37257</v>
      </c>
      <c r="F2494" t="str">
        <f>"9780814426562"</f>
        <v>9780814426562</v>
      </c>
      <c r="G2494" t="str">
        <f>"9780814407134"</f>
        <v>9780814407134</v>
      </c>
      <c r="H2494" t="s">
        <v>143</v>
      </c>
      <c r="I2494">
        <v>658.8</v>
      </c>
      <c r="J2494" t="s">
        <v>5528</v>
      </c>
      <c r="K2494" t="s">
        <v>73</v>
      </c>
      <c r="N2494" t="s">
        <v>74</v>
      </c>
      <c r="O2494" t="s">
        <v>75</v>
      </c>
      <c r="P2494" t="s">
        <v>74</v>
      </c>
      <c r="Q2494" t="s">
        <v>76</v>
      </c>
      <c r="R2494" t="s">
        <v>73</v>
      </c>
      <c r="S2494">
        <v>0</v>
      </c>
      <c r="W2494" s="20">
        <v>5.8333333333333336E-3</v>
      </c>
      <c r="X2494" t="s">
        <v>1691</v>
      </c>
      <c r="Y2494">
        <v>7</v>
      </c>
      <c r="Z2494">
        <v>0</v>
      </c>
      <c r="AA2494" t="s">
        <v>78</v>
      </c>
      <c r="AB2494">
        <v>0</v>
      </c>
      <c r="AC2494" t="s">
        <v>78</v>
      </c>
      <c r="AD2494">
        <v>0</v>
      </c>
      <c r="AE2494">
        <v>10005788</v>
      </c>
      <c r="AF2494" t="s">
        <v>79</v>
      </c>
      <c r="AG2494" t="s">
        <v>333</v>
      </c>
    </row>
    <row r="2495" spans="1:33" x14ac:dyDescent="0.35">
      <c r="A2495" s="18">
        <v>44250.796527777777</v>
      </c>
      <c r="B2495">
        <v>435300</v>
      </c>
      <c r="C2495" t="s">
        <v>2668</v>
      </c>
      <c r="D2495" t="s">
        <v>158</v>
      </c>
      <c r="E2495" s="19">
        <v>39941</v>
      </c>
      <c r="F2495" t="str">
        <f>"9780080933030"</f>
        <v>9780080933030</v>
      </c>
      <c r="G2495" t="str">
        <f>"9780444533012"</f>
        <v>9780444533012</v>
      </c>
      <c r="H2495" t="s">
        <v>3985</v>
      </c>
      <c r="I2495">
        <v>551.6</v>
      </c>
      <c r="J2495" t="s">
        <v>4872</v>
      </c>
      <c r="K2495" t="s">
        <v>73</v>
      </c>
      <c r="N2495" t="s">
        <v>74</v>
      </c>
      <c r="O2495" t="s">
        <v>75</v>
      </c>
      <c r="P2495" t="s">
        <v>74</v>
      </c>
      <c r="Q2495" t="s">
        <v>76</v>
      </c>
      <c r="R2495" t="s">
        <v>73</v>
      </c>
      <c r="S2495">
        <v>0</v>
      </c>
      <c r="W2495" s="20">
        <v>5.6712962962962956E-4</v>
      </c>
      <c r="X2495" t="s">
        <v>5529</v>
      </c>
      <c r="Y2495">
        <v>6</v>
      </c>
      <c r="Z2495">
        <v>0</v>
      </c>
      <c r="AA2495" t="s">
        <v>78</v>
      </c>
      <c r="AB2495">
        <v>0</v>
      </c>
      <c r="AC2495" t="s">
        <v>78</v>
      </c>
      <c r="AD2495">
        <v>0</v>
      </c>
      <c r="AE2495">
        <v>10294735</v>
      </c>
      <c r="AF2495" t="s">
        <v>79</v>
      </c>
      <c r="AG2495" t="s">
        <v>4442</v>
      </c>
    </row>
    <row r="2496" spans="1:33" x14ac:dyDescent="0.35">
      <c r="A2496" s="18">
        <v>44250.793749999997</v>
      </c>
      <c r="B2496">
        <v>1582328</v>
      </c>
      <c r="C2496" t="s">
        <v>5530</v>
      </c>
      <c r="D2496" t="s">
        <v>158</v>
      </c>
      <c r="E2496" s="19">
        <v>41201</v>
      </c>
      <c r="F2496" t="str">
        <f>"9780857096173"</f>
        <v>9780857096173</v>
      </c>
      <c r="G2496" t="str">
        <f>"9781845697693"</f>
        <v>9781845697693</v>
      </c>
      <c r="H2496" t="s">
        <v>1122</v>
      </c>
      <c r="I2496">
        <v>621.47</v>
      </c>
      <c r="J2496" t="s">
        <v>5531</v>
      </c>
      <c r="K2496" t="s">
        <v>73</v>
      </c>
      <c r="N2496" t="s">
        <v>74</v>
      </c>
      <c r="O2496" t="s">
        <v>75</v>
      </c>
      <c r="P2496" t="s">
        <v>74</v>
      </c>
      <c r="Q2496" t="s">
        <v>76</v>
      </c>
      <c r="R2496" t="s">
        <v>73</v>
      </c>
      <c r="S2496">
        <v>0</v>
      </c>
      <c r="W2496" s="20">
        <v>1.0347222222222223E-2</v>
      </c>
      <c r="X2496" t="s">
        <v>5532</v>
      </c>
      <c r="Y2496">
        <v>17</v>
      </c>
      <c r="Z2496">
        <v>0</v>
      </c>
      <c r="AA2496" t="s">
        <v>78</v>
      </c>
      <c r="AB2496">
        <v>0</v>
      </c>
      <c r="AC2496" t="s">
        <v>78</v>
      </c>
      <c r="AD2496">
        <v>0</v>
      </c>
      <c r="AE2496">
        <v>10641489</v>
      </c>
      <c r="AF2496" t="s">
        <v>79</v>
      </c>
      <c r="AG2496" t="s">
        <v>4894</v>
      </c>
    </row>
    <row r="2497" spans="1:33" x14ac:dyDescent="0.35">
      <c r="A2497" s="18">
        <v>44250.788194444445</v>
      </c>
      <c r="B2497">
        <v>270919</v>
      </c>
      <c r="C2497" t="s">
        <v>3154</v>
      </c>
      <c r="D2497" t="s">
        <v>102</v>
      </c>
      <c r="E2497" s="19">
        <v>31281</v>
      </c>
      <c r="F2497" t="str">
        <f>"9780195365214"</f>
        <v>9780195365214</v>
      </c>
      <c r="G2497" t="str">
        <f>"9780195035469"</f>
        <v>9780195035469</v>
      </c>
      <c r="H2497" t="s">
        <v>83</v>
      </c>
      <c r="I2497">
        <v>621.47</v>
      </c>
      <c r="J2497" t="s">
        <v>3155</v>
      </c>
      <c r="K2497" t="s">
        <v>73</v>
      </c>
      <c r="N2497" t="s">
        <v>74</v>
      </c>
      <c r="O2497" t="s">
        <v>75</v>
      </c>
      <c r="P2497" t="s">
        <v>74</v>
      </c>
      <c r="Q2497" t="s">
        <v>76</v>
      </c>
      <c r="R2497" t="s">
        <v>73</v>
      </c>
      <c r="S2497">
        <v>0</v>
      </c>
      <c r="W2497" s="20">
        <v>1.5347222222222222E-2</v>
      </c>
      <c r="X2497" t="s">
        <v>5533</v>
      </c>
      <c r="Y2497">
        <v>30</v>
      </c>
      <c r="Z2497">
        <v>1</v>
      </c>
      <c r="AA2497" t="s">
        <v>404</v>
      </c>
      <c r="AB2497">
        <v>9</v>
      </c>
      <c r="AC2497" t="s">
        <v>78</v>
      </c>
      <c r="AD2497">
        <v>0</v>
      </c>
      <c r="AE2497">
        <v>10142048</v>
      </c>
      <c r="AF2497" t="s">
        <v>79</v>
      </c>
      <c r="AG2497" t="s">
        <v>4894</v>
      </c>
    </row>
    <row r="2498" spans="1:33" x14ac:dyDescent="0.35">
      <c r="A2498" s="18">
        <v>44250.740972222222</v>
      </c>
      <c r="B2498">
        <v>430034</v>
      </c>
      <c r="C2498" t="s">
        <v>5534</v>
      </c>
      <c r="D2498" t="s">
        <v>127</v>
      </c>
      <c r="E2498" s="19">
        <v>38534</v>
      </c>
      <c r="F2498" t="str">
        <f>"9781849771610"</f>
        <v>9781849771610</v>
      </c>
      <c r="G2498" t="str">
        <f>"9781844072132"</f>
        <v>9781844072132</v>
      </c>
      <c r="H2498" t="s">
        <v>135</v>
      </c>
      <c r="I2498" t="s">
        <v>5535</v>
      </c>
      <c r="J2498" t="s">
        <v>5536</v>
      </c>
      <c r="K2498" t="s">
        <v>73</v>
      </c>
      <c r="N2498" t="s">
        <v>74</v>
      </c>
      <c r="O2498" t="s">
        <v>75</v>
      </c>
      <c r="P2498" t="s">
        <v>74</v>
      </c>
      <c r="Q2498" t="s">
        <v>76</v>
      </c>
      <c r="R2498" t="s">
        <v>73</v>
      </c>
      <c r="S2498">
        <v>0</v>
      </c>
      <c r="W2498" s="20">
        <v>6.3425925925925915E-3</v>
      </c>
      <c r="X2498" t="s">
        <v>360</v>
      </c>
      <c r="Y2498">
        <v>2</v>
      </c>
      <c r="Z2498">
        <v>0</v>
      </c>
      <c r="AA2498" t="s">
        <v>78</v>
      </c>
      <c r="AB2498">
        <v>0</v>
      </c>
      <c r="AC2498" t="s">
        <v>78</v>
      </c>
      <c r="AD2498">
        <v>0</v>
      </c>
      <c r="AE2498">
        <v>10129264</v>
      </c>
      <c r="AF2498" t="s">
        <v>79</v>
      </c>
      <c r="AG2498" t="s">
        <v>5537</v>
      </c>
    </row>
    <row r="2499" spans="1:33" x14ac:dyDescent="0.35">
      <c r="A2499" s="18">
        <v>44250.739583333336</v>
      </c>
      <c r="B2499">
        <v>430034</v>
      </c>
      <c r="C2499" t="s">
        <v>5534</v>
      </c>
      <c r="D2499" t="s">
        <v>127</v>
      </c>
      <c r="E2499" s="19">
        <v>38534</v>
      </c>
      <c r="F2499" t="str">
        <f>"9781849771610"</f>
        <v>9781849771610</v>
      </c>
      <c r="G2499" t="str">
        <f>"9781844072132"</f>
        <v>9781844072132</v>
      </c>
      <c r="H2499" t="s">
        <v>135</v>
      </c>
      <c r="I2499" t="s">
        <v>5535</v>
      </c>
      <c r="J2499" t="s">
        <v>5536</v>
      </c>
      <c r="K2499" t="s">
        <v>73</v>
      </c>
      <c r="N2499" t="s">
        <v>74</v>
      </c>
      <c r="O2499" t="s">
        <v>75</v>
      </c>
      <c r="P2499" t="s">
        <v>74</v>
      </c>
      <c r="Q2499" t="s">
        <v>76</v>
      </c>
      <c r="R2499" t="s">
        <v>73</v>
      </c>
      <c r="S2499">
        <v>0</v>
      </c>
      <c r="W2499" s="20">
        <v>7.2916666666666659E-3</v>
      </c>
      <c r="X2499" t="s">
        <v>5538</v>
      </c>
      <c r="Y2499">
        <v>6</v>
      </c>
      <c r="Z2499">
        <v>0</v>
      </c>
      <c r="AA2499" t="s">
        <v>78</v>
      </c>
      <c r="AB2499">
        <v>0</v>
      </c>
      <c r="AC2499" t="s">
        <v>78</v>
      </c>
      <c r="AD2499">
        <v>0</v>
      </c>
      <c r="AE2499">
        <v>10129264</v>
      </c>
      <c r="AF2499" t="s">
        <v>79</v>
      </c>
      <c r="AG2499" t="s">
        <v>4772</v>
      </c>
    </row>
    <row r="2500" spans="1:33" x14ac:dyDescent="0.35">
      <c r="A2500" s="18">
        <v>44250.724305555559</v>
      </c>
      <c r="B2500">
        <v>1747546</v>
      </c>
      <c r="C2500" t="s">
        <v>5539</v>
      </c>
      <c r="D2500" t="s">
        <v>780</v>
      </c>
      <c r="E2500" s="19">
        <v>42027</v>
      </c>
      <c r="F2500" t="str">
        <f>"9780520959675"</f>
        <v>9780520959675</v>
      </c>
      <c r="G2500" t="str">
        <f>"9780520284005"</f>
        <v>9780520284005</v>
      </c>
      <c r="H2500" t="s">
        <v>331</v>
      </c>
      <c r="I2500" t="s">
        <v>5540</v>
      </c>
      <c r="J2500" t="s">
        <v>5541</v>
      </c>
      <c r="K2500" t="s">
        <v>73</v>
      </c>
      <c r="N2500" t="s">
        <v>74</v>
      </c>
      <c r="O2500" t="s">
        <v>75</v>
      </c>
      <c r="P2500" t="s">
        <v>230</v>
      </c>
      <c r="Q2500" t="s">
        <v>76</v>
      </c>
      <c r="R2500" t="s">
        <v>85</v>
      </c>
      <c r="S2500">
        <v>0</v>
      </c>
      <c r="W2500" s="20">
        <v>7.5231481481481471E-4</v>
      </c>
      <c r="X2500" t="s">
        <v>5542</v>
      </c>
      <c r="Y2500">
        <v>13</v>
      </c>
      <c r="Z2500">
        <v>0</v>
      </c>
      <c r="AA2500" t="s">
        <v>78</v>
      </c>
      <c r="AB2500">
        <v>0</v>
      </c>
      <c r="AC2500" t="s">
        <v>78</v>
      </c>
      <c r="AD2500">
        <v>0</v>
      </c>
      <c r="AE2500">
        <v>11003291</v>
      </c>
      <c r="AF2500" t="s">
        <v>79</v>
      </c>
      <c r="AG2500" t="s">
        <v>548</v>
      </c>
    </row>
    <row r="2501" spans="1:33" x14ac:dyDescent="0.35">
      <c r="A2501" s="18">
        <v>44250.638194444444</v>
      </c>
      <c r="B2501">
        <v>4003861</v>
      </c>
      <c r="C2501" t="s">
        <v>2668</v>
      </c>
      <c r="D2501" t="s">
        <v>338</v>
      </c>
      <c r="E2501" s="19">
        <v>42291</v>
      </c>
      <c r="F2501" t="str">
        <f>"9780444635358"</f>
        <v>9780444635358</v>
      </c>
      <c r="G2501" t="str">
        <f>"9780444635242"</f>
        <v>9780444635242</v>
      </c>
      <c r="H2501" t="s">
        <v>2669</v>
      </c>
      <c r="I2501">
        <v>551.6</v>
      </c>
      <c r="J2501" t="s">
        <v>2670</v>
      </c>
      <c r="K2501" t="s">
        <v>73</v>
      </c>
      <c r="N2501" t="s">
        <v>74</v>
      </c>
      <c r="O2501" t="s">
        <v>75</v>
      </c>
      <c r="P2501" t="s">
        <v>74</v>
      </c>
      <c r="Q2501" t="s">
        <v>76</v>
      </c>
      <c r="R2501" t="s">
        <v>73</v>
      </c>
      <c r="S2501">
        <v>0</v>
      </c>
      <c r="W2501" s="20">
        <v>1.1111111111111111E-3</v>
      </c>
      <c r="X2501" t="s">
        <v>5543</v>
      </c>
      <c r="Y2501">
        <v>6</v>
      </c>
      <c r="Z2501">
        <v>0</v>
      </c>
      <c r="AA2501" t="s">
        <v>78</v>
      </c>
      <c r="AB2501">
        <v>0</v>
      </c>
      <c r="AC2501" t="s">
        <v>78</v>
      </c>
      <c r="AD2501">
        <v>0</v>
      </c>
      <c r="AE2501">
        <v>11117951</v>
      </c>
      <c r="AF2501" t="s">
        <v>79</v>
      </c>
      <c r="AG2501" t="s">
        <v>5374</v>
      </c>
    </row>
    <row r="2502" spans="1:33" x14ac:dyDescent="0.35">
      <c r="A2502" s="18">
        <v>44250.625</v>
      </c>
      <c r="B2502">
        <v>470061</v>
      </c>
      <c r="C2502" t="s">
        <v>5103</v>
      </c>
      <c r="D2502" t="s">
        <v>70</v>
      </c>
      <c r="E2502" s="19">
        <v>39461</v>
      </c>
      <c r="F2502" t="str">
        <f>"9780470697931"</f>
        <v>9780470697931</v>
      </c>
      <c r="G2502" t="str">
        <f>"9781405151276"</f>
        <v>9781405151276</v>
      </c>
      <c r="H2502" t="s">
        <v>5104</v>
      </c>
      <c r="I2502">
        <v>624.06809999999996</v>
      </c>
      <c r="J2502" t="s">
        <v>5105</v>
      </c>
      <c r="K2502" t="s">
        <v>73</v>
      </c>
      <c r="N2502" t="s">
        <v>74</v>
      </c>
      <c r="O2502" t="s">
        <v>75</v>
      </c>
      <c r="P2502" t="s">
        <v>74</v>
      </c>
      <c r="Q2502" t="s">
        <v>76</v>
      </c>
      <c r="R2502" t="s">
        <v>73</v>
      </c>
      <c r="S2502">
        <v>0</v>
      </c>
      <c r="W2502" s="20">
        <v>1.7939814814814815E-3</v>
      </c>
      <c r="X2502" t="s">
        <v>5544</v>
      </c>
      <c r="Y2502">
        <v>5</v>
      </c>
      <c r="Z2502">
        <v>1</v>
      </c>
      <c r="AA2502" t="s">
        <v>5545</v>
      </c>
      <c r="AB2502">
        <v>22</v>
      </c>
      <c r="AC2502" t="s">
        <v>78</v>
      </c>
      <c r="AD2502">
        <v>0</v>
      </c>
      <c r="AE2502">
        <v>10297638</v>
      </c>
      <c r="AF2502" t="s">
        <v>79</v>
      </c>
      <c r="AG2502" t="s">
        <v>5298</v>
      </c>
    </row>
    <row r="2503" spans="1:33" x14ac:dyDescent="0.35">
      <c r="A2503" s="18">
        <v>44250.613888888889</v>
      </c>
      <c r="B2503">
        <v>470061</v>
      </c>
      <c r="C2503" t="s">
        <v>5103</v>
      </c>
      <c r="D2503" t="s">
        <v>70</v>
      </c>
      <c r="E2503" s="19">
        <v>39461</v>
      </c>
      <c r="F2503" t="str">
        <f>"9780470697931"</f>
        <v>9780470697931</v>
      </c>
      <c r="G2503" t="str">
        <f>"9781405151276"</f>
        <v>9781405151276</v>
      </c>
      <c r="H2503" t="s">
        <v>5104</v>
      </c>
      <c r="I2503">
        <v>624.06809999999996</v>
      </c>
      <c r="J2503" t="s">
        <v>5105</v>
      </c>
      <c r="K2503" t="s">
        <v>73</v>
      </c>
      <c r="N2503" t="s">
        <v>74</v>
      </c>
      <c r="O2503" t="s">
        <v>75</v>
      </c>
      <c r="P2503" t="s">
        <v>74</v>
      </c>
      <c r="Q2503" t="s">
        <v>76</v>
      </c>
      <c r="R2503" t="s">
        <v>73</v>
      </c>
      <c r="S2503">
        <v>0</v>
      </c>
      <c r="W2503" s="20">
        <v>3.8194444444444446E-4</v>
      </c>
      <c r="X2503" t="s">
        <v>5546</v>
      </c>
      <c r="Y2503">
        <v>13</v>
      </c>
      <c r="Z2503">
        <v>0</v>
      </c>
      <c r="AA2503" t="s">
        <v>78</v>
      </c>
      <c r="AB2503">
        <v>0</v>
      </c>
      <c r="AC2503" t="s">
        <v>78</v>
      </c>
      <c r="AD2503">
        <v>0</v>
      </c>
      <c r="AE2503">
        <v>10297638</v>
      </c>
      <c r="AF2503" t="s">
        <v>79</v>
      </c>
      <c r="AG2503" t="s">
        <v>5298</v>
      </c>
    </row>
    <row r="2504" spans="1:33" x14ac:dyDescent="0.35">
      <c r="A2504" s="18">
        <v>44250.609027777777</v>
      </c>
      <c r="B2504">
        <v>863122</v>
      </c>
      <c r="C2504" t="s">
        <v>5547</v>
      </c>
      <c r="D2504" t="s">
        <v>5548</v>
      </c>
      <c r="E2504" s="19">
        <v>40969</v>
      </c>
      <c r="F2504" t="str">
        <f>"9780708323601"</f>
        <v>9780708323601</v>
      </c>
      <c r="G2504" t="str">
        <f>"9780708323595"</f>
        <v>9780708323595</v>
      </c>
      <c r="H2504" t="s">
        <v>822</v>
      </c>
      <c r="I2504">
        <v>791.45749999999998</v>
      </c>
      <c r="J2504" t="s">
        <v>5549</v>
      </c>
      <c r="K2504" t="s">
        <v>73</v>
      </c>
      <c r="N2504" t="s">
        <v>74</v>
      </c>
      <c r="O2504" t="s">
        <v>75</v>
      </c>
      <c r="P2504" t="s">
        <v>74</v>
      </c>
      <c r="Q2504" t="s">
        <v>76</v>
      </c>
      <c r="R2504" t="s">
        <v>73</v>
      </c>
      <c r="S2504">
        <v>0</v>
      </c>
      <c r="W2504" s="20">
        <v>9.9537037037037042E-4</v>
      </c>
      <c r="X2504" t="s">
        <v>5550</v>
      </c>
      <c r="Y2504">
        <v>12</v>
      </c>
      <c r="Z2504">
        <v>0</v>
      </c>
      <c r="AA2504" t="s">
        <v>78</v>
      </c>
      <c r="AB2504">
        <v>0</v>
      </c>
      <c r="AC2504" t="s">
        <v>78</v>
      </c>
      <c r="AD2504">
        <v>0</v>
      </c>
      <c r="AE2504">
        <v>10639800</v>
      </c>
      <c r="AF2504" t="s">
        <v>79</v>
      </c>
      <c r="AG2504" t="s">
        <v>5298</v>
      </c>
    </row>
    <row r="2505" spans="1:33" x14ac:dyDescent="0.35">
      <c r="A2505" s="18">
        <v>44250.573611111111</v>
      </c>
      <c r="B2505">
        <v>4043002</v>
      </c>
      <c r="C2505" t="s">
        <v>5190</v>
      </c>
      <c r="D2505" t="s">
        <v>70</v>
      </c>
      <c r="E2505" s="19">
        <v>42388</v>
      </c>
      <c r="F2505" t="str">
        <f>"9781119045076"</f>
        <v>9781119045076</v>
      </c>
      <c r="G2505" t="str">
        <f>"9781119045069"</f>
        <v>9781119045069</v>
      </c>
      <c r="H2505" t="s">
        <v>128</v>
      </c>
      <c r="I2505" t="s">
        <v>5191</v>
      </c>
      <c r="J2505" t="s">
        <v>5192</v>
      </c>
      <c r="K2505" t="s">
        <v>73</v>
      </c>
      <c r="N2505" t="s">
        <v>74</v>
      </c>
      <c r="O2505" t="s">
        <v>75</v>
      </c>
      <c r="P2505" t="s">
        <v>74</v>
      </c>
      <c r="Q2505" t="s">
        <v>76</v>
      </c>
      <c r="R2505" t="s">
        <v>73</v>
      </c>
      <c r="S2505">
        <v>0</v>
      </c>
      <c r="W2505" s="20">
        <v>4.6296296296296294E-5</v>
      </c>
      <c r="X2505" t="s">
        <v>132</v>
      </c>
      <c r="Y2505">
        <v>1</v>
      </c>
      <c r="Z2505">
        <v>0</v>
      </c>
      <c r="AA2505" t="s">
        <v>78</v>
      </c>
      <c r="AB2505">
        <v>0</v>
      </c>
      <c r="AC2505" t="s">
        <v>78</v>
      </c>
      <c r="AD2505">
        <v>0</v>
      </c>
      <c r="AE2505">
        <v>11115179</v>
      </c>
      <c r="AF2505" t="s">
        <v>79</v>
      </c>
      <c r="AG2505" t="s">
        <v>5298</v>
      </c>
    </row>
    <row r="2506" spans="1:33" x14ac:dyDescent="0.35">
      <c r="A2506" s="18">
        <v>44250.534722222219</v>
      </c>
      <c r="B2506">
        <v>1119456</v>
      </c>
      <c r="C2506" t="s">
        <v>1922</v>
      </c>
      <c r="D2506" t="s">
        <v>70</v>
      </c>
      <c r="E2506" s="19">
        <v>41365</v>
      </c>
      <c r="F2506" t="str">
        <f>"9781118516515"</f>
        <v>9781118516515</v>
      </c>
      <c r="G2506" t="str">
        <f>"9781119953456"</f>
        <v>9781119953456</v>
      </c>
      <c r="H2506" t="s">
        <v>1923</v>
      </c>
      <c r="I2506">
        <v>621.79999999999995</v>
      </c>
      <c r="J2506" t="s">
        <v>1924</v>
      </c>
      <c r="K2506" t="s">
        <v>73</v>
      </c>
      <c r="N2506" t="s">
        <v>74</v>
      </c>
      <c r="O2506" t="s">
        <v>75</v>
      </c>
      <c r="P2506" t="s">
        <v>74</v>
      </c>
      <c r="Q2506" t="s">
        <v>76</v>
      </c>
      <c r="R2506" t="s">
        <v>73</v>
      </c>
      <c r="S2506">
        <v>0</v>
      </c>
      <c r="W2506" s="20">
        <v>3.8217592592592588E-2</v>
      </c>
      <c r="X2506" t="s">
        <v>5551</v>
      </c>
      <c r="Y2506">
        <v>53</v>
      </c>
      <c r="Z2506">
        <v>0</v>
      </c>
      <c r="AA2506" t="s">
        <v>78</v>
      </c>
      <c r="AB2506">
        <v>0</v>
      </c>
      <c r="AC2506" t="s">
        <v>78</v>
      </c>
      <c r="AD2506">
        <v>0</v>
      </c>
      <c r="AE2506">
        <v>10653559</v>
      </c>
      <c r="AF2506" t="s">
        <v>79</v>
      </c>
      <c r="AG2506" t="s">
        <v>5390</v>
      </c>
    </row>
    <row r="2507" spans="1:33" x14ac:dyDescent="0.35">
      <c r="A2507" s="18">
        <v>44250.509027777778</v>
      </c>
      <c r="B2507">
        <v>4877102</v>
      </c>
      <c r="C2507" t="s">
        <v>5552</v>
      </c>
      <c r="D2507" t="s">
        <v>741</v>
      </c>
      <c r="E2507" s="19">
        <v>41425</v>
      </c>
      <c r="F2507" t="str">
        <f>"9781423220503"</f>
        <v>9781423220503</v>
      </c>
      <c r="G2507" t="str">
        <f>"9781423220251"</f>
        <v>9781423220251</v>
      </c>
      <c r="H2507" t="s">
        <v>5553</v>
      </c>
      <c r="I2507">
        <v>302.23099999999999</v>
      </c>
      <c r="J2507" t="s">
        <v>5554</v>
      </c>
      <c r="K2507" t="s">
        <v>73</v>
      </c>
      <c r="N2507" t="s">
        <v>74</v>
      </c>
      <c r="O2507" t="s">
        <v>75</v>
      </c>
      <c r="P2507" t="s">
        <v>74</v>
      </c>
      <c r="Q2507" t="s">
        <v>76</v>
      </c>
      <c r="R2507" t="s">
        <v>73</v>
      </c>
      <c r="S2507">
        <v>0</v>
      </c>
      <c r="W2507" s="20">
        <v>1.5752314814814813E-2</v>
      </c>
      <c r="X2507" t="s">
        <v>5555</v>
      </c>
      <c r="Y2507">
        <v>17</v>
      </c>
      <c r="Z2507">
        <v>0</v>
      </c>
      <c r="AA2507" t="s">
        <v>78</v>
      </c>
      <c r="AB2507">
        <v>0</v>
      </c>
      <c r="AC2507" t="s">
        <v>1903</v>
      </c>
      <c r="AD2507">
        <v>1</v>
      </c>
      <c r="AE2507">
        <v>11397748</v>
      </c>
      <c r="AF2507" t="s">
        <v>79</v>
      </c>
      <c r="AG2507" t="s">
        <v>5374</v>
      </c>
    </row>
    <row r="2508" spans="1:33" x14ac:dyDescent="0.35">
      <c r="A2508" s="18">
        <v>44250.490277777775</v>
      </c>
      <c r="B2508">
        <v>4526458</v>
      </c>
      <c r="C2508" t="s">
        <v>5556</v>
      </c>
      <c r="D2508" t="s">
        <v>338</v>
      </c>
      <c r="E2508" s="19">
        <v>42516</v>
      </c>
      <c r="F2508" t="str">
        <f>"9780128034361"</f>
        <v>9780128034361</v>
      </c>
      <c r="G2508" t="str">
        <f>"9780128034330"</f>
        <v>9780128034330</v>
      </c>
      <c r="H2508" t="s">
        <v>1804</v>
      </c>
      <c r="I2508">
        <v>597.17570000000001</v>
      </c>
      <c r="J2508" t="s">
        <v>5557</v>
      </c>
      <c r="K2508" t="s">
        <v>73</v>
      </c>
      <c r="N2508" t="s">
        <v>74</v>
      </c>
      <c r="O2508" t="s">
        <v>75</v>
      </c>
      <c r="P2508" t="s">
        <v>74</v>
      </c>
      <c r="Q2508" t="s">
        <v>76</v>
      </c>
      <c r="R2508" t="s">
        <v>73</v>
      </c>
      <c r="S2508">
        <v>0</v>
      </c>
      <c r="W2508" s="20">
        <v>2.7546296296296294E-3</v>
      </c>
      <c r="X2508" t="s">
        <v>5558</v>
      </c>
      <c r="Y2508">
        <v>13</v>
      </c>
      <c r="Z2508">
        <v>1</v>
      </c>
      <c r="AA2508" t="s">
        <v>5559</v>
      </c>
      <c r="AB2508">
        <v>26</v>
      </c>
      <c r="AC2508" t="s">
        <v>78</v>
      </c>
      <c r="AD2508">
        <v>0</v>
      </c>
      <c r="AE2508">
        <v>11211328</v>
      </c>
      <c r="AF2508" t="s">
        <v>88</v>
      </c>
      <c r="AG2508" t="s">
        <v>5374</v>
      </c>
    </row>
    <row r="2509" spans="1:33" x14ac:dyDescent="0.35">
      <c r="A2509" s="18">
        <v>44250.45208333333</v>
      </c>
      <c r="B2509">
        <v>4877102</v>
      </c>
      <c r="C2509" t="s">
        <v>5552</v>
      </c>
      <c r="D2509" t="s">
        <v>741</v>
      </c>
      <c r="E2509" s="19">
        <v>41425</v>
      </c>
      <c r="F2509" t="str">
        <f>"9781423220503"</f>
        <v>9781423220503</v>
      </c>
      <c r="G2509" t="str">
        <f>"9781423220251"</f>
        <v>9781423220251</v>
      </c>
      <c r="H2509" t="s">
        <v>5553</v>
      </c>
      <c r="I2509">
        <v>302.23099999999999</v>
      </c>
      <c r="J2509" t="s">
        <v>5554</v>
      </c>
      <c r="K2509" t="s">
        <v>73</v>
      </c>
      <c r="N2509" t="s">
        <v>74</v>
      </c>
      <c r="O2509" t="s">
        <v>75</v>
      </c>
      <c r="P2509" t="s">
        <v>74</v>
      </c>
      <c r="Q2509" t="s">
        <v>76</v>
      </c>
      <c r="R2509" t="s">
        <v>73</v>
      </c>
      <c r="S2509">
        <v>0</v>
      </c>
      <c r="W2509" s="20">
        <v>4.8379629629629632E-3</v>
      </c>
      <c r="X2509" t="s">
        <v>5560</v>
      </c>
      <c r="Y2509">
        <v>5</v>
      </c>
      <c r="Z2509">
        <v>2</v>
      </c>
      <c r="AA2509" t="s">
        <v>1492</v>
      </c>
      <c r="AB2509">
        <v>2</v>
      </c>
      <c r="AC2509" t="s">
        <v>78</v>
      </c>
      <c r="AD2509">
        <v>0</v>
      </c>
      <c r="AE2509">
        <v>11397748</v>
      </c>
      <c r="AF2509" t="s">
        <v>79</v>
      </c>
      <c r="AG2509" t="s">
        <v>5374</v>
      </c>
    </row>
    <row r="2510" spans="1:33" x14ac:dyDescent="0.35">
      <c r="A2510" s="18">
        <v>44250.375</v>
      </c>
      <c r="B2510">
        <v>4877102</v>
      </c>
      <c r="C2510" t="s">
        <v>5552</v>
      </c>
      <c r="D2510" t="s">
        <v>741</v>
      </c>
      <c r="E2510" s="19">
        <v>41425</v>
      </c>
      <c r="F2510" t="str">
        <f>"9781423220503"</f>
        <v>9781423220503</v>
      </c>
      <c r="G2510" t="str">
        <f>"9781423220251"</f>
        <v>9781423220251</v>
      </c>
      <c r="H2510" t="s">
        <v>5553</v>
      </c>
      <c r="I2510">
        <v>302.23099999999999</v>
      </c>
      <c r="J2510" t="s">
        <v>5554</v>
      </c>
      <c r="K2510" t="s">
        <v>73</v>
      </c>
      <c r="N2510" t="s">
        <v>74</v>
      </c>
      <c r="O2510" t="s">
        <v>75</v>
      </c>
      <c r="P2510" t="s">
        <v>74</v>
      </c>
      <c r="Q2510" t="s">
        <v>76</v>
      </c>
      <c r="R2510" t="s">
        <v>73</v>
      </c>
      <c r="S2510">
        <v>0</v>
      </c>
      <c r="W2510" s="20">
        <v>5.7870370370370366E-5</v>
      </c>
      <c r="X2510" t="s">
        <v>137</v>
      </c>
      <c r="Y2510">
        <v>1</v>
      </c>
      <c r="Z2510">
        <v>0</v>
      </c>
      <c r="AA2510" t="s">
        <v>78</v>
      </c>
      <c r="AB2510">
        <v>0</v>
      </c>
      <c r="AC2510" t="s">
        <v>78</v>
      </c>
      <c r="AD2510">
        <v>0</v>
      </c>
      <c r="AE2510">
        <v>11397748</v>
      </c>
      <c r="AF2510" t="s">
        <v>79</v>
      </c>
      <c r="AG2510" t="s">
        <v>5374</v>
      </c>
    </row>
    <row r="2511" spans="1:33" x14ac:dyDescent="0.35">
      <c r="A2511" s="18">
        <v>44250.068055555559</v>
      </c>
      <c r="B2511">
        <v>333985</v>
      </c>
      <c r="C2511" t="s">
        <v>5561</v>
      </c>
      <c r="D2511" t="s">
        <v>158</v>
      </c>
      <c r="E2511" s="19">
        <v>38128</v>
      </c>
      <c r="F2511" t="str">
        <f>"9780080490519"</f>
        <v>9780080490519</v>
      </c>
      <c r="G2511" t="str">
        <f>"9781558608566"</f>
        <v>9781558608566</v>
      </c>
      <c r="H2511" t="s">
        <v>5562</v>
      </c>
      <c r="I2511">
        <v>6.3330000000000002</v>
      </c>
      <c r="J2511" t="s">
        <v>5563</v>
      </c>
      <c r="K2511" t="s">
        <v>73</v>
      </c>
      <c r="N2511" t="s">
        <v>74</v>
      </c>
      <c r="O2511" t="s">
        <v>75</v>
      </c>
      <c r="P2511" t="s">
        <v>74</v>
      </c>
      <c r="Q2511" t="s">
        <v>76</v>
      </c>
      <c r="R2511" t="s">
        <v>73</v>
      </c>
      <c r="S2511">
        <v>1</v>
      </c>
      <c r="W2511" s="20">
        <v>1.1574074074074073E-5</v>
      </c>
      <c r="X2511" t="s">
        <v>78</v>
      </c>
      <c r="Y2511">
        <v>0</v>
      </c>
      <c r="Z2511">
        <v>0</v>
      </c>
      <c r="AA2511" t="s">
        <v>78</v>
      </c>
      <c r="AB2511">
        <v>0</v>
      </c>
      <c r="AC2511" t="s">
        <v>78</v>
      </c>
      <c r="AD2511">
        <v>0</v>
      </c>
      <c r="AE2511">
        <v>10226616</v>
      </c>
      <c r="AF2511" t="s">
        <v>88</v>
      </c>
      <c r="AG2511" t="s">
        <v>1184</v>
      </c>
    </row>
    <row r="2512" spans="1:33" x14ac:dyDescent="0.35">
      <c r="A2512" s="18">
        <v>44250.019444444442</v>
      </c>
      <c r="B2512">
        <v>3020317</v>
      </c>
      <c r="C2512" t="s">
        <v>5564</v>
      </c>
      <c r="D2512" t="s">
        <v>226</v>
      </c>
      <c r="E2512" s="19">
        <v>41330</v>
      </c>
      <c r="F2512" t="str">
        <f>"9781624171123"</f>
        <v>9781624171123</v>
      </c>
      <c r="G2512" t="str">
        <f>"9781624171116"</f>
        <v>9781624171116</v>
      </c>
      <c r="H2512" t="s">
        <v>374</v>
      </c>
      <c r="I2512">
        <v>628.16099999999994</v>
      </c>
      <c r="J2512" t="s">
        <v>5565</v>
      </c>
      <c r="K2512" t="s">
        <v>73</v>
      </c>
      <c r="N2512" t="s">
        <v>74</v>
      </c>
      <c r="O2512" t="s">
        <v>75</v>
      </c>
      <c r="P2512" t="s">
        <v>230</v>
      </c>
      <c r="Q2512" t="s">
        <v>76</v>
      </c>
      <c r="R2512" t="s">
        <v>85</v>
      </c>
      <c r="S2512">
        <v>0</v>
      </c>
      <c r="W2512" s="20">
        <v>6.875E-3</v>
      </c>
      <c r="X2512" t="s">
        <v>5566</v>
      </c>
      <c r="Y2512">
        <v>38</v>
      </c>
      <c r="Z2512">
        <v>0</v>
      </c>
      <c r="AA2512" t="s">
        <v>78</v>
      </c>
      <c r="AB2512">
        <v>0</v>
      </c>
      <c r="AC2512" t="s">
        <v>5567</v>
      </c>
      <c r="AD2512">
        <v>2</v>
      </c>
      <c r="AE2512">
        <v>10676579</v>
      </c>
      <c r="AF2512" t="s">
        <v>79</v>
      </c>
      <c r="AG2512" t="s">
        <v>5298</v>
      </c>
    </row>
    <row r="2513" spans="1:33" x14ac:dyDescent="0.35">
      <c r="A2513" s="18">
        <v>44249.988194444442</v>
      </c>
      <c r="B2513">
        <v>1390902</v>
      </c>
      <c r="C2513" t="s">
        <v>5141</v>
      </c>
      <c r="D2513" t="s">
        <v>3412</v>
      </c>
      <c r="E2513" s="19">
        <v>41696</v>
      </c>
      <c r="F2513" t="str">
        <f>"9780814433423"</f>
        <v>9780814433423</v>
      </c>
      <c r="G2513" t="str">
        <f>"9780814433416"</f>
        <v>9780814433416</v>
      </c>
      <c r="H2513" t="s">
        <v>143</v>
      </c>
      <c r="I2513" t="s">
        <v>4904</v>
      </c>
      <c r="J2513" t="s">
        <v>5142</v>
      </c>
      <c r="K2513" t="s">
        <v>73</v>
      </c>
      <c r="N2513" t="s">
        <v>74</v>
      </c>
      <c r="O2513" t="s">
        <v>75</v>
      </c>
      <c r="P2513" t="s">
        <v>74</v>
      </c>
      <c r="Q2513" t="s">
        <v>76</v>
      </c>
      <c r="R2513" t="s">
        <v>73</v>
      </c>
      <c r="S2513">
        <v>0</v>
      </c>
      <c r="W2513" s="20">
        <v>1.8402777777777777E-3</v>
      </c>
      <c r="X2513" t="s">
        <v>5568</v>
      </c>
      <c r="Y2513">
        <v>5</v>
      </c>
      <c r="Z2513">
        <v>0</v>
      </c>
      <c r="AA2513" t="s">
        <v>78</v>
      </c>
      <c r="AB2513">
        <v>0</v>
      </c>
      <c r="AC2513" t="s">
        <v>78</v>
      </c>
      <c r="AD2513">
        <v>0</v>
      </c>
      <c r="AE2513">
        <v>10821817</v>
      </c>
      <c r="AF2513" t="s">
        <v>79</v>
      </c>
      <c r="AG2513" t="s">
        <v>5298</v>
      </c>
    </row>
    <row r="2514" spans="1:33" x14ac:dyDescent="0.35">
      <c r="A2514" s="18">
        <v>44249.943055555559</v>
      </c>
      <c r="B2514">
        <v>4875240</v>
      </c>
      <c r="C2514" t="s">
        <v>465</v>
      </c>
      <c r="D2514" t="s">
        <v>70</v>
      </c>
      <c r="E2514" s="19">
        <v>42954</v>
      </c>
      <c r="F2514" t="str">
        <f>"9781119329039"</f>
        <v>9781119329039</v>
      </c>
      <c r="G2514" t="str">
        <f>"9781119329053"</f>
        <v>9781119329053</v>
      </c>
      <c r="H2514" t="s">
        <v>466</v>
      </c>
      <c r="I2514">
        <v>621.38104399999997</v>
      </c>
      <c r="J2514" t="s">
        <v>467</v>
      </c>
      <c r="K2514" t="s">
        <v>73</v>
      </c>
      <c r="N2514" t="s">
        <v>74</v>
      </c>
      <c r="O2514" t="s">
        <v>75</v>
      </c>
      <c r="P2514" t="s">
        <v>74</v>
      </c>
      <c r="Q2514" t="s">
        <v>76</v>
      </c>
      <c r="R2514" t="s">
        <v>73</v>
      </c>
      <c r="S2514">
        <v>1</v>
      </c>
      <c r="W2514" s="20">
        <v>0</v>
      </c>
      <c r="X2514" t="s">
        <v>78</v>
      </c>
      <c r="Y2514">
        <v>0</v>
      </c>
      <c r="Z2514">
        <v>0</v>
      </c>
      <c r="AA2514" t="s">
        <v>78</v>
      </c>
      <c r="AB2514">
        <v>0</v>
      </c>
      <c r="AC2514" t="s">
        <v>78</v>
      </c>
      <c r="AD2514">
        <v>0</v>
      </c>
      <c r="AE2514">
        <v>11395817</v>
      </c>
      <c r="AF2514" t="s">
        <v>88</v>
      </c>
      <c r="AG2514" t="s">
        <v>1330</v>
      </c>
    </row>
    <row r="2515" spans="1:33" x14ac:dyDescent="0.35">
      <c r="A2515" s="18">
        <v>44249.929166666669</v>
      </c>
      <c r="B2515">
        <v>1390902</v>
      </c>
      <c r="C2515" t="s">
        <v>5141</v>
      </c>
      <c r="D2515" t="s">
        <v>3412</v>
      </c>
      <c r="E2515" s="19">
        <v>41696</v>
      </c>
      <c r="F2515" t="str">
        <f>"9780814433423"</f>
        <v>9780814433423</v>
      </c>
      <c r="G2515" t="str">
        <f>"9780814433416"</f>
        <v>9780814433416</v>
      </c>
      <c r="H2515" t="s">
        <v>143</v>
      </c>
      <c r="I2515" t="s">
        <v>4904</v>
      </c>
      <c r="J2515" t="s">
        <v>5142</v>
      </c>
      <c r="K2515" t="s">
        <v>73</v>
      </c>
      <c r="N2515" t="s">
        <v>74</v>
      </c>
      <c r="O2515" t="s">
        <v>75</v>
      </c>
      <c r="P2515" t="s">
        <v>74</v>
      </c>
      <c r="Q2515" t="s">
        <v>76</v>
      </c>
      <c r="R2515" t="s">
        <v>73</v>
      </c>
      <c r="S2515">
        <v>0</v>
      </c>
      <c r="W2515" s="20">
        <v>3.2407407407407406E-3</v>
      </c>
      <c r="X2515" t="s">
        <v>5569</v>
      </c>
      <c r="Y2515">
        <v>20</v>
      </c>
      <c r="Z2515">
        <v>0</v>
      </c>
      <c r="AA2515" t="s">
        <v>78</v>
      </c>
      <c r="AB2515">
        <v>0</v>
      </c>
      <c r="AC2515" t="s">
        <v>78</v>
      </c>
      <c r="AD2515">
        <v>0</v>
      </c>
      <c r="AE2515">
        <v>10821817</v>
      </c>
      <c r="AF2515" t="s">
        <v>79</v>
      </c>
      <c r="AG2515" t="s">
        <v>5298</v>
      </c>
    </row>
    <row r="2516" spans="1:33" x14ac:dyDescent="0.35">
      <c r="A2516" s="18">
        <v>44249.929166666669</v>
      </c>
      <c r="B2516">
        <v>1895831</v>
      </c>
      <c r="C2516" t="s">
        <v>4996</v>
      </c>
      <c r="D2516" t="s">
        <v>70</v>
      </c>
      <c r="E2516" s="19">
        <v>42107</v>
      </c>
      <c r="F2516" t="str">
        <f>"9781118968161"</f>
        <v>9781118968161</v>
      </c>
      <c r="G2516" t="str">
        <f>"9781118968154"</f>
        <v>9781118968154</v>
      </c>
      <c r="H2516" t="s">
        <v>143</v>
      </c>
      <c r="I2516" t="s">
        <v>4904</v>
      </c>
      <c r="J2516" t="s">
        <v>4997</v>
      </c>
      <c r="K2516" t="s">
        <v>73</v>
      </c>
      <c r="N2516" t="s">
        <v>74</v>
      </c>
      <c r="O2516" t="s">
        <v>75</v>
      </c>
      <c r="P2516" t="s">
        <v>74</v>
      </c>
      <c r="Q2516" t="s">
        <v>76</v>
      </c>
      <c r="R2516" t="s">
        <v>73</v>
      </c>
      <c r="S2516">
        <v>0</v>
      </c>
      <c r="W2516" s="20">
        <v>8.1018518518518516E-5</v>
      </c>
      <c r="X2516" t="s">
        <v>360</v>
      </c>
      <c r="Y2516">
        <v>2</v>
      </c>
      <c r="Z2516">
        <v>0</v>
      </c>
      <c r="AA2516" t="s">
        <v>78</v>
      </c>
      <c r="AB2516">
        <v>0</v>
      </c>
      <c r="AC2516" t="s">
        <v>78</v>
      </c>
      <c r="AD2516">
        <v>0</v>
      </c>
      <c r="AE2516">
        <v>11041460</v>
      </c>
      <c r="AF2516" t="s">
        <v>79</v>
      </c>
      <c r="AG2516" t="s">
        <v>5298</v>
      </c>
    </row>
    <row r="2517" spans="1:33" x14ac:dyDescent="0.35">
      <c r="A2517" s="18">
        <v>44249.929166666669</v>
      </c>
      <c r="B2517">
        <v>1830135</v>
      </c>
      <c r="C2517" t="s">
        <v>5147</v>
      </c>
      <c r="D2517" t="s">
        <v>70</v>
      </c>
      <c r="E2517" s="19">
        <v>41960</v>
      </c>
      <c r="F2517" t="str">
        <f>"9781119003960"</f>
        <v>9781119003960</v>
      </c>
      <c r="G2517" t="str">
        <f>"9781119003953"</f>
        <v>9781119003953</v>
      </c>
      <c r="H2517" t="s">
        <v>143</v>
      </c>
      <c r="I2517">
        <v>658.40920000000006</v>
      </c>
      <c r="J2517" t="s">
        <v>5148</v>
      </c>
      <c r="K2517" t="s">
        <v>73</v>
      </c>
      <c r="N2517" t="s">
        <v>74</v>
      </c>
      <c r="O2517" t="s">
        <v>75</v>
      </c>
      <c r="P2517" t="s">
        <v>74</v>
      </c>
      <c r="Q2517" t="s">
        <v>76</v>
      </c>
      <c r="R2517" t="s">
        <v>73</v>
      </c>
      <c r="S2517">
        <v>0</v>
      </c>
      <c r="W2517" s="20">
        <v>1.273148148148148E-4</v>
      </c>
      <c r="X2517" t="s">
        <v>1617</v>
      </c>
      <c r="Y2517">
        <v>3</v>
      </c>
      <c r="Z2517">
        <v>0</v>
      </c>
      <c r="AA2517" t="s">
        <v>78</v>
      </c>
      <c r="AB2517">
        <v>0</v>
      </c>
      <c r="AC2517" t="s">
        <v>78</v>
      </c>
      <c r="AD2517">
        <v>0</v>
      </c>
      <c r="AE2517">
        <v>10963351</v>
      </c>
      <c r="AF2517" t="s">
        <v>79</v>
      </c>
      <c r="AG2517" t="s">
        <v>5298</v>
      </c>
    </row>
    <row r="2518" spans="1:33" x14ac:dyDescent="0.35">
      <c r="A2518" s="18">
        <v>44249.90347222222</v>
      </c>
      <c r="B2518">
        <v>4043002</v>
      </c>
      <c r="C2518" t="s">
        <v>5190</v>
      </c>
      <c r="D2518" t="s">
        <v>70</v>
      </c>
      <c r="E2518" s="19">
        <v>42388</v>
      </c>
      <c r="F2518" t="str">
        <f>"9781119045076"</f>
        <v>9781119045076</v>
      </c>
      <c r="G2518" t="str">
        <f>"9781119045069"</f>
        <v>9781119045069</v>
      </c>
      <c r="H2518" t="s">
        <v>128</v>
      </c>
      <c r="I2518" t="s">
        <v>5191</v>
      </c>
      <c r="J2518" t="s">
        <v>5192</v>
      </c>
      <c r="K2518" t="s">
        <v>73</v>
      </c>
      <c r="N2518" t="s">
        <v>74</v>
      </c>
      <c r="O2518" t="s">
        <v>75</v>
      </c>
      <c r="P2518" t="s">
        <v>74</v>
      </c>
      <c r="Q2518" t="s">
        <v>76</v>
      </c>
      <c r="R2518" t="s">
        <v>73</v>
      </c>
      <c r="S2518">
        <v>0</v>
      </c>
      <c r="W2518" s="20">
        <v>7.8935185185185185E-3</v>
      </c>
      <c r="X2518" t="s">
        <v>5570</v>
      </c>
      <c r="Y2518">
        <v>13</v>
      </c>
      <c r="Z2518">
        <v>0</v>
      </c>
      <c r="AA2518" t="s">
        <v>78</v>
      </c>
      <c r="AB2518">
        <v>0</v>
      </c>
      <c r="AC2518" t="s">
        <v>78</v>
      </c>
      <c r="AD2518">
        <v>0</v>
      </c>
      <c r="AE2518">
        <v>11115179</v>
      </c>
      <c r="AF2518" t="s">
        <v>79</v>
      </c>
      <c r="AG2518" t="s">
        <v>5298</v>
      </c>
    </row>
    <row r="2519" spans="1:33" x14ac:dyDescent="0.35">
      <c r="A2519" s="18">
        <v>44249.824999999997</v>
      </c>
      <c r="B2519">
        <v>3116743</v>
      </c>
      <c r="C2519" t="s">
        <v>4917</v>
      </c>
      <c r="D2519" t="s">
        <v>2393</v>
      </c>
      <c r="E2519" s="19">
        <v>40148</v>
      </c>
      <c r="F2519" t="str">
        <f>"9781613001110"</f>
        <v>9781613001110</v>
      </c>
      <c r="G2519" t="str">
        <f>"9781583217801"</f>
        <v>9781583217801</v>
      </c>
      <c r="H2519" t="s">
        <v>374</v>
      </c>
      <c r="I2519" t="s">
        <v>443</v>
      </c>
      <c r="J2519" t="s">
        <v>4918</v>
      </c>
      <c r="K2519" t="s">
        <v>73</v>
      </c>
      <c r="N2519" t="s">
        <v>74</v>
      </c>
      <c r="O2519" t="s">
        <v>75</v>
      </c>
      <c r="P2519" t="s">
        <v>74</v>
      </c>
      <c r="Q2519" t="s">
        <v>76</v>
      </c>
      <c r="R2519" t="s">
        <v>73</v>
      </c>
      <c r="S2519">
        <v>0</v>
      </c>
      <c r="W2519" s="20">
        <v>9.0277777777777784E-4</v>
      </c>
      <c r="X2519" t="s">
        <v>885</v>
      </c>
      <c r="Y2519">
        <v>8</v>
      </c>
      <c r="Z2519">
        <v>0</v>
      </c>
      <c r="AA2519" t="s">
        <v>78</v>
      </c>
      <c r="AB2519">
        <v>0</v>
      </c>
      <c r="AC2519" t="s">
        <v>78</v>
      </c>
      <c r="AD2519">
        <v>0</v>
      </c>
      <c r="AE2519">
        <v>10533523</v>
      </c>
      <c r="AF2519" t="s">
        <v>79</v>
      </c>
      <c r="AG2519" t="s">
        <v>5298</v>
      </c>
    </row>
    <row r="2520" spans="1:33" x14ac:dyDescent="0.35">
      <c r="A2520" s="18">
        <v>44249.822916666664</v>
      </c>
      <c r="B2520">
        <v>3020317</v>
      </c>
      <c r="C2520" t="s">
        <v>5564</v>
      </c>
      <c r="D2520" t="s">
        <v>226</v>
      </c>
      <c r="E2520" s="19">
        <v>41330</v>
      </c>
      <c r="F2520" t="str">
        <f>"9781624171123"</f>
        <v>9781624171123</v>
      </c>
      <c r="G2520" t="str">
        <f>"9781624171116"</f>
        <v>9781624171116</v>
      </c>
      <c r="H2520" t="s">
        <v>374</v>
      </c>
      <c r="I2520">
        <v>628.16099999999994</v>
      </c>
      <c r="J2520" t="s">
        <v>5565</v>
      </c>
      <c r="K2520" t="s">
        <v>73</v>
      </c>
      <c r="N2520" t="s">
        <v>74</v>
      </c>
      <c r="O2520" t="s">
        <v>75</v>
      </c>
      <c r="P2520" t="s">
        <v>230</v>
      </c>
      <c r="Q2520" t="s">
        <v>76</v>
      </c>
      <c r="R2520" t="s">
        <v>85</v>
      </c>
      <c r="S2520">
        <v>0</v>
      </c>
      <c r="W2520" s="20">
        <v>1.7245370370370372E-3</v>
      </c>
      <c r="X2520" t="s">
        <v>5571</v>
      </c>
      <c r="Y2520">
        <v>23</v>
      </c>
      <c r="Z2520">
        <v>0</v>
      </c>
      <c r="AA2520" t="s">
        <v>78</v>
      </c>
      <c r="AB2520">
        <v>0</v>
      </c>
      <c r="AC2520" t="s">
        <v>78</v>
      </c>
      <c r="AD2520">
        <v>0</v>
      </c>
      <c r="AE2520">
        <v>10676579</v>
      </c>
      <c r="AF2520" t="s">
        <v>79</v>
      </c>
      <c r="AG2520" t="s">
        <v>5298</v>
      </c>
    </row>
    <row r="2521" spans="1:33" x14ac:dyDescent="0.35">
      <c r="A2521" s="18">
        <v>44249.797222222223</v>
      </c>
      <c r="B2521">
        <v>918176</v>
      </c>
      <c r="C2521" t="s">
        <v>5572</v>
      </c>
      <c r="D2521" t="s">
        <v>70</v>
      </c>
      <c r="E2521" s="19">
        <v>41198</v>
      </c>
      <c r="F2521" t="str">
        <f>"9781118285374"</f>
        <v>9781118285374</v>
      </c>
      <c r="G2521" t="str">
        <f>"9780470768860"</f>
        <v>9780470768860</v>
      </c>
      <c r="H2521" t="s">
        <v>738</v>
      </c>
      <c r="I2521">
        <v>150</v>
      </c>
      <c r="J2521" t="s">
        <v>5573</v>
      </c>
      <c r="K2521" t="s">
        <v>73</v>
      </c>
      <c r="N2521" t="s">
        <v>74</v>
      </c>
      <c r="O2521" t="s">
        <v>75</v>
      </c>
      <c r="P2521" t="s">
        <v>74</v>
      </c>
      <c r="Q2521" t="s">
        <v>76</v>
      </c>
      <c r="R2521" t="s">
        <v>73</v>
      </c>
      <c r="S2521">
        <v>0</v>
      </c>
      <c r="W2521" s="20">
        <v>6.2500000000000001E-4</v>
      </c>
      <c r="X2521" t="s">
        <v>125</v>
      </c>
      <c r="Y2521">
        <v>2</v>
      </c>
      <c r="Z2521">
        <v>0</v>
      </c>
      <c r="AA2521" t="s">
        <v>78</v>
      </c>
      <c r="AB2521">
        <v>0</v>
      </c>
      <c r="AC2521" t="s">
        <v>78</v>
      </c>
      <c r="AD2521">
        <v>0</v>
      </c>
      <c r="AE2521">
        <v>10612557</v>
      </c>
      <c r="AF2521" t="s">
        <v>79</v>
      </c>
      <c r="AG2521" t="s">
        <v>5298</v>
      </c>
    </row>
    <row r="2522" spans="1:33" x14ac:dyDescent="0.35">
      <c r="A2522" s="18">
        <v>44249.77847222222</v>
      </c>
      <c r="B2522">
        <v>928389</v>
      </c>
      <c r="C2522" t="s">
        <v>5574</v>
      </c>
      <c r="D2522" t="s">
        <v>5575</v>
      </c>
      <c r="E2522" s="19">
        <v>40422</v>
      </c>
      <c r="F2522" t="str">
        <f>"9781921513671"</f>
        <v>9781921513671</v>
      </c>
      <c r="G2522" t="str">
        <f>"9781921513664"</f>
        <v>9781921513664</v>
      </c>
      <c r="H2522" t="s">
        <v>1446</v>
      </c>
      <c r="I2522" t="s">
        <v>5576</v>
      </c>
      <c r="J2522" t="s">
        <v>5577</v>
      </c>
      <c r="K2522" t="s">
        <v>73</v>
      </c>
      <c r="N2522" t="s">
        <v>74</v>
      </c>
      <c r="O2522" t="s">
        <v>75</v>
      </c>
      <c r="P2522" t="s">
        <v>74</v>
      </c>
      <c r="Q2522" t="s">
        <v>76</v>
      </c>
      <c r="R2522" t="s">
        <v>73</v>
      </c>
      <c r="S2522">
        <v>0</v>
      </c>
      <c r="W2522" s="20">
        <v>4.6296296296296294E-5</v>
      </c>
      <c r="X2522" t="s">
        <v>132</v>
      </c>
      <c r="Y2522">
        <v>1</v>
      </c>
      <c r="Z2522">
        <v>0</v>
      </c>
      <c r="AA2522" t="s">
        <v>78</v>
      </c>
      <c r="AB2522">
        <v>0</v>
      </c>
      <c r="AC2522" t="s">
        <v>78</v>
      </c>
      <c r="AD2522">
        <v>0</v>
      </c>
      <c r="AE2522">
        <v>10568862</v>
      </c>
      <c r="AF2522" t="s">
        <v>79</v>
      </c>
      <c r="AG2522" t="s">
        <v>5298</v>
      </c>
    </row>
    <row r="2523" spans="1:33" x14ac:dyDescent="0.35">
      <c r="A2523" s="18">
        <v>44249.77847222222</v>
      </c>
      <c r="B2523">
        <v>4391227</v>
      </c>
      <c r="C2523" t="s">
        <v>3520</v>
      </c>
      <c r="D2523" t="s">
        <v>127</v>
      </c>
      <c r="E2523" s="19">
        <v>38148</v>
      </c>
      <c r="F2523" t="str">
        <f>"9781135066529"</f>
        <v>9781135066529</v>
      </c>
      <c r="G2523" t="str">
        <f>"9780805895483"</f>
        <v>9780805895483</v>
      </c>
      <c r="H2523" t="s">
        <v>128</v>
      </c>
      <c r="I2523">
        <v>302</v>
      </c>
      <c r="J2523" t="s">
        <v>3521</v>
      </c>
      <c r="K2523" t="s">
        <v>73</v>
      </c>
      <c r="N2523" t="s">
        <v>74</v>
      </c>
      <c r="O2523" t="s">
        <v>75</v>
      </c>
      <c r="P2523" t="s">
        <v>74</v>
      </c>
      <c r="Q2523" t="s">
        <v>76</v>
      </c>
      <c r="R2523" t="s">
        <v>73</v>
      </c>
      <c r="S2523">
        <v>0</v>
      </c>
      <c r="W2523" s="20">
        <v>5.7870370370370366E-5</v>
      </c>
      <c r="X2523" t="s">
        <v>132</v>
      </c>
      <c r="Y2523">
        <v>1</v>
      </c>
      <c r="Z2523">
        <v>0</v>
      </c>
      <c r="AA2523" t="s">
        <v>78</v>
      </c>
      <c r="AB2523">
        <v>0</v>
      </c>
      <c r="AC2523" t="s">
        <v>78</v>
      </c>
      <c r="AD2523">
        <v>0</v>
      </c>
      <c r="AE2523">
        <v>11152748</v>
      </c>
      <c r="AF2523" t="s">
        <v>79</v>
      </c>
      <c r="AG2523" t="s">
        <v>5298</v>
      </c>
    </row>
    <row r="2524" spans="1:33" x14ac:dyDescent="0.35">
      <c r="A2524" s="18">
        <v>44249.777777777781</v>
      </c>
      <c r="B2524">
        <v>4412594</v>
      </c>
      <c r="C2524" t="s">
        <v>4915</v>
      </c>
      <c r="D2524" t="s">
        <v>900</v>
      </c>
      <c r="E2524" s="19">
        <v>42341</v>
      </c>
      <c r="F2524" t="str">
        <f>"9781681081403"</f>
        <v>9781681081403</v>
      </c>
      <c r="G2524" t="str">
        <f>"9781681081410"</f>
        <v>9781681081410</v>
      </c>
      <c r="H2524" t="s">
        <v>2135</v>
      </c>
      <c r="I2524">
        <v>616.90409999999895</v>
      </c>
      <c r="J2524" t="s">
        <v>4916</v>
      </c>
      <c r="K2524" t="s">
        <v>73</v>
      </c>
      <c r="N2524" t="s">
        <v>74</v>
      </c>
      <c r="O2524" t="s">
        <v>75</v>
      </c>
      <c r="P2524" t="s">
        <v>74</v>
      </c>
      <c r="Q2524" t="s">
        <v>76</v>
      </c>
      <c r="R2524" t="s">
        <v>73</v>
      </c>
      <c r="S2524">
        <v>0</v>
      </c>
      <c r="W2524" s="20">
        <v>1.230324074074074E-2</v>
      </c>
      <c r="X2524" t="s">
        <v>5578</v>
      </c>
      <c r="Y2524">
        <v>85</v>
      </c>
      <c r="Z2524">
        <v>0</v>
      </c>
      <c r="AA2524" t="s">
        <v>78</v>
      </c>
      <c r="AB2524">
        <v>0</v>
      </c>
      <c r="AC2524" t="s">
        <v>78</v>
      </c>
      <c r="AD2524">
        <v>0</v>
      </c>
      <c r="AE2524">
        <v>11235873</v>
      </c>
      <c r="AF2524" t="s">
        <v>79</v>
      </c>
      <c r="AG2524" t="s">
        <v>5298</v>
      </c>
    </row>
    <row r="2525" spans="1:33" x14ac:dyDescent="0.35">
      <c r="A2525" s="18">
        <v>44249.770833333336</v>
      </c>
      <c r="B2525">
        <v>1681463</v>
      </c>
      <c r="C2525" t="s">
        <v>5514</v>
      </c>
      <c r="D2525" t="s">
        <v>239</v>
      </c>
      <c r="E2525" s="19">
        <v>38869</v>
      </c>
      <c r="F2525" t="str">
        <f>"9789812774316"</f>
        <v>9789812774316</v>
      </c>
      <c r="G2525" t="str">
        <f>"9789812566478"</f>
        <v>9789812566478</v>
      </c>
      <c r="H2525" t="s">
        <v>1194</v>
      </c>
      <c r="I2525">
        <v>620.1</v>
      </c>
      <c r="J2525" t="s">
        <v>5515</v>
      </c>
      <c r="K2525" t="s">
        <v>73</v>
      </c>
      <c r="N2525" t="s">
        <v>74</v>
      </c>
      <c r="O2525" t="s">
        <v>75</v>
      </c>
      <c r="P2525" t="s">
        <v>74</v>
      </c>
      <c r="Q2525" t="s">
        <v>76</v>
      </c>
      <c r="R2525" t="s">
        <v>73</v>
      </c>
      <c r="S2525">
        <v>0</v>
      </c>
      <c r="W2525" s="20">
        <v>1.1770833333333333E-2</v>
      </c>
      <c r="X2525" t="s">
        <v>5579</v>
      </c>
      <c r="Y2525">
        <v>8</v>
      </c>
      <c r="Z2525">
        <v>1</v>
      </c>
      <c r="AA2525" t="s">
        <v>5580</v>
      </c>
      <c r="AB2525">
        <v>6</v>
      </c>
      <c r="AC2525" t="s">
        <v>78</v>
      </c>
      <c r="AD2525">
        <v>0</v>
      </c>
      <c r="AE2525">
        <v>10201439</v>
      </c>
      <c r="AF2525" t="s">
        <v>79</v>
      </c>
      <c r="AG2525" t="s">
        <v>3161</v>
      </c>
    </row>
    <row r="2526" spans="1:33" x14ac:dyDescent="0.35">
      <c r="A2526" s="18">
        <v>44249.762499999997</v>
      </c>
      <c r="B2526">
        <v>928389</v>
      </c>
      <c r="C2526" t="s">
        <v>5574</v>
      </c>
      <c r="D2526" t="s">
        <v>5575</v>
      </c>
      <c r="E2526" s="19">
        <v>40422</v>
      </c>
      <c r="F2526" t="str">
        <f>"9781921513671"</f>
        <v>9781921513671</v>
      </c>
      <c r="G2526" t="str">
        <f>"9781921513664"</f>
        <v>9781921513664</v>
      </c>
      <c r="H2526" t="s">
        <v>1446</v>
      </c>
      <c r="I2526" t="s">
        <v>5576</v>
      </c>
      <c r="J2526" t="s">
        <v>5577</v>
      </c>
      <c r="K2526" t="s">
        <v>73</v>
      </c>
      <c r="N2526" t="s">
        <v>74</v>
      </c>
      <c r="O2526" t="s">
        <v>75</v>
      </c>
      <c r="P2526" t="s">
        <v>74</v>
      </c>
      <c r="Q2526" t="s">
        <v>76</v>
      </c>
      <c r="R2526" t="s">
        <v>73</v>
      </c>
      <c r="S2526">
        <v>0</v>
      </c>
      <c r="W2526" s="20">
        <v>1.1296296296296296E-2</v>
      </c>
      <c r="X2526" t="s">
        <v>5581</v>
      </c>
      <c r="Y2526">
        <v>10</v>
      </c>
      <c r="Z2526">
        <v>0</v>
      </c>
      <c r="AA2526" t="s">
        <v>78</v>
      </c>
      <c r="AB2526">
        <v>0</v>
      </c>
      <c r="AC2526" t="s">
        <v>78</v>
      </c>
      <c r="AD2526">
        <v>0</v>
      </c>
      <c r="AE2526">
        <v>10568862</v>
      </c>
      <c r="AF2526" t="s">
        <v>79</v>
      </c>
      <c r="AG2526" t="s">
        <v>5298</v>
      </c>
    </row>
    <row r="2527" spans="1:33" x14ac:dyDescent="0.35">
      <c r="A2527" s="18">
        <v>44249.761111111111</v>
      </c>
      <c r="B2527">
        <v>4391227</v>
      </c>
      <c r="C2527" t="s">
        <v>3520</v>
      </c>
      <c r="D2527" t="s">
        <v>127</v>
      </c>
      <c r="E2527" s="19">
        <v>38148</v>
      </c>
      <c r="F2527" t="str">
        <f>"9781135066529"</f>
        <v>9781135066529</v>
      </c>
      <c r="G2527" t="str">
        <f>"9780805895483"</f>
        <v>9780805895483</v>
      </c>
      <c r="H2527" t="s">
        <v>128</v>
      </c>
      <c r="I2527">
        <v>302</v>
      </c>
      <c r="J2527" t="s">
        <v>3521</v>
      </c>
      <c r="K2527" t="s">
        <v>73</v>
      </c>
      <c r="N2527" t="s">
        <v>74</v>
      </c>
      <c r="O2527" t="s">
        <v>75</v>
      </c>
      <c r="P2527" t="s">
        <v>74</v>
      </c>
      <c r="Q2527" t="s">
        <v>76</v>
      </c>
      <c r="R2527" t="s">
        <v>73</v>
      </c>
      <c r="S2527">
        <v>0</v>
      </c>
      <c r="W2527" s="20">
        <v>1.6354166666666666E-2</v>
      </c>
      <c r="X2527" t="s">
        <v>5582</v>
      </c>
      <c r="Y2527">
        <v>15</v>
      </c>
      <c r="Z2527">
        <v>0</v>
      </c>
      <c r="AA2527" t="s">
        <v>78</v>
      </c>
      <c r="AB2527">
        <v>0</v>
      </c>
      <c r="AC2527" t="s">
        <v>78</v>
      </c>
      <c r="AD2527">
        <v>0</v>
      </c>
      <c r="AE2527">
        <v>11152748</v>
      </c>
      <c r="AF2527" t="s">
        <v>79</v>
      </c>
      <c r="AG2527" t="s">
        <v>5298</v>
      </c>
    </row>
    <row r="2528" spans="1:33" x14ac:dyDescent="0.35">
      <c r="A2528" s="18">
        <v>44249.728472222225</v>
      </c>
      <c r="B2528">
        <v>4412594</v>
      </c>
      <c r="C2528" t="s">
        <v>4915</v>
      </c>
      <c r="D2528" t="s">
        <v>900</v>
      </c>
      <c r="E2528" s="19">
        <v>42341</v>
      </c>
      <c r="F2528" t="str">
        <f>"9781681081403"</f>
        <v>9781681081403</v>
      </c>
      <c r="G2528" t="str">
        <f>"9781681081410"</f>
        <v>9781681081410</v>
      </c>
      <c r="H2528" t="s">
        <v>2135</v>
      </c>
      <c r="I2528">
        <v>616.90409999999895</v>
      </c>
      <c r="J2528" t="s">
        <v>4916</v>
      </c>
      <c r="K2528" t="s">
        <v>73</v>
      </c>
      <c r="N2528" t="s">
        <v>74</v>
      </c>
      <c r="O2528" t="s">
        <v>75</v>
      </c>
      <c r="P2528" t="s">
        <v>74</v>
      </c>
      <c r="Q2528" t="s">
        <v>76</v>
      </c>
      <c r="R2528" t="s">
        <v>73</v>
      </c>
      <c r="S2528">
        <v>0</v>
      </c>
      <c r="W2528" s="20">
        <v>3.4722222222222222E-5</v>
      </c>
      <c r="X2528" t="s">
        <v>132</v>
      </c>
      <c r="Y2528">
        <v>1</v>
      </c>
      <c r="Z2528">
        <v>0</v>
      </c>
      <c r="AA2528" t="s">
        <v>78</v>
      </c>
      <c r="AB2528">
        <v>0</v>
      </c>
      <c r="AC2528" t="s">
        <v>78</v>
      </c>
      <c r="AD2528">
        <v>0</v>
      </c>
      <c r="AE2528">
        <v>11235873</v>
      </c>
      <c r="AF2528" t="s">
        <v>79</v>
      </c>
      <c r="AG2528" t="s">
        <v>5298</v>
      </c>
    </row>
    <row r="2529" spans="1:33" x14ac:dyDescent="0.35">
      <c r="A2529" s="18">
        <v>44249.720138888886</v>
      </c>
      <c r="B2529">
        <v>1446430</v>
      </c>
      <c r="C2529" t="s">
        <v>1649</v>
      </c>
      <c r="D2529" t="s">
        <v>127</v>
      </c>
      <c r="E2529" s="19">
        <v>40274</v>
      </c>
      <c r="F2529" t="str">
        <f>"9781439882573"</f>
        <v>9781439882573</v>
      </c>
      <c r="G2529" t="str">
        <f>"9781420085983"</f>
        <v>9781420085983</v>
      </c>
      <c r="H2529" t="s">
        <v>979</v>
      </c>
      <c r="I2529" t="s">
        <v>1650</v>
      </c>
      <c r="J2529" t="s">
        <v>1651</v>
      </c>
      <c r="K2529" t="s">
        <v>73</v>
      </c>
      <c r="N2529" t="s">
        <v>74</v>
      </c>
      <c r="O2529" t="s">
        <v>75</v>
      </c>
      <c r="P2529" t="s">
        <v>74</v>
      </c>
      <c r="Q2529" t="s">
        <v>76</v>
      </c>
      <c r="R2529" t="s">
        <v>73</v>
      </c>
      <c r="S2529">
        <v>0</v>
      </c>
      <c r="W2529" s="20">
        <v>8.1018518518518516E-5</v>
      </c>
      <c r="X2529" t="s">
        <v>132</v>
      </c>
      <c r="Y2529">
        <v>1</v>
      </c>
      <c r="Z2529">
        <v>0</v>
      </c>
      <c r="AA2529" t="s">
        <v>78</v>
      </c>
      <c r="AB2529">
        <v>0</v>
      </c>
      <c r="AC2529" t="s">
        <v>78</v>
      </c>
      <c r="AD2529">
        <v>0</v>
      </c>
      <c r="AE2529">
        <v>11166018</v>
      </c>
      <c r="AF2529" t="s">
        <v>79</v>
      </c>
      <c r="AG2529" t="s">
        <v>5181</v>
      </c>
    </row>
    <row r="2530" spans="1:33" x14ac:dyDescent="0.35">
      <c r="A2530" s="18">
        <v>44249.697916666664</v>
      </c>
      <c r="B2530">
        <v>4354916</v>
      </c>
      <c r="C2530" t="s">
        <v>5583</v>
      </c>
      <c r="D2530" t="s">
        <v>502</v>
      </c>
      <c r="E2530" s="19">
        <v>42262</v>
      </c>
      <c r="F2530" t="str">
        <f>"9781780405049"</f>
        <v>9781780405049</v>
      </c>
      <c r="G2530" t="str">
        <f>"9781780405056"</f>
        <v>9781780405056</v>
      </c>
      <c r="H2530" t="s">
        <v>374</v>
      </c>
      <c r="I2530">
        <v>628.16700000000003</v>
      </c>
      <c r="J2530" t="s">
        <v>5584</v>
      </c>
      <c r="K2530" t="s">
        <v>73</v>
      </c>
      <c r="N2530" t="s">
        <v>74</v>
      </c>
      <c r="O2530" t="s">
        <v>75</v>
      </c>
      <c r="P2530" t="s">
        <v>74</v>
      </c>
      <c r="Q2530" t="s">
        <v>76</v>
      </c>
      <c r="R2530" t="s">
        <v>73</v>
      </c>
      <c r="S2530">
        <v>0</v>
      </c>
      <c r="W2530" s="20">
        <v>6.018518518518519E-4</v>
      </c>
      <c r="X2530" t="s">
        <v>5585</v>
      </c>
      <c r="Y2530">
        <v>8</v>
      </c>
      <c r="Z2530">
        <v>0</v>
      </c>
      <c r="AA2530" t="s">
        <v>78</v>
      </c>
      <c r="AB2530">
        <v>0</v>
      </c>
      <c r="AC2530" t="s">
        <v>78</v>
      </c>
      <c r="AD2530">
        <v>0</v>
      </c>
      <c r="AE2530">
        <v>11149512</v>
      </c>
      <c r="AF2530" t="s">
        <v>88</v>
      </c>
      <c r="AG2530" t="s">
        <v>5374</v>
      </c>
    </row>
    <row r="2531" spans="1:33" x14ac:dyDescent="0.35">
      <c r="A2531" s="18">
        <v>44249.697222222225</v>
      </c>
      <c r="B2531">
        <v>1798305</v>
      </c>
      <c r="C2531" t="s">
        <v>5586</v>
      </c>
      <c r="D2531" t="s">
        <v>158</v>
      </c>
      <c r="E2531" s="19">
        <v>41907</v>
      </c>
      <c r="F2531" t="str">
        <f>"9780444634092"</f>
        <v>9780444634092</v>
      </c>
      <c r="G2531" t="str">
        <f>"9780444633620"</f>
        <v>9780444633620</v>
      </c>
      <c r="H2531" t="s">
        <v>767</v>
      </c>
      <c r="I2531">
        <v>628.16399999999999</v>
      </c>
      <c r="J2531" t="s">
        <v>5587</v>
      </c>
      <c r="K2531" t="s">
        <v>73</v>
      </c>
      <c r="N2531" t="s">
        <v>74</v>
      </c>
      <c r="O2531" t="s">
        <v>75</v>
      </c>
      <c r="P2531" t="s">
        <v>74</v>
      </c>
      <c r="Q2531" t="s">
        <v>76</v>
      </c>
      <c r="R2531" t="s">
        <v>73</v>
      </c>
      <c r="S2531">
        <v>0</v>
      </c>
      <c r="W2531" s="20">
        <v>1.3888888888888889E-4</v>
      </c>
      <c r="X2531" t="s">
        <v>5588</v>
      </c>
      <c r="Y2531">
        <v>3</v>
      </c>
      <c r="Z2531">
        <v>0</v>
      </c>
      <c r="AA2531" t="s">
        <v>78</v>
      </c>
      <c r="AB2531">
        <v>0</v>
      </c>
      <c r="AC2531" t="s">
        <v>78</v>
      </c>
      <c r="AD2531">
        <v>0</v>
      </c>
      <c r="AE2531">
        <v>10944058</v>
      </c>
      <c r="AF2531" t="s">
        <v>88</v>
      </c>
      <c r="AG2531" t="s">
        <v>5374</v>
      </c>
    </row>
    <row r="2532" spans="1:33" x14ac:dyDescent="0.35">
      <c r="A2532" s="18">
        <v>44249.697222222225</v>
      </c>
      <c r="B2532">
        <v>5750911</v>
      </c>
      <c r="C2532" t="s">
        <v>2296</v>
      </c>
      <c r="D2532" t="s">
        <v>70</v>
      </c>
      <c r="E2532" s="19">
        <v>43585</v>
      </c>
      <c r="F2532" t="str">
        <f>"9781119407898"</f>
        <v>9781119407898</v>
      </c>
      <c r="G2532" t="str">
        <f>"9781119407744"</f>
        <v>9781119407744</v>
      </c>
      <c r="H2532" t="s">
        <v>767</v>
      </c>
      <c r="I2532">
        <v>628.16700000000003</v>
      </c>
      <c r="J2532" t="s">
        <v>5589</v>
      </c>
      <c r="K2532" t="s">
        <v>85</v>
      </c>
      <c r="N2532" t="s">
        <v>74</v>
      </c>
      <c r="O2532" t="s">
        <v>75</v>
      </c>
      <c r="P2532" t="s">
        <v>74</v>
      </c>
      <c r="Q2532" t="s">
        <v>76</v>
      </c>
      <c r="R2532" t="s">
        <v>73</v>
      </c>
      <c r="S2532">
        <v>0</v>
      </c>
      <c r="W2532" s="20">
        <v>2.3148148148148147E-5</v>
      </c>
      <c r="X2532" t="s">
        <v>360</v>
      </c>
      <c r="Y2532">
        <v>2</v>
      </c>
      <c r="Z2532">
        <v>0</v>
      </c>
      <c r="AA2532" t="s">
        <v>78</v>
      </c>
      <c r="AB2532">
        <v>0</v>
      </c>
      <c r="AC2532" t="s">
        <v>78</v>
      </c>
      <c r="AD2532">
        <v>0</v>
      </c>
      <c r="AE2532">
        <v>-1</v>
      </c>
      <c r="AF2532" t="s">
        <v>88</v>
      </c>
      <c r="AG2532" t="s">
        <v>5374</v>
      </c>
    </row>
    <row r="2533" spans="1:33" x14ac:dyDescent="0.35">
      <c r="A2533" s="18">
        <v>44249.542361111111</v>
      </c>
      <c r="B2533">
        <v>616377</v>
      </c>
      <c r="C2533" t="s">
        <v>5590</v>
      </c>
      <c r="D2533" t="s">
        <v>5591</v>
      </c>
      <c r="E2533" s="19">
        <v>40406</v>
      </c>
      <c r="F2533" t="str">
        <f>"9781607097495"</f>
        <v>9781607097495</v>
      </c>
      <c r="G2533" t="str">
        <f>"9781607097471"</f>
        <v>9781607097471</v>
      </c>
      <c r="H2533" t="s">
        <v>1179</v>
      </c>
      <c r="I2533">
        <v>371.33467000000002</v>
      </c>
      <c r="J2533" t="s">
        <v>5592</v>
      </c>
      <c r="K2533" t="s">
        <v>73</v>
      </c>
      <c r="N2533" t="s">
        <v>74</v>
      </c>
      <c r="O2533" t="s">
        <v>75</v>
      </c>
      <c r="P2533" t="s">
        <v>74</v>
      </c>
      <c r="Q2533" t="s">
        <v>76</v>
      </c>
      <c r="R2533" t="s">
        <v>73</v>
      </c>
      <c r="S2533">
        <v>0</v>
      </c>
      <c r="W2533" s="20">
        <v>3.2870370370370367E-3</v>
      </c>
      <c r="X2533" t="s">
        <v>5593</v>
      </c>
      <c r="Y2533">
        <v>14</v>
      </c>
      <c r="Z2533">
        <v>0</v>
      </c>
      <c r="AA2533" t="s">
        <v>78</v>
      </c>
      <c r="AB2533">
        <v>0</v>
      </c>
      <c r="AC2533" t="s">
        <v>78</v>
      </c>
      <c r="AD2533">
        <v>0</v>
      </c>
      <c r="AE2533">
        <v>10395119</v>
      </c>
      <c r="AF2533" t="s">
        <v>79</v>
      </c>
      <c r="AG2533" t="s">
        <v>548</v>
      </c>
    </row>
    <row r="2534" spans="1:33" x14ac:dyDescent="0.35">
      <c r="A2534" s="18">
        <v>44249.491666666669</v>
      </c>
      <c r="B2534">
        <v>1204633</v>
      </c>
      <c r="C2534" t="s">
        <v>1560</v>
      </c>
      <c r="D2534" t="s">
        <v>70</v>
      </c>
      <c r="E2534" s="19">
        <v>41512</v>
      </c>
      <c r="F2534" t="str">
        <f>"9781118450444"</f>
        <v>9781118450444</v>
      </c>
      <c r="G2534" t="str">
        <f>"9780470673768"</f>
        <v>9780470673768</v>
      </c>
      <c r="H2534" t="s">
        <v>1561</v>
      </c>
      <c r="I2534">
        <v>552.5</v>
      </c>
      <c r="J2534" t="s">
        <v>1562</v>
      </c>
      <c r="K2534" t="s">
        <v>73</v>
      </c>
      <c r="N2534" t="s">
        <v>74</v>
      </c>
      <c r="O2534" t="s">
        <v>75</v>
      </c>
      <c r="P2534" t="s">
        <v>74</v>
      </c>
      <c r="Q2534" t="s">
        <v>76</v>
      </c>
      <c r="R2534" t="s">
        <v>73</v>
      </c>
      <c r="S2534">
        <v>0</v>
      </c>
      <c r="W2534" s="20">
        <v>2.0833333333333335E-4</v>
      </c>
      <c r="X2534" t="s">
        <v>5594</v>
      </c>
      <c r="Y2534">
        <v>2</v>
      </c>
      <c r="Z2534">
        <v>1</v>
      </c>
      <c r="AA2534" t="s">
        <v>5595</v>
      </c>
      <c r="AB2534">
        <v>42</v>
      </c>
      <c r="AC2534" t="s">
        <v>78</v>
      </c>
      <c r="AD2534">
        <v>0</v>
      </c>
      <c r="AE2534">
        <v>10713576</v>
      </c>
      <c r="AF2534" t="s">
        <v>88</v>
      </c>
      <c r="AG2534" t="s">
        <v>5596</v>
      </c>
    </row>
    <row r="2535" spans="1:33" x14ac:dyDescent="0.35">
      <c r="A2535" s="18">
        <v>44249.435416666667</v>
      </c>
      <c r="B2535">
        <v>571095</v>
      </c>
      <c r="C2535" t="s">
        <v>5506</v>
      </c>
      <c r="D2535" t="s">
        <v>5507</v>
      </c>
      <c r="E2535" s="19">
        <v>39701</v>
      </c>
      <c r="F2535" t="str">
        <f>"9780387746357"</f>
        <v>9780387746357</v>
      </c>
      <c r="G2535" t="str">
        <f>"9780387746333"</f>
        <v>9780387746333</v>
      </c>
      <c r="H2535" t="s">
        <v>5508</v>
      </c>
      <c r="I2535">
        <v>303.49</v>
      </c>
      <c r="J2535" t="s">
        <v>5372</v>
      </c>
      <c r="K2535" t="s">
        <v>73</v>
      </c>
      <c r="N2535" t="s">
        <v>74</v>
      </c>
      <c r="O2535" t="s">
        <v>75</v>
      </c>
      <c r="P2535" t="s">
        <v>74</v>
      </c>
      <c r="Q2535" t="s">
        <v>76</v>
      </c>
      <c r="R2535" t="s">
        <v>73</v>
      </c>
      <c r="S2535">
        <v>0</v>
      </c>
      <c r="W2535" s="20">
        <v>1.074074074074074E-2</v>
      </c>
      <c r="X2535" t="s">
        <v>5597</v>
      </c>
      <c r="Y2535">
        <v>11</v>
      </c>
      <c r="Z2535">
        <v>0</v>
      </c>
      <c r="AA2535" t="s">
        <v>78</v>
      </c>
      <c r="AB2535">
        <v>0</v>
      </c>
      <c r="AC2535" t="s">
        <v>78</v>
      </c>
      <c r="AD2535">
        <v>0</v>
      </c>
      <c r="AE2535">
        <v>10379443</v>
      </c>
      <c r="AF2535" t="s">
        <v>79</v>
      </c>
      <c r="AG2535" t="s">
        <v>5298</v>
      </c>
    </row>
    <row r="2536" spans="1:33" x14ac:dyDescent="0.35">
      <c r="A2536" s="18">
        <v>44249.409722222219</v>
      </c>
      <c r="B2536">
        <v>1332527</v>
      </c>
      <c r="C2536" t="s">
        <v>4058</v>
      </c>
      <c r="D2536" t="s">
        <v>70</v>
      </c>
      <c r="E2536" s="19">
        <v>41498</v>
      </c>
      <c r="F2536" t="str">
        <f>"9781118720882"</f>
        <v>9781118720882</v>
      </c>
      <c r="G2536" t="str">
        <f>"9781118692288"</f>
        <v>9781118692288</v>
      </c>
      <c r="H2536" t="s">
        <v>143</v>
      </c>
      <c r="I2536">
        <v>658.11</v>
      </c>
      <c r="J2536" t="s">
        <v>4059</v>
      </c>
      <c r="K2536" t="s">
        <v>73</v>
      </c>
      <c r="N2536" t="s">
        <v>74</v>
      </c>
      <c r="O2536" t="s">
        <v>75</v>
      </c>
      <c r="P2536" t="s">
        <v>74</v>
      </c>
      <c r="Q2536" t="s">
        <v>76</v>
      </c>
      <c r="R2536" t="s">
        <v>73</v>
      </c>
      <c r="S2536">
        <v>0</v>
      </c>
      <c r="W2536" s="20">
        <v>4.9305555555555552E-3</v>
      </c>
      <c r="X2536" t="s">
        <v>5598</v>
      </c>
      <c r="Y2536">
        <v>6</v>
      </c>
      <c r="Z2536">
        <v>0</v>
      </c>
      <c r="AA2536" t="s">
        <v>78</v>
      </c>
      <c r="AB2536">
        <v>0</v>
      </c>
      <c r="AC2536" t="s">
        <v>78</v>
      </c>
      <c r="AD2536">
        <v>0</v>
      </c>
      <c r="AE2536">
        <v>10740434</v>
      </c>
      <c r="AF2536" t="s">
        <v>79</v>
      </c>
      <c r="AG2536" t="s">
        <v>5445</v>
      </c>
    </row>
    <row r="2537" spans="1:33" x14ac:dyDescent="0.35">
      <c r="A2537" s="18">
        <v>44249.405555555553</v>
      </c>
      <c r="B2537">
        <v>4183001</v>
      </c>
      <c r="C2537" t="s">
        <v>580</v>
      </c>
      <c r="D2537" t="s">
        <v>70</v>
      </c>
      <c r="E2537" s="19">
        <v>42359</v>
      </c>
      <c r="F2537" t="str">
        <f>"9781118972311"</f>
        <v>9781118972311</v>
      </c>
      <c r="G2537" t="str">
        <f>"9781118972304"</f>
        <v>9781118972304</v>
      </c>
      <c r="H2537" t="s">
        <v>308</v>
      </c>
      <c r="I2537">
        <v>297</v>
      </c>
      <c r="J2537" t="s">
        <v>581</v>
      </c>
      <c r="K2537" t="s">
        <v>73</v>
      </c>
      <c r="N2537" t="s">
        <v>74</v>
      </c>
      <c r="O2537" t="s">
        <v>75</v>
      </c>
      <c r="P2537" t="s">
        <v>74</v>
      </c>
      <c r="Q2537" t="s">
        <v>76</v>
      </c>
      <c r="R2537" t="s">
        <v>73</v>
      </c>
      <c r="S2537">
        <v>0</v>
      </c>
      <c r="W2537" s="20">
        <v>4.2824074074074075E-4</v>
      </c>
      <c r="X2537" t="s">
        <v>5599</v>
      </c>
      <c r="Y2537">
        <v>6</v>
      </c>
      <c r="Z2537">
        <v>0</v>
      </c>
      <c r="AA2537" t="s">
        <v>78</v>
      </c>
      <c r="AB2537">
        <v>0</v>
      </c>
      <c r="AC2537" t="s">
        <v>78</v>
      </c>
      <c r="AD2537">
        <v>0</v>
      </c>
      <c r="AE2537">
        <v>11124854</v>
      </c>
      <c r="AF2537" t="s">
        <v>79</v>
      </c>
      <c r="AG2537" t="s">
        <v>5600</v>
      </c>
    </row>
    <row r="2538" spans="1:33" x14ac:dyDescent="0.35">
      <c r="A2538" s="18">
        <v>44249.375</v>
      </c>
      <c r="B2538">
        <v>4412594</v>
      </c>
      <c r="C2538" t="s">
        <v>4915</v>
      </c>
      <c r="D2538" t="s">
        <v>900</v>
      </c>
      <c r="E2538" s="19">
        <v>42341</v>
      </c>
      <c r="F2538" t="str">
        <f>"9781681081403"</f>
        <v>9781681081403</v>
      </c>
      <c r="G2538" t="str">
        <f>"9781681081410"</f>
        <v>9781681081410</v>
      </c>
      <c r="H2538" t="s">
        <v>2135</v>
      </c>
      <c r="I2538">
        <v>616.90409999999895</v>
      </c>
      <c r="J2538" t="s">
        <v>4916</v>
      </c>
      <c r="K2538" t="s">
        <v>73</v>
      </c>
      <c r="N2538" t="s">
        <v>74</v>
      </c>
      <c r="O2538" t="s">
        <v>75</v>
      </c>
      <c r="P2538" t="s">
        <v>74</v>
      </c>
      <c r="Q2538" t="s">
        <v>76</v>
      </c>
      <c r="R2538" t="s">
        <v>73</v>
      </c>
      <c r="S2538">
        <v>0</v>
      </c>
      <c r="W2538" s="20">
        <v>3.4027777777777784E-3</v>
      </c>
      <c r="X2538" t="s">
        <v>5601</v>
      </c>
      <c r="Y2538">
        <v>23</v>
      </c>
      <c r="Z2538">
        <v>0</v>
      </c>
      <c r="AA2538" t="s">
        <v>78</v>
      </c>
      <c r="AB2538">
        <v>0</v>
      </c>
      <c r="AC2538" t="s">
        <v>78</v>
      </c>
      <c r="AD2538">
        <v>0</v>
      </c>
      <c r="AE2538">
        <v>11235873</v>
      </c>
      <c r="AF2538" t="s">
        <v>79</v>
      </c>
      <c r="AG2538" t="s">
        <v>5298</v>
      </c>
    </row>
    <row r="2539" spans="1:33" x14ac:dyDescent="0.35">
      <c r="A2539" s="18">
        <v>44249.093055555553</v>
      </c>
      <c r="B2539">
        <v>1390902</v>
      </c>
      <c r="C2539" t="s">
        <v>5141</v>
      </c>
      <c r="D2539" t="s">
        <v>3412</v>
      </c>
      <c r="E2539" s="19">
        <v>41696</v>
      </c>
      <c r="F2539" t="str">
        <f>"9780814433423"</f>
        <v>9780814433423</v>
      </c>
      <c r="G2539" t="str">
        <f>"9780814433416"</f>
        <v>9780814433416</v>
      </c>
      <c r="H2539" t="s">
        <v>143</v>
      </c>
      <c r="I2539" t="s">
        <v>4904</v>
      </c>
      <c r="J2539" t="s">
        <v>5142</v>
      </c>
      <c r="K2539" t="s">
        <v>73</v>
      </c>
      <c r="N2539" t="s">
        <v>74</v>
      </c>
      <c r="O2539" t="s">
        <v>75</v>
      </c>
      <c r="P2539" t="s">
        <v>74</v>
      </c>
      <c r="Q2539" t="s">
        <v>76</v>
      </c>
      <c r="R2539" t="s">
        <v>73</v>
      </c>
      <c r="S2539">
        <v>0</v>
      </c>
      <c r="W2539" s="20">
        <v>8.9120370370370378E-3</v>
      </c>
      <c r="X2539" t="s">
        <v>5602</v>
      </c>
      <c r="Y2539">
        <v>30</v>
      </c>
      <c r="Z2539">
        <v>0</v>
      </c>
      <c r="AA2539" t="s">
        <v>78</v>
      </c>
      <c r="AB2539">
        <v>0</v>
      </c>
      <c r="AC2539" t="s">
        <v>78</v>
      </c>
      <c r="AD2539">
        <v>0</v>
      </c>
      <c r="AE2539">
        <v>10821817</v>
      </c>
      <c r="AF2539" t="s">
        <v>79</v>
      </c>
      <c r="AG2539" t="s">
        <v>5298</v>
      </c>
    </row>
    <row r="2540" spans="1:33" x14ac:dyDescent="0.35">
      <c r="A2540" s="18">
        <v>44249.06527777778</v>
      </c>
      <c r="B2540">
        <v>1830135</v>
      </c>
      <c r="C2540" t="s">
        <v>5147</v>
      </c>
      <c r="D2540" t="s">
        <v>70</v>
      </c>
      <c r="E2540" s="19">
        <v>41960</v>
      </c>
      <c r="F2540" t="str">
        <f>"9781119003960"</f>
        <v>9781119003960</v>
      </c>
      <c r="G2540" t="str">
        <f>"9781119003953"</f>
        <v>9781119003953</v>
      </c>
      <c r="H2540" t="s">
        <v>143</v>
      </c>
      <c r="I2540">
        <v>658.40920000000006</v>
      </c>
      <c r="J2540" t="s">
        <v>5148</v>
      </c>
      <c r="K2540" t="s">
        <v>73</v>
      </c>
      <c r="N2540" t="s">
        <v>74</v>
      </c>
      <c r="O2540" t="s">
        <v>75</v>
      </c>
      <c r="P2540" t="s">
        <v>74</v>
      </c>
      <c r="Q2540" t="s">
        <v>76</v>
      </c>
      <c r="R2540" t="s">
        <v>73</v>
      </c>
      <c r="S2540">
        <v>0</v>
      </c>
      <c r="W2540" s="20">
        <v>8.5300925925925926E-3</v>
      </c>
      <c r="X2540" t="s">
        <v>5603</v>
      </c>
      <c r="Y2540">
        <v>29</v>
      </c>
      <c r="Z2540">
        <v>0</v>
      </c>
      <c r="AA2540" t="s">
        <v>78</v>
      </c>
      <c r="AB2540">
        <v>0</v>
      </c>
      <c r="AC2540" t="s">
        <v>78</v>
      </c>
      <c r="AD2540">
        <v>0</v>
      </c>
      <c r="AE2540">
        <v>10963351</v>
      </c>
      <c r="AF2540" t="s">
        <v>79</v>
      </c>
      <c r="AG2540" t="s">
        <v>5298</v>
      </c>
    </row>
    <row r="2541" spans="1:33" x14ac:dyDescent="0.35">
      <c r="A2541" s="18">
        <v>44249.056250000001</v>
      </c>
      <c r="B2541">
        <v>1895831</v>
      </c>
      <c r="C2541" t="s">
        <v>4996</v>
      </c>
      <c r="D2541" t="s">
        <v>70</v>
      </c>
      <c r="E2541" s="19">
        <v>42107</v>
      </c>
      <c r="F2541" t="str">
        <f>"9781118968161"</f>
        <v>9781118968161</v>
      </c>
      <c r="G2541" t="str">
        <f>"9781118968154"</f>
        <v>9781118968154</v>
      </c>
      <c r="H2541" t="s">
        <v>143</v>
      </c>
      <c r="I2541" t="s">
        <v>4904</v>
      </c>
      <c r="J2541" t="s">
        <v>4997</v>
      </c>
      <c r="K2541" t="s">
        <v>73</v>
      </c>
      <c r="N2541" t="s">
        <v>74</v>
      </c>
      <c r="O2541" t="s">
        <v>75</v>
      </c>
      <c r="P2541" t="s">
        <v>74</v>
      </c>
      <c r="Q2541" t="s">
        <v>76</v>
      </c>
      <c r="R2541" t="s">
        <v>73</v>
      </c>
      <c r="S2541">
        <v>0</v>
      </c>
      <c r="W2541" s="20">
        <v>3.408564814814815E-2</v>
      </c>
      <c r="X2541" t="s">
        <v>5604</v>
      </c>
      <c r="Y2541">
        <v>49</v>
      </c>
      <c r="Z2541">
        <v>0</v>
      </c>
      <c r="AA2541" t="s">
        <v>78</v>
      </c>
      <c r="AB2541">
        <v>0</v>
      </c>
      <c r="AC2541" t="s">
        <v>78</v>
      </c>
      <c r="AD2541">
        <v>0</v>
      </c>
      <c r="AE2541">
        <v>11041460</v>
      </c>
      <c r="AF2541" t="s">
        <v>79</v>
      </c>
      <c r="AG2541" t="s">
        <v>5298</v>
      </c>
    </row>
    <row r="2542" spans="1:33" x14ac:dyDescent="0.35">
      <c r="A2542" s="18">
        <v>44249.012499999997</v>
      </c>
      <c r="B2542">
        <v>1759933</v>
      </c>
      <c r="C2542" t="s">
        <v>5605</v>
      </c>
      <c r="D2542" t="s">
        <v>189</v>
      </c>
      <c r="E2542" s="19">
        <v>42061</v>
      </c>
      <c r="F2542" t="str">
        <f>"9783110365931"</f>
        <v>9783110365931</v>
      </c>
      <c r="G2542" t="str">
        <f>"9783110365436"</f>
        <v>9783110365436</v>
      </c>
      <c r="H2542" t="s">
        <v>5606</v>
      </c>
      <c r="I2542">
        <v>370</v>
      </c>
      <c r="J2542" t="s">
        <v>5607</v>
      </c>
      <c r="K2542" t="s">
        <v>73</v>
      </c>
      <c r="N2542" t="s">
        <v>74</v>
      </c>
      <c r="O2542" t="s">
        <v>75</v>
      </c>
      <c r="P2542" t="s">
        <v>74</v>
      </c>
      <c r="Q2542" t="s">
        <v>76</v>
      </c>
      <c r="R2542" t="s">
        <v>73</v>
      </c>
      <c r="S2542">
        <v>0</v>
      </c>
      <c r="W2542" s="20">
        <v>1.5509259259259261E-3</v>
      </c>
      <c r="X2542" t="s">
        <v>5608</v>
      </c>
      <c r="Y2542">
        <v>10</v>
      </c>
      <c r="Z2542">
        <v>1</v>
      </c>
      <c r="AA2542" t="s">
        <v>5609</v>
      </c>
      <c r="AB2542">
        <v>2</v>
      </c>
      <c r="AC2542" t="s">
        <v>78</v>
      </c>
      <c r="AD2542">
        <v>0</v>
      </c>
      <c r="AE2542">
        <v>11049372</v>
      </c>
      <c r="AF2542" t="s">
        <v>79</v>
      </c>
      <c r="AG2542" t="s">
        <v>4914</v>
      </c>
    </row>
    <row r="2543" spans="1:33" x14ac:dyDescent="0.35">
      <c r="A2543" s="18">
        <v>44248.981249999997</v>
      </c>
      <c r="B2543">
        <v>266541</v>
      </c>
      <c r="C2543" t="s">
        <v>5610</v>
      </c>
      <c r="D2543" t="s">
        <v>538</v>
      </c>
      <c r="E2543" s="19">
        <v>38166</v>
      </c>
      <c r="F2543" t="str">
        <f>"9780511210600"</f>
        <v>9780511210600</v>
      </c>
      <c r="G2543" t="str">
        <f>"9780521813976"</f>
        <v>9780521813976</v>
      </c>
      <c r="H2543" t="s">
        <v>3130</v>
      </c>
      <c r="I2543">
        <v>6.4</v>
      </c>
      <c r="J2543" t="s">
        <v>5611</v>
      </c>
      <c r="K2543" t="s">
        <v>73</v>
      </c>
      <c r="N2543" t="s">
        <v>74</v>
      </c>
      <c r="O2543" t="s">
        <v>75</v>
      </c>
      <c r="P2543" t="s">
        <v>74</v>
      </c>
      <c r="Q2543" t="s">
        <v>76</v>
      </c>
      <c r="R2543" t="s">
        <v>73</v>
      </c>
      <c r="S2543">
        <v>0</v>
      </c>
      <c r="W2543" s="20">
        <v>2.9398148148148148E-3</v>
      </c>
      <c r="X2543" t="s">
        <v>5612</v>
      </c>
      <c r="Y2543">
        <v>51</v>
      </c>
      <c r="Z2543">
        <v>0</v>
      </c>
      <c r="AA2543" t="s">
        <v>78</v>
      </c>
      <c r="AB2543">
        <v>0</v>
      </c>
      <c r="AC2543" t="s">
        <v>78</v>
      </c>
      <c r="AD2543">
        <v>0</v>
      </c>
      <c r="AE2543">
        <v>10131674</v>
      </c>
      <c r="AF2543" t="s">
        <v>79</v>
      </c>
      <c r="AG2543" t="s">
        <v>5596</v>
      </c>
    </row>
    <row r="2544" spans="1:33" x14ac:dyDescent="0.35">
      <c r="A2544" s="18">
        <v>44248.845833333333</v>
      </c>
      <c r="B2544">
        <v>1752821</v>
      </c>
      <c r="C2544" t="s">
        <v>5128</v>
      </c>
      <c r="D2544" t="s">
        <v>1642</v>
      </c>
      <c r="E2544" s="19">
        <v>41802</v>
      </c>
      <c r="F2544" t="str">
        <f>"9781784411817"</f>
        <v>9781784411817</v>
      </c>
      <c r="G2544" t="str">
        <f>"9781784411800"</f>
        <v>9781784411800</v>
      </c>
      <c r="H2544" t="s">
        <v>110</v>
      </c>
      <c r="I2544">
        <v>5.74</v>
      </c>
      <c r="J2544" t="s">
        <v>5129</v>
      </c>
      <c r="K2544" t="s">
        <v>73</v>
      </c>
      <c r="N2544" t="s">
        <v>74</v>
      </c>
      <c r="O2544" t="s">
        <v>75</v>
      </c>
      <c r="P2544" t="s">
        <v>74</v>
      </c>
      <c r="Q2544" t="s">
        <v>76</v>
      </c>
      <c r="R2544" t="s">
        <v>73</v>
      </c>
      <c r="S2544">
        <v>0</v>
      </c>
      <c r="W2544" s="20">
        <v>9.6412037037037039E-3</v>
      </c>
      <c r="X2544" t="s">
        <v>5613</v>
      </c>
      <c r="Y2544">
        <v>16</v>
      </c>
      <c r="Z2544">
        <v>0</v>
      </c>
      <c r="AA2544" t="s">
        <v>78</v>
      </c>
      <c r="AB2544">
        <v>0</v>
      </c>
      <c r="AC2544" t="s">
        <v>78</v>
      </c>
      <c r="AD2544">
        <v>0</v>
      </c>
      <c r="AE2544">
        <v>10900573</v>
      </c>
      <c r="AF2544" t="s">
        <v>79</v>
      </c>
      <c r="AG2544" t="s">
        <v>5298</v>
      </c>
    </row>
    <row r="2545" spans="1:33" x14ac:dyDescent="0.35">
      <c r="A2545" s="18">
        <v>44248.824305555558</v>
      </c>
      <c r="B2545">
        <v>4038348</v>
      </c>
      <c r="C2545" t="s">
        <v>5614</v>
      </c>
      <c r="D2545" t="s">
        <v>70</v>
      </c>
      <c r="E2545" s="19">
        <v>42240</v>
      </c>
      <c r="F2545" t="str">
        <f>"9781118752616"</f>
        <v>9781118752616</v>
      </c>
      <c r="G2545" t="str">
        <f>"9781118752524"</f>
        <v>9781118752524</v>
      </c>
      <c r="H2545" t="s">
        <v>1208</v>
      </c>
      <c r="I2545">
        <v>629.25019999999995</v>
      </c>
      <c r="J2545" t="s">
        <v>5615</v>
      </c>
      <c r="K2545" t="s">
        <v>73</v>
      </c>
      <c r="N2545" t="s">
        <v>74</v>
      </c>
      <c r="O2545" t="s">
        <v>75</v>
      </c>
      <c r="P2545" t="s">
        <v>74</v>
      </c>
      <c r="Q2545" t="s">
        <v>76</v>
      </c>
      <c r="R2545" t="s">
        <v>73</v>
      </c>
      <c r="S2545">
        <v>0</v>
      </c>
      <c r="W2545" s="20">
        <v>7.175925925925927E-4</v>
      </c>
      <c r="X2545" t="s">
        <v>5616</v>
      </c>
      <c r="Y2545">
        <v>7</v>
      </c>
      <c r="Z2545">
        <v>0</v>
      </c>
      <c r="AA2545" t="s">
        <v>78</v>
      </c>
      <c r="AB2545">
        <v>0</v>
      </c>
      <c r="AC2545" t="s">
        <v>78</v>
      </c>
      <c r="AD2545">
        <v>0</v>
      </c>
      <c r="AE2545">
        <v>11112300</v>
      </c>
      <c r="AF2545" t="s">
        <v>79</v>
      </c>
      <c r="AG2545" t="s">
        <v>5298</v>
      </c>
    </row>
    <row r="2546" spans="1:33" x14ac:dyDescent="0.35">
      <c r="A2546" s="18">
        <v>44248.737500000003</v>
      </c>
      <c r="B2546">
        <v>928389</v>
      </c>
      <c r="C2546" t="s">
        <v>5574</v>
      </c>
      <c r="D2546" t="s">
        <v>5575</v>
      </c>
      <c r="E2546" s="19">
        <v>40422</v>
      </c>
      <c r="F2546" t="str">
        <f>"9781921513671"</f>
        <v>9781921513671</v>
      </c>
      <c r="G2546" t="str">
        <f>"9781921513664"</f>
        <v>9781921513664</v>
      </c>
      <c r="H2546" t="s">
        <v>1446</v>
      </c>
      <c r="I2546" t="s">
        <v>5576</v>
      </c>
      <c r="J2546" t="s">
        <v>5577</v>
      </c>
      <c r="K2546" t="s">
        <v>73</v>
      </c>
      <c r="N2546" t="s">
        <v>74</v>
      </c>
      <c r="O2546" t="s">
        <v>75</v>
      </c>
      <c r="P2546" t="s">
        <v>74</v>
      </c>
      <c r="Q2546" t="s">
        <v>76</v>
      </c>
      <c r="R2546" t="s">
        <v>73</v>
      </c>
      <c r="S2546">
        <v>0</v>
      </c>
      <c r="W2546" s="20">
        <v>2.5462962962962961E-3</v>
      </c>
      <c r="X2546" t="s">
        <v>5617</v>
      </c>
      <c r="Y2546">
        <v>31</v>
      </c>
      <c r="Z2546">
        <v>0</v>
      </c>
      <c r="AA2546" t="s">
        <v>78</v>
      </c>
      <c r="AB2546">
        <v>0</v>
      </c>
      <c r="AC2546" t="s">
        <v>78</v>
      </c>
      <c r="AD2546">
        <v>0</v>
      </c>
      <c r="AE2546">
        <v>10568862</v>
      </c>
      <c r="AF2546" t="s">
        <v>79</v>
      </c>
      <c r="AG2546" t="s">
        <v>5618</v>
      </c>
    </row>
    <row r="2547" spans="1:33" x14ac:dyDescent="0.35">
      <c r="A2547" s="18">
        <v>44248.699305555558</v>
      </c>
      <c r="B2547">
        <v>716578</v>
      </c>
      <c r="C2547" t="s">
        <v>5014</v>
      </c>
      <c r="D2547" t="s">
        <v>314</v>
      </c>
      <c r="E2547" s="19">
        <v>40679</v>
      </c>
      <c r="F2547" t="str">
        <f>"9780748646302"</f>
        <v>9780748646302</v>
      </c>
      <c r="G2547" t="str">
        <f>"9780748640577"</f>
        <v>9780748640577</v>
      </c>
      <c r="H2547" t="s">
        <v>308</v>
      </c>
      <c r="I2547">
        <v>211.822</v>
      </c>
      <c r="J2547" t="s">
        <v>5015</v>
      </c>
      <c r="K2547" t="s">
        <v>73</v>
      </c>
      <c r="N2547" t="s">
        <v>74</v>
      </c>
      <c r="O2547" t="s">
        <v>75</v>
      </c>
      <c r="P2547" t="s">
        <v>74</v>
      </c>
      <c r="Q2547" t="s">
        <v>76</v>
      </c>
      <c r="R2547" t="s">
        <v>73</v>
      </c>
      <c r="S2547">
        <v>0</v>
      </c>
      <c r="W2547" s="20">
        <v>1.9178240740740742E-2</v>
      </c>
      <c r="X2547" t="s">
        <v>5619</v>
      </c>
      <c r="Y2547">
        <v>8</v>
      </c>
      <c r="Z2547">
        <v>0</v>
      </c>
      <c r="AA2547" t="s">
        <v>78</v>
      </c>
      <c r="AB2547">
        <v>0</v>
      </c>
      <c r="AC2547" t="s">
        <v>78</v>
      </c>
      <c r="AD2547">
        <v>0</v>
      </c>
      <c r="AE2547">
        <v>10478313</v>
      </c>
      <c r="AF2547" t="s">
        <v>79</v>
      </c>
      <c r="AG2547" t="s">
        <v>5374</v>
      </c>
    </row>
    <row r="2548" spans="1:33" x14ac:dyDescent="0.35">
      <c r="A2548" s="18">
        <v>44248.621527777781</v>
      </c>
      <c r="B2548">
        <v>1752821</v>
      </c>
      <c r="C2548" t="s">
        <v>5128</v>
      </c>
      <c r="D2548" t="s">
        <v>1642</v>
      </c>
      <c r="E2548" s="19">
        <v>41802</v>
      </c>
      <c r="F2548" t="str">
        <f>"9781784411817"</f>
        <v>9781784411817</v>
      </c>
      <c r="G2548" t="str">
        <f>"9781784411800"</f>
        <v>9781784411800</v>
      </c>
      <c r="H2548" t="s">
        <v>110</v>
      </c>
      <c r="I2548">
        <v>5.74</v>
      </c>
      <c r="J2548" t="s">
        <v>5129</v>
      </c>
      <c r="K2548" t="s">
        <v>73</v>
      </c>
      <c r="N2548" t="s">
        <v>74</v>
      </c>
      <c r="O2548" t="s">
        <v>75</v>
      </c>
      <c r="P2548" t="s">
        <v>74</v>
      </c>
      <c r="Q2548" t="s">
        <v>76</v>
      </c>
      <c r="R2548" t="s">
        <v>73</v>
      </c>
      <c r="S2548">
        <v>0</v>
      </c>
      <c r="W2548" s="20">
        <v>2.6620370370370372E-4</v>
      </c>
      <c r="X2548" t="s">
        <v>951</v>
      </c>
      <c r="Y2548">
        <v>5</v>
      </c>
      <c r="Z2548">
        <v>0</v>
      </c>
      <c r="AA2548" t="s">
        <v>78</v>
      </c>
      <c r="AB2548">
        <v>0</v>
      </c>
      <c r="AC2548" t="s">
        <v>78</v>
      </c>
      <c r="AD2548">
        <v>0</v>
      </c>
      <c r="AE2548">
        <v>10900573</v>
      </c>
      <c r="AF2548" t="s">
        <v>79</v>
      </c>
      <c r="AG2548" t="s">
        <v>5298</v>
      </c>
    </row>
    <row r="2549" spans="1:33" x14ac:dyDescent="0.35">
      <c r="A2549" s="18">
        <v>44248.618750000001</v>
      </c>
      <c r="B2549">
        <v>4812122</v>
      </c>
      <c r="C2549" t="s">
        <v>3920</v>
      </c>
      <c r="D2549" t="s">
        <v>300</v>
      </c>
      <c r="E2549" s="19">
        <v>42783</v>
      </c>
      <c r="F2549" t="str">
        <f>"9780262336680"</f>
        <v>9780262336680</v>
      </c>
      <c r="G2549" t="str">
        <f>"9780262035354"</f>
        <v>9780262035354</v>
      </c>
      <c r="H2549" t="s">
        <v>143</v>
      </c>
      <c r="I2549">
        <v>658.40629999999999</v>
      </c>
      <c r="J2549" t="s">
        <v>3921</v>
      </c>
      <c r="K2549" t="s">
        <v>85</v>
      </c>
      <c r="N2549" t="s">
        <v>86</v>
      </c>
      <c r="P2549" t="s">
        <v>87</v>
      </c>
      <c r="Q2549" t="s">
        <v>76</v>
      </c>
      <c r="R2549" t="s">
        <v>73</v>
      </c>
      <c r="S2549">
        <v>1</v>
      </c>
      <c r="T2549">
        <v>90</v>
      </c>
      <c r="U2549" s="18">
        <v>44248.618750000001</v>
      </c>
      <c r="V2549" s="18">
        <v>44338.618750000001</v>
      </c>
      <c r="W2549" s="20">
        <v>0</v>
      </c>
      <c r="X2549" t="s">
        <v>78</v>
      </c>
      <c r="Y2549">
        <v>0</v>
      </c>
      <c r="Z2549">
        <v>0</v>
      </c>
      <c r="AA2549" t="s">
        <v>78</v>
      </c>
      <c r="AB2549">
        <v>0</v>
      </c>
      <c r="AC2549" t="s">
        <v>78</v>
      </c>
      <c r="AD2549">
        <v>0</v>
      </c>
      <c r="AE2549">
        <v>11351826</v>
      </c>
      <c r="AF2549" t="s">
        <v>88</v>
      </c>
      <c r="AG2549" t="s">
        <v>5620</v>
      </c>
    </row>
    <row r="2550" spans="1:33" x14ac:dyDescent="0.35">
      <c r="A2550" s="18">
        <v>44248.604166666664</v>
      </c>
      <c r="B2550">
        <v>4756834</v>
      </c>
      <c r="C2550" t="s">
        <v>5621</v>
      </c>
      <c r="D2550" t="s">
        <v>2588</v>
      </c>
      <c r="E2550" s="19">
        <v>42947</v>
      </c>
      <c r="F2550" t="str">
        <f>"9781550926453"</f>
        <v>9781550926453</v>
      </c>
      <c r="G2550" t="str">
        <f>"9780865718500"</f>
        <v>9780865718500</v>
      </c>
      <c r="H2550" t="s">
        <v>964</v>
      </c>
      <c r="I2550" t="s">
        <v>5622</v>
      </c>
      <c r="J2550" t="s">
        <v>5623</v>
      </c>
      <c r="K2550" t="s">
        <v>73</v>
      </c>
      <c r="N2550" t="s">
        <v>74</v>
      </c>
      <c r="O2550" t="s">
        <v>75</v>
      </c>
      <c r="P2550" t="s">
        <v>74</v>
      </c>
      <c r="Q2550" t="s">
        <v>76</v>
      </c>
      <c r="R2550" t="s">
        <v>73</v>
      </c>
      <c r="S2550">
        <v>0</v>
      </c>
      <c r="W2550" s="20">
        <v>4.0509259259259258E-4</v>
      </c>
      <c r="X2550" t="s">
        <v>5624</v>
      </c>
      <c r="Y2550">
        <v>8</v>
      </c>
      <c r="Z2550">
        <v>0</v>
      </c>
      <c r="AA2550" t="s">
        <v>78</v>
      </c>
      <c r="AB2550">
        <v>0</v>
      </c>
      <c r="AC2550" t="s">
        <v>78</v>
      </c>
      <c r="AD2550">
        <v>0</v>
      </c>
      <c r="AE2550">
        <v>11527135</v>
      </c>
      <c r="AF2550" t="s">
        <v>79</v>
      </c>
      <c r="AG2550" t="s">
        <v>5298</v>
      </c>
    </row>
    <row r="2551" spans="1:33" x14ac:dyDescent="0.35">
      <c r="A2551" s="18">
        <v>44248.589583333334</v>
      </c>
      <c r="B2551">
        <v>1576655</v>
      </c>
      <c r="C2551" t="s">
        <v>5510</v>
      </c>
      <c r="D2551" t="s">
        <v>338</v>
      </c>
      <c r="E2551" s="19">
        <v>41614</v>
      </c>
      <c r="F2551" t="str">
        <f>"9780080993935"</f>
        <v>9780080993935</v>
      </c>
      <c r="G2551" t="str">
        <f>"9780080993928"</f>
        <v>9780080993928</v>
      </c>
      <c r="H2551" t="s">
        <v>5511</v>
      </c>
      <c r="I2551">
        <v>621.48379999999997</v>
      </c>
      <c r="J2551" t="s">
        <v>5512</v>
      </c>
      <c r="K2551" t="s">
        <v>73</v>
      </c>
      <c r="N2551" t="s">
        <v>74</v>
      </c>
      <c r="O2551" t="s">
        <v>75</v>
      </c>
      <c r="P2551" t="s">
        <v>74</v>
      </c>
      <c r="Q2551" t="s">
        <v>76</v>
      </c>
      <c r="R2551" t="s">
        <v>73</v>
      </c>
      <c r="S2551">
        <v>0</v>
      </c>
      <c r="W2551" s="20">
        <v>2.4305555555555552E-4</v>
      </c>
      <c r="X2551" t="s">
        <v>181</v>
      </c>
      <c r="Y2551">
        <v>3</v>
      </c>
      <c r="Z2551">
        <v>0</v>
      </c>
      <c r="AA2551" t="s">
        <v>78</v>
      </c>
      <c r="AB2551">
        <v>0</v>
      </c>
      <c r="AC2551" t="s">
        <v>78</v>
      </c>
      <c r="AD2551">
        <v>0</v>
      </c>
      <c r="AE2551">
        <v>10817786</v>
      </c>
      <c r="AF2551" t="s">
        <v>79</v>
      </c>
      <c r="AG2551" t="s">
        <v>5513</v>
      </c>
    </row>
    <row r="2552" spans="1:33" x14ac:dyDescent="0.35">
      <c r="A2552" s="18">
        <v>44248.531944444447</v>
      </c>
      <c r="B2552">
        <v>1204633</v>
      </c>
      <c r="C2552" t="s">
        <v>1560</v>
      </c>
      <c r="D2552" t="s">
        <v>70</v>
      </c>
      <c r="E2552" s="19">
        <v>41512</v>
      </c>
      <c r="F2552" t="str">
        <f>"9781118450444"</f>
        <v>9781118450444</v>
      </c>
      <c r="G2552" t="str">
        <f>"9780470673768"</f>
        <v>9780470673768</v>
      </c>
      <c r="H2552" t="s">
        <v>1561</v>
      </c>
      <c r="I2552">
        <v>552.5</v>
      </c>
      <c r="J2552" t="s">
        <v>1562</v>
      </c>
      <c r="K2552" t="s">
        <v>73</v>
      </c>
      <c r="N2552" t="s">
        <v>74</v>
      </c>
      <c r="O2552" t="s">
        <v>75</v>
      </c>
      <c r="P2552" t="s">
        <v>74</v>
      </c>
      <c r="Q2552" t="s">
        <v>76</v>
      </c>
      <c r="R2552" t="s">
        <v>73</v>
      </c>
      <c r="S2552">
        <v>0</v>
      </c>
      <c r="W2552" s="20">
        <v>6.9444444444444444E-5</v>
      </c>
      <c r="X2552" t="s">
        <v>132</v>
      </c>
      <c r="Y2552">
        <v>1</v>
      </c>
      <c r="Z2552">
        <v>0</v>
      </c>
      <c r="AA2552" t="s">
        <v>78</v>
      </c>
      <c r="AB2552">
        <v>0</v>
      </c>
      <c r="AC2552" t="s">
        <v>78</v>
      </c>
      <c r="AD2552">
        <v>0</v>
      </c>
      <c r="AE2552">
        <v>10713576</v>
      </c>
      <c r="AF2552" t="s">
        <v>79</v>
      </c>
      <c r="AG2552" t="s">
        <v>5596</v>
      </c>
    </row>
    <row r="2553" spans="1:33" x14ac:dyDescent="0.35">
      <c r="A2553" s="18">
        <v>44248.510416666664</v>
      </c>
      <c r="B2553">
        <v>266541</v>
      </c>
      <c r="C2553" t="s">
        <v>5610</v>
      </c>
      <c r="D2553" t="s">
        <v>538</v>
      </c>
      <c r="E2553" s="19">
        <v>38166</v>
      </c>
      <c r="F2553" t="str">
        <f>"9780511210600"</f>
        <v>9780511210600</v>
      </c>
      <c r="G2553" t="str">
        <f>"9780521813976"</f>
        <v>9780521813976</v>
      </c>
      <c r="H2553" t="s">
        <v>3130</v>
      </c>
      <c r="I2553">
        <v>6.4</v>
      </c>
      <c r="J2553" t="s">
        <v>5611</v>
      </c>
      <c r="K2553" t="s">
        <v>73</v>
      </c>
      <c r="N2553" t="s">
        <v>74</v>
      </c>
      <c r="O2553" t="s">
        <v>75</v>
      </c>
      <c r="P2553" t="s">
        <v>74</v>
      </c>
      <c r="Q2553" t="s">
        <v>76</v>
      </c>
      <c r="R2553" t="s">
        <v>73</v>
      </c>
      <c r="S2553">
        <v>0</v>
      </c>
      <c r="W2553" s="20">
        <v>4.6296296296296294E-5</v>
      </c>
      <c r="X2553" t="s">
        <v>132</v>
      </c>
      <c r="Y2553">
        <v>1</v>
      </c>
      <c r="Z2553">
        <v>0</v>
      </c>
      <c r="AA2553" t="s">
        <v>78</v>
      </c>
      <c r="AB2553">
        <v>0</v>
      </c>
      <c r="AC2553" t="s">
        <v>78</v>
      </c>
      <c r="AD2553">
        <v>0</v>
      </c>
      <c r="AE2553">
        <v>10131674</v>
      </c>
      <c r="AF2553" t="s">
        <v>79</v>
      </c>
      <c r="AG2553" t="s">
        <v>5596</v>
      </c>
    </row>
    <row r="2554" spans="1:33" x14ac:dyDescent="0.35">
      <c r="A2554" s="18">
        <v>44248.501388888886</v>
      </c>
      <c r="B2554">
        <v>4183001</v>
      </c>
      <c r="C2554" t="s">
        <v>580</v>
      </c>
      <c r="D2554" t="s">
        <v>70</v>
      </c>
      <c r="E2554" s="19">
        <v>42359</v>
      </c>
      <c r="F2554" t="str">
        <f>"9781118972311"</f>
        <v>9781118972311</v>
      </c>
      <c r="G2554" t="str">
        <f>"9781118972304"</f>
        <v>9781118972304</v>
      </c>
      <c r="H2554" t="s">
        <v>308</v>
      </c>
      <c r="I2554">
        <v>297</v>
      </c>
      <c r="J2554" t="s">
        <v>581</v>
      </c>
      <c r="K2554" t="s">
        <v>73</v>
      </c>
      <c r="N2554" t="s">
        <v>74</v>
      </c>
      <c r="O2554" t="s">
        <v>75</v>
      </c>
      <c r="P2554" t="s">
        <v>74</v>
      </c>
      <c r="Q2554" t="s">
        <v>76</v>
      </c>
      <c r="R2554" t="s">
        <v>73</v>
      </c>
      <c r="S2554">
        <v>0</v>
      </c>
      <c r="W2554" s="20">
        <v>1.5046296296296297E-4</v>
      </c>
      <c r="X2554" t="s">
        <v>132</v>
      </c>
      <c r="Y2554">
        <v>1</v>
      </c>
      <c r="Z2554">
        <v>0</v>
      </c>
      <c r="AA2554" t="s">
        <v>78</v>
      </c>
      <c r="AB2554">
        <v>0</v>
      </c>
      <c r="AC2554" t="s">
        <v>78</v>
      </c>
      <c r="AD2554">
        <v>0</v>
      </c>
      <c r="AE2554">
        <v>11124854</v>
      </c>
      <c r="AF2554" t="s">
        <v>79</v>
      </c>
      <c r="AG2554" t="s">
        <v>5600</v>
      </c>
    </row>
    <row r="2555" spans="1:33" x14ac:dyDescent="0.35">
      <c r="A2555" s="18">
        <v>44248.487500000003</v>
      </c>
      <c r="B2555">
        <v>4812122</v>
      </c>
      <c r="C2555" t="s">
        <v>3920</v>
      </c>
      <c r="D2555" t="s">
        <v>300</v>
      </c>
      <c r="E2555" s="19">
        <v>42783</v>
      </c>
      <c r="F2555" t="str">
        <f>"9780262336680"</f>
        <v>9780262336680</v>
      </c>
      <c r="G2555" t="str">
        <f>"9780262035354"</f>
        <v>9780262035354</v>
      </c>
      <c r="H2555" t="s">
        <v>143</v>
      </c>
      <c r="I2555">
        <v>658.40629999999999</v>
      </c>
      <c r="J2555" t="s">
        <v>3921</v>
      </c>
      <c r="K2555" t="s">
        <v>85</v>
      </c>
      <c r="N2555" t="s">
        <v>86</v>
      </c>
      <c r="P2555" t="s">
        <v>87</v>
      </c>
      <c r="Q2555" t="s">
        <v>76</v>
      </c>
      <c r="R2555" t="s">
        <v>73</v>
      </c>
      <c r="S2555">
        <v>0</v>
      </c>
      <c r="W2555" s="20">
        <v>1.3888888888888889E-4</v>
      </c>
      <c r="X2555" t="s">
        <v>5625</v>
      </c>
      <c r="Y2555">
        <v>2</v>
      </c>
      <c r="Z2555">
        <v>0</v>
      </c>
      <c r="AA2555" t="s">
        <v>78</v>
      </c>
      <c r="AB2555">
        <v>0</v>
      </c>
      <c r="AC2555" t="s">
        <v>78</v>
      </c>
      <c r="AD2555">
        <v>0</v>
      </c>
      <c r="AE2555">
        <v>11351826</v>
      </c>
      <c r="AF2555" t="s">
        <v>79</v>
      </c>
      <c r="AG2555" t="s">
        <v>5394</v>
      </c>
    </row>
    <row r="2556" spans="1:33" x14ac:dyDescent="0.35">
      <c r="A2556" s="18">
        <v>44248.453472222223</v>
      </c>
      <c r="B2556">
        <v>716578</v>
      </c>
      <c r="C2556" t="s">
        <v>5014</v>
      </c>
      <c r="D2556" t="s">
        <v>314</v>
      </c>
      <c r="E2556" s="19">
        <v>40679</v>
      </c>
      <c r="F2556" t="str">
        <f>"9780748646302"</f>
        <v>9780748646302</v>
      </c>
      <c r="G2556" t="str">
        <f>"9780748640577"</f>
        <v>9780748640577</v>
      </c>
      <c r="H2556" t="s">
        <v>308</v>
      </c>
      <c r="I2556">
        <v>211.822</v>
      </c>
      <c r="J2556" t="s">
        <v>5015</v>
      </c>
      <c r="K2556" t="s">
        <v>73</v>
      </c>
      <c r="N2556" t="s">
        <v>74</v>
      </c>
      <c r="O2556" t="s">
        <v>75</v>
      </c>
      <c r="P2556" t="s">
        <v>74</v>
      </c>
      <c r="Q2556" t="s">
        <v>76</v>
      </c>
      <c r="R2556" t="s">
        <v>73</v>
      </c>
      <c r="S2556">
        <v>1</v>
      </c>
      <c r="W2556" s="20">
        <v>1.712962962962963E-3</v>
      </c>
      <c r="X2556" t="s">
        <v>5626</v>
      </c>
      <c r="Y2556">
        <v>2</v>
      </c>
      <c r="Z2556">
        <v>0</v>
      </c>
      <c r="AA2556" t="s">
        <v>78</v>
      </c>
      <c r="AB2556">
        <v>0</v>
      </c>
      <c r="AC2556" t="s">
        <v>78</v>
      </c>
      <c r="AD2556">
        <v>0</v>
      </c>
      <c r="AE2556">
        <v>10478313</v>
      </c>
      <c r="AF2556" t="s">
        <v>88</v>
      </c>
      <c r="AG2556" t="s">
        <v>5374</v>
      </c>
    </row>
    <row r="2557" spans="1:33" x14ac:dyDescent="0.35">
      <c r="A2557" s="18">
        <v>44248.45208333333</v>
      </c>
      <c r="B2557">
        <v>716578</v>
      </c>
      <c r="C2557" t="s">
        <v>5014</v>
      </c>
      <c r="D2557" t="s">
        <v>314</v>
      </c>
      <c r="E2557" s="19">
        <v>40679</v>
      </c>
      <c r="F2557" t="str">
        <f>"9780748646302"</f>
        <v>9780748646302</v>
      </c>
      <c r="G2557" t="str">
        <f>"9780748640577"</f>
        <v>9780748640577</v>
      </c>
      <c r="H2557" t="s">
        <v>308</v>
      </c>
      <c r="I2557">
        <v>211.822</v>
      </c>
      <c r="J2557" t="s">
        <v>5015</v>
      </c>
      <c r="K2557" t="s">
        <v>73</v>
      </c>
      <c r="N2557" t="s">
        <v>74</v>
      </c>
      <c r="O2557" t="s">
        <v>75</v>
      </c>
      <c r="P2557" t="s">
        <v>74</v>
      </c>
      <c r="Q2557" t="s">
        <v>76</v>
      </c>
      <c r="R2557" t="s">
        <v>73</v>
      </c>
      <c r="S2557">
        <v>0</v>
      </c>
      <c r="W2557" s="20">
        <v>1.3310185185185185E-3</v>
      </c>
      <c r="X2557" t="s">
        <v>5627</v>
      </c>
      <c r="Y2557">
        <v>5</v>
      </c>
      <c r="Z2557">
        <v>0</v>
      </c>
      <c r="AA2557" t="s">
        <v>78</v>
      </c>
      <c r="AB2557">
        <v>0</v>
      </c>
      <c r="AC2557" t="s">
        <v>78</v>
      </c>
      <c r="AD2557">
        <v>0</v>
      </c>
      <c r="AE2557">
        <v>10478313</v>
      </c>
      <c r="AF2557" t="s">
        <v>88</v>
      </c>
      <c r="AG2557" t="s">
        <v>5374</v>
      </c>
    </row>
    <row r="2558" spans="1:33" x14ac:dyDescent="0.35">
      <c r="A2558" s="18">
        <v>44248.386805555558</v>
      </c>
      <c r="B2558">
        <v>1576655</v>
      </c>
      <c r="C2558" t="s">
        <v>5510</v>
      </c>
      <c r="D2558" t="s">
        <v>338</v>
      </c>
      <c r="E2558" s="19">
        <v>41614</v>
      </c>
      <c r="F2558" t="str">
        <f>"9780080993935"</f>
        <v>9780080993935</v>
      </c>
      <c r="G2558" t="str">
        <f>"9780080993928"</f>
        <v>9780080993928</v>
      </c>
      <c r="H2558" t="s">
        <v>5511</v>
      </c>
      <c r="I2558">
        <v>621.48379999999997</v>
      </c>
      <c r="J2558" t="s">
        <v>5512</v>
      </c>
      <c r="K2558" t="s">
        <v>73</v>
      </c>
      <c r="N2558" t="s">
        <v>74</v>
      </c>
      <c r="O2558" t="s">
        <v>75</v>
      </c>
      <c r="P2558" t="s">
        <v>74</v>
      </c>
      <c r="Q2558" t="s">
        <v>76</v>
      </c>
      <c r="R2558" t="s">
        <v>73</v>
      </c>
      <c r="S2558">
        <v>0</v>
      </c>
      <c r="W2558" s="20">
        <v>8.1805555555555562E-2</v>
      </c>
      <c r="X2558" t="s">
        <v>5628</v>
      </c>
      <c r="Y2558">
        <v>55</v>
      </c>
      <c r="Z2558">
        <v>0</v>
      </c>
      <c r="AA2558" t="s">
        <v>78</v>
      </c>
      <c r="AB2558">
        <v>0</v>
      </c>
      <c r="AC2558" t="s">
        <v>3115</v>
      </c>
      <c r="AD2558">
        <v>1</v>
      </c>
      <c r="AE2558">
        <v>10817786</v>
      </c>
      <c r="AF2558" t="s">
        <v>79</v>
      </c>
      <c r="AG2558" t="s">
        <v>5513</v>
      </c>
    </row>
    <row r="2559" spans="1:33" x14ac:dyDescent="0.35">
      <c r="A2559" s="18">
        <v>44248.020138888889</v>
      </c>
      <c r="B2559">
        <v>1830135</v>
      </c>
      <c r="C2559" t="s">
        <v>5147</v>
      </c>
      <c r="D2559" t="s">
        <v>70</v>
      </c>
      <c r="E2559" s="19">
        <v>41960</v>
      </c>
      <c r="F2559" t="str">
        <f>"9781119003960"</f>
        <v>9781119003960</v>
      </c>
      <c r="G2559" t="str">
        <f>"9781119003953"</f>
        <v>9781119003953</v>
      </c>
      <c r="H2559" t="s">
        <v>143</v>
      </c>
      <c r="I2559">
        <v>658.40920000000006</v>
      </c>
      <c r="J2559" t="s">
        <v>5148</v>
      </c>
      <c r="K2559" t="s">
        <v>73</v>
      </c>
      <c r="N2559" t="s">
        <v>74</v>
      </c>
      <c r="O2559" t="s">
        <v>75</v>
      </c>
      <c r="P2559" t="s">
        <v>74</v>
      </c>
      <c r="Q2559" t="s">
        <v>76</v>
      </c>
      <c r="R2559" t="s">
        <v>73</v>
      </c>
      <c r="S2559">
        <v>0</v>
      </c>
      <c r="W2559" s="20">
        <v>3.6805555555555554E-3</v>
      </c>
      <c r="X2559" t="s">
        <v>5629</v>
      </c>
      <c r="Y2559">
        <v>21</v>
      </c>
      <c r="Z2559">
        <v>0</v>
      </c>
      <c r="AA2559" t="s">
        <v>78</v>
      </c>
      <c r="AB2559">
        <v>0</v>
      </c>
      <c r="AC2559" t="s">
        <v>78</v>
      </c>
      <c r="AD2559">
        <v>0</v>
      </c>
      <c r="AE2559">
        <v>10963351</v>
      </c>
      <c r="AF2559" t="s">
        <v>79</v>
      </c>
      <c r="AG2559" t="s">
        <v>5298</v>
      </c>
    </row>
    <row r="2560" spans="1:33" x14ac:dyDescent="0.35">
      <c r="A2560" s="18">
        <v>44247.995833333334</v>
      </c>
      <c r="B2560">
        <v>4043002</v>
      </c>
      <c r="C2560" t="s">
        <v>5190</v>
      </c>
      <c r="D2560" t="s">
        <v>70</v>
      </c>
      <c r="E2560" s="19">
        <v>42388</v>
      </c>
      <c r="F2560" t="str">
        <f>"9781119045076"</f>
        <v>9781119045076</v>
      </c>
      <c r="G2560" t="str">
        <f>"9781119045069"</f>
        <v>9781119045069</v>
      </c>
      <c r="H2560" t="s">
        <v>128</v>
      </c>
      <c r="I2560" t="s">
        <v>5191</v>
      </c>
      <c r="J2560" t="s">
        <v>5192</v>
      </c>
      <c r="K2560" t="s">
        <v>73</v>
      </c>
      <c r="N2560" t="s">
        <v>74</v>
      </c>
      <c r="O2560" t="s">
        <v>75</v>
      </c>
      <c r="P2560" t="s">
        <v>74</v>
      </c>
      <c r="Q2560" t="s">
        <v>76</v>
      </c>
      <c r="R2560" t="s">
        <v>73</v>
      </c>
      <c r="S2560">
        <v>1</v>
      </c>
      <c r="W2560" s="20">
        <v>0</v>
      </c>
      <c r="X2560" t="s">
        <v>78</v>
      </c>
      <c r="Y2560">
        <v>0</v>
      </c>
      <c r="Z2560">
        <v>0</v>
      </c>
      <c r="AA2560" t="s">
        <v>78</v>
      </c>
      <c r="AB2560">
        <v>0</v>
      </c>
      <c r="AC2560" t="s">
        <v>78</v>
      </c>
      <c r="AD2560">
        <v>0</v>
      </c>
      <c r="AE2560">
        <v>11115179</v>
      </c>
      <c r="AF2560" t="s">
        <v>88</v>
      </c>
      <c r="AG2560" t="s">
        <v>1184</v>
      </c>
    </row>
    <row r="2561" spans="1:33" x14ac:dyDescent="0.35">
      <c r="A2561" s="18">
        <v>44247.989583333336</v>
      </c>
      <c r="B2561">
        <v>3020317</v>
      </c>
      <c r="C2561" t="s">
        <v>5564</v>
      </c>
      <c r="D2561" t="s">
        <v>226</v>
      </c>
      <c r="E2561" s="19">
        <v>41330</v>
      </c>
      <c r="F2561" t="str">
        <f>"9781624171123"</f>
        <v>9781624171123</v>
      </c>
      <c r="G2561" t="str">
        <f>"9781624171116"</f>
        <v>9781624171116</v>
      </c>
      <c r="H2561" t="s">
        <v>374</v>
      </c>
      <c r="I2561">
        <v>628.16099999999994</v>
      </c>
      <c r="J2561" t="s">
        <v>5565</v>
      </c>
      <c r="K2561" t="s">
        <v>73</v>
      </c>
      <c r="N2561" t="s">
        <v>74</v>
      </c>
      <c r="O2561" t="s">
        <v>75</v>
      </c>
      <c r="P2561" t="s">
        <v>230</v>
      </c>
      <c r="Q2561" t="s">
        <v>76</v>
      </c>
      <c r="R2561" t="s">
        <v>85</v>
      </c>
      <c r="S2561">
        <v>0</v>
      </c>
      <c r="W2561" s="20">
        <v>3.9351851851851852E-4</v>
      </c>
      <c r="X2561" t="s">
        <v>5630</v>
      </c>
      <c r="Y2561">
        <v>4</v>
      </c>
      <c r="Z2561">
        <v>1</v>
      </c>
      <c r="AA2561" t="s">
        <v>5631</v>
      </c>
      <c r="AB2561">
        <v>2</v>
      </c>
      <c r="AC2561" t="s">
        <v>78</v>
      </c>
      <c r="AD2561">
        <v>0</v>
      </c>
      <c r="AE2561">
        <v>10676579</v>
      </c>
      <c r="AF2561" t="s">
        <v>79</v>
      </c>
      <c r="AG2561" t="s">
        <v>3345</v>
      </c>
    </row>
    <row r="2562" spans="1:33" x14ac:dyDescent="0.35">
      <c r="A2562" s="18">
        <v>44247.953472222223</v>
      </c>
      <c r="B2562">
        <v>1186219</v>
      </c>
      <c r="C2562" t="s">
        <v>5632</v>
      </c>
      <c r="D2562" t="s">
        <v>1637</v>
      </c>
      <c r="E2562" s="19">
        <v>38099</v>
      </c>
      <c r="F2562" t="str">
        <f>"9781847552358"</f>
        <v>9781847552358</v>
      </c>
      <c r="G2562" t="str">
        <f>"9780854046287"</f>
        <v>9780854046287</v>
      </c>
      <c r="H2562" t="s">
        <v>374</v>
      </c>
      <c r="I2562">
        <v>628.16800000000001</v>
      </c>
      <c r="J2562" t="s">
        <v>5633</v>
      </c>
      <c r="K2562" t="s">
        <v>73</v>
      </c>
      <c r="N2562" t="s">
        <v>74</v>
      </c>
      <c r="O2562" t="s">
        <v>75</v>
      </c>
      <c r="P2562" t="s">
        <v>74</v>
      </c>
      <c r="Q2562" t="s">
        <v>76</v>
      </c>
      <c r="R2562" t="s">
        <v>73</v>
      </c>
      <c r="S2562">
        <v>0</v>
      </c>
      <c r="W2562" s="20">
        <v>5.5092592592592589E-3</v>
      </c>
      <c r="X2562" t="s">
        <v>5634</v>
      </c>
      <c r="Y2562">
        <v>15</v>
      </c>
      <c r="Z2562">
        <v>0</v>
      </c>
      <c r="AA2562" t="s">
        <v>78</v>
      </c>
      <c r="AB2562">
        <v>0</v>
      </c>
      <c r="AC2562" t="s">
        <v>78</v>
      </c>
      <c r="AD2562">
        <v>0</v>
      </c>
      <c r="AE2562">
        <v>10626343</v>
      </c>
      <c r="AF2562" t="s">
        <v>79</v>
      </c>
      <c r="AG2562" t="s">
        <v>5298</v>
      </c>
    </row>
    <row r="2563" spans="1:33" x14ac:dyDescent="0.35">
      <c r="A2563" s="18">
        <v>44247.947916666664</v>
      </c>
      <c r="B2563">
        <v>1895831</v>
      </c>
      <c r="C2563" t="s">
        <v>4996</v>
      </c>
      <c r="D2563" t="s">
        <v>70</v>
      </c>
      <c r="E2563" s="19">
        <v>42107</v>
      </c>
      <c r="F2563" t="str">
        <f>"9781118968161"</f>
        <v>9781118968161</v>
      </c>
      <c r="G2563" t="str">
        <f>"9781118968154"</f>
        <v>9781118968154</v>
      </c>
      <c r="H2563" t="s">
        <v>143</v>
      </c>
      <c r="I2563" t="s">
        <v>4904</v>
      </c>
      <c r="J2563" t="s">
        <v>4997</v>
      </c>
      <c r="K2563" t="s">
        <v>73</v>
      </c>
      <c r="N2563" t="s">
        <v>74</v>
      </c>
      <c r="O2563" t="s">
        <v>75</v>
      </c>
      <c r="P2563" t="s">
        <v>74</v>
      </c>
      <c r="Q2563" t="s">
        <v>76</v>
      </c>
      <c r="R2563" t="s">
        <v>73</v>
      </c>
      <c r="S2563">
        <v>0</v>
      </c>
      <c r="W2563" s="20">
        <v>2.6527777777777779E-2</v>
      </c>
      <c r="X2563" t="s">
        <v>5635</v>
      </c>
      <c r="Y2563">
        <v>52</v>
      </c>
      <c r="Z2563">
        <v>0</v>
      </c>
      <c r="AA2563" t="s">
        <v>78</v>
      </c>
      <c r="AB2563">
        <v>0</v>
      </c>
      <c r="AC2563" t="s">
        <v>78</v>
      </c>
      <c r="AD2563">
        <v>0</v>
      </c>
      <c r="AE2563">
        <v>11041460</v>
      </c>
      <c r="AF2563" t="s">
        <v>79</v>
      </c>
      <c r="AG2563" t="s">
        <v>5298</v>
      </c>
    </row>
    <row r="2564" spans="1:33" x14ac:dyDescent="0.35">
      <c r="A2564" s="18">
        <v>44247.925000000003</v>
      </c>
      <c r="B2564">
        <v>5754503</v>
      </c>
      <c r="C2564" t="s">
        <v>5636</v>
      </c>
      <c r="D2564" t="s">
        <v>158</v>
      </c>
      <c r="E2564" s="19">
        <v>41799</v>
      </c>
      <c r="F2564" t="str">
        <f>"9780127999142"</f>
        <v>9780127999142</v>
      </c>
      <c r="G2564" t="str">
        <f>"9780124202283"</f>
        <v>9780124202283</v>
      </c>
      <c r="H2564" t="s">
        <v>115</v>
      </c>
      <c r="I2564" t="s">
        <v>4811</v>
      </c>
      <c r="J2564" t="s">
        <v>5637</v>
      </c>
      <c r="K2564" t="s">
        <v>73</v>
      </c>
      <c r="N2564" t="s">
        <v>74</v>
      </c>
      <c r="O2564" t="s">
        <v>75</v>
      </c>
      <c r="P2564" t="s">
        <v>74</v>
      </c>
      <c r="Q2564" t="s">
        <v>76</v>
      </c>
      <c r="R2564" t="s">
        <v>73</v>
      </c>
      <c r="S2564">
        <v>0</v>
      </c>
      <c r="W2564" s="20">
        <v>4.4328703703703709E-3</v>
      </c>
      <c r="X2564" t="s">
        <v>5638</v>
      </c>
      <c r="Y2564">
        <v>20</v>
      </c>
      <c r="Z2564">
        <v>0</v>
      </c>
      <c r="AA2564" t="s">
        <v>78</v>
      </c>
      <c r="AB2564">
        <v>0</v>
      </c>
      <c r="AC2564" t="s">
        <v>78</v>
      </c>
      <c r="AD2564">
        <v>0</v>
      </c>
      <c r="AE2564">
        <v>-1</v>
      </c>
      <c r="AF2564" t="s">
        <v>79</v>
      </c>
      <c r="AG2564" t="s">
        <v>5298</v>
      </c>
    </row>
    <row r="2565" spans="1:33" x14ac:dyDescent="0.35">
      <c r="A2565" s="18">
        <v>44247.895833333336</v>
      </c>
      <c r="B2565">
        <v>1830135</v>
      </c>
      <c r="C2565" t="s">
        <v>5147</v>
      </c>
      <c r="D2565" t="s">
        <v>70</v>
      </c>
      <c r="E2565" s="19">
        <v>41960</v>
      </c>
      <c r="F2565" t="str">
        <f>"9781119003960"</f>
        <v>9781119003960</v>
      </c>
      <c r="G2565" t="str">
        <f>"9781119003953"</f>
        <v>9781119003953</v>
      </c>
      <c r="H2565" t="s">
        <v>143</v>
      </c>
      <c r="I2565">
        <v>658.40920000000006</v>
      </c>
      <c r="J2565" t="s">
        <v>5148</v>
      </c>
      <c r="K2565" t="s">
        <v>73</v>
      </c>
      <c r="N2565" t="s">
        <v>74</v>
      </c>
      <c r="O2565" t="s">
        <v>75</v>
      </c>
      <c r="P2565" t="s">
        <v>74</v>
      </c>
      <c r="Q2565" t="s">
        <v>76</v>
      </c>
      <c r="R2565" t="s">
        <v>73</v>
      </c>
      <c r="S2565">
        <v>0</v>
      </c>
      <c r="W2565" s="20">
        <v>1.7199074074074071E-2</v>
      </c>
      <c r="X2565" t="s">
        <v>602</v>
      </c>
      <c r="Y2565">
        <v>19</v>
      </c>
      <c r="Z2565">
        <v>0</v>
      </c>
      <c r="AA2565" t="s">
        <v>78</v>
      </c>
      <c r="AB2565">
        <v>0</v>
      </c>
      <c r="AC2565" t="s">
        <v>78</v>
      </c>
      <c r="AD2565">
        <v>0</v>
      </c>
      <c r="AE2565">
        <v>10963351</v>
      </c>
      <c r="AF2565" t="s">
        <v>79</v>
      </c>
      <c r="AG2565" t="s">
        <v>5298</v>
      </c>
    </row>
    <row r="2566" spans="1:33" x14ac:dyDescent="0.35">
      <c r="A2566" s="18">
        <v>44247.886805555558</v>
      </c>
      <c r="B2566">
        <v>1895831</v>
      </c>
      <c r="C2566" t="s">
        <v>4996</v>
      </c>
      <c r="D2566" t="s">
        <v>70</v>
      </c>
      <c r="E2566" s="19">
        <v>42107</v>
      </c>
      <c r="F2566" t="str">
        <f>"9781118968161"</f>
        <v>9781118968161</v>
      </c>
      <c r="G2566" t="str">
        <f>"9781118968154"</f>
        <v>9781118968154</v>
      </c>
      <c r="H2566" t="s">
        <v>143</v>
      </c>
      <c r="I2566" t="s">
        <v>4904</v>
      </c>
      <c r="J2566" t="s">
        <v>4997</v>
      </c>
      <c r="K2566" t="s">
        <v>73</v>
      </c>
      <c r="N2566" t="s">
        <v>74</v>
      </c>
      <c r="O2566" t="s">
        <v>75</v>
      </c>
      <c r="P2566" t="s">
        <v>74</v>
      </c>
      <c r="Q2566" t="s">
        <v>76</v>
      </c>
      <c r="R2566" t="s">
        <v>73</v>
      </c>
      <c r="S2566">
        <v>0</v>
      </c>
      <c r="W2566" s="20">
        <v>1.7766203703703704E-2</v>
      </c>
      <c r="X2566" t="s">
        <v>5639</v>
      </c>
      <c r="Y2566">
        <v>25</v>
      </c>
      <c r="Z2566">
        <v>0</v>
      </c>
      <c r="AA2566" t="s">
        <v>78</v>
      </c>
      <c r="AB2566">
        <v>0</v>
      </c>
      <c r="AC2566" t="s">
        <v>78</v>
      </c>
      <c r="AD2566">
        <v>0</v>
      </c>
      <c r="AE2566">
        <v>11041460</v>
      </c>
      <c r="AF2566" t="s">
        <v>79</v>
      </c>
      <c r="AG2566" t="s">
        <v>5298</v>
      </c>
    </row>
    <row r="2567" spans="1:33" x14ac:dyDescent="0.35">
      <c r="A2567" s="18">
        <v>44247.885416666664</v>
      </c>
      <c r="B2567">
        <v>232201</v>
      </c>
      <c r="C2567" t="s">
        <v>5640</v>
      </c>
      <c r="D2567" t="s">
        <v>1642</v>
      </c>
      <c r="E2567" s="19">
        <v>37257</v>
      </c>
      <c r="F2567" t="str">
        <f>"9781845447014"</f>
        <v>9781845447014</v>
      </c>
      <c r="G2567" t="str">
        <f>"9780861767526"</f>
        <v>9780861767526</v>
      </c>
      <c r="H2567" t="s">
        <v>5641</v>
      </c>
      <c r="I2567">
        <v>351</v>
      </c>
      <c r="J2567" t="s">
        <v>5642</v>
      </c>
      <c r="K2567" t="s">
        <v>73</v>
      </c>
      <c r="N2567" t="s">
        <v>74</v>
      </c>
      <c r="O2567" t="s">
        <v>75</v>
      </c>
      <c r="P2567" t="s">
        <v>74</v>
      </c>
      <c r="Q2567" t="s">
        <v>76</v>
      </c>
      <c r="R2567" t="s">
        <v>73</v>
      </c>
      <c r="S2567">
        <v>0</v>
      </c>
      <c r="W2567" s="20">
        <v>8.1018518518518516E-4</v>
      </c>
      <c r="X2567" t="s">
        <v>5162</v>
      </c>
      <c r="Y2567">
        <v>10</v>
      </c>
      <c r="Z2567">
        <v>0</v>
      </c>
      <c r="AA2567" t="s">
        <v>78</v>
      </c>
      <c r="AB2567">
        <v>0</v>
      </c>
      <c r="AC2567" t="s">
        <v>78</v>
      </c>
      <c r="AD2567">
        <v>0</v>
      </c>
      <c r="AE2567">
        <v>10052789</v>
      </c>
      <c r="AF2567" t="s">
        <v>79</v>
      </c>
      <c r="AG2567" t="s">
        <v>5298</v>
      </c>
    </row>
    <row r="2568" spans="1:33" x14ac:dyDescent="0.35">
      <c r="A2568" s="18">
        <v>44247.850694444445</v>
      </c>
      <c r="B2568">
        <v>1574968</v>
      </c>
      <c r="C2568" t="s">
        <v>5205</v>
      </c>
      <c r="D2568" t="s">
        <v>158</v>
      </c>
      <c r="E2568" s="19">
        <v>41368</v>
      </c>
      <c r="F2568" t="str">
        <f>"9780857098832"</f>
        <v>9780857098832</v>
      </c>
      <c r="G2568" t="str">
        <f>"9780857095442"</f>
        <v>9780857095442</v>
      </c>
      <c r="H2568" t="s">
        <v>5206</v>
      </c>
      <c r="I2568">
        <v>690.02859999999998</v>
      </c>
      <c r="J2568" t="s">
        <v>5207</v>
      </c>
      <c r="K2568" t="s">
        <v>73</v>
      </c>
      <c r="N2568" t="s">
        <v>74</v>
      </c>
      <c r="O2568" t="s">
        <v>75</v>
      </c>
      <c r="P2568" t="s">
        <v>74</v>
      </c>
      <c r="Q2568" t="s">
        <v>76</v>
      </c>
      <c r="R2568" t="s">
        <v>73</v>
      </c>
      <c r="S2568">
        <v>0</v>
      </c>
      <c r="W2568" s="20">
        <v>1.7708333333333332E-3</v>
      </c>
      <c r="X2568" t="s">
        <v>5643</v>
      </c>
      <c r="Y2568">
        <v>13</v>
      </c>
      <c r="Z2568">
        <v>0</v>
      </c>
      <c r="AA2568" t="s">
        <v>78</v>
      </c>
      <c r="AB2568">
        <v>0</v>
      </c>
      <c r="AC2568" t="s">
        <v>78</v>
      </c>
      <c r="AD2568">
        <v>0</v>
      </c>
      <c r="AE2568">
        <v>10767146</v>
      </c>
      <c r="AF2568" t="s">
        <v>79</v>
      </c>
      <c r="AG2568" t="s">
        <v>3345</v>
      </c>
    </row>
    <row r="2569" spans="1:33" x14ac:dyDescent="0.35">
      <c r="A2569" s="18">
        <v>44247.811111111114</v>
      </c>
      <c r="B2569">
        <v>4412594</v>
      </c>
      <c r="C2569" t="s">
        <v>4915</v>
      </c>
      <c r="D2569" t="s">
        <v>900</v>
      </c>
      <c r="E2569" s="19">
        <v>42341</v>
      </c>
      <c r="F2569" t="str">
        <f>"9781681081403"</f>
        <v>9781681081403</v>
      </c>
      <c r="G2569" t="str">
        <f>"9781681081410"</f>
        <v>9781681081410</v>
      </c>
      <c r="H2569" t="s">
        <v>2135</v>
      </c>
      <c r="I2569">
        <v>616.90409999999895</v>
      </c>
      <c r="J2569" t="s">
        <v>4916</v>
      </c>
      <c r="K2569" t="s">
        <v>73</v>
      </c>
      <c r="N2569" t="s">
        <v>74</v>
      </c>
      <c r="O2569" t="s">
        <v>75</v>
      </c>
      <c r="P2569" t="s">
        <v>74</v>
      </c>
      <c r="Q2569" t="s">
        <v>76</v>
      </c>
      <c r="R2569" t="s">
        <v>73</v>
      </c>
      <c r="S2569">
        <v>0</v>
      </c>
      <c r="W2569" s="20">
        <v>1.4004629629629629E-3</v>
      </c>
      <c r="X2569" t="s">
        <v>5644</v>
      </c>
      <c r="Y2569">
        <v>6</v>
      </c>
      <c r="Z2569">
        <v>0</v>
      </c>
      <c r="AA2569" t="s">
        <v>78</v>
      </c>
      <c r="AB2569">
        <v>0</v>
      </c>
      <c r="AC2569" t="s">
        <v>78</v>
      </c>
      <c r="AD2569">
        <v>0</v>
      </c>
      <c r="AE2569">
        <v>11235873</v>
      </c>
      <c r="AF2569" t="s">
        <v>79</v>
      </c>
      <c r="AG2569" t="s">
        <v>5298</v>
      </c>
    </row>
    <row r="2570" spans="1:33" x14ac:dyDescent="0.35">
      <c r="A2570" s="18">
        <v>44247.80972222222</v>
      </c>
      <c r="B2570">
        <v>3020317</v>
      </c>
      <c r="C2570" t="s">
        <v>5564</v>
      </c>
      <c r="D2570" t="s">
        <v>226</v>
      </c>
      <c r="E2570" s="19">
        <v>41330</v>
      </c>
      <c r="F2570" t="str">
        <f>"9781624171123"</f>
        <v>9781624171123</v>
      </c>
      <c r="G2570" t="str">
        <f>"9781624171116"</f>
        <v>9781624171116</v>
      </c>
      <c r="H2570" t="s">
        <v>374</v>
      </c>
      <c r="I2570">
        <v>628.16099999999994</v>
      </c>
      <c r="J2570" t="s">
        <v>5565</v>
      </c>
      <c r="K2570" t="s">
        <v>73</v>
      </c>
      <c r="N2570" t="s">
        <v>74</v>
      </c>
      <c r="O2570" t="s">
        <v>75</v>
      </c>
      <c r="P2570" t="s">
        <v>230</v>
      </c>
      <c r="Q2570" t="s">
        <v>76</v>
      </c>
      <c r="R2570" t="s">
        <v>85</v>
      </c>
      <c r="S2570">
        <v>0</v>
      </c>
      <c r="W2570" s="20">
        <v>3.3564814814814812E-4</v>
      </c>
      <c r="X2570" t="s">
        <v>1691</v>
      </c>
      <c r="Y2570">
        <v>7</v>
      </c>
      <c r="Z2570">
        <v>0</v>
      </c>
      <c r="AA2570" t="s">
        <v>78</v>
      </c>
      <c r="AB2570">
        <v>0</v>
      </c>
      <c r="AC2570" t="s">
        <v>78</v>
      </c>
      <c r="AD2570">
        <v>0</v>
      </c>
      <c r="AE2570">
        <v>10676579</v>
      </c>
      <c r="AF2570" t="s">
        <v>79</v>
      </c>
      <c r="AG2570" t="s">
        <v>3345</v>
      </c>
    </row>
    <row r="2571" spans="1:33" x14ac:dyDescent="0.35">
      <c r="A2571" s="18">
        <v>44247.808333333334</v>
      </c>
      <c r="B2571">
        <v>697907</v>
      </c>
      <c r="C2571" t="s">
        <v>5645</v>
      </c>
      <c r="D2571" t="s">
        <v>70</v>
      </c>
      <c r="E2571" s="19">
        <v>40834</v>
      </c>
      <c r="F2571" t="str">
        <f>"9781118075562"</f>
        <v>9781118075562</v>
      </c>
      <c r="G2571" t="str">
        <f>"9780470438503"</f>
        <v>9780470438503</v>
      </c>
      <c r="H2571" t="s">
        <v>1049</v>
      </c>
      <c r="I2571">
        <v>615.32899999999995</v>
      </c>
      <c r="J2571" t="s">
        <v>5646</v>
      </c>
      <c r="K2571" t="s">
        <v>73</v>
      </c>
      <c r="N2571" t="s">
        <v>74</v>
      </c>
      <c r="O2571" t="s">
        <v>75</v>
      </c>
      <c r="P2571" t="s">
        <v>74</v>
      </c>
      <c r="Q2571" t="s">
        <v>76</v>
      </c>
      <c r="R2571" t="s">
        <v>73</v>
      </c>
      <c r="S2571">
        <v>0</v>
      </c>
      <c r="W2571" s="20">
        <v>9.9537037037037042E-4</v>
      </c>
      <c r="X2571" t="s">
        <v>100</v>
      </c>
      <c r="Y2571">
        <v>17</v>
      </c>
      <c r="Z2571">
        <v>0</v>
      </c>
      <c r="AA2571" t="s">
        <v>78</v>
      </c>
      <c r="AB2571">
        <v>0</v>
      </c>
      <c r="AC2571" t="s">
        <v>78</v>
      </c>
      <c r="AD2571">
        <v>0</v>
      </c>
      <c r="AE2571">
        <v>10577575</v>
      </c>
      <c r="AF2571" t="s">
        <v>79</v>
      </c>
      <c r="AG2571" t="s">
        <v>5298</v>
      </c>
    </row>
    <row r="2572" spans="1:33" x14ac:dyDescent="0.35">
      <c r="A2572" s="18">
        <v>44247.806944444441</v>
      </c>
      <c r="B2572">
        <v>3378721</v>
      </c>
      <c r="C2572" t="s">
        <v>5647</v>
      </c>
      <c r="D2572" t="s">
        <v>351</v>
      </c>
      <c r="E2572" s="19">
        <v>40553</v>
      </c>
      <c r="F2572" t="str">
        <f>"9780309156127"</f>
        <v>9780309156127</v>
      </c>
      <c r="G2572" t="str">
        <f>"9780309156110"</f>
        <v>9780309156110</v>
      </c>
      <c r="H2572" t="s">
        <v>5648</v>
      </c>
      <c r="I2572">
        <v>616.01</v>
      </c>
      <c r="J2572" t="s">
        <v>5649</v>
      </c>
      <c r="K2572" t="s">
        <v>73</v>
      </c>
      <c r="N2572" t="s">
        <v>74</v>
      </c>
      <c r="O2572" t="s">
        <v>75</v>
      </c>
      <c r="P2572" t="s">
        <v>230</v>
      </c>
      <c r="Q2572" t="s">
        <v>76</v>
      </c>
      <c r="R2572" t="s">
        <v>85</v>
      </c>
      <c r="S2572">
        <v>0</v>
      </c>
      <c r="W2572" s="20">
        <v>1.4467592592592594E-3</v>
      </c>
      <c r="X2572" t="s">
        <v>5650</v>
      </c>
      <c r="Y2572">
        <v>21</v>
      </c>
      <c r="Z2572">
        <v>0</v>
      </c>
      <c r="AA2572" t="s">
        <v>78</v>
      </c>
      <c r="AB2572">
        <v>0</v>
      </c>
      <c r="AC2572" t="s">
        <v>78</v>
      </c>
      <c r="AD2572">
        <v>0</v>
      </c>
      <c r="AE2572">
        <v>10439406</v>
      </c>
      <c r="AF2572" t="s">
        <v>79</v>
      </c>
      <c r="AG2572" t="s">
        <v>5298</v>
      </c>
    </row>
    <row r="2573" spans="1:33" x14ac:dyDescent="0.35">
      <c r="A2573" s="18">
        <v>44247.795138888891</v>
      </c>
      <c r="B2573">
        <v>3116743</v>
      </c>
      <c r="C2573" t="s">
        <v>4917</v>
      </c>
      <c r="D2573" t="s">
        <v>2393</v>
      </c>
      <c r="E2573" s="19">
        <v>40148</v>
      </c>
      <c r="F2573" t="str">
        <f>"9781613001110"</f>
        <v>9781613001110</v>
      </c>
      <c r="G2573" t="str">
        <f>"9781583217801"</f>
        <v>9781583217801</v>
      </c>
      <c r="H2573" t="s">
        <v>374</v>
      </c>
      <c r="I2573" t="s">
        <v>443</v>
      </c>
      <c r="J2573" t="s">
        <v>4918</v>
      </c>
      <c r="K2573" t="s">
        <v>73</v>
      </c>
      <c r="N2573" t="s">
        <v>74</v>
      </c>
      <c r="O2573" t="s">
        <v>75</v>
      </c>
      <c r="P2573" t="s">
        <v>74</v>
      </c>
      <c r="Q2573" t="s">
        <v>76</v>
      </c>
      <c r="R2573" t="s">
        <v>73</v>
      </c>
      <c r="S2573">
        <v>0</v>
      </c>
      <c r="W2573" s="20">
        <v>7.407407407407407E-4</v>
      </c>
      <c r="X2573" t="s">
        <v>932</v>
      </c>
      <c r="Y2573">
        <v>12</v>
      </c>
      <c r="Z2573">
        <v>0</v>
      </c>
      <c r="AA2573" t="s">
        <v>78</v>
      </c>
      <c r="AB2573">
        <v>0</v>
      </c>
      <c r="AC2573" t="s">
        <v>78</v>
      </c>
      <c r="AD2573">
        <v>0</v>
      </c>
      <c r="AE2573">
        <v>10533523</v>
      </c>
      <c r="AF2573" t="s">
        <v>79</v>
      </c>
      <c r="AG2573" t="s">
        <v>3345</v>
      </c>
    </row>
    <row r="2574" spans="1:33" x14ac:dyDescent="0.35">
      <c r="A2574" s="18">
        <v>44247.791666666664</v>
      </c>
      <c r="B2574">
        <v>1752821</v>
      </c>
      <c r="C2574" t="s">
        <v>5128</v>
      </c>
      <c r="D2574" t="s">
        <v>1642</v>
      </c>
      <c r="E2574" s="19">
        <v>41802</v>
      </c>
      <c r="F2574" t="str">
        <f>"9781784411817"</f>
        <v>9781784411817</v>
      </c>
      <c r="G2574" t="str">
        <f>"9781784411800"</f>
        <v>9781784411800</v>
      </c>
      <c r="H2574" t="s">
        <v>110</v>
      </c>
      <c r="I2574">
        <v>5.74</v>
      </c>
      <c r="J2574" t="s">
        <v>5129</v>
      </c>
      <c r="K2574" t="s">
        <v>73</v>
      </c>
      <c r="N2574" t="s">
        <v>74</v>
      </c>
      <c r="O2574" t="s">
        <v>75</v>
      </c>
      <c r="P2574" t="s">
        <v>74</v>
      </c>
      <c r="Q2574" t="s">
        <v>76</v>
      </c>
      <c r="R2574" t="s">
        <v>73</v>
      </c>
      <c r="S2574">
        <v>0</v>
      </c>
      <c r="W2574" s="20">
        <v>6.9444444444444444E-5</v>
      </c>
      <c r="X2574" t="s">
        <v>132</v>
      </c>
      <c r="Y2574">
        <v>1</v>
      </c>
      <c r="Z2574">
        <v>0</v>
      </c>
      <c r="AA2574" t="s">
        <v>78</v>
      </c>
      <c r="AB2574">
        <v>0</v>
      </c>
      <c r="AC2574" t="s">
        <v>78</v>
      </c>
      <c r="AD2574">
        <v>0</v>
      </c>
      <c r="AE2574">
        <v>10900573</v>
      </c>
      <c r="AF2574" t="s">
        <v>79</v>
      </c>
      <c r="AG2574" t="s">
        <v>5298</v>
      </c>
    </row>
    <row r="2575" spans="1:33" x14ac:dyDescent="0.35">
      <c r="A2575" s="18">
        <v>44247.788888888892</v>
      </c>
      <c r="B2575">
        <v>4183001</v>
      </c>
      <c r="C2575" t="s">
        <v>580</v>
      </c>
      <c r="D2575" t="s">
        <v>70</v>
      </c>
      <c r="E2575" s="19">
        <v>42359</v>
      </c>
      <c r="F2575" t="str">
        <f>"9781118972311"</f>
        <v>9781118972311</v>
      </c>
      <c r="G2575" t="str">
        <f>"9781118972304"</f>
        <v>9781118972304</v>
      </c>
      <c r="H2575" t="s">
        <v>308</v>
      </c>
      <c r="I2575">
        <v>297</v>
      </c>
      <c r="J2575" t="s">
        <v>581</v>
      </c>
      <c r="K2575" t="s">
        <v>73</v>
      </c>
      <c r="N2575" t="s">
        <v>74</v>
      </c>
      <c r="O2575" t="s">
        <v>75</v>
      </c>
      <c r="P2575" t="s">
        <v>74</v>
      </c>
      <c r="Q2575" t="s">
        <v>76</v>
      </c>
      <c r="R2575" t="s">
        <v>73</v>
      </c>
      <c r="S2575">
        <v>0</v>
      </c>
      <c r="W2575" s="20">
        <v>3.4722222222222222E-5</v>
      </c>
      <c r="X2575" t="s">
        <v>132</v>
      </c>
      <c r="Y2575">
        <v>1</v>
      </c>
      <c r="Z2575">
        <v>0</v>
      </c>
      <c r="AA2575" t="s">
        <v>78</v>
      </c>
      <c r="AB2575">
        <v>0</v>
      </c>
      <c r="AC2575" t="s">
        <v>78</v>
      </c>
      <c r="AD2575">
        <v>0</v>
      </c>
      <c r="AE2575">
        <v>11124854</v>
      </c>
      <c r="AF2575" t="s">
        <v>79</v>
      </c>
      <c r="AG2575" t="s">
        <v>5600</v>
      </c>
    </row>
    <row r="2576" spans="1:33" x14ac:dyDescent="0.35">
      <c r="A2576" s="18">
        <v>44247.754861111112</v>
      </c>
      <c r="B2576">
        <v>4451500</v>
      </c>
      <c r="C2576" t="s">
        <v>5651</v>
      </c>
      <c r="D2576" t="s">
        <v>70</v>
      </c>
      <c r="E2576" s="19">
        <v>42492</v>
      </c>
      <c r="F2576" t="str">
        <f>"9781118918913"</f>
        <v>9781118918913</v>
      </c>
      <c r="G2576" t="str">
        <f>"9781118918937"</f>
        <v>9781118918937</v>
      </c>
      <c r="H2576" t="s">
        <v>1122</v>
      </c>
      <c r="I2576">
        <v>629.04600000000005</v>
      </c>
      <c r="J2576" t="s">
        <v>5652</v>
      </c>
      <c r="K2576" t="s">
        <v>73</v>
      </c>
      <c r="N2576" t="s">
        <v>74</v>
      </c>
      <c r="O2576" t="s">
        <v>75</v>
      </c>
      <c r="P2576" t="s">
        <v>74</v>
      </c>
      <c r="Q2576" t="s">
        <v>76</v>
      </c>
      <c r="R2576" t="s">
        <v>73</v>
      </c>
      <c r="S2576">
        <v>1</v>
      </c>
      <c r="W2576" s="20">
        <v>4.1782407407407402E-3</v>
      </c>
      <c r="X2576" t="s">
        <v>5653</v>
      </c>
      <c r="Y2576">
        <v>23</v>
      </c>
      <c r="Z2576">
        <v>0</v>
      </c>
      <c r="AA2576" t="s">
        <v>78</v>
      </c>
      <c r="AB2576">
        <v>0</v>
      </c>
      <c r="AC2576" t="s">
        <v>2911</v>
      </c>
      <c r="AD2576">
        <v>1</v>
      </c>
      <c r="AE2576">
        <v>11174064</v>
      </c>
      <c r="AF2576" t="s">
        <v>88</v>
      </c>
      <c r="AG2576" t="s">
        <v>5654</v>
      </c>
    </row>
    <row r="2577" spans="1:33" x14ac:dyDescent="0.35">
      <c r="A2577" s="18">
        <v>44247.683333333334</v>
      </c>
      <c r="B2577">
        <v>3339142</v>
      </c>
      <c r="C2577" t="s">
        <v>1890</v>
      </c>
      <c r="D2577" t="s">
        <v>300</v>
      </c>
      <c r="E2577" s="19">
        <v>40025</v>
      </c>
      <c r="F2577" t="str">
        <f>"9780262270830"</f>
        <v>9780262270830</v>
      </c>
      <c r="G2577" t="str">
        <f>"9780262533058"</f>
        <v>9780262533058</v>
      </c>
      <c r="H2577" t="s">
        <v>110</v>
      </c>
      <c r="I2577">
        <v>5.0999999999999996</v>
      </c>
      <c r="J2577" t="s">
        <v>1891</v>
      </c>
      <c r="K2577" t="s">
        <v>73</v>
      </c>
      <c r="N2577" t="s">
        <v>74</v>
      </c>
      <c r="O2577" t="s">
        <v>75</v>
      </c>
      <c r="P2577" t="s">
        <v>74</v>
      </c>
      <c r="Q2577" t="s">
        <v>76</v>
      </c>
      <c r="R2577" t="s">
        <v>73</v>
      </c>
      <c r="S2577">
        <v>0</v>
      </c>
      <c r="W2577" s="20">
        <v>8.3912037037037045E-3</v>
      </c>
      <c r="X2577" t="s">
        <v>5655</v>
      </c>
      <c r="Y2577">
        <v>19</v>
      </c>
      <c r="Z2577">
        <v>0</v>
      </c>
      <c r="AA2577" t="s">
        <v>78</v>
      </c>
      <c r="AB2577">
        <v>0</v>
      </c>
      <c r="AC2577" t="s">
        <v>78</v>
      </c>
      <c r="AD2577">
        <v>0</v>
      </c>
      <c r="AE2577">
        <v>10397652</v>
      </c>
      <c r="AF2577" t="s">
        <v>88</v>
      </c>
      <c r="AG2577" t="s">
        <v>5298</v>
      </c>
    </row>
    <row r="2578" spans="1:33" x14ac:dyDescent="0.35">
      <c r="A2578" s="18">
        <v>44247.681944444441</v>
      </c>
      <c r="B2578">
        <v>583642</v>
      </c>
      <c r="C2578" t="s">
        <v>2337</v>
      </c>
      <c r="D2578" t="s">
        <v>205</v>
      </c>
      <c r="E2578" s="19">
        <v>40210</v>
      </c>
      <c r="F2578" t="str">
        <f>"9781596930902"</f>
        <v>9781596930902</v>
      </c>
      <c r="G2578" t="str">
        <f>"9781596930896"</f>
        <v>9781596930896</v>
      </c>
      <c r="H2578" t="s">
        <v>2338</v>
      </c>
      <c r="I2578">
        <v>621.38482999999997</v>
      </c>
      <c r="J2578" t="s">
        <v>2339</v>
      </c>
      <c r="K2578" t="s">
        <v>73</v>
      </c>
      <c r="N2578" t="s">
        <v>74</v>
      </c>
      <c r="O2578" t="s">
        <v>75</v>
      </c>
      <c r="P2578" t="s">
        <v>74</v>
      </c>
      <c r="Q2578" t="s">
        <v>76</v>
      </c>
      <c r="R2578" t="s">
        <v>73</v>
      </c>
      <c r="S2578">
        <v>0</v>
      </c>
      <c r="W2578" s="20">
        <v>5.7870370370370366E-5</v>
      </c>
      <c r="X2578" t="s">
        <v>132</v>
      </c>
      <c r="Y2578">
        <v>1</v>
      </c>
      <c r="Z2578">
        <v>0</v>
      </c>
      <c r="AA2578" t="s">
        <v>78</v>
      </c>
      <c r="AB2578">
        <v>0</v>
      </c>
      <c r="AC2578" t="s">
        <v>78</v>
      </c>
      <c r="AD2578">
        <v>0</v>
      </c>
      <c r="AE2578">
        <v>10393271</v>
      </c>
      <c r="AF2578" t="s">
        <v>79</v>
      </c>
      <c r="AG2578" t="s">
        <v>5298</v>
      </c>
    </row>
    <row r="2579" spans="1:33" x14ac:dyDescent="0.35">
      <c r="A2579" s="18">
        <v>44247.620138888888</v>
      </c>
      <c r="B2579">
        <v>1204633</v>
      </c>
      <c r="C2579" t="s">
        <v>1560</v>
      </c>
      <c r="D2579" t="s">
        <v>70</v>
      </c>
      <c r="E2579" s="19">
        <v>41512</v>
      </c>
      <c r="F2579" t="str">
        <f>"9781118450444"</f>
        <v>9781118450444</v>
      </c>
      <c r="G2579" t="str">
        <f>"9780470673768"</f>
        <v>9780470673768</v>
      </c>
      <c r="H2579" t="s">
        <v>1561</v>
      </c>
      <c r="I2579">
        <v>552.5</v>
      </c>
      <c r="J2579" t="s">
        <v>1562</v>
      </c>
      <c r="K2579" t="s">
        <v>73</v>
      </c>
      <c r="N2579" t="s">
        <v>74</v>
      </c>
      <c r="O2579" t="s">
        <v>75</v>
      </c>
      <c r="P2579" t="s">
        <v>74</v>
      </c>
      <c r="Q2579" t="s">
        <v>76</v>
      </c>
      <c r="R2579" t="s">
        <v>73</v>
      </c>
      <c r="S2579">
        <v>0</v>
      </c>
      <c r="W2579" s="20">
        <v>1.2268518518518518E-3</v>
      </c>
      <c r="X2579" t="s">
        <v>5656</v>
      </c>
      <c r="Y2579">
        <v>10</v>
      </c>
      <c r="Z2579">
        <v>2</v>
      </c>
      <c r="AA2579" t="s">
        <v>5657</v>
      </c>
      <c r="AB2579">
        <v>94</v>
      </c>
      <c r="AC2579" t="s">
        <v>78</v>
      </c>
      <c r="AD2579">
        <v>0</v>
      </c>
      <c r="AE2579">
        <v>10713576</v>
      </c>
      <c r="AF2579" t="s">
        <v>88</v>
      </c>
      <c r="AG2579" t="s">
        <v>5658</v>
      </c>
    </row>
    <row r="2580" spans="1:33" x14ac:dyDescent="0.35">
      <c r="A2580" s="18">
        <v>44247.619444444441</v>
      </c>
      <c r="B2580">
        <v>826883</v>
      </c>
      <c r="C2580" t="s">
        <v>2059</v>
      </c>
      <c r="D2580" t="s">
        <v>70</v>
      </c>
      <c r="E2580" s="19">
        <v>40918</v>
      </c>
      <c r="F2580" t="str">
        <f>"9781444347135"</f>
        <v>9781444347135</v>
      </c>
      <c r="G2580" t="str">
        <f>"9781405194655"</f>
        <v>9781405194655</v>
      </c>
      <c r="H2580" t="s">
        <v>1561</v>
      </c>
      <c r="I2580">
        <v>551.79999999999995</v>
      </c>
      <c r="J2580" t="s">
        <v>2060</v>
      </c>
      <c r="K2580" t="s">
        <v>73</v>
      </c>
      <c r="N2580" t="s">
        <v>74</v>
      </c>
      <c r="O2580" t="s">
        <v>75</v>
      </c>
      <c r="P2580" t="s">
        <v>74</v>
      </c>
      <c r="Q2580" t="s">
        <v>76</v>
      </c>
      <c r="R2580" t="s">
        <v>73</v>
      </c>
      <c r="S2580">
        <v>0</v>
      </c>
      <c r="W2580" s="20">
        <v>5.7870370370370366E-5</v>
      </c>
      <c r="X2580" t="s">
        <v>132</v>
      </c>
      <c r="Y2580">
        <v>1</v>
      </c>
      <c r="Z2580">
        <v>0</v>
      </c>
      <c r="AA2580" t="s">
        <v>78</v>
      </c>
      <c r="AB2580">
        <v>0</v>
      </c>
      <c r="AC2580" t="s">
        <v>78</v>
      </c>
      <c r="AD2580">
        <v>0</v>
      </c>
      <c r="AE2580">
        <v>10524044</v>
      </c>
      <c r="AF2580" t="s">
        <v>88</v>
      </c>
      <c r="AG2580" t="s">
        <v>5658</v>
      </c>
    </row>
    <row r="2581" spans="1:33" x14ac:dyDescent="0.35">
      <c r="A2581" s="18">
        <v>44247.593055555553</v>
      </c>
      <c r="B2581">
        <v>5491559</v>
      </c>
      <c r="C2581" t="s">
        <v>5659</v>
      </c>
      <c r="D2581" t="s">
        <v>5660</v>
      </c>
      <c r="E2581" s="19">
        <v>41486</v>
      </c>
      <c r="F2581" t="str">
        <f>"9780810166622"</f>
        <v>9780810166622</v>
      </c>
      <c r="G2581" t="str">
        <f>"9780810129122"</f>
        <v>9780810129122</v>
      </c>
      <c r="H2581" t="s">
        <v>528</v>
      </c>
      <c r="I2581">
        <v>146.30000000000001</v>
      </c>
      <c r="J2581" t="s">
        <v>5661</v>
      </c>
      <c r="K2581" t="s">
        <v>73</v>
      </c>
      <c r="N2581" t="s">
        <v>74</v>
      </c>
      <c r="O2581" t="s">
        <v>75</v>
      </c>
      <c r="P2581" t="s">
        <v>74</v>
      </c>
      <c r="Q2581" t="s">
        <v>76</v>
      </c>
      <c r="R2581" t="s">
        <v>73</v>
      </c>
      <c r="S2581">
        <v>0</v>
      </c>
      <c r="W2581" s="20">
        <v>2.2569444444444444E-2</v>
      </c>
      <c r="X2581" t="s">
        <v>5662</v>
      </c>
      <c r="Y2581">
        <v>9</v>
      </c>
      <c r="Z2581">
        <v>0</v>
      </c>
      <c r="AA2581" t="s">
        <v>78</v>
      </c>
      <c r="AB2581">
        <v>0</v>
      </c>
      <c r="AC2581" t="s">
        <v>78</v>
      </c>
      <c r="AD2581">
        <v>0</v>
      </c>
      <c r="AE2581">
        <v>11600821</v>
      </c>
      <c r="AF2581" t="s">
        <v>79</v>
      </c>
      <c r="AG2581" t="s">
        <v>5298</v>
      </c>
    </row>
    <row r="2582" spans="1:33" x14ac:dyDescent="0.35">
      <c r="A2582" s="18">
        <v>44247.509722222225</v>
      </c>
      <c r="B2582">
        <v>5491559</v>
      </c>
      <c r="C2582" t="s">
        <v>5659</v>
      </c>
      <c r="D2582" t="s">
        <v>5660</v>
      </c>
      <c r="E2582" s="19">
        <v>41486</v>
      </c>
      <c r="F2582" t="str">
        <f>"9780810166622"</f>
        <v>9780810166622</v>
      </c>
      <c r="G2582" t="str">
        <f>"9780810129122"</f>
        <v>9780810129122</v>
      </c>
      <c r="H2582" t="s">
        <v>528</v>
      </c>
      <c r="I2582">
        <v>146.30000000000001</v>
      </c>
      <c r="J2582" t="s">
        <v>5661</v>
      </c>
      <c r="K2582" t="s">
        <v>73</v>
      </c>
      <c r="N2582" t="s">
        <v>74</v>
      </c>
      <c r="O2582" t="s">
        <v>75</v>
      </c>
      <c r="P2582" t="s">
        <v>74</v>
      </c>
      <c r="Q2582" t="s">
        <v>76</v>
      </c>
      <c r="R2582" t="s">
        <v>73</v>
      </c>
      <c r="S2582">
        <v>0</v>
      </c>
      <c r="W2582" s="20">
        <v>1.5856481481481479E-3</v>
      </c>
      <c r="X2582" t="s">
        <v>5663</v>
      </c>
      <c r="Y2582">
        <v>37</v>
      </c>
      <c r="Z2582">
        <v>1</v>
      </c>
      <c r="AA2582" t="s">
        <v>5664</v>
      </c>
      <c r="AB2582">
        <v>46</v>
      </c>
      <c r="AC2582" t="s">
        <v>78</v>
      </c>
      <c r="AD2582">
        <v>0</v>
      </c>
      <c r="AE2582">
        <v>11600821</v>
      </c>
      <c r="AF2582" t="s">
        <v>79</v>
      </c>
      <c r="AG2582" t="s">
        <v>5298</v>
      </c>
    </row>
    <row r="2583" spans="1:33" x14ac:dyDescent="0.35">
      <c r="A2583" s="18">
        <v>44246.963888888888</v>
      </c>
      <c r="B2583">
        <v>1666495</v>
      </c>
      <c r="C2583" t="s">
        <v>5665</v>
      </c>
      <c r="D2583" t="s">
        <v>70</v>
      </c>
      <c r="E2583" s="19">
        <v>41757</v>
      </c>
      <c r="F2583" t="str">
        <f>"9781118875179"</f>
        <v>9781118875179</v>
      </c>
      <c r="G2583" t="str">
        <f>"9781118875193"</f>
        <v>9781118875193</v>
      </c>
      <c r="H2583" t="s">
        <v>391</v>
      </c>
      <c r="I2583">
        <v>665.81</v>
      </c>
      <c r="J2583" t="s">
        <v>5666</v>
      </c>
      <c r="K2583" t="s">
        <v>73</v>
      </c>
      <c r="N2583" t="s">
        <v>74</v>
      </c>
      <c r="O2583" t="s">
        <v>75</v>
      </c>
      <c r="P2583" t="s">
        <v>74</v>
      </c>
      <c r="Q2583" t="s">
        <v>76</v>
      </c>
      <c r="R2583" t="s">
        <v>73</v>
      </c>
      <c r="S2583">
        <v>2</v>
      </c>
      <c r="W2583" s="20">
        <v>3.5879629629629629E-3</v>
      </c>
      <c r="X2583" t="s">
        <v>5667</v>
      </c>
      <c r="Y2583">
        <v>13</v>
      </c>
      <c r="Z2583">
        <v>1</v>
      </c>
      <c r="AA2583" t="s">
        <v>615</v>
      </c>
      <c r="AB2583">
        <v>4</v>
      </c>
      <c r="AC2583" t="s">
        <v>78</v>
      </c>
      <c r="AD2583">
        <v>0</v>
      </c>
      <c r="AE2583">
        <v>10860970</v>
      </c>
      <c r="AF2583" t="s">
        <v>88</v>
      </c>
      <c r="AG2583" t="s">
        <v>5668</v>
      </c>
    </row>
    <row r="2584" spans="1:33" x14ac:dyDescent="0.35">
      <c r="A2584" s="18">
        <v>44246.950694444444</v>
      </c>
      <c r="B2584">
        <v>1666495</v>
      </c>
      <c r="C2584" t="s">
        <v>5665</v>
      </c>
      <c r="D2584" t="s">
        <v>70</v>
      </c>
      <c r="E2584" s="19">
        <v>41757</v>
      </c>
      <c r="F2584" t="str">
        <f>"9781118875179"</f>
        <v>9781118875179</v>
      </c>
      <c r="G2584" t="str">
        <f>"9781118875193"</f>
        <v>9781118875193</v>
      </c>
      <c r="H2584" t="s">
        <v>391</v>
      </c>
      <c r="I2584">
        <v>665.81</v>
      </c>
      <c r="J2584" t="s">
        <v>5666</v>
      </c>
      <c r="K2584" t="s">
        <v>73</v>
      </c>
      <c r="N2584" t="s">
        <v>74</v>
      </c>
      <c r="O2584" t="s">
        <v>75</v>
      </c>
      <c r="P2584" t="s">
        <v>74</v>
      </c>
      <c r="Q2584" t="s">
        <v>76</v>
      </c>
      <c r="R2584" t="s">
        <v>73</v>
      </c>
      <c r="S2584">
        <v>0</v>
      </c>
      <c r="W2584" s="20">
        <v>1.0416666666666667E-4</v>
      </c>
      <c r="X2584" t="s">
        <v>125</v>
      </c>
      <c r="Y2584">
        <v>2</v>
      </c>
      <c r="Z2584">
        <v>1</v>
      </c>
      <c r="AA2584" t="s">
        <v>5669</v>
      </c>
      <c r="AB2584">
        <v>24</v>
      </c>
      <c r="AC2584" t="s">
        <v>78</v>
      </c>
      <c r="AD2584">
        <v>0</v>
      </c>
      <c r="AE2584">
        <v>10860970</v>
      </c>
      <c r="AF2584" t="s">
        <v>79</v>
      </c>
      <c r="AG2584" t="s">
        <v>5668</v>
      </c>
    </row>
    <row r="2585" spans="1:33" x14ac:dyDescent="0.35">
      <c r="A2585" s="18">
        <v>44246.741666666669</v>
      </c>
      <c r="B2585">
        <v>816161</v>
      </c>
      <c r="C2585" t="s">
        <v>5670</v>
      </c>
      <c r="D2585" t="s">
        <v>3175</v>
      </c>
      <c r="E2585" s="19">
        <v>40877</v>
      </c>
      <c r="F2585" t="str">
        <f>"9781455778577"</f>
        <v>9781455778577</v>
      </c>
      <c r="G2585" t="str">
        <f>"9781455778621"</f>
        <v>9781455778621</v>
      </c>
      <c r="H2585" t="s">
        <v>222</v>
      </c>
      <c r="I2585">
        <v>617.60028</v>
      </c>
      <c r="J2585" t="s">
        <v>5671</v>
      </c>
      <c r="K2585" t="s">
        <v>73</v>
      </c>
      <c r="N2585" t="s">
        <v>74</v>
      </c>
      <c r="O2585" t="s">
        <v>75</v>
      </c>
      <c r="P2585" t="s">
        <v>74</v>
      </c>
      <c r="Q2585" t="s">
        <v>76</v>
      </c>
      <c r="R2585" t="s">
        <v>73</v>
      </c>
      <c r="S2585">
        <v>0</v>
      </c>
      <c r="W2585" s="20">
        <v>1.1180555555555556E-2</v>
      </c>
      <c r="X2585" t="s">
        <v>5672</v>
      </c>
      <c r="Y2585">
        <v>25</v>
      </c>
      <c r="Z2585">
        <v>0</v>
      </c>
      <c r="AA2585" t="s">
        <v>78</v>
      </c>
      <c r="AB2585">
        <v>0</v>
      </c>
      <c r="AC2585" t="s">
        <v>5673</v>
      </c>
      <c r="AD2585">
        <v>4</v>
      </c>
      <c r="AE2585">
        <v>10518400</v>
      </c>
      <c r="AF2585" t="s">
        <v>79</v>
      </c>
      <c r="AG2585" t="s">
        <v>3345</v>
      </c>
    </row>
    <row r="2586" spans="1:33" x14ac:dyDescent="0.35">
      <c r="A2586" s="18">
        <v>44246.713888888888</v>
      </c>
      <c r="B2586">
        <v>5356823</v>
      </c>
      <c r="C2586" t="s">
        <v>5674</v>
      </c>
      <c r="D2586" t="s">
        <v>200</v>
      </c>
      <c r="E2586" s="19">
        <v>43217</v>
      </c>
      <c r="F2586" t="str">
        <f>"9789811069130"</f>
        <v>9789811069130</v>
      </c>
      <c r="G2586" t="str">
        <f>"9789811069123"</f>
        <v>9789811069123</v>
      </c>
      <c r="H2586" t="s">
        <v>275</v>
      </c>
      <c r="I2586">
        <v>620.11500000000001</v>
      </c>
      <c r="J2586" t="s">
        <v>980</v>
      </c>
      <c r="K2586" t="s">
        <v>85</v>
      </c>
      <c r="N2586" t="s">
        <v>86</v>
      </c>
      <c r="P2586" t="s">
        <v>297</v>
      </c>
      <c r="Q2586" t="s">
        <v>76</v>
      </c>
      <c r="R2586" t="s">
        <v>73</v>
      </c>
      <c r="S2586">
        <v>0</v>
      </c>
      <c r="W2586" s="20">
        <v>2.2627314814814819E-2</v>
      </c>
      <c r="X2586" t="s">
        <v>5675</v>
      </c>
      <c r="Y2586">
        <v>25</v>
      </c>
      <c r="Z2586">
        <v>0</v>
      </c>
      <c r="AA2586" t="s">
        <v>78</v>
      </c>
      <c r="AB2586">
        <v>0</v>
      </c>
      <c r="AC2586" t="s">
        <v>5676</v>
      </c>
      <c r="AD2586">
        <v>8</v>
      </c>
      <c r="AE2586">
        <v>11549957</v>
      </c>
      <c r="AF2586" t="s">
        <v>79</v>
      </c>
      <c r="AG2586" t="s">
        <v>3345</v>
      </c>
    </row>
    <row r="2587" spans="1:33" x14ac:dyDescent="0.35">
      <c r="A2587" s="18">
        <v>44246.690972222219</v>
      </c>
      <c r="B2587">
        <v>1913317</v>
      </c>
      <c r="C2587" t="s">
        <v>5677</v>
      </c>
      <c r="D2587" t="s">
        <v>3175</v>
      </c>
      <c r="E2587" s="19">
        <v>42012</v>
      </c>
      <c r="F2587" t="str">
        <f>"9780323353038"</f>
        <v>9780323353038</v>
      </c>
      <c r="G2587" t="str">
        <f>"9780323328890"</f>
        <v>9780323328890</v>
      </c>
      <c r="H2587" t="s">
        <v>5678</v>
      </c>
      <c r="I2587" t="s">
        <v>2963</v>
      </c>
      <c r="J2587" t="s">
        <v>5679</v>
      </c>
      <c r="K2587" t="s">
        <v>73</v>
      </c>
      <c r="N2587" t="s">
        <v>74</v>
      </c>
      <c r="O2587" t="s">
        <v>75</v>
      </c>
      <c r="P2587" t="s">
        <v>74</v>
      </c>
      <c r="Q2587" t="s">
        <v>76</v>
      </c>
      <c r="R2587" t="s">
        <v>73</v>
      </c>
      <c r="S2587">
        <v>0</v>
      </c>
      <c r="W2587" s="20">
        <v>9.525462962962963E-3</v>
      </c>
      <c r="X2587" t="s">
        <v>5680</v>
      </c>
      <c r="Y2587">
        <v>12</v>
      </c>
      <c r="Z2587">
        <v>0</v>
      </c>
      <c r="AA2587" t="s">
        <v>78</v>
      </c>
      <c r="AB2587">
        <v>0</v>
      </c>
      <c r="AC2587" t="s">
        <v>5681</v>
      </c>
      <c r="AD2587">
        <v>3</v>
      </c>
      <c r="AE2587">
        <v>11001787</v>
      </c>
      <c r="AF2587" t="s">
        <v>79</v>
      </c>
      <c r="AG2587" t="s">
        <v>3345</v>
      </c>
    </row>
    <row r="2588" spans="1:33" x14ac:dyDescent="0.35">
      <c r="A2588" s="18">
        <v>44246.686111111114</v>
      </c>
      <c r="B2588">
        <v>4354916</v>
      </c>
      <c r="C2588" t="s">
        <v>5583</v>
      </c>
      <c r="D2588" t="s">
        <v>502</v>
      </c>
      <c r="E2588" s="19">
        <v>42262</v>
      </c>
      <c r="F2588" t="str">
        <f>"9781780405049"</f>
        <v>9781780405049</v>
      </c>
      <c r="G2588" t="str">
        <f>"9781780405056"</f>
        <v>9781780405056</v>
      </c>
      <c r="H2588" t="s">
        <v>374</v>
      </c>
      <c r="I2588">
        <v>628.16700000000003</v>
      </c>
      <c r="J2588" t="s">
        <v>5584</v>
      </c>
      <c r="K2588" t="s">
        <v>73</v>
      </c>
      <c r="N2588" t="s">
        <v>74</v>
      </c>
      <c r="O2588" t="s">
        <v>75</v>
      </c>
      <c r="P2588" t="s">
        <v>74</v>
      </c>
      <c r="Q2588" t="s">
        <v>76</v>
      </c>
      <c r="R2588" t="s">
        <v>73</v>
      </c>
      <c r="S2588">
        <v>0</v>
      </c>
      <c r="W2588" s="20">
        <v>2.2569444444444447E-3</v>
      </c>
      <c r="X2588" t="s">
        <v>5682</v>
      </c>
      <c r="Y2588">
        <v>26</v>
      </c>
      <c r="Z2588">
        <v>0</v>
      </c>
      <c r="AA2588" t="s">
        <v>78</v>
      </c>
      <c r="AB2588">
        <v>0</v>
      </c>
      <c r="AC2588" t="s">
        <v>78</v>
      </c>
      <c r="AD2588">
        <v>0</v>
      </c>
      <c r="AE2588">
        <v>11149512</v>
      </c>
      <c r="AF2588" t="s">
        <v>88</v>
      </c>
      <c r="AG2588" t="s">
        <v>5683</v>
      </c>
    </row>
    <row r="2589" spans="1:33" x14ac:dyDescent="0.35">
      <c r="A2589" s="18">
        <v>44246.662499999999</v>
      </c>
      <c r="B2589">
        <v>4043002</v>
      </c>
      <c r="C2589" t="s">
        <v>5190</v>
      </c>
      <c r="D2589" t="s">
        <v>70</v>
      </c>
      <c r="E2589" s="19">
        <v>42388</v>
      </c>
      <c r="F2589" t="str">
        <f>"9781119045076"</f>
        <v>9781119045076</v>
      </c>
      <c r="G2589" t="str">
        <f>"9781119045069"</f>
        <v>9781119045069</v>
      </c>
      <c r="H2589" t="s">
        <v>128</v>
      </c>
      <c r="I2589" t="s">
        <v>5191</v>
      </c>
      <c r="J2589" t="s">
        <v>5192</v>
      </c>
      <c r="K2589" t="s">
        <v>73</v>
      </c>
      <c r="N2589" t="s">
        <v>74</v>
      </c>
      <c r="O2589" t="s">
        <v>75</v>
      </c>
      <c r="P2589" t="s">
        <v>74</v>
      </c>
      <c r="Q2589" t="s">
        <v>76</v>
      </c>
      <c r="R2589" t="s">
        <v>73</v>
      </c>
      <c r="S2589">
        <v>0</v>
      </c>
      <c r="W2589" s="20">
        <v>7.4074074074074068E-3</v>
      </c>
      <c r="X2589" t="s">
        <v>5684</v>
      </c>
      <c r="Y2589">
        <v>20</v>
      </c>
      <c r="Z2589">
        <v>0</v>
      </c>
      <c r="AA2589" t="s">
        <v>78</v>
      </c>
      <c r="AB2589">
        <v>0</v>
      </c>
      <c r="AC2589" t="s">
        <v>78</v>
      </c>
      <c r="AD2589">
        <v>0</v>
      </c>
      <c r="AE2589">
        <v>11115179</v>
      </c>
      <c r="AF2589" t="s">
        <v>79</v>
      </c>
      <c r="AG2589" t="s">
        <v>5298</v>
      </c>
    </row>
    <row r="2590" spans="1:33" x14ac:dyDescent="0.35">
      <c r="A2590" s="18">
        <v>44246.104861111111</v>
      </c>
      <c r="B2590">
        <v>4043002</v>
      </c>
      <c r="C2590" t="s">
        <v>5190</v>
      </c>
      <c r="D2590" t="s">
        <v>70</v>
      </c>
      <c r="E2590" s="19">
        <v>42388</v>
      </c>
      <c r="F2590" t="str">
        <f>"9781119045076"</f>
        <v>9781119045076</v>
      </c>
      <c r="G2590" t="str">
        <f>"9781119045069"</f>
        <v>9781119045069</v>
      </c>
      <c r="H2590" t="s">
        <v>128</v>
      </c>
      <c r="I2590" t="s">
        <v>5191</v>
      </c>
      <c r="J2590" t="s">
        <v>5192</v>
      </c>
      <c r="K2590" t="s">
        <v>73</v>
      </c>
      <c r="N2590" t="s">
        <v>74</v>
      </c>
      <c r="O2590" t="s">
        <v>75</v>
      </c>
      <c r="P2590" t="s">
        <v>74</v>
      </c>
      <c r="Q2590" t="s">
        <v>76</v>
      </c>
      <c r="R2590" t="s">
        <v>73</v>
      </c>
      <c r="S2590">
        <v>0</v>
      </c>
      <c r="W2590" s="20">
        <v>1.9907407407407408E-3</v>
      </c>
      <c r="X2590" t="s">
        <v>5685</v>
      </c>
      <c r="Y2590">
        <v>18</v>
      </c>
      <c r="Z2590">
        <v>0</v>
      </c>
      <c r="AA2590" t="s">
        <v>78</v>
      </c>
      <c r="AB2590">
        <v>0</v>
      </c>
      <c r="AC2590" t="s">
        <v>78</v>
      </c>
      <c r="AD2590">
        <v>0</v>
      </c>
      <c r="AE2590">
        <v>11115179</v>
      </c>
      <c r="AF2590" t="s">
        <v>79</v>
      </c>
      <c r="AG2590" t="s">
        <v>3345</v>
      </c>
    </row>
    <row r="2591" spans="1:33" x14ac:dyDescent="0.35">
      <c r="A2591" s="18">
        <v>44246.071527777778</v>
      </c>
      <c r="B2591">
        <v>4043002</v>
      </c>
      <c r="C2591" t="s">
        <v>5190</v>
      </c>
      <c r="D2591" t="s">
        <v>70</v>
      </c>
      <c r="E2591" s="19">
        <v>42388</v>
      </c>
      <c r="F2591" t="str">
        <f>"9781119045076"</f>
        <v>9781119045076</v>
      </c>
      <c r="G2591" t="str">
        <f>"9781119045069"</f>
        <v>9781119045069</v>
      </c>
      <c r="H2591" t="s">
        <v>128</v>
      </c>
      <c r="I2591" t="s">
        <v>5191</v>
      </c>
      <c r="J2591" t="s">
        <v>5192</v>
      </c>
      <c r="K2591" t="s">
        <v>73</v>
      </c>
      <c r="N2591" t="s">
        <v>74</v>
      </c>
      <c r="O2591" t="s">
        <v>75</v>
      </c>
      <c r="P2591" t="s">
        <v>74</v>
      </c>
      <c r="Q2591" t="s">
        <v>76</v>
      </c>
      <c r="R2591" t="s">
        <v>73</v>
      </c>
      <c r="S2591">
        <v>0</v>
      </c>
      <c r="W2591" s="20">
        <v>0</v>
      </c>
      <c r="X2591" t="s">
        <v>5686</v>
      </c>
      <c r="Y2591">
        <v>1</v>
      </c>
      <c r="Z2591">
        <v>0</v>
      </c>
      <c r="AA2591" t="s">
        <v>78</v>
      </c>
      <c r="AB2591">
        <v>0</v>
      </c>
      <c r="AC2591" t="s">
        <v>78</v>
      </c>
      <c r="AD2591">
        <v>0</v>
      </c>
      <c r="AE2591">
        <v>11115179</v>
      </c>
      <c r="AF2591" t="s">
        <v>79</v>
      </c>
      <c r="AG2591" t="s">
        <v>3345</v>
      </c>
    </row>
    <row r="2592" spans="1:33" x14ac:dyDescent="0.35">
      <c r="A2592" s="18">
        <v>44245.921527777777</v>
      </c>
      <c r="B2592">
        <v>4043002</v>
      </c>
      <c r="C2592" t="s">
        <v>5190</v>
      </c>
      <c r="D2592" t="s">
        <v>70</v>
      </c>
      <c r="E2592" s="19">
        <v>42388</v>
      </c>
      <c r="F2592" t="str">
        <f>"9781119045076"</f>
        <v>9781119045076</v>
      </c>
      <c r="G2592" t="str">
        <f>"9781119045069"</f>
        <v>9781119045069</v>
      </c>
      <c r="H2592" t="s">
        <v>128</v>
      </c>
      <c r="I2592" t="s">
        <v>5191</v>
      </c>
      <c r="J2592" t="s">
        <v>5192</v>
      </c>
      <c r="K2592" t="s">
        <v>73</v>
      </c>
      <c r="N2592" t="s">
        <v>74</v>
      </c>
      <c r="O2592" t="s">
        <v>75</v>
      </c>
      <c r="P2592" t="s">
        <v>74</v>
      </c>
      <c r="Q2592" t="s">
        <v>76</v>
      </c>
      <c r="R2592" t="s">
        <v>73</v>
      </c>
      <c r="S2592">
        <v>0</v>
      </c>
      <c r="W2592" s="20">
        <v>7.0601851851851841E-3</v>
      </c>
      <c r="X2592" t="s">
        <v>5687</v>
      </c>
      <c r="Y2592">
        <v>19</v>
      </c>
      <c r="Z2592">
        <v>0</v>
      </c>
      <c r="AA2592" t="s">
        <v>78</v>
      </c>
      <c r="AB2592">
        <v>0</v>
      </c>
      <c r="AC2592" t="s">
        <v>5688</v>
      </c>
      <c r="AD2592">
        <v>1</v>
      </c>
      <c r="AE2592">
        <v>11115179</v>
      </c>
      <c r="AF2592" t="s">
        <v>79</v>
      </c>
      <c r="AG2592" t="s">
        <v>3345</v>
      </c>
    </row>
    <row r="2593" spans="1:33" x14ac:dyDescent="0.35">
      <c r="A2593" s="18">
        <v>44245.724305555559</v>
      </c>
      <c r="B2593">
        <v>954631</v>
      </c>
      <c r="C2593" t="s">
        <v>5689</v>
      </c>
      <c r="D2593" t="s">
        <v>1258</v>
      </c>
      <c r="E2593" s="19">
        <v>40892</v>
      </c>
      <c r="F2593" t="str">
        <f>"9781606502501"</f>
        <v>9781606502501</v>
      </c>
      <c r="G2593" t="str">
        <f>"9781606502488"</f>
        <v>9781606502488</v>
      </c>
      <c r="H2593" t="s">
        <v>222</v>
      </c>
      <c r="I2593">
        <v>610.28399999999999</v>
      </c>
      <c r="J2593" t="s">
        <v>5690</v>
      </c>
      <c r="K2593" t="s">
        <v>73</v>
      </c>
      <c r="N2593" t="s">
        <v>74</v>
      </c>
      <c r="O2593" t="s">
        <v>75</v>
      </c>
      <c r="P2593" t="s">
        <v>74</v>
      </c>
      <c r="Q2593" t="s">
        <v>76</v>
      </c>
      <c r="R2593" t="s">
        <v>73</v>
      </c>
      <c r="S2593">
        <v>0</v>
      </c>
      <c r="W2593" s="20">
        <v>3.7037037037037034E-3</v>
      </c>
      <c r="X2593" t="s">
        <v>5691</v>
      </c>
      <c r="Y2593">
        <v>19</v>
      </c>
      <c r="Z2593">
        <v>0</v>
      </c>
      <c r="AA2593" t="s">
        <v>78</v>
      </c>
      <c r="AB2593">
        <v>0</v>
      </c>
      <c r="AC2593" t="s">
        <v>78</v>
      </c>
      <c r="AD2593">
        <v>0</v>
      </c>
      <c r="AE2593">
        <v>10588193</v>
      </c>
      <c r="AF2593" t="s">
        <v>79</v>
      </c>
      <c r="AG2593" t="s">
        <v>5692</v>
      </c>
    </row>
    <row r="2594" spans="1:33" x14ac:dyDescent="0.35">
      <c r="A2594" s="18">
        <v>44245.717361111114</v>
      </c>
      <c r="B2594">
        <v>4043002</v>
      </c>
      <c r="C2594" t="s">
        <v>5190</v>
      </c>
      <c r="D2594" t="s">
        <v>70</v>
      </c>
      <c r="E2594" s="19">
        <v>42388</v>
      </c>
      <c r="F2594" t="str">
        <f>"9781119045076"</f>
        <v>9781119045076</v>
      </c>
      <c r="G2594" t="str">
        <f>"9781119045069"</f>
        <v>9781119045069</v>
      </c>
      <c r="H2594" t="s">
        <v>128</v>
      </c>
      <c r="I2594" t="s">
        <v>5191</v>
      </c>
      <c r="J2594" t="s">
        <v>5192</v>
      </c>
      <c r="K2594" t="s">
        <v>73</v>
      </c>
      <c r="N2594" t="s">
        <v>74</v>
      </c>
      <c r="O2594" t="s">
        <v>75</v>
      </c>
      <c r="P2594" t="s">
        <v>74</v>
      </c>
      <c r="Q2594" t="s">
        <v>76</v>
      </c>
      <c r="R2594" t="s">
        <v>73</v>
      </c>
      <c r="S2594">
        <v>0</v>
      </c>
      <c r="W2594" s="20">
        <v>3.4027777777777784E-3</v>
      </c>
      <c r="X2594" t="s">
        <v>5693</v>
      </c>
      <c r="Y2594">
        <v>29</v>
      </c>
      <c r="Z2594">
        <v>0</v>
      </c>
      <c r="AA2594" t="s">
        <v>78</v>
      </c>
      <c r="AB2594">
        <v>0</v>
      </c>
      <c r="AC2594" t="s">
        <v>78</v>
      </c>
      <c r="AD2594">
        <v>0</v>
      </c>
      <c r="AE2594">
        <v>11115179</v>
      </c>
      <c r="AF2594" t="s">
        <v>79</v>
      </c>
      <c r="AG2594" t="s">
        <v>3345</v>
      </c>
    </row>
    <row r="2595" spans="1:33" x14ac:dyDescent="0.35">
      <c r="A2595" s="18">
        <v>44245.678472222222</v>
      </c>
      <c r="B2595">
        <v>4043002</v>
      </c>
      <c r="C2595" t="s">
        <v>5190</v>
      </c>
      <c r="D2595" t="s">
        <v>70</v>
      </c>
      <c r="E2595" s="19">
        <v>42388</v>
      </c>
      <c r="F2595" t="str">
        <f>"9781119045076"</f>
        <v>9781119045076</v>
      </c>
      <c r="G2595" t="str">
        <f>"9781119045069"</f>
        <v>9781119045069</v>
      </c>
      <c r="H2595" t="s">
        <v>128</v>
      </c>
      <c r="I2595" t="s">
        <v>5191</v>
      </c>
      <c r="J2595" t="s">
        <v>5192</v>
      </c>
      <c r="K2595" t="s">
        <v>73</v>
      </c>
      <c r="N2595" t="s">
        <v>74</v>
      </c>
      <c r="O2595" t="s">
        <v>75</v>
      </c>
      <c r="P2595" t="s">
        <v>74</v>
      </c>
      <c r="Q2595" t="s">
        <v>76</v>
      </c>
      <c r="R2595" t="s">
        <v>73</v>
      </c>
      <c r="S2595">
        <v>0</v>
      </c>
      <c r="W2595" s="20">
        <v>7.8703703703703713E-3</v>
      </c>
      <c r="X2595" t="s">
        <v>5694</v>
      </c>
      <c r="Y2595">
        <v>25</v>
      </c>
      <c r="Z2595">
        <v>0</v>
      </c>
      <c r="AA2595" t="s">
        <v>78</v>
      </c>
      <c r="AB2595">
        <v>0</v>
      </c>
      <c r="AC2595" t="s">
        <v>5695</v>
      </c>
      <c r="AD2595">
        <v>3</v>
      </c>
      <c r="AE2595">
        <v>11115179</v>
      </c>
      <c r="AF2595" t="s">
        <v>88</v>
      </c>
      <c r="AG2595" t="s">
        <v>3345</v>
      </c>
    </row>
    <row r="2596" spans="1:33" x14ac:dyDescent="0.35">
      <c r="A2596" s="18">
        <v>44245.631944444445</v>
      </c>
      <c r="B2596">
        <v>4183001</v>
      </c>
      <c r="C2596" t="s">
        <v>580</v>
      </c>
      <c r="D2596" t="s">
        <v>70</v>
      </c>
      <c r="E2596" s="19">
        <v>42359</v>
      </c>
      <c r="F2596" t="str">
        <f>"9781118972311"</f>
        <v>9781118972311</v>
      </c>
      <c r="G2596" t="str">
        <f>"9781118972304"</f>
        <v>9781118972304</v>
      </c>
      <c r="H2596" t="s">
        <v>308</v>
      </c>
      <c r="I2596">
        <v>297</v>
      </c>
      <c r="J2596" t="s">
        <v>581</v>
      </c>
      <c r="K2596" t="s">
        <v>73</v>
      </c>
      <c r="N2596" t="s">
        <v>74</v>
      </c>
      <c r="O2596" t="s">
        <v>75</v>
      </c>
      <c r="P2596" t="s">
        <v>74</v>
      </c>
      <c r="Q2596" t="s">
        <v>76</v>
      </c>
      <c r="R2596" t="s">
        <v>73</v>
      </c>
      <c r="S2596">
        <v>2</v>
      </c>
      <c r="W2596" s="20">
        <v>2.3148148148148147E-5</v>
      </c>
      <c r="X2596" t="s">
        <v>132</v>
      </c>
      <c r="Y2596">
        <v>1</v>
      </c>
      <c r="Z2596">
        <v>0</v>
      </c>
      <c r="AA2596" t="s">
        <v>78</v>
      </c>
      <c r="AB2596">
        <v>0</v>
      </c>
      <c r="AC2596" t="s">
        <v>78</v>
      </c>
      <c r="AD2596">
        <v>0</v>
      </c>
      <c r="AE2596">
        <v>11124854</v>
      </c>
      <c r="AF2596" t="s">
        <v>88</v>
      </c>
      <c r="AG2596" t="s">
        <v>5600</v>
      </c>
    </row>
    <row r="2597" spans="1:33" x14ac:dyDescent="0.35">
      <c r="A2597" s="18">
        <v>44245.631249999999</v>
      </c>
      <c r="B2597">
        <v>4183001</v>
      </c>
      <c r="C2597" t="s">
        <v>580</v>
      </c>
      <c r="D2597" t="s">
        <v>70</v>
      </c>
      <c r="E2597" s="19">
        <v>42359</v>
      </c>
      <c r="F2597" t="str">
        <f>"9781118972311"</f>
        <v>9781118972311</v>
      </c>
      <c r="G2597" t="str">
        <f>"9781118972304"</f>
        <v>9781118972304</v>
      </c>
      <c r="H2597" t="s">
        <v>308</v>
      </c>
      <c r="I2597">
        <v>297</v>
      </c>
      <c r="J2597" t="s">
        <v>581</v>
      </c>
      <c r="K2597" t="s">
        <v>73</v>
      </c>
      <c r="N2597" t="s">
        <v>74</v>
      </c>
      <c r="O2597" t="s">
        <v>75</v>
      </c>
      <c r="P2597" t="s">
        <v>74</v>
      </c>
      <c r="Q2597" t="s">
        <v>76</v>
      </c>
      <c r="R2597" t="s">
        <v>73</v>
      </c>
      <c r="S2597">
        <v>0</v>
      </c>
      <c r="W2597" s="20">
        <v>0</v>
      </c>
      <c r="X2597" t="s">
        <v>78</v>
      </c>
      <c r="Y2597">
        <v>0</v>
      </c>
      <c r="Z2597">
        <v>0</v>
      </c>
      <c r="AA2597" t="s">
        <v>78</v>
      </c>
      <c r="AB2597">
        <v>0</v>
      </c>
      <c r="AC2597" t="s">
        <v>78</v>
      </c>
      <c r="AD2597">
        <v>0</v>
      </c>
      <c r="AE2597">
        <v>11124854</v>
      </c>
      <c r="AF2597" t="s">
        <v>79</v>
      </c>
      <c r="AG2597" t="s">
        <v>5600</v>
      </c>
    </row>
    <row r="2598" spans="1:33" x14ac:dyDescent="0.35">
      <c r="A2598" s="18">
        <v>44245.629861111112</v>
      </c>
      <c r="B2598">
        <v>4183001</v>
      </c>
      <c r="C2598" t="s">
        <v>580</v>
      </c>
      <c r="D2598" t="s">
        <v>70</v>
      </c>
      <c r="E2598" s="19">
        <v>42359</v>
      </c>
      <c r="F2598" t="str">
        <f>"9781118972311"</f>
        <v>9781118972311</v>
      </c>
      <c r="G2598" t="str">
        <f>"9781118972304"</f>
        <v>9781118972304</v>
      </c>
      <c r="H2598" t="s">
        <v>308</v>
      </c>
      <c r="I2598">
        <v>297</v>
      </c>
      <c r="J2598" t="s">
        <v>581</v>
      </c>
      <c r="K2598" t="s">
        <v>73</v>
      </c>
      <c r="N2598" t="s">
        <v>74</v>
      </c>
      <c r="O2598" t="s">
        <v>75</v>
      </c>
      <c r="P2598" t="s">
        <v>74</v>
      </c>
      <c r="Q2598" t="s">
        <v>76</v>
      </c>
      <c r="R2598" t="s">
        <v>73</v>
      </c>
      <c r="S2598">
        <v>0</v>
      </c>
      <c r="W2598" s="20">
        <v>4.6296296296296294E-5</v>
      </c>
      <c r="X2598" t="s">
        <v>132</v>
      </c>
      <c r="Y2598">
        <v>1</v>
      </c>
      <c r="Z2598">
        <v>0</v>
      </c>
      <c r="AA2598" t="s">
        <v>78</v>
      </c>
      <c r="AB2598">
        <v>0</v>
      </c>
      <c r="AC2598" t="s">
        <v>78</v>
      </c>
      <c r="AD2598">
        <v>0</v>
      </c>
      <c r="AE2598">
        <v>11124854</v>
      </c>
      <c r="AF2598" t="s">
        <v>79</v>
      </c>
      <c r="AG2598" t="s">
        <v>5600</v>
      </c>
    </row>
    <row r="2599" spans="1:33" x14ac:dyDescent="0.35">
      <c r="A2599" s="18">
        <v>44245.551388888889</v>
      </c>
      <c r="B2599">
        <v>1182977</v>
      </c>
      <c r="C2599" t="s">
        <v>755</v>
      </c>
      <c r="D2599" t="s">
        <v>538</v>
      </c>
      <c r="E2599" s="19">
        <v>41365</v>
      </c>
      <c r="F2599" t="str">
        <f>"9781107058255"</f>
        <v>9781107058255</v>
      </c>
      <c r="G2599" t="str">
        <f>"9781107033634"</f>
        <v>9781107033634</v>
      </c>
      <c r="H2599" t="s">
        <v>756</v>
      </c>
      <c r="I2599">
        <v>956.01499999999999</v>
      </c>
      <c r="J2599" t="s">
        <v>757</v>
      </c>
      <c r="K2599" t="s">
        <v>73</v>
      </c>
      <c r="N2599" t="s">
        <v>74</v>
      </c>
      <c r="O2599" t="s">
        <v>75</v>
      </c>
      <c r="P2599" t="s">
        <v>74</v>
      </c>
      <c r="Q2599" t="s">
        <v>76</v>
      </c>
      <c r="R2599" t="s">
        <v>73</v>
      </c>
      <c r="S2599">
        <v>0</v>
      </c>
      <c r="W2599" s="20">
        <v>1.2731481481481483E-3</v>
      </c>
      <c r="X2599" t="s">
        <v>5696</v>
      </c>
      <c r="Y2599">
        <v>12</v>
      </c>
      <c r="Z2599">
        <v>2</v>
      </c>
      <c r="AA2599" t="s">
        <v>5697</v>
      </c>
      <c r="AB2599">
        <v>3</v>
      </c>
      <c r="AC2599" t="s">
        <v>78</v>
      </c>
      <c r="AD2599">
        <v>0</v>
      </c>
      <c r="AE2599">
        <v>10753008</v>
      </c>
      <c r="AF2599" t="s">
        <v>79</v>
      </c>
      <c r="AG2599" t="s">
        <v>3345</v>
      </c>
    </row>
    <row r="2600" spans="1:33" x14ac:dyDescent="0.35">
      <c r="A2600" s="18">
        <v>44245.518055555556</v>
      </c>
      <c r="B2600">
        <v>3339142</v>
      </c>
      <c r="C2600" t="s">
        <v>1890</v>
      </c>
      <c r="D2600" t="s">
        <v>300</v>
      </c>
      <c r="E2600" s="19">
        <v>40025</v>
      </c>
      <c r="F2600" t="str">
        <f>"9780262270830"</f>
        <v>9780262270830</v>
      </c>
      <c r="G2600" t="str">
        <f>"9780262533058"</f>
        <v>9780262533058</v>
      </c>
      <c r="H2600" t="s">
        <v>110</v>
      </c>
      <c r="I2600">
        <v>5.0999999999999996</v>
      </c>
      <c r="J2600" t="s">
        <v>1891</v>
      </c>
      <c r="K2600" t="s">
        <v>73</v>
      </c>
      <c r="N2600" t="s">
        <v>74</v>
      </c>
      <c r="O2600" t="s">
        <v>75</v>
      </c>
      <c r="P2600" t="s">
        <v>74</v>
      </c>
      <c r="Q2600" t="s">
        <v>76</v>
      </c>
      <c r="R2600" t="s">
        <v>73</v>
      </c>
      <c r="S2600">
        <v>0</v>
      </c>
      <c r="W2600" s="20">
        <v>4.6296296296296294E-5</v>
      </c>
      <c r="X2600" t="s">
        <v>132</v>
      </c>
      <c r="Y2600">
        <v>1</v>
      </c>
      <c r="Z2600">
        <v>0</v>
      </c>
      <c r="AA2600" t="s">
        <v>78</v>
      </c>
      <c r="AB2600">
        <v>0</v>
      </c>
      <c r="AC2600" t="s">
        <v>78</v>
      </c>
      <c r="AD2600">
        <v>0</v>
      </c>
      <c r="AE2600">
        <v>10397652</v>
      </c>
      <c r="AF2600" t="s">
        <v>79</v>
      </c>
      <c r="AG2600" t="s">
        <v>3345</v>
      </c>
    </row>
    <row r="2601" spans="1:33" x14ac:dyDescent="0.35">
      <c r="A2601" s="18">
        <v>44245.477777777778</v>
      </c>
      <c r="B2601">
        <v>4307182</v>
      </c>
      <c r="C2601" t="s">
        <v>2672</v>
      </c>
      <c r="D2601" t="s">
        <v>1258</v>
      </c>
      <c r="E2601" s="19">
        <v>42361</v>
      </c>
      <c r="F2601" t="str">
        <f>"9781606508480"</f>
        <v>9781606508480</v>
      </c>
      <c r="G2601" t="str">
        <f>"9781606508473"</f>
        <v>9781606508473</v>
      </c>
      <c r="H2601" t="s">
        <v>2673</v>
      </c>
      <c r="I2601">
        <v>363.73874000000001</v>
      </c>
      <c r="J2601" t="s">
        <v>2674</v>
      </c>
      <c r="K2601" t="s">
        <v>73</v>
      </c>
      <c r="N2601" t="s">
        <v>74</v>
      </c>
      <c r="O2601" t="s">
        <v>75</v>
      </c>
      <c r="P2601" t="s">
        <v>74</v>
      </c>
      <c r="Q2601" t="s">
        <v>76</v>
      </c>
      <c r="R2601" t="s">
        <v>73</v>
      </c>
      <c r="S2601">
        <v>0</v>
      </c>
      <c r="W2601" s="20">
        <v>1.8518518518518518E-4</v>
      </c>
      <c r="X2601" t="s">
        <v>5698</v>
      </c>
      <c r="Y2601">
        <v>5</v>
      </c>
      <c r="Z2601">
        <v>0</v>
      </c>
      <c r="AA2601" t="s">
        <v>78</v>
      </c>
      <c r="AB2601">
        <v>0</v>
      </c>
      <c r="AC2601" t="s">
        <v>78</v>
      </c>
      <c r="AD2601">
        <v>0</v>
      </c>
      <c r="AE2601">
        <v>11147005</v>
      </c>
      <c r="AF2601" t="s">
        <v>79</v>
      </c>
      <c r="AG2601" t="s">
        <v>3345</v>
      </c>
    </row>
    <row r="2602" spans="1:33" x14ac:dyDescent="0.35">
      <c r="A2602" s="18">
        <v>44245.472222222219</v>
      </c>
      <c r="B2602">
        <v>6034013</v>
      </c>
      <c r="C2602" t="s">
        <v>5699</v>
      </c>
      <c r="D2602" t="s">
        <v>2504</v>
      </c>
      <c r="E2602" s="19">
        <v>44013</v>
      </c>
      <c r="F2602" t="str">
        <f>"9781922274014"</f>
        <v>9781922274014</v>
      </c>
      <c r="G2602" t="str">
        <f>"9781922274007"</f>
        <v>9781922274007</v>
      </c>
      <c r="H2602" t="s">
        <v>5700</v>
      </c>
      <c r="K2602" t="s">
        <v>73</v>
      </c>
      <c r="Q2602" t="s">
        <v>76</v>
      </c>
      <c r="R2602" t="s">
        <v>73</v>
      </c>
      <c r="S2602">
        <v>0</v>
      </c>
      <c r="W2602" s="20">
        <v>0</v>
      </c>
      <c r="X2602" t="s">
        <v>78</v>
      </c>
      <c r="Y2602">
        <v>0</v>
      </c>
      <c r="Z2602">
        <v>0</v>
      </c>
      <c r="AA2602" t="s">
        <v>78</v>
      </c>
      <c r="AB2602">
        <v>0</v>
      </c>
      <c r="AC2602" t="s">
        <v>78</v>
      </c>
      <c r="AD2602">
        <v>0</v>
      </c>
      <c r="AE2602">
        <v>-1</v>
      </c>
      <c r="AF2602" t="s">
        <v>88</v>
      </c>
      <c r="AG2602" t="s">
        <v>3345</v>
      </c>
    </row>
    <row r="2603" spans="1:33" x14ac:dyDescent="0.35">
      <c r="A2603" s="18">
        <v>44245.378472222219</v>
      </c>
      <c r="B2603">
        <v>3339142</v>
      </c>
      <c r="C2603" t="s">
        <v>1890</v>
      </c>
      <c r="D2603" t="s">
        <v>300</v>
      </c>
      <c r="E2603" s="19">
        <v>40025</v>
      </c>
      <c r="F2603" t="str">
        <f>"9780262270830"</f>
        <v>9780262270830</v>
      </c>
      <c r="G2603" t="str">
        <f>"9780262533058"</f>
        <v>9780262533058</v>
      </c>
      <c r="H2603" t="s">
        <v>110</v>
      </c>
      <c r="I2603">
        <v>5.0999999999999996</v>
      </c>
      <c r="J2603" t="s">
        <v>1891</v>
      </c>
      <c r="K2603" t="s">
        <v>73</v>
      </c>
      <c r="N2603" t="s">
        <v>74</v>
      </c>
      <c r="O2603" t="s">
        <v>75</v>
      </c>
      <c r="P2603" t="s">
        <v>74</v>
      </c>
      <c r="Q2603" t="s">
        <v>76</v>
      </c>
      <c r="R2603" t="s">
        <v>73</v>
      </c>
      <c r="S2603">
        <v>0</v>
      </c>
      <c r="W2603" s="20">
        <v>5.7870370370370366E-5</v>
      </c>
      <c r="X2603" t="s">
        <v>132</v>
      </c>
      <c r="Y2603">
        <v>1</v>
      </c>
      <c r="Z2603">
        <v>0</v>
      </c>
      <c r="AA2603" t="s">
        <v>78</v>
      </c>
      <c r="AB2603">
        <v>0</v>
      </c>
      <c r="AC2603" t="s">
        <v>78</v>
      </c>
      <c r="AD2603">
        <v>0</v>
      </c>
      <c r="AE2603">
        <v>10397652</v>
      </c>
      <c r="AF2603" t="s">
        <v>79</v>
      </c>
      <c r="AG2603" t="s">
        <v>3345</v>
      </c>
    </row>
    <row r="2604" spans="1:33" x14ac:dyDescent="0.35">
      <c r="A2604" s="18">
        <v>44245.319444444445</v>
      </c>
      <c r="B2604">
        <v>5755762</v>
      </c>
      <c r="C2604" t="s">
        <v>5701</v>
      </c>
      <c r="D2604" t="s">
        <v>338</v>
      </c>
      <c r="E2604" s="19">
        <v>43574</v>
      </c>
      <c r="F2604" t="str">
        <f>"9780444638960"</f>
        <v>9780444638960</v>
      </c>
      <c r="G2604" t="str">
        <f>"9780444638953"</f>
        <v>9780444638953</v>
      </c>
      <c r="H2604" t="s">
        <v>1905</v>
      </c>
      <c r="I2604">
        <v>552.50971000000004</v>
      </c>
      <c r="J2604" t="s">
        <v>5702</v>
      </c>
      <c r="K2604" t="s">
        <v>85</v>
      </c>
      <c r="N2604" t="s">
        <v>74</v>
      </c>
      <c r="O2604" t="s">
        <v>75</v>
      </c>
      <c r="P2604" t="s">
        <v>74</v>
      </c>
      <c r="Q2604" t="s">
        <v>76</v>
      </c>
      <c r="R2604" t="s">
        <v>73</v>
      </c>
      <c r="S2604">
        <v>0</v>
      </c>
      <c r="W2604" s="20">
        <v>0</v>
      </c>
      <c r="X2604" t="s">
        <v>78</v>
      </c>
      <c r="Y2604">
        <v>0</v>
      </c>
      <c r="Z2604">
        <v>4</v>
      </c>
      <c r="AA2604" t="s">
        <v>5703</v>
      </c>
      <c r="AB2604">
        <v>150</v>
      </c>
      <c r="AC2604" t="s">
        <v>78</v>
      </c>
      <c r="AD2604">
        <v>0</v>
      </c>
      <c r="AE2604">
        <v>-1</v>
      </c>
      <c r="AF2604" t="s">
        <v>88</v>
      </c>
      <c r="AG2604" t="s">
        <v>5658</v>
      </c>
    </row>
    <row r="2605" spans="1:33" x14ac:dyDescent="0.35">
      <c r="A2605" s="18">
        <v>44245.318055555559</v>
      </c>
      <c r="B2605">
        <v>5796381</v>
      </c>
      <c r="C2605" t="s">
        <v>5704</v>
      </c>
      <c r="D2605" t="s">
        <v>338</v>
      </c>
      <c r="E2605" s="19">
        <v>43634</v>
      </c>
      <c r="F2605" t="str">
        <f>"9780128160107"</f>
        <v>9780128160107</v>
      </c>
      <c r="G2605" t="str">
        <f>"9780128160091"</f>
        <v>9780128160091</v>
      </c>
      <c r="H2605" t="s">
        <v>1561</v>
      </c>
      <c r="I2605">
        <v>558</v>
      </c>
      <c r="J2605" t="s">
        <v>5705</v>
      </c>
      <c r="K2605" t="s">
        <v>85</v>
      </c>
      <c r="N2605" t="s">
        <v>74</v>
      </c>
      <c r="O2605" t="s">
        <v>75</v>
      </c>
      <c r="P2605" t="s">
        <v>74</v>
      </c>
      <c r="Q2605" t="s">
        <v>76</v>
      </c>
      <c r="R2605" t="s">
        <v>73</v>
      </c>
      <c r="S2605">
        <v>0</v>
      </c>
      <c r="W2605" s="20">
        <v>0</v>
      </c>
      <c r="X2605" t="s">
        <v>78</v>
      </c>
      <c r="Y2605">
        <v>0</v>
      </c>
      <c r="Z2605">
        <v>2</v>
      </c>
      <c r="AA2605" t="s">
        <v>5706</v>
      </c>
      <c r="AB2605">
        <v>60</v>
      </c>
      <c r="AC2605" t="s">
        <v>78</v>
      </c>
      <c r="AD2605">
        <v>0</v>
      </c>
      <c r="AE2605">
        <v>-1</v>
      </c>
      <c r="AF2605" t="s">
        <v>88</v>
      </c>
      <c r="AG2605" t="s">
        <v>5658</v>
      </c>
    </row>
    <row r="2606" spans="1:33" x14ac:dyDescent="0.35">
      <c r="A2606" s="18">
        <v>44245.316666666666</v>
      </c>
      <c r="B2606">
        <v>5596906</v>
      </c>
      <c r="C2606" t="s">
        <v>5707</v>
      </c>
      <c r="D2606" t="s">
        <v>3539</v>
      </c>
      <c r="E2606" s="19">
        <v>43425</v>
      </c>
      <c r="F2606" t="str">
        <f>"9789402415582"</f>
        <v>9789402415582</v>
      </c>
      <c r="G2606" t="str">
        <f>"9789402415568"</f>
        <v>9789402415568</v>
      </c>
      <c r="H2606" t="s">
        <v>1561</v>
      </c>
      <c r="I2606">
        <v>551.35500000000002</v>
      </c>
      <c r="J2606" t="s">
        <v>5708</v>
      </c>
      <c r="K2606" t="s">
        <v>85</v>
      </c>
      <c r="N2606" t="s">
        <v>186</v>
      </c>
      <c r="P2606" t="s">
        <v>87</v>
      </c>
      <c r="Q2606" t="s">
        <v>76</v>
      </c>
      <c r="R2606" t="s">
        <v>73</v>
      </c>
      <c r="S2606">
        <v>0</v>
      </c>
      <c r="W2606" s="20">
        <v>2.3148148148148146E-4</v>
      </c>
      <c r="X2606" t="s">
        <v>5709</v>
      </c>
      <c r="Y2606">
        <v>2</v>
      </c>
      <c r="Z2606">
        <v>1</v>
      </c>
      <c r="AA2606" t="s">
        <v>5710</v>
      </c>
      <c r="AB2606">
        <v>8</v>
      </c>
      <c r="AC2606" t="s">
        <v>78</v>
      </c>
      <c r="AD2606">
        <v>0</v>
      </c>
      <c r="AE2606">
        <v>-1</v>
      </c>
      <c r="AF2606" t="s">
        <v>88</v>
      </c>
      <c r="AG2606" t="s">
        <v>5658</v>
      </c>
    </row>
    <row r="2607" spans="1:33" x14ac:dyDescent="0.35">
      <c r="A2607" s="18">
        <v>44245.315972222219</v>
      </c>
      <c r="B2607">
        <v>4354765</v>
      </c>
      <c r="C2607" t="s">
        <v>5711</v>
      </c>
      <c r="D2607" t="s">
        <v>538</v>
      </c>
      <c r="E2607" s="19">
        <v>42431</v>
      </c>
      <c r="F2607" t="str">
        <f>"9781316474860"</f>
        <v>9781316474860</v>
      </c>
      <c r="G2607" t="str">
        <f>"9781107025837"</f>
        <v>9781107025837</v>
      </c>
      <c r="H2607" t="s">
        <v>1561</v>
      </c>
      <c r="I2607">
        <v>551.87199999999996</v>
      </c>
      <c r="J2607" t="s">
        <v>5712</v>
      </c>
      <c r="K2607" t="s">
        <v>85</v>
      </c>
      <c r="N2607" t="s">
        <v>86</v>
      </c>
      <c r="P2607" t="s">
        <v>1850</v>
      </c>
      <c r="Q2607" t="s">
        <v>76</v>
      </c>
      <c r="R2607" t="s">
        <v>73</v>
      </c>
      <c r="S2607">
        <v>0</v>
      </c>
      <c r="W2607" s="20">
        <v>0</v>
      </c>
      <c r="X2607" t="s">
        <v>78</v>
      </c>
      <c r="Y2607">
        <v>0</v>
      </c>
      <c r="Z2607">
        <v>1</v>
      </c>
      <c r="AA2607" t="s">
        <v>5713</v>
      </c>
      <c r="AB2607">
        <v>28</v>
      </c>
      <c r="AC2607" t="s">
        <v>78</v>
      </c>
      <c r="AD2607">
        <v>0</v>
      </c>
      <c r="AE2607">
        <v>11217760</v>
      </c>
      <c r="AF2607" t="s">
        <v>88</v>
      </c>
      <c r="AG2607" t="s">
        <v>5658</v>
      </c>
    </row>
    <row r="2608" spans="1:33" x14ac:dyDescent="0.35">
      <c r="A2608" s="18">
        <v>44245.037499999999</v>
      </c>
      <c r="B2608">
        <v>583642</v>
      </c>
      <c r="C2608" t="s">
        <v>2337</v>
      </c>
      <c r="D2608" t="s">
        <v>205</v>
      </c>
      <c r="E2608" s="19">
        <v>40210</v>
      </c>
      <c r="F2608" t="str">
        <f>"9781596930902"</f>
        <v>9781596930902</v>
      </c>
      <c r="G2608" t="str">
        <f>"9781596930896"</f>
        <v>9781596930896</v>
      </c>
      <c r="H2608" t="s">
        <v>2338</v>
      </c>
      <c r="I2608">
        <v>621.38482999999997</v>
      </c>
      <c r="J2608" t="s">
        <v>2339</v>
      </c>
      <c r="K2608" t="s">
        <v>73</v>
      </c>
      <c r="N2608" t="s">
        <v>74</v>
      </c>
      <c r="O2608" t="s">
        <v>75</v>
      </c>
      <c r="P2608" t="s">
        <v>74</v>
      </c>
      <c r="Q2608" t="s">
        <v>76</v>
      </c>
      <c r="R2608" t="s">
        <v>73</v>
      </c>
      <c r="S2608">
        <v>0</v>
      </c>
      <c r="W2608" s="20">
        <v>8.1018518518518516E-5</v>
      </c>
      <c r="X2608" t="s">
        <v>249</v>
      </c>
      <c r="Y2608">
        <v>2</v>
      </c>
      <c r="Z2608">
        <v>0</v>
      </c>
      <c r="AA2608" t="s">
        <v>78</v>
      </c>
      <c r="AB2608">
        <v>0</v>
      </c>
      <c r="AC2608" t="s">
        <v>78</v>
      </c>
      <c r="AD2608">
        <v>0</v>
      </c>
      <c r="AE2608">
        <v>10393271</v>
      </c>
      <c r="AF2608" t="s">
        <v>88</v>
      </c>
      <c r="AG2608" t="s">
        <v>3345</v>
      </c>
    </row>
    <row r="2609" spans="1:33" x14ac:dyDescent="0.35">
      <c r="A2609" s="18">
        <v>44244.929166666669</v>
      </c>
      <c r="B2609">
        <v>4183001</v>
      </c>
      <c r="C2609" t="s">
        <v>580</v>
      </c>
      <c r="D2609" t="s">
        <v>70</v>
      </c>
      <c r="E2609" s="19">
        <v>42359</v>
      </c>
      <c r="F2609" t="str">
        <f>"9781118972311"</f>
        <v>9781118972311</v>
      </c>
      <c r="G2609" t="str">
        <f>"9781118972304"</f>
        <v>9781118972304</v>
      </c>
      <c r="H2609" t="s">
        <v>308</v>
      </c>
      <c r="I2609">
        <v>297</v>
      </c>
      <c r="J2609" t="s">
        <v>581</v>
      </c>
      <c r="K2609" t="s">
        <v>73</v>
      </c>
      <c r="N2609" t="s">
        <v>74</v>
      </c>
      <c r="O2609" t="s">
        <v>75</v>
      </c>
      <c r="P2609" t="s">
        <v>74</v>
      </c>
      <c r="Q2609" t="s">
        <v>76</v>
      </c>
      <c r="R2609" t="s">
        <v>73</v>
      </c>
      <c r="S2609">
        <v>0</v>
      </c>
      <c r="W2609" s="20">
        <v>1.273148148148148E-4</v>
      </c>
      <c r="X2609" t="s">
        <v>125</v>
      </c>
      <c r="Y2609">
        <v>2</v>
      </c>
      <c r="Z2609">
        <v>0</v>
      </c>
      <c r="AA2609" t="s">
        <v>78</v>
      </c>
      <c r="AB2609">
        <v>0</v>
      </c>
      <c r="AC2609" t="s">
        <v>78</v>
      </c>
      <c r="AD2609">
        <v>0</v>
      </c>
      <c r="AE2609">
        <v>11124854</v>
      </c>
      <c r="AF2609" t="s">
        <v>79</v>
      </c>
      <c r="AG2609" t="s">
        <v>5600</v>
      </c>
    </row>
    <row r="2610" spans="1:33" x14ac:dyDescent="0.35">
      <c r="A2610" s="18">
        <v>44244.59375</v>
      </c>
      <c r="B2610">
        <v>4043002</v>
      </c>
      <c r="C2610" t="s">
        <v>5190</v>
      </c>
      <c r="D2610" t="s">
        <v>70</v>
      </c>
      <c r="E2610" s="19">
        <v>42388</v>
      </c>
      <c r="F2610" t="str">
        <f>"9781119045076"</f>
        <v>9781119045076</v>
      </c>
      <c r="G2610" t="str">
        <f>"9781119045069"</f>
        <v>9781119045069</v>
      </c>
      <c r="H2610" t="s">
        <v>128</v>
      </c>
      <c r="I2610" t="s">
        <v>5191</v>
      </c>
      <c r="J2610" t="s">
        <v>5192</v>
      </c>
      <c r="K2610" t="s">
        <v>73</v>
      </c>
      <c r="N2610" t="s">
        <v>74</v>
      </c>
      <c r="O2610" t="s">
        <v>75</v>
      </c>
      <c r="P2610" t="s">
        <v>74</v>
      </c>
      <c r="Q2610" t="s">
        <v>76</v>
      </c>
      <c r="R2610" t="s">
        <v>73</v>
      </c>
      <c r="S2610">
        <v>0</v>
      </c>
      <c r="W2610" s="20">
        <v>2.7777777777777779E-3</v>
      </c>
      <c r="X2610" t="s">
        <v>5714</v>
      </c>
      <c r="Y2610">
        <v>35</v>
      </c>
      <c r="Z2610">
        <v>0</v>
      </c>
      <c r="AA2610" t="s">
        <v>78</v>
      </c>
      <c r="AB2610">
        <v>0</v>
      </c>
      <c r="AC2610" t="s">
        <v>78</v>
      </c>
      <c r="AD2610">
        <v>0</v>
      </c>
      <c r="AE2610">
        <v>11115179</v>
      </c>
      <c r="AF2610" t="s">
        <v>88</v>
      </c>
      <c r="AG2610" t="s">
        <v>3345</v>
      </c>
    </row>
    <row r="2611" spans="1:33" x14ac:dyDescent="0.35">
      <c r="A2611" s="18">
        <v>44244.585416666669</v>
      </c>
      <c r="B2611">
        <v>3339142</v>
      </c>
      <c r="C2611" t="s">
        <v>1890</v>
      </c>
      <c r="D2611" t="s">
        <v>300</v>
      </c>
      <c r="E2611" s="19">
        <v>40025</v>
      </c>
      <c r="F2611" t="str">
        <f>"9780262270830"</f>
        <v>9780262270830</v>
      </c>
      <c r="G2611" t="str">
        <f>"9780262533058"</f>
        <v>9780262533058</v>
      </c>
      <c r="H2611" t="s">
        <v>110</v>
      </c>
      <c r="I2611">
        <v>5.0999999999999996</v>
      </c>
      <c r="J2611" t="s">
        <v>1891</v>
      </c>
      <c r="K2611" t="s">
        <v>73</v>
      </c>
      <c r="N2611" t="s">
        <v>74</v>
      </c>
      <c r="O2611" t="s">
        <v>75</v>
      </c>
      <c r="P2611" t="s">
        <v>74</v>
      </c>
      <c r="Q2611" t="s">
        <v>76</v>
      </c>
      <c r="R2611" t="s">
        <v>73</v>
      </c>
      <c r="S2611">
        <v>0</v>
      </c>
      <c r="W2611" s="20">
        <v>4.6296296296296294E-5</v>
      </c>
      <c r="X2611" t="s">
        <v>132</v>
      </c>
      <c r="Y2611">
        <v>1</v>
      </c>
      <c r="Z2611">
        <v>0</v>
      </c>
      <c r="AA2611" t="s">
        <v>78</v>
      </c>
      <c r="AB2611">
        <v>0</v>
      </c>
      <c r="AC2611" t="s">
        <v>78</v>
      </c>
      <c r="AD2611">
        <v>0</v>
      </c>
      <c r="AE2611">
        <v>10397652</v>
      </c>
      <c r="AF2611" t="s">
        <v>79</v>
      </c>
      <c r="AG2611" t="s">
        <v>3345</v>
      </c>
    </row>
    <row r="2612" spans="1:33" x14ac:dyDescent="0.35">
      <c r="A2612" s="18">
        <v>44244.531944444447</v>
      </c>
      <c r="B2612">
        <v>4931456</v>
      </c>
      <c r="C2612" t="s">
        <v>5715</v>
      </c>
      <c r="D2612" t="s">
        <v>5716</v>
      </c>
      <c r="E2612" s="19">
        <v>42122</v>
      </c>
      <c r="F2612" t="str">
        <f>"9780160939075"</f>
        <v>9780160939075</v>
      </c>
      <c r="G2612" t="str">
        <f>"9780160927539"</f>
        <v>9780160927539</v>
      </c>
      <c r="H2612" t="s">
        <v>222</v>
      </c>
      <c r="I2612">
        <v>617.99</v>
      </c>
      <c r="J2612" t="s">
        <v>5717</v>
      </c>
      <c r="K2612" t="s">
        <v>73</v>
      </c>
      <c r="N2612" t="s">
        <v>74</v>
      </c>
      <c r="O2612" t="s">
        <v>75</v>
      </c>
      <c r="P2612" t="s">
        <v>74</v>
      </c>
      <c r="Q2612" t="s">
        <v>76</v>
      </c>
      <c r="R2612" t="s">
        <v>73</v>
      </c>
      <c r="S2612">
        <v>2</v>
      </c>
      <c r="W2612" s="20">
        <v>0</v>
      </c>
      <c r="X2612" t="s">
        <v>78</v>
      </c>
      <c r="Y2612">
        <v>0</v>
      </c>
      <c r="Z2612">
        <v>0</v>
      </c>
      <c r="AA2612" t="s">
        <v>78</v>
      </c>
      <c r="AB2612">
        <v>0</v>
      </c>
      <c r="AC2612" t="s">
        <v>78</v>
      </c>
      <c r="AD2612">
        <v>0</v>
      </c>
      <c r="AE2612">
        <v>11419508</v>
      </c>
      <c r="AF2612" t="s">
        <v>88</v>
      </c>
      <c r="AG2612" t="s">
        <v>5718</v>
      </c>
    </row>
    <row r="2613" spans="1:33" x14ac:dyDescent="0.35">
      <c r="A2613" s="18">
        <v>44244.52847222222</v>
      </c>
      <c r="B2613">
        <v>4931456</v>
      </c>
      <c r="C2613" t="s">
        <v>5715</v>
      </c>
      <c r="D2613" t="s">
        <v>5716</v>
      </c>
      <c r="E2613" s="19">
        <v>42122</v>
      </c>
      <c r="F2613" t="str">
        <f>"9780160939075"</f>
        <v>9780160939075</v>
      </c>
      <c r="G2613" t="str">
        <f>"9780160927539"</f>
        <v>9780160927539</v>
      </c>
      <c r="H2613" t="s">
        <v>222</v>
      </c>
      <c r="I2613">
        <v>617.99</v>
      </c>
      <c r="J2613" t="s">
        <v>5717</v>
      </c>
      <c r="K2613" t="s">
        <v>73</v>
      </c>
      <c r="N2613" t="s">
        <v>74</v>
      </c>
      <c r="O2613" t="s">
        <v>75</v>
      </c>
      <c r="P2613" t="s">
        <v>74</v>
      </c>
      <c r="Q2613" t="s">
        <v>76</v>
      </c>
      <c r="R2613" t="s">
        <v>73</v>
      </c>
      <c r="S2613">
        <v>0</v>
      </c>
      <c r="W2613" s="20">
        <v>3.5648148148148154E-3</v>
      </c>
      <c r="X2613" t="s">
        <v>5719</v>
      </c>
      <c r="Y2613">
        <v>16</v>
      </c>
      <c r="Z2613">
        <v>0</v>
      </c>
      <c r="AA2613" t="s">
        <v>78</v>
      </c>
      <c r="AB2613">
        <v>0</v>
      </c>
      <c r="AC2613" t="s">
        <v>78</v>
      </c>
      <c r="AD2613">
        <v>0</v>
      </c>
      <c r="AE2613">
        <v>11419508</v>
      </c>
      <c r="AF2613" t="s">
        <v>88</v>
      </c>
      <c r="AG2613" t="s">
        <v>5718</v>
      </c>
    </row>
    <row r="2614" spans="1:33" x14ac:dyDescent="0.35">
      <c r="A2614" s="18">
        <v>44244.433333333334</v>
      </c>
      <c r="B2614">
        <v>4043002</v>
      </c>
      <c r="C2614" t="s">
        <v>5190</v>
      </c>
      <c r="D2614" t="s">
        <v>70</v>
      </c>
      <c r="E2614" s="19">
        <v>42388</v>
      </c>
      <c r="F2614" t="str">
        <f>"9781119045076"</f>
        <v>9781119045076</v>
      </c>
      <c r="G2614" t="str">
        <f>"9781119045069"</f>
        <v>9781119045069</v>
      </c>
      <c r="H2614" t="s">
        <v>128</v>
      </c>
      <c r="I2614" t="s">
        <v>5191</v>
      </c>
      <c r="J2614" t="s">
        <v>5192</v>
      </c>
      <c r="K2614" t="s">
        <v>73</v>
      </c>
      <c r="N2614" t="s">
        <v>74</v>
      </c>
      <c r="O2614" t="s">
        <v>75</v>
      </c>
      <c r="P2614" t="s">
        <v>74</v>
      </c>
      <c r="Q2614" t="s">
        <v>76</v>
      </c>
      <c r="R2614" t="s">
        <v>73</v>
      </c>
      <c r="S2614">
        <v>0</v>
      </c>
      <c r="W2614" s="20">
        <v>0</v>
      </c>
      <c r="X2614" t="s">
        <v>78</v>
      </c>
      <c r="Y2614">
        <v>0</v>
      </c>
      <c r="Z2614">
        <v>1</v>
      </c>
      <c r="AA2614" t="s">
        <v>3400</v>
      </c>
      <c r="AB2614">
        <v>18</v>
      </c>
      <c r="AC2614" t="s">
        <v>78</v>
      </c>
      <c r="AD2614">
        <v>0</v>
      </c>
      <c r="AE2614">
        <v>11115179</v>
      </c>
      <c r="AF2614" t="s">
        <v>79</v>
      </c>
      <c r="AG2614" t="s">
        <v>5298</v>
      </c>
    </row>
    <row r="2615" spans="1:33" x14ac:dyDescent="0.35">
      <c r="A2615" s="18">
        <v>44244.408333333333</v>
      </c>
      <c r="B2615">
        <v>3339142</v>
      </c>
      <c r="C2615" t="s">
        <v>1890</v>
      </c>
      <c r="D2615" t="s">
        <v>300</v>
      </c>
      <c r="E2615" s="19">
        <v>40025</v>
      </c>
      <c r="F2615" t="str">
        <f>"9780262270830"</f>
        <v>9780262270830</v>
      </c>
      <c r="G2615" t="str">
        <f>"9780262533058"</f>
        <v>9780262533058</v>
      </c>
      <c r="H2615" t="s">
        <v>110</v>
      </c>
      <c r="I2615">
        <v>5.0999999999999996</v>
      </c>
      <c r="J2615" t="s">
        <v>1891</v>
      </c>
      <c r="K2615" t="s">
        <v>73</v>
      </c>
      <c r="N2615" t="s">
        <v>74</v>
      </c>
      <c r="O2615" t="s">
        <v>75</v>
      </c>
      <c r="P2615" t="s">
        <v>74</v>
      </c>
      <c r="Q2615" t="s">
        <v>76</v>
      </c>
      <c r="R2615" t="s">
        <v>73</v>
      </c>
      <c r="S2615">
        <v>0</v>
      </c>
      <c r="W2615" s="20">
        <v>3.4722222222222222E-5</v>
      </c>
      <c r="X2615" t="s">
        <v>132</v>
      </c>
      <c r="Y2615">
        <v>1</v>
      </c>
      <c r="Z2615">
        <v>0</v>
      </c>
      <c r="AA2615" t="s">
        <v>78</v>
      </c>
      <c r="AB2615">
        <v>0</v>
      </c>
      <c r="AC2615" t="s">
        <v>78</v>
      </c>
      <c r="AD2615">
        <v>0</v>
      </c>
      <c r="AE2615">
        <v>10397652</v>
      </c>
      <c r="AF2615" t="s">
        <v>79</v>
      </c>
      <c r="AG2615" t="s">
        <v>3345</v>
      </c>
    </row>
    <row r="2616" spans="1:33" x14ac:dyDescent="0.35">
      <c r="A2616" s="18">
        <v>44244.097916666666</v>
      </c>
      <c r="B2616">
        <v>4043002</v>
      </c>
      <c r="C2616" t="s">
        <v>5190</v>
      </c>
      <c r="D2616" t="s">
        <v>70</v>
      </c>
      <c r="E2616" s="19">
        <v>42388</v>
      </c>
      <c r="F2616" t="str">
        <f>"9781119045076"</f>
        <v>9781119045076</v>
      </c>
      <c r="G2616" t="str">
        <f>"9781119045069"</f>
        <v>9781119045069</v>
      </c>
      <c r="H2616" t="s">
        <v>128</v>
      </c>
      <c r="I2616" t="s">
        <v>5191</v>
      </c>
      <c r="J2616" t="s">
        <v>5192</v>
      </c>
      <c r="K2616" t="s">
        <v>73</v>
      </c>
      <c r="N2616" t="s">
        <v>74</v>
      </c>
      <c r="O2616" t="s">
        <v>75</v>
      </c>
      <c r="P2616" t="s">
        <v>74</v>
      </c>
      <c r="Q2616" t="s">
        <v>76</v>
      </c>
      <c r="R2616" t="s">
        <v>73</v>
      </c>
      <c r="S2616">
        <v>0</v>
      </c>
      <c r="W2616" s="20">
        <v>1.5624999999999999E-3</v>
      </c>
      <c r="X2616" t="s">
        <v>5720</v>
      </c>
      <c r="Y2616">
        <v>3</v>
      </c>
      <c r="Z2616">
        <v>0</v>
      </c>
      <c r="AA2616" t="s">
        <v>78</v>
      </c>
      <c r="AB2616">
        <v>0</v>
      </c>
      <c r="AC2616" t="s">
        <v>78</v>
      </c>
      <c r="AD2616">
        <v>0</v>
      </c>
      <c r="AE2616">
        <v>11115179</v>
      </c>
      <c r="AF2616" t="s">
        <v>79</v>
      </c>
      <c r="AG2616" t="s">
        <v>3345</v>
      </c>
    </row>
    <row r="2617" spans="1:33" x14ac:dyDescent="0.35">
      <c r="A2617" s="18">
        <v>44244.070138888892</v>
      </c>
      <c r="B2617">
        <v>4043002</v>
      </c>
      <c r="C2617" t="s">
        <v>5190</v>
      </c>
      <c r="D2617" t="s">
        <v>70</v>
      </c>
      <c r="E2617" s="19">
        <v>42388</v>
      </c>
      <c r="F2617" t="str">
        <f>"9781119045076"</f>
        <v>9781119045076</v>
      </c>
      <c r="G2617" t="str">
        <f>"9781119045069"</f>
        <v>9781119045069</v>
      </c>
      <c r="H2617" t="s">
        <v>128</v>
      </c>
      <c r="I2617" t="s">
        <v>5191</v>
      </c>
      <c r="J2617" t="s">
        <v>5192</v>
      </c>
      <c r="K2617" t="s">
        <v>73</v>
      </c>
      <c r="N2617" t="s">
        <v>74</v>
      </c>
      <c r="O2617" t="s">
        <v>75</v>
      </c>
      <c r="P2617" t="s">
        <v>74</v>
      </c>
      <c r="Q2617" t="s">
        <v>76</v>
      </c>
      <c r="R2617" t="s">
        <v>73</v>
      </c>
      <c r="S2617">
        <v>0</v>
      </c>
      <c r="W2617" s="20">
        <v>5.6712962962962956E-4</v>
      </c>
      <c r="X2617" t="s">
        <v>1617</v>
      </c>
      <c r="Y2617">
        <v>3</v>
      </c>
      <c r="Z2617">
        <v>0</v>
      </c>
      <c r="AA2617" t="s">
        <v>78</v>
      </c>
      <c r="AB2617">
        <v>0</v>
      </c>
      <c r="AC2617" t="s">
        <v>78</v>
      </c>
      <c r="AD2617">
        <v>0</v>
      </c>
      <c r="AE2617">
        <v>11115179</v>
      </c>
      <c r="AF2617" t="s">
        <v>79</v>
      </c>
      <c r="AG2617" t="s">
        <v>3345</v>
      </c>
    </row>
    <row r="2618" spans="1:33" x14ac:dyDescent="0.35">
      <c r="A2618" s="18">
        <v>44244.049305555556</v>
      </c>
      <c r="B2618">
        <v>4043002</v>
      </c>
      <c r="C2618" t="s">
        <v>5190</v>
      </c>
      <c r="D2618" t="s">
        <v>70</v>
      </c>
      <c r="E2618" s="19">
        <v>42388</v>
      </c>
      <c r="F2618" t="str">
        <f>"9781119045076"</f>
        <v>9781119045076</v>
      </c>
      <c r="G2618" t="str">
        <f>"9781119045069"</f>
        <v>9781119045069</v>
      </c>
      <c r="H2618" t="s">
        <v>128</v>
      </c>
      <c r="I2618" t="s">
        <v>5191</v>
      </c>
      <c r="J2618" t="s">
        <v>5192</v>
      </c>
      <c r="K2618" t="s">
        <v>73</v>
      </c>
      <c r="N2618" t="s">
        <v>74</v>
      </c>
      <c r="O2618" t="s">
        <v>75</v>
      </c>
      <c r="P2618" t="s">
        <v>74</v>
      </c>
      <c r="Q2618" t="s">
        <v>76</v>
      </c>
      <c r="R2618" t="s">
        <v>73</v>
      </c>
      <c r="S2618">
        <v>0</v>
      </c>
      <c r="W2618" s="20">
        <v>3.4722222222222222E-5</v>
      </c>
      <c r="X2618" t="s">
        <v>78</v>
      </c>
      <c r="Y2618">
        <v>0</v>
      </c>
      <c r="Z2618">
        <v>1</v>
      </c>
      <c r="AA2618" t="s">
        <v>3400</v>
      </c>
      <c r="AB2618">
        <v>18</v>
      </c>
      <c r="AC2618" t="s">
        <v>78</v>
      </c>
      <c r="AD2618">
        <v>0</v>
      </c>
      <c r="AE2618">
        <v>11115179</v>
      </c>
      <c r="AF2618" t="s">
        <v>88</v>
      </c>
      <c r="AG2618" t="s">
        <v>3345</v>
      </c>
    </row>
    <row r="2619" spans="1:33" x14ac:dyDescent="0.35">
      <c r="A2619" s="18">
        <v>44244.015972222223</v>
      </c>
      <c r="B2619">
        <v>6209657</v>
      </c>
      <c r="C2619" t="s">
        <v>5721</v>
      </c>
      <c r="D2619" t="s">
        <v>677</v>
      </c>
      <c r="E2619" s="19">
        <v>32071</v>
      </c>
      <c r="F2619" t="str">
        <f>"9780691214009"</f>
        <v>9780691214009</v>
      </c>
      <c r="G2619" t="str">
        <f>"9780691077437"</f>
        <v>9780691077437</v>
      </c>
      <c r="H2619" t="s">
        <v>194</v>
      </c>
      <c r="I2619">
        <v>361.6</v>
      </c>
      <c r="J2619" t="s">
        <v>5722</v>
      </c>
      <c r="K2619" t="s">
        <v>85</v>
      </c>
      <c r="N2619" t="s">
        <v>86</v>
      </c>
      <c r="P2619" t="s">
        <v>1495</v>
      </c>
      <c r="Q2619" t="s">
        <v>76</v>
      </c>
      <c r="R2619" t="s">
        <v>85</v>
      </c>
      <c r="S2619">
        <v>0</v>
      </c>
      <c r="W2619" s="20">
        <v>3.9699074074074072E-3</v>
      </c>
      <c r="X2619" t="s">
        <v>5723</v>
      </c>
      <c r="Y2619">
        <v>45</v>
      </c>
      <c r="Z2619">
        <v>0</v>
      </c>
      <c r="AA2619" t="s">
        <v>78</v>
      </c>
      <c r="AB2619">
        <v>0</v>
      </c>
      <c r="AC2619" t="s">
        <v>78</v>
      </c>
      <c r="AD2619">
        <v>0</v>
      </c>
      <c r="AE2619">
        <v>-1</v>
      </c>
      <c r="AF2619" t="s">
        <v>88</v>
      </c>
      <c r="AG2619" t="s">
        <v>3345</v>
      </c>
    </row>
    <row r="2620" spans="1:33" x14ac:dyDescent="0.35">
      <c r="A2620" s="18">
        <v>44244.011111111111</v>
      </c>
      <c r="B2620">
        <v>6209657</v>
      </c>
      <c r="C2620" t="s">
        <v>5721</v>
      </c>
      <c r="D2620" t="s">
        <v>677</v>
      </c>
      <c r="E2620" s="19">
        <v>32071</v>
      </c>
      <c r="F2620" t="str">
        <f>"9780691214009"</f>
        <v>9780691214009</v>
      </c>
      <c r="G2620" t="str">
        <f>"9780691077437"</f>
        <v>9780691077437</v>
      </c>
      <c r="H2620" t="s">
        <v>194</v>
      </c>
      <c r="I2620">
        <v>361.6</v>
      </c>
      <c r="J2620" t="s">
        <v>5722</v>
      </c>
      <c r="K2620" t="s">
        <v>85</v>
      </c>
      <c r="N2620" t="s">
        <v>86</v>
      </c>
      <c r="P2620" t="s">
        <v>1495</v>
      </c>
      <c r="Q2620" t="s">
        <v>76</v>
      </c>
      <c r="R2620" t="s">
        <v>85</v>
      </c>
      <c r="S2620">
        <v>0</v>
      </c>
      <c r="W2620" s="20">
        <v>5.4398148148148144E-4</v>
      </c>
      <c r="X2620" t="s">
        <v>5724</v>
      </c>
      <c r="Y2620">
        <v>10</v>
      </c>
      <c r="Z2620">
        <v>0</v>
      </c>
      <c r="AA2620" t="s">
        <v>78</v>
      </c>
      <c r="AB2620">
        <v>0</v>
      </c>
      <c r="AC2620" t="s">
        <v>78</v>
      </c>
      <c r="AD2620">
        <v>0</v>
      </c>
      <c r="AE2620">
        <v>-1</v>
      </c>
      <c r="AF2620" t="s">
        <v>79</v>
      </c>
      <c r="AG2620" t="s">
        <v>3345</v>
      </c>
    </row>
    <row r="2621" spans="1:33" x14ac:dyDescent="0.35">
      <c r="A2621" s="18">
        <v>44243.99722222222</v>
      </c>
      <c r="B2621">
        <v>5353867</v>
      </c>
      <c r="C2621" t="s">
        <v>4884</v>
      </c>
      <c r="D2621" t="s">
        <v>2275</v>
      </c>
      <c r="E2621" s="19">
        <v>36770</v>
      </c>
      <c r="F2621" t="str">
        <f>"9781470446055"</f>
        <v>9781470446055</v>
      </c>
      <c r="G2621" t="str">
        <f>"9780821805312"</f>
        <v>9780821805312</v>
      </c>
      <c r="H2621" t="s">
        <v>115</v>
      </c>
      <c r="I2621">
        <v>519.5</v>
      </c>
      <c r="J2621" t="s">
        <v>4885</v>
      </c>
      <c r="K2621" t="s">
        <v>85</v>
      </c>
      <c r="N2621" t="s">
        <v>86</v>
      </c>
      <c r="P2621" t="s">
        <v>87</v>
      </c>
      <c r="Q2621" t="s">
        <v>76</v>
      </c>
      <c r="R2621" t="s">
        <v>73</v>
      </c>
      <c r="S2621">
        <v>0</v>
      </c>
      <c r="W2621" s="20">
        <v>5.7870370370370366E-5</v>
      </c>
      <c r="X2621" t="s">
        <v>4986</v>
      </c>
      <c r="Y2621">
        <v>1</v>
      </c>
      <c r="Z2621">
        <v>0</v>
      </c>
      <c r="AA2621" t="s">
        <v>78</v>
      </c>
      <c r="AB2621">
        <v>0</v>
      </c>
      <c r="AC2621" t="s">
        <v>78</v>
      </c>
      <c r="AD2621">
        <v>0</v>
      </c>
      <c r="AE2621">
        <v>11548022</v>
      </c>
      <c r="AF2621" t="s">
        <v>79</v>
      </c>
      <c r="AG2621" t="s">
        <v>5485</v>
      </c>
    </row>
    <row r="2622" spans="1:33" x14ac:dyDescent="0.35">
      <c r="A2622" s="18">
        <v>44243.993055555555</v>
      </c>
      <c r="B2622">
        <v>6209657</v>
      </c>
      <c r="C2622" t="s">
        <v>5721</v>
      </c>
      <c r="D2622" t="s">
        <v>677</v>
      </c>
      <c r="E2622" s="19">
        <v>32071</v>
      </c>
      <c r="F2622" t="str">
        <f>"9780691214009"</f>
        <v>9780691214009</v>
      </c>
      <c r="G2622" t="str">
        <f>"9780691077437"</f>
        <v>9780691077437</v>
      </c>
      <c r="H2622" t="s">
        <v>194</v>
      </c>
      <c r="I2622">
        <v>361.6</v>
      </c>
      <c r="J2622" t="s">
        <v>5722</v>
      </c>
      <c r="K2622" t="s">
        <v>85</v>
      </c>
      <c r="N2622" t="s">
        <v>86</v>
      </c>
      <c r="P2622" t="s">
        <v>1495</v>
      </c>
      <c r="Q2622" t="s">
        <v>76</v>
      </c>
      <c r="R2622" t="s">
        <v>85</v>
      </c>
      <c r="S2622">
        <v>0</v>
      </c>
      <c r="W2622" s="20">
        <v>3.4722222222222222E-5</v>
      </c>
      <c r="X2622" t="s">
        <v>132</v>
      </c>
      <c r="Y2622">
        <v>1</v>
      </c>
      <c r="Z2622">
        <v>0</v>
      </c>
      <c r="AA2622" t="s">
        <v>78</v>
      </c>
      <c r="AB2622">
        <v>0</v>
      </c>
      <c r="AC2622" t="s">
        <v>78</v>
      </c>
      <c r="AD2622">
        <v>0</v>
      </c>
      <c r="AE2622">
        <v>-1</v>
      </c>
      <c r="AF2622" t="s">
        <v>79</v>
      </c>
      <c r="AG2622" t="s">
        <v>3345</v>
      </c>
    </row>
    <row r="2623" spans="1:33" x14ac:dyDescent="0.35">
      <c r="A2623" s="18">
        <v>44243.990972222222</v>
      </c>
      <c r="B2623">
        <v>4043002</v>
      </c>
      <c r="C2623" t="s">
        <v>5190</v>
      </c>
      <c r="D2623" t="s">
        <v>70</v>
      </c>
      <c r="E2623" s="19">
        <v>42388</v>
      </c>
      <c r="F2623" t="str">
        <f>"9781119045076"</f>
        <v>9781119045076</v>
      </c>
      <c r="G2623" t="str">
        <f>"9781119045069"</f>
        <v>9781119045069</v>
      </c>
      <c r="H2623" t="s">
        <v>128</v>
      </c>
      <c r="I2623" t="s">
        <v>5191</v>
      </c>
      <c r="J2623" t="s">
        <v>5192</v>
      </c>
      <c r="K2623" t="s">
        <v>73</v>
      </c>
      <c r="N2623" t="s">
        <v>74</v>
      </c>
      <c r="O2623" t="s">
        <v>75</v>
      </c>
      <c r="P2623" t="s">
        <v>74</v>
      </c>
      <c r="Q2623" t="s">
        <v>76</v>
      </c>
      <c r="R2623" t="s">
        <v>73</v>
      </c>
      <c r="S2623">
        <v>0</v>
      </c>
      <c r="W2623" s="20">
        <v>5.7870370370370378E-4</v>
      </c>
      <c r="X2623" t="s">
        <v>5725</v>
      </c>
      <c r="Y2623">
        <v>9</v>
      </c>
      <c r="Z2623">
        <v>0</v>
      </c>
      <c r="AA2623" t="s">
        <v>78</v>
      </c>
      <c r="AB2623">
        <v>0</v>
      </c>
      <c r="AC2623" t="s">
        <v>78</v>
      </c>
      <c r="AD2623">
        <v>0</v>
      </c>
      <c r="AE2623">
        <v>11115179</v>
      </c>
      <c r="AF2623" t="s">
        <v>79</v>
      </c>
      <c r="AG2623" t="s">
        <v>3345</v>
      </c>
    </row>
    <row r="2624" spans="1:33" x14ac:dyDescent="0.35">
      <c r="A2624" s="18">
        <v>44243.988888888889</v>
      </c>
      <c r="B2624">
        <v>4043002</v>
      </c>
      <c r="C2624" t="s">
        <v>5190</v>
      </c>
      <c r="D2624" t="s">
        <v>70</v>
      </c>
      <c r="E2624" s="19">
        <v>42388</v>
      </c>
      <c r="F2624" t="str">
        <f>"9781119045076"</f>
        <v>9781119045076</v>
      </c>
      <c r="G2624" t="str">
        <f>"9781119045069"</f>
        <v>9781119045069</v>
      </c>
      <c r="H2624" t="s">
        <v>128</v>
      </c>
      <c r="I2624" t="s">
        <v>5191</v>
      </c>
      <c r="J2624" t="s">
        <v>5192</v>
      </c>
      <c r="K2624" t="s">
        <v>73</v>
      </c>
      <c r="N2624" t="s">
        <v>74</v>
      </c>
      <c r="O2624" t="s">
        <v>75</v>
      </c>
      <c r="P2624" t="s">
        <v>74</v>
      </c>
      <c r="Q2624" t="s">
        <v>76</v>
      </c>
      <c r="R2624" t="s">
        <v>73</v>
      </c>
      <c r="S2624">
        <v>0</v>
      </c>
      <c r="W2624" s="20">
        <v>9.525462962962963E-3</v>
      </c>
      <c r="X2624" t="s">
        <v>5726</v>
      </c>
      <c r="Y2624">
        <v>15</v>
      </c>
      <c r="Z2624">
        <v>1</v>
      </c>
      <c r="AA2624" t="s">
        <v>3400</v>
      </c>
      <c r="AB2624">
        <v>18</v>
      </c>
      <c r="AC2624" t="s">
        <v>5727</v>
      </c>
      <c r="AD2624">
        <v>1</v>
      </c>
      <c r="AE2624">
        <v>11115179</v>
      </c>
      <c r="AF2624" t="s">
        <v>79</v>
      </c>
      <c r="AG2624" t="s">
        <v>3345</v>
      </c>
    </row>
    <row r="2625" spans="1:33" x14ac:dyDescent="0.35">
      <c r="A2625" s="18">
        <v>44243.925694444442</v>
      </c>
      <c r="B2625">
        <v>6209657</v>
      </c>
      <c r="C2625" t="s">
        <v>5721</v>
      </c>
      <c r="D2625" t="s">
        <v>677</v>
      </c>
      <c r="E2625" s="19">
        <v>32071</v>
      </c>
      <c r="F2625" t="str">
        <f>"9780691214009"</f>
        <v>9780691214009</v>
      </c>
      <c r="G2625" t="str">
        <f>"9780691077437"</f>
        <v>9780691077437</v>
      </c>
      <c r="H2625" t="s">
        <v>194</v>
      </c>
      <c r="I2625">
        <v>361.6</v>
      </c>
      <c r="J2625" t="s">
        <v>5722</v>
      </c>
      <c r="K2625" t="s">
        <v>85</v>
      </c>
      <c r="N2625" t="s">
        <v>86</v>
      </c>
      <c r="P2625" t="s">
        <v>1495</v>
      </c>
      <c r="Q2625" t="s">
        <v>76</v>
      </c>
      <c r="R2625" t="s">
        <v>85</v>
      </c>
      <c r="S2625">
        <v>0</v>
      </c>
      <c r="W2625" s="20">
        <v>0</v>
      </c>
      <c r="X2625" t="s">
        <v>78</v>
      </c>
      <c r="Y2625">
        <v>0</v>
      </c>
      <c r="Z2625">
        <v>0</v>
      </c>
      <c r="AA2625" t="s">
        <v>78</v>
      </c>
      <c r="AB2625">
        <v>0</v>
      </c>
      <c r="AC2625" t="s">
        <v>78</v>
      </c>
      <c r="AD2625">
        <v>0</v>
      </c>
      <c r="AE2625">
        <v>-1</v>
      </c>
      <c r="AF2625" t="s">
        <v>79</v>
      </c>
      <c r="AG2625" t="s">
        <v>3345</v>
      </c>
    </row>
    <row r="2626" spans="1:33" x14ac:dyDescent="0.35">
      <c r="A2626" s="18">
        <v>44243.802083333336</v>
      </c>
      <c r="B2626">
        <v>3018958</v>
      </c>
      <c r="C2626" t="s">
        <v>5728</v>
      </c>
      <c r="D2626" t="s">
        <v>226</v>
      </c>
      <c r="E2626" s="19">
        <v>40422</v>
      </c>
      <c r="F2626" t="str">
        <f>"9781612091013"</f>
        <v>9781612091013</v>
      </c>
      <c r="G2626" t="str">
        <f>"9781616686192"</f>
        <v>9781616686192</v>
      </c>
      <c r="H2626" t="s">
        <v>738</v>
      </c>
      <c r="I2626" t="s">
        <v>5729</v>
      </c>
      <c r="J2626" t="s">
        <v>5730</v>
      </c>
      <c r="K2626" t="s">
        <v>73</v>
      </c>
      <c r="N2626" t="s">
        <v>74</v>
      </c>
      <c r="O2626" t="s">
        <v>75</v>
      </c>
      <c r="P2626" t="s">
        <v>230</v>
      </c>
      <c r="Q2626" t="s">
        <v>76</v>
      </c>
      <c r="R2626" t="s">
        <v>85</v>
      </c>
      <c r="S2626">
        <v>1</v>
      </c>
      <c r="W2626" s="20">
        <v>1.1574074074074073E-5</v>
      </c>
      <c r="X2626" t="s">
        <v>78</v>
      </c>
      <c r="Y2626">
        <v>0</v>
      </c>
      <c r="Z2626">
        <v>0</v>
      </c>
      <c r="AA2626" t="s">
        <v>78</v>
      </c>
      <c r="AB2626">
        <v>0</v>
      </c>
      <c r="AC2626" t="s">
        <v>78</v>
      </c>
      <c r="AD2626">
        <v>0</v>
      </c>
      <c r="AE2626">
        <v>10662764</v>
      </c>
      <c r="AF2626" t="s">
        <v>88</v>
      </c>
      <c r="AG2626" t="s">
        <v>3345</v>
      </c>
    </row>
    <row r="2627" spans="1:33" x14ac:dyDescent="0.35">
      <c r="A2627" s="18">
        <v>44243.802083333336</v>
      </c>
      <c r="B2627">
        <v>3018065</v>
      </c>
      <c r="C2627" t="s">
        <v>5731</v>
      </c>
      <c r="D2627" t="s">
        <v>226</v>
      </c>
      <c r="E2627" s="19">
        <v>40452</v>
      </c>
      <c r="F2627" t="str">
        <f>"9781617611698"</f>
        <v>9781617611698</v>
      </c>
      <c r="G2627" t="str">
        <f>"9781617289347"</f>
        <v>9781617289347</v>
      </c>
      <c r="H2627" t="s">
        <v>738</v>
      </c>
      <c r="I2627" t="s">
        <v>5729</v>
      </c>
      <c r="J2627" t="s">
        <v>5732</v>
      </c>
      <c r="K2627" t="s">
        <v>73</v>
      </c>
      <c r="N2627" t="s">
        <v>74</v>
      </c>
      <c r="O2627" t="s">
        <v>75</v>
      </c>
      <c r="P2627" t="s">
        <v>230</v>
      </c>
      <c r="Q2627" t="s">
        <v>76</v>
      </c>
      <c r="R2627" t="s">
        <v>85</v>
      </c>
      <c r="S2627">
        <v>1</v>
      </c>
      <c r="W2627" s="20">
        <v>0</v>
      </c>
      <c r="X2627" t="s">
        <v>78</v>
      </c>
      <c r="Y2627">
        <v>0</v>
      </c>
      <c r="Z2627">
        <v>0</v>
      </c>
      <c r="AA2627" t="s">
        <v>78</v>
      </c>
      <c r="AB2627">
        <v>0</v>
      </c>
      <c r="AC2627" t="s">
        <v>78</v>
      </c>
      <c r="AD2627">
        <v>0</v>
      </c>
      <c r="AE2627">
        <v>10658987</v>
      </c>
      <c r="AF2627" t="s">
        <v>88</v>
      </c>
      <c r="AG2627" t="s">
        <v>3345</v>
      </c>
    </row>
    <row r="2628" spans="1:33" x14ac:dyDescent="0.35">
      <c r="A2628" s="18">
        <v>44243.63958333333</v>
      </c>
      <c r="B2628">
        <v>3339142</v>
      </c>
      <c r="C2628" t="s">
        <v>1890</v>
      </c>
      <c r="D2628" t="s">
        <v>300</v>
      </c>
      <c r="E2628" s="19">
        <v>40025</v>
      </c>
      <c r="F2628" t="str">
        <f>"9780262270830"</f>
        <v>9780262270830</v>
      </c>
      <c r="G2628" t="str">
        <f>"9780262533058"</f>
        <v>9780262533058</v>
      </c>
      <c r="H2628" t="s">
        <v>110</v>
      </c>
      <c r="I2628">
        <v>5.0999999999999996</v>
      </c>
      <c r="J2628" t="s">
        <v>1891</v>
      </c>
      <c r="K2628" t="s">
        <v>73</v>
      </c>
      <c r="N2628" t="s">
        <v>74</v>
      </c>
      <c r="O2628" t="s">
        <v>75</v>
      </c>
      <c r="P2628" t="s">
        <v>74</v>
      </c>
      <c r="Q2628" t="s">
        <v>76</v>
      </c>
      <c r="R2628" t="s">
        <v>73</v>
      </c>
      <c r="S2628">
        <v>0</v>
      </c>
      <c r="W2628" s="20">
        <v>1.9583333333333331E-2</v>
      </c>
      <c r="X2628" t="s">
        <v>5733</v>
      </c>
      <c r="Y2628">
        <v>5</v>
      </c>
      <c r="Z2628">
        <v>0</v>
      </c>
      <c r="AA2628" t="s">
        <v>78</v>
      </c>
      <c r="AB2628">
        <v>0</v>
      </c>
      <c r="AC2628" t="s">
        <v>78</v>
      </c>
      <c r="AD2628">
        <v>0</v>
      </c>
      <c r="AE2628">
        <v>10397652</v>
      </c>
      <c r="AF2628" t="s">
        <v>88</v>
      </c>
      <c r="AG2628" t="s">
        <v>3345</v>
      </c>
    </row>
    <row r="2629" spans="1:33" x14ac:dyDescent="0.35">
      <c r="A2629" s="18">
        <v>44243.638888888891</v>
      </c>
      <c r="B2629">
        <v>583642</v>
      </c>
      <c r="C2629" t="s">
        <v>2337</v>
      </c>
      <c r="D2629" t="s">
        <v>205</v>
      </c>
      <c r="E2629" s="19">
        <v>40210</v>
      </c>
      <c r="F2629" t="str">
        <f>"9781596930902"</f>
        <v>9781596930902</v>
      </c>
      <c r="G2629" t="str">
        <f>"9781596930896"</f>
        <v>9781596930896</v>
      </c>
      <c r="H2629" t="s">
        <v>2338</v>
      </c>
      <c r="I2629">
        <v>621.38482999999997</v>
      </c>
      <c r="J2629" t="s">
        <v>2339</v>
      </c>
      <c r="K2629" t="s">
        <v>73</v>
      </c>
      <c r="N2629" t="s">
        <v>74</v>
      </c>
      <c r="O2629" t="s">
        <v>75</v>
      </c>
      <c r="P2629" t="s">
        <v>74</v>
      </c>
      <c r="Q2629" t="s">
        <v>76</v>
      </c>
      <c r="R2629" t="s">
        <v>73</v>
      </c>
      <c r="S2629">
        <v>0</v>
      </c>
      <c r="W2629" s="20">
        <v>4.6296296296296294E-5</v>
      </c>
      <c r="X2629" t="s">
        <v>132</v>
      </c>
      <c r="Y2629">
        <v>1</v>
      </c>
      <c r="Z2629">
        <v>0</v>
      </c>
      <c r="AA2629" t="s">
        <v>78</v>
      </c>
      <c r="AB2629">
        <v>0</v>
      </c>
      <c r="AC2629" t="s">
        <v>78</v>
      </c>
      <c r="AD2629">
        <v>0</v>
      </c>
      <c r="AE2629">
        <v>10393271</v>
      </c>
      <c r="AF2629" t="s">
        <v>79</v>
      </c>
      <c r="AG2629" t="s">
        <v>3345</v>
      </c>
    </row>
    <row r="2630" spans="1:33" x14ac:dyDescent="0.35">
      <c r="A2630" s="18">
        <v>44243.545138888891</v>
      </c>
      <c r="B2630">
        <v>1495670</v>
      </c>
      <c r="C2630" t="s">
        <v>5734</v>
      </c>
      <c r="D2630" t="s">
        <v>5735</v>
      </c>
      <c r="E2630" s="19">
        <v>40057</v>
      </c>
      <c r="F2630" t="str">
        <f>"9780127999944"</f>
        <v>9780127999944</v>
      </c>
      <c r="G2630" t="str">
        <f>"9781933762388"</f>
        <v>9781933762388</v>
      </c>
      <c r="H2630" t="s">
        <v>5736</v>
      </c>
      <c r="I2630">
        <v>665.7</v>
      </c>
      <c r="J2630" t="s">
        <v>5737</v>
      </c>
      <c r="K2630" t="s">
        <v>73</v>
      </c>
      <c r="N2630" t="s">
        <v>74</v>
      </c>
      <c r="O2630" t="s">
        <v>75</v>
      </c>
      <c r="P2630" t="s">
        <v>74</v>
      </c>
      <c r="Q2630" t="s">
        <v>76</v>
      </c>
      <c r="R2630" t="s">
        <v>73</v>
      </c>
      <c r="S2630">
        <v>0</v>
      </c>
      <c r="W2630" s="20">
        <v>8.2175925925925917E-4</v>
      </c>
      <c r="X2630" t="s">
        <v>5738</v>
      </c>
      <c r="Y2630">
        <v>7</v>
      </c>
      <c r="Z2630">
        <v>0</v>
      </c>
      <c r="AA2630" t="s">
        <v>78</v>
      </c>
      <c r="AB2630">
        <v>0</v>
      </c>
      <c r="AC2630" t="s">
        <v>78</v>
      </c>
      <c r="AD2630">
        <v>0</v>
      </c>
      <c r="AE2630">
        <v>10405217</v>
      </c>
      <c r="AF2630" t="s">
        <v>79</v>
      </c>
      <c r="AG2630" t="s">
        <v>1330</v>
      </c>
    </row>
    <row r="2631" spans="1:33" x14ac:dyDescent="0.35">
      <c r="A2631" s="18">
        <v>44243.539583333331</v>
      </c>
      <c r="B2631">
        <v>1798303</v>
      </c>
      <c r="C2631" t="s">
        <v>4399</v>
      </c>
      <c r="D2631" t="s">
        <v>158</v>
      </c>
      <c r="E2631" s="19">
        <v>41911</v>
      </c>
      <c r="F2631" t="str">
        <f>"9780124200111"</f>
        <v>9780124200111</v>
      </c>
      <c r="G2631" t="str">
        <f>"9780124200036"</f>
        <v>9780124200036</v>
      </c>
      <c r="H2631" t="s">
        <v>4400</v>
      </c>
      <c r="I2631" t="s">
        <v>4401</v>
      </c>
      <c r="J2631" t="s">
        <v>4402</v>
      </c>
      <c r="K2631" t="s">
        <v>73</v>
      </c>
      <c r="N2631" t="s">
        <v>74</v>
      </c>
      <c r="O2631" t="s">
        <v>75</v>
      </c>
      <c r="P2631" t="s">
        <v>74</v>
      </c>
      <c r="Q2631" t="s">
        <v>76</v>
      </c>
      <c r="R2631" t="s">
        <v>73</v>
      </c>
      <c r="S2631">
        <v>0</v>
      </c>
      <c r="W2631" s="20">
        <v>6.9444444444444447E-4</v>
      </c>
      <c r="X2631" t="s">
        <v>5739</v>
      </c>
      <c r="Y2631">
        <v>12</v>
      </c>
      <c r="Z2631">
        <v>0</v>
      </c>
      <c r="AA2631" t="s">
        <v>78</v>
      </c>
      <c r="AB2631">
        <v>0</v>
      </c>
      <c r="AC2631" t="s">
        <v>78</v>
      </c>
      <c r="AD2631">
        <v>0</v>
      </c>
      <c r="AE2631">
        <v>10944045</v>
      </c>
      <c r="AF2631" t="s">
        <v>79</v>
      </c>
      <c r="AG2631" t="s">
        <v>1330</v>
      </c>
    </row>
    <row r="2632" spans="1:33" x14ac:dyDescent="0.35">
      <c r="A2632" s="18">
        <v>44243.49722222222</v>
      </c>
      <c r="B2632">
        <v>3339142</v>
      </c>
      <c r="C2632" t="s">
        <v>1890</v>
      </c>
      <c r="D2632" t="s">
        <v>300</v>
      </c>
      <c r="E2632" s="19">
        <v>40025</v>
      </c>
      <c r="F2632" t="str">
        <f>"9780262270830"</f>
        <v>9780262270830</v>
      </c>
      <c r="G2632" t="str">
        <f>"9780262533058"</f>
        <v>9780262533058</v>
      </c>
      <c r="H2632" t="s">
        <v>110</v>
      </c>
      <c r="I2632">
        <v>5.0999999999999996</v>
      </c>
      <c r="J2632" t="s">
        <v>1891</v>
      </c>
      <c r="K2632" t="s">
        <v>73</v>
      </c>
      <c r="N2632" t="s">
        <v>74</v>
      </c>
      <c r="O2632" t="s">
        <v>75</v>
      </c>
      <c r="P2632" t="s">
        <v>74</v>
      </c>
      <c r="Q2632" t="s">
        <v>76</v>
      </c>
      <c r="R2632" t="s">
        <v>73</v>
      </c>
      <c r="S2632">
        <v>0</v>
      </c>
      <c r="W2632" s="20">
        <v>1.1145833333333334E-2</v>
      </c>
      <c r="X2632" t="s">
        <v>5740</v>
      </c>
      <c r="Y2632">
        <v>24</v>
      </c>
      <c r="Z2632">
        <v>0</v>
      </c>
      <c r="AA2632" t="s">
        <v>78</v>
      </c>
      <c r="AB2632">
        <v>0</v>
      </c>
      <c r="AC2632" t="s">
        <v>78</v>
      </c>
      <c r="AD2632">
        <v>0</v>
      </c>
      <c r="AE2632">
        <v>10397652</v>
      </c>
      <c r="AF2632" t="s">
        <v>79</v>
      </c>
      <c r="AG2632" t="s">
        <v>3345</v>
      </c>
    </row>
    <row r="2633" spans="1:33" x14ac:dyDescent="0.35">
      <c r="A2633" s="18">
        <v>44243.380555555559</v>
      </c>
      <c r="B2633">
        <v>4183001</v>
      </c>
      <c r="C2633" t="s">
        <v>580</v>
      </c>
      <c r="D2633" t="s">
        <v>70</v>
      </c>
      <c r="E2633" s="19">
        <v>42359</v>
      </c>
      <c r="F2633" t="str">
        <f>"9781118972311"</f>
        <v>9781118972311</v>
      </c>
      <c r="G2633" t="str">
        <f>"9781118972304"</f>
        <v>9781118972304</v>
      </c>
      <c r="H2633" t="s">
        <v>308</v>
      </c>
      <c r="I2633">
        <v>297</v>
      </c>
      <c r="J2633" t="s">
        <v>581</v>
      </c>
      <c r="K2633" t="s">
        <v>73</v>
      </c>
      <c r="N2633" t="s">
        <v>74</v>
      </c>
      <c r="O2633" t="s">
        <v>75</v>
      </c>
      <c r="P2633" t="s">
        <v>74</v>
      </c>
      <c r="Q2633" t="s">
        <v>76</v>
      </c>
      <c r="R2633" t="s">
        <v>73</v>
      </c>
      <c r="S2633">
        <v>0</v>
      </c>
      <c r="W2633" s="20">
        <v>1.3888888888888889E-4</v>
      </c>
      <c r="X2633" t="s">
        <v>5741</v>
      </c>
      <c r="Y2633">
        <v>3</v>
      </c>
      <c r="Z2633">
        <v>0</v>
      </c>
      <c r="AA2633" t="s">
        <v>78</v>
      </c>
      <c r="AB2633">
        <v>0</v>
      </c>
      <c r="AC2633" t="s">
        <v>78</v>
      </c>
      <c r="AD2633">
        <v>0</v>
      </c>
      <c r="AE2633">
        <v>11124854</v>
      </c>
      <c r="AF2633" t="s">
        <v>79</v>
      </c>
      <c r="AG2633" t="s">
        <v>5600</v>
      </c>
    </row>
    <row r="2634" spans="1:33" x14ac:dyDescent="0.35">
      <c r="A2634" s="18">
        <v>44243.330555555556</v>
      </c>
      <c r="B2634">
        <v>826883</v>
      </c>
      <c r="C2634" t="s">
        <v>2059</v>
      </c>
      <c r="D2634" t="s">
        <v>70</v>
      </c>
      <c r="E2634" s="19">
        <v>40918</v>
      </c>
      <c r="F2634" t="str">
        <f>"9781444347135"</f>
        <v>9781444347135</v>
      </c>
      <c r="G2634" t="str">
        <f>"9781405194655"</f>
        <v>9781405194655</v>
      </c>
      <c r="H2634" t="s">
        <v>1561</v>
      </c>
      <c r="I2634">
        <v>551.79999999999995</v>
      </c>
      <c r="J2634" t="s">
        <v>2060</v>
      </c>
      <c r="K2634" t="s">
        <v>73</v>
      </c>
      <c r="N2634" t="s">
        <v>74</v>
      </c>
      <c r="O2634" t="s">
        <v>75</v>
      </c>
      <c r="P2634" t="s">
        <v>74</v>
      </c>
      <c r="Q2634" t="s">
        <v>76</v>
      </c>
      <c r="R2634" t="s">
        <v>73</v>
      </c>
      <c r="S2634">
        <v>0</v>
      </c>
      <c r="W2634" s="20">
        <v>7.7546296296296304E-4</v>
      </c>
      <c r="X2634" t="s">
        <v>5742</v>
      </c>
      <c r="Y2634">
        <v>4</v>
      </c>
      <c r="Z2634">
        <v>3</v>
      </c>
      <c r="AA2634" t="s">
        <v>5743</v>
      </c>
      <c r="AB2634">
        <v>75</v>
      </c>
      <c r="AC2634" t="s">
        <v>78</v>
      </c>
      <c r="AD2634">
        <v>0</v>
      </c>
      <c r="AE2634">
        <v>10524044</v>
      </c>
      <c r="AF2634" t="s">
        <v>88</v>
      </c>
      <c r="AG2634" t="s">
        <v>5658</v>
      </c>
    </row>
    <row r="2635" spans="1:33" x14ac:dyDescent="0.35">
      <c r="A2635" s="18">
        <v>44243.330555555556</v>
      </c>
      <c r="B2635">
        <v>697805</v>
      </c>
      <c r="C2635" t="s">
        <v>5744</v>
      </c>
      <c r="D2635" t="s">
        <v>70</v>
      </c>
      <c r="E2635" s="19">
        <v>40868</v>
      </c>
      <c r="F2635" t="str">
        <f>"9781444345032"</f>
        <v>9781444345032</v>
      </c>
      <c r="G2635" t="str">
        <f>"9781444338867"</f>
        <v>9781444338867</v>
      </c>
      <c r="H2635" t="s">
        <v>1905</v>
      </c>
      <c r="I2635">
        <v>551.79999999999995</v>
      </c>
      <c r="J2635" t="s">
        <v>5745</v>
      </c>
      <c r="K2635" t="s">
        <v>73</v>
      </c>
      <c r="N2635" t="s">
        <v>74</v>
      </c>
      <c r="O2635" t="s">
        <v>75</v>
      </c>
      <c r="P2635" t="s">
        <v>74</v>
      </c>
      <c r="Q2635" t="s">
        <v>76</v>
      </c>
      <c r="R2635" t="s">
        <v>73</v>
      </c>
      <c r="S2635">
        <v>0</v>
      </c>
      <c r="W2635" s="20">
        <v>4.6296296296296294E-5</v>
      </c>
      <c r="X2635" t="s">
        <v>132</v>
      </c>
      <c r="Y2635">
        <v>1</v>
      </c>
      <c r="Z2635">
        <v>0</v>
      </c>
      <c r="AA2635" t="s">
        <v>78</v>
      </c>
      <c r="AB2635">
        <v>0</v>
      </c>
      <c r="AC2635" t="s">
        <v>78</v>
      </c>
      <c r="AD2635">
        <v>0</v>
      </c>
      <c r="AE2635">
        <v>10515871</v>
      </c>
      <c r="AF2635" t="s">
        <v>88</v>
      </c>
      <c r="AG2635" t="s">
        <v>5658</v>
      </c>
    </row>
    <row r="2636" spans="1:33" x14ac:dyDescent="0.35">
      <c r="A2636" s="18">
        <v>44243.32916666667</v>
      </c>
      <c r="B2636">
        <v>4354765</v>
      </c>
      <c r="C2636" t="s">
        <v>5711</v>
      </c>
      <c r="D2636" t="s">
        <v>538</v>
      </c>
      <c r="E2636" s="19">
        <v>42431</v>
      </c>
      <c r="F2636" t="str">
        <f>"9781316474860"</f>
        <v>9781316474860</v>
      </c>
      <c r="G2636" t="str">
        <f>"9781107025837"</f>
        <v>9781107025837</v>
      </c>
      <c r="H2636" t="s">
        <v>1561</v>
      </c>
      <c r="I2636">
        <v>551.87199999999996</v>
      </c>
      <c r="J2636" t="s">
        <v>5712</v>
      </c>
      <c r="K2636" t="s">
        <v>85</v>
      </c>
      <c r="N2636" t="s">
        <v>86</v>
      </c>
      <c r="P2636" t="s">
        <v>1850</v>
      </c>
      <c r="Q2636" t="s">
        <v>76</v>
      </c>
      <c r="R2636" t="s">
        <v>73</v>
      </c>
      <c r="S2636">
        <v>0</v>
      </c>
      <c r="W2636" s="20">
        <v>7.5231481481481471E-4</v>
      </c>
      <c r="X2636" t="s">
        <v>5746</v>
      </c>
      <c r="Y2636">
        <v>5</v>
      </c>
      <c r="Z2636">
        <v>2</v>
      </c>
      <c r="AA2636" t="s">
        <v>5747</v>
      </c>
      <c r="AB2636">
        <v>56</v>
      </c>
      <c r="AC2636" t="s">
        <v>78</v>
      </c>
      <c r="AD2636">
        <v>0</v>
      </c>
      <c r="AE2636">
        <v>11217760</v>
      </c>
      <c r="AF2636" t="s">
        <v>88</v>
      </c>
      <c r="AG2636" t="s">
        <v>5658</v>
      </c>
    </row>
    <row r="2637" spans="1:33" x14ac:dyDescent="0.35">
      <c r="A2637" s="18">
        <v>44243.32916666667</v>
      </c>
      <c r="B2637">
        <v>564751</v>
      </c>
      <c r="C2637" t="s">
        <v>5748</v>
      </c>
      <c r="D2637" t="s">
        <v>127</v>
      </c>
      <c r="E2637" s="19">
        <v>38107</v>
      </c>
      <c r="F2637" t="str">
        <f>"9781444119060"</f>
        <v>9781444119060</v>
      </c>
      <c r="G2637" t="str">
        <f>"9780340764176"</f>
        <v>9780340764176</v>
      </c>
      <c r="H2637" t="s">
        <v>1561</v>
      </c>
      <c r="I2637">
        <v>551.43200000000002</v>
      </c>
      <c r="J2637" t="s">
        <v>5749</v>
      </c>
      <c r="K2637" t="s">
        <v>73</v>
      </c>
      <c r="N2637" t="s">
        <v>74</v>
      </c>
      <c r="O2637" t="s">
        <v>75</v>
      </c>
      <c r="P2637" t="s">
        <v>74</v>
      </c>
      <c r="Q2637" t="s">
        <v>76</v>
      </c>
      <c r="R2637" t="s">
        <v>73</v>
      </c>
      <c r="S2637">
        <v>0</v>
      </c>
      <c r="W2637" s="20">
        <v>4.6296296296296294E-5</v>
      </c>
      <c r="X2637" t="s">
        <v>132</v>
      </c>
      <c r="Y2637">
        <v>1</v>
      </c>
      <c r="Z2637">
        <v>0</v>
      </c>
      <c r="AA2637" t="s">
        <v>78</v>
      </c>
      <c r="AB2637">
        <v>0</v>
      </c>
      <c r="AC2637" t="s">
        <v>78</v>
      </c>
      <c r="AD2637">
        <v>0</v>
      </c>
      <c r="AE2637">
        <v>10400390</v>
      </c>
      <c r="AF2637" t="s">
        <v>88</v>
      </c>
      <c r="AG2637" t="s">
        <v>5658</v>
      </c>
    </row>
    <row r="2638" spans="1:33" x14ac:dyDescent="0.35">
      <c r="A2638" s="18">
        <v>44243.328472222223</v>
      </c>
      <c r="B2638">
        <v>3020038</v>
      </c>
      <c r="C2638" t="s">
        <v>5750</v>
      </c>
      <c r="D2638" t="s">
        <v>226</v>
      </c>
      <c r="E2638" s="19">
        <v>40098</v>
      </c>
      <c r="F2638" t="str">
        <f>"9781616689971"</f>
        <v>9781616689971</v>
      </c>
      <c r="G2638" t="str">
        <f>"9781607410034"</f>
        <v>9781607410034</v>
      </c>
      <c r="H2638" t="s">
        <v>1561</v>
      </c>
      <c r="I2638">
        <v>551.41</v>
      </c>
      <c r="J2638" t="s">
        <v>5751</v>
      </c>
      <c r="K2638" t="s">
        <v>73</v>
      </c>
      <c r="N2638" t="s">
        <v>74</v>
      </c>
      <c r="O2638" t="s">
        <v>75</v>
      </c>
      <c r="P2638" t="s">
        <v>230</v>
      </c>
      <c r="Q2638" t="s">
        <v>76</v>
      </c>
      <c r="R2638" t="s">
        <v>85</v>
      </c>
      <c r="S2638">
        <v>0</v>
      </c>
      <c r="W2638" s="20">
        <v>3.4722222222222222E-5</v>
      </c>
      <c r="X2638" t="s">
        <v>132</v>
      </c>
      <c r="Y2638">
        <v>1</v>
      </c>
      <c r="Z2638">
        <v>0</v>
      </c>
      <c r="AA2638" t="s">
        <v>78</v>
      </c>
      <c r="AB2638">
        <v>0</v>
      </c>
      <c r="AC2638" t="s">
        <v>78</v>
      </c>
      <c r="AD2638">
        <v>0</v>
      </c>
      <c r="AE2638">
        <v>10675046</v>
      </c>
      <c r="AF2638" t="s">
        <v>88</v>
      </c>
      <c r="AG2638" t="s">
        <v>5658</v>
      </c>
    </row>
    <row r="2639" spans="1:33" x14ac:dyDescent="0.35">
      <c r="A2639" s="18">
        <v>44243.326388888891</v>
      </c>
      <c r="B2639">
        <v>1204633</v>
      </c>
      <c r="C2639" t="s">
        <v>1560</v>
      </c>
      <c r="D2639" t="s">
        <v>70</v>
      </c>
      <c r="E2639" s="19">
        <v>41512</v>
      </c>
      <c r="F2639" t="str">
        <f>"9781118450444"</f>
        <v>9781118450444</v>
      </c>
      <c r="G2639" t="str">
        <f>"9780470673768"</f>
        <v>9780470673768</v>
      </c>
      <c r="H2639" t="s">
        <v>1561</v>
      </c>
      <c r="I2639">
        <v>552.5</v>
      </c>
      <c r="J2639" t="s">
        <v>1562</v>
      </c>
      <c r="K2639" t="s">
        <v>73</v>
      </c>
      <c r="N2639" t="s">
        <v>74</v>
      </c>
      <c r="O2639" t="s">
        <v>75</v>
      </c>
      <c r="P2639" t="s">
        <v>74</v>
      </c>
      <c r="Q2639" t="s">
        <v>76</v>
      </c>
      <c r="R2639" t="s">
        <v>73</v>
      </c>
      <c r="S2639">
        <v>0</v>
      </c>
      <c r="W2639" s="20">
        <v>1.9212962962962962E-3</v>
      </c>
      <c r="X2639" t="s">
        <v>5752</v>
      </c>
      <c r="Y2639">
        <v>22</v>
      </c>
      <c r="Z2639">
        <v>2</v>
      </c>
      <c r="AA2639" t="s">
        <v>5753</v>
      </c>
      <c r="AB2639">
        <v>100</v>
      </c>
      <c r="AC2639" t="s">
        <v>78</v>
      </c>
      <c r="AD2639">
        <v>0</v>
      </c>
      <c r="AE2639">
        <v>10713576</v>
      </c>
      <c r="AF2639" t="s">
        <v>88</v>
      </c>
      <c r="AG2639" t="s">
        <v>5658</v>
      </c>
    </row>
    <row r="2640" spans="1:33" x14ac:dyDescent="0.35">
      <c r="A2640" s="18">
        <v>44243.326388888891</v>
      </c>
      <c r="B2640">
        <v>312765</v>
      </c>
      <c r="C2640" t="s">
        <v>5754</v>
      </c>
      <c r="D2640" t="s">
        <v>158</v>
      </c>
      <c r="E2640" s="19">
        <v>36670</v>
      </c>
      <c r="F2640" t="str">
        <f>"9780080527475"</f>
        <v>9780080527475</v>
      </c>
      <c r="G2640" t="str">
        <f>"9780126363753"</f>
        <v>9780126363753</v>
      </c>
      <c r="H2640" t="s">
        <v>1905</v>
      </c>
      <c r="I2640">
        <v>552.5</v>
      </c>
      <c r="J2640" t="s">
        <v>5755</v>
      </c>
      <c r="K2640" t="s">
        <v>85</v>
      </c>
      <c r="N2640" t="s">
        <v>86</v>
      </c>
      <c r="P2640" t="s">
        <v>87</v>
      </c>
      <c r="Q2640" t="s">
        <v>76</v>
      </c>
      <c r="R2640" t="s">
        <v>73</v>
      </c>
      <c r="S2640">
        <v>0</v>
      </c>
      <c r="W2640" s="20">
        <v>3.4722222222222222E-5</v>
      </c>
      <c r="X2640" t="s">
        <v>132</v>
      </c>
      <c r="Y2640">
        <v>1</v>
      </c>
      <c r="Z2640">
        <v>0</v>
      </c>
      <c r="AA2640" t="s">
        <v>78</v>
      </c>
      <c r="AB2640">
        <v>0</v>
      </c>
      <c r="AC2640" t="s">
        <v>78</v>
      </c>
      <c r="AD2640">
        <v>0</v>
      </c>
      <c r="AE2640">
        <v>10190220</v>
      </c>
      <c r="AF2640" t="s">
        <v>88</v>
      </c>
      <c r="AG2640" t="s">
        <v>5658</v>
      </c>
    </row>
    <row r="2641" spans="1:33" x14ac:dyDescent="0.35">
      <c r="A2641" s="18">
        <v>44243.325694444444</v>
      </c>
      <c r="B2641">
        <v>451910</v>
      </c>
      <c r="C2641" t="s">
        <v>5756</v>
      </c>
      <c r="D2641" t="s">
        <v>538</v>
      </c>
      <c r="E2641" s="19">
        <v>39996</v>
      </c>
      <c r="F2641" t="str">
        <f>"9780511593277"</f>
        <v>9780511593277</v>
      </c>
      <c r="G2641" t="str">
        <f>"9780521878128"</f>
        <v>9780521878128</v>
      </c>
      <c r="H2641" t="s">
        <v>1561</v>
      </c>
      <c r="I2641">
        <v>551.41</v>
      </c>
      <c r="J2641" t="s">
        <v>5757</v>
      </c>
      <c r="K2641" t="s">
        <v>73</v>
      </c>
      <c r="N2641" t="s">
        <v>74</v>
      </c>
      <c r="O2641" t="s">
        <v>75</v>
      </c>
      <c r="P2641" t="s">
        <v>74</v>
      </c>
      <c r="Q2641" t="s">
        <v>76</v>
      </c>
      <c r="R2641" t="s">
        <v>73</v>
      </c>
      <c r="S2641">
        <v>0</v>
      </c>
      <c r="W2641" s="20">
        <v>3.4722222222222222E-5</v>
      </c>
      <c r="X2641" t="s">
        <v>132</v>
      </c>
      <c r="Y2641">
        <v>1</v>
      </c>
      <c r="Z2641">
        <v>0</v>
      </c>
      <c r="AA2641" t="s">
        <v>78</v>
      </c>
      <c r="AB2641">
        <v>0</v>
      </c>
      <c r="AC2641" t="s">
        <v>78</v>
      </c>
      <c r="AD2641">
        <v>0</v>
      </c>
      <c r="AE2641">
        <v>10329791</v>
      </c>
      <c r="AF2641" t="s">
        <v>88</v>
      </c>
      <c r="AG2641" t="s">
        <v>5658</v>
      </c>
    </row>
    <row r="2642" spans="1:33" x14ac:dyDescent="0.35">
      <c r="A2642" s="18">
        <v>44242.964583333334</v>
      </c>
      <c r="B2642">
        <v>3339142</v>
      </c>
      <c r="C2642" t="s">
        <v>1890</v>
      </c>
      <c r="D2642" t="s">
        <v>300</v>
      </c>
      <c r="E2642" s="19">
        <v>40025</v>
      </c>
      <c r="F2642" t="str">
        <f>"9780262270830"</f>
        <v>9780262270830</v>
      </c>
      <c r="G2642" t="str">
        <f>"9780262533058"</f>
        <v>9780262533058</v>
      </c>
      <c r="H2642" t="s">
        <v>110</v>
      </c>
      <c r="I2642">
        <v>5.0999999999999996</v>
      </c>
      <c r="J2642" t="s">
        <v>1891</v>
      </c>
      <c r="K2642" t="s">
        <v>73</v>
      </c>
      <c r="N2642" t="s">
        <v>74</v>
      </c>
      <c r="O2642" t="s">
        <v>75</v>
      </c>
      <c r="P2642" t="s">
        <v>74</v>
      </c>
      <c r="Q2642" t="s">
        <v>76</v>
      </c>
      <c r="R2642" t="s">
        <v>73</v>
      </c>
      <c r="S2642">
        <v>0</v>
      </c>
      <c r="W2642" s="20">
        <v>0.12</v>
      </c>
      <c r="X2642" t="s">
        <v>5758</v>
      </c>
      <c r="Y2642">
        <v>51</v>
      </c>
      <c r="Z2642">
        <v>0</v>
      </c>
      <c r="AA2642" t="s">
        <v>78</v>
      </c>
      <c r="AB2642">
        <v>0</v>
      </c>
      <c r="AC2642" t="s">
        <v>78</v>
      </c>
      <c r="AD2642">
        <v>0</v>
      </c>
      <c r="AE2642">
        <v>10397652</v>
      </c>
      <c r="AF2642" t="s">
        <v>88</v>
      </c>
      <c r="AG2642" t="s">
        <v>3345</v>
      </c>
    </row>
    <row r="2643" spans="1:33" x14ac:dyDescent="0.35">
      <c r="A2643" s="18">
        <v>44242.963194444441</v>
      </c>
      <c r="B2643">
        <v>583642</v>
      </c>
      <c r="C2643" t="s">
        <v>2337</v>
      </c>
      <c r="D2643" t="s">
        <v>205</v>
      </c>
      <c r="E2643" s="19">
        <v>40210</v>
      </c>
      <c r="F2643" t="str">
        <f>"9781596930902"</f>
        <v>9781596930902</v>
      </c>
      <c r="G2643" t="str">
        <f>"9781596930896"</f>
        <v>9781596930896</v>
      </c>
      <c r="H2643" t="s">
        <v>2338</v>
      </c>
      <c r="I2643">
        <v>621.38482999999997</v>
      </c>
      <c r="J2643" t="s">
        <v>2339</v>
      </c>
      <c r="K2643" t="s">
        <v>73</v>
      </c>
      <c r="N2643" t="s">
        <v>74</v>
      </c>
      <c r="O2643" t="s">
        <v>75</v>
      </c>
      <c r="P2643" t="s">
        <v>74</v>
      </c>
      <c r="Q2643" t="s">
        <v>76</v>
      </c>
      <c r="R2643" t="s">
        <v>73</v>
      </c>
      <c r="S2643">
        <v>0</v>
      </c>
      <c r="W2643" s="20">
        <v>3.2407407407407406E-4</v>
      </c>
      <c r="X2643" t="s">
        <v>249</v>
      </c>
      <c r="Y2643">
        <v>2</v>
      </c>
      <c r="Z2643">
        <v>0</v>
      </c>
      <c r="AA2643" t="s">
        <v>78</v>
      </c>
      <c r="AB2643">
        <v>0</v>
      </c>
      <c r="AC2643" t="s">
        <v>78</v>
      </c>
      <c r="AD2643">
        <v>0</v>
      </c>
      <c r="AE2643">
        <v>10393271</v>
      </c>
      <c r="AF2643" t="s">
        <v>88</v>
      </c>
      <c r="AG2643" t="s">
        <v>3345</v>
      </c>
    </row>
    <row r="2644" spans="1:33" x14ac:dyDescent="0.35">
      <c r="A2644" s="18">
        <v>44242.833333333336</v>
      </c>
      <c r="B2644">
        <v>1446430</v>
      </c>
      <c r="C2644" t="s">
        <v>1649</v>
      </c>
      <c r="D2644" t="s">
        <v>127</v>
      </c>
      <c r="E2644" s="19">
        <v>40274</v>
      </c>
      <c r="F2644" t="str">
        <f>"9781439882573"</f>
        <v>9781439882573</v>
      </c>
      <c r="G2644" t="str">
        <f>"9781420085983"</f>
        <v>9781420085983</v>
      </c>
      <c r="H2644" t="s">
        <v>979</v>
      </c>
      <c r="I2644" t="s">
        <v>1650</v>
      </c>
      <c r="J2644" t="s">
        <v>1651</v>
      </c>
      <c r="K2644" t="s">
        <v>73</v>
      </c>
      <c r="N2644" t="s">
        <v>74</v>
      </c>
      <c r="O2644" t="s">
        <v>75</v>
      </c>
      <c r="P2644" t="s">
        <v>74</v>
      </c>
      <c r="Q2644" t="s">
        <v>76</v>
      </c>
      <c r="R2644" t="s">
        <v>73</v>
      </c>
      <c r="S2644">
        <v>0</v>
      </c>
      <c r="W2644" s="20">
        <v>3.3206018518518517E-2</v>
      </c>
      <c r="X2644" t="s">
        <v>5759</v>
      </c>
      <c r="Y2644">
        <v>115</v>
      </c>
      <c r="Z2644">
        <v>0</v>
      </c>
      <c r="AA2644" t="s">
        <v>78</v>
      </c>
      <c r="AB2644">
        <v>0</v>
      </c>
      <c r="AC2644" t="s">
        <v>78</v>
      </c>
      <c r="AD2644">
        <v>0</v>
      </c>
      <c r="AE2644">
        <v>11166018</v>
      </c>
      <c r="AF2644" t="s">
        <v>79</v>
      </c>
      <c r="AG2644" t="s">
        <v>5760</v>
      </c>
    </row>
    <row r="2645" spans="1:33" x14ac:dyDescent="0.35">
      <c r="A2645" s="18">
        <v>44242.73541666667</v>
      </c>
      <c r="B2645">
        <v>1602822</v>
      </c>
      <c r="C2645" t="s">
        <v>4019</v>
      </c>
      <c r="D2645" t="s">
        <v>127</v>
      </c>
      <c r="E2645" s="19">
        <v>40890</v>
      </c>
      <c r="F2645" t="str">
        <f>"9781439897836"</f>
        <v>9781439897836</v>
      </c>
      <c r="G2645" t="str">
        <f>"9781439804452"</f>
        <v>9781439804452</v>
      </c>
      <c r="H2645" t="s">
        <v>979</v>
      </c>
      <c r="I2645" t="s">
        <v>4020</v>
      </c>
      <c r="J2645" t="s">
        <v>4021</v>
      </c>
      <c r="K2645" t="s">
        <v>73</v>
      </c>
      <c r="N2645" t="s">
        <v>74</v>
      </c>
      <c r="O2645" t="s">
        <v>75</v>
      </c>
      <c r="P2645" t="s">
        <v>74</v>
      </c>
      <c r="Q2645" t="s">
        <v>76</v>
      </c>
      <c r="R2645" t="s">
        <v>73</v>
      </c>
      <c r="S2645">
        <v>0</v>
      </c>
      <c r="W2645" s="20">
        <v>3.1250000000000001E-4</v>
      </c>
      <c r="X2645" t="s">
        <v>951</v>
      </c>
      <c r="Y2645">
        <v>5</v>
      </c>
      <c r="Z2645">
        <v>0</v>
      </c>
      <c r="AA2645" t="s">
        <v>78</v>
      </c>
      <c r="AB2645">
        <v>0</v>
      </c>
      <c r="AC2645" t="s">
        <v>78</v>
      </c>
      <c r="AD2645">
        <v>0</v>
      </c>
      <c r="AE2645">
        <v>11167228</v>
      </c>
      <c r="AF2645" t="s">
        <v>79</v>
      </c>
      <c r="AG2645" t="s">
        <v>3345</v>
      </c>
    </row>
    <row r="2646" spans="1:33" x14ac:dyDescent="0.35">
      <c r="A2646" s="18">
        <v>44242.651388888888</v>
      </c>
      <c r="B2646">
        <v>1798303</v>
      </c>
      <c r="C2646" t="s">
        <v>4399</v>
      </c>
      <c r="D2646" t="s">
        <v>158</v>
      </c>
      <c r="E2646" s="19">
        <v>41911</v>
      </c>
      <c r="F2646" t="str">
        <f>"9780124200111"</f>
        <v>9780124200111</v>
      </c>
      <c r="G2646" t="str">
        <f>"9780124200036"</f>
        <v>9780124200036</v>
      </c>
      <c r="H2646" t="s">
        <v>4400</v>
      </c>
      <c r="I2646" t="s">
        <v>4401</v>
      </c>
      <c r="J2646" t="s">
        <v>4402</v>
      </c>
      <c r="K2646" t="s">
        <v>73</v>
      </c>
      <c r="N2646" t="s">
        <v>74</v>
      </c>
      <c r="O2646" t="s">
        <v>75</v>
      </c>
      <c r="P2646" t="s">
        <v>74</v>
      </c>
      <c r="Q2646" t="s">
        <v>76</v>
      </c>
      <c r="R2646" t="s">
        <v>73</v>
      </c>
      <c r="S2646">
        <v>0</v>
      </c>
      <c r="W2646" s="20">
        <v>1.2870370370370372E-2</v>
      </c>
      <c r="X2646" t="s">
        <v>5761</v>
      </c>
      <c r="Y2646">
        <v>41</v>
      </c>
      <c r="Z2646">
        <v>0</v>
      </c>
      <c r="AA2646" t="s">
        <v>78</v>
      </c>
      <c r="AB2646">
        <v>0</v>
      </c>
      <c r="AC2646" t="s">
        <v>78</v>
      </c>
      <c r="AD2646">
        <v>0</v>
      </c>
      <c r="AE2646">
        <v>10944045</v>
      </c>
      <c r="AF2646" t="s">
        <v>79</v>
      </c>
      <c r="AG2646" t="s">
        <v>1330</v>
      </c>
    </row>
    <row r="2647" spans="1:33" x14ac:dyDescent="0.35">
      <c r="A2647" s="18">
        <v>44242.651388888888</v>
      </c>
      <c r="B2647">
        <v>1798303</v>
      </c>
      <c r="C2647" t="s">
        <v>4399</v>
      </c>
      <c r="D2647" t="s">
        <v>158</v>
      </c>
      <c r="E2647" s="19">
        <v>41911</v>
      </c>
      <c r="F2647" t="str">
        <f>"9780124200111"</f>
        <v>9780124200111</v>
      </c>
      <c r="G2647" t="str">
        <f>"9780124200036"</f>
        <v>9780124200036</v>
      </c>
      <c r="H2647" t="s">
        <v>4400</v>
      </c>
      <c r="I2647" t="s">
        <v>4401</v>
      </c>
      <c r="J2647" t="s">
        <v>4402</v>
      </c>
      <c r="K2647" t="s">
        <v>73</v>
      </c>
      <c r="N2647" t="s">
        <v>74</v>
      </c>
      <c r="O2647" t="s">
        <v>75</v>
      </c>
      <c r="P2647" t="s">
        <v>74</v>
      </c>
      <c r="Q2647" t="s">
        <v>76</v>
      </c>
      <c r="R2647" t="s">
        <v>73</v>
      </c>
      <c r="S2647">
        <v>0</v>
      </c>
      <c r="W2647" s="20">
        <v>0</v>
      </c>
      <c r="X2647" t="s">
        <v>78</v>
      </c>
      <c r="Y2647">
        <v>0</v>
      </c>
      <c r="Z2647">
        <v>0</v>
      </c>
      <c r="AA2647" t="s">
        <v>78</v>
      </c>
      <c r="AB2647">
        <v>0</v>
      </c>
      <c r="AC2647" t="s">
        <v>78</v>
      </c>
      <c r="AD2647">
        <v>0</v>
      </c>
      <c r="AE2647">
        <v>10944045</v>
      </c>
      <c r="AF2647" t="s">
        <v>79</v>
      </c>
      <c r="AG2647" t="s">
        <v>1330</v>
      </c>
    </row>
    <row r="2648" spans="1:33" x14ac:dyDescent="0.35">
      <c r="A2648" s="18">
        <v>44242.60833333333</v>
      </c>
      <c r="B2648">
        <v>1798303</v>
      </c>
      <c r="C2648" t="s">
        <v>4399</v>
      </c>
      <c r="D2648" t="s">
        <v>158</v>
      </c>
      <c r="E2648" s="19">
        <v>41911</v>
      </c>
      <c r="F2648" t="str">
        <f>"9780124200111"</f>
        <v>9780124200111</v>
      </c>
      <c r="G2648" t="str">
        <f>"9780124200036"</f>
        <v>9780124200036</v>
      </c>
      <c r="H2648" t="s">
        <v>4400</v>
      </c>
      <c r="I2648" t="s">
        <v>4401</v>
      </c>
      <c r="J2648" t="s">
        <v>4402</v>
      </c>
      <c r="K2648" t="s">
        <v>73</v>
      </c>
      <c r="N2648" t="s">
        <v>74</v>
      </c>
      <c r="O2648" t="s">
        <v>75</v>
      </c>
      <c r="P2648" t="s">
        <v>74</v>
      </c>
      <c r="Q2648" t="s">
        <v>76</v>
      </c>
      <c r="R2648" t="s">
        <v>73</v>
      </c>
      <c r="S2648">
        <v>0</v>
      </c>
      <c r="W2648" s="20">
        <v>7.6388888888888893E-4</v>
      </c>
      <c r="X2648" t="s">
        <v>5762</v>
      </c>
      <c r="Y2648">
        <v>14</v>
      </c>
      <c r="Z2648">
        <v>0</v>
      </c>
      <c r="AA2648" t="s">
        <v>78</v>
      </c>
      <c r="AB2648">
        <v>0</v>
      </c>
      <c r="AC2648" t="s">
        <v>78</v>
      </c>
      <c r="AD2648">
        <v>0</v>
      </c>
      <c r="AE2648">
        <v>10944045</v>
      </c>
      <c r="AF2648" t="s">
        <v>79</v>
      </c>
      <c r="AG2648" t="s">
        <v>1330</v>
      </c>
    </row>
    <row r="2649" spans="1:33" x14ac:dyDescent="0.35">
      <c r="A2649" s="18">
        <v>44242.607638888891</v>
      </c>
      <c r="B2649">
        <v>4452700</v>
      </c>
      <c r="C2649" t="s">
        <v>4037</v>
      </c>
      <c r="D2649" t="s">
        <v>70</v>
      </c>
      <c r="E2649" s="19">
        <v>42471</v>
      </c>
      <c r="F2649" t="str">
        <f>"9781119225096"</f>
        <v>9781119225096</v>
      </c>
      <c r="G2649" t="str">
        <f>"9781119225102"</f>
        <v>9781119225102</v>
      </c>
      <c r="H2649" t="s">
        <v>4038</v>
      </c>
      <c r="I2649" t="s">
        <v>3435</v>
      </c>
      <c r="J2649" t="s">
        <v>4039</v>
      </c>
      <c r="K2649" t="s">
        <v>73</v>
      </c>
      <c r="N2649" t="s">
        <v>74</v>
      </c>
      <c r="O2649" t="s">
        <v>75</v>
      </c>
      <c r="P2649" t="s">
        <v>74</v>
      </c>
      <c r="Q2649" t="s">
        <v>76</v>
      </c>
      <c r="R2649" t="s">
        <v>73</v>
      </c>
      <c r="S2649">
        <v>0</v>
      </c>
      <c r="W2649" s="20">
        <v>6.3657407407407402E-4</v>
      </c>
      <c r="X2649" t="s">
        <v>5763</v>
      </c>
      <c r="Y2649">
        <v>12</v>
      </c>
      <c r="Z2649">
        <v>0</v>
      </c>
      <c r="AA2649" t="s">
        <v>78</v>
      </c>
      <c r="AB2649">
        <v>0</v>
      </c>
      <c r="AC2649" t="s">
        <v>78</v>
      </c>
      <c r="AD2649">
        <v>0</v>
      </c>
      <c r="AE2649">
        <v>11175444</v>
      </c>
      <c r="AF2649" t="s">
        <v>79</v>
      </c>
      <c r="AG2649" t="s">
        <v>1330</v>
      </c>
    </row>
    <row r="2650" spans="1:33" x14ac:dyDescent="0.35">
      <c r="A2650" s="18">
        <v>44242.607638888891</v>
      </c>
      <c r="B2650">
        <v>4003887</v>
      </c>
      <c r="C2650" t="s">
        <v>4040</v>
      </c>
      <c r="D2650" t="s">
        <v>158</v>
      </c>
      <c r="E2650" s="19">
        <v>42289</v>
      </c>
      <c r="F2650" t="str">
        <f>"9780128031896"</f>
        <v>9780128031896</v>
      </c>
      <c r="G2650" t="str">
        <f>"9780128031889"</f>
        <v>9780128031889</v>
      </c>
      <c r="H2650" t="s">
        <v>4041</v>
      </c>
      <c r="I2650" t="s">
        <v>4042</v>
      </c>
      <c r="J2650" t="s">
        <v>4043</v>
      </c>
      <c r="K2650" t="s">
        <v>73</v>
      </c>
      <c r="N2650" t="s">
        <v>74</v>
      </c>
      <c r="O2650" t="s">
        <v>75</v>
      </c>
      <c r="P2650" t="s">
        <v>74</v>
      </c>
      <c r="Q2650" t="s">
        <v>76</v>
      </c>
      <c r="R2650" t="s">
        <v>73</v>
      </c>
      <c r="S2650">
        <v>0</v>
      </c>
      <c r="W2650" s="20">
        <v>1.7361111111111112E-4</v>
      </c>
      <c r="X2650" t="s">
        <v>639</v>
      </c>
      <c r="Y2650">
        <v>3</v>
      </c>
      <c r="Z2650">
        <v>0</v>
      </c>
      <c r="AA2650" t="s">
        <v>78</v>
      </c>
      <c r="AB2650">
        <v>0</v>
      </c>
      <c r="AC2650" t="s">
        <v>78</v>
      </c>
      <c r="AD2650">
        <v>0</v>
      </c>
      <c r="AE2650">
        <v>11117970</v>
      </c>
      <c r="AF2650" t="s">
        <v>79</v>
      </c>
      <c r="AG2650" t="s">
        <v>1330</v>
      </c>
    </row>
    <row r="2651" spans="1:33" x14ac:dyDescent="0.35">
      <c r="A2651" s="18">
        <v>44242.607638888891</v>
      </c>
      <c r="B2651">
        <v>4003887</v>
      </c>
      <c r="C2651" t="s">
        <v>4040</v>
      </c>
      <c r="D2651" t="s">
        <v>158</v>
      </c>
      <c r="E2651" s="19">
        <v>42289</v>
      </c>
      <c r="F2651" t="str">
        <f>"9780128031896"</f>
        <v>9780128031896</v>
      </c>
      <c r="G2651" t="str">
        <f>"9780128031889"</f>
        <v>9780128031889</v>
      </c>
      <c r="H2651" t="s">
        <v>4041</v>
      </c>
      <c r="I2651" t="s">
        <v>4042</v>
      </c>
      <c r="J2651" t="s">
        <v>4043</v>
      </c>
      <c r="K2651" t="s">
        <v>73</v>
      </c>
      <c r="N2651" t="s">
        <v>74</v>
      </c>
      <c r="O2651" t="s">
        <v>75</v>
      </c>
      <c r="P2651" t="s">
        <v>74</v>
      </c>
      <c r="Q2651" t="s">
        <v>76</v>
      </c>
      <c r="R2651" t="s">
        <v>73</v>
      </c>
      <c r="S2651">
        <v>0</v>
      </c>
      <c r="W2651" s="20">
        <v>0</v>
      </c>
      <c r="X2651" t="s">
        <v>78</v>
      </c>
      <c r="Y2651">
        <v>0</v>
      </c>
      <c r="Z2651">
        <v>0</v>
      </c>
      <c r="AA2651" t="s">
        <v>78</v>
      </c>
      <c r="AB2651">
        <v>0</v>
      </c>
      <c r="AC2651" t="s">
        <v>78</v>
      </c>
      <c r="AD2651">
        <v>0</v>
      </c>
      <c r="AE2651">
        <v>11117970</v>
      </c>
      <c r="AF2651" t="s">
        <v>79</v>
      </c>
      <c r="AG2651" t="s">
        <v>1330</v>
      </c>
    </row>
    <row r="2652" spans="1:33" x14ac:dyDescent="0.35">
      <c r="A2652" s="18">
        <v>44242.572222222225</v>
      </c>
      <c r="B2652">
        <v>5167124</v>
      </c>
      <c r="C2652" t="s">
        <v>4034</v>
      </c>
      <c r="D2652" t="s">
        <v>158</v>
      </c>
      <c r="E2652" s="19">
        <v>43069</v>
      </c>
      <c r="F2652" t="str">
        <f>"9780128129999"</f>
        <v>9780128129999</v>
      </c>
      <c r="G2652" t="str">
        <f>"9780128129982"</f>
        <v>9780128129982</v>
      </c>
      <c r="H2652" t="s">
        <v>179</v>
      </c>
      <c r="I2652" t="s">
        <v>3435</v>
      </c>
      <c r="J2652" t="s">
        <v>4035</v>
      </c>
      <c r="K2652" t="s">
        <v>73</v>
      </c>
      <c r="N2652" t="s">
        <v>74</v>
      </c>
      <c r="O2652" t="s">
        <v>75</v>
      </c>
      <c r="P2652" t="s">
        <v>74</v>
      </c>
      <c r="Q2652" t="s">
        <v>76</v>
      </c>
      <c r="R2652" t="s">
        <v>73</v>
      </c>
      <c r="S2652">
        <v>0</v>
      </c>
      <c r="W2652" s="20">
        <v>1.6087962962962963E-3</v>
      </c>
      <c r="X2652" t="s">
        <v>2362</v>
      </c>
      <c r="Y2652">
        <v>4</v>
      </c>
      <c r="Z2652">
        <v>0</v>
      </c>
      <c r="AA2652" t="s">
        <v>78</v>
      </c>
      <c r="AB2652">
        <v>0</v>
      </c>
      <c r="AC2652" t="s">
        <v>78</v>
      </c>
      <c r="AD2652">
        <v>0</v>
      </c>
      <c r="AE2652">
        <v>11476363</v>
      </c>
      <c r="AF2652" t="s">
        <v>79</v>
      </c>
      <c r="AG2652" t="s">
        <v>1330</v>
      </c>
    </row>
    <row r="2653" spans="1:33" x14ac:dyDescent="0.35">
      <c r="A2653" s="18">
        <v>44242.533333333333</v>
      </c>
      <c r="B2653">
        <v>5651660</v>
      </c>
      <c r="C2653" t="s">
        <v>5764</v>
      </c>
      <c r="D2653" t="s">
        <v>550</v>
      </c>
      <c r="E2653" s="19">
        <v>43290</v>
      </c>
      <c r="F2653" t="str">
        <f>"9781527526679"</f>
        <v>9781527526679</v>
      </c>
      <c r="G2653" t="str">
        <f>""</f>
        <v/>
      </c>
      <c r="H2653" t="s">
        <v>5765</v>
      </c>
      <c r="I2653">
        <v>428.00709999999998</v>
      </c>
      <c r="J2653" t="s">
        <v>5766</v>
      </c>
      <c r="K2653" t="s">
        <v>85</v>
      </c>
      <c r="N2653" t="s">
        <v>86</v>
      </c>
      <c r="P2653" t="s">
        <v>1495</v>
      </c>
      <c r="Q2653" t="s">
        <v>76</v>
      </c>
      <c r="R2653" t="s">
        <v>85</v>
      </c>
      <c r="S2653">
        <v>0</v>
      </c>
      <c r="W2653" s="20">
        <v>0</v>
      </c>
      <c r="X2653" t="s">
        <v>78</v>
      </c>
      <c r="Y2653">
        <v>0</v>
      </c>
      <c r="Z2653">
        <v>1</v>
      </c>
      <c r="AA2653" t="s">
        <v>5631</v>
      </c>
      <c r="AB2653">
        <v>2</v>
      </c>
      <c r="AC2653" t="s">
        <v>78</v>
      </c>
      <c r="AD2653">
        <v>0</v>
      </c>
      <c r="AE2653">
        <v>-1</v>
      </c>
      <c r="AF2653" t="s">
        <v>79</v>
      </c>
      <c r="AG2653" t="s">
        <v>3345</v>
      </c>
    </row>
    <row r="2654" spans="1:33" x14ac:dyDescent="0.35">
      <c r="A2654" s="18">
        <v>44242.479166666664</v>
      </c>
      <c r="B2654">
        <v>1446430</v>
      </c>
      <c r="C2654" t="s">
        <v>1649</v>
      </c>
      <c r="D2654" t="s">
        <v>127</v>
      </c>
      <c r="E2654" s="19">
        <v>40274</v>
      </c>
      <c r="F2654" t="str">
        <f>"9781439882573"</f>
        <v>9781439882573</v>
      </c>
      <c r="G2654" t="str">
        <f>"9781420085983"</f>
        <v>9781420085983</v>
      </c>
      <c r="H2654" t="s">
        <v>979</v>
      </c>
      <c r="I2654" t="s">
        <v>1650</v>
      </c>
      <c r="J2654" t="s">
        <v>1651</v>
      </c>
      <c r="K2654" t="s">
        <v>73</v>
      </c>
      <c r="N2654" t="s">
        <v>74</v>
      </c>
      <c r="O2654" t="s">
        <v>75</v>
      </c>
      <c r="P2654" t="s">
        <v>74</v>
      </c>
      <c r="Q2654" t="s">
        <v>76</v>
      </c>
      <c r="R2654" t="s">
        <v>73</v>
      </c>
      <c r="S2654">
        <v>0</v>
      </c>
      <c r="W2654" s="20">
        <v>4.6296296296296294E-5</v>
      </c>
      <c r="X2654" t="s">
        <v>132</v>
      </c>
      <c r="Y2654">
        <v>1</v>
      </c>
      <c r="Z2654">
        <v>0</v>
      </c>
      <c r="AA2654" t="s">
        <v>78</v>
      </c>
      <c r="AB2654">
        <v>0</v>
      </c>
      <c r="AC2654" t="s">
        <v>78</v>
      </c>
      <c r="AD2654">
        <v>0</v>
      </c>
      <c r="AE2654">
        <v>11166018</v>
      </c>
      <c r="AF2654" t="s">
        <v>79</v>
      </c>
      <c r="AG2654" t="s">
        <v>5181</v>
      </c>
    </row>
    <row r="2655" spans="1:33" x14ac:dyDescent="0.35">
      <c r="A2655" s="18">
        <v>44242.464583333334</v>
      </c>
      <c r="B2655">
        <v>5651660</v>
      </c>
      <c r="C2655" t="s">
        <v>5764</v>
      </c>
      <c r="D2655" t="s">
        <v>550</v>
      </c>
      <c r="E2655" s="19">
        <v>43290</v>
      </c>
      <c r="F2655" t="str">
        <f>"9781527526679"</f>
        <v>9781527526679</v>
      </c>
      <c r="G2655" t="str">
        <f>""</f>
        <v/>
      </c>
      <c r="H2655" t="s">
        <v>5765</v>
      </c>
      <c r="I2655">
        <v>428.00709999999998</v>
      </c>
      <c r="J2655" t="s">
        <v>5766</v>
      </c>
      <c r="K2655" t="s">
        <v>85</v>
      </c>
      <c r="N2655" t="s">
        <v>86</v>
      </c>
      <c r="P2655" t="s">
        <v>1495</v>
      </c>
      <c r="Q2655" t="s">
        <v>76</v>
      </c>
      <c r="R2655" t="s">
        <v>85</v>
      </c>
      <c r="S2655">
        <v>0</v>
      </c>
      <c r="W2655" s="20">
        <v>7.175925925925927E-4</v>
      </c>
      <c r="X2655" t="s">
        <v>5767</v>
      </c>
      <c r="Y2655">
        <v>11</v>
      </c>
      <c r="Z2655">
        <v>0</v>
      </c>
      <c r="AA2655" t="s">
        <v>78</v>
      </c>
      <c r="AB2655">
        <v>0</v>
      </c>
      <c r="AC2655" t="s">
        <v>78</v>
      </c>
      <c r="AD2655">
        <v>0</v>
      </c>
      <c r="AE2655">
        <v>-1</v>
      </c>
      <c r="AF2655" t="s">
        <v>79</v>
      </c>
      <c r="AG2655" t="s">
        <v>3345</v>
      </c>
    </row>
    <row r="2656" spans="1:33" x14ac:dyDescent="0.35">
      <c r="A2656" s="18">
        <v>44242.431944444441</v>
      </c>
      <c r="B2656">
        <v>5651660</v>
      </c>
      <c r="C2656" t="s">
        <v>5764</v>
      </c>
      <c r="D2656" t="s">
        <v>550</v>
      </c>
      <c r="E2656" s="19">
        <v>43290</v>
      </c>
      <c r="F2656" t="str">
        <f>"9781527526679"</f>
        <v>9781527526679</v>
      </c>
      <c r="G2656" t="str">
        <f>""</f>
        <v/>
      </c>
      <c r="H2656" t="s">
        <v>5765</v>
      </c>
      <c r="I2656">
        <v>428.00709999999998</v>
      </c>
      <c r="J2656" t="s">
        <v>5766</v>
      </c>
      <c r="K2656" t="s">
        <v>85</v>
      </c>
      <c r="N2656" t="s">
        <v>86</v>
      </c>
      <c r="P2656" t="s">
        <v>1495</v>
      </c>
      <c r="Q2656" t="s">
        <v>76</v>
      </c>
      <c r="R2656" t="s">
        <v>85</v>
      </c>
      <c r="S2656">
        <v>0</v>
      </c>
      <c r="W2656" s="20">
        <v>0</v>
      </c>
      <c r="X2656" t="s">
        <v>78</v>
      </c>
      <c r="Y2656">
        <v>0</v>
      </c>
      <c r="Z2656">
        <v>3</v>
      </c>
      <c r="AA2656" t="s">
        <v>5768</v>
      </c>
      <c r="AB2656">
        <v>40</v>
      </c>
      <c r="AC2656" t="s">
        <v>78</v>
      </c>
      <c r="AD2656">
        <v>0</v>
      </c>
      <c r="AE2656">
        <v>-1</v>
      </c>
      <c r="AF2656" t="s">
        <v>79</v>
      </c>
      <c r="AG2656" t="s">
        <v>3345</v>
      </c>
    </row>
    <row r="2657" spans="1:33" x14ac:dyDescent="0.35">
      <c r="A2657" s="18">
        <v>44241.927777777775</v>
      </c>
      <c r="B2657">
        <v>4877102</v>
      </c>
      <c r="C2657" t="s">
        <v>5552</v>
      </c>
      <c r="D2657" t="s">
        <v>741</v>
      </c>
      <c r="E2657" s="19">
        <v>41425</v>
      </c>
      <c r="F2657" t="str">
        <f>"9781423220503"</f>
        <v>9781423220503</v>
      </c>
      <c r="G2657" t="str">
        <f>"9781423220251"</f>
        <v>9781423220251</v>
      </c>
      <c r="H2657" t="s">
        <v>5553</v>
      </c>
      <c r="I2657">
        <v>302.23099999999999</v>
      </c>
      <c r="J2657" t="s">
        <v>5554</v>
      </c>
      <c r="K2657" t="s">
        <v>73</v>
      </c>
      <c r="N2657" t="s">
        <v>74</v>
      </c>
      <c r="O2657" t="s">
        <v>75</v>
      </c>
      <c r="P2657" t="s">
        <v>74</v>
      </c>
      <c r="Q2657" t="s">
        <v>76</v>
      </c>
      <c r="R2657" t="s">
        <v>73</v>
      </c>
      <c r="S2657">
        <v>0</v>
      </c>
      <c r="W2657" s="20">
        <v>9.2592592592592588E-5</v>
      </c>
      <c r="X2657" t="s">
        <v>137</v>
      </c>
      <c r="Y2657">
        <v>1</v>
      </c>
      <c r="Z2657">
        <v>0</v>
      </c>
      <c r="AA2657" t="s">
        <v>78</v>
      </c>
      <c r="AB2657">
        <v>0</v>
      </c>
      <c r="AC2657" t="s">
        <v>78</v>
      </c>
      <c r="AD2657">
        <v>0</v>
      </c>
      <c r="AE2657">
        <v>11397748</v>
      </c>
      <c r="AF2657" t="s">
        <v>79</v>
      </c>
      <c r="AG2657" t="s">
        <v>5683</v>
      </c>
    </row>
    <row r="2658" spans="1:33" x14ac:dyDescent="0.35">
      <c r="A2658" s="18">
        <v>44241.901388888888</v>
      </c>
      <c r="B2658">
        <v>5167124</v>
      </c>
      <c r="C2658" t="s">
        <v>4034</v>
      </c>
      <c r="D2658" t="s">
        <v>158</v>
      </c>
      <c r="E2658" s="19">
        <v>43069</v>
      </c>
      <c r="F2658" t="str">
        <f>"9780128129999"</f>
        <v>9780128129999</v>
      </c>
      <c r="G2658" t="str">
        <f>"9780128129982"</f>
        <v>9780128129982</v>
      </c>
      <c r="H2658" t="s">
        <v>179</v>
      </c>
      <c r="I2658" t="s">
        <v>3435</v>
      </c>
      <c r="J2658" t="s">
        <v>4035</v>
      </c>
      <c r="K2658" t="s">
        <v>73</v>
      </c>
      <c r="N2658" t="s">
        <v>74</v>
      </c>
      <c r="O2658" t="s">
        <v>75</v>
      </c>
      <c r="P2658" t="s">
        <v>74</v>
      </c>
      <c r="Q2658" t="s">
        <v>76</v>
      </c>
      <c r="R2658" t="s">
        <v>73</v>
      </c>
      <c r="S2658">
        <v>0</v>
      </c>
      <c r="W2658" s="20">
        <v>4.1898148148148146E-3</v>
      </c>
      <c r="X2658" t="s">
        <v>5769</v>
      </c>
      <c r="Y2658">
        <v>30</v>
      </c>
      <c r="Z2658">
        <v>0</v>
      </c>
      <c r="AA2658" t="s">
        <v>78</v>
      </c>
      <c r="AB2658">
        <v>0</v>
      </c>
      <c r="AC2658" t="s">
        <v>78</v>
      </c>
      <c r="AD2658">
        <v>0</v>
      </c>
      <c r="AE2658">
        <v>11476363</v>
      </c>
      <c r="AF2658" t="s">
        <v>79</v>
      </c>
      <c r="AG2658" t="s">
        <v>1330</v>
      </c>
    </row>
    <row r="2659" spans="1:33" x14ac:dyDescent="0.35">
      <c r="A2659" s="18">
        <v>44241.897222222222</v>
      </c>
      <c r="B2659">
        <v>286929</v>
      </c>
      <c r="C2659" t="s">
        <v>5770</v>
      </c>
      <c r="D2659" t="s">
        <v>205</v>
      </c>
      <c r="E2659" s="19">
        <v>38868</v>
      </c>
      <c r="F2659" t="str">
        <f>"9781596930070"</f>
        <v>9781596930070</v>
      </c>
      <c r="G2659" t="str">
        <f>"9781596930063"</f>
        <v>9781596930063</v>
      </c>
      <c r="H2659" t="s">
        <v>1638</v>
      </c>
      <c r="I2659" t="s">
        <v>2963</v>
      </c>
      <c r="J2659" t="s">
        <v>5771</v>
      </c>
      <c r="K2659" t="s">
        <v>73</v>
      </c>
      <c r="N2659" t="s">
        <v>74</v>
      </c>
      <c r="O2659" t="s">
        <v>75</v>
      </c>
      <c r="P2659" t="s">
        <v>74</v>
      </c>
      <c r="Q2659" t="s">
        <v>76</v>
      </c>
      <c r="R2659" t="s">
        <v>73</v>
      </c>
      <c r="S2659">
        <v>0</v>
      </c>
      <c r="W2659" s="20">
        <v>1.8055555555555557E-3</v>
      </c>
      <c r="X2659" t="s">
        <v>5772</v>
      </c>
      <c r="Y2659">
        <v>13</v>
      </c>
      <c r="Z2659">
        <v>0</v>
      </c>
      <c r="AA2659" t="s">
        <v>78</v>
      </c>
      <c r="AB2659">
        <v>0</v>
      </c>
      <c r="AC2659" t="s">
        <v>5773</v>
      </c>
      <c r="AD2659">
        <v>1</v>
      </c>
      <c r="AE2659">
        <v>10160971</v>
      </c>
      <c r="AF2659" t="s">
        <v>79</v>
      </c>
      <c r="AG2659" t="s">
        <v>3345</v>
      </c>
    </row>
    <row r="2660" spans="1:33" x14ac:dyDescent="0.35">
      <c r="A2660" s="18">
        <v>44241.873611111114</v>
      </c>
      <c r="B2660">
        <v>1710962</v>
      </c>
      <c r="C2660" t="s">
        <v>5774</v>
      </c>
      <c r="D2660" t="s">
        <v>70</v>
      </c>
      <c r="E2660" s="19">
        <v>41813</v>
      </c>
      <c r="F2660" t="str">
        <f>"9781118939291"</f>
        <v>9781118939291</v>
      </c>
      <c r="G2660" t="str">
        <f>"9781118496305"</f>
        <v>9781118496305</v>
      </c>
      <c r="H2660" t="s">
        <v>374</v>
      </c>
      <c r="I2660">
        <v>628.16399999999999</v>
      </c>
      <c r="J2660" t="s">
        <v>5775</v>
      </c>
      <c r="K2660" t="s">
        <v>73</v>
      </c>
      <c r="N2660" t="s">
        <v>74</v>
      </c>
      <c r="O2660" t="s">
        <v>75</v>
      </c>
      <c r="P2660" t="s">
        <v>74</v>
      </c>
      <c r="Q2660" t="s">
        <v>76</v>
      </c>
      <c r="R2660" t="s">
        <v>73</v>
      </c>
      <c r="S2660">
        <v>0</v>
      </c>
      <c r="W2660" s="20">
        <v>2.0416666666666666E-2</v>
      </c>
      <c r="X2660" t="s">
        <v>5776</v>
      </c>
      <c r="Y2660">
        <v>47</v>
      </c>
      <c r="Z2660">
        <v>0</v>
      </c>
      <c r="AA2660" t="s">
        <v>78</v>
      </c>
      <c r="AB2660">
        <v>0</v>
      </c>
      <c r="AC2660" t="s">
        <v>5777</v>
      </c>
      <c r="AD2660">
        <v>3</v>
      </c>
      <c r="AE2660">
        <v>10882756</v>
      </c>
      <c r="AF2660" t="s">
        <v>79</v>
      </c>
      <c r="AG2660" t="s">
        <v>3345</v>
      </c>
    </row>
    <row r="2661" spans="1:33" x14ac:dyDescent="0.35">
      <c r="A2661" s="18">
        <v>44241.85833333333</v>
      </c>
      <c r="B2661">
        <v>5167124</v>
      </c>
      <c r="C2661" t="s">
        <v>4034</v>
      </c>
      <c r="D2661" t="s">
        <v>158</v>
      </c>
      <c r="E2661" s="19">
        <v>43069</v>
      </c>
      <c r="F2661" t="str">
        <f>"9780128129999"</f>
        <v>9780128129999</v>
      </c>
      <c r="G2661" t="str">
        <f>"9780128129982"</f>
        <v>9780128129982</v>
      </c>
      <c r="H2661" t="s">
        <v>179</v>
      </c>
      <c r="I2661" t="s">
        <v>3435</v>
      </c>
      <c r="J2661" t="s">
        <v>4035</v>
      </c>
      <c r="K2661" t="s">
        <v>73</v>
      </c>
      <c r="N2661" t="s">
        <v>74</v>
      </c>
      <c r="O2661" t="s">
        <v>75</v>
      </c>
      <c r="P2661" t="s">
        <v>74</v>
      </c>
      <c r="Q2661" t="s">
        <v>76</v>
      </c>
      <c r="R2661" t="s">
        <v>73</v>
      </c>
      <c r="S2661">
        <v>0</v>
      </c>
      <c r="W2661" s="20">
        <v>8.449074074074075E-4</v>
      </c>
      <c r="X2661" t="s">
        <v>5778</v>
      </c>
      <c r="Y2661">
        <v>11</v>
      </c>
      <c r="Z2661">
        <v>0</v>
      </c>
      <c r="AA2661" t="s">
        <v>78</v>
      </c>
      <c r="AB2661">
        <v>0</v>
      </c>
      <c r="AC2661" t="s">
        <v>78</v>
      </c>
      <c r="AD2661">
        <v>0</v>
      </c>
      <c r="AE2661">
        <v>11476363</v>
      </c>
      <c r="AF2661" t="s">
        <v>79</v>
      </c>
      <c r="AG2661" t="s">
        <v>1330</v>
      </c>
    </row>
    <row r="2662" spans="1:33" x14ac:dyDescent="0.35">
      <c r="A2662" s="18">
        <v>44241.792361111111</v>
      </c>
      <c r="B2662">
        <v>1182977</v>
      </c>
      <c r="C2662" t="s">
        <v>755</v>
      </c>
      <c r="D2662" t="s">
        <v>538</v>
      </c>
      <c r="E2662" s="19">
        <v>41365</v>
      </c>
      <c r="F2662" t="str">
        <f>"9781107058255"</f>
        <v>9781107058255</v>
      </c>
      <c r="G2662" t="str">
        <f>"9781107033634"</f>
        <v>9781107033634</v>
      </c>
      <c r="H2662" t="s">
        <v>756</v>
      </c>
      <c r="I2662">
        <v>956.01499999999999</v>
      </c>
      <c r="J2662" t="s">
        <v>757</v>
      </c>
      <c r="K2662" t="s">
        <v>73</v>
      </c>
      <c r="N2662" t="s">
        <v>74</v>
      </c>
      <c r="O2662" t="s">
        <v>75</v>
      </c>
      <c r="P2662" t="s">
        <v>74</v>
      </c>
      <c r="Q2662" t="s">
        <v>76</v>
      </c>
      <c r="R2662" t="s">
        <v>73</v>
      </c>
      <c r="S2662">
        <v>0</v>
      </c>
      <c r="W2662" s="20">
        <v>1.4120370370370369E-3</v>
      </c>
      <c r="X2662" t="s">
        <v>5779</v>
      </c>
      <c r="Y2662">
        <v>18</v>
      </c>
      <c r="Z2662">
        <v>0</v>
      </c>
      <c r="AA2662" t="s">
        <v>78</v>
      </c>
      <c r="AB2662">
        <v>0</v>
      </c>
      <c r="AC2662" t="s">
        <v>78</v>
      </c>
      <c r="AD2662">
        <v>0</v>
      </c>
      <c r="AE2662">
        <v>10753008</v>
      </c>
      <c r="AF2662" t="s">
        <v>79</v>
      </c>
      <c r="AG2662" t="s">
        <v>3345</v>
      </c>
    </row>
    <row r="2663" spans="1:33" x14ac:dyDescent="0.35">
      <c r="A2663" s="18">
        <v>44241.618750000001</v>
      </c>
      <c r="B2663">
        <v>4877102</v>
      </c>
      <c r="C2663" t="s">
        <v>5552</v>
      </c>
      <c r="D2663" t="s">
        <v>741</v>
      </c>
      <c r="E2663" s="19">
        <v>41425</v>
      </c>
      <c r="F2663" t="str">
        <f>"9781423220503"</f>
        <v>9781423220503</v>
      </c>
      <c r="G2663" t="str">
        <f>"9781423220251"</f>
        <v>9781423220251</v>
      </c>
      <c r="H2663" t="s">
        <v>5553</v>
      </c>
      <c r="I2663">
        <v>302.23099999999999</v>
      </c>
      <c r="J2663" t="s">
        <v>5554</v>
      </c>
      <c r="K2663" t="s">
        <v>73</v>
      </c>
      <c r="N2663" t="s">
        <v>74</v>
      </c>
      <c r="O2663" t="s">
        <v>75</v>
      </c>
      <c r="P2663" t="s">
        <v>74</v>
      </c>
      <c r="Q2663" t="s">
        <v>76</v>
      </c>
      <c r="R2663" t="s">
        <v>73</v>
      </c>
      <c r="S2663">
        <v>0</v>
      </c>
      <c r="W2663" s="20">
        <v>0</v>
      </c>
      <c r="X2663" t="s">
        <v>78</v>
      </c>
      <c r="Y2663">
        <v>0</v>
      </c>
      <c r="Z2663">
        <v>0</v>
      </c>
      <c r="AA2663" t="s">
        <v>78</v>
      </c>
      <c r="AB2663">
        <v>0</v>
      </c>
      <c r="AC2663" t="s">
        <v>78</v>
      </c>
      <c r="AD2663">
        <v>0</v>
      </c>
      <c r="AE2663">
        <v>11397748</v>
      </c>
      <c r="AF2663" t="s">
        <v>79</v>
      </c>
      <c r="AG2663" t="s">
        <v>5278</v>
      </c>
    </row>
    <row r="2664" spans="1:33" x14ac:dyDescent="0.35">
      <c r="A2664" s="18">
        <v>44241.579861111109</v>
      </c>
      <c r="B2664">
        <v>4877102</v>
      </c>
      <c r="C2664" t="s">
        <v>5552</v>
      </c>
      <c r="D2664" t="s">
        <v>741</v>
      </c>
      <c r="E2664" s="19">
        <v>41425</v>
      </c>
      <c r="F2664" t="str">
        <f>"9781423220503"</f>
        <v>9781423220503</v>
      </c>
      <c r="G2664" t="str">
        <f>"9781423220251"</f>
        <v>9781423220251</v>
      </c>
      <c r="H2664" t="s">
        <v>5553</v>
      </c>
      <c r="I2664">
        <v>302.23099999999999</v>
      </c>
      <c r="J2664" t="s">
        <v>5554</v>
      </c>
      <c r="K2664" t="s">
        <v>73</v>
      </c>
      <c r="N2664" t="s">
        <v>74</v>
      </c>
      <c r="O2664" t="s">
        <v>75</v>
      </c>
      <c r="P2664" t="s">
        <v>74</v>
      </c>
      <c r="Q2664" t="s">
        <v>76</v>
      </c>
      <c r="R2664" t="s">
        <v>73</v>
      </c>
      <c r="S2664">
        <v>0</v>
      </c>
      <c r="W2664" s="20">
        <v>6.9444444444444444E-5</v>
      </c>
      <c r="X2664" t="s">
        <v>137</v>
      </c>
      <c r="Y2664">
        <v>1</v>
      </c>
      <c r="Z2664">
        <v>0</v>
      </c>
      <c r="AA2664" t="s">
        <v>78</v>
      </c>
      <c r="AB2664">
        <v>0</v>
      </c>
      <c r="AC2664" t="s">
        <v>78</v>
      </c>
      <c r="AD2664">
        <v>0</v>
      </c>
      <c r="AE2664">
        <v>11397748</v>
      </c>
      <c r="AF2664" t="s">
        <v>79</v>
      </c>
      <c r="AG2664" t="s">
        <v>5278</v>
      </c>
    </row>
    <row r="2665" spans="1:33" x14ac:dyDescent="0.35">
      <c r="A2665" s="18">
        <v>44241.574999999997</v>
      </c>
      <c r="B2665">
        <v>3339142</v>
      </c>
      <c r="C2665" t="s">
        <v>1890</v>
      </c>
      <c r="D2665" t="s">
        <v>300</v>
      </c>
      <c r="E2665" s="19">
        <v>40025</v>
      </c>
      <c r="F2665" t="str">
        <f>"9780262270830"</f>
        <v>9780262270830</v>
      </c>
      <c r="G2665" t="str">
        <f>"9780262533058"</f>
        <v>9780262533058</v>
      </c>
      <c r="H2665" t="s">
        <v>110</v>
      </c>
      <c r="I2665">
        <v>5.0999999999999996</v>
      </c>
      <c r="J2665" t="s">
        <v>1891</v>
      </c>
      <c r="K2665" t="s">
        <v>73</v>
      </c>
      <c r="N2665" t="s">
        <v>74</v>
      </c>
      <c r="O2665" t="s">
        <v>75</v>
      </c>
      <c r="P2665" t="s">
        <v>74</v>
      </c>
      <c r="Q2665" t="s">
        <v>76</v>
      </c>
      <c r="R2665" t="s">
        <v>73</v>
      </c>
      <c r="S2665">
        <v>0</v>
      </c>
      <c r="W2665" s="20">
        <v>4.3287037037037035E-3</v>
      </c>
      <c r="X2665" t="s">
        <v>5780</v>
      </c>
      <c r="Y2665">
        <v>18</v>
      </c>
      <c r="Z2665">
        <v>0</v>
      </c>
      <c r="AA2665" t="s">
        <v>78</v>
      </c>
      <c r="AB2665">
        <v>0</v>
      </c>
      <c r="AC2665" t="s">
        <v>78</v>
      </c>
      <c r="AD2665">
        <v>0</v>
      </c>
      <c r="AE2665">
        <v>10397652</v>
      </c>
      <c r="AF2665" t="s">
        <v>88</v>
      </c>
      <c r="AG2665" t="s">
        <v>3345</v>
      </c>
    </row>
    <row r="2666" spans="1:33" x14ac:dyDescent="0.35">
      <c r="A2666" s="18">
        <v>44241.574305555558</v>
      </c>
      <c r="B2666">
        <v>583642</v>
      </c>
      <c r="C2666" t="s">
        <v>2337</v>
      </c>
      <c r="D2666" t="s">
        <v>205</v>
      </c>
      <c r="E2666" s="19">
        <v>40210</v>
      </c>
      <c r="F2666" t="str">
        <f>"9781596930902"</f>
        <v>9781596930902</v>
      </c>
      <c r="G2666" t="str">
        <f>"9781596930896"</f>
        <v>9781596930896</v>
      </c>
      <c r="H2666" t="s">
        <v>2338</v>
      </c>
      <c r="I2666">
        <v>621.38482999999997</v>
      </c>
      <c r="J2666" t="s">
        <v>2339</v>
      </c>
      <c r="K2666" t="s">
        <v>73</v>
      </c>
      <c r="N2666" t="s">
        <v>74</v>
      </c>
      <c r="O2666" t="s">
        <v>75</v>
      </c>
      <c r="P2666" t="s">
        <v>74</v>
      </c>
      <c r="Q2666" t="s">
        <v>76</v>
      </c>
      <c r="R2666" t="s">
        <v>73</v>
      </c>
      <c r="S2666">
        <v>0</v>
      </c>
      <c r="W2666" s="20">
        <v>6.9444444444444444E-5</v>
      </c>
      <c r="X2666" t="s">
        <v>249</v>
      </c>
      <c r="Y2666">
        <v>2</v>
      </c>
      <c r="Z2666">
        <v>0</v>
      </c>
      <c r="AA2666" t="s">
        <v>78</v>
      </c>
      <c r="AB2666">
        <v>0</v>
      </c>
      <c r="AC2666" t="s">
        <v>78</v>
      </c>
      <c r="AD2666">
        <v>0</v>
      </c>
      <c r="AE2666">
        <v>10393271</v>
      </c>
      <c r="AF2666" t="s">
        <v>88</v>
      </c>
      <c r="AG2666" t="s">
        <v>3345</v>
      </c>
    </row>
    <row r="2667" spans="1:33" x14ac:dyDescent="0.35">
      <c r="A2667" s="18">
        <v>44241.566666666666</v>
      </c>
      <c r="B2667">
        <v>4631569</v>
      </c>
      <c r="C2667" t="s">
        <v>5781</v>
      </c>
      <c r="D2667" t="s">
        <v>70</v>
      </c>
      <c r="E2667" s="19">
        <v>42660</v>
      </c>
      <c r="F2667" t="str">
        <f>"9781119116479"</f>
        <v>9781119116479</v>
      </c>
      <c r="G2667" t="str">
        <f>"9781119116462"</f>
        <v>9781119116462</v>
      </c>
      <c r="H2667" t="s">
        <v>466</v>
      </c>
      <c r="I2667">
        <v>621.38455999999996</v>
      </c>
      <c r="J2667" t="s">
        <v>5782</v>
      </c>
      <c r="K2667" t="s">
        <v>73</v>
      </c>
      <c r="N2667" t="s">
        <v>74</v>
      </c>
      <c r="O2667" t="s">
        <v>75</v>
      </c>
      <c r="P2667" t="s">
        <v>74</v>
      </c>
      <c r="Q2667" t="s">
        <v>76</v>
      </c>
      <c r="R2667" t="s">
        <v>73</v>
      </c>
      <c r="S2667">
        <v>1</v>
      </c>
      <c r="W2667" s="20">
        <v>3.4722222222222222E-5</v>
      </c>
      <c r="X2667" t="s">
        <v>132</v>
      </c>
      <c r="Y2667">
        <v>1</v>
      </c>
      <c r="Z2667">
        <v>0</v>
      </c>
      <c r="AA2667" t="s">
        <v>78</v>
      </c>
      <c r="AB2667">
        <v>0</v>
      </c>
      <c r="AC2667" t="s">
        <v>78</v>
      </c>
      <c r="AD2667">
        <v>0</v>
      </c>
      <c r="AE2667">
        <v>11246390</v>
      </c>
      <c r="AF2667" t="s">
        <v>88</v>
      </c>
      <c r="AG2667" t="s">
        <v>5760</v>
      </c>
    </row>
    <row r="2668" spans="1:33" x14ac:dyDescent="0.35">
      <c r="A2668" s="18">
        <v>44241.563888888886</v>
      </c>
      <c r="B2668">
        <v>4631569</v>
      </c>
      <c r="C2668" t="s">
        <v>5781</v>
      </c>
      <c r="D2668" t="s">
        <v>70</v>
      </c>
      <c r="E2668" s="19">
        <v>42660</v>
      </c>
      <c r="F2668" t="str">
        <f>"9781119116479"</f>
        <v>9781119116479</v>
      </c>
      <c r="G2668" t="str">
        <f>"9781119116462"</f>
        <v>9781119116462</v>
      </c>
      <c r="H2668" t="s">
        <v>466</v>
      </c>
      <c r="I2668">
        <v>621.38455999999996</v>
      </c>
      <c r="J2668" t="s">
        <v>5782</v>
      </c>
      <c r="K2668" t="s">
        <v>73</v>
      </c>
      <c r="N2668" t="s">
        <v>74</v>
      </c>
      <c r="O2668" t="s">
        <v>75</v>
      </c>
      <c r="P2668" t="s">
        <v>74</v>
      </c>
      <c r="Q2668" t="s">
        <v>76</v>
      </c>
      <c r="R2668" t="s">
        <v>73</v>
      </c>
      <c r="S2668">
        <v>0</v>
      </c>
      <c r="W2668" s="20">
        <v>1.5856481481481479E-3</v>
      </c>
      <c r="X2668" t="s">
        <v>5783</v>
      </c>
      <c r="Y2668">
        <v>18</v>
      </c>
      <c r="Z2668">
        <v>0</v>
      </c>
      <c r="AA2668" t="s">
        <v>78</v>
      </c>
      <c r="AB2668">
        <v>0</v>
      </c>
      <c r="AC2668" t="s">
        <v>78</v>
      </c>
      <c r="AD2668">
        <v>0</v>
      </c>
      <c r="AE2668">
        <v>11246390</v>
      </c>
      <c r="AF2668" t="s">
        <v>79</v>
      </c>
      <c r="AG2668" t="s">
        <v>5760</v>
      </c>
    </row>
    <row r="2669" spans="1:33" x14ac:dyDescent="0.35">
      <c r="A2669" s="18">
        <v>44241.546527777777</v>
      </c>
      <c r="B2669">
        <v>3018238</v>
      </c>
      <c r="C2669" t="s">
        <v>5784</v>
      </c>
      <c r="D2669" t="s">
        <v>226</v>
      </c>
      <c r="E2669" s="19">
        <v>40360</v>
      </c>
      <c r="F2669" t="str">
        <f>"9781611225709"</f>
        <v>9781611225709</v>
      </c>
      <c r="G2669" t="str">
        <f>"9781608763603"</f>
        <v>9781608763603</v>
      </c>
      <c r="H2669" t="s">
        <v>5785</v>
      </c>
      <c r="I2669" t="s">
        <v>5786</v>
      </c>
      <c r="J2669" t="s">
        <v>5787</v>
      </c>
      <c r="K2669" t="s">
        <v>73</v>
      </c>
      <c r="N2669" t="s">
        <v>74</v>
      </c>
      <c r="O2669" t="s">
        <v>75</v>
      </c>
      <c r="P2669" t="s">
        <v>230</v>
      </c>
      <c r="Q2669" t="s">
        <v>76</v>
      </c>
      <c r="R2669" t="s">
        <v>85</v>
      </c>
      <c r="S2669">
        <v>0</v>
      </c>
      <c r="W2669" s="20">
        <v>1.7013888888888892E-3</v>
      </c>
      <c r="X2669" t="s">
        <v>5788</v>
      </c>
      <c r="Y2669">
        <v>5</v>
      </c>
      <c r="Z2669">
        <v>0</v>
      </c>
      <c r="AA2669" t="s">
        <v>78</v>
      </c>
      <c r="AB2669">
        <v>0</v>
      </c>
      <c r="AC2669" t="s">
        <v>78</v>
      </c>
      <c r="AD2669">
        <v>0</v>
      </c>
      <c r="AE2669">
        <v>10659160</v>
      </c>
      <c r="AF2669" t="s">
        <v>79</v>
      </c>
      <c r="AG2669" t="s">
        <v>3345</v>
      </c>
    </row>
    <row r="2670" spans="1:33" x14ac:dyDescent="0.35">
      <c r="A2670" s="18">
        <v>44241.536111111112</v>
      </c>
      <c r="B2670">
        <v>3002439</v>
      </c>
      <c r="C2670" t="s">
        <v>5789</v>
      </c>
      <c r="D2670" t="s">
        <v>4328</v>
      </c>
      <c r="E2670" s="19">
        <v>39995</v>
      </c>
      <c r="F2670" t="str">
        <f>"9781615031290"</f>
        <v>9781615031290</v>
      </c>
      <c r="G2670" t="str">
        <f>"9781615030095"</f>
        <v>9781615030095</v>
      </c>
      <c r="H2670" t="s">
        <v>222</v>
      </c>
      <c r="J2670" t="s">
        <v>5790</v>
      </c>
      <c r="K2670" t="s">
        <v>73</v>
      </c>
      <c r="N2670" t="s">
        <v>74</v>
      </c>
      <c r="O2670" t="s">
        <v>75</v>
      </c>
      <c r="P2670" t="s">
        <v>74</v>
      </c>
      <c r="Q2670" t="s">
        <v>76</v>
      </c>
      <c r="R2670" t="s">
        <v>73</v>
      </c>
      <c r="S2670">
        <v>2</v>
      </c>
      <c r="W2670" s="20">
        <v>2.2152777777777775E-2</v>
      </c>
      <c r="X2670" t="s">
        <v>5791</v>
      </c>
      <c r="Y2670">
        <v>26</v>
      </c>
      <c r="Z2670">
        <v>1</v>
      </c>
      <c r="AA2670" t="s">
        <v>5792</v>
      </c>
      <c r="AB2670">
        <v>10</v>
      </c>
      <c r="AC2670" t="s">
        <v>78</v>
      </c>
      <c r="AD2670">
        <v>0</v>
      </c>
      <c r="AE2670">
        <v>10374915</v>
      </c>
      <c r="AF2670" t="s">
        <v>88</v>
      </c>
      <c r="AG2670" t="s">
        <v>3345</v>
      </c>
    </row>
    <row r="2671" spans="1:33" x14ac:dyDescent="0.35">
      <c r="A2671" s="18">
        <v>44241.426388888889</v>
      </c>
      <c r="B2671">
        <v>1446430</v>
      </c>
      <c r="C2671" t="s">
        <v>1649</v>
      </c>
      <c r="D2671" t="s">
        <v>127</v>
      </c>
      <c r="E2671" s="19">
        <v>40274</v>
      </c>
      <c r="F2671" t="str">
        <f>"9781439882573"</f>
        <v>9781439882573</v>
      </c>
      <c r="G2671" t="str">
        <f>"9781420085983"</f>
        <v>9781420085983</v>
      </c>
      <c r="H2671" t="s">
        <v>979</v>
      </c>
      <c r="I2671" t="s">
        <v>1650</v>
      </c>
      <c r="J2671" t="s">
        <v>1651</v>
      </c>
      <c r="K2671" t="s">
        <v>73</v>
      </c>
      <c r="N2671" t="s">
        <v>74</v>
      </c>
      <c r="O2671" t="s">
        <v>75</v>
      </c>
      <c r="P2671" t="s">
        <v>74</v>
      </c>
      <c r="Q2671" t="s">
        <v>76</v>
      </c>
      <c r="R2671" t="s">
        <v>73</v>
      </c>
      <c r="S2671">
        <v>0</v>
      </c>
      <c r="W2671" s="20">
        <v>6.9444444444444444E-5</v>
      </c>
      <c r="X2671" t="s">
        <v>132</v>
      </c>
      <c r="Y2671">
        <v>1</v>
      </c>
      <c r="Z2671">
        <v>0</v>
      </c>
      <c r="AA2671" t="s">
        <v>78</v>
      </c>
      <c r="AB2671">
        <v>0</v>
      </c>
      <c r="AC2671" t="s">
        <v>78</v>
      </c>
      <c r="AD2671">
        <v>0</v>
      </c>
      <c r="AE2671">
        <v>11166018</v>
      </c>
      <c r="AF2671" t="s">
        <v>79</v>
      </c>
      <c r="AG2671" t="s">
        <v>5181</v>
      </c>
    </row>
    <row r="2672" spans="1:33" x14ac:dyDescent="0.35">
      <c r="A2672" s="18">
        <v>44241.40625</v>
      </c>
      <c r="B2672">
        <v>1446430</v>
      </c>
      <c r="C2672" t="s">
        <v>1649</v>
      </c>
      <c r="D2672" t="s">
        <v>127</v>
      </c>
      <c r="E2672" s="19">
        <v>40274</v>
      </c>
      <c r="F2672" t="str">
        <f>"9781439882573"</f>
        <v>9781439882573</v>
      </c>
      <c r="G2672" t="str">
        <f>"9781420085983"</f>
        <v>9781420085983</v>
      </c>
      <c r="H2672" t="s">
        <v>979</v>
      </c>
      <c r="I2672" t="s">
        <v>1650</v>
      </c>
      <c r="J2672" t="s">
        <v>1651</v>
      </c>
      <c r="K2672" t="s">
        <v>73</v>
      </c>
      <c r="N2672" t="s">
        <v>74</v>
      </c>
      <c r="O2672" t="s">
        <v>75</v>
      </c>
      <c r="P2672" t="s">
        <v>74</v>
      </c>
      <c r="Q2672" t="s">
        <v>76</v>
      </c>
      <c r="R2672" t="s">
        <v>73</v>
      </c>
      <c r="S2672">
        <v>0</v>
      </c>
      <c r="W2672" s="20">
        <v>4.6296296296296294E-5</v>
      </c>
      <c r="X2672" t="s">
        <v>132</v>
      </c>
      <c r="Y2672">
        <v>1</v>
      </c>
      <c r="Z2672">
        <v>0</v>
      </c>
      <c r="AA2672" t="s">
        <v>78</v>
      </c>
      <c r="AB2672">
        <v>0</v>
      </c>
      <c r="AC2672" t="s">
        <v>78</v>
      </c>
      <c r="AD2672">
        <v>0</v>
      </c>
      <c r="AE2672">
        <v>11166018</v>
      </c>
      <c r="AF2672" t="s">
        <v>79</v>
      </c>
      <c r="AG2672" t="s">
        <v>3345</v>
      </c>
    </row>
    <row r="2673" spans="1:33" x14ac:dyDescent="0.35">
      <c r="A2673" s="18">
        <v>44241.379166666666</v>
      </c>
      <c r="B2673">
        <v>697805</v>
      </c>
      <c r="C2673" t="s">
        <v>5744</v>
      </c>
      <c r="D2673" t="s">
        <v>70</v>
      </c>
      <c r="E2673" s="19">
        <v>40868</v>
      </c>
      <c r="F2673" t="str">
        <f>"9781444345032"</f>
        <v>9781444345032</v>
      </c>
      <c r="G2673" t="str">
        <f>"9781444338867"</f>
        <v>9781444338867</v>
      </c>
      <c r="H2673" t="s">
        <v>1905</v>
      </c>
      <c r="I2673">
        <v>551.79999999999995</v>
      </c>
      <c r="J2673" t="s">
        <v>5745</v>
      </c>
      <c r="K2673" t="s">
        <v>73</v>
      </c>
      <c r="N2673" t="s">
        <v>74</v>
      </c>
      <c r="O2673" t="s">
        <v>75</v>
      </c>
      <c r="P2673" t="s">
        <v>74</v>
      </c>
      <c r="Q2673" t="s">
        <v>76</v>
      </c>
      <c r="R2673" t="s">
        <v>73</v>
      </c>
      <c r="S2673">
        <v>0</v>
      </c>
      <c r="W2673" s="20">
        <v>3.9699074074074072E-3</v>
      </c>
      <c r="X2673" t="s">
        <v>5793</v>
      </c>
      <c r="Y2673">
        <v>15</v>
      </c>
      <c r="Z2673">
        <v>1</v>
      </c>
      <c r="AA2673" t="s">
        <v>5247</v>
      </c>
      <c r="AB2673">
        <v>28</v>
      </c>
      <c r="AC2673" t="s">
        <v>78</v>
      </c>
      <c r="AD2673">
        <v>0</v>
      </c>
      <c r="AE2673">
        <v>10515871</v>
      </c>
      <c r="AF2673" t="s">
        <v>88</v>
      </c>
      <c r="AG2673" t="s">
        <v>5658</v>
      </c>
    </row>
    <row r="2674" spans="1:33" x14ac:dyDescent="0.35">
      <c r="A2674" s="18">
        <v>44241.090277777781</v>
      </c>
      <c r="B2674">
        <v>3339142</v>
      </c>
      <c r="C2674" t="s">
        <v>1890</v>
      </c>
      <c r="D2674" t="s">
        <v>300</v>
      </c>
      <c r="E2674" s="19">
        <v>40025</v>
      </c>
      <c r="F2674" t="str">
        <f>"9780262270830"</f>
        <v>9780262270830</v>
      </c>
      <c r="G2674" t="str">
        <f>"9780262533058"</f>
        <v>9780262533058</v>
      </c>
      <c r="H2674" t="s">
        <v>110</v>
      </c>
      <c r="I2674">
        <v>5.0999999999999996</v>
      </c>
      <c r="J2674" t="s">
        <v>1891</v>
      </c>
      <c r="K2674" t="s">
        <v>73</v>
      </c>
      <c r="N2674" t="s">
        <v>74</v>
      </c>
      <c r="O2674" t="s">
        <v>75</v>
      </c>
      <c r="P2674" t="s">
        <v>74</v>
      </c>
      <c r="Q2674" t="s">
        <v>76</v>
      </c>
      <c r="R2674" t="s">
        <v>73</v>
      </c>
      <c r="S2674">
        <v>0</v>
      </c>
      <c r="W2674" s="20">
        <v>1.9560185185185184E-3</v>
      </c>
      <c r="X2674" t="s">
        <v>5794</v>
      </c>
      <c r="Y2674">
        <v>32</v>
      </c>
      <c r="Z2674">
        <v>0</v>
      </c>
      <c r="AA2674" t="s">
        <v>78</v>
      </c>
      <c r="AB2674">
        <v>0</v>
      </c>
      <c r="AC2674" t="s">
        <v>78</v>
      </c>
      <c r="AD2674">
        <v>0</v>
      </c>
      <c r="AE2674">
        <v>10397652</v>
      </c>
      <c r="AF2674" t="s">
        <v>88</v>
      </c>
      <c r="AG2674" t="s">
        <v>3345</v>
      </c>
    </row>
    <row r="2675" spans="1:33" x14ac:dyDescent="0.35">
      <c r="A2675" s="18">
        <v>44241.009722222225</v>
      </c>
      <c r="B2675">
        <v>4452700</v>
      </c>
      <c r="C2675" t="s">
        <v>4037</v>
      </c>
      <c r="D2675" t="s">
        <v>70</v>
      </c>
      <c r="E2675" s="19">
        <v>42471</v>
      </c>
      <c r="F2675" t="str">
        <f>"9781119225096"</f>
        <v>9781119225096</v>
      </c>
      <c r="G2675" t="str">
        <f>"9781119225102"</f>
        <v>9781119225102</v>
      </c>
      <c r="H2675" t="s">
        <v>4038</v>
      </c>
      <c r="I2675" t="s">
        <v>3435</v>
      </c>
      <c r="J2675" t="s">
        <v>4039</v>
      </c>
      <c r="K2675" t="s">
        <v>73</v>
      </c>
      <c r="N2675" t="s">
        <v>74</v>
      </c>
      <c r="O2675" t="s">
        <v>75</v>
      </c>
      <c r="P2675" t="s">
        <v>74</v>
      </c>
      <c r="Q2675" t="s">
        <v>76</v>
      </c>
      <c r="R2675" t="s">
        <v>73</v>
      </c>
      <c r="S2675">
        <v>0</v>
      </c>
      <c r="W2675" s="20">
        <v>1.5624999999999999E-3</v>
      </c>
      <c r="X2675" t="s">
        <v>5795</v>
      </c>
      <c r="Y2675">
        <v>27</v>
      </c>
      <c r="Z2675">
        <v>0</v>
      </c>
      <c r="AA2675" t="s">
        <v>78</v>
      </c>
      <c r="AB2675">
        <v>0</v>
      </c>
      <c r="AC2675" t="s">
        <v>78</v>
      </c>
      <c r="AD2675">
        <v>0</v>
      </c>
      <c r="AE2675">
        <v>11175444</v>
      </c>
      <c r="AF2675" t="s">
        <v>79</v>
      </c>
      <c r="AG2675" t="s">
        <v>1330</v>
      </c>
    </row>
    <row r="2676" spans="1:33" x14ac:dyDescent="0.35">
      <c r="A2676" s="18">
        <v>44240.73541666667</v>
      </c>
      <c r="B2676">
        <v>4456172</v>
      </c>
      <c r="C2676" t="s">
        <v>5796</v>
      </c>
      <c r="D2676" t="s">
        <v>127</v>
      </c>
      <c r="E2676" s="19">
        <v>40752</v>
      </c>
      <c r="F2676" t="str">
        <f>"9781000109658"</f>
        <v>9781000109658</v>
      </c>
      <c r="G2676" t="str">
        <f>"9781409401476"</f>
        <v>9781409401476</v>
      </c>
      <c r="H2676" t="s">
        <v>143</v>
      </c>
      <c r="I2676" t="s">
        <v>5797</v>
      </c>
      <c r="J2676" t="s">
        <v>5798</v>
      </c>
      <c r="K2676" t="s">
        <v>73</v>
      </c>
      <c r="N2676" t="s">
        <v>74</v>
      </c>
      <c r="O2676" t="s">
        <v>75</v>
      </c>
      <c r="P2676" t="s">
        <v>74</v>
      </c>
      <c r="Q2676" t="s">
        <v>76</v>
      </c>
      <c r="R2676" t="s">
        <v>73</v>
      </c>
      <c r="S2676">
        <v>0</v>
      </c>
      <c r="W2676" s="20">
        <v>7.175925925925927E-4</v>
      </c>
      <c r="X2676" t="s">
        <v>5799</v>
      </c>
      <c r="Y2676">
        <v>11</v>
      </c>
      <c r="Z2676">
        <v>0</v>
      </c>
      <c r="AA2676" t="s">
        <v>78</v>
      </c>
      <c r="AB2676">
        <v>0</v>
      </c>
      <c r="AC2676" t="s">
        <v>78</v>
      </c>
      <c r="AD2676">
        <v>0</v>
      </c>
      <c r="AE2676">
        <v>11507080</v>
      </c>
      <c r="AF2676" t="s">
        <v>79</v>
      </c>
      <c r="AG2676" t="s">
        <v>3345</v>
      </c>
    </row>
    <row r="2677" spans="1:33" x14ac:dyDescent="0.35">
      <c r="A2677" s="18">
        <v>44240.446527777778</v>
      </c>
      <c r="B2677">
        <v>1446430</v>
      </c>
      <c r="C2677" t="s">
        <v>1649</v>
      </c>
      <c r="D2677" t="s">
        <v>127</v>
      </c>
      <c r="E2677" s="19">
        <v>40274</v>
      </c>
      <c r="F2677" t="str">
        <f>"9781439882573"</f>
        <v>9781439882573</v>
      </c>
      <c r="G2677" t="str">
        <f>"9781420085983"</f>
        <v>9781420085983</v>
      </c>
      <c r="H2677" t="s">
        <v>979</v>
      </c>
      <c r="I2677" t="s">
        <v>1650</v>
      </c>
      <c r="J2677" t="s">
        <v>1651</v>
      </c>
      <c r="K2677" t="s">
        <v>73</v>
      </c>
      <c r="N2677" t="s">
        <v>74</v>
      </c>
      <c r="O2677" t="s">
        <v>75</v>
      </c>
      <c r="P2677" t="s">
        <v>74</v>
      </c>
      <c r="Q2677" t="s">
        <v>76</v>
      </c>
      <c r="R2677" t="s">
        <v>73</v>
      </c>
      <c r="S2677">
        <v>0</v>
      </c>
      <c r="W2677" s="20">
        <v>4.6296296296296294E-5</v>
      </c>
      <c r="X2677" t="s">
        <v>132</v>
      </c>
      <c r="Y2677">
        <v>1</v>
      </c>
      <c r="Z2677">
        <v>0</v>
      </c>
      <c r="AA2677" t="s">
        <v>78</v>
      </c>
      <c r="AB2677">
        <v>0</v>
      </c>
      <c r="AC2677" t="s">
        <v>78</v>
      </c>
      <c r="AD2677">
        <v>0</v>
      </c>
      <c r="AE2677">
        <v>11166018</v>
      </c>
      <c r="AF2677" t="s">
        <v>79</v>
      </c>
      <c r="AG2677" t="s">
        <v>5760</v>
      </c>
    </row>
    <row r="2678" spans="1:33" x14ac:dyDescent="0.35">
      <c r="A2678" s="18">
        <v>44240.105555555558</v>
      </c>
      <c r="B2678">
        <v>3339142</v>
      </c>
      <c r="C2678" t="s">
        <v>1890</v>
      </c>
      <c r="D2678" t="s">
        <v>300</v>
      </c>
      <c r="E2678" s="19">
        <v>40025</v>
      </c>
      <c r="F2678" t="str">
        <f>"9780262270830"</f>
        <v>9780262270830</v>
      </c>
      <c r="G2678" t="str">
        <f>"9780262533058"</f>
        <v>9780262533058</v>
      </c>
      <c r="H2678" t="s">
        <v>110</v>
      </c>
      <c r="I2678">
        <v>5.0999999999999996</v>
      </c>
      <c r="J2678" t="s">
        <v>1891</v>
      </c>
      <c r="K2678" t="s">
        <v>73</v>
      </c>
      <c r="N2678" t="s">
        <v>74</v>
      </c>
      <c r="O2678" t="s">
        <v>75</v>
      </c>
      <c r="P2678" t="s">
        <v>74</v>
      </c>
      <c r="Q2678" t="s">
        <v>76</v>
      </c>
      <c r="R2678" t="s">
        <v>73</v>
      </c>
      <c r="S2678">
        <v>0</v>
      </c>
      <c r="W2678" s="20">
        <v>1.6550925925925926E-3</v>
      </c>
      <c r="X2678" t="s">
        <v>5800</v>
      </c>
      <c r="Y2678">
        <v>11</v>
      </c>
      <c r="Z2678">
        <v>0</v>
      </c>
      <c r="AA2678" t="s">
        <v>78</v>
      </c>
      <c r="AB2678">
        <v>0</v>
      </c>
      <c r="AC2678" t="s">
        <v>78</v>
      </c>
      <c r="AD2678">
        <v>0</v>
      </c>
      <c r="AE2678">
        <v>10397652</v>
      </c>
      <c r="AF2678" t="s">
        <v>79</v>
      </c>
      <c r="AG2678" t="s">
        <v>3345</v>
      </c>
    </row>
    <row r="2679" spans="1:33" x14ac:dyDescent="0.35">
      <c r="A2679" s="18">
        <v>44240.066666666666</v>
      </c>
      <c r="B2679">
        <v>3339142</v>
      </c>
      <c r="C2679" t="s">
        <v>1890</v>
      </c>
      <c r="D2679" t="s">
        <v>300</v>
      </c>
      <c r="E2679" s="19">
        <v>40025</v>
      </c>
      <c r="F2679" t="str">
        <f>"9780262270830"</f>
        <v>9780262270830</v>
      </c>
      <c r="G2679" t="str">
        <f>"9780262533058"</f>
        <v>9780262533058</v>
      </c>
      <c r="H2679" t="s">
        <v>110</v>
      </c>
      <c r="I2679">
        <v>5.0999999999999996</v>
      </c>
      <c r="J2679" t="s">
        <v>1891</v>
      </c>
      <c r="K2679" t="s">
        <v>73</v>
      </c>
      <c r="N2679" t="s">
        <v>74</v>
      </c>
      <c r="O2679" t="s">
        <v>75</v>
      </c>
      <c r="P2679" t="s">
        <v>74</v>
      </c>
      <c r="Q2679" t="s">
        <v>76</v>
      </c>
      <c r="R2679" t="s">
        <v>73</v>
      </c>
      <c r="S2679">
        <v>0</v>
      </c>
      <c r="W2679" s="20">
        <v>1.3773148148148147E-3</v>
      </c>
      <c r="X2679" t="s">
        <v>5801</v>
      </c>
      <c r="Y2679">
        <v>19</v>
      </c>
      <c r="Z2679">
        <v>0</v>
      </c>
      <c r="AA2679" t="s">
        <v>78</v>
      </c>
      <c r="AB2679">
        <v>0</v>
      </c>
      <c r="AC2679" t="s">
        <v>78</v>
      </c>
      <c r="AD2679">
        <v>0</v>
      </c>
      <c r="AE2679">
        <v>10397652</v>
      </c>
      <c r="AF2679" t="s">
        <v>79</v>
      </c>
      <c r="AG2679" t="s">
        <v>3345</v>
      </c>
    </row>
    <row r="2680" spans="1:33" x14ac:dyDescent="0.35">
      <c r="A2680" s="18">
        <v>44239.995833333334</v>
      </c>
      <c r="B2680">
        <v>661781</v>
      </c>
      <c r="C2680" t="s">
        <v>4223</v>
      </c>
      <c r="D2680" t="s">
        <v>70</v>
      </c>
      <c r="E2680" s="19">
        <v>40623</v>
      </c>
      <c r="F2680" t="str">
        <f>"9780470684337"</f>
        <v>9780470684337</v>
      </c>
      <c r="G2680" t="str">
        <f>"9780470741887"</f>
        <v>9780470741887</v>
      </c>
      <c r="H2680" t="s">
        <v>1638</v>
      </c>
      <c r="I2680" t="s">
        <v>4224</v>
      </c>
      <c r="J2680" t="s">
        <v>4225</v>
      </c>
      <c r="K2680" t="s">
        <v>73</v>
      </c>
      <c r="N2680" t="s">
        <v>74</v>
      </c>
      <c r="O2680" t="s">
        <v>75</v>
      </c>
      <c r="P2680" t="s">
        <v>74</v>
      </c>
      <c r="Q2680" t="s">
        <v>76</v>
      </c>
      <c r="R2680" t="s">
        <v>73</v>
      </c>
      <c r="S2680">
        <v>0</v>
      </c>
      <c r="W2680" s="20">
        <v>0</v>
      </c>
      <c r="X2680" t="s">
        <v>78</v>
      </c>
      <c r="Y2680">
        <v>0</v>
      </c>
      <c r="Z2680">
        <v>0</v>
      </c>
      <c r="AA2680" t="s">
        <v>78</v>
      </c>
      <c r="AB2680">
        <v>0</v>
      </c>
      <c r="AC2680" t="s">
        <v>78</v>
      </c>
      <c r="AD2680">
        <v>0</v>
      </c>
      <c r="AE2680">
        <v>10510618</v>
      </c>
      <c r="AF2680" t="s">
        <v>79</v>
      </c>
      <c r="AG2680" t="s">
        <v>770</v>
      </c>
    </row>
    <row r="2681" spans="1:33" x14ac:dyDescent="0.35">
      <c r="A2681" s="18">
        <v>44239.981249999997</v>
      </c>
      <c r="B2681">
        <v>3339142</v>
      </c>
      <c r="C2681" t="s">
        <v>1890</v>
      </c>
      <c r="D2681" t="s">
        <v>300</v>
      </c>
      <c r="E2681" s="19">
        <v>40025</v>
      </c>
      <c r="F2681" t="str">
        <f>"9780262270830"</f>
        <v>9780262270830</v>
      </c>
      <c r="G2681" t="str">
        <f>"9780262533058"</f>
        <v>9780262533058</v>
      </c>
      <c r="H2681" t="s">
        <v>110</v>
      </c>
      <c r="I2681">
        <v>5.0999999999999996</v>
      </c>
      <c r="J2681" t="s">
        <v>1891</v>
      </c>
      <c r="K2681" t="s">
        <v>73</v>
      </c>
      <c r="N2681" t="s">
        <v>74</v>
      </c>
      <c r="O2681" t="s">
        <v>75</v>
      </c>
      <c r="P2681" t="s">
        <v>74</v>
      </c>
      <c r="Q2681" t="s">
        <v>76</v>
      </c>
      <c r="R2681" t="s">
        <v>73</v>
      </c>
      <c r="S2681">
        <v>0</v>
      </c>
      <c r="W2681" s="20">
        <v>3.7870370370370367E-2</v>
      </c>
      <c r="X2681" t="s">
        <v>5802</v>
      </c>
      <c r="Y2681">
        <v>8</v>
      </c>
      <c r="Z2681">
        <v>0</v>
      </c>
      <c r="AA2681" t="s">
        <v>78</v>
      </c>
      <c r="AB2681">
        <v>0</v>
      </c>
      <c r="AC2681" t="s">
        <v>78</v>
      </c>
      <c r="AD2681">
        <v>0</v>
      </c>
      <c r="AE2681">
        <v>10397652</v>
      </c>
      <c r="AF2681" t="s">
        <v>79</v>
      </c>
      <c r="AG2681" t="s">
        <v>3345</v>
      </c>
    </row>
    <row r="2682" spans="1:33" x14ac:dyDescent="0.35">
      <c r="A2682" s="18">
        <v>44239.825694444444</v>
      </c>
      <c r="B2682">
        <v>3339142</v>
      </c>
      <c r="C2682" t="s">
        <v>1890</v>
      </c>
      <c r="D2682" t="s">
        <v>300</v>
      </c>
      <c r="E2682" s="19">
        <v>40025</v>
      </c>
      <c r="F2682" t="str">
        <f>"9780262270830"</f>
        <v>9780262270830</v>
      </c>
      <c r="G2682" t="str">
        <f>"9780262533058"</f>
        <v>9780262533058</v>
      </c>
      <c r="H2682" t="s">
        <v>110</v>
      </c>
      <c r="I2682">
        <v>5.0999999999999996</v>
      </c>
      <c r="J2682" t="s">
        <v>1891</v>
      </c>
      <c r="K2682" t="s">
        <v>73</v>
      </c>
      <c r="N2682" t="s">
        <v>74</v>
      </c>
      <c r="O2682" t="s">
        <v>75</v>
      </c>
      <c r="P2682" t="s">
        <v>74</v>
      </c>
      <c r="Q2682" t="s">
        <v>76</v>
      </c>
      <c r="R2682" t="s">
        <v>73</v>
      </c>
      <c r="S2682">
        <v>0</v>
      </c>
      <c r="W2682" s="20">
        <v>4.3483796296296291E-2</v>
      </c>
      <c r="X2682" t="s">
        <v>5803</v>
      </c>
      <c r="Y2682">
        <v>32</v>
      </c>
      <c r="Z2682">
        <v>0</v>
      </c>
      <c r="AA2682" t="s">
        <v>78</v>
      </c>
      <c r="AB2682">
        <v>0</v>
      </c>
      <c r="AC2682" t="s">
        <v>78</v>
      </c>
      <c r="AD2682">
        <v>0</v>
      </c>
      <c r="AE2682">
        <v>10397652</v>
      </c>
      <c r="AF2682" t="s">
        <v>88</v>
      </c>
      <c r="AG2682" t="s">
        <v>3345</v>
      </c>
    </row>
    <row r="2683" spans="1:33" x14ac:dyDescent="0.35">
      <c r="A2683" s="18">
        <v>44239.789583333331</v>
      </c>
      <c r="B2683">
        <v>3339142</v>
      </c>
      <c r="C2683" t="s">
        <v>1890</v>
      </c>
      <c r="D2683" t="s">
        <v>300</v>
      </c>
      <c r="E2683" s="19">
        <v>40025</v>
      </c>
      <c r="F2683" t="str">
        <f>"9780262270830"</f>
        <v>9780262270830</v>
      </c>
      <c r="G2683" t="str">
        <f>"9780262533058"</f>
        <v>9780262533058</v>
      </c>
      <c r="H2683" t="s">
        <v>110</v>
      </c>
      <c r="I2683">
        <v>5.0999999999999996</v>
      </c>
      <c r="J2683" t="s">
        <v>1891</v>
      </c>
      <c r="K2683" t="s">
        <v>73</v>
      </c>
      <c r="N2683" t="s">
        <v>74</v>
      </c>
      <c r="O2683" t="s">
        <v>75</v>
      </c>
      <c r="P2683" t="s">
        <v>74</v>
      </c>
      <c r="Q2683" t="s">
        <v>76</v>
      </c>
      <c r="R2683" t="s">
        <v>73</v>
      </c>
      <c r="S2683">
        <v>0</v>
      </c>
      <c r="W2683" s="20">
        <v>7.291666666666667E-4</v>
      </c>
      <c r="X2683" t="s">
        <v>5804</v>
      </c>
      <c r="Y2683">
        <v>4</v>
      </c>
      <c r="Z2683">
        <v>0</v>
      </c>
      <c r="AA2683" t="s">
        <v>78</v>
      </c>
      <c r="AB2683">
        <v>0</v>
      </c>
      <c r="AC2683" t="s">
        <v>78</v>
      </c>
      <c r="AD2683">
        <v>0</v>
      </c>
      <c r="AE2683">
        <v>10397652</v>
      </c>
      <c r="AF2683" t="s">
        <v>88</v>
      </c>
      <c r="AG2683" t="s">
        <v>3345</v>
      </c>
    </row>
    <row r="2684" spans="1:33" x14ac:dyDescent="0.35">
      <c r="A2684" s="18">
        <v>44239.788194444445</v>
      </c>
      <c r="B2684">
        <v>583642</v>
      </c>
      <c r="C2684" t="s">
        <v>2337</v>
      </c>
      <c r="D2684" t="s">
        <v>205</v>
      </c>
      <c r="E2684" s="19">
        <v>40210</v>
      </c>
      <c r="F2684" t="str">
        <f>"9781596930902"</f>
        <v>9781596930902</v>
      </c>
      <c r="G2684" t="str">
        <f>"9781596930896"</f>
        <v>9781596930896</v>
      </c>
      <c r="H2684" t="s">
        <v>2338</v>
      </c>
      <c r="I2684">
        <v>621.38482999999997</v>
      </c>
      <c r="J2684" t="s">
        <v>2339</v>
      </c>
      <c r="K2684" t="s">
        <v>73</v>
      </c>
      <c r="N2684" t="s">
        <v>74</v>
      </c>
      <c r="O2684" t="s">
        <v>75</v>
      </c>
      <c r="P2684" t="s">
        <v>74</v>
      </c>
      <c r="Q2684" t="s">
        <v>76</v>
      </c>
      <c r="R2684" t="s">
        <v>73</v>
      </c>
      <c r="S2684">
        <v>0</v>
      </c>
      <c r="W2684" s="20">
        <v>2.8935185185185189E-4</v>
      </c>
      <c r="X2684" t="s">
        <v>249</v>
      </c>
      <c r="Y2684">
        <v>2</v>
      </c>
      <c r="Z2684">
        <v>0</v>
      </c>
      <c r="AA2684" t="s">
        <v>78</v>
      </c>
      <c r="AB2684">
        <v>0</v>
      </c>
      <c r="AC2684" t="s">
        <v>78</v>
      </c>
      <c r="AD2684">
        <v>0</v>
      </c>
      <c r="AE2684">
        <v>10393271</v>
      </c>
      <c r="AF2684" t="s">
        <v>88</v>
      </c>
      <c r="AG2684" t="s">
        <v>3345</v>
      </c>
    </row>
    <row r="2685" spans="1:33" x14ac:dyDescent="0.35">
      <c r="A2685" s="18">
        <v>44239.506249999999</v>
      </c>
      <c r="B2685">
        <v>676505</v>
      </c>
      <c r="C2685" t="s">
        <v>5805</v>
      </c>
      <c r="D2685" t="s">
        <v>683</v>
      </c>
      <c r="E2685" s="19">
        <v>38879</v>
      </c>
      <c r="F2685" t="str">
        <f>"9780857710505"</f>
        <v>9780857710505</v>
      </c>
      <c r="G2685" t="str">
        <f>"9781850437680"</f>
        <v>9781850437680</v>
      </c>
      <c r="H2685" t="s">
        <v>5806</v>
      </c>
      <c r="I2685">
        <v>398.22095300000001</v>
      </c>
      <c r="J2685" t="s">
        <v>5807</v>
      </c>
      <c r="K2685" t="s">
        <v>85</v>
      </c>
      <c r="N2685" t="s">
        <v>86</v>
      </c>
      <c r="P2685" t="s">
        <v>87</v>
      </c>
      <c r="Q2685" t="s">
        <v>76</v>
      </c>
      <c r="R2685" t="s">
        <v>73</v>
      </c>
      <c r="S2685">
        <v>1</v>
      </c>
      <c r="T2685">
        <v>45</v>
      </c>
      <c r="U2685" s="18">
        <v>44235.521527777775</v>
      </c>
      <c r="V2685" s="18">
        <v>44280.521527777775</v>
      </c>
      <c r="W2685" s="20">
        <v>0</v>
      </c>
      <c r="X2685" t="s">
        <v>78</v>
      </c>
      <c r="Y2685">
        <v>0</v>
      </c>
      <c r="Z2685">
        <v>0</v>
      </c>
      <c r="AA2685" t="s">
        <v>78</v>
      </c>
      <c r="AB2685">
        <v>0</v>
      </c>
      <c r="AC2685" t="s">
        <v>78</v>
      </c>
      <c r="AD2685">
        <v>0</v>
      </c>
      <c r="AE2685">
        <v>10156491</v>
      </c>
      <c r="AF2685" t="s">
        <v>88</v>
      </c>
      <c r="AG2685" t="s">
        <v>1330</v>
      </c>
    </row>
    <row r="2686" spans="1:33" x14ac:dyDescent="0.35">
      <c r="A2686" s="18">
        <v>44238.777777777781</v>
      </c>
      <c r="B2686">
        <v>5989398</v>
      </c>
      <c r="C2686" t="s">
        <v>2990</v>
      </c>
      <c r="D2686" t="s">
        <v>127</v>
      </c>
      <c r="E2686" s="19">
        <v>43822</v>
      </c>
      <c r="F2686" t="str">
        <f>"9780429846908"</f>
        <v>9780429846908</v>
      </c>
      <c r="G2686" t="str">
        <f>"9781138318090"</f>
        <v>9781138318090</v>
      </c>
      <c r="H2686" t="s">
        <v>2991</v>
      </c>
      <c r="K2686" t="s">
        <v>85</v>
      </c>
      <c r="N2686" t="s">
        <v>186</v>
      </c>
      <c r="P2686" t="s">
        <v>87</v>
      </c>
      <c r="Q2686" t="s">
        <v>76</v>
      </c>
      <c r="R2686" t="s">
        <v>73</v>
      </c>
      <c r="S2686">
        <v>0</v>
      </c>
      <c r="W2686" s="20">
        <v>9.4907407407407408E-4</v>
      </c>
      <c r="X2686" t="s">
        <v>5808</v>
      </c>
      <c r="Y2686">
        <v>10</v>
      </c>
      <c r="Z2686">
        <v>0</v>
      </c>
      <c r="AA2686" t="s">
        <v>78</v>
      </c>
      <c r="AB2686">
        <v>0</v>
      </c>
      <c r="AC2686" t="s">
        <v>78</v>
      </c>
      <c r="AD2686">
        <v>0</v>
      </c>
      <c r="AE2686">
        <v>-1</v>
      </c>
      <c r="AF2686" t="s">
        <v>79</v>
      </c>
      <c r="AG2686" t="s">
        <v>5278</v>
      </c>
    </row>
    <row r="2687" spans="1:33" x14ac:dyDescent="0.35">
      <c r="A2687" s="18">
        <v>44238.724305555559</v>
      </c>
      <c r="B2687">
        <v>1602822</v>
      </c>
      <c r="C2687" t="s">
        <v>4019</v>
      </c>
      <c r="D2687" t="s">
        <v>127</v>
      </c>
      <c r="E2687" s="19">
        <v>40890</v>
      </c>
      <c r="F2687" t="str">
        <f>"9781439897836"</f>
        <v>9781439897836</v>
      </c>
      <c r="G2687" t="str">
        <f>"9781439804452"</f>
        <v>9781439804452</v>
      </c>
      <c r="H2687" t="s">
        <v>979</v>
      </c>
      <c r="I2687" t="s">
        <v>4020</v>
      </c>
      <c r="J2687" t="s">
        <v>4021</v>
      </c>
      <c r="K2687" t="s">
        <v>73</v>
      </c>
      <c r="N2687" t="s">
        <v>74</v>
      </c>
      <c r="O2687" t="s">
        <v>75</v>
      </c>
      <c r="P2687" t="s">
        <v>74</v>
      </c>
      <c r="Q2687" t="s">
        <v>76</v>
      </c>
      <c r="R2687" t="s">
        <v>73</v>
      </c>
      <c r="S2687">
        <v>0</v>
      </c>
      <c r="W2687" s="20">
        <v>1.3888888888888889E-3</v>
      </c>
      <c r="X2687" t="s">
        <v>5809</v>
      </c>
      <c r="Y2687">
        <v>27</v>
      </c>
      <c r="Z2687">
        <v>0</v>
      </c>
      <c r="AA2687" t="s">
        <v>78</v>
      </c>
      <c r="AB2687">
        <v>0</v>
      </c>
      <c r="AC2687" t="s">
        <v>78</v>
      </c>
      <c r="AD2687">
        <v>0</v>
      </c>
      <c r="AE2687">
        <v>11167228</v>
      </c>
      <c r="AF2687" t="s">
        <v>79</v>
      </c>
      <c r="AG2687" t="s">
        <v>3345</v>
      </c>
    </row>
    <row r="2688" spans="1:33" x14ac:dyDescent="0.35">
      <c r="A2688" s="18">
        <v>44238.682638888888</v>
      </c>
      <c r="B2688">
        <v>1602822</v>
      </c>
      <c r="C2688" t="s">
        <v>4019</v>
      </c>
      <c r="D2688" t="s">
        <v>127</v>
      </c>
      <c r="E2688" s="19">
        <v>40890</v>
      </c>
      <c r="F2688" t="str">
        <f>"9781439897836"</f>
        <v>9781439897836</v>
      </c>
      <c r="G2688" t="str">
        <f>"9781439804452"</f>
        <v>9781439804452</v>
      </c>
      <c r="H2688" t="s">
        <v>979</v>
      </c>
      <c r="I2688" t="s">
        <v>4020</v>
      </c>
      <c r="J2688" t="s">
        <v>4021</v>
      </c>
      <c r="K2688" t="s">
        <v>73</v>
      </c>
      <c r="N2688" t="s">
        <v>74</v>
      </c>
      <c r="O2688" t="s">
        <v>75</v>
      </c>
      <c r="P2688" t="s">
        <v>74</v>
      </c>
      <c r="Q2688" t="s">
        <v>76</v>
      </c>
      <c r="R2688" t="s">
        <v>73</v>
      </c>
      <c r="S2688">
        <v>0</v>
      </c>
      <c r="W2688" s="20">
        <v>3.2060185185185191E-3</v>
      </c>
      <c r="X2688" t="s">
        <v>5810</v>
      </c>
      <c r="Y2688">
        <v>17</v>
      </c>
      <c r="Z2688">
        <v>0</v>
      </c>
      <c r="AA2688" t="s">
        <v>78</v>
      </c>
      <c r="AB2688">
        <v>0</v>
      </c>
      <c r="AC2688" t="s">
        <v>78</v>
      </c>
      <c r="AD2688">
        <v>0</v>
      </c>
      <c r="AE2688">
        <v>11167228</v>
      </c>
      <c r="AF2688" t="s">
        <v>79</v>
      </c>
      <c r="AG2688" t="s">
        <v>3345</v>
      </c>
    </row>
    <row r="2689" spans="1:33" x14ac:dyDescent="0.35">
      <c r="A2689" s="18">
        <v>44238.572222222225</v>
      </c>
      <c r="B2689">
        <v>1446430</v>
      </c>
      <c r="C2689" t="s">
        <v>1649</v>
      </c>
      <c r="D2689" t="s">
        <v>127</v>
      </c>
      <c r="E2689" s="19">
        <v>40274</v>
      </c>
      <c r="F2689" t="str">
        <f>"9781439882573"</f>
        <v>9781439882573</v>
      </c>
      <c r="G2689" t="str">
        <f>"9781420085983"</f>
        <v>9781420085983</v>
      </c>
      <c r="H2689" t="s">
        <v>979</v>
      </c>
      <c r="I2689" t="s">
        <v>1650</v>
      </c>
      <c r="J2689" t="s">
        <v>1651</v>
      </c>
      <c r="K2689" t="s">
        <v>73</v>
      </c>
      <c r="N2689" t="s">
        <v>74</v>
      </c>
      <c r="O2689" t="s">
        <v>75</v>
      </c>
      <c r="P2689" t="s">
        <v>74</v>
      </c>
      <c r="Q2689" t="s">
        <v>76</v>
      </c>
      <c r="R2689" t="s">
        <v>73</v>
      </c>
      <c r="S2689">
        <v>0</v>
      </c>
      <c r="W2689" s="20">
        <v>6.9444444444444444E-5</v>
      </c>
      <c r="X2689" t="s">
        <v>132</v>
      </c>
      <c r="Y2689">
        <v>1</v>
      </c>
      <c r="Z2689">
        <v>0</v>
      </c>
      <c r="AA2689" t="s">
        <v>78</v>
      </c>
      <c r="AB2689">
        <v>0</v>
      </c>
      <c r="AC2689" t="s">
        <v>78</v>
      </c>
      <c r="AD2689">
        <v>0</v>
      </c>
      <c r="AE2689">
        <v>11166018</v>
      </c>
      <c r="AF2689" t="s">
        <v>79</v>
      </c>
      <c r="AG2689" t="s">
        <v>5181</v>
      </c>
    </row>
    <row r="2690" spans="1:33" x14ac:dyDescent="0.35">
      <c r="A2690" s="18">
        <v>44238.533333333333</v>
      </c>
      <c r="B2690">
        <v>1025008</v>
      </c>
      <c r="C2690" t="s">
        <v>5811</v>
      </c>
      <c r="D2690" t="s">
        <v>538</v>
      </c>
      <c r="E2690" s="19">
        <v>41180</v>
      </c>
      <c r="F2690" t="str">
        <f>"9781139572361"</f>
        <v>9781139572361</v>
      </c>
      <c r="G2690" t="str">
        <f>"9780521806787"</f>
        <v>9780521806787</v>
      </c>
      <c r="H2690" t="s">
        <v>1122</v>
      </c>
      <c r="I2690">
        <v>629.13229999999999</v>
      </c>
      <c r="J2690" t="s">
        <v>5812</v>
      </c>
      <c r="K2690" t="s">
        <v>85</v>
      </c>
      <c r="P2690" t="s">
        <v>297</v>
      </c>
      <c r="Q2690" t="s">
        <v>76</v>
      </c>
      <c r="R2690" t="s">
        <v>73</v>
      </c>
      <c r="S2690">
        <v>0</v>
      </c>
      <c r="W2690" s="20">
        <v>2.9976851851851848E-3</v>
      </c>
      <c r="X2690" t="s">
        <v>5813</v>
      </c>
      <c r="Y2690">
        <v>9</v>
      </c>
      <c r="Z2690">
        <v>0</v>
      </c>
      <c r="AA2690" t="s">
        <v>78</v>
      </c>
      <c r="AB2690">
        <v>0</v>
      </c>
      <c r="AC2690" t="s">
        <v>78</v>
      </c>
      <c r="AD2690">
        <v>0</v>
      </c>
      <c r="AE2690">
        <v>10614479</v>
      </c>
      <c r="AF2690" t="s">
        <v>79</v>
      </c>
      <c r="AG2690" t="s">
        <v>333</v>
      </c>
    </row>
    <row r="2691" spans="1:33" x14ac:dyDescent="0.35">
      <c r="A2691" s="18">
        <v>44238.472916666666</v>
      </c>
      <c r="B2691">
        <v>1446430</v>
      </c>
      <c r="C2691" t="s">
        <v>1649</v>
      </c>
      <c r="D2691" t="s">
        <v>127</v>
      </c>
      <c r="E2691" s="19">
        <v>40274</v>
      </c>
      <c r="F2691" t="str">
        <f>"9781439882573"</f>
        <v>9781439882573</v>
      </c>
      <c r="G2691" t="str">
        <f>"9781420085983"</f>
        <v>9781420085983</v>
      </c>
      <c r="H2691" t="s">
        <v>979</v>
      </c>
      <c r="I2691" t="s">
        <v>1650</v>
      </c>
      <c r="J2691" t="s">
        <v>1651</v>
      </c>
      <c r="K2691" t="s">
        <v>73</v>
      </c>
      <c r="N2691" t="s">
        <v>74</v>
      </c>
      <c r="O2691" t="s">
        <v>75</v>
      </c>
      <c r="P2691" t="s">
        <v>74</v>
      </c>
      <c r="Q2691" t="s">
        <v>76</v>
      </c>
      <c r="R2691" t="s">
        <v>73</v>
      </c>
      <c r="S2691">
        <v>0</v>
      </c>
      <c r="W2691" s="20">
        <v>4.6331018518518514E-2</v>
      </c>
      <c r="X2691" t="s">
        <v>5814</v>
      </c>
      <c r="Y2691">
        <v>83</v>
      </c>
      <c r="Z2691">
        <v>0</v>
      </c>
      <c r="AA2691" t="s">
        <v>78</v>
      </c>
      <c r="AB2691">
        <v>0</v>
      </c>
      <c r="AC2691" t="s">
        <v>78</v>
      </c>
      <c r="AD2691">
        <v>0</v>
      </c>
      <c r="AE2691">
        <v>11166018</v>
      </c>
      <c r="AF2691" t="s">
        <v>79</v>
      </c>
      <c r="AG2691" t="s">
        <v>3345</v>
      </c>
    </row>
    <row r="2692" spans="1:33" x14ac:dyDescent="0.35">
      <c r="A2692" s="18">
        <v>44238.39166666667</v>
      </c>
      <c r="B2692">
        <v>1446430</v>
      </c>
      <c r="C2692" t="s">
        <v>1649</v>
      </c>
      <c r="D2692" t="s">
        <v>127</v>
      </c>
      <c r="E2692" s="19">
        <v>40274</v>
      </c>
      <c r="F2692" t="str">
        <f>"9781439882573"</f>
        <v>9781439882573</v>
      </c>
      <c r="G2692" t="str">
        <f>"9781420085983"</f>
        <v>9781420085983</v>
      </c>
      <c r="H2692" t="s">
        <v>979</v>
      </c>
      <c r="I2692" t="s">
        <v>1650</v>
      </c>
      <c r="J2692" t="s">
        <v>1651</v>
      </c>
      <c r="K2692" t="s">
        <v>73</v>
      </c>
      <c r="N2692" t="s">
        <v>74</v>
      </c>
      <c r="O2692" t="s">
        <v>75</v>
      </c>
      <c r="P2692" t="s">
        <v>74</v>
      </c>
      <c r="Q2692" t="s">
        <v>76</v>
      </c>
      <c r="R2692" t="s">
        <v>73</v>
      </c>
      <c r="S2692">
        <v>0</v>
      </c>
      <c r="W2692" s="20">
        <v>4.108796296296297E-3</v>
      </c>
      <c r="X2692" t="s">
        <v>5815</v>
      </c>
      <c r="Y2692">
        <v>3</v>
      </c>
      <c r="Z2692">
        <v>0</v>
      </c>
      <c r="AA2692" t="s">
        <v>78</v>
      </c>
      <c r="AB2692">
        <v>0</v>
      </c>
      <c r="AC2692" t="s">
        <v>78</v>
      </c>
      <c r="AD2692">
        <v>0</v>
      </c>
      <c r="AE2692">
        <v>11166018</v>
      </c>
      <c r="AF2692" t="s">
        <v>79</v>
      </c>
      <c r="AG2692" t="s">
        <v>3345</v>
      </c>
    </row>
    <row r="2693" spans="1:33" x14ac:dyDescent="0.35">
      <c r="A2693" s="18">
        <v>44237.935416666667</v>
      </c>
      <c r="B2693">
        <v>661781</v>
      </c>
      <c r="C2693" t="s">
        <v>4223</v>
      </c>
      <c r="D2693" t="s">
        <v>70</v>
      </c>
      <c r="E2693" s="19">
        <v>40623</v>
      </c>
      <c r="F2693" t="str">
        <f>"9780470684337"</f>
        <v>9780470684337</v>
      </c>
      <c r="G2693" t="str">
        <f>"9780470741887"</f>
        <v>9780470741887</v>
      </c>
      <c r="H2693" t="s">
        <v>1638</v>
      </c>
      <c r="I2693" t="s">
        <v>4224</v>
      </c>
      <c r="J2693" t="s">
        <v>4225</v>
      </c>
      <c r="K2693" t="s">
        <v>73</v>
      </c>
      <c r="N2693" t="s">
        <v>74</v>
      </c>
      <c r="O2693" t="s">
        <v>75</v>
      </c>
      <c r="P2693" t="s">
        <v>74</v>
      </c>
      <c r="Q2693" t="s">
        <v>76</v>
      </c>
      <c r="R2693" t="s">
        <v>73</v>
      </c>
      <c r="S2693">
        <v>0</v>
      </c>
      <c r="W2693" s="20">
        <v>8.7962962962962968E-3</v>
      </c>
      <c r="X2693" t="s">
        <v>5816</v>
      </c>
      <c r="Y2693">
        <v>19</v>
      </c>
      <c r="Z2693">
        <v>2</v>
      </c>
      <c r="AA2693" t="s">
        <v>5817</v>
      </c>
      <c r="AB2693">
        <v>11</v>
      </c>
      <c r="AC2693" t="s">
        <v>78</v>
      </c>
      <c r="AD2693">
        <v>0</v>
      </c>
      <c r="AE2693">
        <v>10510618</v>
      </c>
      <c r="AF2693" t="s">
        <v>79</v>
      </c>
      <c r="AG2693" t="s">
        <v>770</v>
      </c>
    </row>
    <row r="2694" spans="1:33" x14ac:dyDescent="0.35">
      <c r="A2694" s="18">
        <v>44237.876388888886</v>
      </c>
      <c r="B2694">
        <v>4432157</v>
      </c>
      <c r="C2694" t="s">
        <v>5818</v>
      </c>
      <c r="D2694" t="s">
        <v>70</v>
      </c>
      <c r="E2694" s="19">
        <v>42485</v>
      </c>
      <c r="F2694" t="str">
        <f>"9781119107484"</f>
        <v>9781119107484</v>
      </c>
      <c r="G2694" t="str">
        <f>"9781119107477"</f>
        <v>9781119107477</v>
      </c>
      <c r="H2694" t="s">
        <v>2461</v>
      </c>
      <c r="I2694">
        <v>620.00279999999998</v>
      </c>
      <c r="J2694" t="s">
        <v>5819</v>
      </c>
      <c r="K2694" t="s">
        <v>73</v>
      </c>
      <c r="N2694" t="s">
        <v>74</v>
      </c>
      <c r="O2694" t="s">
        <v>75</v>
      </c>
      <c r="P2694" t="s">
        <v>74</v>
      </c>
      <c r="Q2694" t="s">
        <v>76</v>
      </c>
      <c r="R2694" t="s">
        <v>73</v>
      </c>
      <c r="S2694">
        <v>0</v>
      </c>
      <c r="W2694" s="20">
        <v>1.261574074074074E-3</v>
      </c>
      <c r="X2694" t="s">
        <v>5820</v>
      </c>
      <c r="Y2694">
        <v>15</v>
      </c>
      <c r="Z2694">
        <v>0</v>
      </c>
      <c r="AA2694" t="s">
        <v>78</v>
      </c>
      <c r="AB2694">
        <v>0</v>
      </c>
      <c r="AC2694" t="s">
        <v>78</v>
      </c>
      <c r="AD2694">
        <v>0</v>
      </c>
      <c r="AE2694">
        <v>11169558</v>
      </c>
      <c r="AF2694" t="s">
        <v>79</v>
      </c>
      <c r="AG2694" t="s">
        <v>770</v>
      </c>
    </row>
    <row r="2695" spans="1:33" x14ac:dyDescent="0.35">
      <c r="A2695" s="18">
        <v>44237.820138888892</v>
      </c>
      <c r="B2695">
        <v>1446430</v>
      </c>
      <c r="C2695" t="s">
        <v>1649</v>
      </c>
      <c r="D2695" t="s">
        <v>127</v>
      </c>
      <c r="E2695" s="19">
        <v>40274</v>
      </c>
      <c r="F2695" t="str">
        <f>"9781439882573"</f>
        <v>9781439882573</v>
      </c>
      <c r="G2695" t="str">
        <f>"9781420085983"</f>
        <v>9781420085983</v>
      </c>
      <c r="H2695" t="s">
        <v>979</v>
      </c>
      <c r="I2695" t="s">
        <v>1650</v>
      </c>
      <c r="J2695" t="s">
        <v>1651</v>
      </c>
      <c r="K2695" t="s">
        <v>73</v>
      </c>
      <c r="N2695" t="s">
        <v>74</v>
      </c>
      <c r="O2695" t="s">
        <v>75</v>
      </c>
      <c r="P2695" t="s">
        <v>74</v>
      </c>
      <c r="Q2695" t="s">
        <v>76</v>
      </c>
      <c r="R2695" t="s">
        <v>73</v>
      </c>
      <c r="S2695">
        <v>0</v>
      </c>
      <c r="W2695" s="20">
        <v>1.8518518518518517E-3</v>
      </c>
      <c r="X2695" t="s">
        <v>5821</v>
      </c>
      <c r="Y2695">
        <v>23</v>
      </c>
      <c r="Z2695">
        <v>0</v>
      </c>
      <c r="AA2695" t="s">
        <v>78</v>
      </c>
      <c r="AB2695">
        <v>0</v>
      </c>
      <c r="AC2695" t="s">
        <v>78</v>
      </c>
      <c r="AD2695">
        <v>0</v>
      </c>
      <c r="AE2695">
        <v>11166018</v>
      </c>
      <c r="AF2695" t="s">
        <v>79</v>
      </c>
      <c r="AG2695" t="s">
        <v>5822</v>
      </c>
    </row>
    <row r="2696" spans="1:33" x14ac:dyDescent="0.35">
      <c r="A2696" s="18">
        <v>44237.78402777778</v>
      </c>
      <c r="B2696">
        <v>266510</v>
      </c>
      <c r="C2696" t="s">
        <v>5823</v>
      </c>
      <c r="D2696" t="s">
        <v>538</v>
      </c>
      <c r="E2696" s="19">
        <v>38215</v>
      </c>
      <c r="F2696" t="str">
        <f>"9780511211461"</f>
        <v>9780511211461</v>
      </c>
      <c r="G2696" t="str">
        <f>"9780521620802"</f>
        <v>9780521620802</v>
      </c>
      <c r="H2696" t="s">
        <v>756</v>
      </c>
      <c r="I2696" t="s">
        <v>5824</v>
      </c>
      <c r="J2696" t="s">
        <v>5825</v>
      </c>
      <c r="K2696" t="s">
        <v>73</v>
      </c>
      <c r="N2696" t="s">
        <v>74</v>
      </c>
      <c r="O2696" t="s">
        <v>75</v>
      </c>
      <c r="P2696" t="s">
        <v>74</v>
      </c>
      <c r="Q2696" t="s">
        <v>76</v>
      </c>
      <c r="R2696" t="s">
        <v>73</v>
      </c>
      <c r="S2696">
        <v>0</v>
      </c>
      <c r="W2696" s="20">
        <v>0</v>
      </c>
      <c r="X2696" t="s">
        <v>5239</v>
      </c>
      <c r="Y2696">
        <v>1</v>
      </c>
      <c r="Z2696">
        <v>0</v>
      </c>
      <c r="AA2696" t="s">
        <v>78</v>
      </c>
      <c r="AB2696">
        <v>0</v>
      </c>
      <c r="AC2696" t="s">
        <v>78</v>
      </c>
      <c r="AD2696">
        <v>0</v>
      </c>
      <c r="AE2696">
        <v>10131640</v>
      </c>
      <c r="AF2696" t="s">
        <v>79</v>
      </c>
      <c r="AG2696" t="s">
        <v>5826</v>
      </c>
    </row>
    <row r="2697" spans="1:33" x14ac:dyDescent="0.35">
      <c r="A2697" s="18">
        <v>44237.727777777778</v>
      </c>
      <c r="B2697">
        <v>266510</v>
      </c>
      <c r="C2697" t="s">
        <v>5823</v>
      </c>
      <c r="D2697" t="s">
        <v>538</v>
      </c>
      <c r="E2697" s="19">
        <v>38215</v>
      </c>
      <c r="F2697" t="str">
        <f>"9780511211461"</f>
        <v>9780511211461</v>
      </c>
      <c r="G2697" t="str">
        <f>"9780521620802"</f>
        <v>9780521620802</v>
      </c>
      <c r="H2697" t="s">
        <v>756</v>
      </c>
      <c r="I2697" t="s">
        <v>5824</v>
      </c>
      <c r="J2697" t="s">
        <v>5825</v>
      </c>
      <c r="K2697" t="s">
        <v>73</v>
      </c>
      <c r="N2697" t="s">
        <v>74</v>
      </c>
      <c r="O2697" t="s">
        <v>75</v>
      </c>
      <c r="P2697" t="s">
        <v>74</v>
      </c>
      <c r="Q2697" t="s">
        <v>76</v>
      </c>
      <c r="R2697" t="s">
        <v>73</v>
      </c>
      <c r="S2697">
        <v>0</v>
      </c>
      <c r="W2697" s="20">
        <v>6.9444444444444444E-5</v>
      </c>
      <c r="X2697" t="s">
        <v>5239</v>
      </c>
      <c r="Y2697">
        <v>1</v>
      </c>
      <c r="Z2697">
        <v>0</v>
      </c>
      <c r="AA2697" t="s">
        <v>78</v>
      </c>
      <c r="AB2697">
        <v>0</v>
      </c>
      <c r="AC2697" t="s">
        <v>78</v>
      </c>
      <c r="AD2697">
        <v>0</v>
      </c>
      <c r="AE2697">
        <v>10131640</v>
      </c>
      <c r="AF2697" t="s">
        <v>79</v>
      </c>
      <c r="AG2697" t="s">
        <v>5827</v>
      </c>
    </row>
    <row r="2698" spans="1:33" x14ac:dyDescent="0.35">
      <c r="A2698" s="18">
        <v>44237.711805555555</v>
      </c>
      <c r="B2698">
        <v>4631569</v>
      </c>
      <c r="C2698" t="s">
        <v>5781</v>
      </c>
      <c r="D2698" t="s">
        <v>70</v>
      </c>
      <c r="E2698" s="19">
        <v>42660</v>
      </c>
      <c r="F2698" t="str">
        <f>"9781119116479"</f>
        <v>9781119116479</v>
      </c>
      <c r="G2698" t="str">
        <f>"9781119116462"</f>
        <v>9781119116462</v>
      </c>
      <c r="H2698" t="s">
        <v>466</v>
      </c>
      <c r="I2698">
        <v>621.38455999999996</v>
      </c>
      <c r="J2698" t="s">
        <v>5782</v>
      </c>
      <c r="K2698" t="s">
        <v>73</v>
      </c>
      <c r="N2698" t="s">
        <v>74</v>
      </c>
      <c r="O2698" t="s">
        <v>75</v>
      </c>
      <c r="P2698" t="s">
        <v>74</v>
      </c>
      <c r="Q2698" t="s">
        <v>76</v>
      </c>
      <c r="R2698" t="s">
        <v>73</v>
      </c>
      <c r="S2698">
        <v>0</v>
      </c>
      <c r="W2698" s="20">
        <v>4.6296296296296294E-5</v>
      </c>
      <c r="X2698" t="s">
        <v>132</v>
      </c>
      <c r="Y2698">
        <v>1</v>
      </c>
      <c r="Z2698">
        <v>0</v>
      </c>
      <c r="AA2698" t="s">
        <v>78</v>
      </c>
      <c r="AB2698">
        <v>0</v>
      </c>
      <c r="AC2698" t="s">
        <v>78</v>
      </c>
      <c r="AD2698">
        <v>0</v>
      </c>
      <c r="AE2698">
        <v>11246390</v>
      </c>
      <c r="AF2698" t="s">
        <v>79</v>
      </c>
      <c r="AG2698" t="s">
        <v>5760</v>
      </c>
    </row>
    <row r="2699" spans="1:33" x14ac:dyDescent="0.35">
      <c r="A2699" s="18">
        <v>44237.591666666667</v>
      </c>
      <c r="B2699">
        <v>1446430</v>
      </c>
      <c r="C2699" t="s">
        <v>1649</v>
      </c>
      <c r="D2699" t="s">
        <v>127</v>
      </c>
      <c r="E2699" s="19">
        <v>40274</v>
      </c>
      <c r="F2699" t="str">
        <f>"9781439882573"</f>
        <v>9781439882573</v>
      </c>
      <c r="G2699" t="str">
        <f>"9781420085983"</f>
        <v>9781420085983</v>
      </c>
      <c r="H2699" t="s">
        <v>979</v>
      </c>
      <c r="I2699" t="s">
        <v>1650</v>
      </c>
      <c r="J2699" t="s">
        <v>1651</v>
      </c>
      <c r="K2699" t="s">
        <v>73</v>
      </c>
      <c r="N2699" t="s">
        <v>74</v>
      </c>
      <c r="O2699" t="s">
        <v>75</v>
      </c>
      <c r="P2699" t="s">
        <v>74</v>
      </c>
      <c r="Q2699" t="s">
        <v>76</v>
      </c>
      <c r="R2699" t="s">
        <v>73</v>
      </c>
      <c r="S2699">
        <v>0</v>
      </c>
      <c r="W2699" s="20">
        <v>2.4305555555555556E-3</v>
      </c>
      <c r="X2699" t="s">
        <v>5828</v>
      </c>
      <c r="Y2699">
        <v>49</v>
      </c>
      <c r="Z2699">
        <v>0</v>
      </c>
      <c r="AA2699" t="s">
        <v>78</v>
      </c>
      <c r="AB2699">
        <v>0</v>
      </c>
      <c r="AC2699" t="s">
        <v>78</v>
      </c>
      <c r="AD2699">
        <v>0</v>
      </c>
      <c r="AE2699">
        <v>11166018</v>
      </c>
      <c r="AF2699" t="s">
        <v>79</v>
      </c>
      <c r="AG2699" t="s">
        <v>5829</v>
      </c>
    </row>
    <row r="2700" spans="1:33" x14ac:dyDescent="0.35">
      <c r="A2700" s="18">
        <v>44237.543055555558</v>
      </c>
      <c r="B2700">
        <v>3339142</v>
      </c>
      <c r="C2700" t="s">
        <v>1890</v>
      </c>
      <c r="D2700" t="s">
        <v>300</v>
      </c>
      <c r="E2700" s="19">
        <v>40025</v>
      </c>
      <c r="F2700" t="str">
        <f>"9780262270830"</f>
        <v>9780262270830</v>
      </c>
      <c r="G2700" t="str">
        <f>"9780262533058"</f>
        <v>9780262533058</v>
      </c>
      <c r="H2700" t="s">
        <v>110</v>
      </c>
      <c r="I2700">
        <v>5.0999999999999996</v>
      </c>
      <c r="J2700" t="s">
        <v>1891</v>
      </c>
      <c r="K2700" t="s">
        <v>73</v>
      </c>
      <c r="N2700" t="s">
        <v>74</v>
      </c>
      <c r="O2700" t="s">
        <v>75</v>
      </c>
      <c r="P2700" t="s">
        <v>74</v>
      </c>
      <c r="Q2700" t="s">
        <v>76</v>
      </c>
      <c r="R2700" t="s">
        <v>73</v>
      </c>
      <c r="S2700">
        <v>0</v>
      </c>
      <c r="W2700" s="20">
        <v>1.9675925925925926E-4</v>
      </c>
      <c r="X2700" t="s">
        <v>5830</v>
      </c>
      <c r="Y2700">
        <v>2</v>
      </c>
      <c r="Z2700">
        <v>0</v>
      </c>
      <c r="AA2700" t="s">
        <v>78</v>
      </c>
      <c r="AB2700">
        <v>0</v>
      </c>
      <c r="AC2700" t="s">
        <v>78</v>
      </c>
      <c r="AD2700">
        <v>0</v>
      </c>
      <c r="AE2700">
        <v>10397652</v>
      </c>
      <c r="AF2700" t="s">
        <v>88</v>
      </c>
      <c r="AG2700" t="s">
        <v>5829</v>
      </c>
    </row>
    <row r="2701" spans="1:33" x14ac:dyDescent="0.35">
      <c r="A2701" s="18">
        <v>44237.543055555558</v>
      </c>
      <c r="B2701">
        <v>583642</v>
      </c>
      <c r="C2701" t="s">
        <v>2337</v>
      </c>
      <c r="D2701" t="s">
        <v>205</v>
      </c>
      <c r="E2701" s="19">
        <v>40210</v>
      </c>
      <c r="F2701" t="str">
        <f>"9781596930902"</f>
        <v>9781596930902</v>
      </c>
      <c r="G2701" t="str">
        <f>"9781596930896"</f>
        <v>9781596930896</v>
      </c>
      <c r="H2701" t="s">
        <v>2338</v>
      </c>
      <c r="I2701">
        <v>621.38482999999997</v>
      </c>
      <c r="J2701" t="s">
        <v>2339</v>
      </c>
      <c r="K2701" t="s">
        <v>73</v>
      </c>
      <c r="N2701" t="s">
        <v>74</v>
      </c>
      <c r="O2701" t="s">
        <v>75</v>
      </c>
      <c r="P2701" t="s">
        <v>74</v>
      </c>
      <c r="Q2701" t="s">
        <v>76</v>
      </c>
      <c r="R2701" t="s">
        <v>73</v>
      </c>
      <c r="S2701">
        <v>0</v>
      </c>
      <c r="W2701" s="20">
        <v>4.6296296296296294E-5</v>
      </c>
      <c r="X2701" t="s">
        <v>132</v>
      </c>
      <c r="Y2701">
        <v>1</v>
      </c>
      <c r="Z2701">
        <v>0</v>
      </c>
      <c r="AA2701" t="s">
        <v>78</v>
      </c>
      <c r="AB2701">
        <v>0</v>
      </c>
      <c r="AC2701" t="s">
        <v>78</v>
      </c>
      <c r="AD2701">
        <v>0</v>
      </c>
      <c r="AE2701">
        <v>10393271</v>
      </c>
      <c r="AF2701" t="s">
        <v>79</v>
      </c>
      <c r="AG2701" t="s">
        <v>5829</v>
      </c>
    </row>
    <row r="2702" spans="1:33" x14ac:dyDescent="0.35">
      <c r="A2702" s="18">
        <v>44237.51666666667</v>
      </c>
      <c r="B2702">
        <v>1446430</v>
      </c>
      <c r="C2702" t="s">
        <v>1649</v>
      </c>
      <c r="D2702" t="s">
        <v>127</v>
      </c>
      <c r="E2702" s="19">
        <v>40274</v>
      </c>
      <c r="F2702" t="str">
        <f>"9781439882573"</f>
        <v>9781439882573</v>
      </c>
      <c r="G2702" t="str">
        <f>"9781420085983"</f>
        <v>9781420085983</v>
      </c>
      <c r="H2702" t="s">
        <v>979</v>
      </c>
      <c r="I2702" t="s">
        <v>1650</v>
      </c>
      <c r="J2702" t="s">
        <v>1651</v>
      </c>
      <c r="K2702" t="s">
        <v>73</v>
      </c>
      <c r="N2702" t="s">
        <v>74</v>
      </c>
      <c r="O2702" t="s">
        <v>75</v>
      </c>
      <c r="P2702" t="s">
        <v>74</v>
      </c>
      <c r="Q2702" t="s">
        <v>76</v>
      </c>
      <c r="R2702" t="s">
        <v>73</v>
      </c>
      <c r="S2702">
        <v>0</v>
      </c>
      <c r="W2702" s="20">
        <v>9.2476851851851852E-3</v>
      </c>
      <c r="X2702" t="s">
        <v>5831</v>
      </c>
      <c r="Y2702">
        <v>50</v>
      </c>
      <c r="Z2702">
        <v>0</v>
      </c>
      <c r="AA2702" t="s">
        <v>78</v>
      </c>
      <c r="AB2702">
        <v>0</v>
      </c>
      <c r="AC2702" t="s">
        <v>78</v>
      </c>
      <c r="AD2702">
        <v>0</v>
      </c>
      <c r="AE2702">
        <v>11166018</v>
      </c>
      <c r="AF2702" t="s">
        <v>79</v>
      </c>
      <c r="AG2702" t="s">
        <v>5829</v>
      </c>
    </row>
    <row r="2703" spans="1:33" x14ac:dyDescent="0.35">
      <c r="A2703" s="18">
        <v>44237.487500000003</v>
      </c>
      <c r="B2703">
        <v>1577461</v>
      </c>
      <c r="C2703" t="s">
        <v>5832</v>
      </c>
      <c r="D2703" t="s">
        <v>70</v>
      </c>
      <c r="E2703" s="19">
        <v>41589</v>
      </c>
      <c r="F2703" t="str">
        <f>"9781118677698"</f>
        <v>9781118677698</v>
      </c>
      <c r="G2703" t="str">
        <f>"9781118677766"</f>
        <v>9781118677766</v>
      </c>
      <c r="H2703" t="s">
        <v>110</v>
      </c>
      <c r="I2703">
        <v>4.165</v>
      </c>
      <c r="J2703" t="s">
        <v>5833</v>
      </c>
      <c r="K2703" t="s">
        <v>73</v>
      </c>
      <c r="N2703" t="s">
        <v>74</v>
      </c>
      <c r="O2703" t="s">
        <v>75</v>
      </c>
      <c r="P2703" t="s">
        <v>74</v>
      </c>
      <c r="Q2703" t="s">
        <v>76</v>
      </c>
      <c r="R2703" t="s">
        <v>73</v>
      </c>
      <c r="S2703">
        <v>0</v>
      </c>
      <c r="W2703" s="20">
        <v>8.449074074074075E-4</v>
      </c>
      <c r="X2703" t="s">
        <v>5834</v>
      </c>
      <c r="Y2703">
        <v>8</v>
      </c>
      <c r="Z2703">
        <v>0</v>
      </c>
      <c r="AA2703" t="s">
        <v>78</v>
      </c>
      <c r="AB2703">
        <v>0</v>
      </c>
      <c r="AC2703" t="s">
        <v>78</v>
      </c>
      <c r="AD2703">
        <v>0</v>
      </c>
      <c r="AE2703">
        <v>10822350</v>
      </c>
      <c r="AF2703" t="s">
        <v>79</v>
      </c>
      <c r="AG2703" t="s">
        <v>333</v>
      </c>
    </row>
    <row r="2704" spans="1:33" x14ac:dyDescent="0.35">
      <c r="A2704" s="18">
        <v>44237.413194444445</v>
      </c>
      <c r="B2704">
        <v>266510</v>
      </c>
      <c r="C2704" t="s">
        <v>5823</v>
      </c>
      <c r="D2704" t="s">
        <v>538</v>
      </c>
      <c r="E2704" s="19">
        <v>38215</v>
      </c>
      <c r="F2704" t="str">
        <f>"9780511211461"</f>
        <v>9780511211461</v>
      </c>
      <c r="G2704" t="str">
        <f>"9780521620802"</f>
        <v>9780521620802</v>
      </c>
      <c r="H2704" t="s">
        <v>756</v>
      </c>
      <c r="I2704" t="s">
        <v>5824</v>
      </c>
      <c r="J2704" t="s">
        <v>5825</v>
      </c>
      <c r="K2704" t="s">
        <v>73</v>
      </c>
      <c r="N2704" t="s">
        <v>74</v>
      </c>
      <c r="O2704" t="s">
        <v>75</v>
      </c>
      <c r="P2704" t="s">
        <v>74</v>
      </c>
      <c r="Q2704" t="s">
        <v>76</v>
      </c>
      <c r="R2704" t="s">
        <v>73</v>
      </c>
      <c r="S2704">
        <v>0</v>
      </c>
      <c r="W2704" s="20">
        <v>5.6712962962962956E-4</v>
      </c>
      <c r="X2704" t="s">
        <v>1279</v>
      </c>
      <c r="Y2704">
        <v>10</v>
      </c>
      <c r="Z2704">
        <v>0</v>
      </c>
      <c r="AA2704" t="s">
        <v>78</v>
      </c>
      <c r="AB2704">
        <v>0</v>
      </c>
      <c r="AC2704" t="s">
        <v>78</v>
      </c>
      <c r="AD2704">
        <v>0</v>
      </c>
      <c r="AE2704">
        <v>10131640</v>
      </c>
      <c r="AF2704" t="s">
        <v>79</v>
      </c>
      <c r="AG2704" t="s">
        <v>4914</v>
      </c>
    </row>
    <row r="2705" spans="1:33" x14ac:dyDescent="0.35">
      <c r="A2705" s="18">
        <v>44237.373611111114</v>
      </c>
      <c r="B2705">
        <v>5596906</v>
      </c>
      <c r="C2705" t="s">
        <v>5707</v>
      </c>
      <c r="D2705" t="s">
        <v>3539</v>
      </c>
      <c r="E2705" s="19">
        <v>43425</v>
      </c>
      <c r="F2705" t="str">
        <f>"9789402415582"</f>
        <v>9789402415582</v>
      </c>
      <c r="G2705" t="str">
        <f>"9789402415568"</f>
        <v>9789402415568</v>
      </c>
      <c r="H2705" t="s">
        <v>1561</v>
      </c>
      <c r="I2705">
        <v>551.35500000000002</v>
      </c>
      <c r="J2705" t="s">
        <v>5708</v>
      </c>
      <c r="K2705" t="s">
        <v>85</v>
      </c>
      <c r="N2705" t="s">
        <v>186</v>
      </c>
      <c r="P2705" t="s">
        <v>87</v>
      </c>
      <c r="Q2705" t="s">
        <v>76</v>
      </c>
      <c r="R2705" t="s">
        <v>73</v>
      </c>
      <c r="S2705">
        <v>0</v>
      </c>
      <c r="W2705" s="20">
        <v>1.9675925925925926E-4</v>
      </c>
      <c r="X2705" t="s">
        <v>5835</v>
      </c>
      <c r="Y2705">
        <v>2</v>
      </c>
      <c r="Z2705">
        <v>1</v>
      </c>
      <c r="AA2705" t="s">
        <v>5836</v>
      </c>
      <c r="AB2705">
        <v>6</v>
      </c>
      <c r="AC2705" t="s">
        <v>78</v>
      </c>
      <c r="AD2705">
        <v>0</v>
      </c>
      <c r="AE2705">
        <v>-1</v>
      </c>
      <c r="AF2705" t="s">
        <v>88</v>
      </c>
      <c r="AG2705" t="s">
        <v>5837</v>
      </c>
    </row>
    <row r="2706" spans="1:33" x14ac:dyDescent="0.35">
      <c r="A2706" s="18">
        <v>44237.020833333336</v>
      </c>
      <c r="B2706">
        <v>1710962</v>
      </c>
      <c r="C2706" t="s">
        <v>5774</v>
      </c>
      <c r="D2706" t="s">
        <v>70</v>
      </c>
      <c r="E2706" s="19">
        <v>41813</v>
      </c>
      <c r="F2706" t="str">
        <f>"9781118939291"</f>
        <v>9781118939291</v>
      </c>
      <c r="G2706" t="str">
        <f>"9781118496305"</f>
        <v>9781118496305</v>
      </c>
      <c r="H2706" t="s">
        <v>374</v>
      </c>
      <c r="I2706">
        <v>628.16399999999999</v>
      </c>
      <c r="J2706" t="s">
        <v>5775</v>
      </c>
      <c r="K2706" t="s">
        <v>73</v>
      </c>
      <c r="N2706" t="s">
        <v>74</v>
      </c>
      <c r="O2706" t="s">
        <v>75</v>
      </c>
      <c r="P2706" t="s">
        <v>74</v>
      </c>
      <c r="Q2706" t="s">
        <v>76</v>
      </c>
      <c r="R2706" t="s">
        <v>73</v>
      </c>
      <c r="S2706">
        <v>0</v>
      </c>
      <c r="W2706" s="20">
        <v>4.6296296296296294E-5</v>
      </c>
      <c r="X2706" t="s">
        <v>132</v>
      </c>
      <c r="Y2706">
        <v>1</v>
      </c>
      <c r="Z2706">
        <v>0</v>
      </c>
      <c r="AA2706" t="s">
        <v>78</v>
      </c>
      <c r="AB2706">
        <v>0</v>
      </c>
      <c r="AC2706" t="s">
        <v>78</v>
      </c>
      <c r="AD2706">
        <v>0</v>
      </c>
      <c r="AE2706">
        <v>10882756</v>
      </c>
      <c r="AF2706" t="s">
        <v>79</v>
      </c>
      <c r="AG2706" t="s">
        <v>2239</v>
      </c>
    </row>
    <row r="2707" spans="1:33" x14ac:dyDescent="0.35">
      <c r="A2707" s="18">
        <v>44237.004166666666</v>
      </c>
      <c r="B2707">
        <v>1710962</v>
      </c>
      <c r="C2707" t="s">
        <v>5774</v>
      </c>
      <c r="D2707" t="s">
        <v>70</v>
      </c>
      <c r="E2707" s="19">
        <v>41813</v>
      </c>
      <c r="F2707" t="str">
        <f>"9781118939291"</f>
        <v>9781118939291</v>
      </c>
      <c r="G2707" t="str">
        <f>"9781118496305"</f>
        <v>9781118496305</v>
      </c>
      <c r="H2707" t="s">
        <v>374</v>
      </c>
      <c r="I2707">
        <v>628.16399999999999</v>
      </c>
      <c r="J2707" t="s">
        <v>5775</v>
      </c>
      <c r="K2707" t="s">
        <v>73</v>
      </c>
      <c r="N2707" t="s">
        <v>74</v>
      </c>
      <c r="O2707" t="s">
        <v>75</v>
      </c>
      <c r="P2707" t="s">
        <v>74</v>
      </c>
      <c r="Q2707" t="s">
        <v>76</v>
      </c>
      <c r="R2707" t="s">
        <v>73</v>
      </c>
      <c r="S2707">
        <v>0</v>
      </c>
      <c r="W2707" s="20">
        <v>0</v>
      </c>
      <c r="X2707" t="s">
        <v>78</v>
      </c>
      <c r="Y2707">
        <v>0</v>
      </c>
      <c r="Z2707">
        <v>0</v>
      </c>
      <c r="AA2707" t="s">
        <v>78</v>
      </c>
      <c r="AB2707">
        <v>0</v>
      </c>
      <c r="AC2707" t="s">
        <v>78</v>
      </c>
      <c r="AD2707">
        <v>0</v>
      </c>
      <c r="AE2707">
        <v>10882756</v>
      </c>
      <c r="AF2707" t="s">
        <v>79</v>
      </c>
      <c r="AG2707" t="s">
        <v>2239</v>
      </c>
    </row>
    <row r="2708" spans="1:33" x14ac:dyDescent="0.35">
      <c r="A2708" s="18">
        <v>44236.90625</v>
      </c>
      <c r="B2708">
        <v>1040748</v>
      </c>
      <c r="C2708" t="s">
        <v>5838</v>
      </c>
      <c r="D2708" t="s">
        <v>677</v>
      </c>
      <c r="E2708" s="19">
        <v>41217</v>
      </c>
      <c r="F2708" t="str">
        <f>"9781400844753"</f>
        <v>9781400844753</v>
      </c>
      <c r="G2708" t="str">
        <f>"9780691147055"</f>
        <v>9780691147055</v>
      </c>
      <c r="H2708" t="s">
        <v>3302</v>
      </c>
      <c r="I2708">
        <v>303.482401767</v>
      </c>
      <c r="J2708" t="s">
        <v>5839</v>
      </c>
      <c r="K2708" t="s">
        <v>73</v>
      </c>
      <c r="N2708" t="s">
        <v>74</v>
      </c>
      <c r="O2708" t="s">
        <v>75</v>
      </c>
      <c r="P2708" t="s">
        <v>74</v>
      </c>
      <c r="Q2708" t="s">
        <v>76</v>
      </c>
      <c r="R2708" t="s">
        <v>73</v>
      </c>
      <c r="S2708">
        <v>0</v>
      </c>
      <c r="W2708" s="20">
        <v>6.2500000000000001E-4</v>
      </c>
      <c r="X2708" t="s">
        <v>5840</v>
      </c>
      <c r="Y2708">
        <v>6</v>
      </c>
      <c r="Z2708">
        <v>0</v>
      </c>
      <c r="AA2708" t="s">
        <v>78</v>
      </c>
      <c r="AB2708">
        <v>0</v>
      </c>
      <c r="AC2708" t="s">
        <v>78</v>
      </c>
      <c r="AD2708">
        <v>0</v>
      </c>
      <c r="AE2708">
        <v>10611431</v>
      </c>
      <c r="AF2708" t="s">
        <v>79</v>
      </c>
      <c r="AG2708" t="s">
        <v>5278</v>
      </c>
    </row>
    <row r="2709" spans="1:33" x14ac:dyDescent="0.35">
      <c r="A2709" s="18">
        <v>44236.895138888889</v>
      </c>
      <c r="B2709">
        <v>1710962</v>
      </c>
      <c r="C2709" t="s">
        <v>5774</v>
      </c>
      <c r="D2709" t="s">
        <v>70</v>
      </c>
      <c r="E2709" s="19">
        <v>41813</v>
      </c>
      <c r="F2709" t="str">
        <f>"9781118939291"</f>
        <v>9781118939291</v>
      </c>
      <c r="G2709" t="str">
        <f>"9781118496305"</f>
        <v>9781118496305</v>
      </c>
      <c r="H2709" t="s">
        <v>374</v>
      </c>
      <c r="I2709">
        <v>628.16399999999999</v>
      </c>
      <c r="J2709" t="s">
        <v>5775</v>
      </c>
      <c r="K2709" t="s">
        <v>73</v>
      </c>
      <c r="N2709" t="s">
        <v>74</v>
      </c>
      <c r="O2709" t="s">
        <v>75</v>
      </c>
      <c r="P2709" t="s">
        <v>74</v>
      </c>
      <c r="Q2709" t="s">
        <v>76</v>
      </c>
      <c r="R2709" t="s">
        <v>73</v>
      </c>
      <c r="S2709">
        <v>0</v>
      </c>
      <c r="W2709" s="20">
        <v>7.013888888888889E-3</v>
      </c>
      <c r="X2709" t="s">
        <v>5841</v>
      </c>
      <c r="Y2709">
        <v>13</v>
      </c>
      <c r="Z2709">
        <v>0</v>
      </c>
      <c r="AA2709" t="s">
        <v>78</v>
      </c>
      <c r="AB2709">
        <v>0</v>
      </c>
      <c r="AC2709" t="s">
        <v>78</v>
      </c>
      <c r="AD2709">
        <v>0</v>
      </c>
      <c r="AE2709">
        <v>10882756</v>
      </c>
      <c r="AF2709" t="s">
        <v>79</v>
      </c>
      <c r="AG2709" t="s">
        <v>2239</v>
      </c>
    </row>
    <row r="2710" spans="1:33" x14ac:dyDescent="0.35">
      <c r="A2710" s="18">
        <v>44236.866666666669</v>
      </c>
      <c r="B2710">
        <v>1173081</v>
      </c>
      <c r="C2710" t="s">
        <v>3999</v>
      </c>
      <c r="D2710" t="s">
        <v>70</v>
      </c>
      <c r="E2710" s="19">
        <v>41393</v>
      </c>
      <c r="F2710" t="str">
        <f>"9781118417591"</f>
        <v>9781118417591</v>
      </c>
      <c r="G2710" t="str">
        <f>"9781118394106"</f>
        <v>9781118394106</v>
      </c>
      <c r="H2710" t="s">
        <v>143</v>
      </c>
      <c r="I2710" t="s">
        <v>4000</v>
      </c>
      <c r="J2710" t="s">
        <v>4001</v>
      </c>
      <c r="K2710" t="s">
        <v>73</v>
      </c>
      <c r="N2710" t="s">
        <v>74</v>
      </c>
      <c r="O2710" t="s">
        <v>75</v>
      </c>
      <c r="P2710" t="s">
        <v>74</v>
      </c>
      <c r="Q2710" t="s">
        <v>76</v>
      </c>
      <c r="R2710" t="s">
        <v>73</v>
      </c>
      <c r="S2710">
        <v>0</v>
      </c>
      <c r="W2710" s="20">
        <v>1.9675925925925926E-4</v>
      </c>
      <c r="X2710" t="s">
        <v>125</v>
      </c>
      <c r="Y2710">
        <v>2</v>
      </c>
      <c r="Z2710">
        <v>0</v>
      </c>
      <c r="AA2710" t="s">
        <v>78</v>
      </c>
      <c r="AB2710">
        <v>0</v>
      </c>
      <c r="AC2710" t="s">
        <v>78</v>
      </c>
      <c r="AD2710">
        <v>0</v>
      </c>
      <c r="AE2710">
        <v>10691459</v>
      </c>
      <c r="AF2710" t="s">
        <v>79</v>
      </c>
      <c r="AG2710" t="s">
        <v>5829</v>
      </c>
    </row>
    <row r="2711" spans="1:33" x14ac:dyDescent="0.35">
      <c r="A2711" s="18">
        <v>44236.836805555555</v>
      </c>
      <c r="B2711">
        <v>919025</v>
      </c>
      <c r="C2711" t="s">
        <v>5842</v>
      </c>
      <c r="D2711" t="s">
        <v>127</v>
      </c>
      <c r="E2711" s="19">
        <v>41065</v>
      </c>
      <c r="F2711" t="str">
        <f>"9781439866405"</f>
        <v>9781439866405</v>
      </c>
      <c r="G2711" t="str">
        <f>"9781439860601"</f>
        <v>9781439860601</v>
      </c>
      <c r="H2711" t="s">
        <v>143</v>
      </c>
      <c r="I2711" t="s">
        <v>5843</v>
      </c>
      <c r="J2711" t="s">
        <v>5844</v>
      </c>
      <c r="K2711" t="s">
        <v>73</v>
      </c>
      <c r="N2711" t="s">
        <v>74</v>
      </c>
      <c r="O2711" t="s">
        <v>75</v>
      </c>
      <c r="P2711" t="s">
        <v>74</v>
      </c>
      <c r="Q2711" t="s">
        <v>76</v>
      </c>
      <c r="R2711" t="s">
        <v>73</v>
      </c>
      <c r="S2711">
        <v>0</v>
      </c>
      <c r="W2711" s="20">
        <v>1.712962962962963E-3</v>
      </c>
      <c r="X2711" t="s">
        <v>5845</v>
      </c>
      <c r="Y2711">
        <v>11</v>
      </c>
      <c r="Z2711">
        <v>0</v>
      </c>
      <c r="AA2711" t="s">
        <v>78</v>
      </c>
      <c r="AB2711">
        <v>0</v>
      </c>
      <c r="AC2711" t="s">
        <v>78</v>
      </c>
      <c r="AD2711">
        <v>0</v>
      </c>
      <c r="AE2711">
        <v>10562553</v>
      </c>
      <c r="AF2711" t="s">
        <v>79</v>
      </c>
      <c r="AG2711" t="s">
        <v>770</v>
      </c>
    </row>
    <row r="2712" spans="1:33" x14ac:dyDescent="0.35">
      <c r="A2712" s="18">
        <v>44236.828472222223</v>
      </c>
      <c r="B2712">
        <v>1040748</v>
      </c>
      <c r="C2712" t="s">
        <v>5838</v>
      </c>
      <c r="D2712" t="s">
        <v>677</v>
      </c>
      <c r="E2712" s="19">
        <v>41217</v>
      </c>
      <c r="F2712" t="str">
        <f>"9781400844753"</f>
        <v>9781400844753</v>
      </c>
      <c r="G2712" t="str">
        <f>"9780691147055"</f>
        <v>9780691147055</v>
      </c>
      <c r="H2712" t="s">
        <v>3302</v>
      </c>
      <c r="I2712">
        <v>303.482401767</v>
      </c>
      <c r="J2712" t="s">
        <v>5839</v>
      </c>
      <c r="K2712" t="s">
        <v>73</v>
      </c>
      <c r="N2712" t="s">
        <v>74</v>
      </c>
      <c r="O2712" t="s">
        <v>75</v>
      </c>
      <c r="P2712" t="s">
        <v>74</v>
      </c>
      <c r="Q2712" t="s">
        <v>76</v>
      </c>
      <c r="R2712" t="s">
        <v>73</v>
      </c>
      <c r="S2712">
        <v>0</v>
      </c>
      <c r="W2712" s="20">
        <v>1.0069444444444444E-3</v>
      </c>
      <c r="X2712" t="s">
        <v>5846</v>
      </c>
      <c r="Y2712">
        <v>9</v>
      </c>
      <c r="Z2712">
        <v>0</v>
      </c>
      <c r="AA2712" t="s">
        <v>78</v>
      </c>
      <c r="AB2712">
        <v>0</v>
      </c>
      <c r="AC2712" t="s">
        <v>78</v>
      </c>
      <c r="AD2712">
        <v>0</v>
      </c>
      <c r="AE2712">
        <v>10611431</v>
      </c>
      <c r="AF2712" t="s">
        <v>88</v>
      </c>
      <c r="AG2712" t="s">
        <v>5278</v>
      </c>
    </row>
    <row r="2713" spans="1:33" x14ac:dyDescent="0.35">
      <c r="A2713" s="18">
        <v>44236.82708333333</v>
      </c>
      <c r="B2713">
        <v>271700</v>
      </c>
      <c r="C2713" t="s">
        <v>5847</v>
      </c>
      <c r="D2713" t="s">
        <v>102</v>
      </c>
      <c r="E2713" s="19">
        <v>35348</v>
      </c>
      <c r="F2713" t="str">
        <f>"9780195356564"</f>
        <v>9780195356564</v>
      </c>
      <c r="G2713" t="str">
        <f>"9780195100518"</f>
        <v>9780195100518</v>
      </c>
      <c r="H2713" t="s">
        <v>308</v>
      </c>
      <c r="I2713" t="s">
        <v>5848</v>
      </c>
      <c r="J2713" t="s">
        <v>5849</v>
      </c>
      <c r="K2713" t="s">
        <v>73</v>
      </c>
      <c r="N2713" t="s">
        <v>74</v>
      </c>
      <c r="O2713" t="s">
        <v>75</v>
      </c>
      <c r="P2713" t="s">
        <v>74</v>
      </c>
      <c r="Q2713" t="s">
        <v>76</v>
      </c>
      <c r="R2713" t="s">
        <v>73</v>
      </c>
      <c r="S2713">
        <v>0</v>
      </c>
      <c r="W2713" s="20">
        <v>2.5462962962962961E-4</v>
      </c>
      <c r="X2713" t="s">
        <v>5850</v>
      </c>
      <c r="Y2713">
        <v>6</v>
      </c>
      <c r="Z2713">
        <v>0</v>
      </c>
      <c r="AA2713" t="s">
        <v>78</v>
      </c>
      <c r="AB2713">
        <v>0</v>
      </c>
      <c r="AC2713" t="s">
        <v>78</v>
      </c>
      <c r="AD2713">
        <v>0</v>
      </c>
      <c r="AE2713">
        <v>10279212</v>
      </c>
      <c r="AF2713" t="s">
        <v>88</v>
      </c>
      <c r="AG2713" t="s">
        <v>5278</v>
      </c>
    </row>
    <row r="2714" spans="1:33" x14ac:dyDescent="0.35">
      <c r="A2714" s="18">
        <v>44236.818055555559</v>
      </c>
      <c r="B2714">
        <v>4396433</v>
      </c>
      <c r="C2714" t="s">
        <v>5851</v>
      </c>
      <c r="D2714" t="s">
        <v>3311</v>
      </c>
      <c r="E2714" s="19">
        <v>42323</v>
      </c>
      <c r="F2714" t="str">
        <f>"9781783717118"</f>
        <v>9781783717118</v>
      </c>
      <c r="G2714" t="str">
        <f>"9780745336565"</f>
        <v>9780745336565</v>
      </c>
      <c r="H2714" t="s">
        <v>2472</v>
      </c>
      <c r="I2714">
        <v>320.55700000000002</v>
      </c>
      <c r="J2714" t="s">
        <v>5852</v>
      </c>
      <c r="K2714" t="s">
        <v>73</v>
      </c>
      <c r="N2714" t="s">
        <v>74</v>
      </c>
      <c r="O2714" t="s">
        <v>75</v>
      </c>
      <c r="P2714" t="s">
        <v>74</v>
      </c>
      <c r="Q2714" t="s">
        <v>76</v>
      </c>
      <c r="R2714" t="s">
        <v>73</v>
      </c>
      <c r="S2714">
        <v>0</v>
      </c>
      <c r="W2714" s="20">
        <v>2.7893518518518519E-3</v>
      </c>
      <c r="X2714" t="s">
        <v>5853</v>
      </c>
      <c r="Y2714">
        <v>9</v>
      </c>
      <c r="Z2714">
        <v>0</v>
      </c>
      <c r="AA2714" t="s">
        <v>78</v>
      </c>
      <c r="AB2714">
        <v>0</v>
      </c>
      <c r="AC2714" t="s">
        <v>78</v>
      </c>
      <c r="AD2714">
        <v>0</v>
      </c>
      <c r="AE2714">
        <v>11155514</v>
      </c>
      <c r="AF2714" t="s">
        <v>88</v>
      </c>
      <c r="AG2714" t="s">
        <v>5278</v>
      </c>
    </row>
    <row r="2715" spans="1:33" x14ac:dyDescent="0.35">
      <c r="A2715" s="18">
        <v>44236.799305555556</v>
      </c>
      <c r="B2715">
        <v>1752821</v>
      </c>
      <c r="C2715" t="s">
        <v>5128</v>
      </c>
      <c r="D2715" t="s">
        <v>1642</v>
      </c>
      <c r="E2715" s="19">
        <v>41802</v>
      </c>
      <c r="F2715" t="str">
        <f>"9781784411817"</f>
        <v>9781784411817</v>
      </c>
      <c r="G2715" t="str">
        <f>"9781784411800"</f>
        <v>9781784411800</v>
      </c>
      <c r="H2715" t="s">
        <v>110</v>
      </c>
      <c r="I2715">
        <v>5.74</v>
      </c>
      <c r="J2715" t="s">
        <v>5129</v>
      </c>
      <c r="K2715" t="s">
        <v>73</v>
      </c>
      <c r="N2715" t="s">
        <v>74</v>
      </c>
      <c r="O2715" t="s">
        <v>75</v>
      </c>
      <c r="P2715" t="s">
        <v>74</v>
      </c>
      <c r="Q2715" t="s">
        <v>76</v>
      </c>
      <c r="R2715" t="s">
        <v>73</v>
      </c>
      <c r="S2715">
        <v>0</v>
      </c>
      <c r="W2715" s="20">
        <v>3.1250000000000001E-4</v>
      </c>
      <c r="X2715" t="s">
        <v>639</v>
      </c>
      <c r="Y2715">
        <v>3</v>
      </c>
      <c r="Z2715">
        <v>0</v>
      </c>
      <c r="AA2715" t="s">
        <v>78</v>
      </c>
      <c r="AB2715">
        <v>0</v>
      </c>
      <c r="AC2715" t="s">
        <v>78</v>
      </c>
      <c r="AD2715">
        <v>0</v>
      </c>
      <c r="AE2715">
        <v>10900573</v>
      </c>
      <c r="AF2715" t="s">
        <v>79</v>
      </c>
      <c r="AG2715" t="s">
        <v>5829</v>
      </c>
    </row>
    <row r="2716" spans="1:33" x14ac:dyDescent="0.35">
      <c r="A2716" s="18">
        <v>44236.74722222222</v>
      </c>
      <c r="B2716">
        <v>1602822</v>
      </c>
      <c r="C2716" t="s">
        <v>4019</v>
      </c>
      <c r="D2716" t="s">
        <v>127</v>
      </c>
      <c r="E2716" s="19">
        <v>40890</v>
      </c>
      <c r="F2716" t="str">
        <f>"9781439897836"</f>
        <v>9781439897836</v>
      </c>
      <c r="G2716" t="str">
        <f>"9781439804452"</f>
        <v>9781439804452</v>
      </c>
      <c r="H2716" t="s">
        <v>979</v>
      </c>
      <c r="I2716" t="s">
        <v>4020</v>
      </c>
      <c r="J2716" t="s">
        <v>4021</v>
      </c>
      <c r="K2716" t="s">
        <v>73</v>
      </c>
      <c r="N2716" t="s">
        <v>74</v>
      </c>
      <c r="O2716" t="s">
        <v>75</v>
      </c>
      <c r="P2716" t="s">
        <v>74</v>
      </c>
      <c r="Q2716" t="s">
        <v>76</v>
      </c>
      <c r="R2716" t="s">
        <v>73</v>
      </c>
      <c r="S2716">
        <v>0</v>
      </c>
      <c r="W2716" s="20">
        <v>3.3333333333333335E-3</v>
      </c>
      <c r="X2716" t="s">
        <v>5854</v>
      </c>
      <c r="Y2716">
        <v>19</v>
      </c>
      <c r="Z2716">
        <v>0</v>
      </c>
      <c r="AA2716" t="s">
        <v>78</v>
      </c>
      <c r="AB2716">
        <v>0</v>
      </c>
      <c r="AC2716" t="s">
        <v>78</v>
      </c>
      <c r="AD2716">
        <v>0</v>
      </c>
      <c r="AE2716">
        <v>11167228</v>
      </c>
      <c r="AF2716" t="s">
        <v>79</v>
      </c>
      <c r="AG2716" t="s">
        <v>5829</v>
      </c>
    </row>
    <row r="2717" spans="1:33" x14ac:dyDescent="0.35">
      <c r="A2717" s="18">
        <v>44236.698611111111</v>
      </c>
      <c r="B2717">
        <v>1173081</v>
      </c>
      <c r="C2717" t="s">
        <v>3999</v>
      </c>
      <c r="D2717" t="s">
        <v>70</v>
      </c>
      <c r="E2717" s="19">
        <v>41393</v>
      </c>
      <c r="F2717" t="str">
        <f>"9781118417591"</f>
        <v>9781118417591</v>
      </c>
      <c r="G2717" t="str">
        <f>"9781118394106"</f>
        <v>9781118394106</v>
      </c>
      <c r="H2717" t="s">
        <v>143</v>
      </c>
      <c r="I2717" t="s">
        <v>4000</v>
      </c>
      <c r="J2717" t="s">
        <v>4001</v>
      </c>
      <c r="K2717" t="s">
        <v>73</v>
      </c>
      <c r="N2717" t="s">
        <v>74</v>
      </c>
      <c r="O2717" t="s">
        <v>75</v>
      </c>
      <c r="P2717" t="s">
        <v>74</v>
      </c>
      <c r="Q2717" t="s">
        <v>76</v>
      </c>
      <c r="R2717" t="s">
        <v>73</v>
      </c>
      <c r="S2717">
        <v>0</v>
      </c>
      <c r="W2717" s="20">
        <v>5.7870370370370366E-5</v>
      </c>
      <c r="X2717" t="s">
        <v>132</v>
      </c>
      <c r="Y2717">
        <v>1</v>
      </c>
      <c r="Z2717">
        <v>0</v>
      </c>
      <c r="AA2717" t="s">
        <v>78</v>
      </c>
      <c r="AB2717">
        <v>0</v>
      </c>
      <c r="AC2717" t="s">
        <v>78</v>
      </c>
      <c r="AD2717">
        <v>0</v>
      </c>
      <c r="AE2717">
        <v>10691459</v>
      </c>
      <c r="AF2717" t="s">
        <v>79</v>
      </c>
      <c r="AG2717" t="s">
        <v>4894</v>
      </c>
    </row>
    <row r="2718" spans="1:33" x14ac:dyDescent="0.35">
      <c r="A2718" s="18">
        <v>44236.697916666664</v>
      </c>
      <c r="B2718">
        <v>1602822</v>
      </c>
      <c r="C2718" t="s">
        <v>4019</v>
      </c>
      <c r="D2718" t="s">
        <v>127</v>
      </c>
      <c r="E2718" s="19">
        <v>40890</v>
      </c>
      <c r="F2718" t="str">
        <f>"9781439897836"</f>
        <v>9781439897836</v>
      </c>
      <c r="G2718" t="str">
        <f>"9781439804452"</f>
        <v>9781439804452</v>
      </c>
      <c r="H2718" t="s">
        <v>979</v>
      </c>
      <c r="I2718" t="s">
        <v>4020</v>
      </c>
      <c r="J2718" t="s">
        <v>4021</v>
      </c>
      <c r="K2718" t="s">
        <v>73</v>
      </c>
      <c r="N2718" t="s">
        <v>74</v>
      </c>
      <c r="O2718" t="s">
        <v>75</v>
      </c>
      <c r="P2718" t="s">
        <v>74</v>
      </c>
      <c r="Q2718" t="s">
        <v>76</v>
      </c>
      <c r="R2718" t="s">
        <v>73</v>
      </c>
      <c r="S2718">
        <v>0</v>
      </c>
      <c r="W2718" s="20">
        <v>6.6550925925925935E-3</v>
      </c>
      <c r="X2718" t="s">
        <v>1691</v>
      </c>
      <c r="Y2718">
        <v>7</v>
      </c>
      <c r="Z2718">
        <v>0</v>
      </c>
      <c r="AA2718" t="s">
        <v>78</v>
      </c>
      <c r="AB2718">
        <v>0</v>
      </c>
      <c r="AC2718" t="s">
        <v>78</v>
      </c>
      <c r="AD2718">
        <v>0</v>
      </c>
      <c r="AE2718">
        <v>11167228</v>
      </c>
      <c r="AF2718" t="s">
        <v>79</v>
      </c>
      <c r="AG2718" t="s">
        <v>4894</v>
      </c>
    </row>
    <row r="2719" spans="1:33" x14ac:dyDescent="0.35">
      <c r="A2719" s="18">
        <v>44236.681944444441</v>
      </c>
      <c r="B2719">
        <v>4877102</v>
      </c>
      <c r="C2719" t="s">
        <v>5552</v>
      </c>
      <c r="D2719" t="s">
        <v>741</v>
      </c>
      <c r="E2719" s="19">
        <v>41425</v>
      </c>
      <c r="F2719" t="str">
        <f>"9781423220503"</f>
        <v>9781423220503</v>
      </c>
      <c r="G2719" t="str">
        <f>"9781423220251"</f>
        <v>9781423220251</v>
      </c>
      <c r="H2719" t="s">
        <v>5553</v>
      </c>
      <c r="I2719">
        <v>302.23099999999999</v>
      </c>
      <c r="J2719" t="s">
        <v>5554</v>
      </c>
      <c r="K2719" t="s">
        <v>73</v>
      </c>
      <c r="N2719" t="s">
        <v>74</v>
      </c>
      <c r="O2719" t="s">
        <v>75</v>
      </c>
      <c r="P2719" t="s">
        <v>74</v>
      </c>
      <c r="Q2719" t="s">
        <v>76</v>
      </c>
      <c r="R2719" t="s">
        <v>73</v>
      </c>
      <c r="S2719">
        <v>1</v>
      </c>
      <c r="W2719" s="20">
        <v>4.6296296296296294E-5</v>
      </c>
      <c r="X2719" t="s">
        <v>132</v>
      </c>
      <c r="Y2719">
        <v>1</v>
      </c>
      <c r="Z2719">
        <v>0</v>
      </c>
      <c r="AA2719" t="s">
        <v>78</v>
      </c>
      <c r="AB2719">
        <v>0</v>
      </c>
      <c r="AC2719" t="s">
        <v>78</v>
      </c>
      <c r="AD2719">
        <v>0</v>
      </c>
      <c r="AE2719">
        <v>11397748</v>
      </c>
      <c r="AF2719" t="s">
        <v>88</v>
      </c>
      <c r="AG2719" t="s">
        <v>5278</v>
      </c>
    </row>
    <row r="2720" spans="1:33" x14ac:dyDescent="0.35">
      <c r="A2720" s="18">
        <v>44236.679166666669</v>
      </c>
      <c r="B2720">
        <v>4877102</v>
      </c>
      <c r="C2720" t="s">
        <v>5552</v>
      </c>
      <c r="D2720" t="s">
        <v>741</v>
      </c>
      <c r="E2720" s="19">
        <v>41425</v>
      </c>
      <c r="F2720" t="str">
        <f>"9781423220503"</f>
        <v>9781423220503</v>
      </c>
      <c r="G2720" t="str">
        <f>"9781423220251"</f>
        <v>9781423220251</v>
      </c>
      <c r="H2720" t="s">
        <v>5553</v>
      </c>
      <c r="I2720">
        <v>302.23099999999999</v>
      </c>
      <c r="J2720" t="s">
        <v>5554</v>
      </c>
      <c r="K2720" t="s">
        <v>73</v>
      </c>
      <c r="N2720" t="s">
        <v>74</v>
      </c>
      <c r="O2720" t="s">
        <v>75</v>
      </c>
      <c r="P2720" t="s">
        <v>74</v>
      </c>
      <c r="Q2720" t="s">
        <v>76</v>
      </c>
      <c r="R2720" t="s">
        <v>73</v>
      </c>
      <c r="S2720">
        <v>0</v>
      </c>
      <c r="W2720" s="20">
        <v>9.2592592592592585E-4</v>
      </c>
      <c r="X2720" t="s">
        <v>5855</v>
      </c>
      <c r="Y2720">
        <v>3</v>
      </c>
      <c r="Z2720">
        <v>0</v>
      </c>
      <c r="AA2720" t="s">
        <v>78</v>
      </c>
      <c r="AB2720">
        <v>0</v>
      </c>
      <c r="AC2720" t="s">
        <v>78</v>
      </c>
      <c r="AD2720">
        <v>0</v>
      </c>
      <c r="AE2720">
        <v>11397748</v>
      </c>
      <c r="AF2720" t="s">
        <v>79</v>
      </c>
      <c r="AG2720" t="s">
        <v>5278</v>
      </c>
    </row>
    <row r="2721" spans="1:33" x14ac:dyDescent="0.35">
      <c r="A2721" s="18">
        <v>44236.671527777777</v>
      </c>
      <c r="B2721">
        <v>468995</v>
      </c>
      <c r="C2721" t="s">
        <v>5856</v>
      </c>
      <c r="D2721" t="s">
        <v>70</v>
      </c>
      <c r="E2721" s="19">
        <v>39563</v>
      </c>
      <c r="F2721" t="str">
        <f>"9780470263914"</f>
        <v>9780470263914</v>
      </c>
      <c r="G2721" t="str">
        <f>"9780470168615"</f>
        <v>9780470168615</v>
      </c>
      <c r="H2721" t="s">
        <v>222</v>
      </c>
      <c r="I2721">
        <v>610.28399999999999</v>
      </c>
      <c r="J2721" t="s">
        <v>5857</v>
      </c>
      <c r="K2721" t="s">
        <v>73</v>
      </c>
      <c r="N2721" t="s">
        <v>74</v>
      </c>
      <c r="O2721" t="s">
        <v>75</v>
      </c>
      <c r="P2721" t="s">
        <v>74</v>
      </c>
      <c r="Q2721" t="s">
        <v>76</v>
      </c>
      <c r="R2721" t="s">
        <v>73</v>
      </c>
      <c r="S2721">
        <v>0</v>
      </c>
      <c r="W2721" s="20">
        <v>9.7222222222222209E-4</v>
      </c>
      <c r="X2721" t="s">
        <v>5858</v>
      </c>
      <c r="Y2721">
        <v>8</v>
      </c>
      <c r="Z2721">
        <v>0</v>
      </c>
      <c r="AA2721" t="s">
        <v>78</v>
      </c>
      <c r="AB2721">
        <v>0</v>
      </c>
      <c r="AC2721" t="s">
        <v>78</v>
      </c>
      <c r="AD2721">
        <v>0</v>
      </c>
      <c r="AE2721">
        <v>10296501</v>
      </c>
      <c r="AF2721" t="s">
        <v>79</v>
      </c>
      <c r="AG2721" t="s">
        <v>770</v>
      </c>
    </row>
    <row r="2722" spans="1:33" x14ac:dyDescent="0.35">
      <c r="A2722" s="18">
        <v>44236.638888888891</v>
      </c>
      <c r="B2722">
        <v>1173081</v>
      </c>
      <c r="C2722" t="s">
        <v>3999</v>
      </c>
      <c r="D2722" t="s">
        <v>70</v>
      </c>
      <c r="E2722" s="19">
        <v>41393</v>
      </c>
      <c r="F2722" t="str">
        <f>"9781118417591"</f>
        <v>9781118417591</v>
      </c>
      <c r="G2722" t="str">
        <f>"9781118394106"</f>
        <v>9781118394106</v>
      </c>
      <c r="H2722" t="s">
        <v>143</v>
      </c>
      <c r="I2722" t="s">
        <v>4000</v>
      </c>
      <c r="J2722" t="s">
        <v>4001</v>
      </c>
      <c r="K2722" t="s">
        <v>73</v>
      </c>
      <c r="N2722" t="s">
        <v>74</v>
      </c>
      <c r="O2722" t="s">
        <v>75</v>
      </c>
      <c r="P2722" t="s">
        <v>74</v>
      </c>
      <c r="Q2722" t="s">
        <v>76</v>
      </c>
      <c r="R2722" t="s">
        <v>73</v>
      </c>
      <c r="S2722">
        <v>0</v>
      </c>
      <c r="W2722" s="20">
        <v>2.0833333333333332E-2</v>
      </c>
      <c r="X2722" t="s">
        <v>360</v>
      </c>
      <c r="Y2722">
        <v>2</v>
      </c>
      <c r="Z2722">
        <v>0</v>
      </c>
      <c r="AA2722" t="s">
        <v>78</v>
      </c>
      <c r="AB2722">
        <v>0</v>
      </c>
      <c r="AC2722" t="s">
        <v>78</v>
      </c>
      <c r="AD2722">
        <v>0</v>
      </c>
      <c r="AE2722">
        <v>10691459</v>
      </c>
      <c r="AF2722" t="s">
        <v>79</v>
      </c>
      <c r="AG2722" t="s">
        <v>5859</v>
      </c>
    </row>
    <row r="2723" spans="1:33" x14ac:dyDescent="0.35">
      <c r="A2723" s="18">
        <v>44236.637499999997</v>
      </c>
      <c r="B2723">
        <v>1173081</v>
      </c>
      <c r="C2723" t="s">
        <v>3999</v>
      </c>
      <c r="D2723" t="s">
        <v>70</v>
      </c>
      <c r="E2723" s="19">
        <v>41393</v>
      </c>
      <c r="F2723" t="str">
        <f>"9781118417591"</f>
        <v>9781118417591</v>
      </c>
      <c r="G2723" t="str">
        <f>"9781118394106"</f>
        <v>9781118394106</v>
      </c>
      <c r="H2723" t="s">
        <v>143</v>
      </c>
      <c r="I2723" t="s">
        <v>4000</v>
      </c>
      <c r="J2723" t="s">
        <v>4001</v>
      </c>
      <c r="K2723" t="s">
        <v>73</v>
      </c>
      <c r="N2723" t="s">
        <v>74</v>
      </c>
      <c r="O2723" t="s">
        <v>75</v>
      </c>
      <c r="P2723" t="s">
        <v>74</v>
      </c>
      <c r="Q2723" t="s">
        <v>76</v>
      </c>
      <c r="R2723" t="s">
        <v>73</v>
      </c>
      <c r="S2723">
        <v>0</v>
      </c>
      <c r="W2723" s="20">
        <v>3.4722222222222222E-5</v>
      </c>
      <c r="X2723" t="s">
        <v>132</v>
      </c>
      <c r="Y2723">
        <v>1</v>
      </c>
      <c r="Z2723">
        <v>0</v>
      </c>
      <c r="AA2723" t="s">
        <v>78</v>
      </c>
      <c r="AB2723">
        <v>0</v>
      </c>
      <c r="AC2723" t="s">
        <v>78</v>
      </c>
      <c r="AD2723">
        <v>0</v>
      </c>
      <c r="AE2723">
        <v>10691459</v>
      </c>
      <c r="AF2723" t="s">
        <v>79</v>
      </c>
      <c r="AG2723" t="s">
        <v>3345</v>
      </c>
    </row>
    <row r="2724" spans="1:33" x14ac:dyDescent="0.35">
      <c r="A2724" s="18">
        <v>44236.629861111112</v>
      </c>
      <c r="B2724">
        <v>1173081</v>
      </c>
      <c r="C2724" t="s">
        <v>3999</v>
      </c>
      <c r="D2724" t="s">
        <v>70</v>
      </c>
      <c r="E2724" s="19">
        <v>41393</v>
      </c>
      <c r="F2724" t="str">
        <f>"9781118417591"</f>
        <v>9781118417591</v>
      </c>
      <c r="G2724" t="str">
        <f>"9781118394106"</f>
        <v>9781118394106</v>
      </c>
      <c r="H2724" t="s">
        <v>143</v>
      </c>
      <c r="I2724" t="s">
        <v>4000</v>
      </c>
      <c r="J2724" t="s">
        <v>4001</v>
      </c>
      <c r="K2724" t="s">
        <v>73</v>
      </c>
      <c r="N2724" t="s">
        <v>74</v>
      </c>
      <c r="O2724" t="s">
        <v>75</v>
      </c>
      <c r="P2724" t="s">
        <v>74</v>
      </c>
      <c r="Q2724" t="s">
        <v>76</v>
      </c>
      <c r="R2724" t="s">
        <v>73</v>
      </c>
      <c r="S2724">
        <v>0</v>
      </c>
      <c r="W2724" s="20">
        <v>5.7870370370370366E-5</v>
      </c>
      <c r="X2724" t="s">
        <v>132</v>
      </c>
      <c r="Y2724">
        <v>1</v>
      </c>
      <c r="Z2724">
        <v>0</v>
      </c>
      <c r="AA2724" t="s">
        <v>78</v>
      </c>
      <c r="AB2724">
        <v>0</v>
      </c>
      <c r="AC2724" t="s">
        <v>78</v>
      </c>
      <c r="AD2724">
        <v>0</v>
      </c>
      <c r="AE2724">
        <v>10691459</v>
      </c>
      <c r="AF2724" t="s">
        <v>79</v>
      </c>
      <c r="AG2724" t="s">
        <v>3345</v>
      </c>
    </row>
    <row r="2725" spans="1:33" x14ac:dyDescent="0.35">
      <c r="A2725" s="18">
        <v>44236.599305555559</v>
      </c>
      <c r="B2725">
        <v>4877102</v>
      </c>
      <c r="C2725" t="s">
        <v>5552</v>
      </c>
      <c r="D2725" t="s">
        <v>741</v>
      </c>
      <c r="E2725" s="19">
        <v>41425</v>
      </c>
      <c r="F2725" t="str">
        <f>"9781423220503"</f>
        <v>9781423220503</v>
      </c>
      <c r="G2725" t="str">
        <f>"9781423220251"</f>
        <v>9781423220251</v>
      </c>
      <c r="H2725" t="s">
        <v>5553</v>
      </c>
      <c r="I2725">
        <v>302.23099999999999</v>
      </c>
      <c r="J2725" t="s">
        <v>5554</v>
      </c>
      <c r="K2725" t="s">
        <v>73</v>
      </c>
      <c r="N2725" t="s">
        <v>74</v>
      </c>
      <c r="O2725" t="s">
        <v>75</v>
      </c>
      <c r="P2725" t="s">
        <v>74</v>
      </c>
      <c r="Q2725" t="s">
        <v>76</v>
      </c>
      <c r="R2725" t="s">
        <v>73</v>
      </c>
      <c r="S2725">
        <v>0</v>
      </c>
      <c r="W2725" s="20">
        <v>5.7870370370370366E-5</v>
      </c>
      <c r="X2725" t="s">
        <v>137</v>
      </c>
      <c r="Y2725">
        <v>1</v>
      </c>
      <c r="Z2725">
        <v>0</v>
      </c>
      <c r="AA2725" t="s">
        <v>78</v>
      </c>
      <c r="AB2725">
        <v>0</v>
      </c>
      <c r="AC2725" t="s">
        <v>78</v>
      </c>
      <c r="AD2725">
        <v>0</v>
      </c>
      <c r="AE2725">
        <v>11397748</v>
      </c>
      <c r="AF2725" t="s">
        <v>79</v>
      </c>
      <c r="AG2725" t="s">
        <v>5278</v>
      </c>
    </row>
    <row r="2726" spans="1:33" x14ac:dyDescent="0.35">
      <c r="A2726" s="18">
        <v>44236.563194444447</v>
      </c>
      <c r="B2726">
        <v>3115513</v>
      </c>
      <c r="C2726" t="s">
        <v>5860</v>
      </c>
      <c r="D2726" t="s">
        <v>346</v>
      </c>
      <c r="E2726" s="19">
        <v>40299</v>
      </c>
      <c r="F2726" t="str">
        <f>"9780784473528"</f>
        <v>9780784473528</v>
      </c>
      <c r="G2726" t="str">
        <f>"9780784411148"</f>
        <v>9780784411148</v>
      </c>
      <c r="H2726" t="s">
        <v>5861</v>
      </c>
      <c r="I2726">
        <v>333.7</v>
      </c>
      <c r="J2726" t="s">
        <v>5862</v>
      </c>
      <c r="K2726" t="s">
        <v>73</v>
      </c>
      <c r="N2726" t="s">
        <v>74</v>
      </c>
      <c r="O2726" t="s">
        <v>75</v>
      </c>
      <c r="P2726" t="s">
        <v>74</v>
      </c>
      <c r="Q2726" t="s">
        <v>76</v>
      </c>
      <c r="R2726" t="s">
        <v>73</v>
      </c>
      <c r="S2726">
        <v>0</v>
      </c>
      <c r="W2726" s="20">
        <v>5.0925925925925921E-4</v>
      </c>
      <c r="X2726" t="s">
        <v>5863</v>
      </c>
      <c r="Y2726">
        <v>8</v>
      </c>
      <c r="Z2726">
        <v>0</v>
      </c>
      <c r="AA2726" t="s">
        <v>78</v>
      </c>
      <c r="AB2726">
        <v>0</v>
      </c>
      <c r="AC2726" t="s">
        <v>78</v>
      </c>
      <c r="AD2726">
        <v>0</v>
      </c>
      <c r="AE2726">
        <v>10475970</v>
      </c>
      <c r="AF2726" t="s">
        <v>88</v>
      </c>
      <c r="AG2726" t="s">
        <v>5278</v>
      </c>
    </row>
    <row r="2727" spans="1:33" x14ac:dyDescent="0.35">
      <c r="A2727" s="18">
        <v>44236.522916666669</v>
      </c>
      <c r="B2727">
        <v>3330329</v>
      </c>
      <c r="C2727" t="s">
        <v>5864</v>
      </c>
      <c r="D2727" t="s">
        <v>2275</v>
      </c>
      <c r="E2727" s="19">
        <v>38230</v>
      </c>
      <c r="F2727" t="str">
        <f>"9781614445036"</f>
        <v>9781614445036</v>
      </c>
      <c r="G2727" t="str">
        <f>"9780883855461"</f>
        <v>9780883855461</v>
      </c>
      <c r="H2727" t="s">
        <v>115</v>
      </c>
      <c r="I2727">
        <v>510.9</v>
      </c>
      <c r="J2727" t="s">
        <v>5865</v>
      </c>
      <c r="K2727" t="s">
        <v>73</v>
      </c>
      <c r="N2727" t="s">
        <v>74</v>
      </c>
      <c r="O2727" t="s">
        <v>75</v>
      </c>
      <c r="P2727" t="s">
        <v>74</v>
      </c>
      <c r="Q2727" t="s">
        <v>76</v>
      </c>
      <c r="R2727" t="s">
        <v>73</v>
      </c>
      <c r="S2727">
        <v>0</v>
      </c>
      <c r="W2727" s="20">
        <v>6.018518518518519E-4</v>
      </c>
      <c r="X2727" t="s">
        <v>5866</v>
      </c>
      <c r="Y2727">
        <v>9</v>
      </c>
      <c r="Z2727">
        <v>0</v>
      </c>
      <c r="AA2727" t="s">
        <v>78</v>
      </c>
      <c r="AB2727">
        <v>0</v>
      </c>
      <c r="AC2727" t="s">
        <v>78</v>
      </c>
      <c r="AD2727">
        <v>0</v>
      </c>
      <c r="AE2727">
        <v>10722440</v>
      </c>
      <c r="AF2727" t="s">
        <v>79</v>
      </c>
      <c r="AG2727" t="s">
        <v>5394</v>
      </c>
    </row>
    <row r="2728" spans="1:33" x14ac:dyDescent="0.35">
      <c r="A2728" s="18">
        <v>44236.518055555556</v>
      </c>
      <c r="B2728">
        <v>3002502</v>
      </c>
      <c r="C2728" t="s">
        <v>4218</v>
      </c>
      <c r="D2728" t="s">
        <v>4219</v>
      </c>
      <c r="E2728" s="19">
        <v>41640</v>
      </c>
      <c r="F2728" t="str">
        <f>""</f>
        <v/>
      </c>
      <c r="G2728" t="str">
        <f>"9780873898560"</f>
        <v>9780873898560</v>
      </c>
      <c r="H2728" t="s">
        <v>1728</v>
      </c>
      <c r="I2728" t="s">
        <v>4220</v>
      </c>
      <c r="J2728" t="s">
        <v>4221</v>
      </c>
      <c r="K2728" t="s">
        <v>73</v>
      </c>
      <c r="N2728" t="s">
        <v>74</v>
      </c>
      <c r="O2728" t="s">
        <v>75</v>
      </c>
      <c r="P2728" t="s">
        <v>74</v>
      </c>
      <c r="Q2728" t="s">
        <v>76</v>
      </c>
      <c r="R2728" t="s">
        <v>73</v>
      </c>
      <c r="S2728">
        <v>0</v>
      </c>
      <c r="W2728" s="20">
        <v>1.6238425925925924E-2</v>
      </c>
      <c r="X2728" t="s">
        <v>5867</v>
      </c>
      <c r="Y2728">
        <v>30</v>
      </c>
      <c r="Z2728">
        <v>1</v>
      </c>
      <c r="AA2728" t="s">
        <v>5868</v>
      </c>
      <c r="AB2728">
        <v>10</v>
      </c>
      <c r="AC2728" t="s">
        <v>78</v>
      </c>
      <c r="AD2728">
        <v>0</v>
      </c>
      <c r="AE2728">
        <v>10898769</v>
      </c>
      <c r="AF2728" t="s">
        <v>79</v>
      </c>
      <c r="AG2728" t="s">
        <v>770</v>
      </c>
    </row>
    <row r="2729" spans="1:33" x14ac:dyDescent="0.35">
      <c r="A2729" s="18">
        <v>44236.510416666664</v>
      </c>
      <c r="B2729">
        <v>4657977</v>
      </c>
      <c r="C2729" t="s">
        <v>5869</v>
      </c>
      <c r="D2729" t="s">
        <v>1405</v>
      </c>
      <c r="E2729" s="19">
        <v>38273</v>
      </c>
      <c r="F2729" t="str">
        <f>"9780071505734"</f>
        <v>9780071505734</v>
      </c>
      <c r="G2729" t="str">
        <f>"9780071441193"</f>
        <v>9780071441193</v>
      </c>
      <c r="H2729" t="s">
        <v>143</v>
      </c>
      <c r="I2729">
        <v>658.40129999999897</v>
      </c>
      <c r="J2729" t="s">
        <v>5870</v>
      </c>
      <c r="K2729" t="s">
        <v>85</v>
      </c>
      <c r="P2729" t="s">
        <v>297</v>
      </c>
      <c r="Q2729" t="s">
        <v>76</v>
      </c>
      <c r="R2729" t="s">
        <v>73</v>
      </c>
      <c r="S2729">
        <v>0</v>
      </c>
      <c r="W2729" s="20">
        <v>7.3611111111111108E-3</v>
      </c>
      <c r="X2729" t="s">
        <v>5871</v>
      </c>
      <c r="Y2729">
        <v>9</v>
      </c>
      <c r="Z2729">
        <v>0</v>
      </c>
      <c r="AA2729" t="s">
        <v>78</v>
      </c>
      <c r="AB2729">
        <v>0</v>
      </c>
      <c r="AC2729" t="s">
        <v>78</v>
      </c>
      <c r="AD2729">
        <v>0</v>
      </c>
      <c r="AE2729">
        <v>10393197</v>
      </c>
      <c r="AF2729" t="s">
        <v>79</v>
      </c>
      <c r="AG2729" t="s">
        <v>770</v>
      </c>
    </row>
    <row r="2730" spans="1:33" x14ac:dyDescent="0.35">
      <c r="A2730" s="18">
        <v>44236.508333333331</v>
      </c>
      <c r="B2730">
        <v>3002190</v>
      </c>
      <c r="C2730" t="s">
        <v>4212</v>
      </c>
      <c r="D2730" t="s">
        <v>4213</v>
      </c>
      <c r="E2730" s="19">
        <v>37257</v>
      </c>
      <c r="F2730" t="str">
        <f>"9780566089602"</f>
        <v>9780566089602</v>
      </c>
      <c r="G2730" t="str">
        <f>"9780566084348"</f>
        <v>9780566084348</v>
      </c>
      <c r="H2730" t="s">
        <v>143</v>
      </c>
      <c r="I2730" t="s">
        <v>4214</v>
      </c>
      <c r="J2730" t="s">
        <v>4215</v>
      </c>
      <c r="K2730" t="s">
        <v>73</v>
      </c>
      <c r="N2730" t="s">
        <v>74</v>
      </c>
      <c r="O2730" t="s">
        <v>75</v>
      </c>
      <c r="P2730" t="s">
        <v>74</v>
      </c>
      <c r="Q2730" t="s">
        <v>76</v>
      </c>
      <c r="R2730" t="s">
        <v>73</v>
      </c>
      <c r="S2730">
        <v>0</v>
      </c>
      <c r="W2730" s="20">
        <v>1.1226851851851851E-3</v>
      </c>
      <c r="X2730" t="s">
        <v>5872</v>
      </c>
      <c r="Y2730">
        <v>10</v>
      </c>
      <c r="Z2730">
        <v>0</v>
      </c>
      <c r="AA2730" t="s">
        <v>78</v>
      </c>
      <c r="AB2730">
        <v>0</v>
      </c>
      <c r="AC2730" t="s">
        <v>78</v>
      </c>
      <c r="AD2730">
        <v>0</v>
      </c>
      <c r="AE2730">
        <v>10046816</v>
      </c>
      <c r="AF2730" t="s">
        <v>79</v>
      </c>
      <c r="AG2730" t="s">
        <v>770</v>
      </c>
    </row>
    <row r="2731" spans="1:33" x14ac:dyDescent="0.35">
      <c r="A2731" s="18">
        <v>44236.504861111112</v>
      </c>
      <c r="B2731">
        <v>919025</v>
      </c>
      <c r="C2731" t="s">
        <v>5842</v>
      </c>
      <c r="D2731" t="s">
        <v>127</v>
      </c>
      <c r="E2731" s="19">
        <v>41065</v>
      </c>
      <c r="F2731" t="str">
        <f>"9781439866405"</f>
        <v>9781439866405</v>
      </c>
      <c r="G2731" t="str">
        <f>"9781439860601"</f>
        <v>9781439860601</v>
      </c>
      <c r="H2731" t="s">
        <v>143</v>
      </c>
      <c r="I2731" t="s">
        <v>5843</v>
      </c>
      <c r="J2731" t="s">
        <v>5844</v>
      </c>
      <c r="K2731" t="s">
        <v>73</v>
      </c>
      <c r="N2731" t="s">
        <v>74</v>
      </c>
      <c r="O2731" t="s">
        <v>75</v>
      </c>
      <c r="P2731" t="s">
        <v>74</v>
      </c>
      <c r="Q2731" t="s">
        <v>76</v>
      </c>
      <c r="R2731" t="s">
        <v>73</v>
      </c>
      <c r="S2731">
        <v>0</v>
      </c>
      <c r="W2731" s="20">
        <v>3.7962962962962963E-3</v>
      </c>
      <c r="X2731" t="s">
        <v>5873</v>
      </c>
      <c r="Y2731">
        <v>16</v>
      </c>
      <c r="Z2731">
        <v>0</v>
      </c>
      <c r="AA2731" t="s">
        <v>78</v>
      </c>
      <c r="AB2731">
        <v>0</v>
      </c>
      <c r="AC2731" t="s">
        <v>78</v>
      </c>
      <c r="AD2731">
        <v>0</v>
      </c>
      <c r="AE2731">
        <v>10562553</v>
      </c>
      <c r="AF2731" t="s">
        <v>79</v>
      </c>
      <c r="AG2731" t="s">
        <v>770</v>
      </c>
    </row>
    <row r="2732" spans="1:33" x14ac:dyDescent="0.35">
      <c r="A2732" s="18">
        <v>44236.440972222219</v>
      </c>
      <c r="B2732">
        <v>3020038</v>
      </c>
      <c r="C2732" t="s">
        <v>5750</v>
      </c>
      <c r="D2732" t="s">
        <v>226</v>
      </c>
      <c r="E2732" s="19">
        <v>40098</v>
      </c>
      <c r="F2732" t="str">
        <f>"9781616689971"</f>
        <v>9781616689971</v>
      </c>
      <c r="G2732" t="str">
        <f>"9781607410034"</f>
        <v>9781607410034</v>
      </c>
      <c r="H2732" t="s">
        <v>1561</v>
      </c>
      <c r="I2732">
        <v>551.41</v>
      </c>
      <c r="J2732" t="s">
        <v>5751</v>
      </c>
      <c r="K2732" t="s">
        <v>73</v>
      </c>
      <c r="N2732" t="s">
        <v>74</v>
      </c>
      <c r="O2732" t="s">
        <v>75</v>
      </c>
      <c r="P2732" t="s">
        <v>230</v>
      </c>
      <c r="Q2732" t="s">
        <v>76</v>
      </c>
      <c r="R2732" t="s">
        <v>85</v>
      </c>
      <c r="S2732">
        <v>0</v>
      </c>
      <c r="W2732" s="20">
        <v>0</v>
      </c>
      <c r="X2732" t="s">
        <v>78</v>
      </c>
      <c r="Y2732">
        <v>0</v>
      </c>
      <c r="Z2732">
        <v>1</v>
      </c>
      <c r="AA2732" t="s">
        <v>5874</v>
      </c>
      <c r="AB2732">
        <v>34</v>
      </c>
      <c r="AC2732" t="s">
        <v>78</v>
      </c>
      <c r="AD2732">
        <v>0</v>
      </c>
      <c r="AE2732">
        <v>10675046</v>
      </c>
      <c r="AF2732" t="s">
        <v>88</v>
      </c>
      <c r="AG2732" t="s">
        <v>5837</v>
      </c>
    </row>
    <row r="2733" spans="1:33" x14ac:dyDescent="0.35">
      <c r="A2733" s="18">
        <v>44236.440972222219</v>
      </c>
      <c r="B2733">
        <v>697805</v>
      </c>
      <c r="C2733" t="s">
        <v>5744</v>
      </c>
      <c r="D2733" t="s">
        <v>70</v>
      </c>
      <c r="E2733" s="19">
        <v>40868</v>
      </c>
      <c r="F2733" t="str">
        <f>"9781444345032"</f>
        <v>9781444345032</v>
      </c>
      <c r="G2733" t="str">
        <f>"9781444338867"</f>
        <v>9781444338867</v>
      </c>
      <c r="H2733" t="s">
        <v>1905</v>
      </c>
      <c r="I2733">
        <v>551.79999999999995</v>
      </c>
      <c r="J2733" t="s">
        <v>5745</v>
      </c>
      <c r="K2733" t="s">
        <v>73</v>
      </c>
      <c r="N2733" t="s">
        <v>74</v>
      </c>
      <c r="O2733" t="s">
        <v>75</v>
      </c>
      <c r="P2733" t="s">
        <v>74</v>
      </c>
      <c r="Q2733" t="s">
        <v>76</v>
      </c>
      <c r="R2733" t="s">
        <v>73</v>
      </c>
      <c r="S2733">
        <v>0</v>
      </c>
      <c r="W2733" s="20">
        <v>0</v>
      </c>
      <c r="X2733" t="s">
        <v>78</v>
      </c>
      <c r="Y2733">
        <v>0</v>
      </c>
      <c r="Z2733">
        <v>3</v>
      </c>
      <c r="AA2733" t="s">
        <v>5875</v>
      </c>
      <c r="AB2733">
        <v>138</v>
      </c>
      <c r="AC2733" t="s">
        <v>78</v>
      </c>
      <c r="AD2733">
        <v>0</v>
      </c>
      <c r="AE2733">
        <v>10515871</v>
      </c>
      <c r="AF2733" t="s">
        <v>88</v>
      </c>
      <c r="AG2733" t="s">
        <v>5837</v>
      </c>
    </row>
    <row r="2734" spans="1:33" x14ac:dyDescent="0.35">
      <c r="A2734" s="18">
        <v>44236.439583333333</v>
      </c>
      <c r="B2734">
        <v>5596906</v>
      </c>
      <c r="C2734" t="s">
        <v>5707</v>
      </c>
      <c r="D2734" t="s">
        <v>3539</v>
      </c>
      <c r="E2734" s="19">
        <v>43425</v>
      </c>
      <c r="F2734" t="str">
        <f>"9789402415582"</f>
        <v>9789402415582</v>
      </c>
      <c r="G2734" t="str">
        <f>"9789402415568"</f>
        <v>9789402415568</v>
      </c>
      <c r="H2734" t="s">
        <v>1561</v>
      </c>
      <c r="I2734">
        <v>551.35500000000002</v>
      </c>
      <c r="J2734" t="s">
        <v>5708</v>
      </c>
      <c r="K2734" t="s">
        <v>85</v>
      </c>
      <c r="Q2734" t="s">
        <v>76</v>
      </c>
      <c r="R2734" t="s">
        <v>73</v>
      </c>
      <c r="S2734">
        <v>0</v>
      </c>
      <c r="W2734" s="20">
        <v>8.1018518518518516E-5</v>
      </c>
      <c r="X2734" t="s">
        <v>5876</v>
      </c>
      <c r="Y2734">
        <v>4</v>
      </c>
      <c r="Z2734">
        <v>0</v>
      </c>
      <c r="AA2734" t="s">
        <v>78</v>
      </c>
      <c r="AB2734">
        <v>0</v>
      </c>
      <c r="AC2734" t="s">
        <v>78</v>
      </c>
      <c r="AD2734">
        <v>0</v>
      </c>
      <c r="AE2734">
        <v>-1</v>
      </c>
      <c r="AF2734" t="s">
        <v>88</v>
      </c>
      <c r="AG2734" t="s">
        <v>5837</v>
      </c>
    </row>
    <row r="2735" spans="1:33" x14ac:dyDescent="0.35">
      <c r="A2735" s="18">
        <v>44236.438888888886</v>
      </c>
      <c r="B2735">
        <v>3338702</v>
      </c>
      <c r="C2735" t="s">
        <v>5877</v>
      </c>
      <c r="D2735" t="s">
        <v>300</v>
      </c>
      <c r="E2735" s="19">
        <v>39213</v>
      </c>
      <c r="F2735" t="str">
        <f>"9780262274845"</f>
        <v>9780262274845</v>
      </c>
      <c r="G2735" t="str">
        <f>"9780262083621"</f>
        <v>9780262083621</v>
      </c>
      <c r="H2735" t="s">
        <v>1905</v>
      </c>
      <c r="I2735" t="s">
        <v>5878</v>
      </c>
      <c r="J2735" t="s">
        <v>5879</v>
      </c>
      <c r="K2735" t="s">
        <v>73</v>
      </c>
      <c r="N2735" t="s">
        <v>74</v>
      </c>
      <c r="O2735" t="s">
        <v>75</v>
      </c>
      <c r="P2735" t="s">
        <v>74</v>
      </c>
      <c r="Q2735" t="s">
        <v>76</v>
      </c>
      <c r="R2735" t="s">
        <v>73</v>
      </c>
      <c r="S2735">
        <v>0</v>
      </c>
      <c r="W2735" s="20">
        <v>0</v>
      </c>
      <c r="X2735" t="s">
        <v>78</v>
      </c>
      <c r="Y2735">
        <v>0</v>
      </c>
      <c r="Z2735">
        <v>2</v>
      </c>
      <c r="AA2735" t="s">
        <v>5880</v>
      </c>
      <c r="AB2735">
        <v>84</v>
      </c>
      <c r="AC2735" t="s">
        <v>78</v>
      </c>
      <c r="AD2735">
        <v>0</v>
      </c>
      <c r="AE2735">
        <v>10190447</v>
      </c>
      <c r="AF2735" t="s">
        <v>88</v>
      </c>
      <c r="AG2735" t="s">
        <v>5837</v>
      </c>
    </row>
    <row r="2736" spans="1:33" x14ac:dyDescent="0.35">
      <c r="A2736" s="18">
        <v>44236.4375</v>
      </c>
      <c r="B2736">
        <v>564751</v>
      </c>
      <c r="C2736" t="s">
        <v>5748</v>
      </c>
      <c r="D2736" t="s">
        <v>127</v>
      </c>
      <c r="E2736" s="19">
        <v>38107</v>
      </c>
      <c r="F2736" t="str">
        <f>"9781444119060"</f>
        <v>9781444119060</v>
      </c>
      <c r="G2736" t="str">
        <f>"9780340764176"</f>
        <v>9780340764176</v>
      </c>
      <c r="H2736" t="s">
        <v>1561</v>
      </c>
      <c r="I2736">
        <v>551.43200000000002</v>
      </c>
      <c r="J2736" t="s">
        <v>5749</v>
      </c>
      <c r="K2736" t="s">
        <v>73</v>
      </c>
      <c r="N2736" t="s">
        <v>74</v>
      </c>
      <c r="O2736" t="s">
        <v>75</v>
      </c>
      <c r="P2736" t="s">
        <v>74</v>
      </c>
      <c r="Q2736" t="s">
        <v>76</v>
      </c>
      <c r="R2736" t="s">
        <v>73</v>
      </c>
      <c r="S2736">
        <v>0</v>
      </c>
      <c r="W2736" s="20">
        <v>0</v>
      </c>
      <c r="X2736" t="s">
        <v>78</v>
      </c>
      <c r="Y2736">
        <v>0</v>
      </c>
      <c r="Z2736">
        <v>2</v>
      </c>
      <c r="AA2736" t="s">
        <v>5881</v>
      </c>
      <c r="AB2736">
        <v>44</v>
      </c>
      <c r="AC2736" t="s">
        <v>78</v>
      </c>
      <c r="AD2736">
        <v>0</v>
      </c>
      <c r="AE2736">
        <v>10400390</v>
      </c>
      <c r="AF2736" t="s">
        <v>79</v>
      </c>
      <c r="AG2736" t="s">
        <v>5837</v>
      </c>
    </row>
    <row r="2737" spans="1:33" x14ac:dyDescent="0.35">
      <c r="A2737" s="18">
        <v>44236.425694444442</v>
      </c>
      <c r="B2737">
        <v>3410604</v>
      </c>
      <c r="C2737" t="s">
        <v>5882</v>
      </c>
      <c r="D2737" t="s">
        <v>5883</v>
      </c>
      <c r="E2737" s="19">
        <v>39448</v>
      </c>
      <c r="F2737" t="str">
        <f>"9781590959480"</f>
        <v>9781590959480</v>
      </c>
      <c r="G2737" t="str">
        <f>"9781590959459"</f>
        <v>9781590959459</v>
      </c>
      <c r="H2737" t="s">
        <v>143</v>
      </c>
      <c r="J2737" t="s">
        <v>5884</v>
      </c>
      <c r="K2737" t="s">
        <v>73</v>
      </c>
      <c r="N2737" t="s">
        <v>74</v>
      </c>
      <c r="O2737" t="s">
        <v>75</v>
      </c>
      <c r="P2737" t="s">
        <v>74</v>
      </c>
      <c r="Q2737" t="s">
        <v>76</v>
      </c>
      <c r="R2737" t="s">
        <v>73</v>
      </c>
      <c r="S2737">
        <v>0</v>
      </c>
      <c r="W2737" s="20">
        <v>1.4467592592592594E-3</v>
      </c>
      <c r="X2737" t="s">
        <v>5885</v>
      </c>
      <c r="Y2737">
        <v>13</v>
      </c>
      <c r="Z2737">
        <v>9</v>
      </c>
      <c r="AA2737" t="s">
        <v>5886</v>
      </c>
      <c r="AB2737">
        <v>151</v>
      </c>
      <c r="AC2737" t="s">
        <v>5887</v>
      </c>
      <c r="AD2737">
        <v>1</v>
      </c>
      <c r="AE2737">
        <v>10212602</v>
      </c>
      <c r="AF2737" t="s">
        <v>79</v>
      </c>
      <c r="AG2737" t="s">
        <v>5760</v>
      </c>
    </row>
    <row r="2738" spans="1:33" x14ac:dyDescent="0.35">
      <c r="A2738" s="18">
        <v>44236.38958333333</v>
      </c>
      <c r="B2738">
        <v>472381</v>
      </c>
      <c r="C2738" t="s">
        <v>3551</v>
      </c>
      <c r="D2738" t="s">
        <v>102</v>
      </c>
      <c r="E2738" s="19">
        <v>40179</v>
      </c>
      <c r="F2738" t="str">
        <f>"9780191572876"</f>
        <v>9780191572876</v>
      </c>
      <c r="G2738" t="str">
        <f>"9780199545728"</f>
        <v>9780199545728</v>
      </c>
      <c r="H2738" t="s">
        <v>3552</v>
      </c>
      <c r="I2738">
        <v>297.08999999999997</v>
      </c>
      <c r="J2738" t="s">
        <v>3553</v>
      </c>
      <c r="K2738" t="s">
        <v>73</v>
      </c>
      <c r="N2738" t="s">
        <v>74</v>
      </c>
      <c r="O2738" t="s">
        <v>75</v>
      </c>
      <c r="P2738" t="s">
        <v>74</v>
      </c>
      <c r="Q2738" t="s">
        <v>76</v>
      </c>
      <c r="R2738" t="s">
        <v>73</v>
      </c>
      <c r="S2738">
        <v>0</v>
      </c>
      <c r="W2738" s="20">
        <v>6.9444444444444444E-5</v>
      </c>
      <c r="X2738" t="s">
        <v>5888</v>
      </c>
      <c r="Y2738">
        <v>2</v>
      </c>
      <c r="Z2738">
        <v>0</v>
      </c>
      <c r="AA2738" t="s">
        <v>78</v>
      </c>
      <c r="AB2738">
        <v>0</v>
      </c>
      <c r="AC2738" t="s">
        <v>78</v>
      </c>
      <c r="AD2738">
        <v>0</v>
      </c>
      <c r="AE2738">
        <v>10358548</v>
      </c>
      <c r="AF2738" t="s">
        <v>88</v>
      </c>
      <c r="AG2738" t="s">
        <v>5278</v>
      </c>
    </row>
    <row r="2739" spans="1:33" x14ac:dyDescent="0.35">
      <c r="A2739" s="18">
        <v>44236.387499999997</v>
      </c>
      <c r="B2739">
        <v>534858</v>
      </c>
      <c r="C2739" t="s">
        <v>3959</v>
      </c>
      <c r="D2739" t="s">
        <v>158</v>
      </c>
      <c r="E2739" s="19">
        <v>40144</v>
      </c>
      <c r="F2739" t="str">
        <f>"9780080931562"</f>
        <v>9780080931562</v>
      </c>
      <c r="G2739" t="str">
        <f>"9780444527851"</f>
        <v>9780444527851</v>
      </c>
      <c r="H2739" t="s">
        <v>159</v>
      </c>
      <c r="I2739">
        <v>665.53</v>
      </c>
      <c r="J2739" t="s">
        <v>3960</v>
      </c>
      <c r="K2739" t="s">
        <v>73</v>
      </c>
      <c r="N2739" t="s">
        <v>74</v>
      </c>
      <c r="O2739" t="s">
        <v>75</v>
      </c>
      <c r="P2739" t="s">
        <v>74</v>
      </c>
      <c r="Q2739" t="s">
        <v>76</v>
      </c>
      <c r="R2739" t="s">
        <v>73</v>
      </c>
      <c r="S2739">
        <v>0</v>
      </c>
      <c r="W2739" s="20">
        <v>2.2499999999999996E-2</v>
      </c>
      <c r="X2739" t="s">
        <v>5889</v>
      </c>
      <c r="Y2739">
        <v>29</v>
      </c>
      <c r="Z2739">
        <v>0</v>
      </c>
      <c r="AA2739" t="s">
        <v>78</v>
      </c>
      <c r="AB2739">
        <v>0</v>
      </c>
      <c r="AC2739" t="s">
        <v>78</v>
      </c>
      <c r="AD2739">
        <v>0</v>
      </c>
      <c r="AE2739">
        <v>10378873</v>
      </c>
      <c r="AF2739" t="s">
        <v>79</v>
      </c>
      <c r="AG2739" t="s">
        <v>4894</v>
      </c>
    </row>
    <row r="2740" spans="1:33" x14ac:dyDescent="0.35">
      <c r="A2740" s="18">
        <v>44235.835416666669</v>
      </c>
      <c r="B2740">
        <v>3338932</v>
      </c>
      <c r="C2740" t="s">
        <v>3491</v>
      </c>
      <c r="D2740" t="s">
        <v>300</v>
      </c>
      <c r="E2740" s="19">
        <v>39675</v>
      </c>
      <c r="F2740" t="str">
        <f>"9780262281393"</f>
        <v>9780262281393</v>
      </c>
      <c r="G2740" t="str">
        <f>"9780262162562"</f>
        <v>9780262162562</v>
      </c>
      <c r="H2740" t="s">
        <v>128</v>
      </c>
      <c r="I2740">
        <v>302.12</v>
      </c>
      <c r="J2740" t="s">
        <v>3492</v>
      </c>
      <c r="K2740" t="s">
        <v>73</v>
      </c>
      <c r="N2740" t="s">
        <v>74</v>
      </c>
      <c r="O2740" t="s">
        <v>75</v>
      </c>
      <c r="P2740" t="s">
        <v>74</v>
      </c>
      <c r="Q2740" t="s">
        <v>76</v>
      </c>
      <c r="R2740" t="s">
        <v>73</v>
      </c>
      <c r="S2740">
        <v>0</v>
      </c>
      <c r="W2740" s="20">
        <v>7.69675925925926E-3</v>
      </c>
      <c r="X2740" t="s">
        <v>5890</v>
      </c>
      <c r="Y2740">
        <v>11</v>
      </c>
      <c r="Z2740">
        <v>0</v>
      </c>
      <c r="AA2740" t="s">
        <v>78</v>
      </c>
      <c r="AB2740">
        <v>0</v>
      </c>
      <c r="AC2740" t="s">
        <v>78</v>
      </c>
      <c r="AD2740">
        <v>0</v>
      </c>
      <c r="AE2740">
        <v>10251667</v>
      </c>
      <c r="AF2740" t="s">
        <v>79</v>
      </c>
      <c r="AG2740" t="s">
        <v>515</v>
      </c>
    </row>
    <row r="2741" spans="1:33" x14ac:dyDescent="0.35">
      <c r="A2741" s="18">
        <v>44235.658333333333</v>
      </c>
      <c r="B2741">
        <v>3338932</v>
      </c>
      <c r="C2741" t="s">
        <v>3491</v>
      </c>
      <c r="D2741" t="s">
        <v>300</v>
      </c>
      <c r="E2741" s="19">
        <v>39675</v>
      </c>
      <c r="F2741" t="str">
        <f>"9780262281393"</f>
        <v>9780262281393</v>
      </c>
      <c r="G2741" t="str">
        <f>"9780262162562"</f>
        <v>9780262162562</v>
      </c>
      <c r="H2741" t="s">
        <v>128</v>
      </c>
      <c r="I2741">
        <v>302.12</v>
      </c>
      <c r="J2741" t="s">
        <v>3492</v>
      </c>
      <c r="K2741" t="s">
        <v>73</v>
      </c>
      <c r="N2741" t="s">
        <v>74</v>
      </c>
      <c r="O2741" t="s">
        <v>75</v>
      </c>
      <c r="P2741" t="s">
        <v>74</v>
      </c>
      <c r="Q2741" t="s">
        <v>76</v>
      </c>
      <c r="R2741" t="s">
        <v>73</v>
      </c>
      <c r="S2741">
        <v>0</v>
      </c>
      <c r="W2741" s="20">
        <v>8.5671296296296287E-2</v>
      </c>
      <c r="X2741" t="s">
        <v>5891</v>
      </c>
      <c r="Y2741">
        <v>72</v>
      </c>
      <c r="Z2741">
        <v>0</v>
      </c>
      <c r="AA2741" t="s">
        <v>78</v>
      </c>
      <c r="AB2741">
        <v>0</v>
      </c>
      <c r="AC2741" t="s">
        <v>78</v>
      </c>
      <c r="AD2741">
        <v>0</v>
      </c>
      <c r="AE2741">
        <v>10251667</v>
      </c>
      <c r="AF2741" t="s">
        <v>79</v>
      </c>
      <c r="AG2741" t="s">
        <v>515</v>
      </c>
    </row>
    <row r="2742" spans="1:33" x14ac:dyDescent="0.35">
      <c r="A2742" s="18">
        <v>44235.617361111108</v>
      </c>
      <c r="B2742">
        <v>472381</v>
      </c>
      <c r="C2742" t="s">
        <v>3551</v>
      </c>
      <c r="D2742" t="s">
        <v>102</v>
      </c>
      <c r="E2742" s="19">
        <v>40179</v>
      </c>
      <c r="F2742" t="str">
        <f>"9780191572876"</f>
        <v>9780191572876</v>
      </c>
      <c r="G2742" t="str">
        <f>"9780199545728"</f>
        <v>9780199545728</v>
      </c>
      <c r="H2742" t="s">
        <v>3552</v>
      </c>
      <c r="I2742">
        <v>297.08999999999997</v>
      </c>
      <c r="J2742" t="s">
        <v>3553</v>
      </c>
      <c r="K2742" t="s">
        <v>73</v>
      </c>
      <c r="N2742" t="s">
        <v>74</v>
      </c>
      <c r="O2742" t="s">
        <v>75</v>
      </c>
      <c r="P2742" t="s">
        <v>74</v>
      </c>
      <c r="Q2742" t="s">
        <v>76</v>
      </c>
      <c r="R2742" t="s">
        <v>73</v>
      </c>
      <c r="S2742">
        <v>0</v>
      </c>
      <c r="W2742" s="20">
        <v>4.8842592592592592E-3</v>
      </c>
      <c r="X2742" t="s">
        <v>5892</v>
      </c>
      <c r="Y2742">
        <v>13</v>
      </c>
      <c r="Z2742">
        <v>0</v>
      </c>
      <c r="AA2742" t="s">
        <v>78</v>
      </c>
      <c r="AB2742">
        <v>0</v>
      </c>
      <c r="AC2742" t="s">
        <v>78</v>
      </c>
      <c r="AD2742">
        <v>0</v>
      </c>
      <c r="AE2742">
        <v>10358548</v>
      </c>
      <c r="AF2742" t="s">
        <v>88</v>
      </c>
      <c r="AG2742" t="s">
        <v>5278</v>
      </c>
    </row>
    <row r="2743" spans="1:33" x14ac:dyDescent="0.35">
      <c r="A2743" s="18">
        <v>44235.615277777775</v>
      </c>
      <c r="B2743">
        <v>1481143</v>
      </c>
      <c r="C2743" t="s">
        <v>5494</v>
      </c>
      <c r="D2743" t="s">
        <v>506</v>
      </c>
      <c r="E2743" s="19">
        <v>41557</v>
      </c>
      <c r="F2743" t="str">
        <f>"9789004255258"</f>
        <v>9789004255258</v>
      </c>
      <c r="G2743" t="str">
        <f>"9789004225169"</f>
        <v>9789004225169</v>
      </c>
      <c r="H2743" t="s">
        <v>128</v>
      </c>
      <c r="I2743">
        <v>305.40956109033999</v>
      </c>
      <c r="J2743" t="s">
        <v>5495</v>
      </c>
      <c r="K2743" t="s">
        <v>73</v>
      </c>
      <c r="N2743" t="s">
        <v>74</v>
      </c>
      <c r="O2743" t="s">
        <v>75</v>
      </c>
      <c r="P2743" t="s">
        <v>74</v>
      </c>
      <c r="Q2743" t="s">
        <v>76</v>
      </c>
      <c r="R2743" t="s">
        <v>73</v>
      </c>
      <c r="S2743">
        <v>0</v>
      </c>
      <c r="W2743" s="20">
        <v>5.2199074074074066E-3</v>
      </c>
      <c r="X2743" t="s">
        <v>5893</v>
      </c>
      <c r="Y2743">
        <v>13</v>
      </c>
      <c r="Z2743">
        <v>0</v>
      </c>
      <c r="AA2743" t="s">
        <v>78</v>
      </c>
      <c r="AB2743">
        <v>0</v>
      </c>
      <c r="AC2743" t="s">
        <v>78</v>
      </c>
      <c r="AD2743">
        <v>0</v>
      </c>
      <c r="AE2743">
        <v>10783951</v>
      </c>
      <c r="AF2743" t="s">
        <v>79</v>
      </c>
      <c r="AG2743" t="s">
        <v>4894</v>
      </c>
    </row>
    <row r="2744" spans="1:33" x14ac:dyDescent="0.35">
      <c r="A2744" s="18">
        <v>44235.606249999997</v>
      </c>
      <c r="B2744">
        <v>3338932</v>
      </c>
      <c r="C2744" t="s">
        <v>3491</v>
      </c>
      <c r="D2744" t="s">
        <v>300</v>
      </c>
      <c r="E2744" s="19">
        <v>39675</v>
      </c>
      <c r="F2744" t="str">
        <f>"9780262281393"</f>
        <v>9780262281393</v>
      </c>
      <c r="G2744" t="str">
        <f>"9780262162562"</f>
        <v>9780262162562</v>
      </c>
      <c r="H2744" t="s">
        <v>128</v>
      </c>
      <c r="I2744">
        <v>302.12</v>
      </c>
      <c r="J2744" t="s">
        <v>3492</v>
      </c>
      <c r="K2744" t="s">
        <v>73</v>
      </c>
      <c r="N2744" t="s">
        <v>74</v>
      </c>
      <c r="O2744" t="s">
        <v>75</v>
      </c>
      <c r="P2744" t="s">
        <v>74</v>
      </c>
      <c r="Q2744" t="s">
        <v>76</v>
      </c>
      <c r="R2744" t="s">
        <v>73</v>
      </c>
      <c r="S2744">
        <v>0</v>
      </c>
      <c r="W2744" s="20">
        <v>1.375E-2</v>
      </c>
      <c r="X2744" t="s">
        <v>5894</v>
      </c>
      <c r="Y2744">
        <v>10</v>
      </c>
      <c r="Z2744">
        <v>0</v>
      </c>
      <c r="AA2744" t="s">
        <v>78</v>
      </c>
      <c r="AB2744">
        <v>0</v>
      </c>
      <c r="AC2744" t="s">
        <v>78</v>
      </c>
      <c r="AD2744">
        <v>0</v>
      </c>
      <c r="AE2744">
        <v>10251667</v>
      </c>
      <c r="AF2744" t="s">
        <v>79</v>
      </c>
      <c r="AG2744" t="s">
        <v>515</v>
      </c>
    </row>
    <row r="2745" spans="1:33" x14ac:dyDescent="0.35">
      <c r="A2745" s="18">
        <v>44235.570138888892</v>
      </c>
      <c r="B2745">
        <v>3338932</v>
      </c>
      <c r="C2745" t="s">
        <v>3491</v>
      </c>
      <c r="D2745" t="s">
        <v>300</v>
      </c>
      <c r="E2745" s="19">
        <v>39675</v>
      </c>
      <c r="F2745" t="str">
        <f>"9780262281393"</f>
        <v>9780262281393</v>
      </c>
      <c r="G2745" t="str">
        <f>"9780262162562"</f>
        <v>9780262162562</v>
      </c>
      <c r="H2745" t="s">
        <v>128</v>
      </c>
      <c r="I2745">
        <v>302.12</v>
      </c>
      <c r="J2745" t="s">
        <v>3492</v>
      </c>
      <c r="K2745" t="s">
        <v>73</v>
      </c>
      <c r="N2745" t="s">
        <v>74</v>
      </c>
      <c r="O2745" t="s">
        <v>75</v>
      </c>
      <c r="P2745" t="s">
        <v>74</v>
      </c>
      <c r="Q2745" t="s">
        <v>76</v>
      </c>
      <c r="R2745" t="s">
        <v>73</v>
      </c>
      <c r="S2745">
        <v>0</v>
      </c>
      <c r="W2745" s="20">
        <v>1.1342592592592592E-2</v>
      </c>
      <c r="X2745" t="s">
        <v>5895</v>
      </c>
      <c r="Y2745">
        <v>28</v>
      </c>
      <c r="Z2745">
        <v>0</v>
      </c>
      <c r="AA2745" t="s">
        <v>78</v>
      </c>
      <c r="AB2745">
        <v>0</v>
      </c>
      <c r="AC2745" t="s">
        <v>78</v>
      </c>
      <c r="AD2745">
        <v>0</v>
      </c>
      <c r="AE2745">
        <v>10251667</v>
      </c>
      <c r="AF2745" t="s">
        <v>79</v>
      </c>
      <c r="AG2745" t="s">
        <v>515</v>
      </c>
    </row>
    <row r="2746" spans="1:33" x14ac:dyDescent="0.35">
      <c r="A2746" s="18">
        <v>44235.56527777778</v>
      </c>
      <c r="B2746">
        <v>767121</v>
      </c>
      <c r="C2746" t="s">
        <v>5896</v>
      </c>
      <c r="D2746" t="s">
        <v>314</v>
      </c>
      <c r="E2746" s="19">
        <v>40755</v>
      </c>
      <c r="F2746" t="str">
        <f>"9780748647569"</f>
        <v>9780748647569</v>
      </c>
      <c r="G2746" t="str">
        <f>"9780748639878"</f>
        <v>9780748639878</v>
      </c>
      <c r="H2746" t="s">
        <v>557</v>
      </c>
      <c r="I2746">
        <v>297.27199999999999</v>
      </c>
      <c r="J2746" t="s">
        <v>5897</v>
      </c>
      <c r="K2746" t="s">
        <v>73</v>
      </c>
      <c r="N2746" t="s">
        <v>74</v>
      </c>
      <c r="O2746" t="s">
        <v>75</v>
      </c>
      <c r="P2746" t="s">
        <v>74</v>
      </c>
      <c r="Q2746" t="s">
        <v>76</v>
      </c>
      <c r="R2746" t="s">
        <v>73</v>
      </c>
      <c r="S2746">
        <v>0</v>
      </c>
      <c r="W2746" s="20">
        <v>3.4722222222222222E-5</v>
      </c>
      <c r="X2746" t="s">
        <v>132</v>
      </c>
      <c r="Y2746">
        <v>1</v>
      </c>
      <c r="Z2746">
        <v>0</v>
      </c>
      <c r="AA2746" t="s">
        <v>78</v>
      </c>
      <c r="AB2746">
        <v>0</v>
      </c>
      <c r="AC2746" t="s">
        <v>78</v>
      </c>
      <c r="AD2746">
        <v>0</v>
      </c>
      <c r="AE2746">
        <v>10496770</v>
      </c>
      <c r="AF2746" t="s">
        <v>88</v>
      </c>
      <c r="AG2746" t="s">
        <v>5278</v>
      </c>
    </row>
    <row r="2747" spans="1:33" x14ac:dyDescent="0.35">
      <c r="A2747" s="18">
        <v>44235.563194444447</v>
      </c>
      <c r="B2747">
        <v>1962254</v>
      </c>
      <c r="C2747" t="s">
        <v>831</v>
      </c>
      <c r="D2747" t="s">
        <v>314</v>
      </c>
      <c r="E2747" s="19">
        <v>40289</v>
      </c>
      <c r="F2747" t="str">
        <f>"9780748642199"</f>
        <v>9780748642199</v>
      </c>
      <c r="G2747" t="str">
        <f>"9780748637386"</f>
        <v>9780748637386</v>
      </c>
      <c r="H2747" t="s">
        <v>308</v>
      </c>
      <c r="I2747">
        <v>297.08999999999997</v>
      </c>
      <c r="J2747" t="s">
        <v>832</v>
      </c>
      <c r="K2747" t="s">
        <v>73</v>
      </c>
      <c r="N2747" t="s">
        <v>74</v>
      </c>
      <c r="O2747" t="s">
        <v>75</v>
      </c>
      <c r="P2747" t="s">
        <v>74</v>
      </c>
      <c r="Q2747" t="s">
        <v>76</v>
      </c>
      <c r="R2747" t="s">
        <v>73</v>
      </c>
      <c r="S2747">
        <v>0</v>
      </c>
      <c r="W2747" s="20">
        <v>6.2500000000000001E-4</v>
      </c>
      <c r="X2747" t="s">
        <v>5898</v>
      </c>
      <c r="Y2747">
        <v>6</v>
      </c>
      <c r="Z2747">
        <v>0</v>
      </c>
      <c r="AA2747" t="s">
        <v>78</v>
      </c>
      <c r="AB2747">
        <v>0</v>
      </c>
      <c r="AC2747" t="s">
        <v>78</v>
      </c>
      <c r="AD2747">
        <v>0</v>
      </c>
      <c r="AE2747">
        <v>10433750</v>
      </c>
      <c r="AF2747" t="s">
        <v>88</v>
      </c>
      <c r="AG2747" t="s">
        <v>5278</v>
      </c>
    </row>
    <row r="2748" spans="1:33" x14ac:dyDescent="0.35">
      <c r="A2748" s="18">
        <v>44235.556250000001</v>
      </c>
      <c r="B2748">
        <v>472381</v>
      </c>
      <c r="C2748" t="s">
        <v>3551</v>
      </c>
      <c r="D2748" t="s">
        <v>102</v>
      </c>
      <c r="E2748" s="19">
        <v>40179</v>
      </c>
      <c r="F2748" t="str">
        <f>"9780191572876"</f>
        <v>9780191572876</v>
      </c>
      <c r="G2748" t="str">
        <f>"9780199545728"</f>
        <v>9780199545728</v>
      </c>
      <c r="H2748" t="s">
        <v>3552</v>
      </c>
      <c r="I2748">
        <v>297.08999999999997</v>
      </c>
      <c r="J2748" t="s">
        <v>3553</v>
      </c>
      <c r="K2748" t="s">
        <v>73</v>
      </c>
      <c r="N2748" t="s">
        <v>74</v>
      </c>
      <c r="O2748" t="s">
        <v>75</v>
      </c>
      <c r="P2748" t="s">
        <v>74</v>
      </c>
      <c r="Q2748" t="s">
        <v>76</v>
      </c>
      <c r="R2748" t="s">
        <v>73</v>
      </c>
      <c r="S2748">
        <v>0</v>
      </c>
      <c r="W2748" s="20">
        <v>2.0833333333333333E-3</v>
      </c>
      <c r="X2748" t="s">
        <v>5899</v>
      </c>
      <c r="Y2748">
        <v>15</v>
      </c>
      <c r="Z2748">
        <v>0</v>
      </c>
      <c r="AA2748" t="s">
        <v>78</v>
      </c>
      <c r="AB2748">
        <v>0</v>
      </c>
      <c r="AC2748" t="s">
        <v>78</v>
      </c>
      <c r="AD2748">
        <v>0</v>
      </c>
      <c r="AE2748">
        <v>10358548</v>
      </c>
      <c r="AF2748" t="s">
        <v>88</v>
      </c>
      <c r="AG2748" t="s">
        <v>5278</v>
      </c>
    </row>
    <row r="2749" spans="1:33" x14ac:dyDescent="0.35">
      <c r="A2749" s="18">
        <v>44235.521527777775</v>
      </c>
      <c r="B2749">
        <v>676505</v>
      </c>
      <c r="C2749" t="s">
        <v>5805</v>
      </c>
      <c r="D2749" t="s">
        <v>683</v>
      </c>
      <c r="E2749" s="19">
        <v>38879</v>
      </c>
      <c r="F2749" t="str">
        <f>"9780857710505"</f>
        <v>9780857710505</v>
      </c>
      <c r="G2749" t="str">
        <f>"9781850437680"</f>
        <v>9781850437680</v>
      </c>
      <c r="H2749" t="s">
        <v>5806</v>
      </c>
      <c r="I2749">
        <v>398.22095300000001</v>
      </c>
      <c r="J2749" t="s">
        <v>5807</v>
      </c>
      <c r="K2749" t="s">
        <v>85</v>
      </c>
      <c r="N2749" t="s">
        <v>86</v>
      </c>
      <c r="P2749" t="s">
        <v>87</v>
      </c>
      <c r="Q2749" t="s">
        <v>76</v>
      </c>
      <c r="R2749" t="s">
        <v>73</v>
      </c>
      <c r="S2749">
        <v>1</v>
      </c>
      <c r="T2749">
        <v>45</v>
      </c>
      <c r="U2749" s="18">
        <v>44235.521527777775</v>
      </c>
      <c r="V2749" s="18">
        <v>44280.521527777775</v>
      </c>
      <c r="W2749" s="20">
        <v>6.5972222222222213E-4</v>
      </c>
      <c r="X2749" t="s">
        <v>5900</v>
      </c>
      <c r="Y2749">
        <v>11</v>
      </c>
      <c r="Z2749">
        <v>0</v>
      </c>
      <c r="AA2749" t="s">
        <v>78</v>
      </c>
      <c r="AB2749">
        <v>0</v>
      </c>
      <c r="AC2749" t="s">
        <v>78</v>
      </c>
      <c r="AD2749">
        <v>0</v>
      </c>
      <c r="AE2749">
        <v>10156491</v>
      </c>
      <c r="AF2749" t="s">
        <v>88</v>
      </c>
      <c r="AG2749" t="s">
        <v>5901</v>
      </c>
    </row>
    <row r="2750" spans="1:33" x14ac:dyDescent="0.35">
      <c r="A2750" s="18">
        <v>44235.520833333336</v>
      </c>
      <c r="B2750">
        <v>1644363</v>
      </c>
      <c r="C2750" t="s">
        <v>5902</v>
      </c>
      <c r="D2750" t="s">
        <v>1460</v>
      </c>
      <c r="E2750" s="19">
        <v>41883</v>
      </c>
      <c r="F2750" t="str">
        <f>"9781782384120"</f>
        <v>9781782384120</v>
      </c>
      <c r="G2750" t="str">
        <f>"9781782384113"</f>
        <v>9781782384113</v>
      </c>
      <c r="H2750" t="s">
        <v>128</v>
      </c>
      <c r="I2750">
        <v>305.409561</v>
      </c>
      <c r="J2750" t="s">
        <v>5903</v>
      </c>
      <c r="K2750" t="s">
        <v>73</v>
      </c>
      <c r="N2750" t="s">
        <v>74</v>
      </c>
      <c r="O2750" t="s">
        <v>75</v>
      </c>
      <c r="P2750" t="s">
        <v>230</v>
      </c>
      <c r="Q2750" t="s">
        <v>76</v>
      </c>
      <c r="R2750" t="s">
        <v>85</v>
      </c>
      <c r="S2750">
        <v>0</v>
      </c>
      <c r="W2750" s="20">
        <v>5.7870370370370366E-5</v>
      </c>
      <c r="X2750" t="s">
        <v>132</v>
      </c>
      <c r="Y2750">
        <v>1</v>
      </c>
      <c r="Z2750">
        <v>0</v>
      </c>
      <c r="AA2750" t="s">
        <v>78</v>
      </c>
      <c r="AB2750">
        <v>0</v>
      </c>
      <c r="AC2750" t="s">
        <v>78</v>
      </c>
      <c r="AD2750">
        <v>0</v>
      </c>
      <c r="AE2750">
        <v>10934954</v>
      </c>
      <c r="AF2750" t="s">
        <v>79</v>
      </c>
      <c r="AG2750" t="s">
        <v>4894</v>
      </c>
    </row>
    <row r="2751" spans="1:33" x14ac:dyDescent="0.35">
      <c r="A2751" s="18">
        <v>44235.518055555556</v>
      </c>
      <c r="B2751">
        <v>1481143</v>
      </c>
      <c r="C2751" t="s">
        <v>5494</v>
      </c>
      <c r="D2751" t="s">
        <v>506</v>
      </c>
      <c r="E2751" s="19">
        <v>41557</v>
      </c>
      <c r="F2751" t="str">
        <f>"9789004255258"</f>
        <v>9789004255258</v>
      </c>
      <c r="G2751" t="str">
        <f>"9789004225169"</f>
        <v>9789004225169</v>
      </c>
      <c r="H2751" t="s">
        <v>128</v>
      </c>
      <c r="I2751">
        <v>305.40956109033999</v>
      </c>
      <c r="J2751" t="s">
        <v>5495</v>
      </c>
      <c r="K2751" t="s">
        <v>73</v>
      </c>
      <c r="N2751" t="s">
        <v>74</v>
      </c>
      <c r="O2751" t="s">
        <v>75</v>
      </c>
      <c r="P2751" t="s">
        <v>74</v>
      </c>
      <c r="Q2751" t="s">
        <v>76</v>
      </c>
      <c r="R2751" t="s">
        <v>73</v>
      </c>
      <c r="S2751">
        <v>0</v>
      </c>
      <c r="W2751" s="20">
        <v>2.7083333333333334E-3</v>
      </c>
      <c r="X2751" t="s">
        <v>5904</v>
      </c>
      <c r="Y2751">
        <v>11</v>
      </c>
      <c r="Z2751">
        <v>0</v>
      </c>
      <c r="AA2751" t="s">
        <v>78</v>
      </c>
      <c r="AB2751">
        <v>0</v>
      </c>
      <c r="AC2751" t="s">
        <v>5160</v>
      </c>
      <c r="AD2751">
        <v>1</v>
      </c>
      <c r="AE2751">
        <v>10783951</v>
      </c>
      <c r="AF2751" t="s">
        <v>79</v>
      </c>
      <c r="AG2751" t="s">
        <v>4894</v>
      </c>
    </row>
    <row r="2752" spans="1:33" x14ac:dyDescent="0.35">
      <c r="A2752" s="18">
        <v>44235.477083333331</v>
      </c>
      <c r="B2752">
        <v>5596906</v>
      </c>
      <c r="C2752" t="s">
        <v>5707</v>
      </c>
      <c r="D2752" t="s">
        <v>3539</v>
      </c>
      <c r="E2752" s="19">
        <v>43425</v>
      </c>
      <c r="F2752" t="str">
        <f>"9789402415582"</f>
        <v>9789402415582</v>
      </c>
      <c r="G2752" t="str">
        <f>"9789402415568"</f>
        <v>9789402415568</v>
      </c>
      <c r="H2752" t="s">
        <v>1561</v>
      </c>
      <c r="I2752">
        <v>551.35500000000002</v>
      </c>
      <c r="J2752" t="s">
        <v>5708</v>
      </c>
      <c r="K2752" t="s">
        <v>85</v>
      </c>
      <c r="Q2752" t="s">
        <v>76</v>
      </c>
      <c r="R2752" t="s">
        <v>73</v>
      </c>
      <c r="S2752">
        <v>0</v>
      </c>
      <c r="W2752" s="20">
        <v>2.1064814814814813E-3</v>
      </c>
      <c r="X2752" t="s">
        <v>5905</v>
      </c>
      <c r="Y2752">
        <v>10</v>
      </c>
      <c r="Z2752">
        <v>0</v>
      </c>
      <c r="AA2752" t="s">
        <v>78</v>
      </c>
      <c r="AB2752">
        <v>0</v>
      </c>
      <c r="AC2752" t="s">
        <v>78</v>
      </c>
      <c r="AD2752">
        <v>0</v>
      </c>
      <c r="AE2752">
        <v>-1</v>
      </c>
      <c r="AF2752" t="s">
        <v>88</v>
      </c>
      <c r="AG2752" t="s">
        <v>5837</v>
      </c>
    </row>
    <row r="2753" spans="1:33" x14ac:dyDescent="0.35">
      <c r="A2753" s="18">
        <v>44235.476388888892</v>
      </c>
      <c r="B2753">
        <v>1204633</v>
      </c>
      <c r="C2753" t="s">
        <v>1560</v>
      </c>
      <c r="D2753" t="s">
        <v>70</v>
      </c>
      <c r="E2753" s="19">
        <v>41512</v>
      </c>
      <c r="F2753" t="str">
        <f>"9781118450444"</f>
        <v>9781118450444</v>
      </c>
      <c r="G2753" t="str">
        <f>"9780470673768"</f>
        <v>9780470673768</v>
      </c>
      <c r="H2753" t="s">
        <v>1561</v>
      </c>
      <c r="I2753">
        <v>552.5</v>
      </c>
      <c r="J2753" t="s">
        <v>1562</v>
      </c>
      <c r="K2753" t="s">
        <v>73</v>
      </c>
      <c r="N2753" t="s">
        <v>74</v>
      </c>
      <c r="O2753" t="s">
        <v>75</v>
      </c>
      <c r="P2753" t="s">
        <v>74</v>
      </c>
      <c r="Q2753" t="s">
        <v>76</v>
      </c>
      <c r="R2753" t="s">
        <v>73</v>
      </c>
      <c r="S2753">
        <v>0</v>
      </c>
      <c r="W2753" s="20">
        <v>3.1250000000000001E-4</v>
      </c>
      <c r="X2753" t="s">
        <v>5906</v>
      </c>
      <c r="Y2753">
        <v>5</v>
      </c>
      <c r="Z2753">
        <v>0</v>
      </c>
      <c r="AA2753" t="s">
        <v>78</v>
      </c>
      <c r="AB2753">
        <v>0</v>
      </c>
      <c r="AC2753" t="s">
        <v>78</v>
      </c>
      <c r="AD2753">
        <v>0</v>
      </c>
      <c r="AE2753">
        <v>10713576</v>
      </c>
      <c r="AF2753" t="s">
        <v>88</v>
      </c>
      <c r="AG2753" t="s">
        <v>5837</v>
      </c>
    </row>
    <row r="2754" spans="1:33" x14ac:dyDescent="0.35">
      <c r="A2754" s="18">
        <v>44235.476388888892</v>
      </c>
      <c r="B2754">
        <v>3339142</v>
      </c>
      <c r="C2754" t="s">
        <v>1890</v>
      </c>
      <c r="D2754" t="s">
        <v>300</v>
      </c>
      <c r="E2754" s="19">
        <v>40025</v>
      </c>
      <c r="F2754" t="str">
        <f>"9780262270830"</f>
        <v>9780262270830</v>
      </c>
      <c r="G2754" t="str">
        <f>"9780262533058"</f>
        <v>9780262533058</v>
      </c>
      <c r="H2754" t="s">
        <v>110</v>
      </c>
      <c r="I2754">
        <v>5.0999999999999996</v>
      </c>
      <c r="J2754" t="s">
        <v>1891</v>
      </c>
      <c r="K2754" t="s">
        <v>73</v>
      </c>
      <c r="N2754" t="s">
        <v>74</v>
      </c>
      <c r="O2754" t="s">
        <v>75</v>
      </c>
      <c r="P2754" t="s">
        <v>74</v>
      </c>
      <c r="Q2754" t="s">
        <v>76</v>
      </c>
      <c r="R2754" t="s">
        <v>73</v>
      </c>
      <c r="S2754">
        <v>0</v>
      </c>
      <c r="W2754" s="20">
        <v>2.2592592592592591E-2</v>
      </c>
      <c r="X2754" t="s">
        <v>5907</v>
      </c>
      <c r="Y2754">
        <v>18</v>
      </c>
      <c r="Z2754">
        <v>0</v>
      </c>
      <c r="AA2754" t="s">
        <v>78</v>
      </c>
      <c r="AB2754">
        <v>0</v>
      </c>
      <c r="AC2754" t="s">
        <v>78</v>
      </c>
      <c r="AD2754">
        <v>0</v>
      </c>
      <c r="AE2754">
        <v>10397652</v>
      </c>
      <c r="AF2754" t="s">
        <v>88</v>
      </c>
      <c r="AG2754" t="s">
        <v>5829</v>
      </c>
    </row>
    <row r="2755" spans="1:33" x14ac:dyDescent="0.35">
      <c r="A2755" s="18">
        <v>44235.476388888892</v>
      </c>
      <c r="B2755">
        <v>312765</v>
      </c>
      <c r="C2755" t="s">
        <v>5754</v>
      </c>
      <c r="D2755" t="s">
        <v>158</v>
      </c>
      <c r="E2755" s="19">
        <v>36670</v>
      </c>
      <c r="F2755" t="str">
        <f>"9780080527475"</f>
        <v>9780080527475</v>
      </c>
      <c r="G2755" t="str">
        <f>"9780126363753"</f>
        <v>9780126363753</v>
      </c>
      <c r="H2755" t="s">
        <v>1905</v>
      </c>
      <c r="I2755">
        <v>552.5</v>
      </c>
      <c r="J2755" t="s">
        <v>5755</v>
      </c>
      <c r="K2755" t="s">
        <v>85</v>
      </c>
      <c r="N2755" t="s">
        <v>86</v>
      </c>
      <c r="P2755" t="s">
        <v>87</v>
      </c>
      <c r="Q2755" t="s">
        <v>76</v>
      </c>
      <c r="R2755" t="s">
        <v>73</v>
      </c>
      <c r="S2755">
        <v>0</v>
      </c>
      <c r="W2755" s="20">
        <v>3.4722222222222222E-5</v>
      </c>
      <c r="X2755" t="s">
        <v>132</v>
      </c>
      <c r="Y2755">
        <v>1</v>
      </c>
      <c r="Z2755">
        <v>0</v>
      </c>
      <c r="AA2755" t="s">
        <v>78</v>
      </c>
      <c r="AB2755">
        <v>0</v>
      </c>
      <c r="AC2755" t="s">
        <v>78</v>
      </c>
      <c r="AD2755">
        <v>0</v>
      </c>
      <c r="AE2755">
        <v>10190220</v>
      </c>
      <c r="AF2755" t="s">
        <v>88</v>
      </c>
      <c r="AG2755" t="s">
        <v>5837</v>
      </c>
    </row>
    <row r="2756" spans="1:33" x14ac:dyDescent="0.35">
      <c r="A2756" s="18">
        <v>44235.476388888892</v>
      </c>
      <c r="B2756">
        <v>583642</v>
      </c>
      <c r="C2756" t="s">
        <v>2337</v>
      </c>
      <c r="D2756" t="s">
        <v>205</v>
      </c>
      <c r="E2756" s="19">
        <v>40210</v>
      </c>
      <c r="F2756" t="str">
        <f>"9781596930902"</f>
        <v>9781596930902</v>
      </c>
      <c r="G2756" t="str">
        <f>"9781596930896"</f>
        <v>9781596930896</v>
      </c>
      <c r="H2756" t="s">
        <v>2338</v>
      </c>
      <c r="I2756">
        <v>621.38482999999997</v>
      </c>
      <c r="J2756" t="s">
        <v>2339</v>
      </c>
      <c r="K2756" t="s">
        <v>73</v>
      </c>
      <c r="N2756" t="s">
        <v>74</v>
      </c>
      <c r="O2756" t="s">
        <v>75</v>
      </c>
      <c r="P2756" t="s">
        <v>74</v>
      </c>
      <c r="Q2756" t="s">
        <v>76</v>
      </c>
      <c r="R2756" t="s">
        <v>73</v>
      </c>
      <c r="S2756">
        <v>0</v>
      </c>
      <c r="W2756" s="20">
        <v>4.6296296296296294E-5</v>
      </c>
      <c r="X2756" t="s">
        <v>132</v>
      </c>
      <c r="Y2756">
        <v>1</v>
      </c>
      <c r="Z2756">
        <v>0</v>
      </c>
      <c r="AA2756" t="s">
        <v>78</v>
      </c>
      <c r="AB2756">
        <v>0</v>
      </c>
      <c r="AC2756" t="s">
        <v>78</v>
      </c>
      <c r="AD2756">
        <v>0</v>
      </c>
      <c r="AE2756">
        <v>10393271</v>
      </c>
      <c r="AF2756" t="s">
        <v>79</v>
      </c>
      <c r="AG2756" t="s">
        <v>5829</v>
      </c>
    </row>
    <row r="2757" spans="1:33" x14ac:dyDescent="0.35">
      <c r="A2757" s="18">
        <v>44235.475694444445</v>
      </c>
      <c r="B2757">
        <v>451910</v>
      </c>
      <c r="C2757" t="s">
        <v>5756</v>
      </c>
      <c r="D2757" t="s">
        <v>538</v>
      </c>
      <c r="E2757" s="19">
        <v>39996</v>
      </c>
      <c r="F2757" t="str">
        <f>"9780511593277"</f>
        <v>9780511593277</v>
      </c>
      <c r="G2757" t="str">
        <f>"9780521878128"</f>
        <v>9780521878128</v>
      </c>
      <c r="H2757" t="s">
        <v>1561</v>
      </c>
      <c r="I2757">
        <v>551.41</v>
      </c>
      <c r="J2757" t="s">
        <v>5757</v>
      </c>
      <c r="K2757" t="s">
        <v>73</v>
      </c>
      <c r="N2757" t="s">
        <v>74</v>
      </c>
      <c r="O2757" t="s">
        <v>75</v>
      </c>
      <c r="P2757" t="s">
        <v>74</v>
      </c>
      <c r="Q2757" t="s">
        <v>76</v>
      </c>
      <c r="R2757" t="s">
        <v>73</v>
      </c>
      <c r="S2757">
        <v>0</v>
      </c>
      <c r="W2757" s="20">
        <v>3.4722222222222224E-4</v>
      </c>
      <c r="X2757" t="s">
        <v>5908</v>
      </c>
      <c r="Y2757">
        <v>3</v>
      </c>
      <c r="Z2757">
        <v>1</v>
      </c>
      <c r="AA2757" t="s">
        <v>5909</v>
      </c>
      <c r="AB2757">
        <v>43</v>
      </c>
      <c r="AC2757" t="s">
        <v>78</v>
      </c>
      <c r="AD2757">
        <v>0</v>
      </c>
      <c r="AE2757">
        <v>10329791</v>
      </c>
      <c r="AF2757" t="s">
        <v>88</v>
      </c>
      <c r="AG2757" t="s">
        <v>5837</v>
      </c>
    </row>
    <row r="2758" spans="1:33" x14ac:dyDescent="0.35">
      <c r="A2758" s="18">
        <v>44235.470833333333</v>
      </c>
      <c r="B2758">
        <v>272443</v>
      </c>
      <c r="C2758" t="s">
        <v>5910</v>
      </c>
      <c r="D2758" t="s">
        <v>102</v>
      </c>
      <c r="E2758" s="19">
        <v>37770</v>
      </c>
      <c r="F2758" t="str">
        <f>"9780195350890"</f>
        <v>9780195350890</v>
      </c>
      <c r="G2758" t="str">
        <f>"9780195133530"</f>
        <v>9780195133530</v>
      </c>
      <c r="H2758" t="s">
        <v>1561</v>
      </c>
      <c r="I2758">
        <v>551.48</v>
      </c>
      <c r="J2758" t="s">
        <v>5911</v>
      </c>
      <c r="K2758" t="s">
        <v>73</v>
      </c>
      <c r="N2758" t="s">
        <v>74</v>
      </c>
      <c r="O2758" t="s">
        <v>75</v>
      </c>
      <c r="P2758" t="s">
        <v>74</v>
      </c>
      <c r="Q2758" t="s">
        <v>76</v>
      </c>
      <c r="R2758" t="s">
        <v>73</v>
      </c>
      <c r="S2758">
        <v>0</v>
      </c>
      <c r="W2758" s="20">
        <v>0</v>
      </c>
      <c r="X2758" t="s">
        <v>78</v>
      </c>
      <c r="Y2758">
        <v>0</v>
      </c>
      <c r="Z2758">
        <v>2</v>
      </c>
      <c r="AA2758" t="s">
        <v>5912</v>
      </c>
      <c r="AB2758">
        <v>81</v>
      </c>
      <c r="AC2758" t="s">
        <v>78</v>
      </c>
      <c r="AD2758">
        <v>0</v>
      </c>
      <c r="AE2758">
        <v>10084773</v>
      </c>
      <c r="AF2758" t="s">
        <v>88</v>
      </c>
      <c r="AG2758" t="s">
        <v>5837</v>
      </c>
    </row>
    <row r="2759" spans="1:33" x14ac:dyDescent="0.35">
      <c r="A2759" s="18">
        <v>44235.469444444447</v>
      </c>
      <c r="B2759">
        <v>428187</v>
      </c>
      <c r="C2759" t="s">
        <v>5913</v>
      </c>
      <c r="D2759" t="s">
        <v>70</v>
      </c>
      <c r="E2759" s="19">
        <v>39476</v>
      </c>
      <c r="F2759" t="str">
        <f>"9781444307573"</f>
        <v>9781444307573</v>
      </c>
      <c r="G2759" t="str">
        <f>"9781405159135"</f>
        <v>9781405159135</v>
      </c>
      <c r="H2759" t="s">
        <v>2939</v>
      </c>
      <c r="I2759" t="s">
        <v>5914</v>
      </c>
      <c r="J2759" t="s">
        <v>5915</v>
      </c>
      <c r="K2759" t="s">
        <v>73</v>
      </c>
      <c r="N2759" t="s">
        <v>74</v>
      </c>
      <c r="O2759" t="s">
        <v>75</v>
      </c>
      <c r="P2759" t="s">
        <v>74</v>
      </c>
      <c r="Q2759" t="s">
        <v>76</v>
      </c>
      <c r="R2759" t="s">
        <v>73</v>
      </c>
      <c r="S2759">
        <v>0</v>
      </c>
      <c r="W2759" s="20">
        <v>0</v>
      </c>
      <c r="X2759" t="s">
        <v>78</v>
      </c>
      <c r="Y2759">
        <v>0</v>
      </c>
      <c r="Z2759">
        <v>2</v>
      </c>
      <c r="AA2759" t="s">
        <v>5916</v>
      </c>
      <c r="AB2759">
        <v>34</v>
      </c>
      <c r="AC2759" t="s">
        <v>78</v>
      </c>
      <c r="AD2759">
        <v>0</v>
      </c>
      <c r="AE2759">
        <v>10345821</v>
      </c>
      <c r="AF2759" t="s">
        <v>88</v>
      </c>
      <c r="AG2759" t="s">
        <v>5837</v>
      </c>
    </row>
    <row r="2760" spans="1:33" x14ac:dyDescent="0.35">
      <c r="A2760" s="18">
        <v>44235.46875</v>
      </c>
      <c r="B2760">
        <v>1153201</v>
      </c>
      <c r="C2760" t="s">
        <v>5917</v>
      </c>
      <c r="D2760" t="s">
        <v>127</v>
      </c>
      <c r="E2760" s="19">
        <v>41360</v>
      </c>
      <c r="F2760" t="str">
        <f>"9781466504325"</f>
        <v>9781466504325</v>
      </c>
      <c r="G2760" t="str">
        <f>"9781466503762"</f>
        <v>9781466503762</v>
      </c>
      <c r="H2760" t="s">
        <v>149</v>
      </c>
      <c r="I2760">
        <v>577.67999999999995</v>
      </c>
      <c r="J2760" t="s">
        <v>5918</v>
      </c>
      <c r="K2760" t="s">
        <v>73</v>
      </c>
      <c r="N2760" t="s">
        <v>74</v>
      </c>
      <c r="O2760" t="s">
        <v>75</v>
      </c>
      <c r="P2760" t="s">
        <v>74</v>
      </c>
      <c r="Q2760" t="s">
        <v>76</v>
      </c>
      <c r="R2760" t="s">
        <v>73</v>
      </c>
      <c r="S2760">
        <v>0</v>
      </c>
      <c r="W2760" s="20">
        <v>2.0833333333333335E-4</v>
      </c>
      <c r="X2760" t="s">
        <v>5919</v>
      </c>
      <c r="Y2760">
        <v>3</v>
      </c>
      <c r="Z2760">
        <v>0</v>
      </c>
      <c r="AA2760" t="s">
        <v>78</v>
      </c>
      <c r="AB2760">
        <v>0</v>
      </c>
      <c r="AC2760" t="s">
        <v>78</v>
      </c>
      <c r="AD2760">
        <v>0</v>
      </c>
      <c r="AE2760">
        <v>10674508</v>
      </c>
      <c r="AF2760" t="s">
        <v>88</v>
      </c>
      <c r="AG2760" t="s">
        <v>5837</v>
      </c>
    </row>
    <row r="2761" spans="1:33" x14ac:dyDescent="0.35">
      <c r="A2761" s="18">
        <v>44235.461805555555</v>
      </c>
      <c r="B2761">
        <v>3008749</v>
      </c>
      <c r="C2761" t="s">
        <v>5920</v>
      </c>
      <c r="D2761" t="s">
        <v>158</v>
      </c>
      <c r="E2761" s="19">
        <v>41353</v>
      </c>
      <c r="F2761" t="str">
        <f>"9780080885223"</f>
        <v>9780080885223</v>
      </c>
      <c r="G2761" t="str">
        <f>"9780123747396"</f>
        <v>9780123747396</v>
      </c>
      <c r="H2761" t="s">
        <v>1561</v>
      </c>
      <c r="I2761">
        <v>551.41</v>
      </c>
      <c r="J2761" t="s">
        <v>5921</v>
      </c>
      <c r="K2761" t="s">
        <v>73</v>
      </c>
      <c r="N2761" t="s">
        <v>74</v>
      </c>
      <c r="O2761" t="s">
        <v>75</v>
      </c>
      <c r="P2761" t="s">
        <v>74</v>
      </c>
      <c r="Q2761" t="s">
        <v>76</v>
      </c>
      <c r="R2761" t="s">
        <v>73</v>
      </c>
      <c r="S2761">
        <v>0</v>
      </c>
      <c r="W2761" s="20">
        <v>3.8310185185185183E-3</v>
      </c>
      <c r="X2761" t="s">
        <v>5922</v>
      </c>
      <c r="Y2761">
        <v>10</v>
      </c>
      <c r="Z2761">
        <v>4</v>
      </c>
      <c r="AA2761" t="s">
        <v>5923</v>
      </c>
      <c r="AB2761">
        <v>50</v>
      </c>
      <c r="AC2761" t="s">
        <v>78</v>
      </c>
      <c r="AD2761">
        <v>0</v>
      </c>
      <c r="AE2761">
        <v>10671465</v>
      </c>
      <c r="AF2761" t="s">
        <v>88</v>
      </c>
      <c r="AG2761" t="s">
        <v>5837</v>
      </c>
    </row>
    <row r="2762" spans="1:33" x14ac:dyDescent="0.35">
      <c r="A2762" s="18">
        <v>44235.458333333336</v>
      </c>
      <c r="B2762">
        <v>474362</v>
      </c>
      <c r="C2762" t="s">
        <v>5924</v>
      </c>
      <c r="D2762" t="s">
        <v>2660</v>
      </c>
      <c r="E2762" s="19">
        <v>40057</v>
      </c>
      <c r="F2762" t="str">
        <f>"9780643098268"</f>
        <v>9780643098268</v>
      </c>
      <c r="G2762" t="str">
        <f>"9780643097834"</f>
        <v>9780643097834</v>
      </c>
      <c r="H2762" t="s">
        <v>1561</v>
      </c>
      <c r="I2762">
        <v>551.41</v>
      </c>
      <c r="J2762" t="s">
        <v>5925</v>
      </c>
      <c r="K2762" t="s">
        <v>73</v>
      </c>
      <c r="N2762" t="s">
        <v>74</v>
      </c>
      <c r="O2762" t="s">
        <v>75</v>
      </c>
      <c r="P2762" t="s">
        <v>74</v>
      </c>
      <c r="Q2762" t="s">
        <v>76</v>
      </c>
      <c r="R2762" t="s">
        <v>73</v>
      </c>
      <c r="S2762">
        <v>0</v>
      </c>
      <c r="W2762" s="20">
        <v>0</v>
      </c>
      <c r="X2762" t="s">
        <v>78</v>
      </c>
      <c r="Y2762">
        <v>0</v>
      </c>
      <c r="Z2762">
        <v>4</v>
      </c>
      <c r="AA2762" t="s">
        <v>5926</v>
      </c>
      <c r="AB2762">
        <v>117</v>
      </c>
      <c r="AC2762" t="s">
        <v>78</v>
      </c>
      <c r="AD2762">
        <v>0</v>
      </c>
      <c r="AE2762">
        <v>10620226</v>
      </c>
      <c r="AF2762" t="s">
        <v>88</v>
      </c>
      <c r="AG2762" t="s">
        <v>5837</v>
      </c>
    </row>
    <row r="2763" spans="1:33" x14ac:dyDescent="0.35">
      <c r="A2763" s="18">
        <v>44235.456944444442</v>
      </c>
      <c r="B2763">
        <v>4036197</v>
      </c>
      <c r="C2763" t="s">
        <v>5927</v>
      </c>
      <c r="D2763" t="s">
        <v>70</v>
      </c>
      <c r="E2763" s="19">
        <v>42359</v>
      </c>
      <c r="F2763" t="str">
        <f>"9781118540633"</f>
        <v>9781118540633</v>
      </c>
      <c r="G2763" t="str">
        <f>"9781118540695"</f>
        <v>9781118540695</v>
      </c>
      <c r="H2763" t="s">
        <v>285</v>
      </c>
      <c r="I2763">
        <v>631.4</v>
      </c>
      <c r="J2763" t="s">
        <v>5928</v>
      </c>
      <c r="K2763" t="s">
        <v>73</v>
      </c>
      <c r="N2763" t="s">
        <v>74</v>
      </c>
      <c r="O2763" t="s">
        <v>75</v>
      </c>
      <c r="P2763" t="s">
        <v>74</v>
      </c>
      <c r="Q2763" t="s">
        <v>76</v>
      </c>
      <c r="R2763" t="s">
        <v>73</v>
      </c>
      <c r="S2763">
        <v>0</v>
      </c>
      <c r="W2763" s="20">
        <v>0</v>
      </c>
      <c r="X2763" t="s">
        <v>78</v>
      </c>
      <c r="Y2763">
        <v>0</v>
      </c>
      <c r="Z2763">
        <v>1</v>
      </c>
      <c r="AA2763" t="s">
        <v>5929</v>
      </c>
      <c r="AB2763">
        <v>18</v>
      </c>
      <c r="AC2763" t="s">
        <v>78</v>
      </c>
      <c r="AD2763">
        <v>0</v>
      </c>
      <c r="AE2763">
        <v>11110905</v>
      </c>
      <c r="AF2763" t="s">
        <v>88</v>
      </c>
      <c r="AG2763" t="s">
        <v>5837</v>
      </c>
    </row>
    <row r="2764" spans="1:33" x14ac:dyDescent="0.35">
      <c r="A2764" s="18">
        <v>44235.456250000003</v>
      </c>
      <c r="B2764">
        <v>1138972</v>
      </c>
      <c r="C2764" t="s">
        <v>5930</v>
      </c>
      <c r="D2764" t="s">
        <v>70</v>
      </c>
      <c r="E2764" s="19">
        <v>40813</v>
      </c>
      <c r="F2764" t="str">
        <f>"9780470960608"</f>
        <v>9780470960608</v>
      </c>
      <c r="G2764" t="str">
        <f>"9780813807690"</f>
        <v>9780813807690</v>
      </c>
      <c r="H2764" t="s">
        <v>285</v>
      </c>
      <c r="I2764">
        <v>631.4</v>
      </c>
      <c r="J2764" t="s">
        <v>5931</v>
      </c>
      <c r="K2764" t="s">
        <v>73</v>
      </c>
      <c r="N2764" t="s">
        <v>74</v>
      </c>
      <c r="O2764" t="s">
        <v>75</v>
      </c>
      <c r="P2764" t="s">
        <v>74</v>
      </c>
      <c r="Q2764" t="s">
        <v>76</v>
      </c>
      <c r="R2764" t="s">
        <v>73</v>
      </c>
      <c r="S2764">
        <v>0</v>
      </c>
      <c r="W2764" s="20">
        <v>7.6388888888888893E-4</v>
      </c>
      <c r="X2764" t="s">
        <v>5932</v>
      </c>
      <c r="Y2764">
        <v>12</v>
      </c>
      <c r="Z2764">
        <v>1</v>
      </c>
      <c r="AA2764" t="s">
        <v>5933</v>
      </c>
      <c r="AB2764">
        <v>52</v>
      </c>
      <c r="AC2764" t="s">
        <v>78</v>
      </c>
      <c r="AD2764">
        <v>0</v>
      </c>
      <c r="AE2764">
        <v>10577589</v>
      </c>
      <c r="AF2764" t="s">
        <v>88</v>
      </c>
      <c r="AG2764" t="s">
        <v>5837</v>
      </c>
    </row>
    <row r="2765" spans="1:33" x14ac:dyDescent="0.35">
      <c r="A2765" s="18">
        <v>44235.454861111109</v>
      </c>
      <c r="B2765">
        <v>1449504</v>
      </c>
      <c r="C2765" t="s">
        <v>5934</v>
      </c>
      <c r="D2765" t="s">
        <v>127</v>
      </c>
      <c r="E2765" s="19">
        <v>40864</v>
      </c>
      <c r="F2765" t="str">
        <f>"9781439803066"</f>
        <v>9781439803066</v>
      </c>
      <c r="G2765" t="str">
        <f>"9781439803059"</f>
        <v>9781439803059</v>
      </c>
      <c r="H2765" t="s">
        <v>285</v>
      </c>
      <c r="I2765">
        <v>631.4</v>
      </c>
      <c r="J2765" t="s">
        <v>5935</v>
      </c>
      <c r="K2765" t="s">
        <v>73</v>
      </c>
      <c r="N2765" t="s">
        <v>74</v>
      </c>
      <c r="O2765" t="s">
        <v>75</v>
      </c>
      <c r="P2765" t="s">
        <v>74</v>
      </c>
      <c r="Q2765" t="s">
        <v>76</v>
      </c>
      <c r="R2765" t="s">
        <v>73</v>
      </c>
      <c r="S2765">
        <v>0</v>
      </c>
      <c r="W2765" s="20">
        <v>0</v>
      </c>
      <c r="X2765" t="s">
        <v>78</v>
      </c>
      <c r="Y2765">
        <v>0</v>
      </c>
      <c r="Z2765">
        <v>2</v>
      </c>
      <c r="AA2765" t="s">
        <v>5936</v>
      </c>
      <c r="AB2765">
        <v>48</v>
      </c>
      <c r="AC2765" t="s">
        <v>78</v>
      </c>
      <c r="AD2765">
        <v>0</v>
      </c>
      <c r="AE2765">
        <v>10512268</v>
      </c>
      <c r="AF2765" t="s">
        <v>88</v>
      </c>
      <c r="AG2765" t="s">
        <v>5837</v>
      </c>
    </row>
    <row r="2766" spans="1:33" x14ac:dyDescent="0.35">
      <c r="A2766" s="18">
        <v>44235.45416666667</v>
      </c>
      <c r="B2766">
        <v>5987486</v>
      </c>
      <c r="C2766" t="s">
        <v>5937</v>
      </c>
      <c r="D2766" t="s">
        <v>338</v>
      </c>
      <c r="E2766" s="19">
        <v>43794</v>
      </c>
      <c r="F2766" t="str">
        <f>"9780444641090"</f>
        <v>9780444641090</v>
      </c>
      <c r="G2766" t="str">
        <f>"9780444641083"</f>
        <v>9780444641083</v>
      </c>
      <c r="H2766" t="s">
        <v>285</v>
      </c>
      <c r="J2766" t="s">
        <v>5938</v>
      </c>
      <c r="K2766" t="s">
        <v>73</v>
      </c>
      <c r="N2766" t="s">
        <v>74</v>
      </c>
      <c r="O2766" t="s">
        <v>75</v>
      </c>
      <c r="P2766" t="s">
        <v>74</v>
      </c>
      <c r="Q2766" t="s">
        <v>76</v>
      </c>
      <c r="R2766" t="s">
        <v>73</v>
      </c>
      <c r="S2766">
        <v>0</v>
      </c>
      <c r="W2766" s="20">
        <v>1.1574074074074073E-5</v>
      </c>
      <c r="X2766" t="s">
        <v>78</v>
      </c>
      <c r="Y2766">
        <v>0</v>
      </c>
      <c r="Z2766">
        <v>1</v>
      </c>
      <c r="AA2766" t="s">
        <v>5939</v>
      </c>
      <c r="AB2766">
        <v>28</v>
      </c>
      <c r="AC2766" t="s">
        <v>78</v>
      </c>
      <c r="AD2766">
        <v>0</v>
      </c>
      <c r="AE2766">
        <v>-1</v>
      </c>
      <c r="AF2766" t="s">
        <v>88</v>
      </c>
      <c r="AG2766" t="s">
        <v>5837</v>
      </c>
    </row>
    <row r="2767" spans="1:33" x14ac:dyDescent="0.35">
      <c r="A2767" s="18">
        <v>44235.453472222223</v>
      </c>
      <c r="B2767">
        <v>1182933</v>
      </c>
      <c r="C2767" t="s">
        <v>5940</v>
      </c>
      <c r="D2767" t="s">
        <v>538</v>
      </c>
      <c r="E2767" s="19">
        <v>41421</v>
      </c>
      <c r="F2767" t="str">
        <f>"9781107057579"</f>
        <v>9781107057579</v>
      </c>
      <c r="G2767" t="str">
        <f>"9781107005549"</f>
        <v>9781107005549</v>
      </c>
      <c r="H2767" t="s">
        <v>1905</v>
      </c>
      <c r="I2767">
        <v>551.41499999999996</v>
      </c>
      <c r="J2767" t="s">
        <v>5941</v>
      </c>
      <c r="K2767" t="s">
        <v>73</v>
      </c>
      <c r="N2767" t="s">
        <v>74</v>
      </c>
      <c r="O2767" t="s">
        <v>75</v>
      </c>
      <c r="P2767" t="s">
        <v>74</v>
      </c>
      <c r="Q2767" t="s">
        <v>76</v>
      </c>
      <c r="R2767" t="s">
        <v>73</v>
      </c>
      <c r="S2767">
        <v>0</v>
      </c>
      <c r="W2767" s="20">
        <v>0</v>
      </c>
      <c r="X2767" t="s">
        <v>78</v>
      </c>
      <c r="Y2767">
        <v>0</v>
      </c>
      <c r="Z2767">
        <v>2</v>
      </c>
      <c r="AA2767" t="s">
        <v>5942</v>
      </c>
      <c r="AB2767">
        <v>114</v>
      </c>
      <c r="AC2767" t="s">
        <v>78</v>
      </c>
      <c r="AD2767">
        <v>0</v>
      </c>
      <c r="AE2767">
        <v>10695299</v>
      </c>
      <c r="AF2767" t="s">
        <v>88</v>
      </c>
      <c r="AG2767" t="s">
        <v>5837</v>
      </c>
    </row>
    <row r="2768" spans="1:33" x14ac:dyDescent="0.35">
      <c r="A2768" s="18">
        <v>44235.431250000001</v>
      </c>
      <c r="B2768">
        <v>5891002</v>
      </c>
      <c r="C2768" t="s">
        <v>5943</v>
      </c>
      <c r="D2768" t="s">
        <v>973</v>
      </c>
      <c r="E2768" s="19">
        <v>43704</v>
      </c>
      <c r="F2768" t="str">
        <f>"9783035731323"</f>
        <v>9783035731323</v>
      </c>
      <c r="G2768" t="str">
        <f>"9783035711325"</f>
        <v>9783035711325</v>
      </c>
      <c r="H2768" t="s">
        <v>1194</v>
      </c>
      <c r="I2768">
        <v>620.11500000000001</v>
      </c>
      <c r="J2768" t="s">
        <v>5944</v>
      </c>
      <c r="K2768" t="s">
        <v>73</v>
      </c>
      <c r="Q2768" t="s">
        <v>76</v>
      </c>
      <c r="R2768" t="s">
        <v>73</v>
      </c>
      <c r="S2768">
        <v>0</v>
      </c>
      <c r="W2768" s="20">
        <v>1.1574074074074073E-4</v>
      </c>
      <c r="X2768" t="s">
        <v>1617</v>
      </c>
      <c r="Y2768">
        <v>3</v>
      </c>
      <c r="Z2768">
        <v>0</v>
      </c>
      <c r="AA2768" t="s">
        <v>78</v>
      </c>
      <c r="AB2768">
        <v>0</v>
      </c>
      <c r="AC2768" t="s">
        <v>78</v>
      </c>
      <c r="AD2768">
        <v>0</v>
      </c>
      <c r="AE2768">
        <v>-1</v>
      </c>
      <c r="AF2768" t="s">
        <v>79</v>
      </c>
      <c r="AG2768" t="s">
        <v>5278</v>
      </c>
    </row>
    <row r="2769" spans="1:33" x14ac:dyDescent="0.35">
      <c r="A2769" s="18">
        <v>44235.418749999997</v>
      </c>
      <c r="B2769">
        <v>6209657</v>
      </c>
      <c r="C2769" t="s">
        <v>5721</v>
      </c>
      <c r="D2769" t="s">
        <v>677</v>
      </c>
      <c r="E2769" s="19">
        <v>32071</v>
      </c>
      <c r="F2769" t="str">
        <f>"9780691214009"</f>
        <v>9780691214009</v>
      </c>
      <c r="G2769" t="str">
        <f>"9780691077437"</f>
        <v>9780691077437</v>
      </c>
      <c r="H2769" t="s">
        <v>194</v>
      </c>
      <c r="I2769">
        <v>361.6</v>
      </c>
      <c r="J2769" t="s">
        <v>5722</v>
      </c>
      <c r="K2769" t="s">
        <v>85</v>
      </c>
      <c r="N2769" t="s">
        <v>86</v>
      </c>
      <c r="P2769" t="s">
        <v>1495</v>
      </c>
      <c r="Q2769" t="s">
        <v>76</v>
      </c>
      <c r="R2769" t="s">
        <v>85</v>
      </c>
      <c r="S2769">
        <v>1</v>
      </c>
      <c r="T2769">
        <v>1</v>
      </c>
      <c r="U2769" s="18">
        <v>44235.418749999997</v>
      </c>
      <c r="V2769" s="18">
        <v>44236.418749999997</v>
      </c>
      <c r="W2769" s="20">
        <v>1.1574074074074073E-5</v>
      </c>
      <c r="X2769" t="s">
        <v>5688</v>
      </c>
      <c r="Y2769">
        <v>1</v>
      </c>
      <c r="Z2769">
        <v>0</v>
      </c>
      <c r="AA2769" t="s">
        <v>78</v>
      </c>
      <c r="AB2769">
        <v>0</v>
      </c>
      <c r="AC2769" t="s">
        <v>78</v>
      </c>
      <c r="AD2769">
        <v>0</v>
      </c>
      <c r="AE2769">
        <v>-1</v>
      </c>
      <c r="AF2769" t="s">
        <v>88</v>
      </c>
      <c r="AG2769" t="s">
        <v>5829</v>
      </c>
    </row>
    <row r="2770" spans="1:33" x14ac:dyDescent="0.35">
      <c r="A2770" s="18">
        <v>44235.416666666664</v>
      </c>
      <c r="B2770">
        <v>6209657</v>
      </c>
      <c r="C2770" t="s">
        <v>5721</v>
      </c>
      <c r="D2770" t="s">
        <v>677</v>
      </c>
      <c r="E2770" s="19">
        <v>32071</v>
      </c>
      <c r="F2770" t="str">
        <f>"9780691214009"</f>
        <v>9780691214009</v>
      </c>
      <c r="G2770" t="str">
        <f>"9780691077437"</f>
        <v>9780691077437</v>
      </c>
      <c r="H2770" t="s">
        <v>194</v>
      </c>
      <c r="I2770">
        <v>361.6</v>
      </c>
      <c r="J2770" t="s">
        <v>5722</v>
      </c>
      <c r="K2770" t="s">
        <v>85</v>
      </c>
      <c r="N2770" t="s">
        <v>86</v>
      </c>
      <c r="P2770" t="s">
        <v>1495</v>
      </c>
      <c r="Q2770" t="s">
        <v>76</v>
      </c>
      <c r="R2770" t="s">
        <v>85</v>
      </c>
      <c r="S2770">
        <v>0</v>
      </c>
      <c r="W2770" s="20">
        <v>2.4768518518518516E-3</v>
      </c>
      <c r="X2770" t="s">
        <v>5945</v>
      </c>
      <c r="Y2770">
        <v>8</v>
      </c>
      <c r="Z2770">
        <v>0</v>
      </c>
      <c r="AA2770" t="s">
        <v>78</v>
      </c>
      <c r="AB2770">
        <v>0</v>
      </c>
      <c r="AC2770" t="s">
        <v>78</v>
      </c>
      <c r="AD2770">
        <v>0</v>
      </c>
      <c r="AE2770">
        <v>-1</v>
      </c>
      <c r="AF2770" t="s">
        <v>88</v>
      </c>
      <c r="AG2770" t="s">
        <v>5829</v>
      </c>
    </row>
    <row r="2771" spans="1:33" x14ac:dyDescent="0.35">
      <c r="A2771" s="18">
        <v>44234.881944444445</v>
      </c>
      <c r="B2771">
        <v>3116709</v>
      </c>
      <c r="C2771" t="s">
        <v>5946</v>
      </c>
      <c r="D2771" t="s">
        <v>2393</v>
      </c>
      <c r="E2771" s="19">
        <v>40664</v>
      </c>
      <c r="F2771" t="str">
        <f>"9781613001271"</f>
        <v>9781613001271</v>
      </c>
      <c r="G2771" t="str">
        <f>"9781583218334"</f>
        <v>9781583218334</v>
      </c>
      <c r="H2771" t="s">
        <v>374</v>
      </c>
      <c r="I2771" t="s">
        <v>5947</v>
      </c>
      <c r="J2771" t="s">
        <v>5948</v>
      </c>
      <c r="K2771" t="s">
        <v>73</v>
      </c>
      <c r="N2771" t="s">
        <v>74</v>
      </c>
      <c r="O2771" t="s">
        <v>75</v>
      </c>
      <c r="P2771" t="s">
        <v>74</v>
      </c>
      <c r="Q2771" t="s">
        <v>76</v>
      </c>
      <c r="R2771" t="s">
        <v>73</v>
      </c>
      <c r="S2771">
        <v>0</v>
      </c>
      <c r="W2771" s="20">
        <v>2.5462962962962961E-4</v>
      </c>
      <c r="X2771" t="s">
        <v>5949</v>
      </c>
      <c r="Y2771">
        <v>6</v>
      </c>
      <c r="Z2771">
        <v>0</v>
      </c>
      <c r="AA2771" t="s">
        <v>78</v>
      </c>
      <c r="AB2771">
        <v>0</v>
      </c>
      <c r="AC2771" t="s">
        <v>78</v>
      </c>
      <c r="AD2771">
        <v>0</v>
      </c>
      <c r="AE2771">
        <v>10522364</v>
      </c>
      <c r="AF2771" t="s">
        <v>88</v>
      </c>
      <c r="AG2771" t="s">
        <v>5278</v>
      </c>
    </row>
    <row r="2772" spans="1:33" x14ac:dyDescent="0.35">
      <c r="A2772" s="18">
        <v>44234.879166666666</v>
      </c>
      <c r="B2772">
        <v>894395</v>
      </c>
      <c r="C2772" t="s">
        <v>5950</v>
      </c>
      <c r="D2772" t="s">
        <v>70</v>
      </c>
      <c r="E2772" s="19">
        <v>41253</v>
      </c>
      <c r="F2772" t="str">
        <f>"9781118347706"</f>
        <v>9781118347706</v>
      </c>
      <c r="G2772" t="str">
        <f>"9780470054598"</f>
        <v>9780470054598</v>
      </c>
      <c r="H2772" t="s">
        <v>767</v>
      </c>
      <c r="I2772" t="s">
        <v>5947</v>
      </c>
      <c r="J2772" t="s">
        <v>5951</v>
      </c>
      <c r="K2772" t="s">
        <v>73</v>
      </c>
      <c r="N2772" t="s">
        <v>74</v>
      </c>
      <c r="O2772" t="s">
        <v>75</v>
      </c>
      <c r="P2772" t="s">
        <v>74</v>
      </c>
      <c r="Q2772" t="s">
        <v>76</v>
      </c>
      <c r="R2772" t="s">
        <v>73</v>
      </c>
      <c r="S2772">
        <v>0</v>
      </c>
      <c r="W2772" s="20">
        <v>1.8750000000000001E-3</v>
      </c>
      <c r="X2772" t="s">
        <v>5952</v>
      </c>
      <c r="Y2772">
        <v>24</v>
      </c>
      <c r="Z2772">
        <v>0</v>
      </c>
      <c r="AA2772" t="s">
        <v>78</v>
      </c>
      <c r="AB2772">
        <v>0</v>
      </c>
      <c r="AC2772" t="s">
        <v>78</v>
      </c>
      <c r="AD2772">
        <v>0</v>
      </c>
      <c r="AE2772">
        <v>10617910</v>
      </c>
      <c r="AF2772" t="s">
        <v>88</v>
      </c>
      <c r="AG2772" t="s">
        <v>5278</v>
      </c>
    </row>
    <row r="2773" spans="1:33" x14ac:dyDescent="0.35">
      <c r="A2773" s="18">
        <v>44234.87777777778</v>
      </c>
      <c r="B2773">
        <v>1798305</v>
      </c>
      <c r="C2773" t="s">
        <v>5586</v>
      </c>
      <c r="D2773" t="s">
        <v>158</v>
      </c>
      <c r="E2773" s="19">
        <v>41907</v>
      </c>
      <c r="F2773" t="str">
        <f>"9780444634092"</f>
        <v>9780444634092</v>
      </c>
      <c r="G2773" t="str">
        <f>"9780444633620"</f>
        <v>9780444633620</v>
      </c>
      <c r="H2773" t="s">
        <v>767</v>
      </c>
      <c r="I2773">
        <v>628.16399999999999</v>
      </c>
      <c r="J2773" t="s">
        <v>5587</v>
      </c>
      <c r="K2773" t="s">
        <v>73</v>
      </c>
      <c r="N2773" t="s">
        <v>74</v>
      </c>
      <c r="O2773" t="s">
        <v>75</v>
      </c>
      <c r="P2773" t="s">
        <v>74</v>
      </c>
      <c r="Q2773" t="s">
        <v>76</v>
      </c>
      <c r="R2773" t="s">
        <v>73</v>
      </c>
      <c r="S2773">
        <v>0</v>
      </c>
      <c r="W2773" s="20">
        <v>6.3657407407407402E-4</v>
      </c>
      <c r="X2773" t="s">
        <v>5953</v>
      </c>
      <c r="Y2773">
        <v>7</v>
      </c>
      <c r="Z2773">
        <v>0</v>
      </c>
      <c r="AA2773" t="s">
        <v>78</v>
      </c>
      <c r="AB2773">
        <v>0</v>
      </c>
      <c r="AC2773" t="s">
        <v>78</v>
      </c>
      <c r="AD2773">
        <v>0</v>
      </c>
      <c r="AE2773">
        <v>10944058</v>
      </c>
      <c r="AF2773" t="s">
        <v>88</v>
      </c>
      <c r="AG2773" t="s">
        <v>5278</v>
      </c>
    </row>
    <row r="2774" spans="1:33" x14ac:dyDescent="0.35">
      <c r="A2774" s="18">
        <v>44234.87777777778</v>
      </c>
      <c r="B2774">
        <v>5514557</v>
      </c>
      <c r="C2774" t="s">
        <v>5954</v>
      </c>
      <c r="D2774" t="s">
        <v>338</v>
      </c>
      <c r="E2774" s="19">
        <v>43353</v>
      </c>
      <c r="F2774" t="str">
        <f>"9780128128169"</f>
        <v>9780128128169</v>
      </c>
      <c r="G2774" t="str">
        <f>"9780128128152"</f>
        <v>9780128128152</v>
      </c>
      <c r="H2774" t="s">
        <v>159</v>
      </c>
      <c r="I2774">
        <v>660.28420000000006</v>
      </c>
      <c r="J2774" t="s">
        <v>5955</v>
      </c>
      <c r="K2774" t="s">
        <v>73</v>
      </c>
      <c r="N2774" t="s">
        <v>74</v>
      </c>
      <c r="O2774" t="s">
        <v>75</v>
      </c>
      <c r="P2774" t="s">
        <v>74</v>
      </c>
      <c r="Q2774" t="s">
        <v>76</v>
      </c>
      <c r="R2774" t="s">
        <v>73</v>
      </c>
      <c r="S2774">
        <v>0</v>
      </c>
      <c r="W2774" s="20">
        <v>4.1666666666666669E-4</v>
      </c>
      <c r="X2774" t="s">
        <v>5956</v>
      </c>
      <c r="Y2774">
        <v>7</v>
      </c>
      <c r="Z2774">
        <v>0</v>
      </c>
      <c r="AA2774" t="s">
        <v>78</v>
      </c>
      <c r="AB2774">
        <v>0</v>
      </c>
      <c r="AC2774" t="s">
        <v>78</v>
      </c>
      <c r="AD2774">
        <v>0</v>
      </c>
      <c r="AE2774">
        <v>-1</v>
      </c>
      <c r="AF2774" t="s">
        <v>88</v>
      </c>
      <c r="AG2774" t="s">
        <v>5278</v>
      </c>
    </row>
    <row r="2775" spans="1:33" x14ac:dyDescent="0.35">
      <c r="A2775" s="18">
        <v>44234.876388888886</v>
      </c>
      <c r="B2775">
        <v>5493318</v>
      </c>
      <c r="C2775" t="s">
        <v>5957</v>
      </c>
      <c r="D2775" t="s">
        <v>127</v>
      </c>
      <c r="E2775" s="19">
        <v>43326</v>
      </c>
      <c r="F2775" t="str">
        <f>"9781351601832"</f>
        <v>9781351601832</v>
      </c>
      <c r="G2775" t="str">
        <f>"9781138095427"</f>
        <v>9781138095427</v>
      </c>
      <c r="H2775" t="s">
        <v>391</v>
      </c>
      <c r="I2775" t="s">
        <v>5958</v>
      </c>
      <c r="J2775" t="s">
        <v>5959</v>
      </c>
      <c r="K2775" t="s">
        <v>85</v>
      </c>
      <c r="Q2775" t="s">
        <v>76</v>
      </c>
      <c r="R2775" t="s">
        <v>73</v>
      </c>
      <c r="S2775">
        <v>0</v>
      </c>
      <c r="W2775" s="20">
        <v>3.5879629629629635E-4</v>
      </c>
      <c r="X2775" t="s">
        <v>5960</v>
      </c>
      <c r="Y2775">
        <v>6</v>
      </c>
      <c r="Z2775">
        <v>0</v>
      </c>
      <c r="AA2775" t="s">
        <v>78</v>
      </c>
      <c r="AB2775">
        <v>0</v>
      </c>
      <c r="AC2775" t="s">
        <v>78</v>
      </c>
      <c r="AD2775">
        <v>0</v>
      </c>
      <c r="AE2775">
        <v>-1</v>
      </c>
      <c r="AF2775" t="s">
        <v>88</v>
      </c>
      <c r="AG2775" t="s">
        <v>5278</v>
      </c>
    </row>
    <row r="2776" spans="1:33" x14ac:dyDescent="0.35">
      <c r="A2776" s="18">
        <v>44234.875694444447</v>
      </c>
      <c r="B2776">
        <v>5981568</v>
      </c>
      <c r="C2776" t="s">
        <v>5961</v>
      </c>
      <c r="D2776" t="s">
        <v>226</v>
      </c>
      <c r="E2776" s="19">
        <v>43753</v>
      </c>
      <c r="F2776" t="str">
        <f>"9781536163476"</f>
        <v>9781536163476</v>
      </c>
      <c r="G2776" t="str">
        <f>"9781536163209"</f>
        <v>9781536163209</v>
      </c>
      <c r="H2776" t="s">
        <v>159</v>
      </c>
      <c r="I2776">
        <v>660.28420000000006</v>
      </c>
      <c r="J2776" t="s">
        <v>5962</v>
      </c>
      <c r="K2776" t="s">
        <v>85</v>
      </c>
      <c r="Q2776" t="s">
        <v>76</v>
      </c>
      <c r="R2776" t="s">
        <v>73</v>
      </c>
      <c r="S2776">
        <v>0</v>
      </c>
      <c r="W2776" s="20">
        <v>1.6203703703703703E-4</v>
      </c>
      <c r="X2776" t="s">
        <v>5963</v>
      </c>
      <c r="Y2776">
        <v>4</v>
      </c>
      <c r="Z2776">
        <v>0</v>
      </c>
      <c r="AA2776" t="s">
        <v>78</v>
      </c>
      <c r="AB2776">
        <v>0</v>
      </c>
      <c r="AC2776" t="s">
        <v>78</v>
      </c>
      <c r="AD2776">
        <v>0</v>
      </c>
      <c r="AE2776">
        <v>-1</v>
      </c>
      <c r="AF2776" t="s">
        <v>88</v>
      </c>
      <c r="AG2776" t="s">
        <v>5278</v>
      </c>
    </row>
    <row r="2777" spans="1:33" x14ac:dyDescent="0.35">
      <c r="A2777" s="18">
        <v>44234.875</v>
      </c>
      <c r="B2777">
        <v>5770865</v>
      </c>
      <c r="C2777" t="s">
        <v>5964</v>
      </c>
      <c r="D2777" t="s">
        <v>2393</v>
      </c>
      <c r="E2777" s="19">
        <v>43586</v>
      </c>
      <c r="F2777" t="str">
        <f>"9781613005132"</f>
        <v>9781613005132</v>
      </c>
      <c r="G2777" t="str">
        <f>"9781625763419"</f>
        <v>9781625763419</v>
      </c>
      <c r="H2777" t="s">
        <v>767</v>
      </c>
      <c r="J2777" t="s">
        <v>5965</v>
      </c>
      <c r="K2777" t="s">
        <v>73</v>
      </c>
      <c r="N2777" t="s">
        <v>74</v>
      </c>
      <c r="O2777" t="s">
        <v>75</v>
      </c>
      <c r="P2777" t="s">
        <v>74</v>
      </c>
      <c r="Q2777" t="s">
        <v>76</v>
      </c>
      <c r="R2777" t="s">
        <v>73</v>
      </c>
      <c r="S2777">
        <v>0</v>
      </c>
      <c r="W2777" s="20">
        <v>2.3148148148148146E-4</v>
      </c>
      <c r="X2777" t="s">
        <v>5966</v>
      </c>
      <c r="Y2777">
        <v>5</v>
      </c>
      <c r="Z2777">
        <v>0</v>
      </c>
      <c r="AA2777" t="s">
        <v>78</v>
      </c>
      <c r="AB2777">
        <v>0</v>
      </c>
      <c r="AC2777" t="s">
        <v>78</v>
      </c>
      <c r="AD2777">
        <v>0</v>
      </c>
      <c r="AE2777">
        <v>-1</v>
      </c>
      <c r="AF2777" t="s">
        <v>88</v>
      </c>
      <c r="AG2777" t="s">
        <v>5278</v>
      </c>
    </row>
    <row r="2778" spans="1:33" x14ac:dyDescent="0.35">
      <c r="A2778" s="18">
        <v>44234.862500000003</v>
      </c>
      <c r="B2778">
        <v>1986897</v>
      </c>
      <c r="C2778" t="s">
        <v>766</v>
      </c>
      <c r="D2778" t="s">
        <v>158</v>
      </c>
      <c r="E2778" s="19">
        <v>42075</v>
      </c>
      <c r="F2778" t="str">
        <f>"9781782421269"</f>
        <v>9781782421269</v>
      </c>
      <c r="G2778" t="str">
        <f>"9781782421214"</f>
        <v>9781782421214</v>
      </c>
      <c r="H2778" t="s">
        <v>767</v>
      </c>
      <c r="I2778">
        <v>628.16740000000004</v>
      </c>
      <c r="J2778" t="s">
        <v>768</v>
      </c>
      <c r="K2778" t="s">
        <v>73</v>
      </c>
      <c r="N2778" t="s">
        <v>74</v>
      </c>
      <c r="O2778" t="s">
        <v>75</v>
      </c>
      <c r="P2778" t="s">
        <v>74</v>
      </c>
      <c r="Q2778" t="s">
        <v>76</v>
      </c>
      <c r="R2778" t="s">
        <v>73</v>
      </c>
      <c r="S2778">
        <v>0</v>
      </c>
      <c r="W2778" s="20">
        <v>6.3657407407407402E-4</v>
      </c>
      <c r="X2778" t="s">
        <v>5967</v>
      </c>
      <c r="Y2778">
        <v>10</v>
      </c>
      <c r="Z2778">
        <v>0</v>
      </c>
      <c r="AA2778" t="s">
        <v>78</v>
      </c>
      <c r="AB2778">
        <v>0</v>
      </c>
      <c r="AC2778" t="s">
        <v>78</v>
      </c>
      <c r="AD2778">
        <v>0</v>
      </c>
      <c r="AE2778">
        <v>11025983</v>
      </c>
      <c r="AF2778" t="s">
        <v>88</v>
      </c>
      <c r="AG2778" t="s">
        <v>5278</v>
      </c>
    </row>
    <row r="2779" spans="1:33" x14ac:dyDescent="0.35">
      <c r="A2779" s="18">
        <v>44234.843055555553</v>
      </c>
      <c r="B2779">
        <v>3115597</v>
      </c>
      <c r="C2779" t="s">
        <v>5968</v>
      </c>
      <c r="D2779" t="s">
        <v>346</v>
      </c>
      <c r="E2779" s="19">
        <v>41061</v>
      </c>
      <c r="F2779" t="str">
        <f>"9780784476895"</f>
        <v>9780784476895</v>
      </c>
      <c r="G2779" t="str">
        <f>"9780784412275"</f>
        <v>9780784412275</v>
      </c>
      <c r="H2779" t="s">
        <v>159</v>
      </c>
      <c r="I2779" t="s">
        <v>5958</v>
      </c>
      <c r="J2779" t="s">
        <v>5969</v>
      </c>
      <c r="K2779" t="s">
        <v>73</v>
      </c>
      <c r="N2779" t="s">
        <v>74</v>
      </c>
      <c r="O2779" t="s">
        <v>75</v>
      </c>
      <c r="P2779" t="s">
        <v>74</v>
      </c>
      <c r="Q2779" t="s">
        <v>76</v>
      </c>
      <c r="R2779" t="s">
        <v>73</v>
      </c>
      <c r="S2779">
        <v>0</v>
      </c>
      <c r="W2779" s="20">
        <v>6.7129629629629625E-4</v>
      </c>
      <c r="X2779" t="s">
        <v>5970</v>
      </c>
      <c r="Y2779">
        <v>8</v>
      </c>
      <c r="Z2779">
        <v>0</v>
      </c>
      <c r="AA2779" t="s">
        <v>78</v>
      </c>
      <c r="AB2779">
        <v>0</v>
      </c>
      <c r="AC2779" t="s">
        <v>78</v>
      </c>
      <c r="AD2779">
        <v>0</v>
      </c>
      <c r="AE2779">
        <v>10608377</v>
      </c>
      <c r="AF2779" t="s">
        <v>88</v>
      </c>
      <c r="AG2779" t="s">
        <v>5278</v>
      </c>
    </row>
    <row r="2780" spans="1:33" x14ac:dyDescent="0.35">
      <c r="A2780" s="18">
        <v>44234.84097222222</v>
      </c>
      <c r="B2780">
        <v>4443953</v>
      </c>
      <c r="C2780" t="s">
        <v>5971</v>
      </c>
      <c r="D2780" t="s">
        <v>158</v>
      </c>
      <c r="E2780" s="19">
        <v>42444</v>
      </c>
      <c r="F2780" t="str">
        <f>"9780444633163"</f>
        <v>9780444633163</v>
      </c>
      <c r="G2780" t="str">
        <f>"9780444633125"</f>
        <v>9780444633125</v>
      </c>
      <c r="H2780" t="s">
        <v>374</v>
      </c>
      <c r="I2780" t="s">
        <v>5972</v>
      </c>
      <c r="J2780" t="s">
        <v>5973</v>
      </c>
      <c r="K2780" t="s">
        <v>73</v>
      </c>
      <c r="N2780" t="s">
        <v>74</v>
      </c>
      <c r="O2780" t="s">
        <v>75</v>
      </c>
      <c r="P2780" t="s">
        <v>74</v>
      </c>
      <c r="Q2780" t="s">
        <v>76</v>
      </c>
      <c r="R2780" t="s">
        <v>73</v>
      </c>
      <c r="S2780">
        <v>0</v>
      </c>
      <c r="W2780" s="20">
        <v>1.8055555555555557E-3</v>
      </c>
      <c r="X2780" t="s">
        <v>5974</v>
      </c>
      <c r="Y2780">
        <v>14</v>
      </c>
      <c r="Z2780">
        <v>0</v>
      </c>
      <c r="AA2780" t="s">
        <v>78</v>
      </c>
      <c r="AB2780">
        <v>0</v>
      </c>
      <c r="AC2780" t="s">
        <v>78</v>
      </c>
      <c r="AD2780">
        <v>0</v>
      </c>
      <c r="AE2780">
        <v>11172380</v>
      </c>
      <c r="AF2780" t="s">
        <v>88</v>
      </c>
      <c r="AG2780" t="s">
        <v>5278</v>
      </c>
    </row>
    <row r="2781" spans="1:33" x14ac:dyDescent="0.35">
      <c r="A2781" s="18">
        <v>44234.840277777781</v>
      </c>
      <c r="B2781">
        <v>3018318</v>
      </c>
      <c r="C2781" t="s">
        <v>5975</v>
      </c>
      <c r="D2781" t="s">
        <v>226</v>
      </c>
      <c r="E2781" s="19">
        <v>39539</v>
      </c>
      <c r="F2781" t="str">
        <f>"9781607418771"</f>
        <v>9781607418771</v>
      </c>
      <c r="G2781" t="str">
        <f>"9781606928837"</f>
        <v>9781606928837</v>
      </c>
      <c r="H2781" t="s">
        <v>391</v>
      </c>
      <c r="J2781" t="s">
        <v>5976</v>
      </c>
      <c r="K2781" t="s">
        <v>73</v>
      </c>
      <c r="N2781" t="s">
        <v>74</v>
      </c>
      <c r="O2781" t="s">
        <v>75</v>
      </c>
      <c r="P2781" t="s">
        <v>230</v>
      </c>
      <c r="Q2781" t="s">
        <v>76</v>
      </c>
      <c r="R2781" t="s">
        <v>85</v>
      </c>
      <c r="S2781">
        <v>0</v>
      </c>
      <c r="W2781" s="20">
        <v>3.4722222222222224E-4</v>
      </c>
      <c r="X2781" t="s">
        <v>5977</v>
      </c>
      <c r="Y2781">
        <v>6</v>
      </c>
      <c r="Z2781">
        <v>0</v>
      </c>
      <c r="AA2781" t="s">
        <v>78</v>
      </c>
      <c r="AB2781">
        <v>0</v>
      </c>
      <c r="AC2781" t="s">
        <v>78</v>
      </c>
      <c r="AD2781">
        <v>0</v>
      </c>
      <c r="AE2781">
        <v>10660179</v>
      </c>
      <c r="AF2781" t="s">
        <v>88</v>
      </c>
      <c r="AG2781" t="s">
        <v>5278</v>
      </c>
    </row>
    <row r="2782" spans="1:33" x14ac:dyDescent="0.35">
      <c r="A2782" s="18">
        <v>44234.827777777777</v>
      </c>
      <c r="B2782">
        <v>977928</v>
      </c>
      <c r="C2782" t="s">
        <v>5978</v>
      </c>
      <c r="D2782" t="s">
        <v>70</v>
      </c>
      <c r="E2782" s="19">
        <v>41183</v>
      </c>
      <c r="F2782" t="str">
        <f>"9781118359716"</f>
        <v>9781118359716</v>
      </c>
      <c r="G2782" t="str">
        <f>"9780470743720"</f>
        <v>9780470743720</v>
      </c>
      <c r="H2782" t="s">
        <v>391</v>
      </c>
      <c r="I2782" t="s">
        <v>5979</v>
      </c>
      <c r="J2782" t="s">
        <v>5980</v>
      </c>
      <c r="K2782" t="s">
        <v>73</v>
      </c>
      <c r="N2782" t="s">
        <v>74</v>
      </c>
      <c r="O2782" t="s">
        <v>75</v>
      </c>
      <c r="P2782" t="s">
        <v>74</v>
      </c>
      <c r="Q2782" t="s">
        <v>76</v>
      </c>
      <c r="R2782" t="s">
        <v>73</v>
      </c>
      <c r="S2782">
        <v>0</v>
      </c>
      <c r="W2782" s="20">
        <v>3.7037037037037035E-4</v>
      </c>
      <c r="X2782" t="s">
        <v>5981</v>
      </c>
      <c r="Y2782">
        <v>9</v>
      </c>
      <c r="Z2782">
        <v>0</v>
      </c>
      <c r="AA2782" t="s">
        <v>78</v>
      </c>
      <c r="AB2782">
        <v>0</v>
      </c>
      <c r="AC2782" t="s">
        <v>78</v>
      </c>
      <c r="AD2782">
        <v>0</v>
      </c>
      <c r="AE2782">
        <v>10582602</v>
      </c>
      <c r="AF2782" t="s">
        <v>88</v>
      </c>
      <c r="AG2782" t="s">
        <v>5278</v>
      </c>
    </row>
    <row r="2783" spans="1:33" x14ac:dyDescent="0.35">
      <c r="A2783" s="18">
        <v>44234.82708333333</v>
      </c>
      <c r="B2783">
        <v>4875090</v>
      </c>
      <c r="C2783" t="s">
        <v>5982</v>
      </c>
      <c r="D2783" t="s">
        <v>338</v>
      </c>
      <c r="E2783" s="19">
        <v>42901</v>
      </c>
      <c r="F2783" t="str">
        <f>"9780128098967"</f>
        <v>9780128098967</v>
      </c>
      <c r="G2783" t="str">
        <f>"9780128097915"</f>
        <v>9780128097915</v>
      </c>
      <c r="H2783" t="s">
        <v>374</v>
      </c>
      <c r="I2783" t="s">
        <v>5983</v>
      </c>
      <c r="J2783" t="s">
        <v>5984</v>
      </c>
      <c r="K2783" t="s">
        <v>73</v>
      </c>
      <c r="N2783" t="s">
        <v>74</v>
      </c>
      <c r="O2783" t="s">
        <v>75</v>
      </c>
      <c r="P2783" t="s">
        <v>74</v>
      </c>
      <c r="Q2783" t="s">
        <v>76</v>
      </c>
      <c r="R2783" t="s">
        <v>73</v>
      </c>
      <c r="S2783">
        <v>0</v>
      </c>
      <c r="W2783" s="20">
        <v>5.2083333333333333E-4</v>
      </c>
      <c r="X2783" t="s">
        <v>5985</v>
      </c>
      <c r="Y2783">
        <v>6</v>
      </c>
      <c r="Z2783">
        <v>0</v>
      </c>
      <c r="AA2783" t="s">
        <v>78</v>
      </c>
      <c r="AB2783">
        <v>0</v>
      </c>
      <c r="AC2783" t="s">
        <v>78</v>
      </c>
      <c r="AD2783">
        <v>0</v>
      </c>
      <c r="AE2783">
        <v>11395725</v>
      </c>
      <c r="AF2783" t="s">
        <v>88</v>
      </c>
      <c r="AG2783" t="s">
        <v>5278</v>
      </c>
    </row>
    <row r="2784" spans="1:33" x14ac:dyDescent="0.35">
      <c r="A2784" s="18">
        <v>44234.7</v>
      </c>
      <c r="B2784">
        <v>5989398</v>
      </c>
      <c r="C2784" t="s">
        <v>2990</v>
      </c>
      <c r="D2784" t="s">
        <v>127</v>
      </c>
      <c r="E2784" s="19">
        <v>43822</v>
      </c>
      <c r="F2784" t="str">
        <f>"9780429846908"</f>
        <v>9780429846908</v>
      </c>
      <c r="G2784" t="str">
        <f>"9781138318090"</f>
        <v>9781138318090</v>
      </c>
      <c r="H2784" t="s">
        <v>2991</v>
      </c>
      <c r="K2784" t="s">
        <v>85</v>
      </c>
      <c r="N2784" t="s">
        <v>186</v>
      </c>
      <c r="P2784" t="s">
        <v>87</v>
      </c>
      <c r="Q2784" t="s">
        <v>76</v>
      </c>
      <c r="R2784" t="s">
        <v>73</v>
      </c>
      <c r="S2784">
        <v>0</v>
      </c>
      <c r="W2784" s="20">
        <v>1.7361111111111112E-4</v>
      </c>
      <c r="X2784" t="s">
        <v>5986</v>
      </c>
      <c r="Y2784">
        <v>5</v>
      </c>
      <c r="Z2784">
        <v>0</v>
      </c>
      <c r="AA2784" t="s">
        <v>78</v>
      </c>
      <c r="AB2784">
        <v>0</v>
      </c>
      <c r="AC2784" t="s">
        <v>78</v>
      </c>
      <c r="AD2784">
        <v>0</v>
      </c>
      <c r="AE2784">
        <v>-1</v>
      </c>
      <c r="AF2784" t="s">
        <v>79</v>
      </c>
      <c r="AG2784" t="s">
        <v>5278</v>
      </c>
    </row>
    <row r="2785" spans="1:33" x14ac:dyDescent="0.35">
      <c r="A2785" s="18">
        <v>44234.65347222222</v>
      </c>
      <c r="B2785">
        <v>1446430</v>
      </c>
      <c r="C2785" t="s">
        <v>1649</v>
      </c>
      <c r="D2785" t="s">
        <v>127</v>
      </c>
      <c r="E2785" s="19">
        <v>40274</v>
      </c>
      <c r="F2785" t="str">
        <f>"9781439882573"</f>
        <v>9781439882573</v>
      </c>
      <c r="G2785" t="str">
        <f>"9781420085983"</f>
        <v>9781420085983</v>
      </c>
      <c r="H2785" t="s">
        <v>979</v>
      </c>
      <c r="I2785" t="s">
        <v>1650</v>
      </c>
      <c r="J2785" t="s">
        <v>1651</v>
      </c>
      <c r="K2785" t="s">
        <v>73</v>
      </c>
      <c r="N2785" t="s">
        <v>74</v>
      </c>
      <c r="O2785" t="s">
        <v>75</v>
      </c>
      <c r="P2785" t="s">
        <v>74</v>
      </c>
      <c r="Q2785" t="s">
        <v>76</v>
      </c>
      <c r="R2785" t="s">
        <v>73</v>
      </c>
      <c r="S2785">
        <v>0</v>
      </c>
      <c r="W2785" s="20">
        <v>1.6053240740740739E-2</v>
      </c>
      <c r="X2785" t="s">
        <v>5987</v>
      </c>
      <c r="Y2785">
        <v>23</v>
      </c>
      <c r="Z2785">
        <v>0</v>
      </c>
      <c r="AA2785" t="s">
        <v>78</v>
      </c>
      <c r="AB2785">
        <v>0</v>
      </c>
      <c r="AC2785" t="s">
        <v>78</v>
      </c>
      <c r="AD2785">
        <v>0</v>
      </c>
      <c r="AE2785">
        <v>11166018</v>
      </c>
      <c r="AF2785" t="s">
        <v>79</v>
      </c>
      <c r="AG2785" t="s">
        <v>5988</v>
      </c>
    </row>
    <row r="2786" spans="1:33" x14ac:dyDescent="0.35">
      <c r="A2786" s="18">
        <v>44234.634027777778</v>
      </c>
      <c r="B2786">
        <v>1120857</v>
      </c>
      <c r="C2786" t="s">
        <v>3861</v>
      </c>
      <c r="D2786" t="s">
        <v>70</v>
      </c>
      <c r="E2786" s="19">
        <v>41303</v>
      </c>
      <c r="F2786" t="str">
        <f>"9781118403327"</f>
        <v>9781118403327</v>
      </c>
      <c r="G2786" t="str">
        <f>"9781118342367"</f>
        <v>9781118342367</v>
      </c>
      <c r="H2786" t="s">
        <v>1122</v>
      </c>
      <c r="I2786" t="s">
        <v>1123</v>
      </c>
      <c r="J2786" t="s">
        <v>3862</v>
      </c>
      <c r="K2786" t="s">
        <v>73</v>
      </c>
      <c r="N2786" t="s">
        <v>74</v>
      </c>
      <c r="O2786" t="s">
        <v>75</v>
      </c>
      <c r="P2786" t="s">
        <v>74</v>
      </c>
      <c r="Q2786" t="s">
        <v>76</v>
      </c>
      <c r="R2786" t="s">
        <v>73</v>
      </c>
      <c r="S2786">
        <v>0</v>
      </c>
      <c r="W2786" s="20">
        <v>5.3240740740740744E-4</v>
      </c>
      <c r="X2786" t="s">
        <v>5989</v>
      </c>
      <c r="Y2786">
        <v>4</v>
      </c>
      <c r="Z2786">
        <v>0</v>
      </c>
      <c r="AA2786" t="s">
        <v>78</v>
      </c>
      <c r="AB2786">
        <v>0</v>
      </c>
      <c r="AC2786" t="s">
        <v>78</v>
      </c>
      <c r="AD2786">
        <v>0</v>
      </c>
      <c r="AE2786">
        <v>10657971</v>
      </c>
      <c r="AF2786" t="s">
        <v>79</v>
      </c>
      <c r="AG2786" t="s">
        <v>548</v>
      </c>
    </row>
    <row r="2787" spans="1:33" x14ac:dyDescent="0.35">
      <c r="A2787" s="18">
        <v>44234.59375</v>
      </c>
      <c r="B2787">
        <v>5989398</v>
      </c>
      <c r="C2787" t="s">
        <v>2990</v>
      </c>
      <c r="D2787" t="s">
        <v>127</v>
      </c>
      <c r="E2787" s="19">
        <v>43822</v>
      </c>
      <c r="F2787" t="str">
        <f>"9780429846908"</f>
        <v>9780429846908</v>
      </c>
      <c r="G2787" t="str">
        <f>"9781138318090"</f>
        <v>9781138318090</v>
      </c>
      <c r="H2787" t="s">
        <v>2991</v>
      </c>
      <c r="K2787" t="s">
        <v>85</v>
      </c>
      <c r="N2787" t="s">
        <v>186</v>
      </c>
      <c r="P2787" t="s">
        <v>87</v>
      </c>
      <c r="Q2787" t="s">
        <v>76</v>
      </c>
      <c r="R2787" t="s">
        <v>73</v>
      </c>
      <c r="S2787">
        <v>0</v>
      </c>
      <c r="W2787" s="20">
        <v>9.0277777777777784E-4</v>
      </c>
      <c r="X2787" t="s">
        <v>5990</v>
      </c>
      <c r="Y2787">
        <v>10</v>
      </c>
      <c r="Z2787">
        <v>0</v>
      </c>
      <c r="AA2787" t="s">
        <v>78</v>
      </c>
      <c r="AB2787">
        <v>0</v>
      </c>
      <c r="AC2787" t="s">
        <v>78</v>
      </c>
      <c r="AD2787">
        <v>0</v>
      </c>
      <c r="AE2787">
        <v>-1</v>
      </c>
      <c r="AF2787" t="s">
        <v>79</v>
      </c>
      <c r="AG2787" t="s">
        <v>3345</v>
      </c>
    </row>
    <row r="2788" spans="1:33" x14ac:dyDescent="0.35">
      <c r="A2788" s="18">
        <v>44234.593055555553</v>
      </c>
      <c r="B2788">
        <v>5989398</v>
      </c>
      <c r="C2788" t="s">
        <v>2990</v>
      </c>
      <c r="D2788" t="s">
        <v>127</v>
      </c>
      <c r="E2788" s="19">
        <v>43822</v>
      </c>
      <c r="F2788" t="str">
        <f>"9780429846908"</f>
        <v>9780429846908</v>
      </c>
      <c r="G2788" t="str">
        <f>"9781138318090"</f>
        <v>9781138318090</v>
      </c>
      <c r="H2788" t="s">
        <v>2991</v>
      </c>
      <c r="K2788" t="s">
        <v>85</v>
      </c>
      <c r="N2788" t="s">
        <v>186</v>
      </c>
      <c r="P2788" t="s">
        <v>87</v>
      </c>
      <c r="Q2788" t="s">
        <v>76</v>
      </c>
      <c r="R2788" t="s">
        <v>73</v>
      </c>
      <c r="S2788">
        <v>0</v>
      </c>
      <c r="W2788" s="20">
        <v>1.8576388888888889E-2</v>
      </c>
      <c r="X2788" t="s">
        <v>5991</v>
      </c>
      <c r="Y2788">
        <v>9</v>
      </c>
      <c r="Z2788">
        <v>0</v>
      </c>
      <c r="AA2788" t="s">
        <v>78</v>
      </c>
      <c r="AB2788">
        <v>0</v>
      </c>
      <c r="AC2788" t="s">
        <v>78</v>
      </c>
      <c r="AD2788">
        <v>0</v>
      </c>
      <c r="AE2788">
        <v>-1</v>
      </c>
      <c r="AF2788" t="s">
        <v>79</v>
      </c>
      <c r="AG2788" t="s">
        <v>5278</v>
      </c>
    </row>
    <row r="2789" spans="1:33" x14ac:dyDescent="0.35">
      <c r="A2789" s="18">
        <v>44234.592361111114</v>
      </c>
      <c r="B2789">
        <v>534858</v>
      </c>
      <c r="C2789" t="s">
        <v>3959</v>
      </c>
      <c r="D2789" t="s">
        <v>158</v>
      </c>
      <c r="E2789" s="19">
        <v>40144</v>
      </c>
      <c r="F2789" t="str">
        <f>"9780080931562"</f>
        <v>9780080931562</v>
      </c>
      <c r="G2789" t="str">
        <f>"9780444527851"</f>
        <v>9780444527851</v>
      </c>
      <c r="H2789" t="s">
        <v>159</v>
      </c>
      <c r="I2789">
        <v>665.53</v>
      </c>
      <c r="J2789" t="s">
        <v>3960</v>
      </c>
      <c r="K2789" t="s">
        <v>73</v>
      </c>
      <c r="N2789" t="s">
        <v>74</v>
      </c>
      <c r="O2789" t="s">
        <v>75</v>
      </c>
      <c r="P2789" t="s">
        <v>74</v>
      </c>
      <c r="Q2789" t="s">
        <v>76</v>
      </c>
      <c r="R2789" t="s">
        <v>73</v>
      </c>
      <c r="S2789">
        <v>0</v>
      </c>
      <c r="W2789" s="20">
        <v>3.5532407407407405E-3</v>
      </c>
      <c r="X2789" t="s">
        <v>5992</v>
      </c>
      <c r="Y2789">
        <v>23</v>
      </c>
      <c r="Z2789">
        <v>0</v>
      </c>
      <c r="AA2789" t="s">
        <v>78</v>
      </c>
      <c r="AB2789">
        <v>0</v>
      </c>
      <c r="AC2789" t="s">
        <v>78</v>
      </c>
      <c r="AD2789">
        <v>0</v>
      </c>
      <c r="AE2789">
        <v>10378873</v>
      </c>
      <c r="AF2789" t="s">
        <v>79</v>
      </c>
      <c r="AG2789" t="s">
        <v>4894</v>
      </c>
    </row>
    <row r="2790" spans="1:33" x14ac:dyDescent="0.35">
      <c r="A2790" s="18">
        <v>44234.412499999999</v>
      </c>
      <c r="B2790">
        <v>5989398</v>
      </c>
      <c r="C2790" t="s">
        <v>2990</v>
      </c>
      <c r="D2790" t="s">
        <v>127</v>
      </c>
      <c r="E2790" s="19">
        <v>43822</v>
      </c>
      <c r="F2790" t="str">
        <f>"9780429846908"</f>
        <v>9780429846908</v>
      </c>
      <c r="G2790" t="str">
        <f>"9781138318090"</f>
        <v>9781138318090</v>
      </c>
      <c r="H2790" t="s">
        <v>2991</v>
      </c>
      <c r="K2790" t="s">
        <v>85</v>
      </c>
      <c r="N2790" t="s">
        <v>186</v>
      </c>
      <c r="P2790" t="s">
        <v>87</v>
      </c>
      <c r="Q2790" t="s">
        <v>76</v>
      </c>
      <c r="R2790" t="s">
        <v>73</v>
      </c>
      <c r="S2790">
        <v>0</v>
      </c>
      <c r="W2790" s="20">
        <v>9.2592592592592588E-5</v>
      </c>
      <c r="X2790" t="s">
        <v>5993</v>
      </c>
      <c r="Y2790">
        <v>2</v>
      </c>
      <c r="Z2790">
        <v>0</v>
      </c>
      <c r="AA2790" t="s">
        <v>78</v>
      </c>
      <c r="AB2790">
        <v>0</v>
      </c>
      <c r="AC2790" t="s">
        <v>78</v>
      </c>
      <c r="AD2790">
        <v>0</v>
      </c>
      <c r="AE2790">
        <v>-1</v>
      </c>
      <c r="AF2790" t="s">
        <v>88</v>
      </c>
      <c r="AG2790" t="s">
        <v>5994</v>
      </c>
    </row>
    <row r="2791" spans="1:33" x14ac:dyDescent="0.35">
      <c r="A2791" s="18">
        <v>44234.30972222222</v>
      </c>
      <c r="B2791">
        <v>5989398</v>
      </c>
      <c r="C2791" t="s">
        <v>2990</v>
      </c>
      <c r="D2791" t="s">
        <v>127</v>
      </c>
      <c r="E2791" s="19">
        <v>43822</v>
      </c>
      <c r="F2791" t="str">
        <f>"9780429846908"</f>
        <v>9780429846908</v>
      </c>
      <c r="G2791" t="str">
        <f>"9781138318090"</f>
        <v>9781138318090</v>
      </c>
      <c r="H2791" t="s">
        <v>2991</v>
      </c>
      <c r="K2791" t="s">
        <v>85</v>
      </c>
      <c r="N2791" t="s">
        <v>186</v>
      </c>
      <c r="P2791" t="s">
        <v>87</v>
      </c>
      <c r="Q2791" t="s">
        <v>76</v>
      </c>
      <c r="R2791" t="s">
        <v>73</v>
      </c>
      <c r="S2791">
        <v>0</v>
      </c>
      <c r="W2791" s="20">
        <v>3.7037037037037035E-4</v>
      </c>
      <c r="X2791" t="s">
        <v>5995</v>
      </c>
      <c r="Y2791">
        <v>2</v>
      </c>
      <c r="Z2791">
        <v>0</v>
      </c>
      <c r="AA2791" t="s">
        <v>78</v>
      </c>
      <c r="AB2791">
        <v>0</v>
      </c>
      <c r="AC2791" t="s">
        <v>78</v>
      </c>
      <c r="AD2791">
        <v>0</v>
      </c>
      <c r="AE2791">
        <v>-1</v>
      </c>
      <c r="AF2791" t="s">
        <v>79</v>
      </c>
      <c r="AG2791" t="s">
        <v>3345</v>
      </c>
    </row>
    <row r="2792" spans="1:33" x14ac:dyDescent="0.35">
      <c r="A2792" s="18">
        <v>44234.059027777781</v>
      </c>
      <c r="B2792">
        <v>4671407</v>
      </c>
      <c r="C2792" t="s">
        <v>5996</v>
      </c>
      <c r="D2792" t="s">
        <v>798</v>
      </c>
      <c r="E2792" s="19">
        <v>33147</v>
      </c>
      <c r="F2792" t="str">
        <f>"9781442673670"</f>
        <v>9781442673670</v>
      </c>
      <c r="G2792" t="str">
        <f>"9780802067722"</f>
        <v>9780802067722</v>
      </c>
      <c r="H2792" t="s">
        <v>143</v>
      </c>
      <c r="I2792">
        <v>384.54097100000001</v>
      </c>
      <c r="J2792" t="s">
        <v>5997</v>
      </c>
      <c r="K2792" t="s">
        <v>73</v>
      </c>
      <c r="N2792" t="s">
        <v>74</v>
      </c>
      <c r="O2792" t="s">
        <v>75</v>
      </c>
      <c r="P2792" t="s">
        <v>74</v>
      </c>
      <c r="Q2792" t="s">
        <v>76</v>
      </c>
      <c r="R2792" t="s">
        <v>73</v>
      </c>
      <c r="S2792">
        <v>0</v>
      </c>
      <c r="W2792" s="20">
        <v>9.6064814814814808E-4</v>
      </c>
      <c r="X2792" t="s">
        <v>5998</v>
      </c>
      <c r="Y2792">
        <v>10</v>
      </c>
      <c r="Z2792">
        <v>0</v>
      </c>
      <c r="AA2792" t="s">
        <v>78</v>
      </c>
      <c r="AB2792">
        <v>0</v>
      </c>
      <c r="AC2792" t="s">
        <v>78</v>
      </c>
      <c r="AD2792">
        <v>0</v>
      </c>
      <c r="AE2792">
        <v>11257117</v>
      </c>
      <c r="AF2792" t="s">
        <v>79</v>
      </c>
      <c r="AG2792" t="s">
        <v>5829</v>
      </c>
    </row>
    <row r="2793" spans="1:33" x14ac:dyDescent="0.35">
      <c r="A2793" s="18">
        <v>44234.024305555555</v>
      </c>
      <c r="B2793">
        <v>5989398</v>
      </c>
      <c r="C2793" t="s">
        <v>2990</v>
      </c>
      <c r="D2793" t="s">
        <v>127</v>
      </c>
      <c r="E2793" s="19">
        <v>43822</v>
      </c>
      <c r="F2793" t="str">
        <f>"9780429846908"</f>
        <v>9780429846908</v>
      </c>
      <c r="G2793" t="str">
        <f>"9781138318090"</f>
        <v>9781138318090</v>
      </c>
      <c r="H2793" t="s">
        <v>2991</v>
      </c>
      <c r="K2793" t="s">
        <v>85</v>
      </c>
      <c r="N2793" t="s">
        <v>186</v>
      </c>
      <c r="P2793" t="s">
        <v>87</v>
      </c>
      <c r="Q2793" t="s">
        <v>76</v>
      </c>
      <c r="R2793" t="s">
        <v>73</v>
      </c>
      <c r="S2793">
        <v>0</v>
      </c>
      <c r="W2793" s="20">
        <v>3.4722222222222222E-5</v>
      </c>
      <c r="X2793" t="s">
        <v>132</v>
      </c>
      <c r="Y2793">
        <v>1</v>
      </c>
      <c r="Z2793">
        <v>0</v>
      </c>
      <c r="AA2793" t="s">
        <v>78</v>
      </c>
      <c r="AB2793">
        <v>0</v>
      </c>
      <c r="AC2793" t="s">
        <v>78</v>
      </c>
      <c r="AD2793">
        <v>0</v>
      </c>
      <c r="AE2793">
        <v>-1</v>
      </c>
      <c r="AF2793" t="s">
        <v>88</v>
      </c>
      <c r="AG2793" t="s">
        <v>5994</v>
      </c>
    </row>
    <row r="2794" spans="1:33" x14ac:dyDescent="0.35">
      <c r="A2794" s="18">
        <v>44233.991666666669</v>
      </c>
      <c r="B2794">
        <v>958445</v>
      </c>
      <c r="C2794" t="s">
        <v>5194</v>
      </c>
      <c r="D2794" t="s">
        <v>127</v>
      </c>
      <c r="E2794" s="19">
        <v>40875</v>
      </c>
      <c r="F2794" t="str">
        <f>"9780203157732"</f>
        <v>9780203157732</v>
      </c>
      <c r="G2794" t="str">
        <f>"9780415686754"</f>
        <v>9780415686754</v>
      </c>
      <c r="H2794" t="s">
        <v>1878</v>
      </c>
      <c r="I2794" t="s">
        <v>5195</v>
      </c>
      <c r="J2794" t="s">
        <v>5196</v>
      </c>
      <c r="K2794" t="s">
        <v>73</v>
      </c>
      <c r="N2794" t="s">
        <v>74</v>
      </c>
      <c r="O2794" t="s">
        <v>75</v>
      </c>
      <c r="P2794" t="s">
        <v>74</v>
      </c>
      <c r="Q2794" t="s">
        <v>76</v>
      </c>
      <c r="R2794" t="s">
        <v>73</v>
      </c>
      <c r="S2794">
        <v>1</v>
      </c>
      <c r="W2794" s="20">
        <v>0</v>
      </c>
      <c r="X2794" t="s">
        <v>78</v>
      </c>
      <c r="Y2794">
        <v>0</v>
      </c>
      <c r="Z2794">
        <v>0</v>
      </c>
      <c r="AA2794" t="s">
        <v>78</v>
      </c>
      <c r="AB2794">
        <v>0</v>
      </c>
      <c r="AC2794" t="s">
        <v>78</v>
      </c>
      <c r="AD2794">
        <v>0</v>
      </c>
      <c r="AE2794">
        <v>10610090</v>
      </c>
      <c r="AF2794" t="s">
        <v>88</v>
      </c>
      <c r="AG2794" t="s">
        <v>5829</v>
      </c>
    </row>
    <row r="2795" spans="1:33" x14ac:dyDescent="0.35">
      <c r="A2795" s="18">
        <v>44233.982638888891</v>
      </c>
      <c r="B2795">
        <v>5124051</v>
      </c>
      <c r="C2795" t="s">
        <v>5317</v>
      </c>
      <c r="D2795" t="s">
        <v>5318</v>
      </c>
      <c r="E2795" s="19">
        <v>42198</v>
      </c>
      <c r="F2795" t="str">
        <f>"9789814620673"</f>
        <v>9789814620673</v>
      </c>
      <c r="G2795" t="str">
        <f>"9789814620390"</f>
        <v>9789814620390</v>
      </c>
      <c r="H2795" t="s">
        <v>5319</v>
      </c>
      <c r="I2795">
        <v>333.79</v>
      </c>
      <c r="J2795" t="s">
        <v>5320</v>
      </c>
      <c r="K2795" t="s">
        <v>73</v>
      </c>
      <c r="N2795" t="s">
        <v>74</v>
      </c>
      <c r="O2795" t="s">
        <v>75</v>
      </c>
      <c r="P2795" t="s">
        <v>230</v>
      </c>
      <c r="Q2795" t="s">
        <v>76</v>
      </c>
      <c r="R2795" t="s">
        <v>85</v>
      </c>
      <c r="S2795">
        <v>3</v>
      </c>
      <c r="W2795" s="20">
        <v>0</v>
      </c>
      <c r="X2795" t="s">
        <v>78</v>
      </c>
      <c r="Y2795">
        <v>0</v>
      </c>
      <c r="Z2795">
        <v>0</v>
      </c>
      <c r="AA2795" t="s">
        <v>78</v>
      </c>
      <c r="AB2795">
        <v>0</v>
      </c>
      <c r="AC2795" t="s">
        <v>78</v>
      </c>
      <c r="AD2795">
        <v>0</v>
      </c>
      <c r="AE2795">
        <v>11464872</v>
      </c>
      <c r="AF2795" t="s">
        <v>88</v>
      </c>
      <c r="AG2795" t="s">
        <v>5829</v>
      </c>
    </row>
    <row r="2796" spans="1:33" x14ac:dyDescent="0.35">
      <c r="A2796" s="18">
        <v>44233.979166666664</v>
      </c>
      <c r="B2796">
        <v>4877102</v>
      </c>
      <c r="C2796" t="s">
        <v>5552</v>
      </c>
      <c r="D2796" t="s">
        <v>741</v>
      </c>
      <c r="E2796" s="19">
        <v>41425</v>
      </c>
      <c r="F2796" t="str">
        <f>"9781423220503"</f>
        <v>9781423220503</v>
      </c>
      <c r="G2796" t="str">
        <f>"9781423220251"</f>
        <v>9781423220251</v>
      </c>
      <c r="H2796" t="s">
        <v>5553</v>
      </c>
      <c r="I2796">
        <v>302.23099999999999</v>
      </c>
      <c r="J2796" t="s">
        <v>5554</v>
      </c>
      <c r="K2796" t="s">
        <v>73</v>
      </c>
      <c r="N2796" t="s">
        <v>74</v>
      </c>
      <c r="O2796" t="s">
        <v>75</v>
      </c>
      <c r="P2796" t="s">
        <v>74</v>
      </c>
      <c r="Q2796" t="s">
        <v>76</v>
      </c>
      <c r="R2796" t="s">
        <v>73</v>
      </c>
      <c r="S2796">
        <v>0</v>
      </c>
      <c r="W2796" s="20">
        <v>8.6805555555555551E-4</v>
      </c>
      <c r="X2796" t="s">
        <v>5999</v>
      </c>
      <c r="Y2796">
        <v>5</v>
      </c>
      <c r="Z2796">
        <v>0</v>
      </c>
      <c r="AA2796" t="s">
        <v>78</v>
      </c>
      <c r="AB2796">
        <v>0</v>
      </c>
      <c r="AC2796" t="s">
        <v>78</v>
      </c>
      <c r="AD2796">
        <v>0</v>
      </c>
      <c r="AE2796">
        <v>11397748</v>
      </c>
      <c r="AF2796" t="s">
        <v>79</v>
      </c>
      <c r="AG2796" t="s">
        <v>6000</v>
      </c>
    </row>
    <row r="2797" spans="1:33" x14ac:dyDescent="0.35">
      <c r="A2797" s="18">
        <v>44233.808333333334</v>
      </c>
      <c r="B2797">
        <v>3018238</v>
      </c>
      <c r="C2797" t="s">
        <v>5784</v>
      </c>
      <c r="D2797" t="s">
        <v>226</v>
      </c>
      <c r="E2797" s="19">
        <v>40360</v>
      </c>
      <c r="F2797" t="str">
        <f>"9781611225709"</f>
        <v>9781611225709</v>
      </c>
      <c r="G2797" t="str">
        <f>"9781608763603"</f>
        <v>9781608763603</v>
      </c>
      <c r="H2797" t="s">
        <v>5785</v>
      </c>
      <c r="I2797" t="s">
        <v>5786</v>
      </c>
      <c r="J2797" t="s">
        <v>5787</v>
      </c>
      <c r="K2797" t="s">
        <v>73</v>
      </c>
      <c r="N2797" t="s">
        <v>74</v>
      </c>
      <c r="O2797" t="s">
        <v>75</v>
      </c>
      <c r="P2797" t="s">
        <v>230</v>
      </c>
      <c r="Q2797" t="s">
        <v>76</v>
      </c>
      <c r="R2797" t="s">
        <v>85</v>
      </c>
      <c r="S2797">
        <v>0</v>
      </c>
      <c r="W2797" s="20">
        <v>1.5081018518518516E-2</v>
      </c>
      <c r="X2797" t="s">
        <v>6001</v>
      </c>
      <c r="Y2797">
        <v>12</v>
      </c>
      <c r="Z2797">
        <v>0</v>
      </c>
      <c r="AA2797" t="s">
        <v>78</v>
      </c>
      <c r="AB2797">
        <v>0</v>
      </c>
      <c r="AC2797" t="s">
        <v>78</v>
      </c>
      <c r="AD2797">
        <v>0</v>
      </c>
      <c r="AE2797">
        <v>10659160</v>
      </c>
      <c r="AF2797" t="s">
        <v>79</v>
      </c>
      <c r="AG2797" t="s">
        <v>333</v>
      </c>
    </row>
    <row r="2798" spans="1:33" x14ac:dyDescent="0.35">
      <c r="A2798" s="18">
        <v>44233.805555555555</v>
      </c>
      <c r="B2798">
        <v>452043</v>
      </c>
      <c r="C2798" t="s">
        <v>6002</v>
      </c>
      <c r="D2798" t="s">
        <v>538</v>
      </c>
      <c r="E2798" s="19">
        <v>40025</v>
      </c>
      <c r="F2798" t="str">
        <f>"9780511593505"</f>
        <v>9780511593505</v>
      </c>
      <c r="G2798" t="str">
        <f>"9780521898362"</f>
        <v>9780521898362</v>
      </c>
      <c r="H2798" t="s">
        <v>251</v>
      </c>
      <c r="I2798">
        <v>342.08780000000002</v>
      </c>
      <c r="J2798" t="s">
        <v>6003</v>
      </c>
      <c r="K2798" t="s">
        <v>73</v>
      </c>
      <c r="N2798" t="s">
        <v>74</v>
      </c>
      <c r="O2798" t="s">
        <v>75</v>
      </c>
      <c r="P2798" t="s">
        <v>74</v>
      </c>
      <c r="Q2798" t="s">
        <v>76</v>
      </c>
      <c r="R2798" t="s">
        <v>73</v>
      </c>
      <c r="S2798">
        <v>0</v>
      </c>
      <c r="W2798" s="20">
        <v>9.9537037037037042E-4</v>
      </c>
      <c r="X2798" t="s">
        <v>6004</v>
      </c>
      <c r="Y2798">
        <v>3</v>
      </c>
      <c r="Z2798">
        <v>0</v>
      </c>
      <c r="AA2798" t="s">
        <v>78</v>
      </c>
      <c r="AB2798">
        <v>0</v>
      </c>
      <c r="AC2798" t="s">
        <v>2381</v>
      </c>
      <c r="AD2798">
        <v>1</v>
      </c>
      <c r="AE2798">
        <v>10329771</v>
      </c>
      <c r="AF2798" t="s">
        <v>88</v>
      </c>
      <c r="AG2798" t="s">
        <v>5316</v>
      </c>
    </row>
    <row r="2799" spans="1:33" x14ac:dyDescent="0.35">
      <c r="A2799" s="18">
        <v>44233.802083333336</v>
      </c>
      <c r="B2799">
        <v>1602822</v>
      </c>
      <c r="C2799" t="s">
        <v>4019</v>
      </c>
      <c r="D2799" t="s">
        <v>127</v>
      </c>
      <c r="E2799" s="19">
        <v>40890</v>
      </c>
      <c r="F2799" t="str">
        <f>"9781439897836"</f>
        <v>9781439897836</v>
      </c>
      <c r="G2799" t="str">
        <f>"9781439804452"</f>
        <v>9781439804452</v>
      </c>
      <c r="H2799" t="s">
        <v>979</v>
      </c>
      <c r="I2799" t="s">
        <v>4020</v>
      </c>
      <c r="J2799" t="s">
        <v>4021</v>
      </c>
      <c r="K2799" t="s">
        <v>73</v>
      </c>
      <c r="N2799" t="s">
        <v>74</v>
      </c>
      <c r="O2799" t="s">
        <v>75</v>
      </c>
      <c r="P2799" t="s">
        <v>74</v>
      </c>
      <c r="Q2799" t="s">
        <v>76</v>
      </c>
      <c r="R2799" t="s">
        <v>73</v>
      </c>
      <c r="S2799">
        <v>1</v>
      </c>
      <c r="W2799" s="20">
        <v>0</v>
      </c>
      <c r="X2799" t="s">
        <v>78</v>
      </c>
      <c r="Y2799">
        <v>0</v>
      </c>
      <c r="Z2799">
        <v>0</v>
      </c>
      <c r="AA2799" t="s">
        <v>78</v>
      </c>
      <c r="AB2799">
        <v>0</v>
      </c>
      <c r="AC2799" t="s">
        <v>78</v>
      </c>
      <c r="AD2799">
        <v>0</v>
      </c>
      <c r="AE2799">
        <v>11167228</v>
      </c>
      <c r="AF2799" t="s">
        <v>88</v>
      </c>
      <c r="AG2799" t="s">
        <v>5316</v>
      </c>
    </row>
    <row r="2800" spans="1:33" x14ac:dyDescent="0.35">
      <c r="A2800" s="18">
        <v>44233.797222222223</v>
      </c>
      <c r="B2800">
        <v>1602822</v>
      </c>
      <c r="C2800" t="s">
        <v>4019</v>
      </c>
      <c r="D2800" t="s">
        <v>127</v>
      </c>
      <c r="E2800" s="19">
        <v>40890</v>
      </c>
      <c r="F2800" t="str">
        <f>"9781439897836"</f>
        <v>9781439897836</v>
      </c>
      <c r="G2800" t="str">
        <f>"9781439804452"</f>
        <v>9781439804452</v>
      </c>
      <c r="H2800" t="s">
        <v>979</v>
      </c>
      <c r="I2800" t="s">
        <v>4020</v>
      </c>
      <c r="J2800" t="s">
        <v>4021</v>
      </c>
      <c r="K2800" t="s">
        <v>73</v>
      </c>
      <c r="N2800" t="s">
        <v>74</v>
      </c>
      <c r="O2800" t="s">
        <v>75</v>
      </c>
      <c r="P2800" t="s">
        <v>74</v>
      </c>
      <c r="Q2800" t="s">
        <v>76</v>
      </c>
      <c r="R2800" t="s">
        <v>73</v>
      </c>
      <c r="S2800">
        <v>0</v>
      </c>
      <c r="W2800" s="20">
        <v>4.363425925925926E-3</v>
      </c>
      <c r="X2800" t="s">
        <v>6005</v>
      </c>
      <c r="Y2800">
        <v>9</v>
      </c>
      <c r="Z2800">
        <v>2</v>
      </c>
      <c r="AA2800" t="s">
        <v>6006</v>
      </c>
      <c r="AB2800">
        <v>24</v>
      </c>
      <c r="AC2800" t="s">
        <v>78</v>
      </c>
      <c r="AD2800">
        <v>0</v>
      </c>
      <c r="AE2800">
        <v>11167228</v>
      </c>
      <c r="AF2800" t="s">
        <v>88</v>
      </c>
      <c r="AG2800" t="s">
        <v>5316</v>
      </c>
    </row>
    <row r="2801" spans="1:33" x14ac:dyDescent="0.35">
      <c r="A2801" s="18">
        <v>44233.788194444445</v>
      </c>
      <c r="B2801">
        <v>1752821</v>
      </c>
      <c r="C2801" t="s">
        <v>5128</v>
      </c>
      <c r="D2801" t="s">
        <v>1642</v>
      </c>
      <c r="E2801" s="19">
        <v>41802</v>
      </c>
      <c r="F2801" t="str">
        <f>"9781784411817"</f>
        <v>9781784411817</v>
      </c>
      <c r="G2801" t="str">
        <f>"9781784411800"</f>
        <v>9781784411800</v>
      </c>
      <c r="H2801" t="s">
        <v>110</v>
      </c>
      <c r="I2801">
        <v>5.74</v>
      </c>
      <c r="J2801" t="s">
        <v>5129</v>
      </c>
      <c r="K2801" t="s">
        <v>73</v>
      </c>
      <c r="N2801" t="s">
        <v>74</v>
      </c>
      <c r="O2801" t="s">
        <v>75</v>
      </c>
      <c r="P2801" t="s">
        <v>74</v>
      </c>
      <c r="Q2801" t="s">
        <v>76</v>
      </c>
      <c r="R2801" t="s">
        <v>73</v>
      </c>
      <c r="S2801">
        <v>0</v>
      </c>
      <c r="W2801" s="20">
        <v>3.9004629629629632E-2</v>
      </c>
      <c r="X2801" t="s">
        <v>6007</v>
      </c>
      <c r="Y2801">
        <v>16</v>
      </c>
      <c r="Z2801">
        <v>0</v>
      </c>
      <c r="AA2801" t="s">
        <v>78</v>
      </c>
      <c r="AB2801">
        <v>0</v>
      </c>
      <c r="AC2801" t="s">
        <v>78</v>
      </c>
      <c r="AD2801">
        <v>0</v>
      </c>
      <c r="AE2801">
        <v>10900573</v>
      </c>
      <c r="AF2801" t="s">
        <v>79</v>
      </c>
      <c r="AG2801" t="s">
        <v>4894</v>
      </c>
    </row>
    <row r="2802" spans="1:33" x14ac:dyDescent="0.35">
      <c r="A2802" s="18">
        <v>44233.777083333334</v>
      </c>
      <c r="B2802">
        <v>1108978</v>
      </c>
      <c r="C2802" t="s">
        <v>6008</v>
      </c>
      <c r="D2802" t="s">
        <v>158</v>
      </c>
      <c r="E2802" s="19">
        <v>41290</v>
      </c>
      <c r="F2802" t="str">
        <f>"9780123814630"</f>
        <v>9780123814630</v>
      </c>
      <c r="G2802" t="str">
        <f>"9780123814623"</f>
        <v>9780123814623</v>
      </c>
      <c r="H2802" t="s">
        <v>6009</v>
      </c>
      <c r="I2802">
        <v>612.46299999999997</v>
      </c>
      <c r="J2802" t="s">
        <v>6010</v>
      </c>
      <c r="K2802" t="s">
        <v>73</v>
      </c>
      <c r="N2802" t="s">
        <v>74</v>
      </c>
      <c r="O2802" t="s">
        <v>75</v>
      </c>
      <c r="P2802" t="s">
        <v>74</v>
      </c>
      <c r="Q2802" t="s">
        <v>76</v>
      </c>
      <c r="R2802" t="s">
        <v>73</v>
      </c>
      <c r="S2802">
        <v>0</v>
      </c>
      <c r="W2802" s="20">
        <v>1.4814814814814814E-3</v>
      </c>
      <c r="X2802" t="s">
        <v>6011</v>
      </c>
      <c r="Y2802">
        <v>8</v>
      </c>
      <c r="Z2802">
        <v>0</v>
      </c>
      <c r="AA2802" t="s">
        <v>78</v>
      </c>
      <c r="AB2802">
        <v>0</v>
      </c>
      <c r="AC2802" t="s">
        <v>78</v>
      </c>
      <c r="AD2802">
        <v>0</v>
      </c>
      <c r="AE2802">
        <v>10636497</v>
      </c>
      <c r="AF2802" t="s">
        <v>79</v>
      </c>
      <c r="AG2802" t="s">
        <v>6012</v>
      </c>
    </row>
    <row r="2803" spans="1:33" x14ac:dyDescent="0.35">
      <c r="A2803" s="18">
        <v>44233.759722222225</v>
      </c>
      <c r="B2803">
        <v>634551</v>
      </c>
      <c r="C2803" t="s">
        <v>6013</v>
      </c>
      <c r="D2803" t="s">
        <v>1240</v>
      </c>
      <c r="E2803" s="19">
        <v>40591</v>
      </c>
      <c r="F2803" t="str">
        <f>"9781441173133"</f>
        <v>9781441173133</v>
      </c>
      <c r="G2803" t="str">
        <f>"9781847063205"</f>
        <v>9781847063205</v>
      </c>
      <c r="H2803" t="s">
        <v>1204</v>
      </c>
      <c r="I2803" t="s">
        <v>6014</v>
      </c>
      <c r="J2803" t="s">
        <v>6015</v>
      </c>
      <c r="K2803" t="s">
        <v>73</v>
      </c>
      <c r="N2803" t="s">
        <v>74</v>
      </c>
      <c r="O2803" t="s">
        <v>75</v>
      </c>
      <c r="P2803" t="s">
        <v>74</v>
      </c>
      <c r="Q2803" t="s">
        <v>76</v>
      </c>
      <c r="R2803" t="s">
        <v>73</v>
      </c>
      <c r="S2803">
        <v>0</v>
      </c>
      <c r="W2803" s="20">
        <v>2.6620370370370372E-4</v>
      </c>
      <c r="X2803" t="s">
        <v>6016</v>
      </c>
      <c r="Y2803">
        <v>3</v>
      </c>
      <c r="Z2803">
        <v>0</v>
      </c>
      <c r="AA2803" t="s">
        <v>78</v>
      </c>
      <c r="AB2803">
        <v>0</v>
      </c>
      <c r="AC2803" t="s">
        <v>78</v>
      </c>
      <c r="AD2803">
        <v>0</v>
      </c>
      <c r="AE2803">
        <v>10438519</v>
      </c>
      <c r="AF2803" t="s">
        <v>79</v>
      </c>
      <c r="AG2803" t="s">
        <v>5278</v>
      </c>
    </row>
    <row r="2804" spans="1:33" x14ac:dyDescent="0.35">
      <c r="A2804" s="18">
        <v>44233.743055555555</v>
      </c>
      <c r="B2804">
        <v>1895501</v>
      </c>
      <c r="C2804" t="s">
        <v>6017</v>
      </c>
      <c r="D2804" t="s">
        <v>70</v>
      </c>
      <c r="E2804" s="19">
        <v>42170</v>
      </c>
      <c r="F2804" t="str">
        <f>"9781118584187"</f>
        <v>9781118584187</v>
      </c>
      <c r="G2804" t="str">
        <f>"9780470670743"</f>
        <v>9780470670743</v>
      </c>
      <c r="H2804" t="s">
        <v>1204</v>
      </c>
      <c r="I2804" t="s">
        <v>6014</v>
      </c>
      <c r="J2804" t="s">
        <v>6018</v>
      </c>
      <c r="K2804" t="s">
        <v>73</v>
      </c>
      <c r="N2804" t="s">
        <v>74</v>
      </c>
      <c r="O2804" t="s">
        <v>75</v>
      </c>
      <c r="P2804" t="s">
        <v>74</v>
      </c>
      <c r="Q2804" t="s">
        <v>76</v>
      </c>
      <c r="R2804" t="s">
        <v>73</v>
      </c>
      <c r="S2804">
        <v>0</v>
      </c>
      <c r="W2804" s="20">
        <v>0</v>
      </c>
      <c r="X2804" t="s">
        <v>78</v>
      </c>
      <c r="Y2804">
        <v>0</v>
      </c>
      <c r="Z2804">
        <v>3</v>
      </c>
      <c r="AA2804" t="s">
        <v>6019</v>
      </c>
      <c r="AB2804">
        <v>85</v>
      </c>
      <c r="AC2804" t="s">
        <v>78</v>
      </c>
      <c r="AD2804">
        <v>0</v>
      </c>
      <c r="AE2804">
        <v>11041467</v>
      </c>
      <c r="AF2804" t="s">
        <v>79</v>
      </c>
      <c r="AG2804" t="s">
        <v>5278</v>
      </c>
    </row>
    <row r="2805" spans="1:33" x14ac:dyDescent="0.35">
      <c r="A2805" s="18">
        <v>44233.730555555558</v>
      </c>
      <c r="B2805">
        <v>1107121</v>
      </c>
      <c r="C2805" t="s">
        <v>6020</v>
      </c>
      <c r="D2805" t="s">
        <v>550</v>
      </c>
      <c r="E2805" s="19">
        <v>40624</v>
      </c>
      <c r="F2805" t="str">
        <f>"9781443828109"</f>
        <v>9781443828109</v>
      </c>
      <c r="G2805" t="str">
        <f>"9781443827171"</f>
        <v>9781443827171</v>
      </c>
      <c r="H2805" t="s">
        <v>1204</v>
      </c>
      <c r="I2805">
        <v>404.41</v>
      </c>
      <c r="J2805" t="s">
        <v>6021</v>
      </c>
      <c r="K2805" t="s">
        <v>73</v>
      </c>
      <c r="N2805" t="s">
        <v>74</v>
      </c>
      <c r="O2805" t="s">
        <v>75</v>
      </c>
      <c r="P2805" t="s">
        <v>74</v>
      </c>
      <c r="Q2805" t="s">
        <v>76</v>
      </c>
      <c r="R2805" t="s">
        <v>73</v>
      </c>
      <c r="S2805">
        <v>0</v>
      </c>
      <c r="W2805" s="20">
        <v>6.4814814814814813E-4</v>
      </c>
      <c r="X2805" t="s">
        <v>6022</v>
      </c>
      <c r="Y2805">
        <v>10</v>
      </c>
      <c r="Z2805">
        <v>3</v>
      </c>
      <c r="AA2805" t="s">
        <v>6023</v>
      </c>
      <c r="AB2805">
        <v>36</v>
      </c>
      <c r="AC2805" t="s">
        <v>78</v>
      </c>
      <c r="AD2805">
        <v>0</v>
      </c>
      <c r="AE2805">
        <v>10642905</v>
      </c>
      <c r="AF2805" t="s">
        <v>79</v>
      </c>
      <c r="AG2805" t="s">
        <v>5278</v>
      </c>
    </row>
    <row r="2806" spans="1:33" x14ac:dyDescent="0.35">
      <c r="A2806" s="18">
        <v>44233.674305555556</v>
      </c>
      <c r="B2806">
        <v>3008749</v>
      </c>
      <c r="C2806" t="s">
        <v>5920</v>
      </c>
      <c r="D2806" t="s">
        <v>158</v>
      </c>
      <c r="E2806" s="19">
        <v>41353</v>
      </c>
      <c r="F2806" t="str">
        <f>"9780080885223"</f>
        <v>9780080885223</v>
      </c>
      <c r="G2806" t="str">
        <f>"9780123747396"</f>
        <v>9780123747396</v>
      </c>
      <c r="H2806" t="s">
        <v>1561</v>
      </c>
      <c r="I2806">
        <v>551.41</v>
      </c>
      <c r="J2806" t="s">
        <v>5921</v>
      </c>
      <c r="K2806" t="s">
        <v>73</v>
      </c>
      <c r="N2806" t="s">
        <v>74</v>
      </c>
      <c r="O2806" t="s">
        <v>75</v>
      </c>
      <c r="P2806" t="s">
        <v>74</v>
      </c>
      <c r="Q2806" t="s">
        <v>76</v>
      </c>
      <c r="R2806" t="s">
        <v>73</v>
      </c>
      <c r="S2806">
        <v>0</v>
      </c>
      <c r="W2806" s="20">
        <v>8.6805555555555551E-4</v>
      </c>
      <c r="X2806" t="s">
        <v>6024</v>
      </c>
      <c r="Y2806">
        <v>2</v>
      </c>
      <c r="Z2806">
        <v>9</v>
      </c>
      <c r="AA2806" t="s">
        <v>6025</v>
      </c>
      <c r="AB2806">
        <v>177</v>
      </c>
      <c r="AC2806" t="s">
        <v>78</v>
      </c>
      <c r="AD2806">
        <v>0</v>
      </c>
      <c r="AE2806">
        <v>10671465</v>
      </c>
      <c r="AF2806" t="s">
        <v>88</v>
      </c>
      <c r="AG2806" t="s">
        <v>5837</v>
      </c>
    </row>
    <row r="2807" spans="1:33" x14ac:dyDescent="0.35">
      <c r="A2807" s="18">
        <v>44233.67291666667</v>
      </c>
      <c r="B2807">
        <v>5987486</v>
      </c>
      <c r="C2807" t="s">
        <v>5937</v>
      </c>
      <c r="D2807" t="s">
        <v>338</v>
      </c>
      <c r="E2807" s="19">
        <v>43794</v>
      </c>
      <c r="F2807" t="str">
        <f>"9780444641090"</f>
        <v>9780444641090</v>
      </c>
      <c r="G2807" t="str">
        <f>"9780444641083"</f>
        <v>9780444641083</v>
      </c>
      <c r="H2807" t="s">
        <v>285</v>
      </c>
      <c r="J2807" t="s">
        <v>5938</v>
      </c>
      <c r="K2807" t="s">
        <v>73</v>
      </c>
      <c r="N2807" t="s">
        <v>74</v>
      </c>
      <c r="O2807" t="s">
        <v>75</v>
      </c>
      <c r="P2807" t="s">
        <v>74</v>
      </c>
      <c r="Q2807" t="s">
        <v>76</v>
      </c>
      <c r="R2807" t="s">
        <v>73</v>
      </c>
      <c r="S2807">
        <v>0</v>
      </c>
      <c r="W2807" s="20">
        <v>0</v>
      </c>
      <c r="X2807" t="s">
        <v>78</v>
      </c>
      <c r="Y2807">
        <v>0</v>
      </c>
      <c r="Z2807">
        <v>1</v>
      </c>
      <c r="AA2807" t="s">
        <v>5939</v>
      </c>
      <c r="AB2807">
        <v>28</v>
      </c>
      <c r="AC2807" t="s">
        <v>78</v>
      </c>
      <c r="AD2807">
        <v>0</v>
      </c>
      <c r="AE2807">
        <v>-1</v>
      </c>
      <c r="AF2807" t="s">
        <v>88</v>
      </c>
      <c r="AG2807" t="s">
        <v>5837</v>
      </c>
    </row>
    <row r="2808" spans="1:33" x14ac:dyDescent="0.35">
      <c r="A2808" s="18">
        <v>44233.671527777777</v>
      </c>
      <c r="B2808">
        <v>1182933</v>
      </c>
      <c r="C2808" t="s">
        <v>5940</v>
      </c>
      <c r="D2808" t="s">
        <v>538</v>
      </c>
      <c r="E2808" s="19">
        <v>41421</v>
      </c>
      <c r="F2808" t="str">
        <f>"9781107057579"</f>
        <v>9781107057579</v>
      </c>
      <c r="G2808" t="str">
        <f>"9781107005549"</f>
        <v>9781107005549</v>
      </c>
      <c r="H2808" t="s">
        <v>1905</v>
      </c>
      <c r="I2808">
        <v>551.41499999999996</v>
      </c>
      <c r="J2808" t="s">
        <v>5941</v>
      </c>
      <c r="K2808" t="s">
        <v>73</v>
      </c>
      <c r="N2808" t="s">
        <v>74</v>
      </c>
      <c r="O2808" t="s">
        <v>75</v>
      </c>
      <c r="P2808" t="s">
        <v>74</v>
      </c>
      <c r="Q2808" t="s">
        <v>76</v>
      </c>
      <c r="R2808" t="s">
        <v>73</v>
      </c>
      <c r="S2808">
        <v>0</v>
      </c>
      <c r="W2808" s="20">
        <v>0</v>
      </c>
      <c r="X2808" t="s">
        <v>78</v>
      </c>
      <c r="Y2808">
        <v>0</v>
      </c>
      <c r="Z2808">
        <v>1</v>
      </c>
      <c r="AA2808" t="s">
        <v>6026</v>
      </c>
      <c r="AB2808">
        <v>42</v>
      </c>
      <c r="AC2808" t="s">
        <v>78</v>
      </c>
      <c r="AD2808">
        <v>0</v>
      </c>
      <c r="AE2808">
        <v>10695299</v>
      </c>
      <c r="AF2808" t="s">
        <v>88</v>
      </c>
      <c r="AG2808" t="s">
        <v>5837</v>
      </c>
    </row>
    <row r="2809" spans="1:33" x14ac:dyDescent="0.35">
      <c r="A2809" s="18">
        <v>44233.67083333333</v>
      </c>
      <c r="B2809">
        <v>1744757</v>
      </c>
      <c r="C2809" t="s">
        <v>6027</v>
      </c>
      <c r="D2809" t="s">
        <v>70</v>
      </c>
      <c r="E2809" s="19">
        <v>41918</v>
      </c>
      <c r="F2809" t="str">
        <f>"9781118920442"</f>
        <v>9781118920442</v>
      </c>
      <c r="G2809" t="str">
        <f>"9781118920466"</f>
        <v>9781118920466</v>
      </c>
      <c r="H2809" t="s">
        <v>1561</v>
      </c>
      <c r="I2809">
        <v>552.50916336</v>
      </c>
      <c r="J2809" t="s">
        <v>6028</v>
      </c>
      <c r="K2809" t="s">
        <v>73</v>
      </c>
      <c r="N2809" t="s">
        <v>74</v>
      </c>
      <c r="O2809" t="s">
        <v>75</v>
      </c>
      <c r="P2809" t="s">
        <v>74</v>
      </c>
      <c r="Q2809" t="s">
        <v>76</v>
      </c>
      <c r="R2809" t="s">
        <v>73</v>
      </c>
      <c r="S2809">
        <v>0</v>
      </c>
      <c r="W2809" s="20">
        <v>1.0416666666666667E-4</v>
      </c>
      <c r="X2809" t="s">
        <v>6029</v>
      </c>
      <c r="Y2809">
        <v>2</v>
      </c>
      <c r="Z2809">
        <v>0</v>
      </c>
      <c r="AA2809" t="s">
        <v>78</v>
      </c>
      <c r="AB2809">
        <v>0</v>
      </c>
      <c r="AC2809" t="s">
        <v>78</v>
      </c>
      <c r="AD2809">
        <v>0</v>
      </c>
      <c r="AE2809">
        <v>10901881</v>
      </c>
      <c r="AF2809" t="s">
        <v>88</v>
      </c>
      <c r="AG2809" t="s">
        <v>5837</v>
      </c>
    </row>
    <row r="2810" spans="1:33" x14ac:dyDescent="0.35">
      <c r="A2810" s="18">
        <v>44233.669444444444</v>
      </c>
      <c r="B2810">
        <v>1449504</v>
      </c>
      <c r="C2810" t="s">
        <v>5934</v>
      </c>
      <c r="D2810" t="s">
        <v>127</v>
      </c>
      <c r="E2810" s="19">
        <v>40864</v>
      </c>
      <c r="F2810" t="str">
        <f>"9781439803066"</f>
        <v>9781439803066</v>
      </c>
      <c r="G2810" t="str">
        <f>"9781439803059"</f>
        <v>9781439803059</v>
      </c>
      <c r="H2810" t="s">
        <v>285</v>
      </c>
      <c r="I2810">
        <v>631.4</v>
      </c>
      <c r="J2810" t="s">
        <v>5935</v>
      </c>
      <c r="K2810" t="s">
        <v>73</v>
      </c>
      <c r="N2810" t="s">
        <v>74</v>
      </c>
      <c r="O2810" t="s">
        <v>75</v>
      </c>
      <c r="P2810" t="s">
        <v>74</v>
      </c>
      <c r="Q2810" t="s">
        <v>76</v>
      </c>
      <c r="R2810" t="s">
        <v>73</v>
      </c>
      <c r="S2810">
        <v>0</v>
      </c>
      <c r="W2810" s="20">
        <v>0</v>
      </c>
      <c r="X2810" t="s">
        <v>78</v>
      </c>
      <c r="Y2810">
        <v>0</v>
      </c>
      <c r="Z2810">
        <v>2</v>
      </c>
      <c r="AA2810" t="s">
        <v>6030</v>
      </c>
      <c r="AB2810">
        <v>52</v>
      </c>
      <c r="AC2810" t="s">
        <v>78</v>
      </c>
      <c r="AD2810">
        <v>0</v>
      </c>
      <c r="AE2810">
        <v>10512268</v>
      </c>
      <c r="AF2810" t="s">
        <v>88</v>
      </c>
      <c r="AG2810" t="s">
        <v>5837</v>
      </c>
    </row>
    <row r="2811" spans="1:33" x14ac:dyDescent="0.35">
      <c r="A2811" s="18">
        <v>44233.668749999997</v>
      </c>
      <c r="B2811">
        <v>4036197</v>
      </c>
      <c r="C2811" t="s">
        <v>5927</v>
      </c>
      <c r="D2811" t="s">
        <v>70</v>
      </c>
      <c r="E2811" s="19">
        <v>42359</v>
      </c>
      <c r="F2811" t="str">
        <f>"9781118540633"</f>
        <v>9781118540633</v>
      </c>
      <c r="G2811" t="str">
        <f>"9781118540695"</f>
        <v>9781118540695</v>
      </c>
      <c r="H2811" t="s">
        <v>285</v>
      </c>
      <c r="I2811">
        <v>631.4</v>
      </c>
      <c r="J2811" t="s">
        <v>5928</v>
      </c>
      <c r="K2811" t="s">
        <v>73</v>
      </c>
      <c r="N2811" t="s">
        <v>74</v>
      </c>
      <c r="O2811" t="s">
        <v>75</v>
      </c>
      <c r="P2811" t="s">
        <v>74</v>
      </c>
      <c r="Q2811" t="s">
        <v>76</v>
      </c>
      <c r="R2811" t="s">
        <v>73</v>
      </c>
      <c r="S2811">
        <v>0</v>
      </c>
      <c r="W2811" s="20">
        <v>0</v>
      </c>
      <c r="X2811" t="s">
        <v>78</v>
      </c>
      <c r="Y2811">
        <v>0</v>
      </c>
      <c r="Z2811">
        <v>1</v>
      </c>
      <c r="AA2811" t="s">
        <v>5929</v>
      </c>
      <c r="AB2811">
        <v>18</v>
      </c>
      <c r="AC2811" t="s">
        <v>78</v>
      </c>
      <c r="AD2811">
        <v>0</v>
      </c>
      <c r="AE2811">
        <v>11110905</v>
      </c>
      <c r="AF2811" t="s">
        <v>88</v>
      </c>
      <c r="AG2811" t="s">
        <v>5837</v>
      </c>
    </row>
    <row r="2812" spans="1:33" x14ac:dyDescent="0.35">
      <c r="A2812" s="18">
        <v>44233.615972222222</v>
      </c>
      <c r="B2812">
        <v>3018238</v>
      </c>
      <c r="C2812" t="s">
        <v>5784</v>
      </c>
      <c r="D2812" t="s">
        <v>226</v>
      </c>
      <c r="E2812" s="19">
        <v>40360</v>
      </c>
      <c r="F2812" t="str">
        <f>"9781611225709"</f>
        <v>9781611225709</v>
      </c>
      <c r="G2812" t="str">
        <f>"9781608763603"</f>
        <v>9781608763603</v>
      </c>
      <c r="H2812" t="s">
        <v>5785</v>
      </c>
      <c r="I2812" t="s">
        <v>5786</v>
      </c>
      <c r="J2812" t="s">
        <v>5787</v>
      </c>
      <c r="K2812" t="s">
        <v>73</v>
      </c>
      <c r="N2812" t="s">
        <v>74</v>
      </c>
      <c r="O2812" t="s">
        <v>75</v>
      </c>
      <c r="P2812" t="s">
        <v>230</v>
      </c>
      <c r="Q2812" t="s">
        <v>76</v>
      </c>
      <c r="R2812" t="s">
        <v>85</v>
      </c>
      <c r="S2812">
        <v>0</v>
      </c>
      <c r="W2812" s="20">
        <v>1.9363425925925926E-2</v>
      </c>
      <c r="X2812" t="s">
        <v>6031</v>
      </c>
      <c r="Y2812">
        <v>43</v>
      </c>
      <c r="Z2812">
        <v>0</v>
      </c>
      <c r="AA2812" t="s">
        <v>78</v>
      </c>
      <c r="AB2812">
        <v>0</v>
      </c>
      <c r="AC2812" t="s">
        <v>78</v>
      </c>
      <c r="AD2812">
        <v>0</v>
      </c>
      <c r="AE2812">
        <v>10659160</v>
      </c>
      <c r="AF2812" t="s">
        <v>79</v>
      </c>
      <c r="AG2812" t="s">
        <v>333</v>
      </c>
    </row>
    <row r="2813" spans="1:33" x14ac:dyDescent="0.35">
      <c r="A2813" s="18">
        <v>44233.613888888889</v>
      </c>
      <c r="B2813">
        <v>1193096</v>
      </c>
      <c r="C2813" t="s">
        <v>6032</v>
      </c>
      <c r="D2813" t="s">
        <v>239</v>
      </c>
      <c r="E2813" s="19">
        <v>40087</v>
      </c>
      <c r="F2813" t="str">
        <f>"9789814277495"</f>
        <v>9789814277495</v>
      </c>
      <c r="G2813" t="str">
        <f>"9789814277471"</f>
        <v>9789814277471</v>
      </c>
      <c r="H2813" t="s">
        <v>1905</v>
      </c>
      <c r="I2813">
        <v>551.4</v>
      </c>
      <c r="J2813" t="s">
        <v>6033</v>
      </c>
      <c r="K2813" t="s">
        <v>73</v>
      </c>
      <c r="N2813" t="s">
        <v>74</v>
      </c>
      <c r="O2813" t="s">
        <v>75</v>
      </c>
      <c r="P2813" t="s">
        <v>74</v>
      </c>
      <c r="Q2813" t="s">
        <v>76</v>
      </c>
      <c r="R2813" t="s">
        <v>73</v>
      </c>
      <c r="S2813">
        <v>0</v>
      </c>
      <c r="W2813" s="20">
        <v>2.1296296296296298E-3</v>
      </c>
      <c r="X2813" t="s">
        <v>6034</v>
      </c>
      <c r="Y2813">
        <v>21</v>
      </c>
      <c r="Z2813">
        <v>0</v>
      </c>
      <c r="AA2813" t="s">
        <v>78</v>
      </c>
      <c r="AB2813">
        <v>0</v>
      </c>
      <c r="AC2813" t="s">
        <v>78</v>
      </c>
      <c r="AD2813">
        <v>0</v>
      </c>
      <c r="AE2813">
        <v>10422304</v>
      </c>
      <c r="AF2813" t="s">
        <v>79</v>
      </c>
      <c r="AG2813" t="s">
        <v>333</v>
      </c>
    </row>
    <row r="2814" spans="1:33" x14ac:dyDescent="0.35">
      <c r="A2814" s="18">
        <v>44233.602777777778</v>
      </c>
      <c r="B2814">
        <v>1823228</v>
      </c>
      <c r="C2814" t="s">
        <v>6035</v>
      </c>
      <c r="D2814" t="s">
        <v>3187</v>
      </c>
      <c r="E2814" s="19">
        <v>41988</v>
      </c>
      <c r="F2814" t="str">
        <f>"9781780234168"</f>
        <v>9781780234168</v>
      </c>
      <c r="G2814" t="str">
        <f>"9781780233475"</f>
        <v>9781780233475</v>
      </c>
      <c r="H2814" t="s">
        <v>1905</v>
      </c>
      <c r="I2814">
        <v>551.46370000000002</v>
      </c>
      <c r="J2814" t="s">
        <v>6036</v>
      </c>
      <c r="K2814" t="s">
        <v>73</v>
      </c>
      <c r="N2814" t="s">
        <v>74</v>
      </c>
      <c r="O2814" t="s">
        <v>75</v>
      </c>
      <c r="P2814" t="s">
        <v>74</v>
      </c>
      <c r="Q2814" t="s">
        <v>76</v>
      </c>
      <c r="R2814" t="s">
        <v>73</v>
      </c>
      <c r="S2814">
        <v>0</v>
      </c>
      <c r="W2814" s="20">
        <v>8.9583333333333338E-3</v>
      </c>
      <c r="X2814" t="s">
        <v>6037</v>
      </c>
      <c r="Y2814">
        <v>48</v>
      </c>
      <c r="Z2814">
        <v>0</v>
      </c>
      <c r="AA2814" t="s">
        <v>78</v>
      </c>
      <c r="AB2814">
        <v>0</v>
      </c>
      <c r="AC2814" t="s">
        <v>78</v>
      </c>
      <c r="AD2814">
        <v>0</v>
      </c>
      <c r="AE2814">
        <v>10959501</v>
      </c>
      <c r="AF2814" t="s">
        <v>79</v>
      </c>
      <c r="AG2814" t="s">
        <v>333</v>
      </c>
    </row>
    <row r="2815" spans="1:33" x14ac:dyDescent="0.35">
      <c r="A2815" s="18">
        <v>44233.529861111114</v>
      </c>
      <c r="B2815">
        <v>713117</v>
      </c>
      <c r="C2815" t="s">
        <v>6038</v>
      </c>
      <c r="D2815" t="s">
        <v>506</v>
      </c>
      <c r="E2815" s="19">
        <v>40544</v>
      </c>
      <c r="F2815" t="str">
        <f>"9789042033047"</f>
        <v>9789042033047</v>
      </c>
      <c r="G2815" t="str">
        <f>"9789042033030"</f>
        <v>9789042033030</v>
      </c>
      <c r="H2815" t="s">
        <v>636</v>
      </c>
      <c r="I2815">
        <v>809.91129999999998</v>
      </c>
      <c r="J2815" t="s">
        <v>6039</v>
      </c>
      <c r="K2815" t="s">
        <v>73</v>
      </c>
      <c r="N2815" t="s">
        <v>74</v>
      </c>
      <c r="O2815" t="s">
        <v>75</v>
      </c>
      <c r="P2815" t="s">
        <v>74</v>
      </c>
      <c r="Q2815" t="s">
        <v>76</v>
      </c>
      <c r="R2815" t="s">
        <v>73</v>
      </c>
      <c r="S2815">
        <v>0</v>
      </c>
      <c r="W2815" s="20">
        <v>6.3657407407407402E-4</v>
      </c>
      <c r="X2815" t="s">
        <v>6040</v>
      </c>
      <c r="Y2815">
        <v>4</v>
      </c>
      <c r="Z2815">
        <v>0</v>
      </c>
      <c r="AA2815" t="s">
        <v>78</v>
      </c>
      <c r="AB2815">
        <v>0</v>
      </c>
      <c r="AC2815" t="s">
        <v>78</v>
      </c>
      <c r="AD2815">
        <v>0</v>
      </c>
      <c r="AE2815">
        <v>10479204</v>
      </c>
      <c r="AF2815" t="s">
        <v>79</v>
      </c>
      <c r="AG2815" t="s">
        <v>6041</v>
      </c>
    </row>
    <row r="2816" spans="1:33" x14ac:dyDescent="0.35">
      <c r="A2816" s="18">
        <v>44233.396527777775</v>
      </c>
      <c r="B2816">
        <v>571095</v>
      </c>
      <c r="C2816" t="s">
        <v>5506</v>
      </c>
      <c r="D2816" t="s">
        <v>5507</v>
      </c>
      <c r="E2816" s="19">
        <v>39701</v>
      </c>
      <c r="F2816" t="str">
        <f>"9780387746357"</f>
        <v>9780387746357</v>
      </c>
      <c r="G2816" t="str">
        <f>"9780387746333"</f>
        <v>9780387746333</v>
      </c>
      <c r="H2816" t="s">
        <v>5508</v>
      </c>
      <c r="I2816">
        <v>303.49</v>
      </c>
      <c r="J2816" t="s">
        <v>5372</v>
      </c>
      <c r="K2816" t="s">
        <v>73</v>
      </c>
      <c r="N2816" t="s">
        <v>74</v>
      </c>
      <c r="O2816" t="s">
        <v>75</v>
      </c>
      <c r="P2816" t="s">
        <v>74</v>
      </c>
      <c r="Q2816" t="s">
        <v>76</v>
      </c>
      <c r="R2816" t="s">
        <v>73</v>
      </c>
      <c r="S2816">
        <v>0</v>
      </c>
      <c r="W2816" s="20">
        <v>2.8819444444444444E-3</v>
      </c>
      <c r="X2816" t="s">
        <v>6042</v>
      </c>
      <c r="Y2816">
        <v>24</v>
      </c>
      <c r="Z2816">
        <v>1</v>
      </c>
      <c r="AA2816" t="s">
        <v>6043</v>
      </c>
      <c r="AB2816">
        <v>34</v>
      </c>
      <c r="AC2816" t="s">
        <v>78</v>
      </c>
      <c r="AD2816">
        <v>0</v>
      </c>
      <c r="AE2816">
        <v>10379443</v>
      </c>
      <c r="AF2816" t="s">
        <v>79</v>
      </c>
      <c r="AG2816" t="s">
        <v>3345</v>
      </c>
    </row>
    <row r="2817" spans="1:33" x14ac:dyDescent="0.35">
      <c r="A2817" s="18">
        <v>44233.015277777777</v>
      </c>
      <c r="B2817">
        <v>319161</v>
      </c>
      <c r="C2817" t="s">
        <v>6044</v>
      </c>
      <c r="D2817" t="s">
        <v>158</v>
      </c>
      <c r="E2817" s="19">
        <v>37910</v>
      </c>
      <c r="F2817" t="str">
        <f>"9780080523859"</f>
        <v>9780080523859</v>
      </c>
      <c r="G2817" t="str">
        <f>"9780750677219"</f>
        <v>9780750677219</v>
      </c>
      <c r="H2817" t="s">
        <v>159</v>
      </c>
      <c r="I2817" t="s">
        <v>6045</v>
      </c>
      <c r="J2817" t="s">
        <v>6046</v>
      </c>
      <c r="K2817" t="s">
        <v>73</v>
      </c>
      <c r="N2817" t="s">
        <v>74</v>
      </c>
      <c r="O2817" t="s">
        <v>75</v>
      </c>
      <c r="P2817" t="s">
        <v>74</v>
      </c>
      <c r="Q2817" t="s">
        <v>76</v>
      </c>
      <c r="R2817" t="s">
        <v>73</v>
      </c>
      <c r="S2817">
        <v>0</v>
      </c>
      <c r="W2817" s="20">
        <v>3.0902777777777782E-3</v>
      </c>
      <c r="X2817" t="s">
        <v>6047</v>
      </c>
      <c r="Y2817">
        <v>4</v>
      </c>
      <c r="Z2817">
        <v>0</v>
      </c>
      <c r="AA2817" t="s">
        <v>78</v>
      </c>
      <c r="AB2817">
        <v>0</v>
      </c>
      <c r="AC2817" t="s">
        <v>78</v>
      </c>
      <c r="AD2817">
        <v>0</v>
      </c>
      <c r="AE2817">
        <v>10205980</v>
      </c>
      <c r="AF2817" t="s">
        <v>79</v>
      </c>
      <c r="AG2817" t="s">
        <v>548</v>
      </c>
    </row>
    <row r="2818" spans="1:33" x14ac:dyDescent="0.35">
      <c r="A2818" s="18">
        <v>44232.948611111111</v>
      </c>
      <c r="B2818">
        <v>319161</v>
      </c>
      <c r="C2818" t="s">
        <v>6044</v>
      </c>
      <c r="D2818" t="s">
        <v>158</v>
      </c>
      <c r="E2818" s="19">
        <v>37910</v>
      </c>
      <c r="F2818" t="str">
        <f>"9780080523859"</f>
        <v>9780080523859</v>
      </c>
      <c r="G2818" t="str">
        <f>"9780750677219"</f>
        <v>9780750677219</v>
      </c>
      <c r="H2818" t="s">
        <v>159</v>
      </c>
      <c r="I2818" t="s">
        <v>6045</v>
      </c>
      <c r="J2818" t="s">
        <v>6046</v>
      </c>
      <c r="K2818" t="s">
        <v>73</v>
      </c>
      <c r="N2818" t="s">
        <v>74</v>
      </c>
      <c r="O2818" t="s">
        <v>75</v>
      </c>
      <c r="P2818" t="s">
        <v>74</v>
      </c>
      <c r="Q2818" t="s">
        <v>76</v>
      </c>
      <c r="R2818" t="s">
        <v>73</v>
      </c>
      <c r="S2818">
        <v>0</v>
      </c>
      <c r="W2818" s="20">
        <v>1.8981481481481482E-3</v>
      </c>
      <c r="X2818" t="s">
        <v>6048</v>
      </c>
      <c r="Y2818">
        <v>5</v>
      </c>
      <c r="Z2818">
        <v>0</v>
      </c>
      <c r="AA2818" t="s">
        <v>78</v>
      </c>
      <c r="AB2818">
        <v>0</v>
      </c>
      <c r="AC2818" t="s">
        <v>78</v>
      </c>
      <c r="AD2818">
        <v>0</v>
      </c>
      <c r="AE2818">
        <v>10205980</v>
      </c>
      <c r="AF2818" t="s">
        <v>79</v>
      </c>
      <c r="AG2818" t="s">
        <v>548</v>
      </c>
    </row>
    <row r="2819" spans="1:33" x14ac:dyDescent="0.35">
      <c r="A2819" s="18">
        <v>44232.888888888891</v>
      </c>
      <c r="B2819">
        <v>319161</v>
      </c>
      <c r="C2819" t="s">
        <v>6044</v>
      </c>
      <c r="D2819" t="s">
        <v>158</v>
      </c>
      <c r="E2819" s="19">
        <v>37910</v>
      </c>
      <c r="F2819" t="str">
        <f>"9780080523859"</f>
        <v>9780080523859</v>
      </c>
      <c r="G2819" t="str">
        <f>"9780750677219"</f>
        <v>9780750677219</v>
      </c>
      <c r="H2819" t="s">
        <v>159</v>
      </c>
      <c r="I2819" t="s">
        <v>6045</v>
      </c>
      <c r="J2819" t="s">
        <v>6046</v>
      </c>
      <c r="K2819" t="s">
        <v>73</v>
      </c>
      <c r="N2819" t="s">
        <v>74</v>
      </c>
      <c r="O2819" t="s">
        <v>75</v>
      </c>
      <c r="P2819" t="s">
        <v>74</v>
      </c>
      <c r="Q2819" t="s">
        <v>76</v>
      </c>
      <c r="R2819" t="s">
        <v>73</v>
      </c>
      <c r="S2819">
        <v>0</v>
      </c>
      <c r="W2819" s="20">
        <v>1.3587962962962963E-2</v>
      </c>
      <c r="X2819" t="s">
        <v>6049</v>
      </c>
      <c r="Y2819">
        <v>45</v>
      </c>
      <c r="Z2819">
        <v>0</v>
      </c>
      <c r="AA2819" t="s">
        <v>78</v>
      </c>
      <c r="AB2819">
        <v>0</v>
      </c>
      <c r="AC2819" t="s">
        <v>78</v>
      </c>
      <c r="AD2819">
        <v>0</v>
      </c>
      <c r="AE2819">
        <v>10205980</v>
      </c>
      <c r="AF2819" t="s">
        <v>79</v>
      </c>
      <c r="AG2819" t="s">
        <v>548</v>
      </c>
    </row>
    <row r="2820" spans="1:33" x14ac:dyDescent="0.35">
      <c r="A2820" s="18">
        <v>44232.856944444444</v>
      </c>
      <c r="B2820">
        <v>1209355</v>
      </c>
      <c r="C2820" t="s">
        <v>6050</v>
      </c>
      <c r="D2820" t="s">
        <v>189</v>
      </c>
      <c r="E2820" s="19">
        <v>42061</v>
      </c>
      <c r="F2820" t="str">
        <f>"9781614513599"</f>
        <v>9781614513599</v>
      </c>
      <c r="G2820" t="str">
        <f>"9781614513872"</f>
        <v>9781614513872</v>
      </c>
      <c r="H2820" t="s">
        <v>128</v>
      </c>
      <c r="I2820">
        <v>306.44</v>
      </c>
      <c r="J2820" t="s">
        <v>6051</v>
      </c>
      <c r="K2820" t="s">
        <v>73</v>
      </c>
      <c r="N2820" t="s">
        <v>74</v>
      </c>
      <c r="O2820" t="s">
        <v>75</v>
      </c>
      <c r="P2820" t="s">
        <v>74</v>
      </c>
      <c r="Q2820" t="s">
        <v>76</v>
      </c>
      <c r="R2820" t="s">
        <v>73</v>
      </c>
      <c r="S2820">
        <v>0</v>
      </c>
      <c r="W2820" s="20">
        <v>5.7870370370370378E-4</v>
      </c>
      <c r="X2820" t="s">
        <v>6052</v>
      </c>
      <c r="Y2820">
        <v>5</v>
      </c>
      <c r="Z2820">
        <v>0</v>
      </c>
      <c r="AA2820" t="s">
        <v>78</v>
      </c>
      <c r="AB2820">
        <v>0</v>
      </c>
      <c r="AC2820" t="s">
        <v>78</v>
      </c>
      <c r="AD2820">
        <v>0</v>
      </c>
      <c r="AE2820">
        <v>11049527</v>
      </c>
      <c r="AF2820" t="s">
        <v>79</v>
      </c>
      <c r="AG2820" t="s">
        <v>5390</v>
      </c>
    </row>
    <row r="2821" spans="1:33" x14ac:dyDescent="0.35">
      <c r="A2821" s="18">
        <v>44232.82708333333</v>
      </c>
      <c r="B2821">
        <v>958445</v>
      </c>
      <c r="C2821" t="s">
        <v>5194</v>
      </c>
      <c r="D2821" t="s">
        <v>127</v>
      </c>
      <c r="E2821" s="19">
        <v>40875</v>
      </c>
      <c r="F2821" t="str">
        <f>"9780203157732"</f>
        <v>9780203157732</v>
      </c>
      <c r="G2821" t="str">
        <f>"9780415686754"</f>
        <v>9780415686754</v>
      </c>
      <c r="H2821" t="s">
        <v>1878</v>
      </c>
      <c r="I2821" t="s">
        <v>5195</v>
      </c>
      <c r="J2821" t="s">
        <v>5196</v>
      </c>
      <c r="K2821" t="s">
        <v>73</v>
      </c>
      <c r="N2821" t="s">
        <v>74</v>
      </c>
      <c r="O2821" t="s">
        <v>75</v>
      </c>
      <c r="P2821" t="s">
        <v>74</v>
      </c>
      <c r="Q2821" t="s">
        <v>76</v>
      </c>
      <c r="R2821" t="s">
        <v>73</v>
      </c>
      <c r="S2821">
        <v>0</v>
      </c>
      <c r="W2821" s="20">
        <v>0</v>
      </c>
      <c r="X2821" t="s">
        <v>78</v>
      </c>
      <c r="Y2821">
        <v>0</v>
      </c>
      <c r="Z2821">
        <v>1</v>
      </c>
      <c r="AA2821" t="s">
        <v>6053</v>
      </c>
      <c r="AB2821">
        <v>32</v>
      </c>
      <c r="AC2821" t="s">
        <v>78</v>
      </c>
      <c r="AD2821">
        <v>0</v>
      </c>
      <c r="AE2821">
        <v>10610090</v>
      </c>
      <c r="AF2821" t="s">
        <v>88</v>
      </c>
      <c r="AG2821" t="s">
        <v>5829</v>
      </c>
    </row>
    <row r="2822" spans="1:33" x14ac:dyDescent="0.35">
      <c r="A2822" s="18">
        <v>44232.709027777775</v>
      </c>
      <c r="B2822">
        <v>5989398</v>
      </c>
      <c r="C2822" t="s">
        <v>2990</v>
      </c>
      <c r="D2822" t="s">
        <v>127</v>
      </c>
      <c r="E2822" s="19">
        <v>43822</v>
      </c>
      <c r="F2822" t="str">
        <f>"9780429846908"</f>
        <v>9780429846908</v>
      </c>
      <c r="G2822" t="str">
        <f>"9781138318090"</f>
        <v>9781138318090</v>
      </c>
      <c r="H2822" t="s">
        <v>2991</v>
      </c>
      <c r="K2822" t="s">
        <v>85</v>
      </c>
      <c r="N2822" t="s">
        <v>186</v>
      </c>
      <c r="P2822" t="s">
        <v>87</v>
      </c>
      <c r="Q2822" t="s">
        <v>76</v>
      </c>
      <c r="R2822" t="s">
        <v>73</v>
      </c>
      <c r="S2822">
        <v>0</v>
      </c>
      <c r="W2822" s="20">
        <v>2.0370370370370373E-3</v>
      </c>
      <c r="X2822" t="s">
        <v>6054</v>
      </c>
      <c r="Y2822">
        <v>11</v>
      </c>
      <c r="Z2822">
        <v>0</v>
      </c>
      <c r="AA2822" t="s">
        <v>78</v>
      </c>
      <c r="AB2822">
        <v>0</v>
      </c>
      <c r="AC2822" t="s">
        <v>78</v>
      </c>
      <c r="AD2822">
        <v>0</v>
      </c>
      <c r="AE2822">
        <v>-1</v>
      </c>
      <c r="AF2822" t="s">
        <v>88</v>
      </c>
      <c r="AG2822" t="s">
        <v>5994</v>
      </c>
    </row>
    <row r="2823" spans="1:33" x14ac:dyDescent="0.35">
      <c r="A2823" s="18">
        <v>44232.645138888889</v>
      </c>
      <c r="B2823">
        <v>319161</v>
      </c>
      <c r="C2823" t="s">
        <v>6044</v>
      </c>
      <c r="D2823" t="s">
        <v>158</v>
      </c>
      <c r="E2823" s="19">
        <v>37910</v>
      </c>
      <c r="F2823" t="str">
        <f>"9780080523859"</f>
        <v>9780080523859</v>
      </c>
      <c r="G2823" t="str">
        <f>"9780750677219"</f>
        <v>9780750677219</v>
      </c>
      <c r="H2823" t="s">
        <v>159</v>
      </c>
      <c r="I2823" t="s">
        <v>6045</v>
      </c>
      <c r="J2823" t="s">
        <v>6046</v>
      </c>
      <c r="K2823" t="s">
        <v>73</v>
      </c>
      <c r="N2823" t="s">
        <v>74</v>
      </c>
      <c r="O2823" t="s">
        <v>75</v>
      </c>
      <c r="P2823" t="s">
        <v>74</v>
      </c>
      <c r="Q2823" t="s">
        <v>76</v>
      </c>
      <c r="R2823" t="s">
        <v>73</v>
      </c>
      <c r="S2823">
        <v>0</v>
      </c>
      <c r="W2823" s="20">
        <v>2.4768518518518516E-3</v>
      </c>
      <c r="X2823" t="s">
        <v>6055</v>
      </c>
      <c r="Y2823">
        <v>2</v>
      </c>
      <c r="Z2823">
        <v>0</v>
      </c>
      <c r="AA2823" t="s">
        <v>78</v>
      </c>
      <c r="AB2823">
        <v>0</v>
      </c>
      <c r="AC2823" t="s">
        <v>78</v>
      </c>
      <c r="AD2823">
        <v>0</v>
      </c>
      <c r="AE2823">
        <v>10205980</v>
      </c>
      <c r="AF2823" t="s">
        <v>79</v>
      </c>
      <c r="AG2823" t="s">
        <v>548</v>
      </c>
    </row>
    <row r="2824" spans="1:33" x14ac:dyDescent="0.35">
      <c r="A2824" s="18">
        <v>44232.618750000001</v>
      </c>
      <c r="B2824">
        <v>319161</v>
      </c>
      <c r="C2824" t="s">
        <v>6044</v>
      </c>
      <c r="D2824" t="s">
        <v>158</v>
      </c>
      <c r="E2824" s="19">
        <v>37910</v>
      </c>
      <c r="F2824" t="str">
        <f>"9780080523859"</f>
        <v>9780080523859</v>
      </c>
      <c r="G2824" t="str">
        <f>"9780750677219"</f>
        <v>9780750677219</v>
      </c>
      <c r="H2824" t="s">
        <v>159</v>
      </c>
      <c r="I2824" t="s">
        <v>6045</v>
      </c>
      <c r="J2824" t="s">
        <v>6046</v>
      </c>
      <c r="K2824" t="s">
        <v>73</v>
      </c>
      <c r="N2824" t="s">
        <v>74</v>
      </c>
      <c r="O2824" t="s">
        <v>75</v>
      </c>
      <c r="P2824" t="s">
        <v>74</v>
      </c>
      <c r="Q2824" t="s">
        <v>76</v>
      </c>
      <c r="R2824" t="s">
        <v>73</v>
      </c>
      <c r="S2824">
        <v>0</v>
      </c>
      <c r="W2824" s="20">
        <v>1.0416666666666667E-4</v>
      </c>
      <c r="X2824" t="s">
        <v>6056</v>
      </c>
      <c r="Y2824">
        <v>3</v>
      </c>
      <c r="Z2824">
        <v>0</v>
      </c>
      <c r="AA2824" t="s">
        <v>78</v>
      </c>
      <c r="AB2824">
        <v>0</v>
      </c>
      <c r="AC2824" t="s">
        <v>78</v>
      </c>
      <c r="AD2824">
        <v>0</v>
      </c>
      <c r="AE2824">
        <v>10205980</v>
      </c>
      <c r="AF2824" t="s">
        <v>79</v>
      </c>
      <c r="AG2824" t="s">
        <v>548</v>
      </c>
    </row>
    <row r="2825" spans="1:33" x14ac:dyDescent="0.35">
      <c r="A2825" s="18">
        <v>44232.537499999999</v>
      </c>
      <c r="B2825">
        <v>319161</v>
      </c>
      <c r="C2825" t="s">
        <v>6044</v>
      </c>
      <c r="D2825" t="s">
        <v>158</v>
      </c>
      <c r="E2825" s="19">
        <v>37910</v>
      </c>
      <c r="F2825" t="str">
        <f>"9780080523859"</f>
        <v>9780080523859</v>
      </c>
      <c r="G2825" t="str">
        <f>"9780750677219"</f>
        <v>9780750677219</v>
      </c>
      <c r="H2825" t="s">
        <v>159</v>
      </c>
      <c r="I2825" t="s">
        <v>6045</v>
      </c>
      <c r="J2825" t="s">
        <v>6046</v>
      </c>
      <c r="K2825" t="s">
        <v>73</v>
      </c>
      <c r="N2825" t="s">
        <v>74</v>
      </c>
      <c r="O2825" t="s">
        <v>75</v>
      </c>
      <c r="P2825" t="s">
        <v>74</v>
      </c>
      <c r="Q2825" t="s">
        <v>76</v>
      </c>
      <c r="R2825" t="s">
        <v>73</v>
      </c>
      <c r="S2825">
        <v>0</v>
      </c>
      <c r="W2825" s="20">
        <v>6.1574074074074074E-3</v>
      </c>
      <c r="X2825" t="s">
        <v>6057</v>
      </c>
      <c r="Y2825">
        <v>8</v>
      </c>
      <c r="Z2825">
        <v>0</v>
      </c>
      <c r="AA2825" t="s">
        <v>78</v>
      </c>
      <c r="AB2825">
        <v>0</v>
      </c>
      <c r="AC2825" t="s">
        <v>78</v>
      </c>
      <c r="AD2825">
        <v>0</v>
      </c>
      <c r="AE2825">
        <v>10205980</v>
      </c>
      <c r="AF2825" t="s">
        <v>79</v>
      </c>
      <c r="AG2825" t="s">
        <v>548</v>
      </c>
    </row>
    <row r="2826" spans="1:33" x14ac:dyDescent="0.35">
      <c r="A2826" s="18">
        <v>44232.504166666666</v>
      </c>
      <c r="B2826">
        <v>5989398</v>
      </c>
      <c r="C2826" t="s">
        <v>2990</v>
      </c>
      <c r="D2826" t="s">
        <v>127</v>
      </c>
      <c r="E2826" s="19">
        <v>43822</v>
      </c>
      <c r="F2826" t="str">
        <f>"9780429846908"</f>
        <v>9780429846908</v>
      </c>
      <c r="G2826" t="str">
        <f>"9781138318090"</f>
        <v>9781138318090</v>
      </c>
      <c r="H2826" t="s">
        <v>2991</v>
      </c>
      <c r="K2826" t="s">
        <v>85</v>
      </c>
      <c r="N2826" t="s">
        <v>186</v>
      </c>
      <c r="P2826" t="s">
        <v>87</v>
      </c>
      <c r="Q2826" t="s">
        <v>76</v>
      </c>
      <c r="R2826" t="s">
        <v>73</v>
      </c>
      <c r="S2826">
        <v>0</v>
      </c>
      <c r="W2826" s="20">
        <v>6.4247685185185185E-2</v>
      </c>
      <c r="X2826" t="s">
        <v>6058</v>
      </c>
      <c r="Y2826">
        <v>15</v>
      </c>
      <c r="Z2826">
        <v>0</v>
      </c>
      <c r="AA2826" t="s">
        <v>78</v>
      </c>
      <c r="AB2826">
        <v>0</v>
      </c>
      <c r="AC2826" t="s">
        <v>6059</v>
      </c>
      <c r="AD2826">
        <v>14</v>
      </c>
      <c r="AE2826">
        <v>-1</v>
      </c>
      <c r="AF2826" t="s">
        <v>88</v>
      </c>
      <c r="AG2826" t="s">
        <v>5994</v>
      </c>
    </row>
    <row r="2827" spans="1:33" x14ac:dyDescent="0.35">
      <c r="A2827" s="18">
        <v>44232.472916666666</v>
      </c>
      <c r="B2827">
        <v>5989398</v>
      </c>
      <c r="C2827" t="s">
        <v>2990</v>
      </c>
      <c r="D2827" t="s">
        <v>127</v>
      </c>
      <c r="E2827" s="19">
        <v>43822</v>
      </c>
      <c r="F2827" t="str">
        <f>"9780429846908"</f>
        <v>9780429846908</v>
      </c>
      <c r="G2827" t="str">
        <f>"9781138318090"</f>
        <v>9781138318090</v>
      </c>
      <c r="H2827" t="s">
        <v>2991</v>
      </c>
      <c r="K2827" t="s">
        <v>85</v>
      </c>
      <c r="N2827" t="s">
        <v>186</v>
      </c>
      <c r="P2827" t="s">
        <v>87</v>
      </c>
      <c r="Q2827" t="s">
        <v>76</v>
      </c>
      <c r="R2827" t="s">
        <v>73</v>
      </c>
      <c r="S2827">
        <v>0</v>
      </c>
      <c r="W2827" s="20">
        <v>3.7731481481481483E-3</v>
      </c>
      <c r="X2827" t="s">
        <v>6060</v>
      </c>
      <c r="Y2827">
        <v>7</v>
      </c>
      <c r="Z2827">
        <v>0</v>
      </c>
      <c r="AA2827" t="s">
        <v>78</v>
      </c>
      <c r="AB2827">
        <v>0</v>
      </c>
      <c r="AC2827" t="s">
        <v>6061</v>
      </c>
      <c r="AD2827">
        <v>2</v>
      </c>
      <c r="AE2827">
        <v>-1</v>
      </c>
      <c r="AF2827" t="s">
        <v>88</v>
      </c>
      <c r="AG2827" t="s">
        <v>5994</v>
      </c>
    </row>
    <row r="2828" spans="1:33" x14ac:dyDescent="0.35">
      <c r="A2828" s="18">
        <v>44232.351388888892</v>
      </c>
      <c r="B2828">
        <v>1389357</v>
      </c>
      <c r="C2828" t="s">
        <v>6062</v>
      </c>
      <c r="D2828" t="s">
        <v>2550</v>
      </c>
      <c r="E2828" s="19">
        <v>41572</v>
      </c>
      <c r="F2828" t="str">
        <f>"9781782171393"</f>
        <v>9781782171393</v>
      </c>
      <c r="G2828" t="str">
        <f>"9781782171386"</f>
        <v>9781782171386</v>
      </c>
      <c r="H2828" t="s">
        <v>110</v>
      </c>
      <c r="I2828">
        <v>5.46</v>
      </c>
      <c r="J2828" t="s">
        <v>6063</v>
      </c>
      <c r="K2828" t="s">
        <v>73</v>
      </c>
      <c r="N2828" t="s">
        <v>74</v>
      </c>
      <c r="O2828" t="s">
        <v>75</v>
      </c>
      <c r="P2828" t="s">
        <v>230</v>
      </c>
      <c r="Q2828" t="s">
        <v>76</v>
      </c>
      <c r="R2828" t="s">
        <v>85</v>
      </c>
      <c r="S2828">
        <v>1</v>
      </c>
      <c r="W2828" s="20">
        <v>0</v>
      </c>
      <c r="X2828" t="s">
        <v>78</v>
      </c>
      <c r="Y2828">
        <v>0</v>
      </c>
      <c r="Z2828">
        <v>0</v>
      </c>
      <c r="AA2828" t="s">
        <v>78</v>
      </c>
      <c r="AB2828">
        <v>0</v>
      </c>
      <c r="AC2828" t="s">
        <v>78</v>
      </c>
      <c r="AD2828">
        <v>0</v>
      </c>
      <c r="AE2828">
        <v>10790270</v>
      </c>
      <c r="AF2828" t="s">
        <v>88</v>
      </c>
      <c r="AG2828" t="s">
        <v>6064</v>
      </c>
    </row>
    <row r="2829" spans="1:33" x14ac:dyDescent="0.35">
      <c r="A2829" s="18">
        <v>44231.972916666666</v>
      </c>
      <c r="B2829">
        <v>3299989</v>
      </c>
      <c r="C2829" t="s">
        <v>6065</v>
      </c>
      <c r="D2829" t="s">
        <v>1300</v>
      </c>
      <c r="E2829" s="19">
        <v>36326</v>
      </c>
      <c r="F2829" t="str">
        <f>"9780674028821"</f>
        <v>9780674028821</v>
      </c>
      <c r="G2829" t="str">
        <f>"9780674341869"</f>
        <v>9780674341869</v>
      </c>
      <c r="H2829" t="s">
        <v>1400</v>
      </c>
      <c r="I2829">
        <v>152.4</v>
      </c>
      <c r="J2829" t="s">
        <v>6066</v>
      </c>
      <c r="K2829" t="s">
        <v>73</v>
      </c>
      <c r="N2829" t="s">
        <v>74</v>
      </c>
      <c r="O2829" t="s">
        <v>75</v>
      </c>
      <c r="P2829" t="s">
        <v>230</v>
      </c>
      <c r="Q2829" t="s">
        <v>76</v>
      </c>
      <c r="R2829" t="s">
        <v>85</v>
      </c>
      <c r="S2829">
        <v>0</v>
      </c>
      <c r="W2829" s="20">
        <v>6.4930555555555549E-3</v>
      </c>
      <c r="X2829" t="s">
        <v>6067</v>
      </c>
      <c r="Y2829">
        <v>58</v>
      </c>
      <c r="Z2829">
        <v>0</v>
      </c>
      <c r="AA2829" t="s">
        <v>78</v>
      </c>
      <c r="AB2829">
        <v>0</v>
      </c>
      <c r="AC2829" t="s">
        <v>78</v>
      </c>
      <c r="AD2829">
        <v>0</v>
      </c>
      <c r="AE2829">
        <v>5004910</v>
      </c>
      <c r="AF2829" t="s">
        <v>79</v>
      </c>
      <c r="AG2829" t="s">
        <v>5390</v>
      </c>
    </row>
    <row r="2830" spans="1:33" x14ac:dyDescent="0.35">
      <c r="A2830" s="18">
        <v>44231.94027777778</v>
      </c>
      <c r="B2830">
        <v>622602</v>
      </c>
      <c r="C2830" t="s">
        <v>6068</v>
      </c>
      <c r="D2830" t="s">
        <v>1360</v>
      </c>
      <c r="E2830" s="19">
        <v>37358</v>
      </c>
      <c r="F2830" t="str">
        <f>"9789027297419"</f>
        <v>9789027297419</v>
      </c>
      <c r="G2830" t="str">
        <f>"9789027251121"</f>
        <v>9789027251121</v>
      </c>
      <c r="H2830" t="s">
        <v>128</v>
      </c>
      <c r="I2830">
        <v>305.3</v>
      </c>
      <c r="J2830" t="s">
        <v>6069</v>
      </c>
      <c r="K2830" t="s">
        <v>73</v>
      </c>
      <c r="N2830" t="s">
        <v>74</v>
      </c>
      <c r="O2830" t="s">
        <v>75</v>
      </c>
      <c r="P2830" t="s">
        <v>74</v>
      </c>
      <c r="Q2830" t="s">
        <v>76</v>
      </c>
      <c r="R2830" t="s">
        <v>73</v>
      </c>
      <c r="S2830">
        <v>0</v>
      </c>
      <c r="W2830" s="20">
        <v>3.0439814814814821E-3</v>
      </c>
      <c r="X2830" t="s">
        <v>6070</v>
      </c>
      <c r="Y2830">
        <v>9</v>
      </c>
      <c r="Z2830">
        <v>0</v>
      </c>
      <c r="AA2830" t="s">
        <v>78</v>
      </c>
      <c r="AB2830">
        <v>0</v>
      </c>
      <c r="AC2830" t="s">
        <v>78</v>
      </c>
      <c r="AD2830">
        <v>0</v>
      </c>
      <c r="AE2830">
        <v>10022295</v>
      </c>
      <c r="AF2830" t="s">
        <v>79</v>
      </c>
      <c r="AG2830" t="s">
        <v>5390</v>
      </c>
    </row>
    <row r="2831" spans="1:33" x14ac:dyDescent="0.35">
      <c r="A2831" s="18">
        <v>44231.847222222219</v>
      </c>
      <c r="B2831">
        <v>1809830</v>
      </c>
      <c r="C2831" t="s">
        <v>6071</v>
      </c>
      <c r="D2831" t="s">
        <v>209</v>
      </c>
      <c r="E2831" s="19">
        <v>41865</v>
      </c>
      <c r="F2831" t="str">
        <f>"9780739183502"</f>
        <v>9780739183502</v>
      </c>
      <c r="G2831" t="str">
        <f>"9780739183496"</f>
        <v>9780739183496</v>
      </c>
      <c r="H2831" t="s">
        <v>135</v>
      </c>
      <c r="I2831">
        <v>324.73097300000001</v>
      </c>
      <c r="J2831" t="s">
        <v>6072</v>
      </c>
      <c r="K2831" t="s">
        <v>73</v>
      </c>
      <c r="N2831" t="s">
        <v>74</v>
      </c>
      <c r="O2831" t="s">
        <v>75</v>
      </c>
      <c r="P2831" t="s">
        <v>74</v>
      </c>
      <c r="Q2831" t="s">
        <v>76</v>
      </c>
      <c r="R2831" t="s">
        <v>73</v>
      </c>
      <c r="S2831">
        <v>1</v>
      </c>
      <c r="W2831" s="20">
        <v>0</v>
      </c>
      <c r="X2831" t="s">
        <v>78</v>
      </c>
      <c r="Y2831">
        <v>0</v>
      </c>
      <c r="Z2831">
        <v>0</v>
      </c>
      <c r="AA2831" t="s">
        <v>78</v>
      </c>
      <c r="AB2831">
        <v>0</v>
      </c>
      <c r="AC2831" t="s">
        <v>78</v>
      </c>
      <c r="AD2831">
        <v>0</v>
      </c>
      <c r="AE2831">
        <v>11024232</v>
      </c>
      <c r="AF2831" t="s">
        <v>88</v>
      </c>
      <c r="AG2831" t="s">
        <v>6000</v>
      </c>
    </row>
    <row r="2832" spans="1:33" x14ac:dyDescent="0.35">
      <c r="A2832" s="18">
        <v>44231.838888888888</v>
      </c>
      <c r="B2832">
        <v>1584080</v>
      </c>
      <c r="C2832" t="s">
        <v>6073</v>
      </c>
      <c r="D2832" t="s">
        <v>1711</v>
      </c>
      <c r="E2832" s="19">
        <v>41715</v>
      </c>
      <c r="F2832" t="str">
        <f>"9781118637890"</f>
        <v>9781118637890</v>
      </c>
      <c r="G2832" t="str">
        <f>"9781118637913"</f>
        <v>9781118637913</v>
      </c>
      <c r="H2832" t="s">
        <v>1561</v>
      </c>
      <c r="I2832">
        <v>551.22015118000002</v>
      </c>
      <c r="J2832" t="s">
        <v>6074</v>
      </c>
      <c r="K2832" t="s">
        <v>73</v>
      </c>
      <c r="N2832" t="s">
        <v>74</v>
      </c>
      <c r="O2832" t="s">
        <v>75</v>
      </c>
      <c r="P2832" t="s">
        <v>74</v>
      </c>
      <c r="Q2832" t="s">
        <v>76</v>
      </c>
      <c r="R2832" t="s">
        <v>73</v>
      </c>
      <c r="S2832">
        <v>0</v>
      </c>
      <c r="W2832" s="20">
        <v>1.5046296296296294E-3</v>
      </c>
      <c r="X2832" t="s">
        <v>6075</v>
      </c>
      <c r="Y2832">
        <v>11</v>
      </c>
      <c r="Z2832">
        <v>0</v>
      </c>
      <c r="AA2832" t="s">
        <v>78</v>
      </c>
      <c r="AB2832">
        <v>0</v>
      </c>
      <c r="AC2832" t="s">
        <v>78</v>
      </c>
      <c r="AD2832">
        <v>0</v>
      </c>
      <c r="AE2832">
        <v>10826697</v>
      </c>
      <c r="AF2832" t="s">
        <v>79</v>
      </c>
      <c r="AG2832" t="s">
        <v>6076</v>
      </c>
    </row>
    <row r="2833" spans="1:33" x14ac:dyDescent="0.35">
      <c r="A2833" s="18">
        <v>44231.820138888892</v>
      </c>
      <c r="B2833">
        <v>1656068</v>
      </c>
      <c r="C2833" t="s">
        <v>6077</v>
      </c>
      <c r="D2833" t="s">
        <v>127</v>
      </c>
      <c r="E2833" s="19">
        <v>41713</v>
      </c>
      <c r="F2833" t="str">
        <f>"9781611329377"</f>
        <v>9781611329377</v>
      </c>
      <c r="G2833" t="str">
        <f>"9781611329353"</f>
        <v>9781611329353</v>
      </c>
      <c r="H2833" t="s">
        <v>398</v>
      </c>
      <c r="I2833" t="s">
        <v>6078</v>
      </c>
      <c r="J2833" t="s">
        <v>6079</v>
      </c>
      <c r="K2833" t="s">
        <v>73</v>
      </c>
      <c r="N2833" t="s">
        <v>74</v>
      </c>
      <c r="O2833" t="s">
        <v>75</v>
      </c>
      <c r="P2833" t="s">
        <v>74</v>
      </c>
      <c r="Q2833" t="s">
        <v>76</v>
      </c>
      <c r="R2833" t="s">
        <v>73</v>
      </c>
      <c r="S2833">
        <v>2</v>
      </c>
      <c r="W2833" s="20">
        <v>0</v>
      </c>
      <c r="X2833" t="s">
        <v>78</v>
      </c>
      <c r="Y2833">
        <v>0</v>
      </c>
      <c r="Z2833">
        <v>0</v>
      </c>
      <c r="AA2833" t="s">
        <v>78</v>
      </c>
      <c r="AB2833">
        <v>0</v>
      </c>
      <c r="AC2833" t="s">
        <v>78</v>
      </c>
      <c r="AD2833">
        <v>0</v>
      </c>
      <c r="AE2833">
        <v>10851550</v>
      </c>
      <c r="AF2833" t="s">
        <v>88</v>
      </c>
      <c r="AG2833" t="s">
        <v>6000</v>
      </c>
    </row>
    <row r="2834" spans="1:33" x14ac:dyDescent="0.35">
      <c r="A2834" s="18">
        <v>44231.818055555559</v>
      </c>
      <c r="B2834">
        <v>4877102</v>
      </c>
      <c r="C2834" t="s">
        <v>5552</v>
      </c>
      <c r="D2834" t="s">
        <v>741</v>
      </c>
      <c r="E2834" s="19">
        <v>41425</v>
      </c>
      <c r="F2834" t="str">
        <f>"9781423220503"</f>
        <v>9781423220503</v>
      </c>
      <c r="G2834" t="str">
        <f>"9781423220251"</f>
        <v>9781423220251</v>
      </c>
      <c r="H2834" t="s">
        <v>5553</v>
      </c>
      <c r="I2834">
        <v>302.23099999999999</v>
      </c>
      <c r="J2834" t="s">
        <v>5554</v>
      </c>
      <c r="K2834" t="s">
        <v>73</v>
      </c>
      <c r="N2834" t="s">
        <v>74</v>
      </c>
      <c r="O2834" t="s">
        <v>75</v>
      </c>
      <c r="P2834" t="s">
        <v>74</v>
      </c>
      <c r="Q2834" t="s">
        <v>76</v>
      </c>
      <c r="R2834" t="s">
        <v>73</v>
      </c>
      <c r="S2834">
        <v>0</v>
      </c>
      <c r="W2834" s="20">
        <v>7.3148148148148148E-3</v>
      </c>
      <c r="X2834" t="s">
        <v>6080</v>
      </c>
      <c r="Y2834">
        <v>9</v>
      </c>
      <c r="Z2834">
        <v>0</v>
      </c>
      <c r="AA2834" t="s">
        <v>78</v>
      </c>
      <c r="AB2834">
        <v>0</v>
      </c>
      <c r="AC2834" t="s">
        <v>78</v>
      </c>
      <c r="AD2834">
        <v>0</v>
      </c>
      <c r="AE2834">
        <v>11397748</v>
      </c>
      <c r="AF2834" t="s">
        <v>88</v>
      </c>
      <c r="AG2834" t="s">
        <v>6000</v>
      </c>
    </row>
    <row r="2835" spans="1:33" x14ac:dyDescent="0.35">
      <c r="A2835" s="18">
        <v>44231.801388888889</v>
      </c>
      <c r="B2835">
        <v>1602822</v>
      </c>
      <c r="C2835" t="s">
        <v>4019</v>
      </c>
      <c r="D2835" t="s">
        <v>127</v>
      </c>
      <c r="E2835" s="19">
        <v>40890</v>
      </c>
      <c r="F2835" t="str">
        <f>"9781439897836"</f>
        <v>9781439897836</v>
      </c>
      <c r="G2835" t="str">
        <f>"9781439804452"</f>
        <v>9781439804452</v>
      </c>
      <c r="H2835" t="s">
        <v>979</v>
      </c>
      <c r="I2835" t="s">
        <v>4020</v>
      </c>
      <c r="J2835" t="s">
        <v>4021</v>
      </c>
      <c r="K2835" t="s">
        <v>73</v>
      </c>
      <c r="N2835" t="s">
        <v>74</v>
      </c>
      <c r="O2835" t="s">
        <v>75</v>
      </c>
      <c r="P2835" t="s">
        <v>74</v>
      </c>
      <c r="Q2835" t="s">
        <v>76</v>
      </c>
      <c r="R2835" t="s">
        <v>73</v>
      </c>
      <c r="S2835">
        <v>0</v>
      </c>
      <c r="W2835" s="20">
        <v>4.5370370370370365E-3</v>
      </c>
      <c r="X2835" t="s">
        <v>6081</v>
      </c>
      <c r="Y2835">
        <v>58</v>
      </c>
      <c r="Z2835">
        <v>0</v>
      </c>
      <c r="AA2835" t="s">
        <v>78</v>
      </c>
      <c r="AB2835">
        <v>0</v>
      </c>
      <c r="AC2835" t="s">
        <v>78</v>
      </c>
      <c r="AD2835">
        <v>0</v>
      </c>
      <c r="AE2835">
        <v>11167228</v>
      </c>
      <c r="AF2835" t="s">
        <v>79</v>
      </c>
      <c r="AG2835" t="s">
        <v>4894</v>
      </c>
    </row>
    <row r="2836" spans="1:33" x14ac:dyDescent="0.35">
      <c r="A2836" s="18">
        <v>44231.773611111108</v>
      </c>
      <c r="B2836">
        <v>622602</v>
      </c>
      <c r="C2836" t="s">
        <v>6068</v>
      </c>
      <c r="D2836" t="s">
        <v>1360</v>
      </c>
      <c r="E2836" s="19">
        <v>37358</v>
      </c>
      <c r="F2836" t="str">
        <f>"9789027297419"</f>
        <v>9789027297419</v>
      </c>
      <c r="G2836" t="str">
        <f>"9789027251121"</f>
        <v>9789027251121</v>
      </c>
      <c r="H2836" t="s">
        <v>128</v>
      </c>
      <c r="I2836">
        <v>305.3</v>
      </c>
      <c r="J2836" t="s">
        <v>6069</v>
      </c>
      <c r="K2836" t="s">
        <v>73</v>
      </c>
      <c r="N2836" t="s">
        <v>74</v>
      </c>
      <c r="O2836" t="s">
        <v>75</v>
      </c>
      <c r="P2836" t="s">
        <v>74</v>
      </c>
      <c r="Q2836" t="s">
        <v>76</v>
      </c>
      <c r="R2836" t="s">
        <v>73</v>
      </c>
      <c r="S2836">
        <v>0</v>
      </c>
      <c r="W2836" s="20">
        <v>2.0138888888888888E-3</v>
      </c>
      <c r="X2836" t="s">
        <v>6082</v>
      </c>
      <c r="Y2836">
        <v>4</v>
      </c>
      <c r="Z2836">
        <v>0</v>
      </c>
      <c r="AA2836" t="s">
        <v>78</v>
      </c>
      <c r="AB2836">
        <v>0</v>
      </c>
      <c r="AC2836" t="s">
        <v>78</v>
      </c>
      <c r="AD2836">
        <v>0</v>
      </c>
      <c r="AE2836">
        <v>10022295</v>
      </c>
      <c r="AF2836" t="s">
        <v>79</v>
      </c>
      <c r="AG2836" t="s">
        <v>5390</v>
      </c>
    </row>
    <row r="2837" spans="1:33" x14ac:dyDescent="0.35">
      <c r="A2837" s="18">
        <v>44231.7</v>
      </c>
      <c r="B2837">
        <v>1658817</v>
      </c>
      <c r="C2837" t="s">
        <v>274</v>
      </c>
      <c r="D2837" t="s">
        <v>70</v>
      </c>
      <c r="E2837" s="19">
        <v>41757</v>
      </c>
      <c r="F2837" t="str">
        <f>"9781118841792"</f>
        <v>9781118841792</v>
      </c>
      <c r="G2837" t="str">
        <f>"9781118140673"</f>
        <v>9781118140673</v>
      </c>
      <c r="H2837" t="s">
        <v>1194</v>
      </c>
      <c r="I2837">
        <v>620.00451999999996</v>
      </c>
      <c r="J2837" t="s">
        <v>6083</v>
      </c>
      <c r="K2837" t="s">
        <v>85</v>
      </c>
      <c r="N2837" t="s">
        <v>74</v>
      </c>
      <c r="O2837" t="s">
        <v>75</v>
      </c>
      <c r="P2837" t="s">
        <v>74</v>
      </c>
      <c r="Q2837" t="s">
        <v>76</v>
      </c>
      <c r="R2837" t="s">
        <v>73</v>
      </c>
      <c r="S2837">
        <v>0</v>
      </c>
      <c r="W2837" s="20">
        <v>6.9444444444444444E-5</v>
      </c>
      <c r="X2837" t="s">
        <v>125</v>
      </c>
      <c r="Y2837">
        <v>2</v>
      </c>
      <c r="Z2837">
        <v>0</v>
      </c>
      <c r="AA2837" t="s">
        <v>78</v>
      </c>
      <c r="AB2837">
        <v>0</v>
      </c>
      <c r="AC2837" t="s">
        <v>78</v>
      </c>
      <c r="AD2837">
        <v>0</v>
      </c>
      <c r="AE2837">
        <v>10856826</v>
      </c>
      <c r="AF2837" t="s">
        <v>79</v>
      </c>
      <c r="AG2837" t="s">
        <v>4894</v>
      </c>
    </row>
    <row r="2838" spans="1:33" x14ac:dyDescent="0.35">
      <c r="A2838" s="18">
        <v>44231.672222222223</v>
      </c>
      <c r="B2838">
        <v>1249985</v>
      </c>
      <c r="C2838" t="s">
        <v>6084</v>
      </c>
      <c r="D2838" t="s">
        <v>189</v>
      </c>
      <c r="E2838" s="19">
        <v>41715</v>
      </c>
      <c r="F2838" t="str">
        <f>"9783110369717"</f>
        <v>9783110369717</v>
      </c>
      <c r="G2838" t="str">
        <f>"9783110335507"</f>
        <v>9783110335507</v>
      </c>
      <c r="H2838" t="s">
        <v>528</v>
      </c>
      <c r="I2838">
        <v>149.72999999999999</v>
      </c>
      <c r="J2838" t="s">
        <v>6085</v>
      </c>
      <c r="K2838" t="s">
        <v>73</v>
      </c>
      <c r="N2838" t="s">
        <v>74</v>
      </c>
      <c r="O2838" t="s">
        <v>75</v>
      </c>
      <c r="P2838" t="s">
        <v>74</v>
      </c>
      <c r="Q2838" t="s">
        <v>76</v>
      </c>
      <c r="R2838" t="s">
        <v>73</v>
      </c>
      <c r="S2838">
        <v>0</v>
      </c>
      <c r="W2838" s="20">
        <v>1.6400462962962964E-2</v>
      </c>
      <c r="X2838" t="s">
        <v>6086</v>
      </c>
      <c r="Y2838">
        <v>6</v>
      </c>
      <c r="Z2838">
        <v>1</v>
      </c>
      <c r="AA2838" t="s">
        <v>6087</v>
      </c>
      <c r="AB2838">
        <v>16</v>
      </c>
      <c r="AC2838" t="s">
        <v>78</v>
      </c>
      <c r="AD2838">
        <v>0</v>
      </c>
      <c r="AE2838">
        <v>10861316</v>
      </c>
      <c r="AF2838" t="s">
        <v>79</v>
      </c>
      <c r="AG2838" t="s">
        <v>515</v>
      </c>
    </row>
    <row r="2839" spans="1:33" x14ac:dyDescent="0.35">
      <c r="A2839" s="18">
        <v>44231.660416666666</v>
      </c>
      <c r="B2839">
        <v>1602822</v>
      </c>
      <c r="C2839" t="s">
        <v>4019</v>
      </c>
      <c r="D2839" t="s">
        <v>127</v>
      </c>
      <c r="E2839" s="19">
        <v>40890</v>
      </c>
      <c r="F2839" t="str">
        <f>"9781439897836"</f>
        <v>9781439897836</v>
      </c>
      <c r="G2839" t="str">
        <f>"9781439804452"</f>
        <v>9781439804452</v>
      </c>
      <c r="H2839" t="s">
        <v>979</v>
      </c>
      <c r="I2839" t="s">
        <v>4020</v>
      </c>
      <c r="J2839" t="s">
        <v>4021</v>
      </c>
      <c r="K2839" t="s">
        <v>73</v>
      </c>
      <c r="N2839" t="s">
        <v>74</v>
      </c>
      <c r="O2839" t="s">
        <v>75</v>
      </c>
      <c r="P2839" t="s">
        <v>74</v>
      </c>
      <c r="Q2839" t="s">
        <v>76</v>
      </c>
      <c r="R2839" t="s">
        <v>73</v>
      </c>
      <c r="S2839">
        <v>0</v>
      </c>
      <c r="W2839" s="20">
        <v>5.0347222222222225E-3</v>
      </c>
      <c r="X2839" t="s">
        <v>6088</v>
      </c>
      <c r="Y2839">
        <v>5</v>
      </c>
      <c r="Z2839">
        <v>2</v>
      </c>
      <c r="AA2839" t="s">
        <v>6089</v>
      </c>
      <c r="AB2839">
        <v>38</v>
      </c>
      <c r="AC2839" t="s">
        <v>78</v>
      </c>
      <c r="AD2839">
        <v>0</v>
      </c>
      <c r="AE2839">
        <v>11167228</v>
      </c>
      <c r="AF2839" t="s">
        <v>88</v>
      </c>
      <c r="AG2839" t="s">
        <v>4894</v>
      </c>
    </row>
    <row r="2840" spans="1:33" x14ac:dyDescent="0.35">
      <c r="A2840" s="18">
        <v>44231.615277777775</v>
      </c>
      <c r="B2840">
        <v>1895908</v>
      </c>
      <c r="C2840" t="s">
        <v>6090</v>
      </c>
      <c r="D2840" t="s">
        <v>70</v>
      </c>
      <c r="E2840" s="19">
        <v>42058</v>
      </c>
      <c r="F2840" t="str">
        <f>"9781119010241"</f>
        <v>9781119010241</v>
      </c>
      <c r="G2840" t="str">
        <f>"9781118893760"</f>
        <v>9781118893760</v>
      </c>
      <c r="H2840" t="s">
        <v>1179</v>
      </c>
      <c r="I2840">
        <v>371.3</v>
      </c>
      <c r="J2840" t="s">
        <v>6091</v>
      </c>
      <c r="K2840" t="s">
        <v>73</v>
      </c>
      <c r="N2840" t="s">
        <v>74</v>
      </c>
      <c r="O2840" t="s">
        <v>75</v>
      </c>
      <c r="P2840" t="s">
        <v>74</v>
      </c>
      <c r="Q2840" t="s">
        <v>76</v>
      </c>
      <c r="R2840" t="s">
        <v>73</v>
      </c>
      <c r="S2840">
        <v>0</v>
      </c>
      <c r="W2840" s="20">
        <v>4.3981481481481481E-4</v>
      </c>
      <c r="X2840" t="s">
        <v>6092</v>
      </c>
      <c r="Y2840">
        <v>8</v>
      </c>
      <c r="Z2840">
        <v>6</v>
      </c>
      <c r="AA2840" t="s">
        <v>6093</v>
      </c>
      <c r="AB2840">
        <v>52</v>
      </c>
      <c r="AC2840" t="s">
        <v>78</v>
      </c>
      <c r="AD2840">
        <v>0</v>
      </c>
      <c r="AE2840">
        <v>11019388</v>
      </c>
      <c r="AF2840" t="s">
        <v>79</v>
      </c>
      <c r="AG2840" t="s">
        <v>515</v>
      </c>
    </row>
    <row r="2841" spans="1:33" x14ac:dyDescent="0.35">
      <c r="A2841" s="18">
        <v>44231.603472222225</v>
      </c>
      <c r="B2841">
        <v>1584080</v>
      </c>
      <c r="C2841" t="s">
        <v>6073</v>
      </c>
      <c r="D2841" t="s">
        <v>1711</v>
      </c>
      <c r="E2841" s="19">
        <v>41715</v>
      </c>
      <c r="F2841" t="str">
        <f>"9781118637890"</f>
        <v>9781118637890</v>
      </c>
      <c r="G2841" t="str">
        <f>"9781118637913"</f>
        <v>9781118637913</v>
      </c>
      <c r="H2841" t="s">
        <v>1561</v>
      </c>
      <c r="I2841">
        <v>551.22015118000002</v>
      </c>
      <c r="J2841" t="s">
        <v>6074</v>
      </c>
      <c r="K2841" t="s">
        <v>73</v>
      </c>
      <c r="N2841" t="s">
        <v>74</v>
      </c>
      <c r="O2841" t="s">
        <v>75</v>
      </c>
      <c r="P2841" t="s">
        <v>74</v>
      </c>
      <c r="Q2841" t="s">
        <v>76</v>
      </c>
      <c r="R2841" t="s">
        <v>73</v>
      </c>
      <c r="S2841">
        <v>0</v>
      </c>
      <c r="W2841" s="20">
        <v>1.2962962962962963E-3</v>
      </c>
      <c r="X2841" t="s">
        <v>6094</v>
      </c>
      <c r="Y2841">
        <v>14</v>
      </c>
      <c r="Z2841">
        <v>0</v>
      </c>
      <c r="AA2841" t="s">
        <v>78</v>
      </c>
      <c r="AB2841">
        <v>0</v>
      </c>
      <c r="AC2841" t="s">
        <v>78</v>
      </c>
      <c r="AD2841">
        <v>0</v>
      </c>
      <c r="AE2841">
        <v>10826697</v>
      </c>
      <c r="AF2841" t="s">
        <v>79</v>
      </c>
      <c r="AG2841" t="s">
        <v>6076</v>
      </c>
    </row>
    <row r="2842" spans="1:33" x14ac:dyDescent="0.35">
      <c r="A2842" s="18">
        <v>44231.593055555553</v>
      </c>
      <c r="B2842">
        <v>3020885</v>
      </c>
      <c r="C2842" t="s">
        <v>6095</v>
      </c>
      <c r="D2842" t="s">
        <v>226</v>
      </c>
      <c r="E2842" s="19">
        <v>39995</v>
      </c>
      <c r="F2842" t="str">
        <f>"9781617283758"</f>
        <v>9781617283758</v>
      </c>
      <c r="G2842" t="str">
        <f>"9781606926482"</f>
        <v>9781606926482</v>
      </c>
      <c r="H2842" t="s">
        <v>6096</v>
      </c>
      <c r="I2842" t="s">
        <v>6097</v>
      </c>
      <c r="J2842" t="s">
        <v>6098</v>
      </c>
      <c r="K2842" t="s">
        <v>73</v>
      </c>
      <c r="N2842" t="s">
        <v>74</v>
      </c>
      <c r="O2842" t="s">
        <v>75</v>
      </c>
      <c r="P2842" t="s">
        <v>230</v>
      </c>
      <c r="Q2842" t="s">
        <v>76</v>
      </c>
      <c r="R2842" t="s">
        <v>85</v>
      </c>
      <c r="S2842">
        <v>0</v>
      </c>
      <c r="W2842" s="20">
        <v>1.4467592592592594E-3</v>
      </c>
      <c r="X2842" t="s">
        <v>6099</v>
      </c>
      <c r="Y2842">
        <v>12</v>
      </c>
      <c r="Z2842">
        <v>0</v>
      </c>
      <c r="AA2842" t="s">
        <v>78</v>
      </c>
      <c r="AB2842">
        <v>0</v>
      </c>
      <c r="AC2842" t="s">
        <v>78</v>
      </c>
      <c r="AD2842">
        <v>0</v>
      </c>
      <c r="AE2842">
        <v>10681023</v>
      </c>
      <c r="AF2842" t="s">
        <v>79</v>
      </c>
      <c r="AG2842" t="s">
        <v>6076</v>
      </c>
    </row>
    <row r="2843" spans="1:33" x14ac:dyDescent="0.35">
      <c r="A2843" s="18">
        <v>44231.564583333333</v>
      </c>
      <c r="B2843">
        <v>1446430</v>
      </c>
      <c r="C2843" t="s">
        <v>1649</v>
      </c>
      <c r="D2843" t="s">
        <v>127</v>
      </c>
      <c r="E2843" s="19">
        <v>40274</v>
      </c>
      <c r="F2843" t="str">
        <f>"9781439882573"</f>
        <v>9781439882573</v>
      </c>
      <c r="G2843" t="str">
        <f>"9781420085983"</f>
        <v>9781420085983</v>
      </c>
      <c r="H2843" t="s">
        <v>979</v>
      </c>
      <c r="I2843" t="s">
        <v>1650</v>
      </c>
      <c r="J2843" t="s">
        <v>1651</v>
      </c>
      <c r="K2843" t="s">
        <v>73</v>
      </c>
      <c r="N2843" t="s">
        <v>74</v>
      </c>
      <c r="O2843" t="s">
        <v>75</v>
      </c>
      <c r="P2843" t="s">
        <v>74</v>
      </c>
      <c r="Q2843" t="s">
        <v>76</v>
      </c>
      <c r="R2843" t="s">
        <v>73</v>
      </c>
      <c r="S2843">
        <v>0</v>
      </c>
      <c r="W2843" s="20">
        <v>6.9444444444444444E-5</v>
      </c>
      <c r="X2843" t="s">
        <v>132</v>
      </c>
      <c r="Y2843">
        <v>1</v>
      </c>
      <c r="Z2843">
        <v>0</v>
      </c>
      <c r="AA2843" t="s">
        <v>78</v>
      </c>
      <c r="AB2843">
        <v>0</v>
      </c>
      <c r="AC2843" t="s">
        <v>78</v>
      </c>
      <c r="AD2843">
        <v>0</v>
      </c>
      <c r="AE2843">
        <v>11166018</v>
      </c>
      <c r="AF2843" t="s">
        <v>79</v>
      </c>
      <c r="AG2843" t="s">
        <v>5181</v>
      </c>
    </row>
    <row r="2844" spans="1:33" x14ac:dyDescent="0.35">
      <c r="A2844" s="18">
        <v>44231.564583333333</v>
      </c>
      <c r="B2844">
        <v>3020885</v>
      </c>
      <c r="C2844" t="s">
        <v>6095</v>
      </c>
      <c r="D2844" t="s">
        <v>226</v>
      </c>
      <c r="E2844" s="19">
        <v>39995</v>
      </c>
      <c r="F2844" t="str">
        <f>"9781617283758"</f>
        <v>9781617283758</v>
      </c>
      <c r="G2844" t="str">
        <f>"9781606926482"</f>
        <v>9781606926482</v>
      </c>
      <c r="H2844" t="s">
        <v>6096</v>
      </c>
      <c r="I2844" t="s">
        <v>6097</v>
      </c>
      <c r="J2844" t="s">
        <v>6098</v>
      </c>
      <c r="K2844" t="s">
        <v>73</v>
      </c>
      <c r="N2844" t="s">
        <v>74</v>
      </c>
      <c r="O2844" t="s">
        <v>75</v>
      </c>
      <c r="P2844" t="s">
        <v>230</v>
      </c>
      <c r="Q2844" t="s">
        <v>76</v>
      </c>
      <c r="R2844" t="s">
        <v>85</v>
      </c>
      <c r="S2844">
        <v>0</v>
      </c>
      <c r="W2844" s="20">
        <v>4.6296296296296294E-5</v>
      </c>
      <c r="X2844" t="s">
        <v>132</v>
      </c>
      <c r="Y2844">
        <v>1</v>
      </c>
      <c r="Z2844">
        <v>0</v>
      </c>
      <c r="AA2844" t="s">
        <v>78</v>
      </c>
      <c r="AB2844">
        <v>0</v>
      </c>
      <c r="AC2844" t="s">
        <v>78</v>
      </c>
      <c r="AD2844">
        <v>0</v>
      </c>
      <c r="AE2844">
        <v>10681023</v>
      </c>
      <c r="AF2844" t="s">
        <v>79</v>
      </c>
      <c r="AG2844" t="s">
        <v>6076</v>
      </c>
    </row>
    <row r="2845" spans="1:33" x14ac:dyDescent="0.35">
      <c r="A2845" s="18">
        <v>44231.538888888892</v>
      </c>
      <c r="B2845">
        <v>1602822</v>
      </c>
      <c r="C2845" t="s">
        <v>4019</v>
      </c>
      <c r="D2845" t="s">
        <v>127</v>
      </c>
      <c r="E2845" s="19">
        <v>40890</v>
      </c>
      <c r="F2845" t="str">
        <f>"9781439897836"</f>
        <v>9781439897836</v>
      </c>
      <c r="G2845" t="str">
        <f>"9781439804452"</f>
        <v>9781439804452</v>
      </c>
      <c r="H2845" t="s">
        <v>979</v>
      </c>
      <c r="I2845" t="s">
        <v>4020</v>
      </c>
      <c r="J2845" t="s">
        <v>4021</v>
      </c>
      <c r="K2845" t="s">
        <v>73</v>
      </c>
      <c r="N2845" t="s">
        <v>74</v>
      </c>
      <c r="O2845" t="s">
        <v>75</v>
      </c>
      <c r="P2845" t="s">
        <v>74</v>
      </c>
      <c r="Q2845" t="s">
        <v>76</v>
      </c>
      <c r="R2845" t="s">
        <v>73</v>
      </c>
      <c r="S2845">
        <v>0</v>
      </c>
      <c r="W2845" s="20">
        <v>8.1018518518518516E-5</v>
      </c>
      <c r="X2845" t="s">
        <v>249</v>
      </c>
      <c r="Y2845">
        <v>2</v>
      </c>
      <c r="Z2845">
        <v>0</v>
      </c>
      <c r="AA2845" t="s">
        <v>78</v>
      </c>
      <c r="AB2845">
        <v>0</v>
      </c>
      <c r="AC2845" t="s">
        <v>78</v>
      </c>
      <c r="AD2845">
        <v>0</v>
      </c>
      <c r="AE2845">
        <v>11167228</v>
      </c>
      <c r="AF2845" t="s">
        <v>79</v>
      </c>
      <c r="AG2845" t="s">
        <v>4894</v>
      </c>
    </row>
    <row r="2846" spans="1:33" x14ac:dyDescent="0.35">
      <c r="A2846" s="18">
        <v>44231.526388888888</v>
      </c>
      <c r="B2846">
        <v>957182</v>
      </c>
      <c r="C2846" t="s">
        <v>6100</v>
      </c>
      <c r="D2846" t="s">
        <v>127</v>
      </c>
      <c r="E2846" s="19">
        <v>41032</v>
      </c>
      <c r="F2846" t="str">
        <f>"9780203814949"</f>
        <v>9780203814949</v>
      </c>
      <c r="G2846" t="str">
        <f>"9780415588836"</f>
        <v>9780415588836</v>
      </c>
      <c r="H2846" t="s">
        <v>135</v>
      </c>
      <c r="I2846">
        <v>323.44799999999998</v>
      </c>
      <c r="J2846" t="s">
        <v>6101</v>
      </c>
      <c r="K2846" t="s">
        <v>73</v>
      </c>
      <c r="N2846" t="s">
        <v>74</v>
      </c>
      <c r="O2846" t="s">
        <v>75</v>
      </c>
      <c r="P2846" t="s">
        <v>74</v>
      </c>
      <c r="Q2846" t="s">
        <v>76</v>
      </c>
      <c r="R2846" t="s">
        <v>73</v>
      </c>
      <c r="S2846">
        <v>0</v>
      </c>
      <c r="W2846" s="20">
        <v>2.7777777777777778E-4</v>
      </c>
      <c r="X2846" t="s">
        <v>6102</v>
      </c>
      <c r="Y2846">
        <v>3</v>
      </c>
      <c r="Z2846">
        <v>0</v>
      </c>
      <c r="AA2846" t="s">
        <v>78</v>
      </c>
      <c r="AB2846">
        <v>0</v>
      </c>
      <c r="AC2846" t="s">
        <v>78</v>
      </c>
      <c r="AD2846">
        <v>0</v>
      </c>
      <c r="AE2846">
        <v>10558515</v>
      </c>
      <c r="AF2846" t="s">
        <v>79</v>
      </c>
      <c r="AG2846" t="s">
        <v>4894</v>
      </c>
    </row>
    <row r="2847" spans="1:33" x14ac:dyDescent="0.35">
      <c r="A2847" s="18">
        <v>44231.525000000001</v>
      </c>
      <c r="B2847">
        <v>957374</v>
      </c>
      <c r="C2847" t="s">
        <v>6103</v>
      </c>
      <c r="D2847" t="s">
        <v>127</v>
      </c>
      <c r="E2847" s="19">
        <v>40934</v>
      </c>
      <c r="F2847" t="str">
        <f>"9780203126608"</f>
        <v>9780203126608</v>
      </c>
      <c r="G2847" t="str">
        <f>"9780415688628"</f>
        <v>9780415688628</v>
      </c>
      <c r="H2847" t="s">
        <v>6104</v>
      </c>
      <c r="I2847" t="s">
        <v>6105</v>
      </c>
      <c r="J2847" t="s">
        <v>6106</v>
      </c>
      <c r="K2847" t="s">
        <v>73</v>
      </c>
      <c r="N2847" t="s">
        <v>74</v>
      </c>
      <c r="O2847" t="s">
        <v>75</v>
      </c>
      <c r="P2847" t="s">
        <v>74</v>
      </c>
      <c r="Q2847" t="s">
        <v>76</v>
      </c>
      <c r="R2847" t="s">
        <v>73</v>
      </c>
      <c r="S2847">
        <v>0</v>
      </c>
      <c r="W2847" s="20">
        <v>1.5624999999999999E-3</v>
      </c>
      <c r="X2847" t="s">
        <v>6107</v>
      </c>
      <c r="Y2847">
        <v>10</v>
      </c>
      <c r="Z2847">
        <v>2</v>
      </c>
      <c r="AA2847" t="s">
        <v>6108</v>
      </c>
      <c r="AB2847">
        <v>41</v>
      </c>
      <c r="AC2847" t="s">
        <v>78</v>
      </c>
      <c r="AD2847">
        <v>0</v>
      </c>
      <c r="AE2847">
        <v>10529269</v>
      </c>
      <c r="AF2847" t="s">
        <v>79</v>
      </c>
      <c r="AG2847" t="s">
        <v>4894</v>
      </c>
    </row>
    <row r="2848" spans="1:33" x14ac:dyDescent="0.35">
      <c r="A2848" s="18">
        <v>44231.524305555555</v>
      </c>
      <c r="B2848">
        <v>5646077</v>
      </c>
      <c r="C2848" t="s">
        <v>6109</v>
      </c>
      <c r="D2848" t="s">
        <v>369</v>
      </c>
      <c r="E2848" s="19">
        <v>43496</v>
      </c>
      <c r="F2848" t="str">
        <f>"9783030112417"</f>
        <v>9783030112417</v>
      </c>
      <c r="G2848" t="str">
        <f>"9783030112400"</f>
        <v>9783030112400</v>
      </c>
      <c r="H2848" t="s">
        <v>331</v>
      </c>
      <c r="I2848">
        <v>363.28899999999999</v>
      </c>
      <c r="J2848" t="s">
        <v>559</v>
      </c>
      <c r="K2848" t="s">
        <v>85</v>
      </c>
      <c r="Q2848" t="s">
        <v>76</v>
      </c>
      <c r="R2848" t="s">
        <v>73</v>
      </c>
      <c r="S2848">
        <v>0</v>
      </c>
      <c r="W2848" s="20">
        <v>2.5462962962962961E-4</v>
      </c>
      <c r="X2848" t="s">
        <v>6110</v>
      </c>
      <c r="Y2848">
        <v>3</v>
      </c>
      <c r="Z2848">
        <v>0</v>
      </c>
      <c r="AA2848" t="s">
        <v>78</v>
      </c>
      <c r="AB2848">
        <v>0</v>
      </c>
      <c r="AC2848" t="s">
        <v>78</v>
      </c>
      <c r="AD2848">
        <v>0</v>
      </c>
      <c r="AE2848">
        <v>11649267</v>
      </c>
      <c r="AF2848" t="s">
        <v>79</v>
      </c>
      <c r="AG2848" t="s">
        <v>4894</v>
      </c>
    </row>
    <row r="2849" spans="1:33" x14ac:dyDescent="0.35">
      <c r="A2849" s="18">
        <v>44231.490277777775</v>
      </c>
      <c r="B2849">
        <v>1344533</v>
      </c>
      <c r="C2849" t="s">
        <v>6111</v>
      </c>
      <c r="D2849" t="s">
        <v>127</v>
      </c>
      <c r="E2849" s="19">
        <v>41501</v>
      </c>
      <c r="F2849" t="str">
        <f>"9781136338939"</f>
        <v>9781136338939</v>
      </c>
      <c r="G2849" t="str">
        <f>"9780415518352"</f>
        <v>9780415518352</v>
      </c>
      <c r="H2849" t="s">
        <v>1179</v>
      </c>
      <c r="I2849">
        <v>373.11020000000002</v>
      </c>
      <c r="J2849" t="s">
        <v>6112</v>
      </c>
      <c r="K2849" t="s">
        <v>73</v>
      </c>
      <c r="N2849" t="s">
        <v>74</v>
      </c>
      <c r="O2849" t="s">
        <v>75</v>
      </c>
      <c r="P2849" t="s">
        <v>74</v>
      </c>
      <c r="Q2849" t="s">
        <v>76</v>
      </c>
      <c r="R2849" t="s">
        <v>73</v>
      </c>
      <c r="S2849">
        <v>0</v>
      </c>
      <c r="W2849" s="20">
        <v>1.1655092592592594E-2</v>
      </c>
      <c r="X2849" t="s">
        <v>6113</v>
      </c>
      <c r="Y2849">
        <v>26</v>
      </c>
      <c r="Z2849">
        <v>0</v>
      </c>
      <c r="AA2849" t="s">
        <v>78</v>
      </c>
      <c r="AB2849">
        <v>0</v>
      </c>
      <c r="AC2849" t="s">
        <v>78</v>
      </c>
      <c r="AD2849">
        <v>0</v>
      </c>
      <c r="AE2849">
        <v>10747263</v>
      </c>
      <c r="AF2849" t="s">
        <v>79</v>
      </c>
      <c r="AG2849" t="s">
        <v>5181</v>
      </c>
    </row>
    <row r="2850" spans="1:33" x14ac:dyDescent="0.35">
      <c r="A2850" s="18">
        <v>44231.463194444441</v>
      </c>
      <c r="B2850">
        <v>5989398</v>
      </c>
      <c r="C2850" t="s">
        <v>2990</v>
      </c>
      <c r="D2850" t="s">
        <v>127</v>
      </c>
      <c r="E2850" s="19">
        <v>43822</v>
      </c>
      <c r="F2850" t="str">
        <f>"9780429846908"</f>
        <v>9780429846908</v>
      </c>
      <c r="G2850" t="str">
        <f>"9781138318090"</f>
        <v>9781138318090</v>
      </c>
      <c r="H2850" t="s">
        <v>2991</v>
      </c>
      <c r="K2850" t="s">
        <v>85</v>
      </c>
      <c r="N2850" t="s">
        <v>186</v>
      </c>
      <c r="P2850" t="s">
        <v>87</v>
      </c>
      <c r="Q2850" t="s">
        <v>76</v>
      </c>
      <c r="R2850" t="s">
        <v>73</v>
      </c>
      <c r="S2850">
        <v>0</v>
      </c>
      <c r="W2850" s="20">
        <v>1.3935185185185184E-2</v>
      </c>
      <c r="X2850" t="s">
        <v>6114</v>
      </c>
      <c r="Y2850">
        <v>11</v>
      </c>
      <c r="Z2850">
        <v>0</v>
      </c>
      <c r="AA2850" t="s">
        <v>78</v>
      </c>
      <c r="AB2850">
        <v>0</v>
      </c>
      <c r="AC2850" t="s">
        <v>6115</v>
      </c>
      <c r="AD2850">
        <v>5</v>
      </c>
      <c r="AE2850">
        <v>-1</v>
      </c>
      <c r="AF2850" t="s">
        <v>88</v>
      </c>
      <c r="AG2850" t="s">
        <v>5994</v>
      </c>
    </row>
    <row r="2851" spans="1:33" x14ac:dyDescent="0.35">
      <c r="A2851" s="18">
        <v>44231.413888888892</v>
      </c>
      <c r="B2851">
        <v>1602822</v>
      </c>
      <c r="C2851" t="s">
        <v>4019</v>
      </c>
      <c r="D2851" t="s">
        <v>127</v>
      </c>
      <c r="E2851" s="19">
        <v>40890</v>
      </c>
      <c r="F2851" t="str">
        <f>"9781439897836"</f>
        <v>9781439897836</v>
      </c>
      <c r="G2851" t="str">
        <f>"9781439804452"</f>
        <v>9781439804452</v>
      </c>
      <c r="H2851" t="s">
        <v>979</v>
      </c>
      <c r="I2851" t="s">
        <v>4020</v>
      </c>
      <c r="J2851" t="s">
        <v>4021</v>
      </c>
      <c r="K2851" t="s">
        <v>73</v>
      </c>
      <c r="N2851" t="s">
        <v>74</v>
      </c>
      <c r="O2851" t="s">
        <v>75</v>
      </c>
      <c r="P2851" t="s">
        <v>74</v>
      </c>
      <c r="Q2851" t="s">
        <v>76</v>
      </c>
      <c r="R2851" t="s">
        <v>73</v>
      </c>
      <c r="S2851">
        <v>0</v>
      </c>
      <c r="W2851" s="20">
        <v>1.3888888888888889E-4</v>
      </c>
      <c r="X2851" t="s">
        <v>125</v>
      </c>
      <c r="Y2851">
        <v>2</v>
      </c>
      <c r="Z2851">
        <v>0</v>
      </c>
      <c r="AA2851" t="s">
        <v>78</v>
      </c>
      <c r="AB2851">
        <v>0</v>
      </c>
      <c r="AC2851" t="s">
        <v>78</v>
      </c>
      <c r="AD2851">
        <v>0</v>
      </c>
      <c r="AE2851">
        <v>11167228</v>
      </c>
      <c r="AF2851" t="s">
        <v>79</v>
      </c>
      <c r="AG2851" t="s">
        <v>4894</v>
      </c>
    </row>
    <row r="2852" spans="1:33" x14ac:dyDescent="0.35">
      <c r="A2852" s="18">
        <v>44231.411805555559</v>
      </c>
      <c r="B2852">
        <v>1602822</v>
      </c>
      <c r="C2852" t="s">
        <v>4019</v>
      </c>
      <c r="D2852" t="s">
        <v>127</v>
      </c>
      <c r="E2852" s="19">
        <v>40890</v>
      </c>
      <c r="F2852" t="str">
        <f>"9781439897836"</f>
        <v>9781439897836</v>
      </c>
      <c r="G2852" t="str">
        <f>"9781439804452"</f>
        <v>9781439804452</v>
      </c>
      <c r="H2852" t="s">
        <v>979</v>
      </c>
      <c r="I2852" t="s">
        <v>4020</v>
      </c>
      <c r="J2852" t="s">
        <v>4021</v>
      </c>
      <c r="K2852" t="s">
        <v>73</v>
      </c>
      <c r="N2852" t="s">
        <v>74</v>
      </c>
      <c r="O2852" t="s">
        <v>75</v>
      </c>
      <c r="P2852" t="s">
        <v>74</v>
      </c>
      <c r="Q2852" t="s">
        <v>76</v>
      </c>
      <c r="R2852" t="s">
        <v>73</v>
      </c>
      <c r="S2852">
        <v>0</v>
      </c>
      <c r="W2852" s="20">
        <v>5.0115740740740737E-3</v>
      </c>
      <c r="X2852" t="s">
        <v>6116</v>
      </c>
      <c r="Y2852">
        <v>6</v>
      </c>
      <c r="Z2852">
        <v>0</v>
      </c>
      <c r="AA2852" t="s">
        <v>78</v>
      </c>
      <c r="AB2852">
        <v>0</v>
      </c>
      <c r="AC2852" t="s">
        <v>78</v>
      </c>
      <c r="AD2852">
        <v>0</v>
      </c>
      <c r="AE2852">
        <v>11167228</v>
      </c>
      <c r="AF2852" t="s">
        <v>79</v>
      </c>
      <c r="AG2852" t="s">
        <v>4894</v>
      </c>
    </row>
    <row r="2853" spans="1:33" x14ac:dyDescent="0.35">
      <c r="A2853" s="18">
        <v>44231.374305555553</v>
      </c>
      <c r="B2853">
        <v>6233940</v>
      </c>
      <c r="C2853" t="s">
        <v>6117</v>
      </c>
      <c r="D2853" t="s">
        <v>6118</v>
      </c>
      <c r="E2853" s="19">
        <v>44159</v>
      </c>
      <c r="F2853" t="str">
        <f>"9781647820695"</f>
        <v>9781647820695</v>
      </c>
      <c r="G2853" t="str">
        <f>"9781647820688"</f>
        <v>9781647820688</v>
      </c>
      <c r="H2853" t="s">
        <v>143</v>
      </c>
      <c r="I2853">
        <v>658.40599999999904</v>
      </c>
      <c r="J2853" t="s">
        <v>6119</v>
      </c>
      <c r="K2853" t="s">
        <v>85</v>
      </c>
      <c r="Q2853" t="s">
        <v>76</v>
      </c>
      <c r="R2853" t="s">
        <v>73</v>
      </c>
      <c r="S2853">
        <v>0</v>
      </c>
      <c r="W2853" s="20">
        <v>4.7453703703703704E-4</v>
      </c>
      <c r="X2853" t="s">
        <v>6120</v>
      </c>
      <c r="Y2853">
        <v>10</v>
      </c>
      <c r="Z2853">
        <v>0</v>
      </c>
      <c r="AA2853" t="s">
        <v>78</v>
      </c>
      <c r="AB2853">
        <v>0</v>
      </c>
      <c r="AC2853" t="s">
        <v>78</v>
      </c>
      <c r="AD2853">
        <v>0</v>
      </c>
      <c r="AE2853">
        <v>-1</v>
      </c>
      <c r="AF2853" t="s">
        <v>88</v>
      </c>
      <c r="AG2853" t="s">
        <v>4894</v>
      </c>
    </row>
    <row r="2854" spans="1:33" x14ac:dyDescent="0.35">
      <c r="A2854" s="18">
        <v>44231.220138888886</v>
      </c>
      <c r="B2854">
        <v>864275</v>
      </c>
      <c r="C2854" t="s">
        <v>6121</v>
      </c>
      <c r="D2854" t="s">
        <v>900</v>
      </c>
      <c r="E2854" s="19">
        <v>40542</v>
      </c>
      <c r="F2854" t="str">
        <f>"9781608050871"</f>
        <v>9781608050871</v>
      </c>
      <c r="G2854" t="str">
        <f>"9781608053353"</f>
        <v>9781608053353</v>
      </c>
      <c r="H2854" t="s">
        <v>128</v>
      </c>
      <c r="I2854">
        <v>300</v>
      </c>
      <c r="J2854" t="s">
        <v>6122</v>
      </c>
      <c r="K2854" t="s">
        <v>73</v>
      </c>
      <c r="N2854" t="s">
        <v>74</v>
      </c>
      <c r="O2854" t="s">
        <v>75</v>
      </c>
      <c r="P2854" t="s">
        <v>74</v>
      </c>
      <c r="Q2854" t="s">
        <v>76</v>
      </c>
      <c r="R2854" t="s">
        <v>73</v>
      </c>
      <c r="S2854">
        <v>1</v>
      </c>
      <c r="W2854" s="20">
        <v>0</v>
      </c>
      <c r="X2854" t="s">
        <v>78</v>
      </c>
      <c r="Y2854">
        <v>0</v>
      </c>
      <c r="Z2854">
        <v>0</v>
      </c>
      <c r="AA2854" t="s">
        <v>78</v>
      </c>
      <c r="AB2854">
        <v>0</v>
      </c>
      <c r="AC2854" t="s">
        <v>78</v>
      </c>
      <c r="AD2854">
        <v>0</v>
      </c>
      <c r="AE2854">
        <v>10447989</v>
      </c>
      <c r="AF2854" t="s">
        <v>88</v>
      </c>
      <c r="AG2854" t="s">
        <v>4894</v>
      </c>
    </row>
    <row r="2855" spans="1:33" x14ac:dyDescent="0.35">
      <c r="A2855" s="18">
        <v>44231.216666666667</v>
      </c>
      <c r="B2855">
        <v>864275</v>
      </c>
      <c r="C2855" t="s">
        <v>6121</v>
      </c>
      <c r="D2855" t="s">
        <v>900</v>
      </c>
      <c r="E2855" s="19">
        <v>40542</v>
      </c>
      <c r="F2855" t="str">
        <f>"9781608050871"</f>
        <v>9781608050871</v>
      </c>
      <c r="G2855" t="str">
        <f>"9781608053353"</f>
        <v>9781608053353</v>
      </c>
      <c r="H2855" t="s">
        <v>128</v>
      </c>
      <c r="I2855">
        <v>300</v>
      </c>
      <c r="J2855" t="s">
        <v>6122</v>
      </c>
      <c r="K2855" t="s">
        <v>73</v>
      </c>
      <c r="N2855" t="s">
        <v>74</v>
      </c>
      <c r="O2855" t="s">
        <v>75</v>
      </c>
      <c r="P2855" t="s">
        <v>74</v>
      </c>
      <c r="Q2855" t="s">
        <v>76</v>
      </c>
      <c r="R2855" t="s">
        <v>73</v>
      </c>
      <c r="S2855">
        <v>0</v>
      </c>
      <c r="W2855" s="20">
        <v>3.5416666666666665E-3</v>
      </c>
      <c r="X2855" t="s">
        <v>6123</v>
      </c>
      <c r="Y2855">
        <v>7</v>
      </c>
      <c r="Z2855">
        <v>0</v>
      </c>
      <c r="AA2855" t="s">
        <v>78</v>
      </c>
      <c r="AB2855">
        <v>0</v>
      </c>
      <c r="AC2855" t="s">
        <v>78</v>
      </c>
      <c r="AD2855">
        <v>0</v>
      </c>
      <c r="AE2855">
        <v>10447989</v>
      </c>
      <c r="AF2855" t="s">
        <v>88</v>
      </c>
      <c r="AG2855" t="s">
        <v>4894</v>
      </c>
    </row>
    <row r="2856" spans="1:33" x14ac:dyDescent="0.35">
      <c r="A2856" s="18">
        <v>44230.886805555558</v>
      </c>
      <c r="B2856">
        <v>201945</v>
      </c>
      <c r="C2856" t="s">
        <v>1157</v>
      </c>
      <c r="D2856" t="s">
        <v>538</v>
      </c>
      <c r="E2856" s="19">
        <v>37130</v>
      </c>
      <c r="F2856" t="str">
        <f>"9780511154225"</f>
        <v>9780511154225</v>
      </c>
      <c r="G2856" t="str">
        <f>"9780521360326"</f>
        <v>9780521360326</v>
      </c>
      <c r="H2856" t="s">
        <v>1158</v>
      </c>
      <c r="I2856">
        <v>532.05270151535296</v>
      </c>
      <c r="J2856" t="s">
        <v>1159</v>
      </c>
      <c r="K2856" t="s">
        <v>73</v>
      </c>
      <c r="N2856" t="s">
        <v>74</v>
      </c>
      <c r="O2856" t="s">
        <v>75</v>
      </c>
      <c r="P2856" t="s">
        <v>74</v>
      </c>
      <c r="Q2856" t="s">
        <v>76</v>
      </c>
      <c r="R2856" t="s">
        <v>73</v>
      </c>
      <c r="S2856">
        <v>0</v>
      </c>
      <c r="W2856" s="20">
        <v>1.8287037037037037E-3</v>
      </c>
      <c r="X2856" t="s">
        <v>6124</v>
      </c>
      <c r="Y2856">
        <v>17</v>
      </c>
      <c r="Z2856">
        <v>0</v>
      </c>
      <c r="AA2856" t="s">
        <v>78</v>
      </c>
      <c r="AB2856">
        <v>0</v>
      </c>
      <c r="AC2856" t="s">
        <v>78</v>
      </c>
      <c r="AD2856">
        <v>0</v>
      </c>
      <c r="AE2856">
        <v>10006796</v>
      </c>
      <c r="AF2856" t="s">
        <v>79</v>
      </c>
      <c r="AG2856" t="s">
        <v>6125</v>
      </c>
    </row>
    <row r="2857" spans="1:33" x14ac:dyDescent="0.35">
      <c r="A2857" s="18">
        <v>44230.845833333333</v>
      </c>
      <c r="B2857">
        <v>1666485</v>
      </c>
      <c r="C2857" t="s">
        <v>6126</v>
      </c>
      <c r="D2857" t="s">
        <v>70</v>
      </c>
      <c r="E2857" s="19">
        <v>41793</v>
      </c>
      <c r="F2857" t="str">
        <f>"9781118762752"</f>
        <v>9781118762752</v>
      </c>
      <c r="G2857" t="str">
        <f>"9781118349021"</f>
        <v>9781118349021</v>
      </c>
      <c r="H2857" t="s">
        <v>6127</v>
      </c>
      <c r="I2857">
        <v>658.40351999999996</v>
      </c>
      <c r="J2857" t="s">
        <v>6128</v>
      </c>
      <c r="K2857" t="s">
        <v>73</v>
      </c>
      <c r="N2857" t="s">
        <v>74</v>
      </c>
      <c r="O2857" t="s">
        <v>75</v>
      </c>
      <c r="P2857" t="s">
        <v>74</v>
      </c>
      <c r="Q2857" t="s">
        <v>76</v>
      </c>
      <c r="R2857" t="s">
        <v>73</v>
      </c>
      <c r="S2857">
        <v>0</v>
      </c>
      <c r="W2857" s="20">
        <v>4.7106481481481478E-3</v>
      </c>
      <c r="X2857" t="s">
        <v>6129</v>
      </c>
      <c r="Y2857">
        <v>17</v>
      </c>
      <c r="Z2857">
        <v>0</v>
      </c>
      <c r="AA2857" t="s">
        <v>78</v>
      </c>
      <c r="AB2857">
        <v>0</v>
      </c>
      <c r="AC2857" t="s">
        <v>78</v>
      </c>
      <c r="AD2857">
        <v>0</v>
      </c>
      <c r="AE2857">
        <v>10860998</v>
      </c>
      <c r="AF2857" t="s">
        <v>79</v>
      </c>
      <c r="AG2857" t="s">
        <v>4894</v>
      </c>
    </row>
    <row r="2858" spans="1:33" x14ac:dyDescent="0.35">
      <c r="A2858" s="18">
        <v>44230.807638888888</v>
      </c>
      <c r="B2858">
        <v>635118</v>
      </c>
      <c r="C2858" t="s">
        <v>3922</v>
      </c>
      <c r="D2858" t="s">
        <v>127</v>
      </c>
      <c r="E2858" s="19">
        <v>40393</v>
      </c>
      <c r="F2858" t="str">
        <f>"9789047426448"</f>
        <v>9789047426448</v>
      </c>
      <c r="G2858" t="str">
        <f>"9789004172975"</f>
        <v>9789004172975</v>
      </c>
      <c r="H2858" t="s">
        <v>979</v>
      </c>
      <c r="I2858">
        <v>620.19200000000001</v>
      </c>
      <c r="J2858" t="s">
        <v>3923</v>
      </c>
      <c r="K2858" t="s">
        <v>73</v>
      </c>
      <c r="N2858" t="s">
        <v>74</v>
      </c>
      <c r="O2858" t="s">
        <v>75</v>
      </c>
      <c r="P2858" t="s">
        <v>74</v>
      </c>
      <c r="Q2858" t="s">
        <v>76</v>
      </c>
      <c r="R2858" t="s">
        <v>73</v>
      </c>
      <c r="S2858">
        <v>0</v>
      </c>
      <c r="W2858" s="20">
        <v>5.3009259259259251E-3</v>
      </c>
      <c r="X2858" t="s">
        <v>2278</v>
      </c>
      <c r="Y2858">
        <v>5</v>
      </c>
      <c r="Z2858">
        <v>0</v>
      </c>
      <c r="AA2858" t="s">
        <v>78</v>
      </c>
      <c r="AB2858">
        <v>0</v>
      </c>
      <c r="AC2858" t="s">
        <v>78</v>
      </c>
      <c r="AD2858">
        <v>0</v>
      </c>
      <c r="AE2858">
        <v>10439070</v>
      </c>
      <c r="AF2858" t="s">
        <v>79</v>
      </c>
      <c r="AG2858" t="s">
        <v>6130</v>
      </c>
    </row>
    <row r="2859" spans="1:33" x14ac:dyDescent="0.35">
      <c r="A2859" s="18">
        <v>44230.806944444441</v>
      </c>
      <c r="B2859">
        <v>915633</v>
      </c>
      <c r="C2859" t="s">
        <v>3924</v>
      </c>
      <c r="D2859" t="s">
        <v>70</v>
      </c>
      <c r="E2859" s="19">
        <v>41128</v>
      </c>
      <c r="F2859" t="str">
        <f>"9783527654536"</f>
        <v>9783527654536</v>
      </c>
      <c r="G2859" t="str">
        <f>"9783527331482"</f>
        <v>9783527331482</v>
      </c>
      <c r="H2859" t="s">
        <v>448</v>
      </c>
      <c r="I2859">
        <v>620.19200000000001</v>
      </c>
      <c r="J2859" t="s">
        <v>3925</v>
      </c>
      <c r="K2859" t="s">
        <v>73</v>
      </c>
      <c r="N2859" t="s">
        <v>74</v>
      </c>
      <c r="O2859" t="s">
        <v>75</v>
      </c>
      <c r="P2859" t="s">
        <v>74</v>
      </c>
      <c r="Q2859" t="s">
        <v>76</v>
      </c>
      <c r="R2859" t="s">
        <v>73</v>
      </c>
      <c r="S2859">
        <v>0</v>
      </c>
      <c r="W2859" s="20">
        <v>2.6620370370370372E-4</v>
      </c>
      <c r="X2859" t="s">
        <v>360</v>
      </c>
      <c r="Y2859">
        <v>2</v>
      </c>
      <c r="Z2859">
        <v>0</v>
      </c>
      <c r="AA2859" t="s">
        <v>78</v>
      </c>
      <c r="AB2859">
        <v>0</v>
      </c>
      <c r="AC2859" t="s">
        <v>78</v>
      </c>
      <c r="AD2859">
        <v>0</v>
      </c>
      <c r="AE2859">
        <v>10560542</v>
      </c>
      <c r="AF2859" t="s">
        <v>79</v>
      </c>
      <c r="AG2859" t="s">
        <v>6130</v>
      </c>
    </row>
    <row r="2860" spans="1:33" x14ac:dyDescent="0.35">
      <c r="A2860" s="18">
        <v>44230.777777777781</v>
      </c>
      <c r="B2860">
        <v>1120547</v>
      </c>
      <c r="C2860" t="s">
        <v>6131</v>
      </c>
      <c r="D2860" t="s">
        <v>70</v>
      </c>
      <c r="E2860" s="19">
        <v>41260</v>
      </c>
      <c r="F2860" t="str">
        <f>"9781118440674"</f>
        <v>9781118440674</v>
      </c>
      <c r="G2860" t="str">
        <f>"9780470674017"</f>
        <v>9780470674017</v>
      </c>
      <c r="H2860" t="s">
        <v>6132</v>
      </c>
      <c r="I2860">
        <v>624.06799999999998</v>
      </c>
      <c r="J2860" t="s">
        <v>6133</v>
      </c>
      <c r="K2860" t="s">
        <v>73</v>
      </c>
      <c r="N2860" t="s">
        <v>74</v>
      </c>
      <c r="O2860" t="s">
        <v>75</v>
      </c>
      <c r="P2860" t="s">
        <v>74</v>
      </c>
      <c r="Q2860" t="s">
        <v>76</v>
      </c>
      <c r="R2860" t="s">
        <v>73</v>
      </c>
      <c r="S2860">
        <v>1</v>
      </c>
      <c r="W2860" s="20">
        <v>4.9768518518518521E-4</v>
      </c>
      <c r="X2860" t="s">
        <v>6134</v>
      </c>
      <c r="Y2860">
        <v>5</v>
      </c>
      <c r="Z2860">
        <v>0</v>
      </c>
      <c r="AA2860" t="s">
        <v>78</v>
      </c>
      <c r="AB2860">
        <v>0</v>
      </c>
      <c r="AC2860" t="s">
        <v>78</v>
      </c>
      <c r="AD2860">
        <v>0</v>
      </c>
      <c r="AE2860">
        <v>10657919</v>
      </c>
      <c r="AF2860" t="s">
        <v>88</v>
      </c>
      <c r="AG2860" t="s">
        <v>4894</v>
      </c>
    </row>
    <row r="2861" spans="1:33" x14ac:dyDescent="0.35">
      <c r="A2861" s="18">
        <v>44230.772916666669</v>
      </c>
      <c r="B2861">
        <v>1120547</v>
      </c>
      <c r="C2861" t="s">
        <v>6131</v>
      </c>
      <c r="D2861" t="s">
        <v>70</v>
      </c>
      <c r="E2861" s="19">
        <v>41260</v>
      </c>
      <c r="F2861" t="str">
        <f>"9781118440674"</f>
        <v>9781118440674</v>
      </c>
      <c r="G2861" t="str">
        <f>"9780470674017"</f>
        <v>9780470674017</v>
      </c>
      <c r="H2861" t="s">
        <v>6132</v>
      </c>
      <c r="I2861">
        <v>624.06799999999998</v>
      </c>
      <c r="J2861" t="s">
        <v>6133</v>
      </c>
      <c r="K2861" t="s">
        <v>73</v>
      </c>
      <c r="N2861" t="s">
        <v>74</v>
      </c>
      <c r="O2861" t="s">
        <v>75</v>
      </c>
      <c r="P2861" t="s">
        <v>74</v>
      </c>
      <c r="Q2861" t="s">
        <v>76</v>
      </c>
      <c r="R2861" t="s">
        <v>73</v>
      </c>
      <c r="S2861">
        <v>0</v>
      </c>
      <c r="W2861" s="20">
        <v>2.5925925925925925E-3</v>
      </c>
      <c r="X2861" t="s">
        <v>6135</v>
      </c>
      <c r="Y2861">
        <v>3</v>
      </c>
      <c r="Z2861">
        <v>1</v>
      </c>
      <c r="AA2861" t="s">
        <v>137</v>
      </c>
      <c r="AB2861">
        <v>1</v>
      </c>
      <c r="AC2861" t="s">
        <v>78</v>
      </c>
      <c r="AD2861">
        <v>0</v>
      </c>
      <c r="AE2861">
        <v>10657919</v>
      </c>
      <c r="AF2861" t="s">
        <v>79</v>
      </c>
      <c r="AG2861" t="s">
        <v>4894</v>
      </c>
    </row>
    <row r="2862" spans="1:33" x14ac:dyDescent="0.35">
      <c r="A2862" s="18">
        <v>44230.768750000003</v>
      </c>
      <c r="B2862">
        <v>583642</v>
      </c>
      <c r="C2862" t="s">
        <v>2337</v>
      </c>
      <c r="D2862" t="s">
        <v>205</v>
      </c>
      <c r="E2862" s="19">
        <v>40210</v>
      </c>
      <c r="F2862" t="str">
        <f>"9781596930902"</f>
        <v>9781596930902</v>
      </c>
      <c r="G2862" t="str">
        <f>"9781596930896"</f>
        <v>9781596930896</v>
      </c>
      <c r="H2862" t="s">
        <v>2338</v>
      </c>
      <c r="I2862">
        <v>621.38482999999997</v>
      </c>
      <c r="J2862" t="s">
        <v>2339</v>
      </c>
      <c r="K2862" t="s">
        <v>73</v>
      </c>
      <c r="N2862" t="s">
        <v>74</v>
      </c>
      <c r="O2862" t="s">
        <v>75</v>
      </c>
      <c r="P2862" t="s">
        <v>74</v>
      </c>
      <c r="Q2862" t="s">
        <v>76</v>
      </c>
      <c r="R2862" t="s">
        <v>73</v>
      </c>
      <c r="S2862">
        <v>0</v>
      </c>
      <c r="W2862" s="20">
        <v>5.7870370370370366E-5</v>
      </c>
      <c r="X2862" t="s">
        <v>132</v>
      </c>
      <c r="Y2862">
        <v>1</v>
      </c>
      <c r="Z2862">
        <v>0</v>
      </c>
      <c r="AA2862" t="s">
        <v>78</v>
      </c>
      <c r="AB2862">
        <v>0</v>
      </c>
      <c r="AC2862" t="s">
        <v>78</v>
      </c>
      <c r="AD2862">
        <v>0</v>
      </c>
      <c r="AE2862">
        <v>10393271</v>
      </c>
      <c r="AF2862" t="s">
        <v>79</v>
      </c>
      <c r="AG2862" t="s">
        <v>5829</v>
      </c>
    </row>
    <row r="2863" spans="1:33" x14ac:dyDescent="0.35">
      <c r="A2863" s="18">
        <v>44230.686805555553</v>
      </c>
      <c r="B2863">
        <v>5989398</v>
      </c>
      <c r="C2863" t="s">
        <v>2990</v>
      </c>
      <c r="D2863" t="s">
        <v>127</v>
      </c>
      <c r="E2863" s="19">
        <v>43822</v>
      </c>
      <c r="F2863" t="str">
        <f>"9780429846908"</f>
        <v>9780429846908</v>
      </c>
      <c r="G2863" t="str">
        <f>"9781138318090"</f>
        <v>9781138318090</v>
      </c>
      <c r="H2863" t="s">
        <v>2991</v>
      </c>
      <c r="K2863" t="s">
        <v>85</v>
      </c>
      <c r="Q2863" t="s">
        <v>76</v>
      </c>
      <c r="R2863" t="s">
        <v>73</v>
      </c>
      <c r="S2863">
        <v>0</v>
      </c>
      <c r="W2863" s="20">
        <v>3.1828703703703702E-3</v>
      </c>
      <c r="X2863" t="s">
        <v>6136</v>
      </c>
      <c r="Y2863">
        <v>19</v>
      </c>
      <c r="Z2863">
        <v>0</v>
      </c>
      <c r="AA2863" t="s">
        <v>78</v>
      </c>
      <c r="AB2863">
        <v>0</v>
      </c>
      <c r="AC2863" t="s">
        <v>78</v>
      </c>
      <c r="AD2863">
        <v>0</v>
      </c>
      <c r="AE2863">
        <v>-1</v>
      </c>
      <c r="AF2863" t="s">
        <v>79</v>
      </c>
      <c r="AG2863" t="s">
        <v>5994</v>
      </c>
    </row>
    <row r="2864" spans="1:33" x14ac:dyDescent="0.35">
      <c r="A2864" s="18">
        <v>44230.681250000001</v>
      </c>
      <c r="B2864">
        <v>1584080</v>
      </c>
      <c r="C2864" t="s">
        <v>6073</v>
      </c>
      <c r="D2864" t="s">
        <v>1711</v>
      </c>
      <c r="E2864" s="19">
        <v>41715</v>
      </c>
      <c r="F2864" t="str">
        <f>"9781118637890"</f>
        <v>9781118637890</v>
      </c>
      <c r="G2864" t="str">
        <f>"9781118637913"</f>
        <v>9781118637913</v>
      </c>
      <c r="H2864" t="s">
        <v>1561</v>
      </c>
      <c r="I2864">
        <v>551.22015118000002</v>
      </c>
      <c r="J2864" t="s">
        <v>6074</v>
      </c>
      <c r="K2864" t="s">
        <v>73</v>
      </c>
      <c r="N2864" t="s">
        <v>74</v>
      </c>
      <c r="O2864" t="s">
        <v>75</v>
      </c>
      <c r="P2864" t="s">
        <v>74</v>
      </c>
      <c r="Q2864" t="s">
        <v>76</v>
      </c>
      <c r="R2864" t="s">
        <v>73</v>
      </c>
      <c r="S2864">
        <v>0</v>
      </c>
      <c r="W2864" s="20">
        <v>1.9097222222222222E-3</v>
      </c>
      <c r="X2864" t="s">
        <v>6137</v>
      </c>
      <c r="Y2864">
        <v>22</v>
      </c>
      <c r="Z2864">
        <v>0</v>
      </c>
      <c r="AA2864" t="s">
        <v>78</v>
      </c>
      <c r="AB2864">
        <v>0</v>
      </c>
      <c r="AC2864" t="s">
        <v>78</v>
      </c>
      <c r="AD2864">
        <v>0</v>
      </c>
      <c r="AE2864">
        <v>10826697</v>
      </c>
      <c r="AF2864" t="s">
        <v>79</v>
      </c>
      <c r="AG2864" t="s">
        <v>6076</v>
      </c>
    </row>
    <row r="2865" spans="1:33" x14ac:dyDescent="0.35">
      <c r="A2865" s="18">
        <v>44230.665277777778</v>
      </c>
      <c r="B2865">
        <v>4042990</v>
      </c>
      <c r="C2865" t="s">
        <v>6138</v>
      </c>
      <c r="D2865" t="s">
        <v>70</v>
      </c>
      <c r="E2865" s="19">
        <v>42324</v>
      </c>
      <c r="F2865" t="str">
        <f>"9781119075608"</f>
        <v>9781119075608</v>
      </c>
      <c r="G2865" t="str">
        <f>"9781119075592"</f>
        <v>9781119075592</v>
      </c>
      <c r="H2865" t="s">
        <v>128</v>
      </c>
      <c r="I2865">
        <v>307.76</v>
      </c>
      <c r="J2865" t="s">
        <v>6139</v>
      </c>
      <c r="K2865" t="s">
        <v>73</v>
      </c>
      <c r="N2865" t="s">
        <v>74</v>
      </c>
      <c r="O2865" t="s">
        <v>75</v>
      </c>
      <c r="P2865" t="s">
        <v>74</v>
      </c>
      <c r="Q2865" t="s">
        <v>76</v>
      </c>
      <c r="R2865" t="s">
        <v>73</v>
      </c>
      <c r="S2865">
        <v>0</v>
      </c>
      <c r="W2865" s="20">
        <v>3.6805555555555554E-3</v>
      </c>
      <c r="X2865" t="s">
        <v>6140</v>
      </c>
      <c r="Y2865">
        <v>6</v>
      </c>
      <c r="Z2865">
        <v>0</v>
      </c>
      <c r="AA2865" t="s">
        <v>78</v>
      </c>
      <c r="AB2865">
        <v>0</v>
      </c>
      <c r="AC2865" t="s">
        <v>78</v>
      </c>
      <c r="AD2865">
        <v>0</v>
      </c>
      <c r="AE2865">
        <v>11115168</v>
      </c>
      <c r="AF2865" t="s">
        <v>79</v>
      </c>
      <c r="AG2865" t="s">
        <v>4894</v>
      </c>
    </row>
    <row r="2866" spans="1:33" x14ac:dyDescent="0.35">
      <c r="A2866" s="18">
        <v>44230.664583333331</v>
      </c>
      <c r="B2866">
        <v>4883016</v>
      </c>
      <c r="C2866" t="s">
        <v>2698</v>
      </c>
      <c r="D2866" t="s">
        <v>70</v>
      </c>
      <c r="E2866" s="19">
        <v>42928</v>
      </c>
      <c r="F2866" t="str">
        <f>"9781119226413"</f>
        <v>9781119226413</v>
      </c>
      <c r="G2866" t="str">
        <f>"9781119226390"</f>
        <v>9781119226390</v>
      </c>
      <c r="H2866" t="s">
        <v>128</v>
      </c>
      <c r="I2866">
        <v>307.76</v>
      </c>
      <c r="J2866" t="s">
        <v>2699</v>
      </c>
      <c r="K2866" t="s">
        <v>73</v>
      </c>
      <c r="N2866" t="s">
        <v>74</v>
      </c>
      <c r="O2866" t="s">
        <v>75</v>
      </c>
      <c r="P2866" t="s">
        <v>74</v>
      </c>
      <c r="Q2866" t="s">
        <v>76</v>
      </c>
      <c r="R2866" t="s">
        <v>73</v>
      </c>
      <c r="S2866">
        <v>0</v>
      </c>
      <c r="W2866" s="20">
        <v>6.018518518518519E-4</v>
      </c>
      <c r="X2866" t="s">
        <v>1930</v>
      </c>
      <c r="Y2866">
        <v>5</v>
      </c>
      <c r="Z2866">
        <v>0</v>
      </c>
      <c r="AA2866" t="s">
        <v>78</v>
      </c>
      <c r="AB2866">
        <v>0</v>
      </c>
      <c r="AC2866" t="s">
        <v>78</v>
      </c>
      <c r="AD2866">
        <v>0</v>
      </c>
      <c r="AE2866">
        <v>11400625</v>
      </c>
      <c r="AF2866" t="s">
        <v>79</v>
      </c>
      <c r="AG2866" t="s">
        <v>4894</v>
      </c>
    </row>
    <row r="2867" spans="1:33" x14ac:dyDescent="0.35">
      <c r="A2867" s="18">
        <v>44230.645833333336</v>
      </c>
      <c r="B2867">
        <v>5989398</v>
      </c>
      <c r="C2867" t="s">
        <v>2990</v>
      </c>
      <c r="D2867" t="s">
        <v>127</v>
      </c>
      <c r="E2867" s="19">
        <v>43822</v>
      </c>
      <c r="F2867" t="str">
        <f>"9780429846908"</f>
        <v>9780429846908</v>
      </c>
      <c r="G2867" t="str">
        <f>"9781138318090"</f>
        <v>9781138318090</v>
      </c>
      <c r="H2867" t="s">
        <v>2991</v>
      </c>
      <c r="K2867" t="s">
        <v>85</v>
      </c>
      <c r="Q2867" t="s">
        <v>76</v>
      </c>
      <c r="R2867" t="s">
        <v>73</v>
      </c>
      <c r="S2867">
        <v>0</v>
      </c>
      <c r="W2867" s="20">
        <v>9.3749999999999997E-3</v>
      </c>
      <c r="X2867" t="s">
        <v>6141</v>
      </c>
      <c r="Y2867">
        <v>31</v>
      </c>
      <c r="Z2867">
        <v>0</v>
      </c>
      <c r="AA2867" t="s">
        <v>78</v>
      </c>
      <c r="AB2867">
        <v>0</v>
      </c>
      <c r="AC2867" t="s">
        <v>78</v>
      </c>
      <c r="AD2867">
        <v>0</v>
      </c>
      <c r="AE2867">
        <v>-1</v>
      </c>
      <c r="AF2867" t="s">
        <v>88</v>
      </c>
      <c r="AG2867" t="s">
        <v>5994</v>
      </c>
    </row>
    <row r="2868" spans="1:33" x14ac:dyDescent="0.35">
      <c r="A2868" s="18">
        <v>44230.569444444445</v>
      </c>
      <c r="B2868">
        <v>2069957</v>
      </c>
      <c r="C2868" t="s">
        <v>6142</v>
      </c>
      <c r="D2868" t="s">
        <v>338</v>
      </c>
      <c r="E2868" s="19">
        <v>42177</v>
      </c>
      <c r="F2868" t="str">
        <f>"9780128016862"</f>
        <v>9780128016862</v>
      </c>
      <c r="G2868" t="str">
        <f>"9780128014172"</f>
        <v>9780128014172</v>
      </c>
      <c r="H2868" t="s">
        <v>6143</v>
      </c>
      <c r="I2868" t="s">
        <v>6144</v>
      </c>
      <c r="J2868" t="s">
        <v>6145</v>
      </c>
      <c r="K2868" t="s">
        <v>73</v>
      </c>
      <c r="N2868" t="s">
        <v>74</v>
      </c>
      <c r="O2868" t="s">
        <v>75</v>
      </c>
      <c r="P2868" t="s">
        <v>74</v>
      </c>
      <c r="Q2868" t="s">
        <v>76</v>
      </c>
      <c r="R2868" t="s">
        <v>73</v>
      </c>
      <c r="S2868">
        <v>0</v>
      </c>
      <c r="W2868" s="20">
        <v>1.7939814814814815E-3</v>
      </c>
      <c r="X2868" t="s">
        <v>6146</v>
      </c>
      <c r="Y2868">
        <v>9</v>
      </c>
      <c r="Z2868">
        <v>1</v>
      </c>
      <c r="AA2868" t="s">
        <v>6147</v>
      </c>
      <c r="AB2868">
        <v>40</v>
      </c>
      <c r="AC2868" t="s">
        <v>78</v>
      </c>
      <c r="AD2868">
        <v>0</v>
      </c>
      <c r="AE2868">
        <v>11066331</v>
      </c>
      <c r="AF2868" t="s">
        <v>88</v>
      </c>
      <c r="AG2868" t="s">
        <v>5829</v>
      </c>
    </row>
    <row r="2869" spans="1:33" x14ac:dyDescent="0.35">
      <c r="A2869" s="18">
        <v>44230.540972222225</v>
      </c>
      <c r="B2869">
        <v>4730471</v>
      </c>
      <c r="C2869" t="s">
        <v>6148</v>
      </c>
      <c r="D2869" t="s">
        <v>158</v>
      </c>
      <c r="E2869" s="19">
        <v>42669</v>
      </c>
      <c r="F2869" t="str">
        <f>"9780128098769"</f>
        <v>9780128098769</v>
      </c>
      <c r="G2869" t="str">
        <f>"9780128097342"</f>
        <v>9780128097342</v>
      </c>
      <c r="H2869" t="s">
        <v>767</v>
      </c>
      <c r="I2869">
        <v>628.4</v>
      </c>
      <c r="J2869" t="s">
        <v>6149</v>
      </c>
      <c r="K2869" t="s">
        <v>73</v>
      </c>
      <c r="N2869" t="s">
        <v>74</v>
      </c>
      <c r="O2869" t="s">
        <v>75</v>
      </c>
      <c r="P2869" t="s">
        <v>74</v>
      </c>
      <c r="Q2869" t="s">
        <v>76</v>
      </c>
      <c r="R2869" t="s">
        <v>73</v>
      </c>
      <c r="S2869">
        <v>0</v>
      </c>
      <c r="W2869" s="20">
        <v>1.5972222222222221E-3</v>
      </c>
      <c r="X2869" t="s">
        <v>6150</v>
      </c>
      <c r="Y2869">
        <v>23</v>
      </c>
      <c r="Z2869">
        <v>0</v>
      </c>
      <c r="AA2869" t="s">
        <v>78</v>
      </c>
      <c r="AB2869">
        <v>0</v>
      </c>
      <c r="AC2869" t="s">
        <v>78</v>
      </c>
      <c r="AD2869">
        <v>0</v>
      </c>
      <c r="AE2869">
        <v>11292604</v>
      </c>
      <c r="AF2869" t="s">
        <v>88</v>
      </c>
      <c r="AG2869" t="s">
        <v>6000</v>
      </c>
    </row>
    <row r="2870" spans="1:33" x14ac:dyDescent="0.35">
      <c r="A2870" s="18">
        <v>44230.538888888892</v>
      </c>
      <c r="B2870">
        <v>4631569</v>
      </c>
      <c r="C2870" t="s">
        <v>5781</v>
      </c>
      <c r="D2870" t="s">
        <v>70</v>
      </c>
      <c r="E2870" s="19">
        <v>42660</v>
      </c>
      <c r="F2870" t="str">
        <f>"9781119116479"</f>
        <v>9781119116479</v>
      </c>
      <c r="G2870" t="str">
        <f>"9781119116462"</f>
        <v>9781119116462</v>
      </c>
      <c r="H2870" t="s">
        <v>466</v>
      </c>
      <c r="I2870">
        <v>621.38455999999996</v>
      </c>
      <c r="J2870" t="s">
        <v>5782</v>
      </c>
      <c r="K2870" t="s">
        <v>73</v>
      </c>
      <c r="N2870" t="s">
        <v>74</v>
      </c>
      <c r="O2870" t="s">
        <v>75</v>
      </c>
      <c r="P2870" t="s">
        <v>74</v>
      </c>
      <c r="Q2870" t="s">
        <v>76</v>
      </c>
      <c r="R2870" t="s">
        <v>73</v>
      </c>
      <c r="S2870">
        <v>0</v>
      </c>
      <c r="W2870" s="20">
        <v>2.736111111111111E-2</v>
      </c>
      <c r="X2870" t="s">
        <v>6151</v>
      </c>
      <c r="Y2870">
        <v>13</v>
      </c>
      <c r="Z2870">
        <v>0</v>
      </c>
      <c r="AA2870" t="s">
        <v>78</v>
      </c>
      <c r="AB2870">
        <v>0</v>
      </c>
      <c r="AC2870" t="s">
        <v>6152</v>
      </c>
      <c r="AD2870">
        <v>3</v>
      </c>
      <c r="AE2870">
        <v>11246390</v>
      </c>
      <c r="AF2870" t="s">
        <v>79</v>
      </c>
      <c r="AG2870" t="s">
        <v>6153</v>
      </c>
    </row>
    <row r="2871" spans="1:33" x14ac:dyDescent="0.35">
      <c r="A2871" s="18">
        <v>44230.532638888886</v>
      </c>
      <c r="B2871">
        <v>3338641</v>
      </c>
      <c r="C2871" t="s">
        <v>2879</v>
      </c>
      <c r="D2871" t="s">
        <v>300</v>
      </c>
      <c r="E2871" s="19">
        <v>39143</v>
      </c>
      <c r="F2871" t="str">
        <f>"9780262282888"</f>
        <v>9780262282888</v>
      </c>
      <c r="G2871" t="str">
        <f>"9780262195577"</f>
        <v>9780262195577</v>
      </c>
      <c r="H2871" t="s">
        <v>595</v>
      </c>
      <c r="I2871" t="s">
        <v>2880</v>
      </c>
      <c r="J2871" t="s">
        <v>2881</v>
      </c>
      <c r="K2871" t="s">
        <v>73</v>
      </c>
      <c r="N2871" t="s">
        <v>74</v>
      </c>
      <c r="O2871" t="s">
        <v>75</v>
      </c>
      <c r="P2871" t="s">
        <v>74</v>
      </c>
      <c r="Q2871" t="s">
        <v>76</v>
      </c>
      <c r="R2871" t="s">
        <v>73</v>
      </c>
      <c r="S2871">
        <v>0</v>
      </c>
      <c r="W2871" s="20">
        <v>6.5972222222222213E-4</v>
      </c>
      <c r="X2871" t="s">
        <v>6154</v>
      </c>
      <c r="Y2871">
        <v>8</v>
      </c>
      <c r="Z2871">
        <v>0</v>
      </c>
      <c r="AA2871" t="s">
        <v>78</v>
      </c>
      <c r="AB2871">
        <v>0</v>
      </c>
      <c r="AC2871" t="s">
        <v>78</v>
      </c>
      <c r="AD2871">
        <v>0</v>
      </c>
      <c r="AE2871">
        <v>10173702</v>
      </c>
      <c r="AF2871" t="s">
        <v>79</v>
      </c>
      <c r="AG2871" t="s">
        <v>4894</v>
      </c>
    </row>
    <row r="2872" spans="1:33" x14ac:dyDescent="0.35">
      <c r="A2872" s="18">
        <v>44230.512499999997</v>
      </c>
      <c r="B2872">
        <v>1192863</v>
      </c>
      <c r="C2872" t="s">
        <v>6155</v>
      </c>
      <c r="D2872" t="s">
        <v>70</v>
      </c>
      <c r="E2872" s="19">
        <v>41442</v>
      </c>
      <c r="F2872" t="str">
        <f>"9781118612507"</f>
        <v>9781118612507</v>
      </c>
      <c r="G2872" t="str">
        <f>"9780470536742"</f>
        <v>9780470536742</v>
      </c>
      <c r="H2872" t="s">
        <v>391</v>
      </c>
      <c r="I2872">
        <v>660.29</v>
      </c>
      <c r="J2872" t="s">
        <v>6156</v>
      </c>
      <c r="K2872" t="s">
        <v>73</v>
      </c>
      <c r="N2872" t="s">
        <v>74</v>
      </c>
      <c r="O2872" t="s">
        <v>75</v>
      </c>
      <c r="P2872" t="s">
        <v>74</v>
      </c>
      <c r="Q2872" t="s">
        <v>76</v>
      </c>
      <c r="R2872" t="s">
        <v>73</v>
      </c>
      <c r="S2872">
        <v>0</v>
      </c>
      <c r="W2872" s="20">
        <v>1.5717592592592592E-2</v>
      </c>
      <c r="X2872" t="s">
        <v>6157</v>
      </c>
      <c r="Y2872">
        <v>26</v>
      </c>
      <c r="Z2872">
        <v>0</v>
      </c>
      <c r="AA2872" t="s">
        <v>78</v>
      </c>
      <c r="AB2872">
        <v>0</v>
      </c>
      <c r="AC2872" t="s">
        <v>78</v>
      </c>
      <c r="AD2872">
        <v>0</v>
      </c>
      <c r="AE2872">
        <v>10715324</v>
      </c>
      <c r="AF2872" t="s">
        <v>79</v>
      </c>
      <c r="AG2872" t="s">
        <v>6158</v>
      </c>
    </row>
    <row r="2873" spans="1:33" x14ac:dyDescent="0.35">
      <c r="A2873" s="18">
        <v>44229.806944444441</v>
      </c>
      <c r="B2873">
        <v>775026</v>
      </c>
      <c r="C2873" t="s">
        <v>6159</v>
      </c>
      <c r="D2873" t="s">
        <v>538</v>
      </c>
      <c r="E2873" s="19">
        <v>40756</v>
      </c>
      <c r="F2873" t="str">
        <f>"9781139115056"</f>
        <v>9781139115056</v>
      </c>
      <c r="G2873" t="str">
        <f>"9780521195904"</f>
        <v>9780521195904</v>
      </c>
      <c r="H2873" t="s">
        <v>83</v>
      </c>
      <c r="I2873">
        <v>629.1</v>
      </c>
      <c r="J2873" t="s">
        <v>6160</v>
      </c>
      <c r="K2873" t="s">
        <v>73</v>
      </c>
      <c r="N2873" t="s">
        <v>74</v>
      </c>
      <c r="O2873" t="s">
        <v>75</v>
      </c>
      <c r="P2873" t="s">
        <v>74</v>
      </c>
      <c r="Q2873" t="s">
        <v>76</v>
      </c>
      <c r="R2873" t="s">
        <v>73</v>
      </c>
      <c r="S2873">
        <v>1</v>
      </c>
      <c r="W2873" s="20">
        <v>0</v>
      </c>
      <c r="X2873" t="s">
        <v>78</v>
      </c>
      <c r="Y2873">
        <v>0</v>
      </c>
      <c r="Z2873">
        <v>0</v>
      </c>
      <c r="AA2873" t="s">
        <v>78</v>
      </c>
      <c r="AB2873">
        <v>0</v>
      </c>
      <c r="AC2873" t="s">
        <v>78</v>
      </c>
      <c r="AD2873">
        <v>0</v>
      </c>
      <c r="AE2873">
        <v>10502804</v>
      </c>
      <c r="AF2873" t="s">
        <v>88</v>
      </c>
      <c r="AG2873" t="s">
        <v>4894</v>
      </c>
    </row>
    <row r="2874" spans="1:33" x14ac:dyDescent="0.35">
      <c r="A2874" s="18">
        <v>44229.780555555553</v>
      </c>
      <c r="B2874">
        <v>5964254</v>
      </c>
      <c r="C2874" t="s">
        <v>6161</v>
      </c>
      <c r="D2874" t="s">
        <v>300</v>
      </c>
      <c r="E2874" s="19">
        <v>43781</v>
      </c>
      <c r="F2874" t="str">
        <f>"9780262355322"</f>
        <v>9780262355322</v>
      </c>
      <c r="G2874" t="str">
        <f>"9780262043083"</f>
        <v>9780262043083</v>
      </c>
      <c r="H2874" t="s">
        <v>6162</v>
      </c>
      <c r="I2874">
        <v>174.2</v>
      </c>
      <c r="J2874" t="s">
        <v>6163</v>
      </c>
      <c r="K2874" t="s">
        <v>85</v>
      </c>
      <c r="N2874" t="s">
        <v>86</v>
      </c>
      <c r="P2874" t="s">
        <v>87</v>
      </c>
      <c r="Q2874" t="s">
        <v>76</v>
      </c>
      <c r="R2874" t="s">
        <v>73</v>
      </c>
      <c r="S2874">
        <v>2</v>
      </c>
      <c r="T2874">
        <v>7</v>
      </c>
      <c r="U2874" s="18">
        <v>44229.780555555553</v>
      </c>
      <c r="V2874" s="18">
        <v>44236.780555555553</v>
      </c>
      <c r="W2874" s="20">
        <v>0</v>
      </c>
      <c r="X2874" t="s">
        <v>78</v>
      </c>
      <c r="Y2874">
        <v>0</v>
      </c>
      <c r="Z2874">
        <v>0</v>
      </c>
      <c r="AA2874" t="s">
        <v>78</v>
      </c>
      <c r="AB2874">
        <v>0</v>
      </c>
      <c r="AC2874" t="s">
        <v>78</v>
      </c>
      <c r="AD2874">
        <v>0</v>
      </c>
      <c r="AE2874">
        <v>-1</v>
      </c>
      <c r="AF2874" t="s">
        <v>88</v>
      </c>
      <c r="AG2874" t="s">
        <v>6164</v>
      </c>
    </row>
    <row r="2875" spans="1:33" x14ac:dyDescent="0.35">
      <c r="A2875" s="18">
        <v>44229.678472222222</v>
      </c>
      <c r="B2875">
        <v>1707761</v>
      </c>
      <c r="C2875" t="s">
        <v>3411</v>
      </c>
      <c r="D2875" t="s">
        <v>3412</v>
      </c>
      <c r="E2875" s="19">
        <v>41885</v>
      </c>
      <c r="F2875" t="str">
        <f>"9780814433942"</f>
        <v>9780814433942</v>
      </c>
      <c r="G2875" t="str">
        <f>"9780814433935"</f>
        <v>9780814433935</v>
      </c>
      <c r="H2875" t="s">
        <v>143</v>
      </c>
      <c r="I2875" t="s">
        <v>3413</v>
      </c>
      <c r="J2875" t="s">
        <v>3414</v>
      </c>
      <c r="K2875" t="s">
        <v>73</v>
      </c>
      <c r="N2875" t="s">
        <v>74</v>
      </c>
      <c r="O2875" t="s">
        <v>75</v>
      </c>
      <c r="P2875" t="s">
        <v>74</v>
      </c>
      <c r="Q2875" t="s">
        <v>76</v>
      </c>
      <c r="R2875" t="s">
        <v>73</v>
      </c>
      <c r="S2875">
        <v>0</v>
      </c>
      <c r="W2875" s="20">
        <v>7.9861111111111105E-4</v>
      </c>
      <c r="X2875" t="s">
        <v>6165</v>
      </c>
      <c r="Y2875">
        <v>11</v>
      </c>
      <c r="Z2875">
        <v>0</v>
      </c>
      <c r="AA2875" t="s">
        <v>78</v>
      </c>
      <c r="AB2875">
        <v>0</v>
      </c>
      <c r="AC2875" t="s">
        <v>78</v>
      </c>
      <c r="AD2875">
        <v>0</v>
      </c>
      <c r="AE2875">
        <v>10905804</v>
      </c>
      <c r="AF2875" t="s">
        <v>79</v>
      </c>
      <c r="AG2875" t="s">
        <v>4894</v>
      </c>
    </row>
    <row r="2876" spans="1:33" x14ac:dyDescent="0.35">
      <c r="A2876" s="18">
        <v>44229.666666666664</v>
      </c>
      <c r="B2876">
        <v>1446262</v>
      </c>
      <c r="C2876" t="s">
        <v>4553</v>
      </c>
      <c r="D2876" t="s">
        <v>127</v>
      </c>
      <c r="E2876" s="19">
        <v>41122</v>
      </c>
      <c r="F2876" t="str">
        <f>"9781466517004"</f>
        <v>9781466517004</v>
      </c>
      <c r="G2876" t="str">
        <f>"9781439874608"</f>
        <v>9781439874608</v>
      </c>
      <c r="H2876" t="s">
        <v>4554</v>
      </c>
      <c r="I2876">
        <v>620.10599999999999</v>
      </c>
      <c r="J2876" t="s">
        <v>4555</v>
      </c>
      <c r="K2876" t="s">
        <v>73</v>
      </c>
      <c r="N2876" t="s">
        <v>74</v>
      </c>
      <c r="O2876" t="s">
        <v>75</v>
      </c>
      <c r="P2876" t="s">
        <v>74</v>
      </c>
      <c r="Q2876" t="s">
        <v>76</v>
      </c>
      <c r="R2876" t="s">
        <v>73</v>
      </c>
      <c r="S2876">
        <v>0</v>
      </c>
      <c r="W2876" s="20">
        <v>1.2847222222222223E-3</v>
      </c>
      <c r="X2876" t="s">
        <v>6166</v>
      </c>
      <c r="Y2876">
        <v>9</v>
      </c>
      <c r="Z2876">
        <v>0</v>
      </c>
      <c r="AA2876" t="s">
        <v>78</v>
      </c>
      <c r="AB2876">
        <v>0</v>
      </c>
      <c r="AC2876" t="s">
        <v>78</v>
      </c>
      <c r="AD2876">
        <v>0</v>
      </c>
      <c r="AE2876">
        <v>11165967</v>
      </c>
      <c r="AF2876" t="s">
        <v>79</v>
      </c>
      <c r="AG2876" t="s">
        <v>6012</v>
      </c>
    </row>
    <row r="2877" spans="1:33" x14ac:dyDescent="0.35">
      <c r="A2877" s="18">
        <v>44229.553472222222</v>
      </c>
      <c r="B2877">
        <v>5989398</v>
      </c>
      <c r="C2877" t="s">
        <v>2990</v>
      </c>
      <c r="D2877" t="s">
        <v>127</v>
      </c>
      <c r="E2877" s="19">
        <v>43822</v>
      </c>
      <c r="F2877" t="str">
        <f>"9780429846908"</f>
        <v>9780429846908</v>
      </c>
      <c r="G2877" t="str">
        <f>"9781138318090"</f>
        <v>9781138318090</v>
      </c>
      <c r="H2877" t="s">
        <v>2991</v>
      </c>
      <c r="K2877" t="s">
        <v>85</v>
      </c>
      <c r="Q2877" t="s">
        <v>76</v>
      </c>
      <c r="R2877" t="s">
        <v>73</v>
      </c>
      <c r="S2877">
        <v>0</v>
      </c>
      <c r="W2877" s="20">
        <v>1.9675925925925926E-4</v>
      </c>
      <c r="X2877" t="s">
        <v>2923</v>
      </c>
      <c r="Y2877">
        <v>2</v>
      </c>
      <c r="Z2877">
        <v>0</v>
      </c>
      <c r="AA2877" t="s">
        <v>78</v>
      </c>
      <c r="AB2877">
        <v>0</v>
      </c>
      <c r="AC2877" t="s">
        <v>78</v>
      </c>
      <c r="AD2877">
        <v>0</v>
      </c>
      <c r="AE2877">
        <v>-1</v>
      </c>
      <c r="AF2877" t="s">
        <v>79</v>
      </c>
      <c r="AG2877" t="s">
        <v>4894</v>
      </c>
    </row>
    <row r="2878" spans="1:33" x14ac:dyDescent="0.35">
      <c r="A2878" s="18">
        <v>44229.508333333331</v>
      </c>
      <c r="B2878">
        <v>2033828</v>
      </c>
      <c r="C2878" t="s">
        <v>6167</v>
      </c>
      <c r="D2878" t="s">
        <v>158</v>
      </c>
      <c r="E2878" s="19">
        <v>42088</v>
      </c>
      <c r="F2878" t="str">
        <f>"9780128011720"</f>
        <v>9780128011720</v>
      </c>
      <c r="G2878" t="str">
        <f>"9780080999951"</f>
        <v>9780080999951</v>
      </c>
      <c r="H2878" t="s">
        <v>6168</v>
      </c>
      <c r="I2878" t="s">
        <v>6169</v>
      </c>
      <c r="J2878" t="s">
        <v>6170</v>
      </c>
      <c r="K2878" t="s">
        <v>73</v>
      </c>
      <c r="N2878" t="s">
        <v>74</v>
      </c>
      <c r="O2878" t="s">
        <v>75</v>
      </c>
      <c r="P2878" t="s">
        <v>74</v>
      </c>
      <c r="Q2878" t="s">
        <v>76</v>
      </c>
      <c r="R2878" t="s">
        <v>73</v>
      </c>
      <c r="S2878">
        <v>1</v>
      </c>
      <c r="W2878" s="20">
        <v>0</v>
      </c>
      <c r="X2878" t="s">
        <v>78</v>
      </c>
      <c r="Y2878">
        <v>0</v>
      </c>
      <c r="Z2878">
        <v>0</v>
      </c>
      <c r="AA2878" t="s">
        <v>78</v>
      </c>
      <c r="AB2878">
        <v>0</v>
      </c>
      <c r="AC2878" t="s">
        <v>78</v>
      </c>
      <c r="AD2878">
        <v>0</v>
      </c>
      <c r="AE2878">
        <v>11048368</v>
      </c>
      <c r="AF2878" t="s">
        <v>88</v>
      </c>
      <c r="AG2878" t="s">
        <v>4894</v>
      </c>
    </row>
    <row r="2879" spans="1:33" x14ac:dyDescent="0.35">
      <c r="A2879" s="18">
        <v>44229.490277777775</v>
      </c>
      <c r="B2879">
        <v>3338641</v>
      </c>
      <c r="C2879" t="s">
        <v>2879</v>
      </c>
      <c r="D2879" t="s">
        <v>300</v>
      </c>
      <c r="E2879" s="19">
        <v>39143</v>
      </c>
      <c r="F2879" t="str">
        <f>"9780262282888"</f>
        <v>9780262282888</v>
      </c>
      <c r="G2879" t="str">
        <f>"9780262195577"</f>
        <v>9780262195577</v>
      </c>
      <c r="H2879" t="s">
        <v>595</v>
      </c>
      <c r="I2879" t="s">
        <v>2880</v>
      </c>
      <c r="J2879" t="s">
        <v>2881</v>
      </c>
      <c r="K2879" t="s">
        <v>73</v>
      </c>
      <c r="N2879" t="s">
        <v>74</v>
      </c>
      <c r="O2879" t="s">
        <v>75</v>
      </c>
      <c r="P2879" t="s">
        <v>74</v>
      </c>
      <c r="Q2879" t="s">
        <v>76</v>
      </c>
      <c r="R2879" t="s">
        <v>73</v>
      </c>
      <c r="S2879">
        <v>0</v>
      </c>
      <c r="W2879" s="20">
        <v>3.6689814814814814E-3</v>
      </c>
      <c r="X2879" t="s">
        <v>6171</v>
      </c>
      <c r="Y2879">
        <v>8</v>
      </c>
      <c r="Z2879">
        <v>0</v>
      </c>
      <c r="AA2879" t="s">
        <v>78</v>
      </c>
      <c r="AB2879">
        <v>0</v>
      </c>
      <c r="AC2879" t="s">
        <v>78</v>
      </c>
      <c r="AD2879">
        <v>0</v>
      </c>
      <c r="AE2879">
        <v>10173702</v>
      </c>
      <c r="AF2879" t="s">
        <v>79</v>
      </c>
      <c r="AG2879" t="s">
        <v>4894</v>
      </c>
    </row>
    <row r="2880" spans="1:33" x14ac:dyDescent="0.35">
      <c r="A2880" s="18">
        <v>44229.456944444442</v>
      </c>
      <c r="B2880">
        <v>3338641</v>
      </c>
      <c r="C2880" t="s">
        <v>2879</v>
      </c>
      <c r="D2880" t="s">
        <v>300</v>
      </c>
      <c r="E2880" s="19">
        <v>39143</v>
      </c>
      <c r="F2880" t="str">
        <f>"9780262282888"</f>
        <v>9780262282888</v>
      </c>
      <c r="G2880" t="str">
        <f>"9780262195577"</f>
        <v>9780262195577</v>
      </c>
      <c r="H2880" t="s">
        <v>595</v>
      </c>
      <c r="I2880" t="s">
        <v>2880</v>
      </c>
      <c r="J2880" t="s">
        <v>2881</v>
      </c>
      <c r="K2880" t="s">
        <v>73</v>
      </c>
      <c r="N2880" t="s">
        <v>74</v>
      </c>
      <c r="O2880" t="s">
        <v>75</v>
      </c>
      <c r="P2880" t="s">
        <v>74</v>
      </c>
      <c r="Q2880" t="s">
        <v>76</v>
      </c>
      <c r="R2880" t="s">
        <v>73</v>
      </c>
      <c r="S2880">
        <v>1</v>
      </c>
      <c r="W2880" s="20">
        <v>8.564814814814815E-4</v>
      </c>
      <c r="X2880" t="s">
        <v>6172</v>
      </c>
      <c r="Y2880">
        <v>17</v>
      </c>
      <c r="Z2880">
        <v>0</v>
      </c>
      <c r="AA2880" t="s">
        <v>78</v>
      </c>
      <c r="AB2880">
        <v>0</v>
      </c>
      <c r="AC2880" t="s">
        <v>78</v>
      </c>
      <c r="AD2880">
        <v>0</v>
      </c>
      <c r="AE2880">
        <v>10173702</v>
      </c>
      <c r="AF2880" t="s">
        <v>88</v>
      </c>
      <c r="AG2880" t="s">
        <v>4894</v>
      </c>
    </row>
    <row r="2881" spans="1:33" x14ac:dyDescent="0.35">
      <c r="A2881" s="18">
        <v>44229.418749999997</v>
      </c>
      <c r="B2881">
        <v>5989398</v>
      </c>
      <c r="C2881" t="s">
        <v>2990</v>
      </c>
      <c r="D2881" t="s">
        <v>127</v>
      </c>
      <c r="E2881" s="19">
        <v>43822</v>
      </c>
      <c r="F2881" t="str">
        <f>"9780429846908"</f>
        <v>9780429846908</v>
      </c>
      <c r="G2881" t="str">
        <f>"9781138318090"</f>
        <v>9781138318090</v>
      </c>
      <c r="H2881" t="s">
        <v>2991</v>
      </c>
      <c r="K2881" t="s">
        <v>85</v>
      </c>
      <c r="Q2881" t="s">
        <v>76</v>
      </c>
      <c r="R2881" t="s">
        <v>73</v>
      </c>
      <c r="S2881">
        <v>0</v>
      </c>
      <c r="W2881" s="20">
        <v>1.2152777777777778E-3</v>
      </c>
      <c r="X2881" t="s">
        <v>6173</v>
      </c>
      <c r="Y2881">
        <v>6</v>
      </c>
      <c r="Z2881">
        <v>0</v>
      </c>
      <c r="AA2881" t="s">
        <v>78</v>
      </c>
      <c r="AB2881">
        <v>0</v>
      </c>
      <c r="AC2881" t="s">
        <v>78</v>
      </c>
      <c r="AD2881">
        <v>0</v>
      </c>
      <c r="AE2881">
        <v>-1</v>
      </c>
      <c r="AF2881" t="s">
        <v>88</v>
      </c>
      <c r="AG2881" t="s">
        <v>4894</v>
      </c>
    </row>
    <row r="2882" spans="1:33" x14ac:dyDescent="0.35">
      <c r="A2882" s="18">
        <v>44229.195138888892</v>
      </c>
      <c r="B2882">
        <v>6193936</v>
      </c>
      <c r="C2882" t="s">
        <v>6174</v>
      </c>
      <c r="D2882" t="s">
        <v>127</v>
      </c>
      <c r="E2882" s="19">
        <v>44598</v>
      </c>
      <c r="F2882" t="str">
        <f>"9780429869761"</f>
        <v>9780429869761</v>
      </c>
      <c r="G2882" t="str">
        <f>"9781138616080"</f>
        <v>9781138616080</v>
      </c>
      <c r="H2882" t="s">
        <v>128</v>
      </c>
      <c r="I2882">
        <v>392.36</v>
      </c>
      <c r="J2882" t="s">
        <v>6175</v>
      </c>
      <c r="K2882" t="s">
        <v>85</v>
      </c>
      <c r="Q2882" t="s">
        <v>76</v>
      </c>
      <c r="R2882" t="s">
        <v>73</v>
      </c>
      <c r="S2882">
        <v>0</v>
      </c>
      <c r="W2882" s="20">
        <v>1.8518518518518518E-4</v>
      </c>
      <c r="X2882" t="s">
        <v>1021</v>
      </c>
      <c r="Y2882">
        <v>5</v>
      </c>
      <c r="Z2882">
        <v>0</v>
      </c>
      <c r="AA2882" t="s">
        <v>78</v>
      </c>
      <c r="AB2882">
        <v>0</v>
      </c>
      <c r="AC2882" t="s">
        <v>78</v>
      </c>
      <c r="AD2882">
        <v>0</v>
      </c>
      <c r="AE2882">
        <v>-1</v>
      </c>
      <c r="AF2882" t="s">
        <v>88</v>
      </c>
      <c r="AG2882" t="s">
        <v>5390</v>
      </c>
    </row>
    <row r="2883" spans="1:33" x14ac:dyDescent="0.35">
      <c r="A2883" s="18">
        <v>44229.02847222222</v>
      </c>
      <c r="B2883">
        <v>1032958</v>
      </c>
      <c r="C2883" t="s">
        <v>6176</v>
      </c>
      <c r="D2883" t="s">
        <v>338</v>
      </c>
      <c r="E2883" s="19">
        <v>41157</v>
      </c>
      <c r="F2883" t="str">
        <f>"9780444595027"</f>
        <v>9780444595027</v>
      </c>
      <c r="G2883" t="str">
        <f>"9780444594976"</f>
        <v>9780444594976</v>
      </c>
      <c r="H2883" t="s">
        <v>6177</v>
      </c>
      <c r="I2883">
        <v>541.36900000000003</v>
      </c>
      <c r="J2883" t="s">
        <v>6178</v>
      </c>
      <c r="K2883" t="s">
        <v>73</v>
      </c>
      <c r="N2883" t="s">
        <v>74</v>
      </c>
      <c r="O2883" t="s">
        <v>75</v>
      </c>
      <c r="P2883" t="s">
        <v>74</v>
      </c>
      <c r="Q2883" t="s">
        <v>76</v>
      </c>
      <c r="R2883" t="s">
        <v>73</v>
      </c>
      <c r="S2883">
        <v>0</v>
      </c>
      <c r="W2883" s="20">
        <v>4.8611111111111104E-4</v>
      </c>
      <c r="X2883" t="s">
        <v>6179</v>
      </c>
      <c r="Y2883">
        <v>3</v>
      </c>
      <c r="Z2883">
        <v>0</v>
      </c>
      <c r="AA2883" t="s">
        <v>78</v>
      </c>
      <c r="AB2883">
        <v>0</v>
      </c>
      <c r="AC2883" t="s">
        <v>78</v>
      </c>
      <c r="AD2883">
        <v>0</v>
      </c>
      <c r="AE2883">
        <v>10606207</v>
      </c>
      <c r="AF2883" t="s">
        <v>79</v>
      </c>
      <c r="AG2883" t="s">
        <v>6180</v>
      </c>
    </row>
    <row r="2884" spans="1:33" x14ac:dyDescent="0.35">
      <c r="A2884" s="18">
        <v>44228.938194444447</v>
      </c>
      <c r="B2884">
        <v>1173081</v>
      </c>
      <c r="C2884" t="s">
        <v>3999</v>
      </c>
      <c r="D2884" t="s">
        <v>70</v>
      </c>
      <c r="E2884" s="19">
        <v>41393</v>
      </c>
      <c r="F2884" t="str">
        <f>"9781118417591"</f>
        <v>9781118417591</v>
      </c>
      <c r="G2884" t="str">
        <f>"9781118394106"</f>
        <v>9781118394106</v>
      </c>
      <c r="H2884" t="s">
        <v>143</v>
      </c>
      <c r="I2884" t="s">
        <v>4000</v>
      </c>
      <c r="J2884" t="s">
        <v>4001</v>
      </c>
      <c r="K2884" t="s">
        <v>73</v>
      </c>
      <c r="N2884" t="s">
        <v>74</v>
      </c>
      <c r="O2884" t="s">
        <v>75</v>
      </c>
      <c r="P2884" t="s">
        <v>74</v>
      </c>
      <c r="Q2884" t="s">
        <v>76</v>
      </c>
      <c r="R2884" t="s">
        <v>73</v>
      </c>
      <c r="S2884">
        <v>0</v>
      </c>
      <c r="W2884" s="20">
        <v>0</v>
      </c>
      <c r="X2884" t="s">
        <v>78</v>
      </c>
      <c r="Y2884">
        <v>0</v>
      </c>
      <c r="Z2884">
        <v>1</v>
      </c>
      <c r="AA2884" t="s">
        <v>6181</v>
      </c>
      <c r="AB2884">
        <v>20</v>
      </c>
      <c r="AC2884" t="s">
        <v>78</v>
      </c>
      <c r="AD2884">
        <v>0</v>
      </c>
      <c r="AE2884">
        <v>10691459</v>
      </c>
      <c r="AF2884" t="s">
        <v>79</v>
      </c>
      <c r="AG2884" t="s">
        <v>5859</v>
      </c>
    </row>
    <row r="2885" spans="1:33" x14ac:dyDescent="0.35">
      <c r="A2885" s="18">
        <v>44228.92083333333</v>
      </c>
      <c r="B2885">
        <v>200407</v>
      </c>
      <c r="C2885" t="s">
        <v>4936</v>
      </c>
      <c r="D2885" t="s">
        <v>127</v>
      </c>
      <c r="E2885" s="19">
        <v>38344</v>
      </c>
      <c r="F2885" t="str">
        <f>"9780203589397"</f>
        <v>9780203589397</v>
      </c>
      <c r="G2885" t="str">
        <f>"9780415317504"</f>
        <v>9780415317504</v>
      </c>
      <c r="H2885" t="s">
        <v>4937</v>
      </c>
      <c r="I2885">
        <v>711.41</v>
      </c>
      <c r="J2885" t="s">
        <v>4938</v>
      </c>
      <c r="K2885" t="s">
        <v>73</v>
      </c>
      <c r="N2885" t="s">
        <v>74</v>
      </c>
      <c r="O2885" t="s">
        <v>75</v>
      </c>
      <c r="P2885" t="s">
        <v>74</v>
      </c>
      <c r="Q2885" t="s">
        <v>76</v>
      </c>
      <c r="R2885" t="s">
        <v>73</v>
      </c>
      <c r="S2885">
        <v>0</v>
      </c>
      <c r="W2885" s="20">
        <v>1.4432870370370372E-2</v>
      </c>
      <c r="X2885" t="s">
        <v>5453</v>
      </c>
      <c r="Y2885">
        <v>2</v>
      </c>
      <c r="Z2885">
        <v>2</v>
      </c>
      <c r="AA2885" t="s">
        <v>6182</v>
      </c>
      <c r="AB2885">
        <v>4</v>
      </c>
      <c r="AC2885" t="s">
        <v>78</v>
      </c>
      <c r="AD2885">
        <v>0</v>
      </c>
      <c r="AE2885">
        <v>10094573</v>
      </c>
      <c r="AF2885" t="s">
        <v>79</v>
      </c>
      <c r="AG2885" t="s">
        <v>4894</v>
      </c>
    </row>
    <row r="2886" spans="1:33" x14ac:dyDescent="0.35">
      <c r="A2886" s="18">
        <v>44228.763888888891</v>
      </c>
      <c r="B2886">
        <v>5381116</v>
      </c>
      <c r="C2886" t="s">
        <v>6183</v>
      </c>
      <c r="D2886" t="s">
        <v>3397</v>
      </c>
      <c r="E2886" s="19">
        <v>43282</v>
      </c>
      <c r="F2886" t="str">
        <f>"9781613996256"</f>
        <v>9781613996256</v>
      </c>
      <c r="G2886" t="str">
        <f>"9781613994948"</f>
        <v>9781613994948</v>
      </c>
      <c r="H2886" t="s">
        <v>289</v>
      </c>
      <c r="I2886">
        <v>622.33820000000003</v>
      </c>
      <c r="J2886" t="s">
        <v>6184</v>
      </c>
      <c r="K2886" t="s">
        <v>73</v>
      </c>
      <c r="N2886" t="s">
        <v>74</v>
      </c>
      <c r="O2886" t="s">
        <v>75</v>
      </c>
      <c r="P2886" t="s">
        <v>74</v>
      </c>
      <c r="Q2886" t="s">
        <v>76</v>
      </c>
      <c r="R2886" t="s">
        <v>73</v>
      </c>
      <c r="S2886">
        <v>0</v>
      </c>
      <c r="W2886" s="20">
        <v>2.7777777777777779E-3</v>
      </c>
      <c r="X2886" t="s">
        <v>6185</v>
      </c>
      <c r="Y2886">
        <v>5</v>
      </c>
      <c r="Z2886">
        <v>1</v>
      </c>
      <c r="AA2886" t="s">
        <v>6186</v>
      </c>
      <c r="AB2886">
        <v>104</v>
      </c>
      <c r="AC2886" t="s">
        <v>78</v>
      </c>
      <c r="AD2886">
        <v>0</v>
      </c>
      <c r="AE2886">
        <v>11555706</v>
      </c>
      <c r="AF2886" t="s">
        <v>79</v>
      </c>
      <c r="AG2886" t="s">
        <v>4894</v>
      </c>
    </row>
    <row r="2887" spans="1:33" x14ac:dyDescent="0.35">
      <c r="A2887" s="18">
        <v>44228.63958333333</v>
      </c>
      <c r="B2887">
        <v>692326</v>
      </c>
      <c r="C2887" t="s">
        <v>6187</v>
      </c>
      <c r="D2887" t="s">
        <v>127</v>
      </c>
      <c r="E2887" s="19">
        <v>40617</v>
      </c>
      <c r="F2887" t="str">
        <f>"9780203818039"</f>
        <v>9780203818039</v>
      </c>
      <c r="G2887" t="str">
        <f>"9780415883528"</f>
        <v>9780415883528</v>
      </c>
      <c r="H2887" t="s">
        <v>6188</v>
      </c>
      <c r="I2887">
        <v>302.23</v>
      </c>
      <c r="J2887" t="s">
        <v>6189</v>
      </c>
      <c r="K2887" t="s">
        <v>73</v>
      </c>
      <c r="N2887" t="s">
        <v>74</v>
      </c>
      <c r="O2887" t="s">
        <v>75</v>
      </c>
      <c r="P2887" t="s">
        <v>74</v>
      </c>
      <c r="Q2887" t="s">
        <v>76</v>
      </c>
      <c r="R2887" t="s">
        <v>73</v>
      </c>
      <c r="S2887">
        <v>0</v>
      </c>
      <c r="W2887" s="20">
        <v>2.0717592592592593E-3</v>
      </c>
      <c r="X2887" t="s">
        <v>6190</v>
      </c>
      <c r="Y2887">
        <v>16</v>
      </c>
      <c r="Z2887">
        <v>0</v>
      </c>
      <c r="AA2887" t="s">
        <v>78</v>
      </c>
      <c r="AB2887">
        <v>0</v>
      </c>
      <c r="AC2887" t="s">
        <v>78</v>
      </c>
      <c r="AD2887">
        <v>0</v>
      </c>
      <c r="AE2887">
        <v>10477538</v>
      </c>
      <c r="AF2887" t="s">
        <v>79</v>
      </c>
      <c r="AG2887" t="s">
        <v>1184</v>
      </c>
    </row>
    <row r="2888" spans="1:33" x14ac:dyDescent="0.35">
      <c r="A2888" s="18">
        <v>44228.544444444444</v>
      </c>
      <c r="B2888">
        <v>3338641</v>
      </c>
      <c r="C2888" t="s">
        <v>2879</v>
      </c>
      <c r="D2888" t="s">
        <v>300</v>
      </c>
      <c r="E2888" s="19">
        <v>39143</v>
      </c>
      <c r="F2888" t="str">
        <f>"9780262282888"</f>
        <v>9780262282888</v>
      </c>
      <c r="G2888" t="str">
        <f>"9780262195577"</f>
        <v>9780262195577</v>
      </c>
      <c r="H2888" t="s">
        <v>595</v>
      </c>
      <c r="I2888" t="s">
        <v>2880</v>
      </c>
      <c r="J2888" t="s">
        <v>2881</v>
      </c>
      <c r="K2888" t="s">
        <v>73</v>
      </c>
      <c r="N2888" t="s">
        <v>74</v>
      </c>
      <c r="O2888" t="s">
        <v>75</v>
      </c>
      <c r="P2888" t="s">
        <v>74</v>
      </c>
      <c r="Q2888" t="s">
        <v>76</v>
      </c>
      <c r="R2888" t="s">
        <v>73</v>
      </c>
      <c r="S2888">
        <v>0</v>
      </c>
      <c r="W2888" s="20">
        <v>5.6828703703703702E-3</v>
      </c>
      <c r="X2888" t="s">
        <v>6191</v>
      </c>
      <c r="Y2888">
        <v>8</v>
      </c>
      <c r="Z2888">
        <v>0</v>
      </c>
      <c r="AA2888" t="s">
        <v>78</v>
      </c>
      <c r="AB2888">
        <v>0</v>
      </c>
      <c r="AC2888" t="s">
        <v>78</v>
      </c>
      <c r="AD2888">
        <v>0</v>
      </c>
      <c r="AE2888">
        <v>10173702</v>
      </c>
      <c r="AF2888" t="s">
        <v>79</v>
      </c>
      <c r="AG2888" t="s">
        <v>6192</v>
      </c>
    </row>
    <row r="2889" spans="1:33" x14ac:dyDescent="0.35">
      <c r="A2889" s="18">
        <v>44228.191666666666</v>
      </c>
      <c r="B2889">
        <v>4661533</v>
      </c>
      <c r="C2889" t="s">
        <v>6193</v>
      </c>
      <c r="D2889" t="s">
        <v>6194</v>
      </c>
      <c r="E2889" s="19">
        <v>42438</v>
      </c>
      <c r="F2889" t="str">
        <f>"9789221307969"</f>
        <v>9789221307969</v>
      </c>
      <c r="G2889" t="str">
        <f>"9789221307952"</f>
        <v>9789221307952</v>
      </c>
      <c r="H2889" t="s">
        <v>1878</v>
      </c>
      <c r="I2889">
        <v>331.4</v>
      </c>
      <c r="J2889" t="s">
        <v>6195</v>
      </c>
      <c r="K2889" t="s">
        <v>73</v>
      </c>
      <c r="N2889" t="s">
        <v>74</v>
      </c>
      <c r="O2889" t="s">
        <v>75</v>
      </c>
      <c r="P2889" t="s">
        <v>74</v>
      </c>
      <c r="Q2889" t="s">
        <v>76</v>
      </c>
      <c r="R2889" t="s">
        <v>73</v>
      </c>
      <c r="S2889">
        <v>0</v>
      </c>
      <c r="W2889" s="20">
        <v>1.8518518518518517E-3</v>
      </c>
      <c r="X2889" t="s">
        <v>6196</v>
      </c>
      <c r="Y2889">
        <v>16</v>
      </c>
      <c r="Z2889">
        <v>0</v>
      </c>
      <c r="AA2889" t="s">
        <v>78</v>
      </c>
      <c r="AB2889">
        <v>0</v>
      </c>
      <c r="AC2889" t="s">
        <v>78</v>
      </c>
      <c r="AD2889">
        <v>0</v>
      </c>
      <c r="AE2889">
        <v>11253368</v>
      </c>
      <c r="AF2889" t="s">
        <v>79</v>
      </c>
      <c r="AG2889" t="s">
        <v>4894</v>
      </c>
    </row>
    <row r="2890" spans="1:33" x14ac:dyDescent="0.35">
      <c r="A2890" s="18">
        <v>44228.186111111114</v>
      </c>
      <c r="B2890">
        <v>864275</v>
      </c>
      <c r="C2890" t="s">
        <v>6121</v>
      </c>
      <c r="D2890" t="s">
        <v>900</v>
      </c>
      <c r="E2890" s="19">
        <v>40542</v>
      </c>
      <c r="F2890" t="str">
        <f>"9781608050871"</f>
        <v>9781608050871</v>
      </c>
      <c r="G2890" t="str">
        <f>"9781608053353"</f>
        <v>9781608053353</v>
      </c>
      <c r="H2890" t="s">
        <v>128</v>
      </c>
      <c r="I2890">
        <v>300</v>
      </c>
      <c r="J2890" t="s">
        <v>6122</v>
      </c>
      <c r="K2890" t="s">
        <v>73</v>
      </c>
      <c r="N2890" t="s">
        <v>74</v>
      </c>
      <c r="O2890" t="s">
        <v>75</v>
      </c>
      <c r="P2890" t="s">
        <v>74</v>
      </c>
      <c r="Q2890" t="s">
        <v>76</v>
      </c>
      <c r="R2890" t="s">
        <v>73</v>
      </c>
      <c r="S2890">
        <v>0</v>
      </c>
      <c r="W2890" s="20">
        <v>1.5277777777777779E-3</v>
      </c>
      <c r="X2890" t="s">
        <v>6197</v>
      </c>
      <c r="Y2890">
        <v>9</v>
      </c>
      <c r="Z2890">
        <v>0</v>
      </c>
      <c r="AA2890" t="s">
        <v>78</v>
      </c>
      <c r="AB2890">
        <v>0</v>
      </c>
      <c r="AC2890" t="s">
        <v>78</v>
      </c>
      <c r="AD2890">
        <v>0</v>
      </c>
      <c r="AE2890">
        <v>10447989</v>
      </c>
      <c r="AF2890" t="s">
        <v>79</v>
      </c>
      <c r="AG2890" t="s">
        <v>4894</v>
      </c>
    </row>
    <row r="2891" spans="1:33" x14ac:dyDescent="0.35">
      <c r="A2891" s="18">
        <v>44228.111805555556</v>
      </c>
      <c r="B2891">
        <v>5139934</v>
      </c>
      <c r="C2891" t="s">
        <v>6198</v>
      </c>
      <c r="D2891" t="s">
        <v>3397</v>
      </c>
      <c r="E2891" s="19">
        <v>42552</v>
      </c>
      <c r="F2891" t="str">
        <f>"9781613994986"</f>
        <v>9781613994986</v>
      </c>
      <c r="G2891" t="str">
        <f>"9781613994269"</f>
        <v>9781613994269</v>
      </c>
      <c r="H2891" t="s">
        <v>179</v>
      </c>
      <c r="I2891">
        <v>622.33799999999906</v>
      </c>
      <c r="J2891" t="s">
        <v>6199</v>
      </c>
      <c r="K2891" t="s">
        <v>73</v>
      </c>
      <c r="N2891" t="s">
        <v>74</v>
      </c>
      <c r="O2891" t="s">
        <v>75</v>
      </c>
      <c r="P2891" t="s">
        <v>74</v>
      </c>
      <c r="Q2891" t="s">
        <v>76</v>
      </c>
      <c r="R2891" t="s">
        <v>73</v>
      </c>
      <c r="S2891">
        <v>0</v>
      </c>
      <c r="W2891" s="20">
        <v>8.7962962962962968E-3</v>
      </c>
      <c r="X2891" t="s">
        <v>6200</v>
      </c>
      <c r="Y2891">
        <v>106</v>
      </c>
      <c r="Z2891">
        <v>4</v>
      </c>
      <c r="AA2891" t="s">
        <v>6201</v>
      </c>
      <c r="AB2891">
        <v>112</v>
      </c>
      <c r="AC2891" t="s">
        <v>78</v>
      </c>
      <c r="AD2891">
        <v>0</v>
      </c>
      <c r="AE2891">
        <v>11465342</v>
      </c>
      <c r="AF2891" t="s">
        <v>79</v>
      </c>
      <c r="AG2891" t="s">
        <v>4894</v>
      </c>
    </row>
    <row r="2892" spans="1:33" x14ac:dyDescent="0.35">
      <c r="A2892" s="18">
        <v>44228.111805555556</v>
      </c>
      <c r="B2892">
        <v>5139934</v>
      </c>
      <c r="C2892" t="s">
        <v>6198</v>
      </c>
      <c r="D2892" t="s">
        <v>3397</v>
      </c>
      <c r="E2892" s="19">
        <v>42552</v>
      </c>
      <c r="F2892" t="str">
        <f>"9781613994986"</f>
        <v>9781613994986</v>
      </c>
      <c r="G2892" t="str">
        <f>"9781613994269"</f>
        <v>9781613994269</v>
      </c>
      <c r="H2892" t="s">
        <v>179</v>
      </c>
      <c r="I2892">
        <v>622.33799999999906</v>
      </c>
      <c r="J2892" t="s">
        <v>6199</v>
      </c>
      <c r="K2892" t="s">
        <v>73</v>
      </c>
      <c r="N2892" t="s">
        <v>74</v>
      </c>
      <c r="O2892" t="s">
        <v>75</v>
      </c>
      <c r="P2892" t="s">
        <v>74</v>
      </c>
      <c r="Q2892" t="s">
        <v>76</v>
      </c>
      <c r="R2892" t="s">
        <v>73</v>
      </c>
      <c r="S2892">
        <v>0</v>
      </c>
      <c r="W2892" s="20">
        <v>0</v>
      </c>
      <c r="X2892" t="s">
        <v>78</v>
      </c>
      <c r="Y2892">
        <v>0</v>
      </c>
      <c r="Z2892">
        <v>0</v>
      </c>
      <c r="AA2892" t="s">
        <v>78</v>
      </c>
      <c r="AB2892">
        <v>0</v>
      </c>
      <c r="AC2892" t="s">
        <v>78</v>
      </c>
      <c r="AD2892">
        <v>0</v>
      </c>
      <c r="AE2892">
        <v>11465342</v>
      </c>
      <c r="AF2892" t="s">
        <v>79</v>
      </c>
      <c r="AG2892" t="s">
        <v>4894</v>
      </c>
    </row>
    <row r="2893" spans="1:33" x14ac:dyDescent="0.35">
      <c r="A2893" s="18">
        <v>44228.006249999999</v>
      </c>
      <c r="B2893">
        <v>713117</v>
      </c>
      <c r="C2893" t="s">
        <v>6038</v>
      </c>
      <c r="D2893" t="s">
        <v>506</v>
      </c>
      <c r="E2893" s="19">
        <v>40544</v>
      </c>
      <c r="F2893" t="str">
        <f>"9789042033047"</f>
        <v>9789042033047</v>
      </c>
      <c r="G2893" t="str">
        <f>"9789042033030"</f>
        <v>9789042033030</v>
      </c>
      <c r="H2893" t="s">
        <v>636</v>
      </c>
      <c r="I2893">
        <v>809.91129999999998</v>
      </c>
      <c r="J2893" t="s">
        <v>6039</v>
      </c>
      <c r="K2893" t="s">
        <v>73</v>
      </c>
      <c r="N2893" t="s">
        <v>74</v>
      </c>
      <c r="O2893" t="s">
        <v>75</v>
      </c>
      <c r="P2893" t="s">
        <v>74</v>
      </c>
      <c r="Q2893" t="s">
        <v>76</v>
      </c>
      <c r="R2893" t="s">
        <v>73</v>
      </c>
      <c r="S2893">
        <v>0</v>
      </c>
      <c r="W2893" s="20">
        <v>2.0601851851851854E-2</v>
      </c>
      <c r="X2893" t="s">
        <v>6202</v>
      </c>
      <c r="Y2893">
        <v>19</v>
      </c>
      <c r="Z2893">
        <v>0</v>
      </c>
      <c r="AA2893" t="s">
        <v>78</v>
      </c>
      <c r="AB2893">
        <v>0</v>
      </c>
      <c r="AC2893" t="s">
        <v>78</v>
      </c>
      <c r="AD2893">
        <v>0</v>
      </c>
      <c r="AE2893">
        <v>10479204</v>
      </c>
      <c r="AF2893" t="s">
        <v>79</v>
      </c>
      <c r="AG2893" t="s">
        <v>770</v>
      </c>
    </row>
    <row r="2894" spans="1:33" x14ac:dyDescent="0.35">
      <c r="A2894" s="18">
        <v>44227.911805555559</v>
      </c>
      <c r="B2894">
        <v>713117</v>
      </c>
      <c r="C2894" t="s">
        <v>6038</v>
      </c>
      <c r="D2894" t="s">
        <v>506</v>
      </c>
      <c r="E2894" s="19">
        <v>40544</v>
      </c>
      <c r="F2894" t="str">
        <f>"9789042033047"</f>
        <v>9789042033047</v>
      </c>
      <c r="G2894" t="str">
        <f>"9789042033030"</f>
        <v>9789042033030</v>
      </c>
      <c r="H2894" t="s">
        <v>636</v>
      </c>
      <c r="I2894">
        <v>809.91129999999998</v>
      </c>
      <c r="J2894" t="s">
        <v>6039</v>
      </c>
      <c r="K2894" t="s">
        <v>73</v>
      </c>
      <c r="N2894" t="s">
        <v>74</v>
      </c>
      <c r="O2894" t="s">
        <v>75</v>
      </c>
      <c r="P2894" t="s">
        <v>74</v>
      </c>
      <c r="Q2894" t="s">
        <v>76</v>
      </c>
      <c r="R2894" t="s">
        <v>73</v>
      </c>
      <c r="S2894">
        <v>0</v>
      </c>
      <c r="W2894" s="20">
        <v>1.9803240740740739E-2</v>
      </c>
      <c r="X2894" t="s">
        <v>6203</v>
      </c>
      <c r="Y2894">
        <v>9</v>
      </c>
      <c r="Z2894">
        <v>0</v>
      </c>
      <c r="AA2894" t="s">
        <v>78</v>
      </c>
      <c r="AB2894">
        <v>0</v>
      </c>
      <c r="AC2894" t="s">
        <v>78</v>
      </c>
      <c r="AD2894">
        <v>0</v>
      </c>
      <c r="AE2894">
        <v>10479204</v>
      </c>
      <c r="AF2894" t="s">
        <v>79</v>
      </c>
      <c r="AG2894" t="s">
        <v>770</v>
      </c>
    </row>
    <row r="2895" spans="1:33" x14ac:dyDescent="0.35">
      <c r="A2895" s="18">
        <v>44227.577777777777</v>
      </c>
      <c r="B2895">
        <v>1024675</v>
      </c>
      <c r="C2895" t="s">
        <v>6204</v>
      </c>
      <c r="D2895" t="s">
        <v>127</v>
      </c>
      <c r="E2895" s="19">
        <v>40750</v>
      </c>
      <c r="F2895" t="str">
        <f>"9780203810415"</f>
        <v>9780203810415</v>
      </c>
      <c r="G2895" t="str">
        <f>"9780415568050"</f>
        <v>9780415568050</v>
      </c>
      <c r="H2895" t="s">
        <v>251</v>
      </c>
      <c r="I2895">
        <v>349.42</v>
      </c>
      <c r="J2895" t="s">
        <v>6205</v>
      </c>
      <c r="K2895" t="s">
        <v>73</v>
      </c>
      <c r="N2895" t="s">
        <v>74</v>
      </c>
      <c r="O2895" t="s">
        <v>75</v>
      </c>
      <c r="P2895" t="s">
        <v>74</v>
      </c>
      <c r="Q2895" t="s">
        <v>76</v>
      </c>
      <c r="R2895" t="s">
        <v>73</v>
      </c>
      <c r="S2895">
        <v>0</v>
      </c>
      <c r="W2895" s="20">
        <v>5.3240740740740748E-3</v>
      </c>
      <c r="X2895" t="s">
        <v>360</v>
      </c>
      <c r="Y2895">
        <v>2</v>
      </c>
      <c r="Z2895">
        <v>0</v>
      </c>
      <c r="AA2895" t="s">
        <v>78</v>
      </c>
      <c r="AB2895">
        <v>0</v>
      </c>
      <c r="AC2895" t="s">
        <v>78</v>
      </c>
      <c r="AD2895">
        <v>0</v>
      </c>
      <c r="AE2895">
        <v>10603877</v>
      </c>
      <c r="AF2895" t="s">
        <v>79</v>
      </c>
      <c r="AG2895" t="s">
        <v>4894</v>
      </c>
    </row>
    <row r="2896" spans="1:33" x14ac:dyDescent="0.35">
      <c r="A2896" s="18">
        <v>44227.534722222219</v>
      </c>
      <c r="B2896">
        <v>1024675</v>
      </c>
      <c r="C2896" t="s">
        <v>6204</v>
      </c>
      <c r="D2896" t="s">
        <v>127</v>
      </c>
      <c r="E2896" s="19">
        <v>40750</v>
      </c>
      <c r="F2896" t="str">
        <f>"9780203810415"</f>
        <v>9780203810415</v>
      </c>
      <c r="G2896" t="str">
        <f>"9780415568050"</f>
        <v>9780415568050</v>
      </c>
      <c r="H2896" t="s">
        <v>251</v>
      </c>
      <c r="I2896">
        <v>349.42</v>
      </c>
      <c r="J2896" t="s">
        <v>6205</v>
      </c>
      <c r="K2896" t="s">
        <v>73</v>
      </c>
      <c r="N2896" t="s">
        <v>74</v>
      </c>
      <c r="O2896" t="s">
        <v>75</v>
      </c>
      <c r="P2896" t="s">
        <v>74</v>
      </c>
      <c r="Q2896" t="s">
        <v>76</v>
      </c>
      <c r="R2896" t="s">
        <v>73</v>
      </c>
      <c r="S2896">
        <v>0</v>
      </c>
      <c r="W2896" s="20">
        <v>2.0833333333333335E-4</v>
      </c>
      <c r="X2896" t="s">
        <v>132</v>
      </c>
      <c r="Y2896">
        <v>1</v>
      </c>
      <c r="Z2896">
        <v>0</v>
      </c>
      <c r="AA2896" t="s">
        <v>78</v>
      </c>
      <c r="AB2896">
        <v>0</v>
      </c>
      <c r="AC2896" t="s">
        <v>78</v>
      </c>
      <c r="AD2896">
        <v>0</v>
      </c>
      <c r="AE2896">
        <v>10603877</v>
      </c>
      <c r="AF2896" t="s">
        <v>79</v>
      </c>
      <c r="AG2896" t="s">
        <v>4894</v>
      </c>
    </row>
    <row r="2897" spans="1:33" x14ac:dyDescent="0.35">
      <c r="A2897" s="18">
        <v>44227.532638888886</v>
      </c>
      <c r="B2897">
        <v>1112446</v>
      </c>
      <c r="C2897" t="s">
        <v>6206</v>
      </c>
      <c r="D2897" t="s">
        <v>127</v>
      </c>
      <c r="E2897" s="19">
        <v>40919</v>
      </c>
      <c r="F2897" t="str">
        <f>"9781136528309"</f>
        <v>9781136528309</v>
      </c>
      <c r="G2897" t="str">
        <f>"9781849711418"</f>
        <v>9781849711418</v>
      </c>
      <c r="H2897" t="s">
        <v>71</v>
      </c>
      <c r="I2897">
        <v>621.31244000000004</v>
      </c>
      <c r="J2897" t="s">
        <v>6207</v>
      </c>
      <c r="K2897" t="s">
        <v>73</v>
      </c>
      <c r="N2897" t="s">
        <v>74</v>
      </c>
      <c r="O2897" t="s">
        <v>75</v>
      </c>
      <c r="P2897" t="s">
        <v>74</v>
      </c>
      <c r="Q2897" t="s">
        <v>76</v>
      </c>
      <c r="R2897" t="s">
        <v>73</v>
      </c>
      <c r="S2897">
        <v>0</v>
      </c>
      <c r="W2897" s="20">
        <v>3.530092592592592E-3</v>
      </c>
      <c r="X2897" t="s">
        <v>125</v>
      </c>
      <c r="Y2897">
        <v>2</v>
      </c>
      <c r="Z2897">
        <v>1</v>
      </c>
      <c r="AA2897" t="s">
        <v>6208</v>
      </c>
      <c r="AB2897">
        <v>26</v>
      </c>
      <c r="AC2897" t="s">
        <v>78</v>
      </c>
      <c r="AD2897">
        <v>0</v>
      </c>
      <c r="AE2897">
        <v>10647905</v>
      </c>
      <c r="AF2897" t="s">
        <v>79</v>
      </c>
      <c r="AG2897" t="s">
        <v>5485</v>
      </c>
    </row>
    <row r="2898" spans="1:33" x14ac:dyDescent="0.35">
      <c r="A2898" s="18">
        <v>44227.511805555558</v>
      </c>
      <c r="B2898">
        <v>3339534</v>
      </c>
      <c r="C2898" t="s">
        <v>6209</v>
      </c>
      <c r="D2898" t="s">
        <v>300</v>
      </c>
      <c r="E2898" s="19">
        <v>41201</v>
      </c>
      <c r="F2898" t="str">
        <f>"9780262305884"</f>
        <v>9780262305884</v>
      </c>
      <c r="G2898" t="str">
        <f>"9780262518239"</f>
        <v>9780262518239</v>
      </c>
      <c r="H2898" t="s">
        <v>1712</v>
      </c>
      <c r="I2898" t="s">
        <v>6210</v>
      </c>
      <c r="J2898" t="s">
        <v>6211</v>
      </c>
      <c r="K2898" t="s">
        <v>73</v>
      </c>
      <c r="N2898" t="s">
        <v>74</v>
      </c>
      <c r="O2898" t="s">
        <v>75</v>
      </c>
      <c r="P2898" t="s">
        <v>74</v>
      </c>
      <c r="Q2898" t="s">
        <v>76</v>
      </c>
      <c r="R2898" t="s">
        <v>73</v>
      </c>
      <c r="S2898">
        <v>0</v>
      </c>
      <c r="W2898" s="20">
        <v>7.743055555555556E-3</v>
      </c>
      <c r="X2898" t="s">
        <v>6212</v>
      </c>
      <c r="Y2898">
        <v>11</v>
      </c>
      <c r="Z2898">
        <v>0</v>
      </c>
      <c r="AA2898" t="s">
        <v>78</v>
      </c>
      <c r="AB2898">
        <v>0</v>
      </c>
      <c r="AC2898" t="s">
        <v>78</v>
      </c>
      <c r="AD2898">
        <v>0</v>
      </c>
      <c r="AE2898">
        <v>10617475</v>
      </c>
      <c r="AF2898" t="s">
        <v>79</v>
      </c>
      <c r="AG2898" t="s">
        <v>4894</v>
      </c>
    </row>
    <row r="2899" spans="1:33" x14ac:dyDescent="0.35">
      <c r="A2899" s="18">
        <v>44227.511111111111</v>
      </c>
      <c r="B2899">
        <v>3115569</v>
      </c>
      <c r="C2899" t="s">
        <v>6213</v>
      </c>
      <c r="D2899" t="s">
        <v>346</v>
      </c>
      <c r="E2899" s="19">
        <v>40785</v>
      </c>
      <c r="F2899" t="str">
        <f>"9780784476710"</f>
        <v>9780784476710</v>
      </c>
      <c r="G2899" t="str">
        <f>"9780784411902"</f>
        <v>9780784411902</v>
      </c>
      <c r="H2899" t="s">
        <v>3371</v>
      </c>
      <c r="J2899" t="s">
        <v>6214</v>
      </c>
      <c r="K2899" t="s">
        <v>73</v>
      </c>
      <c r="N2899" t="s">
        <v>74</v>
      </c>
      <c r="O2899" t="s">
        <v>75</v>
      </c>
      <c r="P2899" t="s">
        <v>74</v>
      </c>
      <c r="Q2899" t="s">
        <v>76</v>
      </c>
      <c r="R2899" t="s">
        <v>73</v>
      </c>
      <c r="S2899">
        <v>0</v>
      </c>
      <c r="W2899" s="20">
        <v>1.3888888888888889E-4</v>
      </c>
      <c r="X2899" t="s">
        <v>5993</v>
      </c>
      <c r="Y2899">
        <v>2</v>
      </c>
      <c r="Z2899">
        <v>0</v>
      </c>
      <c r="AA2899" t="s">
        <v>78</v>
      </c>
      <c r="AB2899">
        <v>0</v>
      </c>
      <c r="AC2899" t="s">
        <v>78</v>
      </c>
      <c r="AD2899">
        <v>0</v>
      </c>
      <c r="AE2899">
        <v>10569706</v>
      </c>
      <c r="AF2899" t="s">
        <v>79</v>
      </c>
      <c r="AG2899" t="s">
        <v>4894</v>
      </c>
    </row>
    <row r="2900" spans="1:33" x14ac:dyDescent="0.35">
      <c r="A2900" s="18">
        <v>44227.504166666666</v>
      </c>
      <c r="B2900">
        <v>288506</v>
      </c>
      <c r="C2900" t="s">
        <v>6215</v>
      </c>
      <c r="D2900" t="s">
        <v>538</v>
      </c>
      <c r="E2900" s="19">
        <v>39083</v>
      </c>
      <c r="F2900" t="str">
        <f>"9780511268458"</f>
        <v>9780511268458</v>
      </c>
      <c r="G2900" t="str">
        <f>"9780521860284"</f>
        <v>9780521860284</v>
      </c>
      <c r="H2900" t="s">
        <v>6216</v>
      </c>
      <c r="I2900">
        <v>551.46299999999997</v>
      </c>
      <c r="J2900" t="s">
        <v>6217</v>
      </c>
      <c r="K2900" t="s">
        <v>73</v>
      </c>
      <c r="N2900" t="s">
        <v>74</v>
      </c>
      <c r="O2900" t="s">
        <v>75</v>
      </c>
      <c r="P2900" t="s">
        <v>74</v>
      </c>
      <c r="Q2900" t="s">
        <v>76</v>
      </c>
      <c r="R2900" t="s">
        <v>73</v>
      </c>
      <c r="S2900">
        <v>0</v>
      </c>
      <c r="W2900" s="20">
        <v>2.2222222222222222E-3</v>
      </c>
      <c r="X2900" t="s">
        <v>6218</v>
      </c>
      <c r="Y2900">
        <v>28</v>
      </c>
      <c r="Z2900">
        <v>0</v>
      </c>
      <c r="AA2900" t="s">
        <v>78</v>
      </c>
      <c r="AB2900">
        <v>0</v>
      </c>
      <c r="AC2900" t="s">
        <v>78</v>
      </c>
      <c r="AD2900">
        <v>0</v>
      </c>
      <c r="AE2900">
        <v>10160697</v>
      </c>
      <c r="AF2900" t="s">
        <v>79</v>
      </c>
      <c r="AG2900" t="s">
        <v>4894</v>
      </c>
    </row>
    <row r="2901" spans="1:33" x14ac:dyDescent="0.35">
      <c r="A2901" s="18">
        <v>44226.881249999999</v>
      </c>
      <c r="B2901">
        <v>1024675</v>
      </c>
      <c r="C2901" t="s">
        <v>6204</v>
      </c>
      <c r="D2901" t="s">
        <v>127</v>
      </c>
      <c r="E2901" s="19">
        <v>40750</v>
      </c>
      <c r="F2901" t="str">
        <f>"9780203810415"</f>
        <v>9780203810415</v>
      </c>
      <c r="G2901" t="str">
        <f>"9780415568050"</f>
        <v>9780415568050</v>
      </c>
      <c r="H2901" t="s">
        <v>251</v>
      </c>
      <c r="I2901">
        <v>349.42</v>
      </c>
      <c r="J2901" t="s">
        <v>6205</v>
      </c>
      <c r="K2901" t="s">
        <v>73</v>
      </c>
      <c r="N2901" t="s">
        <v>74</v>
      </c>
      <c r="O2901" t="s">
        <v>75</v>
      </c>
      <c r="P2901" t="s">
        <v>74</v>
      </c>
      <c r="Q2901" t="s">
        <v>76</v>
      </c>
      <c r="R2901" t="s">
        <v>73</v>
      </c>
      <c r="S2901">
        <v>0</v>
      </c>
      <c r="W2901" s="20">
        <v>4.1666666666666666E-3</v>
      </c>
      <c r="X2901" t="s">
        <v>6219</v>
      </c>
      <c r="Y2901">
        <v>19</v>
      </c>
      <c r="Z2901">
        <v>0</v>
      </c>
      <c r="AA2901" t="s">
        <v>78</v>
      </c>
      <c r="AB2901">
        <v>0</v>
      </c>
      <c r="AC2901" t="s">
        <v>78</v>
      </c>
      <c r="AD2901">
        <v>0</v>
      </c>
      <c r="AE2901">
        <v>10603877</v>
      </c>
      <c r="AF2901" t="s">
        <v>79</v>
      </c>
      <c r="AG2901" t="s">
        <v>6012</v>
      </c>
    </row>
    <row r="2902" spans="1:33" x14ac:dyDescent="0.35">
      <c r="A2902" s="18">
        <v>44226.743055555555</v>
      </c>
      <c r="B2902">
        <v>3017029</v>
      </c>
      <c r="C2902" t="s">
        <v>6220</v>
      </c>
      <c r="D2902" t="s">
        <v>6221</v>
      </c>
      <c r="E2902" s="19">
        <v>36039</v>
      </c>
      <c r="F2902" t="str">
        <f>"9780874623659"</f>
        <v>9780874623659</v>
      </c>
      <c r="G2902" t="str">
        <f>"9780874626421"</f>
        <v>9780874626421</v>
      </c>
      <c r="H2902" t="s">
        <v>135</v>
      </c>
      <c r="I2902" t="s">
        <v>6222</v>
      </c>
      <c r="J2902" t="s">
        <v>6223</v>
      </c>
      <c r="K2902" t="s">
        <v>73</v>
      </c>
      <c r="N2902" t="s">
        <v>74</v>
      </c>
      <c r="O2902" t="s">
        <v>75</v>
      </c>
      <c r="P2902" t="s">
        <v>74</v>
      </c>
      <c r="Q2902" t="s">
        <v>76</v>
      </c>
      <c r="R2902" t="s">
        <v>73</v>
      </c>
      <c r="S2902">
        <v>0</v>
      </c>
      <c r="W2902" s="20">
        <v>1.6782407407407406E-3</v>
      </c>
      <c r="X2902" t="s">
        <v>6224</v>
      </c>
      <c r="Y2902">
        <v>16</v>
      </c>
      <c r="Z2902">
        <v>0</v>
      </c>
      <c r="AA2902" t="s">
        <v>78</v>
      </c>
      <c r="AB2902">
        <v>0</v>
      </c>
      <c r="AC2902" t="s">
        <v>78</v>
      </c>
      <c r="AD2902">
        <v>0</v>
      </c>
      <c r="AE2902">
        <v>2001897</v>
      </c>
      <c r="AF2902" t="s">
        <v>79</v>
      </c>
      <c r="AG2902" t="s">
        <v>862</v>
      </c>
    </row>
    <row r="2903" spans="1:33" x14ac:dyDescent="0.35">
      <c r="A2903" s="18">
        <v>44226.688888888886</v>
      </c>
      <c r="B2903">
        <v>4312599</v>
      </c>
      <c r="C2903" t="s">
        <v>6225</v>
      </c>
      <c r="D2903" t="s">
        <v>70</v>
      </c>
      <c r="E2903" s="19">
        <v>42401</v>
      </c>
      <c r="F2903" t="str">
        <f>"9781118916025"</f>
        <v>9781118916025</v>
      </c>
      <c r="G2903" t="str">
        <f>"9781118916018"</f>
        <v>9781118916018</v>
      </c>
      <c r="H2903" t="s">
        <v>115</v>
      </c>
      <c r="I2903" t="s">
        <v>6226</v>
      </c>
      <c r="J2903" t="s">
        <v>6227</v>
      </c>
      <c r="K2903" t="s">
        <v>73</v>
      </c>
      <c r="N2903" t="s">
        <v>74</v>
      </c>
      <c r="O2903" t="s">
        <v>75</v>
      </c>
      <c r="P2903" t="s">
        <v>74</v>
      </c>
      <c r="Q2903" t="s">
        <v>76</v>
      </c>
      <c r="R2903" t="s">
        <v>73</v>
      </c>
      <c r="S2903">
        <v>0</v>
      </c>
      <c r="W2903" s="20">
        <v>0</v>
      </c>
      <c r="X2903" t="s">
        <v>78</v>
      </c>
      <c r="Y2903">
        <v>0</v>
      </c>
      <c r="Z2903">
        <v>5</v>
      </c>
      <c r="AA2903" t="s">
        <v>6228</v>
      </c>
      <c r="AB2903">
        <v>96</v>
      </c>
      <c r="AC2903" t="s">
        <v>78</v>
      </c>
      <c r="AD2903">
        <v>0</v>
      </c>
      <c r="AE2903">
        <v>11152541</v>
      </c>
      <c r="AF2903" t="s">
        <v>79</v>
      </c>
      <c r="AG2903" t="s">
        <v>4894</v>
      </c>
    </row>
    <row r="2904" spans="1:33" x14ac:dyDescent="0.35">
      <c r="A2904" s="18">
        <v>44226.656944444447</v>
      </c>
      <c r="B2904">
        <v>1173081</v>
      </c>
      <c r="C2904" t="s">
        <v>3999</v>
      </c>
      <c r="D2904" t="s">
        <v>70</v>
      </c>
      <c r="E2904" s="19">
        <v>41393</v>
      </c>
      <c r="F2904" t="str">
        <f>"9781118417591"</f>
        <v>9781118417591</v>
      </c>
      <c r="G2904" t="str">
        <f>"9781118394106"</f>
        <v>9781118394106</v>
      </c>
      <c r="H2904" t="s">
        <v>143</v>
      </c>
      <c r="I2904" t="s">
        <v>4000</v>
      </c>
      <c r="J2904" t="s">
        <v>4001</v>
      </c>
      <c r="K2904" t="s">
        <v>73</v>
      </c>
      <c r="N2904" t="s">
        <v>74</v>
      </c>
      <c r="O2904" t="s">
        <v>75</v>
      </c>
      <c r="P2904" t="s">
        <v>74</v>
      </c>
      <c r="Q2904" t="s">
        <v>76</v>
      </c>
      <c r="R2904" t="s">
        <v>73</v>
      </c>
      <c r="S2904">
        <v>0</v>
      </c>
      <c r="W2904" s="20">
        <v>9.4907407407407408E-4</v>
      </c>
      <c r="X2904" t="s">
        <v>78</v>
      </c>
      <c r="Y2904">
        <v>0</v>
      </c>
      <c r="Z2904">
        <v>1</v>
      </c>
      <c r="AA2904" t="s">
        <v>6229</v>
      </c>
      <c r="AB2904">
        <v>20</v>
      </c>
      <c r="AC2904" t="s">
        <v>78</v>
      </c>
      <c r="AD2904">
        <v>0</v>
      </c>
      <c r="AE2904">
        <v>10691459</v>
      </c>
      <c r="AF2904" t="s">
        <v>79</v>
      </c>
      <c r="AG2904" t="s">
        <v>5859</v>
      </c>
    </row>
    <row r="2905" spans="1:33" x14ac:dyDescent="0.35">
      <c r="A2905" s="18">
        <v>44226.640277777777</v>
      </c>
      <c r="B2905">
        <v>4312599</v>
      </c>
      <c r="C2905" t="s">
        <v>6225</v>
      </c>
      <c r="D2905" t="s">
        <v>70</v>
      </c>
      <c r="E2905" s="19">
        <v>42401</v>
      </c>
      <c r="F2905" t="str">
        <f>"9781118916025"</f>
        <v>9781118916025</v>
      </c>
      <c r="G2905" t="str">
        <f>"9781118916018"</f>
        <v>9781118916018</v>
      </c>
      <c r="H2905" t="s">
        <v>115</v>
      </c>
      <c r="I2905" t="s">
        <v>6226</v>
      </c>
      <c r="J2905" t="s">
        <v>6227</v>
      </c>
      <c r="K2905" t="s">
        <v>73</v>
      </c>
      <c r="N2905" t="s">
        <v>74</v>
      </c>
      <c r="O2905" t="s">
        <v>75</v>
      </c>
      <c r="P2905" t="s">
        <v>74</v>
      </c>
      <c r="Q2905" t="s">
        <v>76</v>
      </c>
      <c r="R2905" t="s">
        <v>73</v>
      </c>
      <c r="S2905">
        <v>0</v>
      </c>
      <c r="W2905" s="20">
        <v>1.0416666666666667E-4</v>
      </c>
      <c r="X2905" t="s">
        <v>78</v>
      </c>
      <c r="Y2905">
        <v>0</v>
      </c>
      <c r="Z2905">
        <v>3</v>
      </c>
      <c r="AA2905" t="s">
        <v>6230</v>
      </c>
      <c r="AB2905">
        <v>14</v>
      </c>
      <c r="AC2905" t="s">
        <v>78</v>
      </c>
      <c r="AD2905">
        <v>0</v>
      </c>
      <c r="AE2905">
        <v>11152541</v>
      </c>
      <c r="AF2905" t="s">
        <v>79</v>
      </c>
      <c r="AG2905" t="s">
        <v>4894</v>
      </c>
    </row>
    <row r="2906" spans="1:33" x14ac:dyDescent="0.35">
      <c r="A2906" s="18">
        <v>44226.613194444442</v>
      </c>
      <c r="B2906">
        <v>1173081</v>
      </c>
      <c r="C2906" t="s">
        <v>3999</v>
      </c>
      <c r="D2906" t="s">
        <v>70</v>
      </c>
      <c r="E2906" s="19">
        <v>41393</v>
      </c>
      <c r="F2906" t="str">
        <f>"9781118417591"</f>
        <v>9781118417591</v>
      </c>
      <c r="G2906" t="str">
        <f>"9781118394106"</f>
        <v>9781118394106</v>
      </c>
      <c r="H2906" t="s">
        <v>143</v>
      </c>
      <c r="I2906" t="s">
        <v>4000</v>
      </c>
      <c r="J2906" t="s">
        <v>4001</v>
      </c>
      <c r="K2906" t="s">
        <v>73</v>
      </c>
      <c r="N2906" t="s">
        <v>74</v>
      </c>
      <c r="O2906" t="s">
        <v>75</v>
      </c>
      <c r="P2906" t="s">
        <v>74</v>
      </c>
      <c r="Q2906" t="s">
        <v>76</v>
      </c>
      <c r="R2906" t="s">
        <v>73</v>
      </c>
      <c r="S2906">
        <v>1</v>
      </c>
      <c r="W2906" s="20">
        <v>0</v>
      </c>
      <c r="X2906" t="s">
        <v>78</v>
      </c>
      <c r="Y2906">
        <v>0</v>
      </c>
      <c r="Z2906">
        <v>0</v>
      </c>
      <c r="AA2906" t="s">
        <v>78</v>
      </c>
      <c r="AB2906">
        <v>0</v>
      </c>
      <c r="AC2906" t="s">
        <v>78</v>
      </c>
      <c r="AD2906">
        <v>0</v>
      </c>
      <c r="AE2906">
        <v>10691459</v>
      </c>
      <c r="AF2906" t="s">
        <v>88</v>
      </c>
      <c r="AG2906" t="s">
        <v>4894</v>
      </c>
    </row>
    <row r="2907" spans="1:33" x14ac:dyDescent="0.35">
      <c r="A2907" s="18">
        <v>44226.258333333331</v>
      </c>
      <c r="B2907">
        <v>1173081</v>
      </c>
      <c r="C2907" t="s">
        <v>3999</v>
      </c>
      <c r="D2907" t="s">
        <v>70</v>
      </c>
      <c r="E2907" s="19">
        <v>41393</v>
      </c>
      <c r="F2907" t="str">
        <f>"9781118417591"</f>
        <v>9781118417591</v>
      </c>
      <c r="G2907" t="str">
        <f>"9781118394106"</f>
        <v>9781118394106</v>
      </c>
      <c r="H2907" t="s">
        <v>143</v>
      </c>
      <c r="I2907" t="s">
        <v>4000</v>
      </c>
      <c r="J2907" t="s">
        <v>4001</v>
      </c>
      <c r="K2907" t="s">
        <v>73</v>
      </c>
      <c r="N2907" t="s">
        <v>74</v>
      </c>
      <c r="O2907" t="s">
        <v>75</v>
      </c>
      <c r="P2907" t="s">
        <v>74</v>
      </c>
      <c r="Q2907" t="s">
        <v>76</v>
      </c>
      <c r="R2907" t="s">
        <v>73</v>
      </c>
      <c r="S2907">
        <v>0</v>
      </c>
      <c r="W2907" s="20">
        <v>0</v>
      </c>
      <c r="X2907" t="s">
        <v>78</v>
      </c>
      <c r="Y2907">
        <v>0</v>
      </c>
      <c r="Z2907">
        <v>1</v>
      </c>
      <c r="AA2907" t="s">
        <v>6229</v>
      </c>
      <c r="AB2907">
        <v>20</v>
      </c>
      <c r="AC2907" t="s">
        <v>78</v>
      </c>
      <c r="AD2907">
        <v>0</v>
      </c>
      <c r="AE2907">
        <v>10691459</v>
      </c>
      <c r="AF2907" t="s">
        <v>79</v>
      </c>
      <c r="AG2907" t="s">
        <v>5859</v>
      </c>
    </row>
    <row r="2908" spans="1:33" x14ac:dyDescent="0.35">
      <c r="A2908" s="18">
        <v>44226.15625</v>
      </c>
      <c r="B2908">
        <v>1173081</v>
      </c>
      <c r="C2908" t="s">
        <v>3999</v>
      </c>
      <c r="D2908" t="s">
        <v>70</v>
      </c>
      <c r="E2908" s="19">
        <v>41393</v>
      </c>
      <c r="F2908" t="str">
        <f>"9781118417591"</f>
        <v>9781118417591</v>
      </c>
      <c r="G2908" t="str">
        <f>"9781118394106"</f>
        <v>9781118394106</v>
      </c>
      <c r="H2908" t="s">
        <v>143</v>
      </c>
      <c r="I2908" t="s">
        <v>4000</v>
      </c>
      <c r="J2908" t="s">
        <v>4001</v>
      </c>
      <c r="K2908" t="s">
        <v>73</v>
      </c>
      <c r="N2908" t="s">
        <v>74</v>
      </c>
      <c r="O2908" t="s">
        <v>75</v>
      </c>
      <c r="P2908" t="s">
        <v>74</v>
      </c>
      <c r="Q2908" t="s">
        <v>76</v>
      </c>
      <c r="R2908" t="s">
        <v>73</v>
      </c>
      <c r="S2908">
        <v>0</v>
      </c>
      <c r="W2908" s="20">
        <v>0</v>
      </c>
      <c r="X2908" t="s">
        <v>78</v>
      </c>
      <c r="Y2908">
        <v>0</v>
      </c>
      <c r="Z2908">
        <v>1</v>
      </c>
      <c r="AA2908" t="s">
        <v>6231</v>
      </c>
      <c r="AB2908">
        <v>12</v>
      </c>
      <c r="AC2908" t="s">
        <v>78</v>
      </c>
      <c r="AD2908">
        <v>0</v>
      </c>
      <c r="AE2908">
        <v>10691459</v>
      </c>
      <c r="AF2908" t="s">
        <v>79</v>
      </c>
      <c r="AG2908" t="s">
        <v>5859</v>
      </c>
    </row>
    <row r="2909" spans="1:33" x14ac:dyDescent="0.35">
      <c r="A2909" s="18">
        <v>44226.11041666667</v>
      </c>
      <c r="B2909">
        <v>1173081</v>
      </c>
      <c r="C2909" t="s">
        <v>3999</v>
      </c>
      <c r="D2909" t="s">
        <v>70</v>
      </c>
      <c r="E2909" s="19">
        <v>41393</v>
      </c>
      <c r="F2909" t="str">
        <f>"9781118417591"</f>
        <v>9781118417591</v>
      </c>
      <c r="G2909" t="str">
        <f>"9781118394106"</f>
        <v>9781118394106</v>
      </c>
      <c r="H2909" t="s">
        <v>143</v>
      </c>
      <c r="I2909" t="s">
        <v>4000</v>
      </c>
      <c r="J2909" t="s">
        <v>4001</v>
      </c>
      <c r="K2909" t="s">
        <v>73</v>
      </c>
      <c r="N2909" t="s">
        <v>74</v>
      </c>
      <c r="O2909" t="s">
        <v>75</v>
      </c>
      <c r="P2909" t="s">
        <v>74</v>
      </c>
      <c r="Q2909" t="s">
        <v>76</v>
      </c>
      <c r="R2909" t="s">
        <v>73</v>
      </c>
      <c r="S2909">
        <v>4</v>
      </c>
      <c r="W2909" s="20">
        <v>0</v>
      </c>
      <c r="X2909" t="s">
        <v>78</v>
      </c>
      <c r="Y2909">
        <v>0</v>
      </c>
      <c r="Z2909">
        <v>5</v>
      </c>
      <c r="AA2909" t="s">
        <v>6232</v>
      </c>
      <c r="AB2909">
        <v>136</v>
      </c>
      <c r="AC2909" t="s">
        <v>78</v>
      </c>
      <c r="AD2909">
        <v>0</v>
      </c>
      <c r="AE2909">
        <v>10691459</v>
      </c>
      <c r="AF2909" t="s">
        <v>88</v>
      </c>
      <c r="AG2909" t="s">
        <v>5859</v>
      </c>
    </row>
    <row r="2910" spans="1:33" x14ac:dyDescent="0.35">
      <c r="A2910" s="18">
        <v>44226.038888888892</v>
      </c>
      <c r="B2910">
        <v>3386212</v>
      </c>
      <c r="C2910" t="s">
        <v>6233</v>
      </c>
      <c r="D2910" t="s">
        <v>3311</v>
      </c>
      <c r="E2910" s="19">
        <v>37641</v>
      </c>
      <c r="F2910" t="str">
        <f>"9781849640985"</f>
        <v>9781849640985</v>
      </c>
      <c r="G2910" t="str">
        <f>"9780745316727"</f>
        <v>9780745316727</v>
      </c>
      <c r="H2910" t="s">
        <v>135</v>
      </c>
      <c r="I2910" t="s">
        <v>6234</v>
      </c>
      <c r="J2910" t="s">
        <v>6235</v>
      </c>
      <c r="K2910" t="s">
        <v>73</v>
      </c>
      <c r="N2910" t="s">
        <v>74</v>
      </c>
      <c r="O2910" t="s">
        <v>75</v>
      </c>
      <c r="P2910" t="s">
        <v>74</v>
      </c>
      <c r="Q2910" t="s">
        <v>76</v>
      </c>
      <c r="R2910" t="s">
        <v>73</v>
      </c>
      <c r="S2910">
        <v>0</v>
      </c>
      <c r="W2910" s="20">
        <v>5.3240740740740744E-4</v>
      </c>
      <c r="X2910" t="s">
        <v>6236</v>
      </c>
      <c r="Y2910">
        <v>7</v>
      </c>
      <c r="Z2910">
        <v>0</v>
      </c>
      <c r="AA2910" t="s">
        <v>78</v>
      </c>
      <c r="AB2910">
        <v>0</v>
      </c>
      <c r="AC2910" t="s">
        <v>78</v>
      </c>
      <c r="AD2910">
        <v>0</v>
      </c>
      <c r="AE2910">
        <v>10479696</v>
      </c>
      <c r="AF2910" t="s">
        <v>79</v>
      </c>
      <c r="AG2910" t="s">
        <v>862</v>
      </c>
    </row>
    <row r="2911" spans="1:33" x14ac:dyDescent="0.35">
      <c r="A2911" s="18">
        <v>44226.038194444445</v>
      </c>
      <c r="B2911">
        <v>3017029</v>
      </c>
      <c r="C2911" t="s">
        <v>6220</v>
      </c>
      <c r="D2911" t="s">
        <v>6221</v>
      </c>
      <c r="E2911" s="19">
        <v>36039</v>
      </c>
      <c r="F2911" t="str">
        <f>"9780874623659"</f>
        <v>9780874623659</v>
      </c>
      <c r="G2911" t="str">
        <f>"9780874626421"</f>
        <v>9780874626421</v>
      </c>
      <c r="H2911" t="s">
        <v>135</v>
      </c>
      <c r="I2911" t="s">
        <v>6222</v>
      </c>
      <c r="J2911" t="s">
        <v>6223</v>
      </c>
      <c r="K2911" t="s">
        <v>73</v>
      </c>
      <c r="N2911" t="s">
        <v>74</v>
      </c>
      <c r="O2911" t="s">
        <v>75</v>
      </c>
      <c r="P2911" t="s">
        <v>74</v>
      </c>
      <c r="Q2911" t="s">
        <v>76</v>
      </c>
      <c r="R2911" t="s">
        <v>73</v>
      </c>
      <c r="S2911">
        <v>0</v>
      </c>
      <c r="W2911" s="20">
        <v>7.6388888888888893E-4</v>
      </c>
      <c r="X2911" t="s">
        <v>6237</v>
      </c>
      <c r="Y2911">
        <v>9</v>
      </c>
      <c r="Z2911">
        <v>0</v>
      </c>
      <c r="AA2911" t="s">
        <v>78</v>
      </c>
      <c r="AB2911">
        <v>0</v>
      </c>
      <c r="AC2911" t="s">
        <v>78</v>
      </c>
      <c r="AD2911">
        <v>0</v>
      </c>
      <c r="AE2911">
        <v>2001897</v>
      </c>
      <c r="AF2911" t="s">
        <v>79</v>
      </c>
      <c r="AG2911" t="s">
        <v>862</v>
      </c>
    </row>
    <row r="2912" spans="1:33" x14ac:dyDescent="0.35">
      <c r="A2912" s="18">
        <v>44226.017361111109</v>
      </c>
      <c r="B2912">
        <v>4671407</v>
      </c>
      <c r="C2912" t="s">
        <v>5996</v>
      </c>
      <c r="D2912" t="s">
        <v>798</v>
      </c>
      <c r="E2912" s="19">
        <v>33147</v>
      </c>
      <c r="F2912" t="str">
        <f>"9781442673670"</f>
        <v>9781442673670</v>
      </c>
      <c r="G2912" t="str">
        <f>"9780802067722"</f>
        <v>9780802067722</v>
      </c>
      <c r="H2912" t="s">
        <v>143</v>
      </c>
      <c r="I2912">
        <v>384.54097100000001</v>
      </c>
      <c r="J2912" t="s">
        <v>5997</v>
      </c>
      <c r="K2912" t="s">
        <v>73</v>
      </c>
      <c r="N2912" t="s">
        <v>74</v>
      </c>
      <c r="O2912" t="s">
        <v>75</v>
      </c>
      <c r="P2912" t="s">
        <v>74</v>
      </c>
      <c r="Q2912" t="s">
        <v>76</v>
      </c>
      <c r="R2912" t="s">
        <v>73</v>
      </c>
      <c r="S2912">
        <v>0</v>
      </c>
      <c r="W2912" s="20">
        <v>1.3275462962962963E-2</v>
      </c>
      <c r="X2912" t="s">
        <v>6238</v>
      </c>
      <c r="Y2912">
        <v>15</v>
      </c>
      <c r="Z2912">
        <v>0</v>
      </c>
      <c r="AA2912" t="s">
        <v>78</v>
      </c>
      <c r="AB2912">
        <v>0</v>
      </c>
      <c r="AC2912" t="s">
        <v>78</v>
      </c>
      <c r="AD2912">
        <v>0</v>
      </c>
      <c r="AE2912">
        <v>11257117</v>
      </c>
      <c r="AF2912" t="s">
        <v>79</v>
      </c>
      <c r="AG2912" t="s">
        <v>4894</v>
      </c>
    </row>
    <row r="2913" spans="1:33" x14ac:dyDescent="0.35">
      <c r="A2913" s="18">
        <v>44226.003472222219</v>
      </c>
      <c r="B2913">
        <v>294338</v>
      </c>
      <c r="C2913" t="s">
        <v>6239</v>
      </c>
      <c r="D2913" t="s">
        <v>158</v>
      </c>
      <c r="E2913" s="19">
        <v>38999</v>
      </c>
      <c r="F2913" t="str">
        <f>"9780080480589"</f>
        <v>9780080480589</v>
      </c>
      <c r="G2913" t="str">
        <f>"9781493300723"</f>
        <v>9781493300723</v>
      </c>
      <c r="H2913" t="s">
        <v>6240</v>
      </c>
      <c r="I2913">
        <v>621.36779999999999</v>
      </c>
      <c r="J2913" t="s">
        <v>6241</v>
      </c>
      <c r="K2913" t="s">
        <v>73</v>
      </c>
      <c r="N2913" t="s">
        <v>74</v>
      </c>
      <c r="O2913" t="s">
        <v>75</v>
      </c>
      <c r="P2913" t="s">
        <v>74</v>
      </c>
      <c r="Q2913" t="s">
        <v>76</v>
      </c>
      <c r="R2913" t="s">
        <v>73</v>
      </c>
      <c r="S2913">
        <v>0</v>
      </c>
      <c r="W2913" s="20">
        <v>4.7569444444444447E-3</v>
      </c>
      <c r="X2913" t="s">
        <v>6242</v>
      </c>
      <c r="Y2913">
        <v>45</v>
      </c>
      <c r="Z2913">
        <v>1</v>
      </c>
      <c r="AA2913" t="s">
        <v>6243</v>
      </c>
      <c r="AB2913">
        <v>11</v>
      </c>
      <c r="AC2913" t="s">
        <v>78</v>
      </c>
      <c r="AD2913">
        <v>0</v>
      </c>
      <c r="AE2913">
        <v>10186058</v>
      </c>
      <c r="AF2913" t="s">
        <v>79</v>
      </c>
      <c r="AG2913" t="s">
        <v>4894</v>
      </c>
    </row>
    <row r="2914" spans="1:33" x14ac:dyDescent="0.35">
      <c r="A2914" s="18">
        <v>44225.904861111114</v>
      </c>
      <c r="B2914">
        <v>3339142</v>
      </c>
      <c r="C2914" t="s">
        <v>1890</v>
      </c>
      <c r="D2914" t="s">
        <v>300</v>
      </c>
      <c r="E2914" s="19">
        <v>40025</v>
      </c>
      <c r="F2914" t="str">
        <f>"9780262270830"</f>
        <v>9780262270830</v>
      </c>
      <c r="G2914" t="str">
        <f>"9780262533058"</f>
        <v>9780262533058</v>
      </c>
      <c r="H2914" t="s">
        <v>110</v>
      </c>
      <c r="I2914">
        <v>5.0999999999999996</v>
      </c>
      <c r="J2914" t="s">
        <v>1891</v>
      </c>
      <c r="K2914" t="s">
        <v>73</v>
      </c>
      <c r="N2914" t="s">
        <v>74</v>
      </c>
      <c r="O2914" t="s">
        <v>75</v>
      </c>
      <c r="P2914" t="s">
        <v>74</v>
      </c>
      <c r="Q2914" t="s">
        <v>76</v>
      </c>
      <c r="R2914" t="s">
        <v>73</v>
      </c>
      <c r="S2914">
        <v>0</v>
      </c>
      <c r="W2914" s="20">
        <v>5.7870370370370366E-5</v>
      </c>
      <c r="X2914" t="s">
        <v>132</v>
      </c>
      <c r="Y2914">
        <v>1</v>
      </c>
      <c r="Z2914">
        <v>0</v>
      </c>
      <c r="AA2914" t="s">
        <v>78</v>
      </c>
      <c r="AB2914">
        <v>0</v>
      </c>
      <c r="AC2914" t="s">
        <v>78</v>
      </c>
      <c r="AD2914">
        <v>0</v>
      </c>
      <c r="AE2914">
        <v>10397652</v>
      </c>
      <c r="AF2914" t="s">
        <v>79</v>
      </c>
      <c r="AG2914" t="s">
        <v>4894</v>
      </c>
    </row>
    <row r="2915" spans="1:33" x14ac:dyDescent="0.35">
      <c r="A2915" s="18">
        <v>44225.884027777778</v>
      </c>
      <c r="B2915">
        <v>3338886</v>
      </c>
      <c r="C2915" t="s">
        <v>6244</v>
      </c>
      <c r="D2915" t="s">
        <v>300</v>
      </c>
      <c r="E2915" s="19">
        <v>37232</v>
      </c>
      <c r="F2915" t="str">
        <f>"9780262256933"</f>
        <v>9780262256933</v>
      </c>
      <c r="G2915" t="str">
        <f>"9780262194754"</f>
        <v>9780262194754</v>
      </c>
      <c r="H2915" t="s">
        <v>1466</v>
      </c>
      <c r="I2915">
        <v>6.31</v>
      </c>
      <c r="J2915" t="s">
        <v>6245</v>
      </c>
      <c r="K2915" t="s">
        <v>73</v>
      </c>
      <c r="N2915" t="s">
        <v>74</v>
      </c>
      <c r="O2915" t="s">
        <v>75</v>
      </c>
      <c r="P2915" t="s">
        <v>74</v>
      </c>
      <c r="Q2915" t="s">
        <v>76</v>
      </c>
      <c r="R2915" t="s">
        <v>73</v>
      </c>
      <c r="S2915">
        <v>0</v>
      </c>
      <c r="W2915" s="20">
        <v>5.5555555555555556E-4</v>
      </c>
      <c r="X2915" t="s">
        <v>6246</v>
      </c>
      <c r="Y2915">
        <v>7</v>
      </c>
      <c r="Z2915">
        <v>0</v>
      </c>
      <c r="AA2915" t="s">
        <v>78</v>
      </c>
      <c r="AB2915">
        <v>0</v>
      </c>
      <c r="AC2915" t="s">
        <v>78</v>
      </c>
      <c r="AD2915">
        <v>0</v>
      </c>
      <c r="AE2915">
        <v>10229601</v>
      </c>
      <c r="AF2915" t="s">
        <v>79</v>
      </c>
      <c r="AG2915" t="s">
        <v>4894</v>
      </c>
    </row>
    <row r="2916" spans="1:33" x14ac:dyDescent="0.35">
      <c r="A2916" s="18">
        <v>44225.879166666666</v>
      </c>
      <c r="B2916">
        <v>3339310</v>
      </c>
      <c r="C2916" t="s">
        <v>6247</v>
      </c>
      <c r="D2916" t="s">
        <v>300</v>
      </c>
      <c r="E2916" s="19">
        <v>40816</v>
      </c>
      <c r="F2916" t="str">
        <f>"9780262298773"</f>
        <v>9780262298773</v>
      </c>
      <c r="G2916" t="str">
        <f>"9780262016469"</f>
        <v>9780262016469</v>
      </c>
      <c r="H2916" t="s">
        <v>3130</v>
      </c>
      <c r="I2916">
        <v>6.31</v>
      </c>
      <c r="J2916" t="s">
        <v>6248</v>
      </c>
      <c r="K2916" t="s">
        <v>73</v>
      </c>
      <c r="N2916" t="s">
        <v>74</v>
      </c>
      <c r="O2916" t="s">
        <v>75</v>
      </c>
      <c r="P2916" t="s">
        <v>74</v>
      </c>
      <c r="Q2916" t="s">
        <v>76</v>
      </c>
      <c r="R2916" t="s">
        <v>73</v>
      </c>
      <c r="S2916">
        <v>0</v>
      </c>
      <c r="W2916" s="20">
        <v>3.1481481481481482E-3</v>
      </c>
      <c r="X2916" t="s">
        <v>6249</v>
      </c>
      <c r="Y2916">
        <v>16</v>
      </c>
      <c r="Z2916">
        <v>0</v>
      </c>
      <c r="AA2916" t="s">
        <v>78</v>
      </c>
      <c r="AB2916">
        <v>0</v>
      </c>
      <c r="AC2916" t="s">
        <v>78</v>
      </c>
      <c r="AD2916">
        <v>0</v>
      </c>
      <c r="AE2916">
        <v>10504740</v>
      </c>
      <c r="AF2916" t="s">
        <v>79</v>
      </c>
      <c r="AG2916" t="s">
        <v>4894</v>
      </c>
    </row>
    <row r="2917" spans="1:33" x14ac:dyDescent="0.35">
      <c r="A2917" s="18">
        <v>44225.79583333333</v>
      </c>
      <c r="B2917">
        <v>3339142</v>
      </c>
      <c r="C2917" t="s">
        <v>1890</v>
      </c>
      <c r="D2917" t="s">
        <v>300</v>
      </c>
      <c r="E2917" s="19">
        <v>40025</v>
      </c>
      <c r="F2917" t="str">
        <f>"9780262270830"</f>
        <v>9780262270830</v>
      </c>
      <c r="G2917" t="str">
        <f>"9780262533058"</f>
        <v>9780262533058</v>
      </c>
      <c r="H2917" t="s">
        <v>110</v>
      </c>
      <c r="I2917">
        <v>5.0999999999999996</v>
      </c>
      <c r="J2917" t="s">
        <v>1891</v>
      </c>
      <c r="K2917" t="s">
        <v>73</v>
      </c>
      <c r="N2917" t="s">
        <v>74</v>
      </c>
      <c r="O2917" t="s">
        <v>75</v>
      </c>
      <c r="P2917" t="s">
        <v>74</v>
      </c>
      <c r="Q2917" t="s">
        <v>76</v>
      </c>
      <c r="R2917" t="s">
        <v>73</v>
      </c>
      <c r="S2917">
        <v>0</v>
      </c>
      <c r="W2917" s="20">
        <v>1.8865740740740742E-3</v>
      </c>
      <c r="X2917" t="s">
        <v>6250</v>
      </c>
      <c r="Y2917">
        <v>13</v>
      </c>
      <c r="Z2917">
        <v>0</v>
      </c>
      <c r="AA2917" t="s">
        <v>78</v>
      </c>
      <c r="AB2917">
        <v>0</v>
      </c>
      <c r="AC2917" t="s">
        <v>78</v>
      </c>
      <c r="AD2917">
        <v>0</v>
      </c>
      <c r="AE2917">
        <v>10397652</v>
      </c>
      <c r="AF2917" t="s">
        <v>88</v>
      </c>
      <c r="AG2917" t="s">
        <v>4894</v>
      </c>
    </row>
    <row r="2918" spans="1:33" x14ac:dyDescent="0.35">
      <c r="A2918" s="18">
        <v>44225.79583333333</v>
      </c>
      <c r="B2918">
        <v>3339142</v>
      </c>
      <c r="C2918" t="s">
        <v>1890</v>
      </c>
      <c r="D2918" t="s">
        <v>300</v>
      </c>
      <c r="E2918" s="19">
        <v>40025</v>
      </c>
      <c r="F2918" t="str">
        <f>"9780262270830"</f>
        <v>9780262270830</v>
      </c>
      <c r="G2918" t="str">
        <f>"9780262533058"</f>
        <v>9780262533058</v>
      </c>
      <c r="H2918" t="s">
        <v>110</v>
      </c>
      <c r="I2918">
        <v>5.0999999999999996</v>
      </c>
      <c r="J2918" t="s">
        <v>1891</v>
      </c>
      <c r="K2918" t="s">
        <v>73</v>
      </c>
      <c r="N2918" t="s">
        <v>74</v>
      </c>
      <c r="O2918" t="s">
        <v>75</v>
      </c>
      <c r="P2918" t="s">
        <v>74</v>
      </c>
      <c r="Q2918" t="s">
        <v>76</v>
      </c>
      <c r="R2918" t="s">
        <v>73</v>
      </c>
      <c r="S2918">
        <v>0</v>
      </c>
      <c r="W2918" s="20">
        <v>0</v>
      </c>
      <c r="X2918" t="s">
        <v>78</v>
      </c>
      <c r="Y2918">
        <v>0</v>
      </c>
      <c r="Z2918">
        <v>0</v>
      </c>
      <c r="AA2918" t="s">
        <v>78</v>
      </c>
      <c r="AB2918">
        <v>0</v>
      </c>
      <c r="AC2918" t="s">
        <v>78</v>
      </c>
      <c r="AD2918">
        <v>0</v>
      </c>
      <c r="AE2918">
        <v>10397652</v>
      </c>
      <c r="AF2918" t="s">
        <v>79</v>
      </c>
      <c r="AG2918" t="s">
        <v>4894</v>
      </c>
    </row>
    <row r="2919" spans="1:33" x14ac:dyDescent="0.35">
      <c r="A2919" s="18">
        <v>44225.704861111109</v>
      </c>
      <c r="B2919">
        <v>3339142</v>
      </c>
      <c r="C2919" t="s">
        <v>1890</v>
      </c>
      <c r="D2919" t="s">
        <v>300</v>
      </c>
      <c r="E2919" s="19">
        <v>40025</v>
      </c>
      <c r="F2919" t="str">
        <f>"9780262270830"</f>
        <v>9780262270830</v>
      </c>
      <c r="G2919" t="str">
        <f>"9780262533058"</f>
        <v>9780262533058</v>
      </c>
      <c r="H2919" t="s">
        <v>110</v>
      </c>
      <c r="I2919">
        <v>5.0999999999999996</v>
      </c>
      <c r="J2919" t="s">
        <v>1891</v>
      </c>
      <c r="K2919" t="s">
        <v>73</v>
      </c>
      <c r="N2919" t="s">
        <v>74</v>
      </c>
      <c r="O2919" t="s">
        <v>75</v>
      </c>
      <c r="P2919" t="s">
        <v>74</v>
      </c>
      <c r="Q2919" t="s">
        <v>76</v>
      </c>
      <c r="R2919" t="s">
        <v>73</v>
      </c>
      <c r="S2919">
        <v>0</v>
      </c>
      <c r="W2919" s="20">
        <v>6.2500000000000001E-4</v>
      </c>
      <c r="X2919" t="s">
        <v>6251</v>
      </c>
      <c r="Y2919">
        <v>14</v>
      </c>
      <c r="Z2919">
        <v>0</v>
      </c>
      <c r="AA2919" t="s">
        <v>78</v>
      </c>
      <c r="AB2919">
        <v>0</v>
      </c>
      <c r="AC2919" t="s">
        <v>78</v>
      </c>
      <c r="AD2919">
        <v>0</v>
      </c>
      <c r="AE2919">
        <v>10397652</v>
      </c>
      <c r="AF2919" t="s">
        <v>88</v>
      </c>
      <c r="AG2919" t="s">
        <v>4894</v>
      </c>
    </row>
    <row r="2920" spans="1:33" x14ac:dyDescent="0.35">
      <c r="A2920" s="18">
        <v>44225.70416666667</v>
      </c>
      <c r="B2920">
        <v>583642</v>
      </c>
      <c r="C2920" t="s">
        <v>2337</v>
      </c>
      <c r="D2920" t="s">
        <v>205</v>
      </c>
      <c r="E2920" s="19">
        <v>40210</v>
      </c>
      <c r="F2920" t="str">
        <f>"9781596930902"</f>
        <v>9781596930902</v>
      </c>
      <c r="G2920" t="str">
        <f>"9781596930896"</f>
        <v>9781596930896</v>
      </c>
      <c r="H2920" t="s">
        <v>2338</v>
      </c>
      <c r="I2920">
        <v>621.38482999999997</v>
      </c>
      <c r="J2920" t="s">
        <v>2339</v>
      </c>
      <c r="K2920" t="s">
        <v>73</v>
      </c>
      <c r="N2920" t="s">
        <v>74</v>
      </c>
      <c r="O2920" t="s">
        <v>75</v>
      </c>
      <c r="P2920" t="s">
        <v>74</v>
      </c>
      <c r="Q2920" t="s">
        <v>76</v>
      </c>
      <c r="R2920" t="s">
        <v>73</v>
      </c>
      <c r="S2920">
        <v>0</v>
      </c>
      <c r="W2920" s="20">
        <v>4.6296296296296294E-5</v>
      </c>
      <c r="X2920" t="s">
        <v>132</v>
      </c>
      <c r="Y2920">
        <v>1</v>
      </c>
      <c r="Z2920">
        <v>0</v>
      </c>
      <c r="AA2920" t="s">
        <v>78</v>
      </c>
      <c r="AB2920">
        <v>0</v>
      </c>
      <c r="AC2920" t="s">
        <v>78</v>
      </c>
      <c r="AD2920">
        <v>0</v>
      </c>
      <c r="AE2920">
        <v>10393271</v>
      </c>
      <c r="AF2920" t="s">
        <v>79</v>
      </c>
      <c r="AG2920" t="s">
        <v>4894</v>
      </c>
    </row>
    <row r="2921" spans="1:33" x14ac:dyDescent="0.35">
      <c r="A2921" s="18">
        <v>44225.654166666667</v>
      </c>
      <c r="B2921">
        <v>667602</v>
      </c>
      <c r="C2921" t="s">
        <v>6252</v>
      </c>
      <c r="D2921" t="s">
        <v>538</v>
      </c>
      <c r="E2921" s="19">
        <v>40549</v>
      </c>
      <c r="F2921" t="str">
        <f>"9781139011051"</f>
        <v>9781139011051</v>
      </c>
      <c r="G2921" t="str">
        <f>"9780521873826"</f>
        <v>9780521873826</v>
      </c>
      <c r="H2921" t="s">
        <v>1204</v>
      </c>
      <c r="I2921">
        <v>401.41</v>
      </c>
      <c r="J2921" t="s">
        <v>6253</v>
      </c>
      <c r="K2921" t="s">
        <v>73</v>
      </c>
      <c r="N2921" t="s">
        <v>74</v>
      </c>
      <c r="O2921" t="s">
        <v>75</v>
      </c>
      <c r="P2921" t="s">
        <v>74</v>
      </c>
      <c r="Q2921" t="s">
        <v>76</v>
      </c>
      <c r="R2921" t="s">
        <v>73</v>
      </c>
      <c r="S2921">
        <v>0</v>
      </c>
      <c r="W2921" s="20">
        <v>3.4722222222222222E-5</v>
      </c>
      <c r="X2921" t="s">
        <v>132</v>
      </c>
      <c r="Y2921">
        <v>1</v>
      </c>
      <c r="Z2921">
        <v>0</v>
      </c>
      <c r="AA2921" t="s">
        <v>78</v>
      </c>
      <c r="AB2921">
        <v>0</v>
      </c>
      <c r="AC2921" t="s">
        <v>78</v>
      </c>
      <c r="AD2921">
        <v>0</v>
      </c>
      <c r="AE2921">
        <v>10452899</v>
      </c>
      <c r="AF2921" t="s">
        <v>79</v>
      </c>
      <c r="AG2921" t="s">
        <v>4894</v>
      </c>
    </row>
    <row r="2922" spans="1:33" x14ac:dyDescent="0.35">
      <c r="A2922" s="18">
        <v>44225.607638888891</v>
      </c>
      <c r="B2922">
        <v>667602</v>
      </c>
      <c r="C2922" t="s">
        <v>6252</v>
      </c>
      <c r="D2922" t="s">
        <v>538</v>
      </c>
      <c r="E2922" s="19">
        <v>40549</v>
      </c>
      <c r="F2922" t="str">
        <f>"9781139011051"</f>
        <v>9781139011051</v>
      </c>
      <c r="G2922" t="str">
        <f>"9780521873826"</f>
        <v>9780521873826</v>
      </c>
      <c r="H2922" t="s">
        <v>1204</v>
      </c>
      <c r="I2922">
        <v>401.41</v>
      </c>
      <c r="J2922" t="s">
        <v>6253</v>
      </c>
      <c r="K2922" t="s">
        <v>73</v>
      </c>
      <c r="N2922" t="s">
        <v>74</v>
      </c>
      <c r="O2922" t="s">
        <v>75</v>
      </c>
      <c r="P2922" t="s">
        <v>74</v>
      </c>
      <c r="Q2922" t="s">
        <v>76</v>
      </c>
      <c r="R2922" t="s">
        <v>73</v>
      </c>
      <c r="S2922">
        <v>0</v>
      </c>
      <c r="W2922" s="20">
        <v>2.3263888888888887E-3</v>
      </c>
      <c r="X2922" t="s">
        <v>6254</v>
      </c>
      <c r="Y2922">
        <v>8</v>
      </c>
      <c r="Z2922">
        <v>0</v>
      </c>
      <c r="AA2922" t="s">
        <v>78</v>
      </c>
      <c r="AB2922">
        <v>0</v>
      </c>
      <c r="AC2922" t="s">
        <v>78</v>
      </c>
      <c r="AD2922">
        <v>0</v>
      </c>
      <c r="AE2922">
        <v>10452899</v>
      </c>
      <c r="AF2922" t="s">
        <v>79</v>
      </c>
      <c r="AG2922" t="s">
        <v>4894</v>
      </c>
    </row>
    <row r="2923" spans="1:33" x14ac:dyDescent="0.35">
      <c r="A2923" s="18">
        <v>44225.566666666666</v>
      </c>
      <c r="B2923">
        <v>227693</v>
      </c>
      <c r="C2923" t="s">
        <v>4840</v>
      </c>
      <c r="D2923" t="s">
        <v>205</v>
      </c>
      <c r="E2923" s="19">
        <v>38291</v>
      </c>
      <c r="F2923" t="str">
        <f>"9781580538435"</f>
        <v>9781580538435</v>
      </c>
      <c r="G2923" t="str">
        <f>"9781580538428"</f>
        <v>9781580538428</v>
      </c>
      <c r="H2923" t="s">
        <v>110</v>
      </c>
      <c r="I2923" t="s">
        <v>4841</v>
      </c>
      <c r="J2923" t="s">
        <v>4842</v>
      </c>
      <c r="K2923" t="s">
        <v>73</v>
      </c>
      <c r="N2923" t="s">
        <v>74</v>
      </c>
      <c r="O2923" t="s">
        <v>75</v>
      </c>
      <c r="P2923" t="s">
        <v>74</v>
      </c>
      <c r="Q2923" t="s">
        <v>76</v>
      </c>
      <c r="R2923" t="s">
        <v>73</v>
      </c>
      <c r="S2923">
        <v>1</v>
      </c>
      <c r="W2923" s="20">
        <v>0</v>
      </c>
      <c r="X2923" t="s">
        <v>78</v>
      </c>
      <c r="Y2923">
        <v>0</v>
      </c>
      <c r="Z2923">
        <v>0</v>
      </c>
      <c r="AA2923" t="s">
        <v>78</v>
      </c>
      <c r="AB2923">
        <v>0</v>
      </c>
      <c r="AC2923" t="s">
        <v>78</v>
      </c>
      <c r="AD2923">
        <v>0</v>
      </c>
      <c r="AE2923">
        <v>10082017</v>
      </c>
      <c r="AF2923" t="s">
        <v>88</v>
      </c>
      <c r="AG2923" t="s">
        <v>4894</v>
      </c>
    </row>
    <row r="2924" spans="1:33" x14ac:dyDescent="0.35">
      <c r="A2924" s="18">
        <v>44225.558333333334</v>
      </c>
      <c r="B2924">
        <v>227693</v>
      </c>
      <c r="C2924" t="s">
        <v>4840</v>
      </c>
      <c r="D2924" t="s">
        <v>205</v>
      </c>
      <c r="E2924" s="19">
        <v>38291</v>
      </c>
      <c r="F2924" t="str">
        <f>"9781580538435"</f>
        <v>9781580538435</v>
      </c>
      <c r="G2924" t="str">
        <f>"9781580538428"</f>
        <v>9781580538428</v>
      </c>
      <c r="H2924" t="s">
        <v>110</v>
      </c>
      <c r="I2924" t="s">
        <v>4841</v>
      </c>
      <c r="J2924" t="s">
        <v>4842</v>
      </c>
      <c r="K2924" t="s">
        <v>73</v>
      </c>
      <c r="N2924" t="s">
        <v>74</v>
      </c>
      <c r="O2924" t="s">
        <v>75</v>
      </c>
      <c r="P2924" t="s">
        <v>74</v>
      </c>
      <c r="Q2924" t="s">
        <v>76</v>
      </c>
      <c r="R2924" t="s">
        <v>73</v>
      </c>
      <c r="S2924">
        <v>0</v>
      </c>
      <c r="W2924" s="20">
        <v>1.4467592592592594E-3</v>
      </c>
      <c r="X2924" t="s">
        <v>4630</v>
      </c>
      <c r="Y2924">
        <v>3</v>
      </c>
      <c r="Z2924">
        <v>0</v>
      </c>
      <c r="AA2924" t="s">
        <v>78</v>
      </c>
      <c r="AB2924">
        <v>0</v>
      </c>
      <c r="AC2924" t="s">
        <v>78</v>
      </c>
      <c r="AD2924">
        <v>0</v>
      </c>
      <c r="AE2924">
        <v>10082017</v>
      </c>
      <c r="AF2924" t="s">
        <v>88</v>
      </c>
      <c r="AG2924" t="s">
        <v>4894</v>
      </c>
    </row>
    <row r="2925" spans="1:33" x14ac:dyDescent="0.35">
      <c r="A2925" s="18">
        <v>44225.055555555555</v>
      </c>
      <c r="B2925">
        <v>1572946</v>
      </c>
      <c r="C2925" t="s">
        <v>4988</v>
      </c>
      <c r="D2925" t="s">
        <v>2550</v>
      </c>
      <c r="E2925" s="19">
        <v>41736</v>
      </c>
      <c r="F2925" t="str">
        <f>"9781849519496"</f>
        <v>9781849519496</v>
      </c>
      <c r="G2925" t="str">
        <f>"9781849519489"</f>
        <v>9781849519489</v>
      </c>
      <c r="H2925" t="s">
        <v>110</v>
      </c>
      <c r="I2925">
        <v>5.8</v>
      </c>
      <c r="J2925" t="s">
        <v>4989</v>
      </c>
      <c r="K2925" t="s">
        <v>73</v>
      </c>
      <c r="N2925" t="s">
        <v>74</v>
      </c>
      <c r="O2925" t="s">
        <v>75</v>
      </c>
      <c r="P2925" t="s">
        <v>230</v>
      </c>
      <c r="Q2925" t="s">
        <v>76</v>
      </c>
      <c r="R2925" t="s">
        <v>85</v>
      </c>
      <c r="S2925">
        <v>0</v>
      </c>
      <c r="W2925" s="20">
        <v>1.9675925925925926E-4</v>
      </c>
      <c r="X2925" t="s">
        <v>6255</v>
      </c>
      <c r="Y2925">
        <v>4</v>
      </c>
      <c r="Z2925">
        <v>0</v>
      </c>
      <c r="AA2925" t="s">
        <v>78</v>
      </c>
      <c r="AB2925">
        <v>0</v>
      </c>
      <c r="AC2925" t="s">
        <v>78</v>
      </c>
      <c r="AD2925">
        <v>0</v>
      </c>
      <c r="AE2925">
        <v>10859685</v>
      </c>
      <c r="AF2925" t="s">
        <v>79</v>
      </c>
      <c r="AG2925" t="s">
        <v>4894</v>
      </c>
    </row>
    <row r="2926" spans="1:33" x14ac:dyDescent="0.35">
      <c r="A2926" s="18">
        <v>44225</v>
      </c>
      <c r="B2926">
        <v>1572946</v>
      </c>
      <c r="C2926" t="s">
        <v>4988</v>
      </c>
      <c r="D2926" t="s">
        <v>2550</v>
      </c>
      <c r="E2926" s="19">
        <v>41736</v>
      </c>
      <c r="F2926" t="str">
        <f>"9781849519496"</f>
        <v>9781849519496</v>
      </c>
      <c r="G2926" t="str">
        <f>"9781849519489"</f>
        <v>9781849519489</v>
      </c>
      <c r="H2926" t="s">
        <v>110</v>
      </c>
      <c r="I2926">
        <v>5.8</v>
      </c>
      <c r="J2926" t="s">
        <v>4989</v>
      </c>
      <c r="K2926" t="s">
        <v>73</v>
      </c>
      <c r="N2926" t="s">
        <v>74</v>
      </c>
      <c r="O2926" t="s">
        <v>75</v>
      </c>
      <c r="P2926" t="s">
        <v>230</v>
      </c>
      <c r="Q2926" t="s">
        <v>76</v>
      </c>
      <c r="R2926" t="s">
        <v>85</v>
      </c>
      <c r="S2926">
        <v>0</v>
      </c>
      <c r="W2926" s="20">
        <v>1.7824074074074072E-3</v>
      </c>
      <c r="X2926" t="s">
        <v>6256</v>
      </c>
      <c r="Y2926">
        <v>27</v>
      </c>
      <c r="Z2926">
        <v>0</v>
      </c>
      <c r="AA2926" t="s">
        <v>78</v>
      </c>
      <c r="AB2926">
        <v>0</v>
      </c>
      <c r="AC2926" t="s">
        <v>78</v>
      </c>
      <c r="AD2926">
        <v>0</v>
      </c>
      <c r="AE2926">
        <v>10859685</v>
      </c>
      <c r="AF2926" t="s">
        <v>79</v>
      </c>
      <c r="AG2926" t="s">
        <v>4894</v>
      </c>
    </row>
    <row r="2927" spans="1:33" x14ac:dyDescent="0.35">
      <c r="A2927" s="18">
        <v>44224.999305555553</v>
      </c>
      <c r="B2927">
        <v>1895205</v>
      </c>
      <c r="C2927" t="s">
        <v>2354</v>
      </c>
      <c r="D2927" t="s">
        <v>70</v>
      </c>
      <c r="E2927" s="19">
        <v>42121</v>
      </c>
      <c r="F2927" t="str">
        <f>"9781118999882"</f>
        <v>9781118999882</v>
      </c>
      <c r="G2927" t="str">
        <f>"9781118999875"</f>
        <v>9781118999875</v>
      </c>
      <c r="H2927" t="s">
        <v>110</v>
      </c>
      <c r="I2927">
        <v>5.4459999999999997</v>
      </c>
      <c r="J2927" t="s">
        <v>2355</v>
      </c>
      <c r="K2927" t="s">
        <v>73</v>
      </c>
      <c r="N2927" t="s">
        <v>74</v>
      </c>
      <c r="O2927" t="s">
        <v>75</v>
      </c>
      <c r="P2927" t="s">
        <v>74</v>
      </c>
      <c r="Q2927" t="s">
        <v>76</v>
      </c>
      <c r="R2927" t="s">
        <v>73</v>
      </c>
      <c r="S2927">
        <v>0</v>
      </c>
      <c r="W2927" s="20">
        <v>4.9768518518518521E-4</v>
      </c>
      <c r="X2927" t="s">
        <v>418</v>
      </c>
      <c r="Y2927">
        <v>3</v>
      </c>
      <c r="Z2927">
        <v>0</v>
      </c>
      <c r="AA2927" t="s">
        <v>78</v>
      </c>
      <c r="AB2927">
        <v>0</v>
      </c>
      <c r="AC2927" t="s">
        <v>78</v>
      </c>
      <c r="AD2927">
        <v>0</v>
      </c>
      <c r="AE2927">
        <v>11047025</v>
      </c>
      <c r="AF2927" t="s">
        <v>79</v>
      </c>
      <c r="AG2927" t="s">
        <v>4894</v>
      </c>
    </row>
    <row r="2928" spans="1:33" x14ac:dyDescent="0.35">
      <c r="A2928" s="18">
        <v>44224.867361111108</v>
      </c>
      <c r="B2928">
        <v>1173081</v>
      </c>
      <c r="C2928" t="s">
        <v>3999</v>
      </c>
      <c r="D2928" t="s">
        <v>70</v>
      </c>
      <c r="E2928" s="19">
        <v>41393</v>
      </c>
      <c r="F2928" t="str">
        <f>"9781118417591"</f>
        <v>9781118417591</v>
      </c>
      <c r="G2928" t="str">
        <f>"9781118394106"</f>
        <v>9781118394106</v>
      </c>
      <c r="H2928" t="s">
        <v>143</v>
      </c>
      <c r="I2928" t="s">
        <v>4000</v>
      </c>
      <c r="J2928" t="s">
        <v>4001</v>
      </c>
      <c r="K2928" t="s">
        <v>73</v>
      </c>
      <c r="N2928" t="s">
        <v>74</v>
      </c>
      <c r="O2928" t="s">
        <v>75</v>
      </c>
      <c r="P2928" t="s">
        <v>74</v>
      </c>
      <c r="Q2928" t="s">
        <v>76</v>
      </c>
      <c r="R2928" t="s">
        <v>73</v>
      </c>
      <c r="S2928">
        <v>2</v>
      </c>
      <c r="W2928" s="20">
        <v>0</v>
      </c>
      <c r="X2928" t="s">
        <v>78</v>
      </c>
      <c r="Y2928">
        <v>0</v>
      </c>
      <c r="Z2928">
        <v>0</v>
      </c>
      <c r="AA2928" t="s">
        <v>78</v>
      </c>
      <c r="AB2928">
        <v>0</v>
      </c>
      <c r="AC2928" t="s">
        <v>78</v>
      </c>
      <c r="AD2928">
        <v>0</v>
      </c>
      <c r="AE2928">
        <v>10691459</v>
      </c>
      <c r="AF2928" t="s">
        <v>88</v>
      </c>
      <c r="AG2928" t="s">
        <v>5859</v>
      </c>
    </row>
    <row r="2929" spans="1:33" x14ac:dyDescent="0.35">
      <c r="A2929" s="18">
        <v>44224.729166666664</v>
      </c>
      <c r="B2929">
        <v>1890977</v>
      </c>
      <c r="C2929" t="s">
        <v>6257</v>
      </c>
      <c r="D2929" t="s">
        <v>70</v>
      </c>
      <c r="E2929" s="19">
        <v>42051</v>
      </c>
      <c r="F2929" t="str">
        <f>"9781118922071"</f>
        <v>9781118922071</v>
      </c>
      <c r="G2929" t="str">
        <f>"9781118922057"</f>
        <v>9781118922057</v>
      </c>
      <c r="H2929" t="s">
        <v>466</v>
      </c>
      <c r="I2929">
        <v>621.37450000000001</v>
      </c>
      <c r="J2929" t="s">
        <v>6258</v>
      </c>
      <c r="K2929" t="s">
        <v>73</v>
      </c>
      <c r="N2929" t="s">
        <v>74</v>
      </c>
      <c r="O2929" t="s">
        <v>75</v>
      </c>
      <c r="P2929" t="s">
        <v>74</v>
      </c>
      <c r="Q2929" t="s">
        <v>76</v>
      </c>
      <c r="R2929" t="s">
        <v>73</v>
      </c>
      <c r="S2929">
        <v>0</v>
      </c>
      <c r="W2929" s="20">
        <v>2.5451388888888888E-2</v>
      </c>
      <c r="X2929" t="s">
        <v>6259</v>
      </c>
      <c r="Y2929">
        <v>166</v>
      </c>
      <c r="Z2929">
        <v>0</v>
      </c>
      <c r="AA2929" t="s">
        <v>78</v>
      </c>
      <c r="AB2929">
        <v>0</v>
      </c>
      <c r="AC2929" t="s">
        <v>78</v>
      </c>
      <c r="AD2929">
        <v>0</v>
      </c>
      <c r="AE2929">
        <v>10997833</v>
      </c>
      <c r="AF2929" t="s">
        <v>79</v>
      </c>
      <c r="AG2929" t="s">
        <v>6260</v>
      </c>
    </row>
    <row r="2930" spans="1:33" x14ac:dyDescent="0.35">
      <c r="A2930" s="18">
        <v>44224.669444444444</v>
      </c>
      <c r="B2930">
        <v>3327981</v>
      </c>
      <c r="C2930" t="s">
        <v>6261</v>
      </c>
      <c r="D2930" t="s">
        <v>6262</v>
      </c>
      <c r="E2930" s="19">
        <v>40664</v>
      </c>
      <c r="F2930" t="str">
        <f>"9781558442238"</f>
        <v>9781558442238</v>
      </c>
      <c r="G2930" t="str">
        <f>"9781558442177"</f>
        <v>9781558442177</v>
      </c>
      <c r="H2930" t="s">
        <v>6263</v>
      </c>
      <c r="I2930" t="s">
        <v>6264</v>
      </c>
      <c r="J2930" t="s">
        <v>6265</v>
      </c>
      <c r="K2930" t="s">
        <v>73</v>
      </c>
      <c r="N2930" t="s">
        <v>74</v>
      </c>
      <c r="O2930" t="s">
        <v>75</v>
      </c>
      <c r="P2930" t="s">
        <v>74</v>
      </c>
      <c r="Q2930" t="s">
        <v>76</v>
      </c>
      <c r="R2930" t="s">
        <v>73</v>
      </c>
      <c r="S2930">
        <v>0</v>
      </c>
      <c r="W2930" s="20">
        <v>2.7777777777777779E-3</v>
      </c>
      <c r="X2930" t="s">
        <v>6266</v>
      </c>
      <c r="Y2930">
        <v>5</v>
      </c>
      <c r="Z2930">
        <v>0</v>
      </c>
      <c r="AA2930" t="s">
        <v>78</v>
      </c>
      <c r="AB2930">
        <v>0</v>
      </c>
      <c r="AC2930" t="s">
        <v>78</v>
      </c>
      <c r="AD2930">
        <v>0</v>
      </c>
      <c r="AE2930">
        <v>10632286</v>
      </c>
      <c r="AF2930" t="s">
        <v>79</v>
      </c>
      <c r="AG2930" t="s">
        <v>6012</v>
      </c>
    </row>
    <row r="2931" spans="1:33" x14ac:dyDescent="0.35">
      <c r="A2931" s="18">
        <v>44224.669444444444</v>
      </c>
      <c r="B2931">
        <v>3327980</v>
      </c>
      <c r="C2931" t="s">
        <v>6267</v>
      </c>
      <c r="D2931" t="s">
        <v>6262</v>
      </c>
      <c r="E2931" s="19">
        <v>39203</v>
      </c>
      <c r="F2931" t="str">
        <f>"9781558442429"</f>
        <v>9781558442429</v>
      </c>
      <c r="G2931" t="str">
        <f>"9781558441729"</f>
        <v>9781558441729</v>
      </c>
      <c r="H2931" t="s">
        <v>6268</v>
      </c>
      <c r="I2931">
        <v>333.77</v>
      </c>
      <c r="J2931" t="s">
        <v>6269</v>
      </c>
      <c r="K2931" t="s">
        <v>73</v>
      </c>
      <c r="N2931" t="s">
        <v>74</v>
      </c>
      <c r="O2931" t="s">
        <v>75</v>
      </c>
      <c r="P2931" t="s">
        <v>74</v>
      </c>
      <c r="Q2931" t="s">
        <v>76</v>
      </c>
      <c r="R2931" t="s">
        <v>73</v>
      </c>
      <c r="S2931">
        <v>0</v>
      </c>
      <c r="W2931" s="20">
        <v>2.1643518518518518E-3</v>
      </c>
      <c r="X2931" t="s">
        <v>6270</v>
      </c>
      <c r="Y2931">
        <v>15</v>
      </c>
      <c r="Z2931">
        <v>0</v>
      </c>
      <c r="AA2931" t="s">
        <v>78</v>
      </c>
      <c r="AB2931">
        <v>0</v>
      </c>
      <c r="AC2931" t="s">
        <v>78</v>
      </c>
      <c r="AD2931">
        <v>0</v>
      </c>
      <c r="AE2931">
        <v>10632285</v>
      </c>
      <c r="AF2931" t="s">
        <v>79</v>
      </c>
      <c r="AG2931" t="s">
        <v>6012</v>
      </c>
    </row>
    <row r="2932" spans="1:33" x14ac:dyDescent="0.35">
      <c r="A2932" s="18">
        <v>44224.561805555553</v>
      </c>
      <c r="B2932">
        <v>987852</v>
      </c>
      <c r="C2932" t="s">
        <v>6271</v>
      </c>
      <c r="D2932" t="s">
        <v>127</v>
      </c>
      <c r="E2932" s="19">
        <v>40513</v>
      </c>
      <c r="F2932" t="str">
        <f>"9781136886775"</f>
        <v>9781136886775</v>
      </c>
      <c r="G2932" t="str">
        <f>"9780415586528"</f>
        <v>9780415586528</v>
      </c>
      <c r="H2932" t="s">
        <v>968</v>
      </c>
      <c r="I2932" t="s">
        <v>2441</v>
      </c>
      <c r="J2932" t="s">
        <v>6272</v>
      </c>
      <c r="K2932" t="s">
        <v>73</v>
      </c>
      <c r="N2932" t="s">
        <v>74</v>
      </c>
      <c r="O2932" t="s">
        <v>75</v>
      </c>
      <c r="P2932" t="s">
        <v>74</v>
      </c>
      <c r="Q2932" t="s">
        <v>76</v>
      </c>
      <c r="R2932" t="s">
        <v>73</v>
      </c>
      <c r="S2932">
        <v>0</v>
      </c>
      <c r="W2932" s="20">
        <v>5.7175925925925927E-3</v>
      </c>
      <c r="X2932" t="s">
        <v>6273</v>
      </c>
      <c r="Y2932">
        <v>21</v>
      </c>
      <c r="Z2932">
        <v>0</v>
      </c>
      <c r="AA2932" t="s">
        <v>78</v>
      </c>
      <c r="AB2932">
        <v>0</v>
      </c>
      <c r="AC2932" t="s">
        <v>78</v>
      </c>
      <c r="AD2932">
        <v>0</v>
      </c>
      <c r="AE2932">
        <v>10589066</v>
      </c>
      <c r="AF2932" t="s">
        <v>79</v>
      </c>
      <c r="AG2932" t="s">
        <v>515</v>
      </c>
    </row>
    <row r="2933" spans="1:33" x14ac:dyDescent="0.35">
      <c r="A2933" s="18">
        <v>44223.928472222222</v>
      </c>
      <c r="B2933">
        <v>3405013</v>
      </c>
      <c r="C2933" t="s">
        <v>6274</v>
      </c>
      <c r="D2933" t="s">
        <v>1332</v>
      </c>
      <c r="E2933" s="19">
        <v>29921</v>
      </c>
      <c r="F2933" t="str">
        <f>"9781613991664"</f>
        <v>9781613991664</v>
      </c>
      <c r="G2933" t="str">
        <f>"9780895203175"</f>
        <v>9780895203175</v>
      </c>
      <c r="H2933" t="s">
        <v>179</v>
      </c>
      <c r="J2933" t="s">
        <v>6275</v>
      </c>
      <c r="K2933" t="s">
        <v>73</v>
      </c>
      <c r="N2933" t="s">
        <v>74</v>
      </c>
      <c r="O2933" t="s">
        <v>75</v>
      </c>
      <c r="P2933" t="s">
        <v>74</v>
      </c>
      <c r="Q2933" t="s">
        <v>76</v>
      </c>
      <c r="R2933" t="s">
        <v>73</v>
      </c>
      <c r="S2933">
        <v>1</v>
      </c>
      <c r="W2933" s="20">
        <v>0</v>
      </c>
      <c r="X2933" t="s">
        <v>78</v>
      </c>
      <c r="Y2933">
        <v>0</v>
      </c>
      <c r="Z2933">
        <v>6</v>
      </c>
      <c r="AA2933" t="s">
        <v>6276</v>
      </c>
      <c r="AB2933">
        <v>57</v>
      </c>
      <c r="AC2933" t="s">
        <v>78</v>
      </c>
      <c r="AD2933">
        <v>0</v>
      </c>
      <c r="AE2933">
        <v>10619584</v>
      </c>
      <c r="AF2933" t="s">
        <v>88</v>
      </c>
      <c r="AG2933" t="s">
        <v>6012</v>
      </c>
    </row>
    <row r="2934" spans="1:33" x14ac:dyDescent="0.35">
      <c r="A2934" s="18">
        <v>44223.785416666666</v>
      </c>
      <c r="B2934">
        <v>583642</v>
      </c>
      <c r="C2934" t="s">
        <v>2337</v>
      </c>
      <c r="D2934" t="s">
        <v>205</v>
      </c>
      <c r="E2934" s="19">
        <v>40210</v>
      </c>
      <c r="F2934" t="str">
        <f>"9781596930902"</f>
        <v>9781596930902</v>
      </c>
      <c r="G2934" t="str">
        <f>"9781596930896"</f>
        <v>9781596930896</v>
      </c>
      <c r="H2934" t="s">
        <v>2338</v>
      </c>
      <c r="I2934">
        <v>621.38482999999997</v>
      </c>
      <c r="J2934" t="s">
        <v>2339</v>
      </c>
      <c r="K2934" t="s">
        <v>73</v>
      </c>
      <c r="N2934" t="s">
        <v>74</v>
      </c>
      <c r="O2934" t="s">
        <v>75</v>
      </c>
      <c r="P2934" t="s">
        <v>74</v>
      </c>
      <c r="Q2934" t="s">
        <v>76</v>
      </c>
      <c r="R2934" t="s">
        <v>73</v>
      </c>
      <c r="S2934">
        <v>0</v>
      </c>
      <c r="W2934" s="20">
        <v>9.2592592592592588E-5</v>
      </c>
      <c r="X2934" t="s">
        <v>249</v>
      </c>
      <c r="Y2934">
        <v>2</v>
      </c>
      <c r="Z2934">
        <v>0</v>
      </c>
      <c r="AA2934" t="s">
        <v>78</v>
      </c>
      <c r="AB2934">
        <v>0</v>
      </c>
      <c r="AC2934" t="s">
        <v>78</v>
      </c>
      <c r="AD2934">
        <v>0</v>
      </c>
      <c r="AE2934">
        <v>10393271</v>
      </c>
      <c r="AF2934" t="s">
        <v>88</v>
      </c>
      <c r="AG2934" t="s">
        <v>6012</v>
      </c>
    </row>
    <row r="2935" spans="1:33" x14ac:dyDescent="0.35">
      <c r="A2935" s="18">
        <v>44223.736805555556</v>
      </c>
      <c r="B2935">
        <v>1706871</v>
      </c>
      <c r="C2935" t="s">
        <v>6277</v>
      </c>
      <c r="D2935" t="s">
        <v>70</v>
      </c>
      <c r="E2935" s="19">
        <v>41848</v>
      </c>
      <c r="F2935" t="str">
        <f>"9781118755501"</f>
        <v>9781118755501</v>
      </c>
      <c r="G2935" t="str">
        <f>"9781118755525"</f>
        <v>9781118755525</v>
      </c>
      <c r="H2935" t="s">
        <v>71</v>
      </c>
      <c r="I2935">
        <v>621.31299999999999</v>
      </c>
      <c r="J2935" t="s">
        <v>6278</v>
      </c>
      <c r="K2935" t="s">
        <v>73</v>
      </c>
      <c r="N2935" t="s">
        <v>74</v>
      </c>
      <c r="O2935" t="s">
        <v>75</v>
      </c>
      <c r="P2935" t="s">
        <v>74</v>
      </c>
      <c r="Q2935" t="s">
        <v>76</v>
      </c>
      <c r="R2935" t="s">
        <v>73</v>
      </c>
      <c r="S2935">
        <v>0</v>
      </c>
      <c r="W2935" s="20">
        <v>3.1377314814814809E-2</v>
      </c>
      <c r="X2935" t="s">
        <v>6279</v>
      </c>
      <c r="Y2935">
        <v>86</v>
      </c>
      <c r="Z2935">
        <v>1</v>
      </c>
      <c r="AA2935" t="s">
        <v>6280</v>
      </c>
      <c r="AB2935">
        <v>17</v>
      </c>
      <c r="AC2935" t="s">
        <v>78</v>
      </c>
      <c r="AD2935">
        <v>0</v>
      </c>
      <c r="AE2935">
        <v>10880288</v>
      </c>
      <c r="AF2935" t="s">
        <v>79</v>
      </c>
      <c r="AG2935" t="s">
        <v>6260</v>
      </c>
    </row>
    <row r="2936" spans="1:33" x14ac:dyDescent="0.35">
      <c r="A2936" s="18">
        <v>44223.611111111109</v>
      </c>
      <c r="B2936">
        <v>6181352</v>
      </c>
      <c r="C2936" t="s">
        <v>6281</v>
      </c>
      <c r="D2936" t="s">
        <v>127</v>
      </c>
      <c r="E2936" s="19">
        <v>43955</v>
      </c>
      <c r="F2936" t="str">
        <f>"9781000043433"</f>
        <v>9781000043433</v>
      </c>
      <c r="G2936" t="str">
        <f>"9780367423506"</f>
        <v>9780367423506</v>
      </c>
      <c r="H2936" t="s">
        <v>760</v>
      </c>
      <c r="I2936">
        <v>327.09182299999998</v>
      </c>
      <c r="J2936" t="s">
        <v>6282</v>
      </c>
      <c r="K2936" t="s">
        <v>85</v>
      </c>
      <c r="N2936" t="s">
        <v>86</v>
      </c>
      <c r="P2936" t="s">
        <v>87</v>
      </c>
      <c r="Q2936" t="s">
        <v>76</v>
      </c>
      <c r="R2936" t="s">
        <v>73</v>
      </c>
      <c r="S2936">
        <v>0</v>
      </c>
      <c r="W2936" s="20">
        <v>1.736111111111111E-3</v>
      </c>
      <c r="X2936" t="s">
        <v>6283</v>
      </c>
      <c r="Y2936">
        <v>15</v>
      </c>
      <c r="Z2936">
        <v>0</v>
      </c>
      <c r="AA2936" t="s">
        <v>78</v>
      </c>
      <c r="AB2936">
        <v>0</v>
      </c>
      <c r="AC2936" t="s">
        <v>78</v>
      </c>
      <c r="AD2936">
        <v>0</v>
      </c>
      <c r="AE2936">
        <v>-1</v>
      </c>
      <c r="AF2936" t="s">
        <v>79</v>
      </c>
      <c r="AG2936" t="s">
        <v>4894</v>
      </c>
    </row>
    <row r="2937" spans="1:33" x14ac:dyDescent="0.35">
      <c r="A2937" s="18">
        <v>44223.572916666664</v>
      </c>
      <c r="B2937">
        <v>3338641</v>
      </c>
      <c r="C2937" t="s">
        <v>2879</v>
      </c>
      <c r="D2937" t="s">
        <v>300</v>
      </c>
      <c r="E2937" s="19">
        <v>39143</v>
      </c>
      <c r="F2937" t="str">
        <f>"9780262282888"</f>
        <v>9780262282888</v>
      </c>
      <c r="G2937" t="str">
        <f>"9780262195577"</f>
        <v>9780262195577</v>
      </c>
      <c r="H2937" t="s">
        <v>595</v>
      </c>
      <c r="I2937" t="s">
        <v>2880</v>
      </c>
      <c r="J2937" t="s">
        <v>2881</v>
      </c>
      <c r="K2937" t="s">
        <v>73</v>
      </c>
      <c r="N2937" t="s">
        <v>74</v>
      </c>
      <c r="O2937" t="s">
        <v>75</v>
      </c>
      <c r="P2937" t="s">
        <v>74</v>
      </c>
      <c r="Q2937" t="s">
        <v>76</v>
      </c>
      <c r="R2937" t="s">
        <v>73</v>
      </c>
      <c r="S2937">
        <v>0</v>
      </c>
      <c r="W2937" s="20">
        <v>6.9444444444444444E-5</v>
      </c>
      <c r="X2937" t="s">
        <v>3047</v>
      </c>
      <c r="Y2937">
        <v>1</v>
      </c>
      <c r="Z2937">
        <v>0</v>
      </c>
      <c r="AA2937" t="s">
        <v>78</v>
      </c>
      <c r="AB2937">
        <v>0</v>
      </c>
      <c r="AC2937" t="s">
        <v>78</v>
      </c>
      <c r="AD2937">
        <v>0</v>
      </c>
      <c r="AE2937">
        <v>10173702</v>
      </c>
      <c r="AF2937" t="s">
        <v>79</v>
      </c>
      <c r="AG2937" t="s">
        <v>6284</v>
      </c>
    </row>
    <row r="2938" spans="1:33" x14ac:dyDescent="0.35">
      <c r="A2938" s="18">
        <v>44223.545138888891</v>
      </c>
      <c r="B2938">
        <v>367861</v>
      </c>
      <c r="C2938" t="s">
        <v>6285</v>
      </c>
      <c r="D2938" t="s">
        <v>6286</v>
      </c>
      <c r="E2938" s="19">
        <v>39680</v>
      </c>
      <c r="F2938" t="str">
        <f>"9789814398671"</f>
        <v>9789814398671</v>
      </c>
      <c r="G2938" t="str">
        <f>"9780761455691"</f>
        <v>9780761455691</v>
      </c>
      <c r="H2938" t="s">
        <v>838</v>
      </c>
      <c r="I2938">
        <v>918.70464200000004</v>
      </c>
      <c r="J2938" t="s">
        <v>6287</v>
      </c>
      <c r="K2938" t="s">
        <v>73</v>
      </c>
      <c r="N2938" t="s">
        <v>74</v>
      </c>
      <c r="O2938" t="s">
        <v>75</v>
      </c>
      <c r="P2938" t="s">
        <v>74</v>
      </c>
      <c r="Q2938" t="s">
        <v>76</v>
      </c>
      <c r="R2938" t="s">
        <v>73</v>
      </c>
      <c r="S2938">
        <v>0</v>
      </c>
      <c r="W2938" s="20">
        <v>5.2083333333333333E-4</v>
      </c>
      <c r="X2938" t="s">
        <v>6288</v>
      </c>
      <c r="Y2938">
        <v>10</v>
      </c>
      <c r="Z2938">
        <v>0</v>
      </c>
      <c r="AA2938" t="s">
        <v>78</v>
      </c>
      <c r="AB2938">
        <v>0</v>
      </c>
      <c r="AC2938" t="s">
        <v>78</v>
      </c>
      <c r="AD2938">
        <v>0</v>
      </c>
      <c r="AE2938">
        <v>10715002</v>
      </c>
      <c r="AF2938" t="s">
        <v>79</v>
      </c>
      <c r="AG2938" t="s">
        <v>4894</v>
      </c>
    </row>
    <row r="2939" spans="1:33" x14ac:dyDescent="0.35">
      <c r="A2939" s="18">
        <v>44223.542361111111</v>
      </c>
      <c r="B2939">
        <v>1572174</v>
      </c>
      <c r="C2939" t="s">
        <v>6289</v>
      </c>
      <c r="D2939" t="s">
        <v>6290</v>
      </c>
      <c r="E2939" s="19">
        <v>41518</v>
      </c>
      <c r="F2939" t="str">
        <f>"9781782841234"</f>
        <v>9781782841234</v>
      </c>
      <c r="G2939" t="str">
        <f>"9781845195915"</f>
        <v>9781845195915</v>
      </c>
      <c r="H2939" t="s">
        <v>135</v>
      </c>
      <c r="I2939" t="s">
        <v>6291</v>
      </c>
      <c r="J2939" t="s">
        <v>6292</v>
      </c>
      <c r="K2939" t="s">
        <v>73</v>
      </c>
      <c r="N2939" t="s">
        <v>74</v>
      </c>
      <c r="O2939" t="s">
        <v>75</v>
      </c>
      <c r="P2939" t="s">
        <v>74</v>
      </c>
      <c r="Q2939" t="s">
        <v>76</v>
      </c>
      <c r="R2939" t="s">
        <v>73</v>
      </c>
      <c r="S2939">
        <v>0</v>
      </c>
      <c r="W2939" s="20">
        <v>1.5972222222222221E-3</v>
      </c>
      <c r="X2939" t="s">
        <v>6293</v>
      </c>
      <c r="Y2939">
        <v>17</v>
      </c>
      <c r="Z2939">
        <v>1</v>
      </c>
      <c r="AA2939" t="s">
        <v>6294</v>
      </c>
      <c r="AB2939">
        <v>26</v>
      </c>
      <c r="AC2939" t="s">
        <v>78</v>
      </c>
      <c r="AD2939">
        <v>0</v>
      </c>
      <c r="AE2939">
        <v>10816478</v>
      </c>
      <c r="AF2939" t="s">
        <v>79</v>
      </c>
      <c r="AG2939" t="s">
        <v>4894</v>
      </c>
    </row>
    <row r="2940" spans="1:33" x14ac:dyDescent="0.35">
      <c r="A2940" s="18">
        <v>44223.538194444445</v>
      </c>
      <c r="B2940">
        <v>413445</v>
      </c>
      <c r="C2940" t="s">
        <v>6295</v>
      </c>
      <c r="D2940" t="s">
        <v>1027</v>
      </c>
      <c r="E2940" s="19">
        <v>38718</v>
      </c>
      <c r="F2940" t="str">
        <f>"9781469603643"</f>
        <v>9781469603643</v>
      </c>
      <c r="G2940" t="str">
        <f>"9780807829820"</f>
        <v>9780807829820</v>
      </c>
      <c r="H2940" t="s">
        <v>760</v>
      </c>
      <c r="I2940" t="s">
        <v>6296</v>
      </c>
      <c r="J2940" t="s">
        <v>6297</v>
      </c>
      <c r="K2940" t="s">
        <v>73</v>
      </c>
      <c r="N2940" t="s">
        <v>74</v>
      </c>
      <c r="O2940" t="s">
        <v>75</v>
      </c>
      <c r="P2940" t="s">
        <v>230</v>
      </c>
      <c r="Q2940" t="s">
        <v>76</v>
      </c>
      <c r="R2940" t="s">
        <v>85</v>
      </c>
      <c r="S2940">
        <v>0</v>
      </c>
      <c r="W2940" s="20">
        <v>8.1018518518518516E-4</v>
      </c>
      <c r="X2940" t="s">
        <v>6298</v>
      </c>
      <c r="Y2940">
        <v>16</v>
      </c>
      <c r="Z2940">
        <v>0</v>
      </c>
      <c r="AA2940" t="s">
        <v>78</v>
      </c>
      <c r="AB2940">
        <v>0</v>
      </c>
      <c r="AC2940" t="s">
        <v>78</v>
      </c>
      <c r="AD2940">
        <v>0</v>
      </c>
      <c r="AE2940">
        <v>10273445</v>
      </c>
      <c r="AF2940" t="s">
        <v>79</v>
      </c>
      <c r="AG2940" t="s">
        <v>4894</v>
      </c>
    </row>
    <row r="2941" spans="1:33" x14ac:dyDescent="0.35">
      <c r="A2941" s="18">
        <v>44223.531944444447</v>
      </c>
      <c r="B2941">
        <v>617080</v>
      </c>
      <c r="C2941" t="s">
        <v>6299</v>
      </c>
      <c r="D2941" t="s">
        <v>3110</v>
      </c>
      <c r="E2941" s="19">
        <v>40465</v>
      </c>
      <c r="F2941" t="str">
        <f>"9781598845709"</f>
        <v>9781598845709</v>
      </c>
      <c r="G2941" t="str">
        <f>"9781598845693"</f>
        <v>9781598845693</v>
      </c>
      <c r="H2941" t="s">
        <v>756</v>
      </c>
      <c r="I2941">
        <v>987</v>
      </c>
      <c r="J2941" t="s">
        <v>6300</v>
      </c>
      <c r="K2941" t="s">
        <v>73</v>
      </c>
      <c r="N2941" t="s">
        <v>74</v>
      </c>
      <c r="O2941" t="s">
        <v>75</v>
      </c>
      <c r="P2941" t="s">
        <v>74</v>
      </c>
      <c r="Q2941" t="s">
        <v>76</v>
      </c>
      <c r="R2941" t="s">
        <v>73</v>
      </c>
      <c r="S2941">
        <v>0</v>
      </c>
      <c r="W2941" s="20">
        <v>1.5162037037037036E-3</v>
      </c>
      <c r="X2941" t="s">
        <v>6301</v>
      </c>
      <c r="Y2941">
        <v>14</v>
      </c>
      <c r="Z2941">
        <v>1</v>
      </c>
      <c r="AA2941" t="s">
        <v>6302</v>
      </c>
      <c r="AB2941">
        <v>48</v>
      </c>
      <c r="AC2941" t="s">
        <v>78</v>
      </c>
      <c r="AD2941">
        <v>0</v>
      </c>
      <c r="AE2941">
        <v>10437181</v>
      </c>
      <c r="AF2941" t="s">
        <v>79</v>
      </c>
      <c r="AG2941" t="s">
        <v>4894</v>
      </c>
    </row>
    <row r="2942" spans="1:33" x14ac:dyDescent="0.35">
      <c r="A2942" s="18">
        <v>44223.525694444441</v>
      </c>
      <c r="B2942">
        <v>3338641</v>
      </c>
      <c r="C2942" t="s">
        <v>2879</v>
      </c>
      <c r="D2942" t="s">
        <v>300</v>
      </c>
      <c r="E2942" s="19">
        <v>39143</v>
      </c>
      <c r="F2942" t="str">
        <f>"9780262282888"</f>
        <v>9780262282888</v>
      </c>
      <c r="G2942" t="str">
        <f>"9780262195577"</f>
        <v>9780262195577</v>
      </c>
      <c r="H2942" t="s">
        <v>595</v>
      </c>
      <c r="I2942" t="s">
        <v>2880</v>
      </c>
      <c r="J2942" t="s">
        <v>2881</v>
      </c>
      <c r="K2942" t="s">
        <v>73</v>
      </c>
      <c r="N2942" t="s">
        <v>74</v>
      </c>
      <c r="O2942" t="s">
        <v>75</v>
      </c>
      <c r="P2942" t="s">
        <v>74</v>
      </c>
      <c r="Q2942" t="s">
        <v>76</v>
      </c>
      <c r="R2942" t="s">
        <v>73</v>
      </c>
      <c r="S2942">
        <v>0</v>
      </c>
      <c r="W2942" s="20">
        <v>1.5277777777777779E-3</v>
      </c>
      <c r="X2942" t="s">
        <v>6303</v>
      </c>
      <c r="Y2942">
        <v>10</v>
      </c>
      <c r="Z2942">
        <v>0</v>
      </c>
      <c r="AA2942" t="s">
        <v>78</v>
      </c>
      <c r="AB2942">
        <v>0</v>
      </c>
      <c r="AC2942" t="s">
        <v>78</v>
      </c>
      <c r="AD2942">
        <v>0</v>
      </c>
      <c r="AE2942">
        <v>10173702</v>
      </c>
      <c r="AF2942" t="s">
        <v>79</v>
      </c>
      <c r="AG2942" t="s">
        <v>6012</v>
      </c>
    </row>
    <row r="2943" spans="1:33" x14ac:dyDescent="0.35">
      <c r="A2943" s="18">
        <v>44223.524305555555</v>
      </c>
      <c r="B2943">
        <v>3338641</v>
      </c>
      <c r="C2943" t="s">
        <v>2879</v>
      </c>
      <c r="D2943" t="s">
        <v>300</v>
      </c>
      <c r="E2943" s="19">
        <v>39143</v>
      </c>
      <c r="F2943" t="str">
        <f>"9780262282888"</f>
        <v>9780262282888</v>
      </c>
      <c r="G2943" t="str">
        <f>"9780262195577"</f>
        <v>9780262195577</v>
      </c>
      <c r="H2943" t="s">
        <v>595</v>
      </c>
      <c r="I2943" t="s">
        <v>2880</v>
      </c>
      <c r="J2943" t="s">
        <v>2881</v>
      </c>
      <c r="K2943" t="s">
        <v>73</v>
      </c>
      <c r="N2943" t="s">
        <v>74</v>
      </c>
      <c r="O2943" t="s">
        <v>75</v>
      </c>
      <c r="P2943" t="s">
        <v>74</v>
      </c>
      <c r="Q2943" t="s">
        <v>76</v>
      </c>
      <c r="R2943" t="s">
        <v>73</v>
      </c>
      <c r="S2943">
        <v>0</v>
      </c>
      <c r="W2943" s="20">
        <v>1.9675925925925926E-4</v>
      </c>
      <c r="X2943" t="s">
        <v>1289</v>
      </c>
      <c r="Y2943">
        <v>4</v>
      </c>
      <c r="Z2943">
        <v>0</v>
      </c>
      <c r="AA2943" t="s">
        <v>78</v>
      </c>
      <c r="AB2943">
        <v>0</v>
      </c>
      <c r="AC2943" t="s">
        <v>78</v>
      </c>
      <c r="AD2943">
        <v>0</v>
      </c>
      <c r="AE2943">
        <v>10173702</v>
      </c>
      <c r="AF2943" t="s">
        <v>79</v>
      </c>
      <c r="AG2943" t="s">
        <v>548</v>
      </c>
    </row>
    <row r="2944" spans="1:33" x14ac:dyDescent="0.35">
      <c r="A2944" s="18">
        <v>44223.524305555555</v>
      </c>
      <c r="B2944">
        <v>3338641</v>
      </c>
      <c r="C2944" t="s">
        <v>2879</v>
      </c>
      <c r="D2944" t="s">
        <v>300</v>
      </c>
      <c r="E2944" s="19">
        <v>39143</v>
      </c>
      <c r="F2944" t="str">
        <f>"9780262282888"</f>
        <v>9780262282888</v>
      </c>
      <c r="G2944" t="str">
        <f>"9780262195577"</f>
        <v>9780262195577</v>
      </c>
      <c r="H2944" t="s">
        <v>595</v>
      </c>
      <c r="I2944" t="s">
        <v>2880</v>
      </c>
      <c r="J2944" t="s">
        <v>2881</v>
      </c>
      <c r="K2944" t="s">
        <v>73</v>
      </c>
      <c r="N2944" t="s">
        <v>74</v>
      </c>
      <c r="O2944" t="s">
        <v>75</v>
      </c>
      <c r="P2944" t="s">
        <v>74</v>
      </c>
      <c r="Q2944" t="s">
        <v>76</v>
      </c>
      <c r="R2944" t="s">
        <v>73</v>
      </c>
      <c r="S2944">
        <v>0</v>
      </c>
      <c r="W2944" s="20">
        <v>9.1550925925925931E-3</v>
      </c>
      <c r="X2944" t="s">
        <v>181</v>
      </c>
      <c r="Y2944">
        <v>3</v>
      </c>
      <c r="Z2944">
        <v>0</v>
      </c>
      <c r="AA2944" t="s">
        <v>78</v>
      </c>
      <c r="AB2944">
        <v>0</v>
      </c>
      <c r="AC2944" t="s">
        <v>78</v>
      </c>
      <c r="AD2944">
        <v>0</v>
      </c>
      <c r="AE2944">
        <v>10173702</v>
      </c>
      <c r="AF2944" t="s">
        <v>79</v>
      </c>
      <c r="AG2944" t="s">
        <v>4894</v>
      </c>
    </row>
    <row r="2945" spans="1:33" x14ac:dyDescent="0.35">
      <c r="A2945" s="18">
        <v>44223.489583333336</v>
      </c>
      <c r="B2945">
        <v>1446430</v>
      </c>
      <c r="C2945" t="s">
        <v>1649</v>
      </c>
      <c r="D2945" t="s">
        <v>127</v>
      </c>
      <c r="E2945" s="19">
        <v>40274</v>
      </c>
      <c r="F2945" t="str">
        <f>"9781439882573"</f>
        <v>9781439882573</v>
      </c>
      <c r="G2945" t="str">
        <f>"9781420085983"</f>
        <v>9781420085983</v>
      </c>
      <c r="H2945" t="s">
        <v>979</v>
      </c>
      <c r="I2945" t="s">
        <v>1650</v>
      </c>
      <c r="J2945" t="s">
        <v>1651</v>
      </c>
      <c r="K2945" t="s">
        <v>73</v>
      </c>
      <c r="N2945" t="s">
        <v>74</v>
      </c>
      <c r="O2945" t="s">
        <v>75</v>
      </c>
      <c r="P2945" t="s">
        <v>74</v>
      </c>
      <c r="Q2945" t="s">
        <v>76</v>
      </c>
      <c r="R2945" t="s">
        <v>73</v>
      </c>
      <c r="S2945">
        <v>0</v>
      </c>
      <c r="W2945" s="20">
        <v>7.407407407407407E-4</v>
      </c>
      <c r="X2945" t="s">
        <v>6304</v>
      </c>
      <c r="Y2945">
        <v>3</v>
      </c>
      <c r="Z2945">
        <v>0</v>
      </c>
      <c r="AA2945" t="s">
        <v>78</v>
      </c>
      <c r="AB2945">
        <v>0</v>
      </c>
      <c r="AC2945" t="s">
        <v>78</v>
      </c>
      <c r="AD2945">
        <v>0</v>
      </c>
      <c r="AE2945">
        <v>11166018</v>
      </c>
      <c r="AF2945" t="s">
        <v>79</v>
      </c>
      <c r="AG2945" t="s">
        <v>5181</v>
      </c>
    </row>
    <row r="2946" spans="1:33" x14ac:dyDescent="0.35">
      <c r="A2946" s="18">
        <v>44223.369444444441</v>
      </c>
      <c r="B2946">
        <v>530320</v>
      </c>
      <c r="C2946" t="s">
        <v>6305</v>
      </c>
      <c r="D2946" t="s">
        <v>677</v>
      </c>
      <c r="E2946" s="19">
        <v>40286</v>
      </c>
      <c r="F2946" t="str">
        <f>"9781400834532"</f>
        <v>9781400834532</v>
      </c>
      <c r="G2946" t="str">
        <f>"9780691154411"</f>
        <v>9780691154411</v>
      </c>
      <c r="H2946" t="s">
        <v>756</v>
      </c>
      <c r="I2946">
        <v>958.1</v>
      </c>
      <c r="J2946" t="s">
        <v>6306</v>
      </c>
      <c r="K2946" t="s">
        <v>73</v>
      </c>
      <c r="N2946" t="s">
        <v>74</v>
      </c>
      <c r="O2946" t="s">
        <v>75</v>
      </c>
      <c r="P2946" t="s">
        <v>74</v>
      </c>
      <c r="Q2946" t="s">
        <v>76</v>
      </c>
      <c r="R2946" t="s">
        <v>73</v>
      </c>
      <c r="S2946">
        <v>0</v>
      </c>
      <c r="W2946" s="20">
        <v>6.0069444444444441E-3</v>
      </c>
      <c r="X2946" t="s">
        <v>6307</v>
      </c>
      <c r="Y2946">
        <v>7</v>
      </c>
      <c r="Z2946">
        <v>0</v>
      </c>
      <c r="AA2946" t="s">
        <v>78</v>
      </c>
      <c r="AB2946">
        <v>0</v>
      </c>
      <c r="AC2946" t="s">
        <v>78</v>
      </c>
      <c r="AD2946">
        <v>0</v>
      </c>
      <c r="AE2946">
        <v>10386042</v>
      </c>
      <c r="AF2946" t="s">
        <v>79</v>
      </c>
      <c r="AG2946" t="s">
        <v>6012</v>
      </c>
    </row>
    <row r="2947" spans="1:33" x14ac:dyDescent="0.35">
      <c r="A2947" s="18">
        <v>44222.765277777777</v>
      </c>
      <c r="B2947">
        <v>3018438</v>
      </c>
      <c r="C2947" t="s">
        <v>6308</v>
      </c>
      <c r="D2947" t="s">
        <v>226</v>
      </c>
      <c r="E2947" s="19">
        <v>39722</v>
      </c>
      <c r="F2947" t="str">
        <f>"9781608765263"</f>
        <v>9781608765263</v>
      </c>
      <c r="G2947" t="str">
        <f>"9781604568899"</f>
        <v>9781604568899</v>
      </c>
      <c r="H2947" t="s">
        <v>374</v>
      </c>
      <c r="I2947" t="s">
        <v>6309</v>
      </c>
      <c r="J2947" t="s">
        <v>6310</v>
      </c>
      <c r="K2947" t="s">
        <v>73</v>
      </c>
      <c r="N2947" t="s">
        <v>74</v>
      </c>
      <c r="O2947" t="s">
        <v>75</v>
      </c>
      <c r="P2947" t="s">
        <v>74</v>
      </c>
      <c r="Q2947" t="s">
        <v>76</v>
      </c>
      <c r="R2947" t="s">
        <v>73</v>
      </c>
      <c r="S2947">
        <v>0</v>
      </c>
      <c r="W2947" s="20">
        <v>4.1666666666666669E-4</v>
      </c>
      <c r="X2947" t="s">
        <v>6311</v>
      </c>
      <c r="Y2947">
        <v>5</v>
      </c>
      <c r="Z2947">
        <v>0</v>
      </c>
      <c r="AA2947" t="s">
        <v>78</v>
      </c>
      <c r="AB2947">
        <v>0</v>
      </c>
      <c r="AC2947" t="s">
        <v>78</v>
      </c>
      <c r="AD2947">
        <v>0</v>
      </c>
      <c r="AE2947">
        <v>10660299</v>
      </c>
      <c r="AF2947" t="s">
        <v>79</v>
      </c>
      <c r="AG2947" t="s">
        <v>6312</v>
      </c>
    </row>
    <row r="2948" spans="1:33" x14ac:dyDescent="0.35">
      <c r="A2948" s="18">
        <v>44222.763194444444</v>
      </c>
      <c r="B2948">
        <v>452826</v>
      </c>
      <c r="C2948" t="s">
        <v>6313</v>
      </c>
      <c r="D2948" t="s">
        <v>158</v>
      </c>
      <c r="E2948" s="19">
        <v>40081</v>
      </c>
      <c r="F2948" t="str">
        <f>"9780080942520"</f>
        <v>9780080942520</v>
      </c>
      <c r="G2948" t="str">
        <f>"9780750685603"</f>
        <v>9780750685603</v>
      </c>
      <c r="H2948" t="s">
        <v>6314</v>
      </c>
      <c r="I2948">
        <v>531</v>
      </c>
      <c r="J2948" t="s">
        <v>6315</v>
      </c>
      <c r="K2948" t="s">
        <v>73</v>
      </c>
      <c r="N2948" t="s">
        <v>74</v>
      </c>
      <c r="O2948" t="s">
        <v>75</v>
      </c>
      <c r="P2948" t="s">
        <v>74</v>
      </c>
      <c r="Q2948" t="s">
        <v>76</v>
      </c>
      <c r="R2948" t="s">
        <v>73</v>
      </c>
      <c r="S2948">
        <v>0</v>
      </c>
      <c r="W2948" s="20">
        <v>0</v>
      </c>
      <c r="X2948" t="s">
        <v>78</v>
      </c>
      <c r="Y2948">
        <v>0</v>
      </c>
      <c r="Z2948">
        <v>3</v>
      </c>
      <c r="AA2948" t="s">
        <v>6316</v>
      </c>
      <c r="AB2948">
        <v>69</v>
      </c>
      <c r="AC2948" t="s">
        <v>78</v>
      </c>
      <c r="AD2948">
        <v>0</v>
      </c>
      <c r="AE2948">
        <v>10329610</v>
      </c>
      <c r="AF2948" t="s">
        <v>79</v>
      </c>
      <c r="AG2948" t="s">
        <v>6317</v>
      </c>
    </row>
    <row r="2949" spans="1:33" x14ac:dyDescent="0.35">
      <c r="A2949" s="18">
        <v>44222.731944444444</v>
      </c>
      <c r="B2949">
        <v>479833</v>
      </c>
      <c r="C2949" t="s">
        <v>6318</v>
      </c>
      <c r="D2949" t="s">
        <v>70</v>
      </c>
      <c r="E2949" s="19">
        <v>39930</v>
      </c>
      <c r="F2949" t="str">
        <f>"9780470824115"</f>
        <v>9780470824115</v>
      </c>
      <c r="G2949" t="str">
        <f>"9780470824108"</f>
        <v>9780470824108</v>
      </c>
      <c r="H2949" t="s">
        <v>6319</v>
      </c>
      <c r="I2949">
        <v>629.83000000000004</v>
      </c>
      <c r="J2949" t="s">
        <v>6320</v>
      </c>
      <c r="K2949" t="s">
        <v>73</v>
      </c>
      <c r="N2949" t="s">
        <v>74</v>
      </c>
      <c r="O2949" t="s">
        <v>75</v>
      </c>
      <c r="P2949" t="s">
        <v>74</v>
      </c>
      <c r="Q2949" t="s">
        <v>76</v>
      </c>
      <c r="R2949" t="s">
        <v>73</v>
      </c>
      <c r="S2949">
        <v>0</v>
      </c>
      <c r="W2949" s="20">
        <v>1.7361111111111112E-4</v>
      </c>
      <c r="X2949" t="s">
        <v>6321</v>
      </c>
      <c r="Y2949">
        <v>3</v>
      </c>
      <c r="Z2949">
        <v>0</v>
      </c>
      <c r="AA2949" t="s">
        <v>78</v>
      </c>
      <c r="AB2949">
        <v>0</v>
      </c>
      <c r="AC2949" t="s">
        <v>78</v>
      </c>
      <c r="AD2949">
        <v>0</v>
      </c>
      <c r="AE2949">
        <v>10325864</v>
      </c>
      <c r="AF2949" t="s">
        <v>79</v>
      </c>
      <c r="AG2949" t="s">
        <v>1173</v>
      </c>
    </row>
    <row r="2950" spans="1:33" x14ac:dyDescent="0.35">
      <c r="A2950" s="18">
        <v>44222.70208333333</v>
      </c>
      <c r="B2950">
        <v>479833</v>
      </c>
      <c r="C2950" t="s">
        <v>6318</v>
      </c>
      <c r="D2950" t="s">
        <v>70</v>
      </c>
      <c r="E2950" s="19">
        <v>39930</v>
      </c>
      <c r="F2950" t="str">
        <f>"9780470824115"</f>
        <v>9780470824115</v>
      </c>
      <c r="G2950" t="str">
        <f>"9780470824108"</f>
        <v>9780470824108</v>
      </c>
      <c r="H2950" t="s">
        <v>6319</v>
      </c>
      <c r="I2950">
        <v>629.83000000000004</v>
      </c>
      <c r="J2950" t="s">
        <v>6320</v>
      </c>
      <c r="K2950" t="s">
        <v>73</v>
      </c>
      <c r="N2950" t="s">
        <v>74</v>
      </c>
      <c r="O2950" t="s">
        <v>75</v>
      </c>
      <c r="P2950" t="s">
        <v>74</v>
      </c>
      <c r="Q2950" t="s">
        <v>76</v>
      </c>
      <c r="R2950" t="s">
        <v>73</v>
      </c>
      <c r="S2950">
        <v>0</v>
      </c>
      <c r="W2950" s="20">
        <v>4.3981481481481481E-4</v>
      </c>
      <c r="X2950" t="s">
        <v>125</v>
      </c>
      <c r="Y2950">
        <v>2</v>
      </c>
      <c r="Z2950">
        <v>0</v>
      </c>
      <c r="AA2950" t="s">
        <v>78</v>
      </c>
      <c r="AB2950">
        <v>0</v>
      </c>
      <c r="AC2950" t="s">
        <v>78</v>
      </c>
      <c r="AD2950">
        <v>0</v>
      </c>
      <c r="AE2950">
        <v>10325864</v>
      </c>
      <c r="AF2950" t="s">
        <v>79</v>
      </c>
      <c r="AG2950" t="s">
        <v>1173</v>
      </c>
    </row>
    <row r="2951" spans="1:33" x14ac:dyDescent="0.35">
      <c r="A2951" s="18">
        <v>44222.668055555558</v>
      </c>
      <c r="B2951">
        <v>1446430</v>
      </c>
      <c r="C2951" t="s">
        <v>1649</v>
      </c>
      <c r="D2951" t="s">
        <v>127</v>
      </c>
      <c r="E2951" s="19">
        <v>40274</v>
      </c>
      <c r="F2951" t="str">
        <f>"9781439882573"</f>
        <v>9781439882573</v>
      </c>
      <c r="G2951" t="str">
        <f>"9781420085983"</f>
        <v>9781420085983</v>
      </c>
      <c r="H2951" t="s">
        <v>979</v>
      </c>
      <c r="I2951" t="s">
        <v>1650</v>
      </c>
      <c r="J2951" t="s">
        <v>1651</v>
      </c>
      <c r="K2951" t="s">
        <v>73</v>
      </c>
      <c r="N2951" t="s">
        <v>74</v>
      </c>
      <c r="O2951" t="s">
        <v>75</v>
      </c>
      <c r="P2951" t="s">
        <v>74</v>
      </c>
      <c r="Q2951" t="s">
        <v>76</v>
      </c>
      <c r="R2951" t="s">
        <v>73</v>
      </c>
      <c r="S2951">
        <v>0</v>
      </c>
      <c r="W2951" s="20">
        <v>2.3148148148148146E-4</v>
      </c>
      <c r="X2951" t="s">
        <v>6322</v>
      </c>
      <c r="Y2951">
        <v>3</v>
      </c>
      <c r="Z2951">
        <v>0</v>
      </c>
      <c r="AA2951" t="s">
        <v>78</v>
      </c>
      <c r="AB2951">
        <v>0</v>
      </c>
      <c r="AC2951" t="s">
        <v>78</v>
      </c>
      <c r="AD2951">
        <v>0</v>
      </c>
      <c r="AE2951">
        <v>11166018</v>
      </c>
      <c r="AF2951" t="s">
        <v>79</v>
      </c>
      <c r="AG2951" t="s">
        <v>6323</v>
      </c>
    </row>
    <row r="2952" spans="1:33" x14ac:dyDescent="0.35">
      <c r="A2952" s="18">
        <v>44222.645138888889</v>
      </c>
      <c r="B2952">
        <v>1153507</v>
      </c>
      <c r="C2952" t="s">
        <v>3991</v>
      </c>
      <c r="D2952" t="s">
        <v>70</v>
      </c>
      <c r="E2952" s="19">
        <v>41386</v>
      </c>
      <c r="F2952" t="str">
        <f>"9781118485316"</f>
        <v>9781118485316</v>
      </c>
      <c r="G2952" t="str">
        <f>"9781118485309"</f>
        <v>9781118485309</v>
      </c>
      <c r="H2952" t="s">
        <v>584</v>
      </c>
      <c r="I2952">
        <v>615.85140000000001</v>
      </c>
      <c r="J2952" t="s">
        <v>3992</v>
      </c>
      <c r="K2952" t="s">
        <v>73</v>
      </c>
      <c r="N2952" t="s">
        <v>74</v>
      </c>
      <c r="O2952" t="s">
        <v>75</v>
      </c>
      <c r="P2952" t="s">
        <v>74</v>
      </c>
      <c r="Q2952" t="s">
        <v>76</v>
      </c>
      <c r="R2952" t="s">
        <v>73</v>
      </c>
      <c r="S2952">
        <v>0</v>
      </c>
      <c r="W2952" s="20">
        <v>3.2175925925925926E-3</v>
      </c>
      <c r="X2952" t="s">
        <v>6324</v>
      </c>
      <c r="Y2952">
        <v>15</v>
      </c>
      <c r="Z2952">
        <v>0</v>
      </c>
      <c r="AA2952" t="s">
        <v>78</v>
      </c>
      <c r="AB2952">
        <v>0</v>
      </c>
      <c r="AC2952" t="s">
        <v>78</v>
      </c>
      <c r="AD2952">
        <v>0</v>
      </c>
      <c r="AE2952">
        <v>10674772</v>
      </c>
      <c r="AF2952" t="s">
        <v>79</v>
      </c>
      <c r="AG2952" t="s">
        <v>6325</v>
      </c>
    </row>
    <row r="2953" spans="1:33" x14ac:dyDescent="0.35">
      <c r="A2953" s="18">
        <v>44222.599305555559</v>
      </c>
      <c r="B2953">
        <v>1446430</v>
      </c>
      <c r="C2953" t="s">
        <v>1649</v>
      </c>
      <c r="D2953" t="s">
        <v>127</v>
      </c>
      <c r="E2953" s="19">
        <v>40274</v>
      </c>
      <c r="F2953" t="str">
        <f>"9781439882573"</f>
        <v>9781439882573</v>
      </c>
      <c r="G2953" t="str">
        <f>"9781420085983"</f>
        <v>9781420085983</v>
      </c>
      <c r="H2953" t="s">
        <v>979</v>
      </c>
      <c r="I2953" t="s">
        <v>1650</v>
      </c>
      <c r="J2953" t="s">
        <v>1651</v>
      </c>
      <c r="K2953" t="s">
        <v>73</v>
      </c>
      <c r="N2953" t="s">
        <v>74</v>
      </c>
      <c r="O2953" t="s">
        <v>75</v>
      </c>
      <c r="P2953" t="s">
        <v>74</v>
      </c>
      <c r="Q2953" t="s">
        <v>76</v>
      </c>
      <c r="R2953" t="s">
        <v>73</v>
      </c>
      <c r="S2953">
        <v>0</v>
      </c>
      <c r="W2953" s="20">
        <v>1.6805555555555556E-2</v>
      </c>
      <c r="X2953" t="s">
        <v>6326</v>
      </c>
      <c r="Y2953">
        <v>3</v>
      </c>
      <c r="Z2953">
        <v>0</v>
      </c>
      <c r="AA2953" t="s">
        <v>78</v>
      </c>
      <c r="AB2953">
        <v>0</v>
      </c>
      <c r="AC2953" t="s">
        <v>78</v>
      </c>
      <c r="AD2953">
        <v>0</v>
      </c>
      <c r="AE2953">
        <v>11166018</v>
      </c>
      <c r="AF2953" t="s">
        <v>79</v>
      </c>
      <c r="AG2953" t="s">
        <v>5181</v>
      </c>
    </row>
    <row r="2954" spans="1:33" x14ac:dyDescent="0.35">
      <c r="A2954" s="18">
        <v>44222.561805555553</v>
      </c>
      <c r="B2954">
        <v>3338641</v>
      </c>
      <c r="C2954" t="s">
        <v>2879</v>
      </c>
      <c r="D2954" t="s">
        <v>300</v>
      </c>
      <c r="E2954" s="19">
        <v>39143</v>
      </c>
      <c r="F2954" t="str">
        <f>"9780262282888"</f>
        <v>9780262282888</v>
      </c>
      <c r="G2954" t="str">
        <f>"9780262195577"</f>
        <v>9780262195577</v>
      </c>
      <c r="H2954" t="s">
        <v>595</v>
      </c>
      <c r="I2954" t="s">
        <v>2880</v>
      </c>
      <c r="J2954" t="s">
        <v>2881</v>
      </c>
      <c r="K2954" t="s">
        <v>73</v>
      </c>
      <c r="N2954" t="s">
        <v>74</v>
      </c>
      <c r="O2954" t="s">
        <v>75</v>
      </c>
      <c r="P2954" t="s">
        <v>74</v>
      </c>
      <c r="Q2954" t="s">
        <v>76</v>
      </c>
      <c r="R2954" t="s">
        <v>73</v>
      </c>
      <c r="S2954">
        <v>2</v>
      </c>
      <c r="W2954" s="20">
        <v>0</v>
      </c>
      <c r="X2954" t="s">
        <v>78</v>
      </c>
      <c r="Y2954">
        <v>0</v>
      </c>
      <c r="Z2954">
        <v>0</v>
      </c>
      <c r="AA2954" t="s">
        <v>78</v>
      </c>
      <c r="AB2954">
        <v>0</v>
      </c>
      <c r="AC2954" t="s">
        <v>78</v>
      </c>
      <c r="AD2954">
        <v>0</v>
      </c>
      <c r="AE2954">
        <v>10173702</v>
      </c>
      <c r="AF2954" t="s">
        <v>88</v>
      </c>
      <c r="AG2954" t="s">
        <v>548</v>
      </c>
    </row>
    <row r="2955" spans="1:33" x14ac:dyDescent="0.35">
      <c r="A2955" s="18">
        <v>44222.490277777775</v>
      </c>
      <c r="B2955">
        <v>1446430</v>
      </c>
      <c r="C2955" t="s">
        <v>1649</v>
      </c>
      <c r="D2955" t="s">
        <v>127</v>
      </c>
      <c r="E2955" s="19">
        <v>40274</v>
      </c>
      <c r="F2955" t="str">
        <f>"9781439882573"</f>
        <v>9781439882573</v>
      </c>
      <c r="G2955" t="str">
        <f>"9781420085983"</f>
        <v>9781420085983</v>
      </c>
      <c r="H2955" t="s">
        <v>979</v>
      </c>
      <c r="I2955" t="s">
        <v>1650</v>
      </c>
      <c r="J2955" t="s">
        <v>1651</v>
      </c>
      <c r="K2955" t="s">
        <v>73</v>
      </c>
      <c r="N2955" t="s">
        <v>74</v>
      </c>
      <c r="O2955" t="s">
        <v>75</v>
      </c>
      <c r="P2955" t="s">
        <v>74</v>
      </c>
      <c r="Q2955" t="s">
        <v>76</v>
      </c>
      <c r="R2955" t="s">
        <v>73</v>
      </c>
      <c r="S2955">
        <v>0</v>
      </c>
      <c r="W2955" s="20">
        <v>5.094907407407407E-2</v>
      </c>
      <c r="X2955" t="s">
        <v>6327</v>
      </c>
      <c r="Y2955">
        <v>80</v>
      </c>
      <c r="Z2955">
        <v>0</v>
      </c>
      <c r="AA2955" t="s">
        <v>78</v>
      </c>
      <c r="AB2955">
        <v>0</v>
      </c>
      <c r="AC2955" t="s">
        <v>78</v>
      </c>
      <c r="AD2955">
        <v>0</v>
      </c>
      <c r="AE2955">
        <v>11166018</v>
      </c>
      <c r="AF2955" t="s">
        <v>79</v>
      </c>
      <c r="AG2955" t="s">
        <v>5181</v>
      </c>
    </row>
    <row r="2956" spans="1:33" x14ac:dyDescent="0.35">
      <c r="A2956" s="18">
        <v>44222.48541666667</v>
      </c>
      <c r="B2956">
        <v>3338641</v>
      </c>
      <c r="C2956" t="s">
        <v>2879</v>
      </c>
      <c r="D2956" t="s">
        <v>300</v>
      </c>
      <c r="E2956" s="19">
        <v>39143</v>
      </c>
      <c r="F2956" t="str">
        <f>"9780262282888"</f>
        <v>9780262282888</v>
      </c>
      <c r="G2956" t="str">
        <f>"9780262195577"</f>
        <v>9780262195577</v>
      </c>
      <c r="H2956" t="s">
        <v>595</v>
      </c>
      <c r="I2956" t="s">
        <v>2880</v>
      </c>
      <c r="J2956" t="s">
        <v>2881</v>
      </c>
      <c r="K2956" t="s">
        <v>73</v>
      </c>
      <c r="N2956" t="s">
        <v>74</v>
      </c>
      <c r="O2956" t="s">
        <v>75</v>
      </c>
      <c r="P2956" t="s">
        <v>74</v>
      </c>
      <c r="Q2956" t="s">
        <v>76</v>
      </c>
      <c r="R2956" t="s">
        <v>73</v>
      </c>
      <c r="S2956">
        <v>0</v>
      </c>
      <c r="W2956" s="20">
        <v>9.2592592592592588E-5</v>
      </c>
      <c r="X2956" t="s">
        <v>360</v>
      </c>
      <c r="Y2956">
        <v>2</v>
      </c>
      <c r="Z2956">
        <v>0</v>
      </c>
      <c r="AA2956" t="s">
        <v>78</v>
      </c>
      <c r="AB2956">
        <v>0</v>
      </c>
      <c r="AC2956" t="s">
        <v>78</v>
      </c>
      <c r="AD2956">
        <v>0</v>
      </c>
      <c r="AE2956">
        <v>10173702</v>
      </c>
      <c r="AF2956" t="s">
        <v>79</v>
      </c>
      <c r="AG2956" t="s">
        <v>3108</v>
      </c>
    </row>
    <row r="2957" spans="1:33" x14ac:dyDescent="0.35">
      <c r="A2957" s="18">
        <v>44222.368750000001</v>
      </c>
      <c r="B2957">
        <v>3338641</v>
      </c>
      <c r="C2957" t="s">
        <v>2879</v>
      </c>
      <c r="D2957" t="s">
        <v>300</v>
      </c>
      <c r="E2957" s="19">
        <v>39143</v>
      </c>
      <c r="F2957" t="str">
        <f>"9780262282888"</f>
        <v>9780262282888</v>
      </c>
      <c r="G2957" t="str">
        <f>"9780262195577"</f>
        <v>9780262195577</v>
      </c>
      <c r="H2957" t="s">
        <v>595</v>
      </c>
      <c r="I2957" t="s">
        <v>2880</v>
      </c>
      <c r="J2957" t="s">
        <v>2881</v>
      </c>
      <c r="K2957" t="s">
        <v>73</v>
      </c>
      <c r="N2957" t="s">
        <v>74</v>
      </c>
      <c r="O2957" t="s">
        <v>75</v>
      </c>
      <c r="P2957" t="s">
        <v>74</v>
      </c>
      <c r="Q2957" t="s">
        <v>76</v>
      </c>
      <c r="R2957" t="s">
        <v>73</v>
      </c>
      <c r="S2957">
        <v>0</v>
      </c>
      <c r="W2957" s="20">
        <v>5.5555555555555556E-4</v>
      </c>
      <c r="X2957" t="s">
        <v>6328</v>
      </c>
      <c r="Y2957">
        <v>7</v>
      </c>
      <c r="Z2957">
        <v>1</v>
      </c>
      <c r="AA2957" t="s">
        <v>236</v>
      </c>
      <c r="AB2957">
        <v>6</v>
      </c>
      <c r="AC2957" t="s">
        <v>78</v>
      </c>
      <c r="AD2957">
        <v>0</v>
      </c>
      <c r="AE2957">
        <v>10173702</v>
      </c>
      <c r="AF2957" t="s">
        <v>79</v>
      </c>
      <c r="AG2957" t="s">
        <v>6012</v>
      </c>
    </row>
    <row r="2958" spans="1:33" x14ac:dyDescent="0.35">
      <c r="A2958" s="18">
        <v>44222.000694444447</v>
      </c>
      <c r="B2958">
        <v>3050720</v>
      </c>
      <c r="C2958" t="s">
        <v>6329</v>
      </c>
      <c r="D2958" t="s">
        <v>4700</v>
      </c>
      <c r="E2958" s="19">
        <v>36892</v>
      </c>
      <c r="F2958" t="str">
        <f>"9781280086991"</f>
        <v>9781280086991</v>
      </c>
      <c r="G2958" t="str">
        <f>"9780821347386"</f>
        <v>9780821347386</v>
      </c>
      <c r="H2958" t="s">
        <v>135</v>
      </c>
      <c r="I2958">
        <v>352.16</v>
      </c>
      <c r="J2958" t="s">
        <v>6330</v>
      </c>
      <c r="K2958" t="s">
        <v>73</v>
      </c>
      <c r="N2958" t="s">
        <v>74</v>
      </c>
      <c r="O2958" t="s">
        <v>75</v>
      </c>
      <c r="P2958" t="s">
        <v>230</v>
      </c>
      <c r="Q2958" t="s">
        <v>76</v>
      </c>
      <c r="R2958" t="s">
        <v>85</v>
      </c>
      <c r="S2958">
        <v>0</v>
      </c>
      <c r="W2958" s="20">
        <v>1.4016203703703704E-2</v>
      </c>
      <c r="X2958" t="s">
        <v>6331</v>
      </c>
      <c r="Y2958">
        <v>37</v>
      </c>
      <c r="Z2958">
        <v>0</v>
      </c>
      <c r="AA2958" t="s">
        <v>78</v>
      </c>
      <c r="AB2958">
        <v>0</v>
      </c>
      <c r="AC2958" t="s">
        <v>78</v>
      </c>
      <c r="AD2958">
        <v>0</v>
      </c>
      <c r="AE2958">
        <v>10064341</v>
      </c>
      <c r="AF2958" t="s">
        <v>79</v>
      </c>
      <c r="AG2958" t="s">
        <v>6012</v>
      </c>
    </row>
    <row r="2959" spans="1:33" x14ac:dyDescent="0.35">
      <c r="A2959" s="18">
        <v>44221.993750000001</v>
      </c>
      <c r="B2959">
        <v>672541</v>
      </c>
      <c r="C2959" t="s">
        <v>6332</v>
      </c>
      <c r="D2959" t="s">
        <v>127</v>
      </c>
      <c r="E2959" s="19">
        <v>37816</v>
      </c>
      <c r="F2959" t="str">
        <f>"9780203819623"</f>
        <v>9780203819623</v>
      </c>
      <c r="G2959" t="str">
        <f>"9780415944700"</f>
        <v>9780415944700</v>
      </c>
      <c r="H2959" t="s">
        <v>128</v>
      </c>
      <c r="I2959" t="s">
        <v>6333</v>
      </c>
      <c r="J2959" t="s">
        <v>6334</v>
      </c>
      <c r="K2959" t="s">
        <v>73</v>
      </c>
      <c r="N2959" t="s">
        <v>74</v>
      </c>
      <c r="O2959" t="s">
        <v>75</v>
      </c>
      <c r="P2959" t="s">
        <v>74</v>
      </c>
      <c r="Q2959" t="s">
        <v>76</v>
      </c>
      <c r="R2959" t="s">
        <v>73</v>
      </c>
      <c r="S2959">
        <v>0</v>
      </c>
      <c r="W2959" s="20">
        <v>6.5393518518518517E-3</v>
      </c>
      <c r="X2959" t="s">
        <v>6335</v>
      </c>
      <c r="Y2959">
        <v>28</v>
      </c>
      <c r="Z2959">
        <v>0</v>
      </c>
      <c r="AA2959" t="s">
        <v>78</v>
      </c>
      <c r="AB2959">
        <v>0</v>
      </c>
      <c r="AC2959" t="s">
        <v>78</v>
      </c>
      <c r="AD2959">
        <v>0</v>
      </c>
      <c r="AE2959">
        <v>10648684</v>
      </c>
      <c r="AF2959" t="s">
        <v>79</v>
      </c>
      <c r="AG2959" t="s">
        <v>6012</v>
      </c>
    </row>
    <row r="2960" spans="1:33" x14ac:dyDescent="0.35">
      <c r="A2960" s="18">
        <v>44221.896527777775</v>
      </c>
      <c r="B2960">
        <v>294338</v>
      </c>
      <c r="C2960" t="s">
        <v>6239</v>
      </c>
      <c r="D2960" t="s">
        <v>158</v>
      </c>
      <c r="E2960" s="19">
        <v>38999</v>
      </c>
      <c r="F2960" t="str">
        <f>"9780080480589"</f>
        <v>9780080480589</v>
      </c>
      <c r="G2960" t="str">
        <f>"9781493300723"</f>
        <v>9781493300723</v>
      </c>
      <c r="H2960" t="s">
        <v>6240</v>
      </c>
      <c r="I2960">
        <v>621.36779999999999</v>
      </c>
      <c r="J2960" t="s">
        <v>6241</v>
      </c>
      <c r="K2960" t="s">
        <v>73</v>
      </c>
      <c r="N2960" t="s">
        <v>74</v>
      </c>
      <c r="O2960" t="s">
        <v>75</v>
      </c>
      <c r="P2960" t="s">
        <v>74</v>
      </c>
      <c r="Q2960" t="s">
        <v>76</v>
      </c>
      <c r="R2960" t="s">
        <v>73</v>
      </c>
      <c r="S2960">
        <v>0</v>
      </c>
      <c r="W2960" s="20">
        <v>1.689814814814815E-3</v>
      </c>
      <c r="X2960" t="s">
        <v>6336</v>
      </c>
      <c r="Y2960">
        <v>11</v>
      </c>
      <c r="Z2960">
        <v>2</v>
      </c>
      <c r="AA2960" t="s">
        <v>6337</v>
      </c>
      <c r="AB2960">
        <v>48</v>
      </c>
      <c r="AC2960" t="s">
        <v>78</v>
      </c>
      <c r="AD2960">
        <v>0</v>
      </c>
      <c r="AE2960">
        <v>10186058</v>
      </c>
      <c r="AF2960" t="s">
        <v>79</v>
      </c>
      <c r="AG2960" t="s">
        <v>6012</v>
      </c>
    </row>
    <row r="2961" spans="1:33" x14ac:dyDescent="0.35">
      <c r="A2961" s="18">
        <v>44221.870138888888</v>
      </c>
      <c r="B2961">
        <v>5582328</v>
      </c>
      <c r="C2961" t="s">
        <v>6338</v>
      </c>
      <c r="D2961" t="s">
        <v>338</v>
      </c>
      <c r="E2961" s="19">
        <v>43412</v>
      </c>
      <c r="F2961" t="str">
        <f>"9780128117309"</f>
        <v>9780128117309</v>
      </c>
      <c r="G2961" t="str">
        <f>"9780128117293"</f>
        <v>9780128117293</v>
      </c>
      <c r="H2961" t="s">
        <v>1154</v>
      </c>
      <c r="I2961">
        <v>333.95389999999998</v>
      </c>
      <c r="J2961" t="s">
        <v>6339</v>
      </c>
      <c r="K2961" t="s">
        <v>73</v>
      </c>
      <c r="N2961" t="s">
        <v>74</v>
      </c>
      <c r="O2961" t="s">
        <v>75</v>
      </c>
      <c r="P2961" t="s">
        <v>74</v>
      </c>
      <c r="Q2961" t="s">
        <v>76</v>
      </c>
      <c r="R2961" t="s">
        <v>73</v>
      </c>
      <c r="S2961">
        <v>0</v>
      </c>
      <c r="W2961" s="20">
        <v>1.4583333333333334E-3</v>
      </c>
      <c r="X2961" t="s">
        <v>6340</v>
      </c>
      <c r="Y2961">
        <v>19</v>
      </c>
      <c r="Z2961">
        <v>0</v>
      </c>
      <c r="AA2961" t="s">
        <v>78</v>
      </c>
      <c r="AB2961">
        <v>0</v>
      </c>
      <c r="AC2961" t="s">
        <v>78</v>
      </c>
      <c r="AD2961">
        <v>0</v>
      </c>
      <c r="AE2961">
        <v>-1</v>
      </c>
      <c r="AF2961" t="s">
        <v>79</v>
      </c>
      <c r="AG2961" t="s">
        <v>6317</v>
      </c>
    </row>
    <row r="2962" spans="1:33" x14ac:dyDescent="0.35">
      <c r="A2962" s="18">
        <v>44221.800694444442</v>
      </c>
      <c r="B2962">
        <v>1986897</v>
      </c>
      <c r="C2962" t="s">
        <v>766</v>
      </c>
      <c r="D2962" t="s">
        <v>158</v>
      </c>
      <c r="E2962" s="19">
        <v>42075</v>
      </c>
      <c r="F2962" t="str">
        <f>"9781782421269"</f>
        <v>9781782421269</v>
      </c>
      <c r="G2962" t="str">
        <f>"9781782421214"</f>
        <v>9781782421214</v>
      </c>
      <c r="H2962" t="s">
        <v>767</v>
      </c>
      <c r="I2962">
        <v>628.16740000000004</v>
      </c>
      <c r="J2962" t="s">
        <v>768</v>
      </c>
      <c r="K2962" t="s">
        <v>73</v>
      </c>
      <c r="N2962" t="s">
        <v>74</v>
      </c>
      <c r="O2962" t="s">
        <v>75</v>
      </c>
      <c r="P2962" t="s">
        <v>74</v>
      </c>
      <c r="Q2962" t="s">
        <v>76</v>
      </c>
      <c r="R2962" t="s">
        <v>73</v>
      </c>
      <c r="S2962">
        <v>0</v>
      </c>
      <c r="W2962" s="20">
        <v>1.3726851851851851E-2</v>
      </c>
      <c r="X2962" t="s">
        <v>6341</v>
      </c>
      <c r="Y2962">
        <v>35</v>
      </c>
      <c r="Z2962">
        <v>2</v>
      </c>
      <c r="AA2962" t="s">
        <v>6342</v>
      </c>
      <c r="AB2962">
        <v>23</v>
      </c>
      <c r="AC2962" t="s">
        <v>78</v>
      </c>
      <c r="AD2962">
        <v>0</v>
      </c>
      <c r="AE2962">
        <v>11025983</v>
      </c>
      <c r="AF2962" t="s">
        <v>79</v>
      </c>
      <c r="AG2962" t="s">
        <v>6317</v>
      </c>
    </row>
    <row r="2963" spans="1:33" x14ac:dyDescent="0.35">
      <c r="A2963" s="18">
        <v>44221.772916666669</v>
      </c>
      <c r="B2963">
        <v>294338</v>
      </c>
      <c r="C2963" t="s">
        <v>6239</v>
      </c>
      <c r="D2963" t="s">
        <v>158</v>
      </c>
      <c r="E2963" s="19">
        <v>38999</v>
      </c>
      <c r="F2963" t="str">
        <f>"9780080480589"</f>
        <v>9780080480589</v>
      </c>
      <c r="G2963" t="str">
        <f>"9781493300723"</f>
        <v>9781493300723</v>
      </c>
      <c r="H2963" t="s">
        <v>6240</v>
      </c>
      <c r="I2963">
        <v>621.36779999999999</v>
      </c>
      <c r="J2963" t="s">
        <v>6241</v>
      </c>
      <c r="K2963" t="s">
        <v>73</v>
      </c>
      <c r="N2963" t="s">
        <v>74</v>
      </c>
      <c r="O2963" t="s">
        <v>75</v>
      </c>
      <c r="P2963" t="s">
        <v>74</v>
      </c>
      <c r="Q2963" t="s">
        <v>76</v>
      </c>
      <c r="R2963" t="s">
        <v>73</v>
      </c>
      <c r="S2963">
        <v>0</v>
      </c>
      <c r="W2963" s="20">
        <v>3.3564814814814812E-4</v>
      </c>
      <c r="X2963" t="s">
        <v>5630</v>
      </c>
      <c r="Y2963">
        <v>4</v>
      </c>
      <c r="Z2963">
        <v>0</v>
      </c>
      <c r="AA2963" t="s">
        <v>78</v>
      </c>
      <c r="AB2963">
        <v>0</v>
      </c>
      <c r="AC2963" t="s">
        <v>78</v>
      </c>
      <c r="AD2963">
        <v>0</v>
      </c>
      <c r="AE2963">
        <v>10186058</v>
      </c>
      <c r="AF2963" t="s">
        <v>79</v>
      </c>
      <c r="AG2963" t="s">
        <v>6343</v>
      </c>
    </row>
    <row r="2964" spans="1:33" x14ac:dyDescent="0.35">
      <c r="A2964" s="18">
        <v>44221.765277777777</v>
      </c>
      <c r="B2964">
        <v>294338</v>
      </c>
      <c r="C2964" t="s">
        <v>6239</v>
      </c>
      <c r="D2964" t="s">
        <v>158</v>
      </c>
      <c r="E2964" s="19">
        <v>38999</v>
      </c>
      <c r="F2964" t="str">
        <f>"9780080480589"</f>
        <v>9780080480589</v>
      </c>
      <c r="G2964" t="str">
        <f>"9781493300723"</f>
        <v>9781493300723</v>
      </c>
      <c r="H2964" t="s">
        <v>6240</v>
      </c>
      <c r="I2964">
        <v>621.36779999999999</v>
      </c>
      <c r="J2964" t="s">
        <v>6241</v>
      </c>
      <c r="K2964" t="s">
        <v>73</v>
      </c>
      <c r="N2964" t="s">
        <v>74</v>
      </c>
      <c r="O2964" t="s">
        <v>75</v>
      </c>
      <c r="P2964" t="s">
        <v>74</v>
      </c>
      <c r="Q2964" t="s">
        <v>76</v>
      </c>
      <c r="R2964" t="s">
        <v>73</v>
      </c>
      <c r="S2964">
        <v>0</v>
      </c>
      <c r="W2964" s="20">
        <v>3.0092592592592595E-4</v>
      </c>
      <c r="X2964" t="s">
        <v>6344</v>
      </c>
      <c r="Y2964">
        <v>6</v>
      </c>
      <c r="Z2964">
        <v>0</v>
      </c>
      <c r="AA2964" t="s">
        <v>78</v>
      </c>
      <c r="AB2964">
        <v>0</v>
      </c>
      <c r="AC2964" t="s">
        <v>78</v>
      </c>
      <c r="AD2964">
        <v>0</v>
      </c>
      <c r="AE2964">
        <v>10186058</v>
      </c>
      <c r="AF2964" t="s">
        <v>79</v>
      </c>
      <c r="AG2964" t="s">
        <v>6012</v>
      </c>
    </row>
    <row r="2965" spans="1:33" x14ac:dyDescent="0.35">
      <c r="A2965" s="18">
        <v>44221.724999999999</v>
      </c>
      <c r="B2965">
        <v>4337372</v>
      </c>
      <c r="C2965" t="s">
        <v>6345</v>
      </c>
      <c r="D2965" t="s">
        <v>70</v>
      </c>
      <c r="E2965" s="19">
        <v>42395</v>
      </c>
      <c r="F2965" t="str">
        <f>"9781118762288"</f>
        <v>9781118762288</v>
      </c>
      <c r="G2965" t="str">
        <f>"9781119174738"</f>
        <v>9781119174738</v>
      </c>
      <c r="H2965" t="s">
        <v>143</v>
      </c>
      <c r="I2965">
        <v>388.3</v>
      </c>
      <c r="J2965" t="s">
        <v>6346</v>
      </c>
      <c r="K2965" t="s">
        <v>73</v>
      </c>
      <c r="N2965" t="s">
        <v>74</v>
      </c>
      <c r="O2965" t="s">
        <v>75</v>
      </c>
      <c r="P2965" t="s">
        <v>74</v>
      </c>
      <c r="Q2965" t="s">
        <v>76</v>
      </c>
      <c r="R2965" t="s">
        <v>73</v>
      </c>
      <c r="S2965">
        <v>0</v>
      </c>
      <c r="W2965" s="20">
        <v>3.3564814814814812E-4</v>
      </c>
      <c r="X2965" t="s">
        <v>6347</v>
      </c>
      <c r="Y2965">
        <v>6</v>
      </c>
      <c r="Z2965">
        <v>0</v>
      </c>
      <c r="AA2965" t="s">
        <v>78</v>
      </c>
      <c r="AB2965">
        <v>0</v>
      </c>
      <c r="AC2965" t="s">
        <v>78</v>
      </c>
      <c r="AD2965">
        <v>0</v>
      </c>
      <c r="AE2965">
        <v>11150069</v>
      </c>
      <c r="AF2965" t="s">
        <v>79</v>
      </c>
      <c r="AG2965" t="s">
        <v>6317</v>
      </c>
    </row>
    <row r="2966" spans="1:33" x14ac:dyDescent="0.35">
      <c r="A2966" s="18">
        <v>44221.706250000003</v>
      </c>
      <c r="B2966">
        <v>4513082</v>
      </c>
      <c r="C2966" t="s">
        <v>6348</v>
      </c>
      <c r="D2966" t="s">
        <v>70</v>
      </c>
      <c r="E2966" s="19">
        <v>42506</v>
      </c>
      <c r="F2966" t="str">
        <f>"9781119219187"</f>
        <v>9781119219187</v>
      </c>
      <c r="G2966" t="str">
        <f>"9781118959459"</f>
        <v>9781118959459</v>
      </c>
      <c r="H2966" t="s">
        <v>1638</v>
      </c>
      <c r="I2966" t="s">
        <v>6349</v>
      </c>
      <c r="J2966" t="s">
        <v>6350</v>
      </c>
      <c r="K2966" t="s">
        <v>73</v>
      </c>
      <c r="N2966" t="s">
        <v>74</v>
      </c>
      <c r="O2966" t="s">
        <v>75</v>
      </c>
      <c r="P2966" t="s">
        <v>74</v>
      </c>
      <c r="Q2966" t="s">
        <v>76</v>
      </c>
      <c r="R2966" t="s">
        <v>73</v>
      </c>
      <c r="S2966">
        <v>0</v>
      </c>
      <c r="W2966" s="20">
        <v>1.4814814814814814E-3</v>
      </c>
      <c r="X2966" t="s">
        <v>6351</v>
      </c>
      <c r="Y2966">
        <v>19</v>
      </c>
      <c r="Z2966">
        <v>1</v>
      </c>
      <c r="AA2966" t="s">
        <v>6352</v>
      </c>
      <c r="AB2966">
        <v>23</v>
      </c>
      <c r="AC2966" t="s">
        <v>78</v>
      </c>
      <c r="AD2966">
        <v>0</v>
      </c>
      <c r="AE2966">
        <v>11206180</v>
      </c>
      <c r="AF2966" t="s">
        <v>79</v>
      </c>
      <c r="AG2966" t="s">
        <v>6012</v>
      </c>
    </row>
    <row r="2967" spans="1:33" x14ac:dyDescent="0.35">
      <c r="A2967" s="18">
        <v>44221.679166666669</v>
      </c>
      <c r="B2967">
        <v>6185922</v>
      </c>
      <c r="C2967" t="s">
        <v>6353</v>
      </c>
      <c r="D2967" t="s">
        <v>538</v>
      </c>
      <c r="E2967" s="19">
        <v>43958</v>
      </c>
      <c r="F2967" t="str">
        <f>"9781108173780"</f>
        <v>9781108173780</v>
      </c>
      <c r="G2967" t="str">
        <f>"9781107195424"</f>
        <v>9781107195424</v>
      </c>
      <c r="H2967" t="s">
        <v>1561</v>
      </c>
      <c r="I2967">
        <v>551.48299999999904</v>
      </c>
      <c r="J2967" t="s">
        <v>6354</v>
      </c>
      <c r="K2967" t="s">
        <v>85</v>
      </c>
      <c r="N2967" t="s">
        <v>186</v>
      </c>
      <c r="P2967" t="s">
        <v>1850</v>
      </c>
      <c r="Q2967" t="s">
        <v>76</v>
      </c>
      <c r="R2967" t="s">
        <v>73</v>
      </c>
      <c r="S2967">
        <v>0</v>
      </c>
      <c r="W2967" s="20">
        <v>8.449074074074075E-4</v>
      </c>
      <c r="X2967" t="s">
        <v>6355</v>
      </c>
      <c r="Y2967">
        <v>5</v>
      </c>
      <c r="Z2967">
        <v>2</v>
      </c>
      <c r="AA2967" t="s">
        <v>6356</v>
      </c>
      <c r="AB2967">
        <v>62</v>
      </c>
      <c r="AC2967" t="s">
        <v>78</v>
      </c>
      <c r="AD2967">
        <v>0</v>
      </c>
      <c r="AE2967">
        <v>-1</v>
      </c>
      <c r="AF2967" t="s">
        <v>88</v>
      </c>
      <c r="AG2967" t="s">
        <v>6312</v>
      </c>
    </row>
    <row r="2968" spans="1:33" x14ac:dyDescent="0.35">
      <c r="A2968" s="18">
        <v>44221.679166666669</v>
      </c>
      <c r="B2968">
        <v>289446</v>
      </c>
      <c r="C2968" t="s">
        <v>6357</v>
      </c>
      <c r="D2968" t="s">
        <v>284</v>
      </c>
      <c r="E2968" s="19">
        <v>38718</v>
      </c>
      <c r="F2968" t="str">
        <f>"9781845930295"</f>
        <v>9781845930295</v>
      </c>
      <c r="G2968" t="str">
        <f>"9780851990507"</f>
        <v>9780851990507</v>
      </c>
      <c r="H2968" t="s">
        <v>6358</v>
      </c>
      <c r="I2968" t="s">
        <v>6359</v>
      </c>
      <c r="J2968" t="s">
        <v>6360</v>
      </c>
      <c r="K2968" t="s">
        <v>73</v>
      </c>
      <c r="N2968" t="s">
        <v>74</v>
      </c>
      <c r="O2968" t="s">
        <v>75</v>
      </c>
      <c r="P2968" t="s">
        <v>230</v>
      </c>
      <c r="Q2968" t="s">
        <v>76</v>
      </c>
      <c r="R2968" t="s">
        <v>85</v>
      </c>
      <c r="S2968">
        <v>0</v>
      </c>
      <c r="W2968" s="20">
        <v>4.6296296296296294E-5</v>
      </c>
      <c r="X2968" t="s">
        <v>132</v>
      </c>
      <c r="Y2968">
        <v>1</v>
      </c>
      <c r="Z2968">
        <v>0</v>
      </c>
      <c r="AA2968" t="s">
        <v>78</v>
      </c>
      <c r="AB2968">
        <v>0</v>
      </c>
      <c r="AC2968" t="s">
        <v>78</v>
      </c>
      <c r="AD2968">
        <v>0</v>
      </c>
      <c r="AE2968">
        <v>10157960</v>
      </c>
      <c r="AF2968" t="s">
        <v>88</v>
      </c>
      <c r="AG2968" t="s">
        <v>6312</v>
      </c>
    </row>
    <row r="2969" spans="1:33" x14ac:dyDescent="0.35">
      <c r="A2969" s="18">
        <v>44221.678472222222</v>
      </c>
      <c r="B2969">
        <v>1642641</v>
      </c>
      <c r="C2969" t="s">
        <v>6361</v>
      </c>
      <c r="D2969" t="s">
        <v>70</v>
      </c>
      <c r="E2969" s="19">
        <v>41764</v>
      </c>
      <c r="F2969" t="str">
        <f>"9781118414903"</f>
        <v>9781118414903</v>
      </c>
      <c r="G2969" t="str">
        <f>"9781118414897"</f>
        <v>9781118414897</v>
      </c>
      <c r="H2969" t="s">
        <v>1905</v>
      </c>
      <c r="I2969" t="s">
        <v>6362</v>
      </c>
      <c r="J2969" t="s">
        <v>6363</v>
      </c>
      <c r="K2969" t="s">
        <v>73</v>
      </c>
      <c r="N2969" t="s">
        <v>74</v>
      </c>
      <c r="O2969" t="s">
        <v>75</v>
      </c>
      <c r="P2969" t="s">
        <v>74</v>
      </c>
      <c r="Q2969" t="s">
        <v>76</v>
      </c>
      <c r="R2969" t="s">
        <v>73</v>
      </c>
      <c r="S2969">
        <v>0</v>
      </c>
      <c r="W2969" s="20">
        <v>2.199074074074074E-4</v>
      </c>
      <c r="X2969" t="s">
        <v>6364</v>
      </c>
      <c r="Y2969">
        <v>3</v>
      </c>
      <c r="Z2969">
        <v>1</v>
      </c>
      <c r="AA2969" t="s">
        <v>6365</v>
      </c>
      <c r="AB2969">
        <v>42</v>
      </c>
      <c r="AC2969" t="s">
        <v>78</v>
      </c>
      <c r="AD2969">
        <v>0</v>
      </c>
      <c r="AE2969">
        <v>10845578</v>
      </c>
      <c r="AF2969" t="s">
        <v>88</v>
      </c>
      <c r="AG2969" t="s">
        <v>6312</v>
      </c>
    </row>
    <row r="2970" spans="1:33" x14ac:dyDescent="0.35">
      <c r="A2970" s="18">
        <v>44221.678472222222</v>
      </c>
      <c r="B2970">
        <v>3017414</v>
      </c>
      <c r="C2970" t="s">
        <v>6366</v>
      </c>
      <c r="D2970" t="s">
        <v>234</v>
      </c>
      <c r="E2970" s="19">
        <v>36526</v>
      </c>
      <c r="F2970" t="str">
        <f>"9788122428414"</f>
        <v>9788122428414</v>
      </c>
      <c r="G2970" t="str">
        <f>"9788122418644"</f>
        <v>9788122418644</v>
      </c>
      <c r="H2970" t="s">
        <v>1905</v>
      </c>
      <c r="J2970" t="s">
        <v>6367</v>
      </c>
      <c r="K2970" t="s">
        <v>73</v>
      </c>
      <c r="N2970" t="s">
        <v>74</v>
      </c>
      <c r="O2970" t="s">
        <v>75</v>
      </c>
      <c r="P2970" t="s">
        <v>74</v>
      </c>
      <c r="Q2970" t="s">
        <v>76</v>
      </c>
      <c r="R2970" t="s">
        <v>73</v>
      </c>
      <c r="S2970">
        <v>0</v>
      </c>
      <c r="W2970" s="20">
        <v>4.6296296296296293E-4</v>
      </c>
      <c r="X2970" t="s">
        <v>6368</v>
      </c>
      <c r="Y2970">
        <v>3</v>
      </c>
      <c r="Z2970">
        <v>2</v>
      </c>
      <c r="AA2970" t="s">
        <v>6369</v>
      </c>
      <c r="AB2970">
        <v>64</v>
      </c>
      <c r="AC2970" t="s">
        <v>78</v>
      </c>
      <c r="AD2970">
        <v>0</v>
      </c>
      <c r="AE2970">
        <v>10367727</v>
      </c>
      <c r="AF2970" t="s">
        <v>88</v>
      </c>
      <c r="AG2970" t="s">
        <v>6312</v>
      </c>
    </row>
    <row r="2971" spans="1:33" x14ac:dyDescent="0.35">
      <c r="A2971" s="18">
        <v>44221.677777777775</v>
      </c>
      <c r="B2971">
        <v>4443317</v>
      </c>
      <c r="C2971" t="s">
        <v>6370</v>
      </c>
      <c r="D2971" t="s">
        <v>70</v>
      </c>
      <c r="E2971" s="19">
        <v>42492</v>
      </c>
      <c r="F2971" t="str">
        <f>"9781118643501"</f>
        <v>9781118643501</v>
      </c>
      <c r="G2971" t="str">
        <f>"9781118643525"</f>
        <v>9781118643525</v>
      </c>
      <c r="H2971" t="s">
        <v>6371</v>
      </c>
      <c r="I2971">
        <v>577.64</v>
      </c>
      <c r="J2971" t="s">
        <v>6372</v>
      </c>
      <c r="K2971" t="s">
        <v>73</v>
      </c>
      <c r="N2971" t="s">
        <v>74</v>
      </c>
      <c r="O2971" t="s">
        <v>75</v>
      </c>
      <c r="P2971" t="s">
        <v>74</v>
      </c>
      <c r="Q2971" t="s">
        <v>76</v>
      </c>
      <c r="R2971" t="s">
        <v>73</v>
      </c>
      <c r="S2971">
        <v>0</v>
      </c>
      <c r="W2971" s="20">
        <v>2.4305555555555552E-4</v>
      </c>
      <c r="X2971" t="s">
        <v>6373</v>
      </c>
      <c r="Y2971">
        <v>3</v>
      </c>
      <c r="Z2971">
        <v>0</v>
      </c>
      <c r="AA2971" t="s">
        <v>78</v>
      </c>
      <c r="AB2971">
        <v>0</v>
      </c>
      <c r="AC2971" t="s">
        <v>78</v>
      </c>
      <c r="AD2971">
        <v>0</v>
      </c>
      <c r="AE2971">
        <v>11171796</v>
      </c>
      <c r="AF2971" t="s">
        <v>88</v>
      </c>
      <c r="AG2971" t="s">
        <v>6312</v>
      </c>
    </row>
    <row r="2972" spans="1:33" x14ac:dyDescent="0.35">
      <c r="A2972" s="18">
        <v>44221.677083333336</v>
      </c>
      <c r="B2972">
        <v>865211</v>
      </c>
      <c r="C2972" t="s">
        <v>6374</v>
      </c>
      <c r="D2972" t="s">
        <v>70</v>
      </c>
      <c r="E2972" s="19">
        <v>40938</v>
      </c>
      <c r="F2972" t="str">
        <f>"9781119952503"</f>
        <v>9781119952503</v>
      </c>
      <c r="G2972" t="str">
        <f>"9780470688908"</f>
        <v>9780470688908</v>
      </c>
      <c r="H2972" t="s">
        <v>6375</v>
      </c>
      <c r="I2972" t="s">
        <v>6376</v>
      </c>
      <c r="J2972" t="s">
        <v>6377</v>
      </c>
      <c r="K2972" t="s">
        <v>73</v>
      </c>
      <c r="N2972" t="s">
        <v>74</v>
      </c>
      <c r="O2972" t="s">
        <v>75</v>
      </c>
      <c r="P2972" t="s">
        <v>74</v>
      </c>
      <c r="Q2972" t="s">
        <v>76</v>
      </c>
      <c r="R2972" t="s">
        <v>73</v>
      </c>
      <c r="S2972">
        <v>0</v>
      </c>
      <c r="W2972" s="20">
        <v>7.7546296296296304E-4</v>
      </c>
      <c r="X2972" t="s">
        <v>6378</v>
      </c>
      <c r="Y2972">
        <v>4</v>
      </c>
      <c r="Z2972">
        <v>3</v>
      </c>
      <c r="AA2972" t="s">
        <v>6379</v>
      </c>
      <c r="AB2972">
        <v>32</v>
      </c>
      <c r="AC2972" t="s">
        <v>78</v>
      </c>
      <c r="AD2972">
        <v>0</v>
      </c>
      <c r="AE2972">
        <v>10546609</v>
      </c>
      <c r="AF2972" t="s">
        <v>88</v>
      </c>
      <c r="AG2972" t="s">
        <v>6312</v>
      </c>
    </row>
    <row r="2973" spans="1:33" x14ac:dyDescent="0.35">
      <c r="A2973" s="18">
        <v>44221.675694444442</v>
      </c>
      <c r="B2973">
        <v>5838745</v>
      </c>
      <c r="C2973" t="s">
        <v>6380</v>
      </c>
      <c r="D2973" t="s">
        <v>127</v>
      </c>
      <c r="E2973" s="19">
        <v>43648</v>
      </c>
      <c r="F2973" t="str">
        <f>"9780429591198"</f>
        <v>9780429591198</v>
      </c>
      <c r="G2973" t="str">
        <f>"9780367145651"</f>
        <v>9780367145651</v>
      </c>
      <c r="H2973" t="s">
        <v>1905</v>
      </c>
      <c r="I2973">
        <v>550</v>
      </c>
      <c r="J2973" t="s">
        <v>6381</v>
      </c>
      <c r="K2973" t="s">
        <v>85</v>
      </c>
      <c r="Q2973" t="s">
        <v>76</v>
      </c>
      <c r="R2973" t="s">
        <v>73</v>
      </c>
      <c r="S2973">
        <v>0</v>
      </c>
      <c r="W2973" s="20">
        <v>4.7453703703703704E-4</v>
      </c>
      <c r="X2973" t="s">
        <v>6382</v>
      </c>
      <c r="Y2973">
        <v>7</v>
      </c>
      <c r="Z2973">
        <v>0</v>
      </c>
      <c r="AA2973" t="s">
        <v>78</v>
      </c>
      <c r="AB2973">
        <v>0</v>
      </c>
      <c r="AC2973" t="s">
        <v>78</v>
      </c>
      <c r="AD2973">
        <v>0</v>
      </c>
      <c r="AE2973">
        <v>-1</v>
      </c>
      <c r="AF2973" t="s">
        <v>88</v>
      </c>
      <c r="AG2973" t="s">
        <v>6312</v>
      </c>
    </row>
    <row r="2974" spans="1:33" x14ac:dyDescent="0.35">
      <c r="A2974" s="18">
        <v>44221.675694444442</v>
      </c>
      <c r="B2974">
        <v>1367687</v>
      </c>
      <c r="C2974" t="s">
        <v>6383</v>
      </c>
      <c r="D2974" t="s">
        <v>70</v>
      </c>
      <c r="E2974" s="19">
        <v>41575</v>
      </c>
      <c r="F2974" t="str">
        <f>"9781118527177"</f>
        <v>9781118527177</v>
      </c>
      <c r="G2974" t="str">
        <f>"9781119962779"</f>
        <v>9781119962779</v>
      </c>
      <c r="H2974" t="s">
        <v>6384</v>
      </c>
      <c r="I2974">
        <v>551.29999999999995</v>
      </c>
      <c r="J2974" t="s">
        <v>6385</v>
      </c>
      <c r="K2974" t="s">
        <v>73</v>
      </c>
      <c r="N2974" t="s">
        <v>74</v>
      </c>
      <c r="O2974" t="s">
        <v>75</v>
      </c>
      <c r="P2974" t="s">
        <v>74</v>
      </c>
      <c r="Q2974" t="s">
        <v>76</v>
      </c>
      <c r="R2974" t="s">
        <v>73</v>
      </c>
      <c r="S2974">
        <v>0</v>
      </c>
      <c r="W2974" s="20">
        <v>6.9444444444444444E-5</v>
      </c>
      <c r="X2974" t="s">
        <v>132</v>
      </c>
      <c r="Y2974">
        <v>1</v>
      </c>
      <c r="Z2974">
        <v>0</v>
      </c>
      <c r="AA2974" t="s">
        <v>78</v>
      </c>
      <c r="AB2974">
        <v>0</v>
      </c>
      <c r="AC2974" t="s">
        <v>78</v>
      </c>
      <c r="AD2974">
        <v>0</v>
      </c>
      <c r="AE2974">
        <v>10753392</v>
      </c>
      <c r="AF2974" t="s">
        <v>88</v>
      </c>
      <c r="AG2974" t="s">
        <v>6312</v>
      </c>
    </row>
    <row r="2975" spans="1:33" x14ac:dyDescent="0.35">
      <c r="A2975" s="18">
        <v>44221.675000000003</v>
      </c>
      <c r="B2975">
        <v>5596906</v>
      </c>
      <c r="C2975" t="s">
        <v>5707</v>
      </c>
      <c r="D2975" t="s">
        <v>3539</v>
      </c>
      <c r="E2975" s="19">
        <v>43425</v>
      </c>
      <c r="F2975" t="str">
        <f>"9789402415582"</f>
        <v>9789402415582</v>
      </c>
      <c r="G2975" t="str">
        <f>"9789402415568"</f>
        <v>9789402415568</v>
      </c>
      <c r="H2975" t="s">
        <v>1561</v>
      </c>
      <c r="I2975">
        <v>551.35500000000002</v>
      </c>
      <c r="J2975" t="s">
        <v>5708</v>
      </c>
      <c r="K2975" t="s">
        <v>85</v>
      </c>
      <c r="Q2975" t="s">
        <v>76</v>
      </c>
      <c r="R2975" t="s">
        <v>73</v>
      </c>
      <c r="S2975">
        <v>0</v>
      </c>
      <c r="W2975" s="20">
        <v>3.4722222222222224E-4</v>
      </c>
      <c r="X2975" t="s">
        <v>6386</v>
      </c>
      <c r="Y2975">
        <v>4</v>
      </c>
      <c r="Z2975">
        <v>0</v>
      </c>
      <c r="AA2975" t="s">
        <v>78</v>
      </c>
      <c r="AB2975">
        <v>0</v>
      </c>
      <c r="AC2975" t="s">
        <v>78</v>
      </c>
      <c r="AD2975">
        <v>0</v>
      </c>
      <c r="AE2975">
        <v>-1</v>
      </c>
      <c r="AF2975" t="s">
        <v>79</v>
      </c>
      <c r="AG2975" t="s">
        <v>6312</v>
      </c>
    </row>
    <row r="2976" spans="1:33" x14ac:dyDescent="0.35">
      <c r="A2976" s="18">
        <v>44221.665277777778</v>
      </c>
      <c r="B2976">
        <v>3338409</v>
      </c>
      <c r="C2976" t="s">
        <v>6387</v>
      </c>
      <c r="D2976" t="s">
        <v>2513</v>
      </c>
      <c r="E2976" s="19">
        <v>42095</v>
      </c>
      <c r="F2976" t="str">
        <f>"9781609174491"</f>
        <v>9781609174491</v>
      </c>
      <c r="G2976" t="str">
        <f>"9781611861617"</f>
        <v>9781611861617</v>
      </c>
      <c r="H2976" t="s">
        <v>636</v>
      </c>
      <c r="I2976" t="s">
        <v>6388</v>
      </c>
      <c r="J2976" t="s">
        <v>6389</v>
      </c>
      <c r="K2976" t="s">
        <v>73</v>
      </c>
      <c r="N2976" t="s">
        <v>74</v>
      </c>
      <c r="O2976" t="s">
        <v>75</v>
      </c>
      <c r="P2976" t="s">
        <v>230</v>
      </c>
      <c r="Q2976" t="s">
        <v>76</v>
      </c>
      <c r="R2976" t="s">
        <v>85</v>
      </c>
      <c r="S2976">
        <v>0</v>
      </c>
      <c r="W2976" s="20">
        <v>3.4722222222222222E-5</v>
      </c>
      <c r="X2976" t="s">
        <v>6390</v>
      </c>
      <c r="Y2976">
        <v>1</v>
      </c>
      <c r="Z2976">
        <v>0</v>
      </c>
      <c r="AA2976" t="s">
        <v>78</v>
      </c>
      <c r="AB2976">
        <v>0</v>
      </c>
      <c r="AC2976" t="s">
        <v>78</v>
      </c>
      <c r="AD2976">
        <v>0</v>
      </c>
      <c r="AE2976">
        <v>11047433</v>
      </c>
      <c r="AF2976" t="s">
        <v>79</v>
      </c>
      <c r="AG2976" t="s">
        <v>6012</v>
      </c>
    </row>
    <row r="2977" spans="1:33" x14ac:dyDescent="0.35">
      <c r="A2977" s="18">
        <v>44221.602777777778</v>
      </c>
      <c r="B2977">
        <v>1589032</v>
      </c>
      <c r="C2977" t="s">
        <v>6391</v>
      </c>
      <c r="D2977" t="s">
        <v>127</v>
      </c>
      <c r="E2977" s="19">
        <v>41991</v>
      </c>
      <c r="F2977" t="str">
        <f>"9781439852279"</f>
        <v>9781439852279</v>
      </c>
      <c r="G2977" t="str">
        <f>"9781439852231"</f>
        <v>9781439852231</v>
      </c>
      <c r="H2977" t="s">
        <v>6392</v>
      </c>
      <c r="I2977" t="s">
        <v>4042</v>
      </c>
      <c r="J2977" t="s">
        <v>6393</v>
      </c>
      <c r="K2977" t="s">
        <v>85</v>
      </c>
      <c r="N2977" t="s">
        <v>86</v>
      </c>
      <c r="P2977" t="s">
        <v>297</v>
      </c>
      <c r="Q2977" t="s">
        <v>76</v>
      </c>
      <c r="R2977" t="s">
        <v>73</v>
      </c>
      <c r="S2977">
        <v>2</v>
      </c>
      <c r="T2977">
        <v>1</v>
      </c>
      <c r="U2977" s="18">
        <v>44221.602777777778</v>
      </c>
      <c r="V2977" s="18">
        <v>44222.602777777778</v>
      </c>
      <c r="W2977" s="20">
        <v>0</v>
      </c>
      <c r="X2977" t="s">
        <v>78</v>
      </c>
      <c r="Y2977">
        <v>0</v>
      </c>
      <c r="Z2977">
        <v>0</v>
      </c>
      <c r="AA2977" t="s">
        <v>78</v>
      </c>
      <c r="AB2977">
        <v>0</v>
      </c>
      <c r="AC2977" t="s">
        <v>78</v>
      </c>
      <c r="AD2977">
        <v>0</v>
      </c>
      <c r="AE2977">
        <v>11002733</v>
      </c>
      <c r="AF2977" t="s">
        <v>88</v>
      </c>
      <c r="AG2977" t="s">
        <v>6153</v>
      </c>
    </row>
    <row r="2978" spans="1:33" x14ac:dyDescent="0.35">
      <c r="A2978" s="18">
        <v>44221.59652777778</v>
      </c>
      <c r="B2978">
        <v>1589032</v>
      </c>
      <c r="C2978" t="s">
        <v>6391</v>
      </c>
      <c r="D2978" t="s">
        <v>127</v>
      </c>
      <c r="E2978" s="19">
        <v>41991</v>
      </c>
      <c r="F2978" t="str">
        <f>"9781439852279"</f>
        <v>9781439852279</v>
      </c>
      <c r="G2978" t="str">
        <f>"9781439852231"</f>
        <v>9781439852231</v>
      </c>
      <c r="H2978" t="s">
        <v>6392</v>
      </c>
      <c r="I2978" t="s">
        <v>4042</v>
      </c>
      <c r="J2978" t="s">
        <v>6393</v>
      </c>
      <c r="K2978" t="s">
        <v>85</v>
      </c>
      <c r="N2978" t="s">
        <v>86</v>
      </c>
      <c r="P2978" t="s">
        <v>297</v>
      </c>
      <c r="Q2978" t="s">
        <v>76</v>
      </c>
      <c r="R2978" t="s">
        <v>73</v>
      </c>
      <c r="S2978">
        <v>0</v>
      </c>
      <c r="W2978" s="20">
        <v>4.3981481481481481E-4</v>
      </c>
      <c r="X2978" t="s">
        <v>5524</v>
      </c>
      <c r="Y2978">
        <v>6</v>
      </c>
      <c r="Z2978">
        <v>1</v>
      </c>
      <c r="AA2978" t="s">
        <v>167</v>
      </c>
      <c r="AB2978">
        <v>12</v>
      </c>
      <c r="AC2978" t="s">
        <v>78</v>
      </c>
      <c r="AD2978">
        <v>0</v>
      </c>
      <c r="AE2978">
        <v>11002733</v>
      </c>
      <c r="AF2978" t="s">
        <v>79</v>
      </c>
      <c r="AG2978" t="s">
        <v>6153</v>
      </c>
    </row>
    <row r="2979" spans="1:33" x14ac:dyDescent="0.35">
      <c r="A2979" s="18">
        <v>44221.587500000001</v>
      </c>
      <c r="B2979">
        <v>5883390</v>
      </c>
      <c r="C2979" t="s">
        <v>6394</v>
      </c>
      <c r="D2979" t="s">
        <v>300</v>
      </c>
      <c r="E2979" s="19">
        <v>43647</v>
      </c>
      <c r="F2979" t="str">
        <f>"9780262354141"</f>
        <v>9780262354141</v>
      </c>
      <c r="G2979" t="str">
        <f>"9780262042727"</f>
        <v>9780262042727</v>
      </c>
      <c r="H2979" t="s">
        <v>822</v>
      </c>
      <c r="I2979" t="s">
        <v>6395</v>
      </c>
      <c r="J2979" t="s">
        <v>6396</v>
      </c>
      <c r="K2979" t="s">
        <v>85</v>
      </c>
      <c r="N2979" t="s">
        <v>86</v>
      </c>
      <c r="P2979" t="s">
        <v>87</v>
      </c>
      <c r="Q2979" t="s">
        <v>76</v>
      </c>
      <c r="R2979" t="s">
        <v>73</v>
      </c>
      <c r="S2979">
        <v>2</v>
      </c>
      <c r="T2979">
        <v>7</v>
      </c>
      <c r="U2979" s="18">
        <v>44221.587500000001</v>
      </c>
      <c r="V2979" s="18">
        <v>44228.587500000001</v>
      </c>
      <c r="W2979" s="20">
        <v>0</v>
      </c>
      <c r="X2979" t="s">
        <v>78</v>
      </c>
      <c r="Y2979">
        <v>0</v>
      </c>
      <c r="Z2979">
        <v>0</v>
      </c>
      <c r="AA2979" t="s">
        <v>78</v>
      </c>
      <c r="AB2979">
        <v>0</v>
      </c>
      <c r="AC2979" t="s">
        <v>78</v>
      </c>
      <c r="AD2979">
        <v>0</v>
      </c>
      <c r="AE2979">
        <v>-1</v>
      </c>
      <c r="AF2979" t="s">
        <v>88</v>
      </c>
      <c r="AG2979" t="s">
        <v>6397</v>
      </c>
    </row>
    <row r="2980" spans="1:33" x14ac:dyDescent="0.35">
      <c r="A2980" s="18">
        <v>44221.587500000001</v>
      </c>
      <c r="B2980">
        <v>5199659</v>
      </c>
      <c r="C2980" t="s">
        <v>6398</v>
      </c>
      <c r="D2980" t="s">
        <v>6399</v>
      </c>
      <c r="E2980" s="19">
        <v>43108</v>
      </c>
      <c r="F2980" t="str">
        <f>"9781607326250"</f>
        <v>9781607326250</v>
      </c>
      <c r="G2980" t="str">
        <f>"9781607326243"</f>
        <v>9781607326243</v>
      </c>
      <c r="H2980" t="s">
        <v>4890</v>
      </c>
      <c r="I2980" t="s">
        <v>6400</v>
      </c>
      <c r="J2980" t="s">
        <v>6401</v>
      </c>
      <c r="K2980" t="s">
        <v>85</v>
      </c>
      <c r="N2980" t="s">
        <v>86</v>
      </c>
      <c r="P2980" t="s">
        <v>87</v>
      </c>
      <c r="Q2980" t="s">
        <v>76</v>
      </c>
      <c r="R2980" t="s">
        <v>73</v>
      </c>
      <c r="S2980">
        <v>1</v>
      </c>
      <c r="T2980">
        <v>7</v>
      </c>
      <c r="U2980" s="18">
        <v>44221.587500000001</v>
      </c>
      <c r="V2980" s="18">
        <v>44228.587500000001</v>
      </c>
      <c r="W2980" s="20">
        <v>0</v>
      </c>
      <c r="X2980" t="s">
        <v>78</v>
      </c>
      <c r="Y2980">
        <v>0</v>
      </c>
      <c r="Z2980">
        <v>0</v>
      </c>
      <c r="AA2980" t="s">
        <v>78</v>
      </c>
      <c r="AB2980">
        <v>0</v>
      </c>
      <c r="AC2980" t="s">
        <v>78</v>
      </c>
      <c r="AD2980">
        <v>0</v>
      </c>
      <c r="AE2980">
        <v>11485672</v>
      </c>
      <c r="AF2980" t="s">
        <v>88</v>
      </c>
      <c r="AG2980" t="s">
        <v>6397</v>
      </c>
    </row>
    <row r="2981" spans="1:33" x14ac:dyDescent="0.35">
      <c r="A2981" s="18">
        <v>44221.586805555555</v>
      </c>
      <c r="B2981">
        <v>6267308</v>
      </c>
      <c r="C2981" t="s">
        <v>6402</v>
      </c>
      <c r="D2981" t="s">
        <v>300</v>
      </c>
      <c r="E2981" s="19">
        <v>44054</v>
      </c>
      <c r="F2981" t="str">
        <f>"9780262358897"</f>
        <v>9780262358897</v>
      </c>
      <c r="G2981" t="str">
        <f>"9780262044110"</f>
        <v>9780262044110</v>
      </c>
      <c r="H2981" t="s">
        <v>143</v>
      </c>
      <c r="I2981" t="s">
        <v>6403</v>
      </c>
      <c r="J2981" t="s">
        <v>6404</v>
      </c>
      <c r="K2981" t="s">
        <v>85</v>
      </c>
      <c r="N2981" t="s">
        <v>86</v>
      </c>
      <c r="P2981" t="s">
        <v>87</v>
      </c>
      <c r="Q2981" t="s">
        <v>76</v>
      </c>
      <c r="R2981" t="s">
        <v>73</v>
      </c>
      <c r="S2981">
        <v>2</v>
      </c>
      <c r="T2981">
        <v>7</v>
      </c>
      <c r="U2981" s="18">
        <v>44221.586805555555</v>
      </c>
      <c r="V2981" s="18">
        <v>44228.586805555555</v>
      </c>
      <c r="W2981" s="20">
        <v>0</v>
      </c>
      <c r="X2981" t="s">
        <v>78</v>
      </c>
      <c r="Y2981">
        <v>0</v>
      </c>
      <c r="Z2981">
        <v>0</v>
      </c>
      <c r="AA2981" t="s">
        <v>78</v>
      </c>
      <c r="AB2981">
        <v>0</v>
      </c>
      <c r="AC2981" t="s">
        <v>78</v>
      </c>
      <c r="AD2981">
        <v>0</v>
      </c>
      <c r="AE2981">
        <v>-1</v>
      </c>
      <c r="AF2981" t="s">
        <v>88</v>
      </c>
      <c r="AG2981" t="s">
        <v>6397</v>
      </c>
    </row>
    <row r="2982" spans="1:33" x14ac:dyDescent="0.35">
      <c r="A2982" s="18">
        <v>44221.586111111108</v>
      </c>
      <c r="B2982">
        <v>5995619</v>
      </c>
      <c r="C2982" t="s">
        <v>6405</v>
      </c>
      <c r="D2982" t="s">
        <v>209</v>
      </c>
      <c r="E2982" s="19">
        <v>43811</v>
      </c>
      <c r="F2982" t="str">
        <f>"9781498590419"</f>
        <v>9781498590419</v>
      </c>
      <c r="G2982" t="str">
        <f>"9781498590402"</f>
        <v>9781498590402</v>
      </c>
      <c r="H2982" t="s">
        <v>128</v>
      </c>
      <c r="I2982">
        <v>305.8</v>
      </c>
      <c r="J2982" t="s">
        <v>6406</v>
      </c>
      <c r="K2982" t="s">
        <v>85</v>
      </c>
      <c r="N2982" t="s">
        <v>86</v>
      </c>
      <c r="P2982" t="s">
        <v>1495</v>
      </c>
      <c r="Q2982" t="s">
        <v>76</v>
      </c>
      <c r="R2982" t="s">
        <v>85</v>
      </c>
      <c r="S2982">
        <v>1</v>
      </c>
      <c r="T2982">
        <v>1</v>
      </c>
      <c r="U2982" s="18">
        <v>44221.586111111108</v>
      </c>
      <c r="V2982" s="18">
        <v>44222.586111111108</v>
      </c>
      <c r="W2982" s="20">
        <v>1.1574074074074073E-5</v>
      </c>
      <c r="X2982" t="s">
        <v>78</v>
      </c>
      <c r="Y2982">
        <v>0</v>
      </c>
      <c r="Z2982">
        <v>0</v>
      </c>
      <c r="AA2982" t="s">
        <v>78</v>
      </c>
      <c r="AB2982">
        <v>0</v>
      </c>
      <c r="AC2982" t="s">
        <v>78</v>
      </c>
      <c r="AD2982">
        <v>0</v>
      </c>
      <c r="AE2982">
        <v>-1</v>
      </c>
      <c r="AF2982" t="s">
        <v>88</v>
      </c>
      <c r="AG2982" t="s">
        <v>6397</v>
      </c>
    </row>
    <row r="2983" spans="1:33" x14ac:dyDescent="0.35">
      <c r="A2983" s="18">
        <v>44221.585416666669</v>
      </c>
      <c r="B2983">
        <v>2039340</v>
      </c>
      <c r="C2983" t="s">
        <v>6407</v>
      </c>
      <c r="D2983" t="s">
        <v>6408</v>
      </c>
      <c r="E2983" s="19">
        <v>40663</v>
      </c>
      <c r="F2983" t="str">
        <f>"9780822977780"</f>
        <v>9780822977780</v>
      </c>
      <c r="G2983" t="str">
        <f>"9780822961505"</f>
        <v>9780822961505</v>
      </c>
      <c r="H2983" t="s">
        <v>4890</v>
      </c>
      <c r="I2983">
        <v>808</v>
      </c>
      <c r="J2983" t="s">
        <v>6401</v>
      </c>
      <c r="K2983" t="s">
        <v>73</v>
      </c>
      <c r="N2983" t="s">
        <v>74</v>
      </c>
      <c r="O2983" t="s">
        <v>75</v>
      </c>
      <c r="P2983" t="s">
        <v>74</v>
      </c>
      <c r="Q2983" t="s">
        <v>76</v>
      </c>
      <c r="R2983" t="s">
        <v>73</v>
      </c>
      <c r="S2983">
        <v>1</v>
      </c>
      <c r="W2983" s="20">
        <v>0</v>
      </c>
      <c r="X2983" t="s">
        <v>78</v>
      </c>
      <c r="Y2983">
        <v>0</v>
      </c>
      <c r="Z2983">
        <v>0</v>
      </c>
      <c r="AA2983" t="s">
        <v>78</v>
      </c>
      <c r="AB2983">
        <v>0</v>
      </c>
      <c r="AC2983" t="s">
        <v>78</v>
      </c>
      <c r="AD2983">
        <v>0</v>
      </c>
      <c r="AE2983">
        <v>10853064</v>
      </c>
      <c r="AF2983" t="s">
        <v>88</v>
      </c>
      <c r="AG2983" t="s">
        <v>6397</v>
      </c>
    </row>
    <row r="2984" spans="1:33" x14ac:dyDescent="0.35">
      <c r="A2984" s="18">
        <v>44221.575694444444</v>
      </c>
      <c r="B2984">
        <v>4452700</v>
      </c>
      <c r="C2984" t="s">
        <v>4037</v>
      </c>
      <c r="D2984" t="s">
        <v>70</v>
      </c>
      <c r="E2984" s="19">
        <v>42471</v>
      </c>
      <c r="F2984" t="str">
        <f>"9781119225096"</f>
        <v>9781119225096</v>
      </c>
      <c r="G2984" t="str">
        <f>"9781119225102"</f>
        <v>9781119225102</v>
      </c>
      <c r="H2984" t="s">
        <v>4038</v>
      </c>
      <c r="I2984" t="s">
        <v>3435</v>
      </c>
      <c r="J2984" t="s">
        <v>4039</v>
      </c>
      <c r="K2984" t="s">
        <v>73</v>
      </c>
      <c r="N2984" t="s">
        <v>74</v>
      </c>
      <c r="O2984" t="s">
        <v>75</v>
      </c>
      <c r="P2984" t="s">
        <v>74</v>
      </c>
      <c r="Q2984" t="s">
        <v>76</v>
      </c>
      <c r="R2984" t="s">
        <v>73</v>
      </c>
      <c r="S2984">
        <v>0</v>
      </c>
      <c r="W2984" s="20">
        <v>1.0416666666666667E-4</v>
      </c>
      <c r="X2984" t="s">
        <v>1492</v>
      </c>
      <c r="Y2984">
        <v>2</v>
      </c>
      <c r="Z2984">
        <v>0</v>
      </c>
      <c r="AA2984" t="s">
        <v>78</v>
      </c>
      <c r="AB2984">
        <v>0</v>
      </c>
      <c r="AC2984" t="s">
        <v>78</v>
      </c>
      <c r="AD2984">
        <v>0</v>
      </c>
      <c r="AE2984">
        <v>11175444</v>
      </c>
      <c r="AF2984" t="s">
        <v>79</v>
      </c>
      <c r="AG2984" t="s">
        <v>1330</v>
      </c>
    </row>
    <row r="2985" spans="1:33" x14ac:dyDescent="0.35">
      <c r="A2985" s="18">
        <v>44221.572916666664</v>
      </c>
      <c r="B2985">
        <v>1798303</v>
      </c>
      <c r="C2985" t="s">
        <v>4399</v>
      </c>
      <c r="D2985" t="s">
        <v>158</v>
      </c>
      <c r="E2985" s="19">
        <v>41911</v>
      </c>
      <c r="F2985" t="str">
        <f>"9780124200111"</f>
        <v>9780124200111</v>
      </c>
      <c r="G2985" t="str">
        <f>"9780124200036"</f>
        <v>9780124200036</v>
      </c>
      <c r="H2985" t="s">
        <v>4400</v>
      </c>
      <c r="I2985" t="s">
        <v>4401</v>
      </c>
      <c r="J2985" t="s">
        <v>4402</v>
      </c>
      <c r="K2985" t="s">
        <v>73</v>
      </c>
      <c r="N2985" t="s">
        <v>74</v>
      </c>
      <c r="O2985" t="s">
        <v>75</v>
      </c>
      <c r="P2985" t="s">
        <v>74</v>
      </c>
      <c r="Q2985" t="s">
        <v>76</v>
      </c>
      <c r="R2985" t="s">
        <v>73</v>
      </c>
      <c r="S2985">
        <v>0</v>
      </c>
      <c r="W2985" s="20">
        <v>2.8935185185185188E-3</v>
      </c>
      <c r="X2985" t="s">
        <v>6409</v>
      </c>
      <c r="Y2985">
        <v>18</v>
      </c>
      <c r="Z2985">
        <v>2</v>
      </c>
      <c r="AA2985" t="s">
        <v>6410</v>
      </c>
      <c r="AB2985">
        <v>33</v>
      </c>
      <c r="AC2985" t="s">
        <v>78</v>
      </c>
      <c r="AD2985">
        <v>0</v>
      </c>
      <c r="AE2985">
        <v>10944045</v>
      </c>
      <c r="AF2985" t="s">
        <v>79</v>
      </c>
      <c r="AG2985" t="s">
        <v>1330</v>
      </c>
    </row>
    <row r="2986" spans="1:33" x14ac:dyDescent="0.35">
      <c r="A2986" s="18">
        <v>44221.557638888888</v>
      </c>
      <c r="B2986">
        <v>3338409</v>
      </c>
      <c r="C2986" t="s">
        <v>6387</v>
      </c>
      <c r="D2986" t="s">
        <v>2513</v>
      </c>
      <c r="E2986" s="19">
        <v>42095</v>
      </c>
      <c r="F2986" t="str">
        <f>"9781609174491"</f>
        <v>9781609174491</v>
      </c>
      <c r="G2986" t="str">
        <f>"9781611861617"</f>
        <v>9781611861617</v>
      </c>
      <c r="H2986" t="s">
        <v>636</v>
      </c>
      <c r="I2986" t="s">
        <v>6388</v>
      </c>
      <c r="J2986" t="s">
        <v>6389</v>
      </c>
      <c r="K2986" t="s">
        <v>73</v>
      </c>
      <c r="N2986" t="s">
        <v>74</v>
      </c>
      <c r="O2986" t="s">
        <v>75</v>
      </c>
      <c r="P2986" t="s">
        <v>230</v>
      </c>
      <c r="Q2986" t="s">
        <v>76</v>
      </c>
      <c r="R2986" t="s">
        <v>85</v>
      </c>
      <c r="S2986">
        <v>0</v>
      </c>
      <c r="W2986" s="20">
        <v>1.894675925925926E-2</v>
      </c>
      <c r="X2986" t="s">
        <v>6411</v>
      </c>
      <c r="Y2986">
        <v>10</v>
      </c>
      <c r="Z2986">
        <v>0</v>
      </c>
      <c r="AA2986" t="s">
        <v>78</v>
      </c>
      <c r="AB2986">
        <v>0</v>
      </c>
      <c r="AC2986" t="s">
        <v>78</v>
      </c>
      <c r="AD2986">
        <v>0</v>
      </c>
      <c r="AE2986">
        <v>11047433</v>
      </c>
      <c r="AF2986" t="s">
        <v>79</v>
      </c>
      <c r="AG2986" t="s">
        <v>6012</v>
      </c>
    </row>
    <row r="2987" spans="1:33" x14ac:dyDescent="0.35">
      <c r="A2987" s="18">
        <v>44221.521527777775</v>
      </c>
      <c r="B2987">
        <v>3338409</v>
      </c>
      <c r="C2987" t="s">
        <v>6387</v>
      </c>
      <c r="D2987" t="s">
        <v>2513</v>
      </c>
      <c r="E2987" s="19">
        <v>42095</v>
      </c>
      <c r="F2987" t="str">
        <f>"9781609174491"</f>
        <v>9781609174491</v>
      </c>
      <c r="G2987" t="str">
        <f>"9781611861617"</f>
        <v>9781611861617</v>
      </c>
      <c r="H2987" t="s">
        <v>636</v>
      </c>
      <c r="I2987" t="s">
        <v>6388</v>
      </c>
      <c r="J2987" t="s">
        <v>6389</v>
      </c>
      <c r="K2987" t="s">
        <v>73</v>
      </c>
      <c r="N2987" t="s">
        <v>74</v>
      </c>
      <c r="O2987" t="s">
        <v>75</v>
      </c>
      <c r="P2987" t="s">
        <v>230</v>
      </c>
      <c r="Q2987" t="s">
        <v>76</v>
      </c>
      <c r="R2987" t="s">
        <v>85</v>
      </c>
      <c r="S2987">
        <v>0</v>
      </c>
      <c r="W2987" s="20">
        <v>2.3148148148148147E-5</v>
      </c>
      <c r="X2987" t="s">
        <v>6390</v>
      </c>
      <c r="Y2987">
        <v>1</v>
      </c>
      <c r="Z2987">
        <v>0</v>
      </c>
      <c r="AA2987" t="s">
        <v>78</v>
      </c>
      <c r="AB2987">
        <v>0</v>
      </c>
      <c r="AC2987" t="s">
        <v>78</v>
      </c>
      <c r="AD2987">
        <v>0</v>
      </c>
      <c r="AE2987">
        <v>11047433</v>
      </c>
      <c r="AF2987" t="s">
        <v>79</v>
      </c>
      <c r="AG2987" t="s">
        <v>6012</v>
      </c>
    </row>
    <row r="2988" spans="1:33" x14ac:dyDescent="0.35">
      <c r="A2988" s="18">
        <v>44221.495833333334</v>
      </c>
      <c r="B2988">
        <v>5596906</v>
      </c>
      <c r="C2988" t="s">
        <v>5707</v>
      </c>
      <c r="D2988" t="s">
        <v>3539</v>
      </c>
      <c r="E2988" s="19">
        <v>43425</v>
      </c>
      <c r="F2988" t="str">
        <f>"9789402415582"</f>
        <v>9789402415582</v>
      </c>
      <c r="G2988" t="str">
        <f>"9789402415568"</f>
        <v>9789402415568</v>
      </c>
      <c r="H2988" t="s">
        <v>1561</v>
      </c>
      <c r="I2988">
        <v>551.35500000000002</v>
      </c>
      <c r="J2988" t="s">
        <v>5708</v>
      </c>
      <c r="K2988" t="s">
        <v>85</v>
      </c>
      <c r="Q2988" t="s">
        <v>76</v>
      </c>
      <c r="R2988" t="s">
        <v>73</v>
      </c>
      <c r="S2988">
        <v>0</v>
      </c>
      <c r="W2988" s="20">
        <v>1.7361111111111112E-4</v>
      </c>
      <c r="X2988" t="s">
        <v>6412</v>
      </c>
      <c r="Y2988">
        <v>3</v>
      </c>
      <c r="Z2988">
        <v>0</v>
      </c>
      <c r="AA2988" t="s">
        <v>78</v>
      </c>
      <c r="AB2988">
        <v>0</v>
      </c>
      <c r="AC2988" t="s">
        <v>78</v>
      </c>
      <c r="AD2988">
        <v>0</v>
      </c>
      <c r="AE2988">
        <v>-1</v>
      </c>
      <c r="AF2988" t="s">
        <v>88</v>
      </c>
      <c r="AG2988" t="s">
        <v>6312</v>
      </c>
    </row>
    <row r="2989" spans="1:33" x14ac:dyDescent="0.35">
      <c r="A2989" s="18">
        <v>44221.495138888888</v>
      </c>
      <c r="B2989">
        <v>5837076</v>
      </c>
      <c r="C2989" t="s">
        <v>6413</v>
      </c>
      <c r="D2989" t="s">
        <v>475</v>
      </c>
      <c r="E2989" s="19">
        <v>43623</v>
      </c>
      <c r="F2989" t="str">
        <f>"9781849954518"</f>
        <v>9781849954518</v>
      </c>
      <c r="G2989" t="str">
        <f>"9781849953955"</f>
        <v>9781849953955</v>
      </c>
      <c r="H2989" t="s">
        <v>2606</v>
      </c>
      <c r="I2989">
        <v>535.35</v>
      </c>
      <c r="J2989" t="s">
        <v>6414</v>
      </c>
      <c r="K2989" t="s">
        <v>85</v>
      </c>
      <c r="Q2989" t="s">
        <v>76</v>
      </c>
      <c r="R2989" t="s">
        <v>73</v>
      </c>
      <c r="S2989">
        <v>0</v>
      </c>
      <c r="W2989" s="20">
        <v>4.3981481481481481E-4</v>
      </c>
      <c r="X2989" t="s">
        <v>6415</v>
      </c>
      <c r="Y2989">
        <v>4</v>
      </c>
      <c r="Z2989">
        <v>0</v>
      </c>
      <c r="AA2989" t="s">
        <v>78</v>
      </c>
      <c r="AB2989">
        <v>0</v>
      </c>
      <c r="AC2989" t="s">
        <v>78</v>
      </c>
      <c r="AD2989">
        <v>0</v>
      </c>
      <c r="AE2989">
        <v>-1</v>
      </c>
      <c r="AF2989" t="s">
        <v>88</v>
      </c>
      <c r="AG2989" t="s">
        <v>6312</v>
      </c>
    </row>
    <row r="2990" spans="1:33" x14ac:dyDescent="0.35">
      <c r="A2990" s="18">
        <v>44221.493750000001</v>
      </c>
      <c r="B2990">
        <v>865211</v>
      </c>
      <c r="C2990" t="s">
        <v>6374</v>
      </c>
      <c r="D2990" t="s">
        <v>70</v>
      </c>
      <c r="E2990" s="19">
        <v>40938</v>
      </c>
      <c r="F2990" t="str">
        <f>"9781119952503"</f>
        <v>9781119952503</v>
      </c>
      <c r="G2990" t="str">
        <f>"9780470688908"</f>
        <v>9780470688908</v>
      </c>
      <c r="H2990" t="s">
        <v>6375</v>
      </c>
      <c r="I2990" t="s">
        <v>6376</v>
      </c>
      <c r="J2990" t="s">
        <v>6377</v>
      </c>
      <c r="K2990" t="s">
        <v>73</v>
      </c>
      <c r="N2990" t="s">
        <v>74</v>
      </c>
      <c r="O2990" t="s">
        <v>75</v>
      </c>
      <c r="P2990" t="s">
        <v>74</v>
      </c>
      <c r="Q2990" t="s">
        <v>76</v>
      </c>
      <c r="R2990" t="s">
        <v>73</v>
      </c>
      <c r="S2990">
        <v>0</v>
      </c>
      <c r="W2990" s="20">
        <v>6.4814814814814813E-4</v>
      </c>
      <c r="X2990" t="s">
        <v>6416</v>
      </c>
      <c r="Y2990">
        <v>10</v>
      </c>
      <c r="Z2990">
        <v>1</v>
      </c>
      <c r="AA2990" t="s">
        <v>6417</v>
      </c>
      <c r="AB2990">
        <v>13</v>
      </c>
      <c r="AC2990" t="s">
        <v>78</v>
      </c>
      <c r="AD2990">
        <v>0</v>
      </c>
      <c r="AE2990">
        <v>10546609</v>
      </c>
      <c r="AF2990" t="s">
        <v>88</v>
      </c>
      <c r="AG2990" t="s">
        <v>6312</v>
      </c>
    </row>
    <row r="2991" spans="1:33" x14ac:dyDescent="0.35">
      <c r="A2991" s="18">
        <v>44221.493750000001</v>
      </c>
      <c r="B2991">
        <v>3317528</v>
      </c>
      <c r="C2991" t="s">
        <v>6418</v>
      </c>
      <c r="D2991" t="s">
        <v>1153</v>
      </c>
      <c r="E2991" s="19">
        <v>40065</v>
      </c>
      <c r="F2991" t="str">
        <f>"9781610911320"</f>
        <v>9781610911320</v>
      </c>
      <c r="G2991" t="str">
        <f>"9781597266352"</f>
        <v>9781597266352</v>
      </c>
      <c r="H2991" t="s">
        <v>979</v>
      </c>
      <c r="I2991" t="s">
        <v>6419</v>
      </c>
      <c r="J2991" t="s">
        <v>6420</v>
      </c>
      <c r="K2991" t="s">
        <v>73</v>
      </c>
      <c r="N2991" t="s">
        <v>74</v>
      </c>
      <c r="O2991" t="s">
        <v>75</v>
      </c>
      <c r="P2991" t="s">
        <v>74</v>
      </c>
      <c r="Q2991" t="s">
        <v>76</v>
      </c>
      <c r="R2991" t="s">
        <v>73</v>
      </c>
      <c r="S2991">
        <v>0</v>
      </c>
      <c r="W2991" s="20">
        <v>1.9675925925925926E-4</v>
      </c>
      <c r="X2991" t="s">
        <v>6421</v>
      </c>
      <c r="Y2991">
        <v>3</v>
      </c>
      <c r="Z2991">
        <v>0</v>
      </c>
      <c r="AA2991" t="s">
        <v>78</v>
      </c>
      <c r="AB2991">
        <v>0</v>
      </c>
      <c r="AC2991" t="s">
        <v>78</v>
      </c>
      <c r="AD2991">
        <v>0</v>
      </c>
      <c r="AE2991">
        <v>10493917</v>
      </c>
      <c r="AF2991" t="s">
        <v>88</v>
      </c>
      <c r="AG2991" t="s">
        <v>6312</v>
      </c>
    </row>
    <row r="2992" spans="1:33" x14ac:dyDescent="0.35">
      <c r="A2992" s="18">
        <v>44221.481944444444</v>
      </c>
      <c r="B2992">
        <v>3338409</v>
      </c>
      <c r="C2992" t="s">
        <v>6387</v>
      </c>
      <c r="D2992" t="s">
        <v>2513</v>
      </c>
      <c r="E2992" s="19">
        <v>42095</v>
      </c>
      <c r="F2992" t="str">
        <f>"9781609174491"</f>
        <v>9781609174491</v>
      </c>
      <c r="G2992" t="str">
        <f>"9781611861617"</f>
        <v>9781611861617</v>
      </c>
      <c r="H2992" t="s">
        <v>636</v>
      </c>
      <c r="I2992" t="s">
        <v>6388</v>
      </c>
      <c r="J2992" t="s">
        <v>6389</v>
      </c>
      <c r="K2992" t="s">
        <v>73</v>
      </c>
      <c r="N2992" t="s">
        <v>74</v>
      </c>
      <c r="O2992" t="s">
        <v>75</v>
      </c>
      <c r="P2992" t="s">
        <v>230</v>
      </c>
      <c r="Q2992" t="s">
        <v>76</v>
      </c>
      <c r="R2992" t="s">
        <v>85</v>
      </c>
      <c r="S2992">
        <v>0</v>
      </c>
      <c r="W2992" s="20">
        <v>4.3981481481481481E-4</v>
      </c>
      <c r="X2992" t="s">
        <v>6422</v>
      </c>
      <c r="Y2992">
        <v>10</v>
      </c>
      <c r="Z2992">
        <v>0</v>
      </c>
      <c r="AA2992" t="s">
        <v>78</v>
      </c>
      <c r="AB2992">
        <v>0</v>
      </c>
      <c r="AC2992" t="s">
        <v>78</v>
      </c>
      <c r="AD2992">
        <v>0</v>
      </c>
      <c r="AE2992">
        <v>11047433</v>
      </c>
      <c r="AF2992" t="s">
        <v>79</v>
      </c>
      <c r="AG2992" t="s">
        <v>6012</v>
      </c>
    </row>
    <row r="2993" spans="1:33" x14ac:dyDescent="0.35">
      <c r="A2993" s="18">
        <v>44221.430555555555</v>
      </c>
      <c r="B2993">
        <v>2083307</v>
      </c>
      <c r="C2993" t="s">
        <v>6423</v>
      </c>
      <c r="D2993" t="s">
        <v>2252</v>
      </c>
      <c r="E2993" s="19">
        <v>42187</v>
      </c>
      <c r="F2993" t="str">
        <f>"9780860376903"</f>
        <v>9780860376903</v>
      </c>
      <c r="G2993" t="str">
        <f>""</f>
        <v/>
      </c>
      <c r="H2993" t="s">
        <v>308</v>
      </c>
      <c r="I2993">
        <v>297</v>
      </c>
      <c r="J2993" t="s">
        <v>6424</v>
      </c>
      <c r="K2993" t="s">
        <v>73</v>
      </c>
      <c r="N2993" t="s">
        <v>74</v>
      </c>
      <c r="O2993" t="s">
        <v>75</v>
      </c>
      <c r="P2993" t="s">
        <v>74</v>
      </c>
      <c r="Q2993" t="s">
        <v>76</v>
      </c>
      <c r="R2993" t="s">
        <v>73</v>
      </c>
      <c r="S2993">
        <v>0</v>
      </c>
      <c r="W2993" s="20">
        <v>6.018518518518519E-4</v>
      </c>
      <c r="X2993" t="s">
        <v>6425</v>
      </c>
      <c r="Y2993">
        <v>5</v>
      </c>
      <c r="Z2993">
        <v>0</v>
      </c>
      <c r="AA2993" t="s">
        <v>78</v>
      </c>
      <c r="AB2993">
        <v>0</v>
      </c>
      <c r="AC2993" t="s">
        <v>78</v>
      </c>
      <c r="AD2993">
        <v>0</v>
      </c>
      <c r="AE2993">
        <v>11077384</v>
      </c>
      <c r="AF2993" t="s">
        <v>79</v>
      </c>
      <c r="AG2993" t="s">
        <v>6012</v>
      </c>
    </row>
    <row r="2994" spans="1:33" x14ac:dyDescent="0.35">
      <c r="A2994" s="18">
        <v>44220.904861111114</v>
      </c>
      <c r="B2994">
        <v>1775471</v>
      </c>
      <c r="C2994" t="s">
        <v>6426</v>
      </c>
      <c r="D2994" t="s">
        <v>70</v>
      </c>
      <c r="E2994" s="19">
        <v>41904</v>
      </c>
      <c r="F2994" t="str">
        <f>"9781118891490"</f>
        <v>9781118891490</v>
      </c>
      <c r="G2994" t="str">
        <f>"9781118891452"</f>
        <v>9781118891452</v>
      </c>
      <c r="H2994" t="s">
        <v>110</v>
      </c>
      <c r="I2994">
        <v>5.133</v>
      </c>
      <c r="J2994" t="s">
        <v>6427</v>
      </c>
      <c r="K2994" t="s">
        <v>73</v>
      </c>
      <c r="N2994" t="s">
        <v>74</v>
      </c>
      <c r="O2994" t="s">
        <v>75</v>
      </c>
      <c r="P2994" t="s">
        <v>74</v>
      </c>
      <c r="Q2994" t="s">
        <v>76</v>
      </c>
      <c r="R2994" t="s">
        <v>73</v>
      </c>
      <c r="S2994">
        <v>0</v>
      </c>
      <c r="W2994" s="20">
        <v>1.0416666666666667E-4</v>
      </c>
      <c r="X2994" t="s">
        <v>125</v>
      </c>
      <c r="Y2994">
        <v>2</v>
      </c>
      <c r="Z2994">
        <v>0</v>
      </c>
      <c r="AA2994" t="s">
        <v>78</v>
      </c>
      <c r="AB2994">
        <v>0</v>
      </c>
      <c r="AC2994" t="s">
        <v>78</v>
      </c>
      <c r="AD2994">
        <v>0</v>
      </c>
      <c r="AE2994">
        <v>10921712</v>
      </c>
      <c r="AF2994" t="s">
        <v>88</v>
      </c>
      <c r="AG2994" t="s">
        <v>6012</v>
      </c>
    </row>
    <row r="2995" spans="1:33" x14ac:dyDescent="0.35">
      <c r="A2995" s="18">
        <v>44220.897222222222</v>
      </c>
      <c r="B2995">
        <v>5751857</v>
      </c>
      <c r="C2995" t="s">
        <v>6428</v>
      </c>
      <c r="D2995" t="s">
        <v>70</v>
      </c>
      <c r="E2995" s="19">
        <v>43599</v>
      </c>
      <c r="F2995" t="str">
        <f>"9781119543022"</f>
        <v>9781119543022</v>
      </c>
      <c r="G2995" t="str">
        <f>"9781119543046"</f>
        <v>9781119543046</v>
      </c>
      <c r="H2995" t="s">
        <v>3130</v>
      </c>
      <c r="I2995">
        <v>6.31</v>
      </c>
      <c r="J2995" t="s">
        <v>6429</v>
      </c>
      <c r="K2995" t="s">
        <v>85</v>
      </c>
      <c r="Q2995" t="s">
        <v>76</v>
      </c>
      <c r="R2995" t="s">
        <v>73</v>
      </c>
      <c r="S2995">
        <v>0</v>
      </c>
      <c r="W2995" s="20">
        <v>3.0902777777777782E-3</v>
      </c>
      <c r="X2995" t="s">
        <v>6430</v>
      </c>
      <c r="Y2995">
        <v>9</v>
      </c>
      <c r="Z2995">
        <v>0</v>
      </c>
      <c r="AA2995" t="s">
        <v>78</v>
      </c>
      <c r="AB2995">
        <v>0</v>
      </c>
      <c r="AC2995" t="s">
        <v>78</v>
      </c>
      <c r="AD2995">
        <v>0</v>
      </c>
      <c r="AE2995">
        <v>-1</v>
      </c>
      <c r="AF2995" t="s">
        <v>79</v>
      </c>
      <c r="AG2995" t="s">
        <v>6012</v>
      </c>
    </row>
    <row r="2996" spans="1:33" x14ac:dyDescent="0.35">
      <c r="A2996" s="18">
        <v>44220.893055555556</v>
      </c>
      <c r="B2996">
        <v>5751843</v>
      </c>
      <c r="C2996" t="s">
        <v>6431</v>
      </c>
      <c r="D2996" t="s">
        <v>70</v>
      </c>
      <c r="E2996" s="19">
        <v>43592</v>
      </c>
      <c r="F2996" t="str">
        <f>"9781119557678"</f>
        <v>9781119557678</v>
      </c>
      <c r="G2996" t="str">
        <f>"9781119557593"</f>
        <v>9781119557593</v>
      </c>
      <c r="H2996" t="s">
        <v>110</v>
      </c>
      <c r="I2996">
        <v>5.133</v>
      </c>
      <c r="J2996" t="s">
        <v>6432</v>
      </c>
      <c r="K2996" t="s">
        <v>73</v>
      </c>
      <c r="Q2996" t="s">
        <v>76</v>
      </c>
      <c r="R2996" t="s">
        <v>73</v>
      </c>
      <c r="S2996">
        <v>0</v>
      </c>
      <c r="W2996" s="20">
        <v>2.4421296296296296E-3</v>
      </c>
      <c r="X2996" t="s">
        <v>6433</v>
      </c>
      <c r="Y2996">
        <v>23</v>
      </c>
      <c r="Z2996">
        <v>0</v>
      </c>
      <c r="AA2996" t="s">
        <v>78</v>
      </c>
      <c r="AB2996">
        <v>0</v>
      </c>
      <c r="AC2996" t="s">
        <v>78</v>
      </c>
      <c r="AD2996">
        <v>0</v>
      </c>
      <c r="AE2996">
        <v>-1</v>
      </c>
      <c r="AF2996" t="s">
        <v>79</v>
      </c>
      <c r="AG2996" t="s">
        <v>6012</v>
      </c>
    </row>
    <row r="2997" spans="1:33" x14ac:dyDescent="0.35">
      <c r="A2997" s="18">
        <v>44220.847222222219</v>
      </c>
      <c r="B2997">
        <v>5139934</v>
      </c>
      <c r="C2997" t="s">
        <v>6198</v>
      </c>
      <c r="D2997" t="s">
        <v>3397</v>
      </c>
      <c r="E2997" s="19">
        <v>42552</v>
      </c>
      <c r="F2997" t="str">
        <f>"9781613994986"</f>
        <v>9781613994986</v>
      </c>
      <c r="G2997" t="str">
        <f>"9781613994269"</f>
        <v>9781613994269</v>
      </c>
      <c r="H2997" t="s">
        <v>179</v>
      </c>
      <c r="I2997">
        <v>622.33799999999906</v>
      </c>
      <c r="J2997" t="s">
        <v>6199</v>
      </c>
      <c r="K2997" t="s">
        <v>73</v>
      </c>
      <c r="N2997" t="s">
        <v>74</v>
      </c>
      <c r="O2997" t="s">
        <v>75</v>
      </c>
      <c r="P2997" t="s">
        <v>74</v>
      </c>
      <c r="Q2997" t="s">
        <v>76</v>
      </c>
      <c r="R2997" t="s">
        <v>73</v>
      </c>
      <c r="S2997">
        <v>1</v>
      </c>
      <c r="W2997" s="20">
        <v>0</v>
      </c>
      <c r="X2997" t="s">
        <v>78</v>
      </c>
      <c r="Y2997">
        <v>0</v>
      </c>
      <c r="Z2997">
        <v>0</v>
      </c>
      <c r="AA2997" t="s">
        <v>78</v>
      </c>
      <c r="AB2997">
        <v>0</v>
      </c>
      <c r="AC2997" t="s">
        <v>78</v>
      </c>
      <c r="AD2997">
        <v>0</v>
      </c>
      <c r="AE2997">
        <v>11465342</v>
      </c>
      <c r="AF2997" t="s">
        <v>88</v>
      </c>
      <c r="AG2997" t="s">
        <v>6012</v>
      </c>
    </row>
    <row r="2998" spans="1:33" x14ac:dyDescent="0.35">
      <c r="A2998" s="18">
        <v>44220.830555555556</v>
      </c>
      <c r="B2998">
        <v>5139934</v>
      </c>
      <c r="C2998" t="s">
        <v>6198</v>
      </c>
      <c r="D2998" t="s">
        <v>3397</v>
      </c>
      <c r="E2998" s="19">
        <v>42552</v>
      </c>
      <c r="F2998" t="str">
        <f>"9781613994986"</f>
        <v>9781613994986</v>
      </c>
      <c r="G2998" t="str">
        <f>"9781613994269"</f>
        <v>9781613994269</v>
      </c>
      <c r="H2998" t="s">
        <v>179</v>
      </c>
      <c r="I2998">
        <v>622.33799999999906</v>
      </c>
      <c r="J2998" t="s">
        <v>6199</v>
      </c>
      <c r="K2998" t="s">
        <v>73</v>
      </c>
      <c r="N2998" t="s">
        <v>74</v>
      </c>
      <c r="O2998" t="s">
        <v>75</v>
      </c>
      <c r="P2998" t="s">
        <v>74</v>
      </c>
      <c r="Q2998" t="s">
        <v>76</v>
      </c>
      <c r="R2998" t="s">
        <v>73</v>
      </c>
      <c r="S2998">
        <v>0</v>
      </c>
      <c r="W2998" s="20">
        <v>1.6747685185185185E-2</v>
      </c>
      <c r="X2998" t="s">
        <v>6434</v>
      </c>
      <c r="Y2998">
        <v>166</v>
      </c>
      <c r="Z2998">
        <v>1</v>
      </c>
      <c r="AA2998" t="s">
        <v>125</v>
      </c>
      <c r="AB2998">
        <v>2</v>
      </c>
      <c r="AC2998" t="s">
        <v>78</v>
      </c>
      <c r="AD2998">
        <v>0</v>
      </c>
      <c r="AE2998">
        <v>11465342</v>
      </c>
      <c r="AF2998" t="s">
        <v>79</v>
      </c>
      <c r="AG2998" t="s">
        <v>6012</v>
      </c>
    </row>
    <row r="2999" spans="1:33" x14ac:dyDescent="0.35">
      <c r="A2999" s="18">
        <v>44220.794444444444</v>
      </c>
      <c r="B2999">
        <v>3111684</v>
      </c>
      <c r="C2999" t="s">
        <v>6435</v>
      </c>
      <c r="D2999" t="s">
        <v>1117</v>
      </c>
      <c r="E2999" s="19">
        <v>36526</v>
      </c>
      <c r="F2999" t="str">
        <f>"9781600867224"</f>
        <v>9781600867224</v>
      </c>
      <c r="G2999" t="str">
        <f>"9781600867217"</f>
        <v>9781600867217</v>
      </c>
      <c r="H2999" t="s">
        <v>6436</v>
      </c>
      <c r="I2999">
        <v>521</v>
      </c>
      <c r="J2999" t="s">
        <v>6437</v>
      </c>
      <c r="K2999" t="s">
        <v>73</v>
      </c>
      <c r="N2999" t="s">
        <v>74</v>
      </c>
      <c r="O2999" t="s">
        <v>75</v>
      </c>
      <c r="P2999" t="s">
        <v>74</v>
      </c>
      <c r="Q2999" t="s">
        <v>76</v>
      </c>
      <c r="R2999" t="s">
        <v>73</v>
      </c>
      <c r="S2999">
        <v>0</v>
      </c>
      <c r="W2999" s="20">
        <v>1.1574074074074073E-5</v>
      </c>
      <c r="X2999" t="s">
        <v>78</v>
      </c>
      <c r="Y2999">
        <v>0</v>
      </c>
      <c r="Z2999">
        <v>4</v>
      </c>
      <c r="AA2999" t="s">
        <v>6438</v>
      </c>
      <c r="AB2999">
        <v>204</v>
      </c>
      <c r="AC2999" t="s">
        <v>78</v>
      </c>
      <c r="AD2999">
        <v>0</v>
      </c>
      <c r="AE2999">
        <v>10516789</v>
      </c>
      <c r="AF2999" t="s">
        <v>79</v>
      </c>
      <c r="AG2999" t="s">
        <v>6012</v>
      </c>
    </row>
    <row r="3000" spans="1:33" x14ac:dyDescent="0.35">
      <c r="A3000" s="18">
        <v>44220.73333333333</v>
      </c>
      <c r="B3000">
        <v>1798303</v>
      </c>
      <c r="C3000" t="s">
        <v>4399</v>
      </c>
      <c r="D3000" t="s">
        <v>158</v>
      </c>
      <c r="E3000" s="19">
        <v>41911</v>
      </c>
      <c r="F3000" t="str">
        <f>"9780124200111"</f>
        <v>9780124200111</v>
      </c>
      <c r="G3000" t="str">
        <f>"9780124200036"</f>
        <v>9780124200036</v>
      </c>
      <c r="H3000" t="s">
        <v>4400</v>
      </c>
      <c r="I3000" t="s">
        <v>4401</v>
      </c>
      <c r="J3000" t="s">
        <v>4402</v>
      </c>
      <c r="K3000" t="s">
        <v>73</v>
      </c>
      <c r="N3000" t="s">
        <v>74</v>
      </c>
      <c r="O3000" t="s">
        <v>75</v>
      </c>
      <c r="P3000" t="s">
        <v>74</v>
      </c>
      <c r="Q3000" t="s">
        <v>76</v>
      </c>
      <c r="R3000" t="s">
        <v>73</v>
      </c>
      <c r="S3000">
        <v>0</v>
      </c>
      <c r="W3000" s="20">
        <v>3.9351851851851852E-4</v>
      </c>
      <c r="X3000" t="s">
        <v>6439</v>
      </c>
      <c r="Y3000">
        <v>4</v>
      </c>
      <c r="Z3000">
        <v>1</v>
      </c>
      <c r="AA3000" t="s">
        <v>639</v>
      </c>
      <c r="AB3000">
        <v>3</v>
      </c>
      <c r="AC3000" t="s">
        <v>78</v>
      </c>
      <c r="AD3000">
        <v>0</v>
      </c>
      <c r="AE3000">
        <v>10944045</v>
      </c>
      <c r="AF3000" t="s">
        <v>79</v>
      </c>
      <c r="AG3000" t="s">
        <v>1330</v>
      </c>
    </row>
    <row r="3001" spans="1:33" x14ac:dyDescent="0.35">
      <c r="A3001" s="18">
        <v>44220.692361111112</v>
      </c>
      <c r="B3001">
        <v>4003887</v>
      </c>
      <c r="C3001" t="s">
        <v>4040</v>
      </c>
      <c r="D3001" t="s">
        <v>158</v>
      </c>
      <c r="E3001" s="19">
        <v>42289</v>
      </c>
      <c r="F3001" t="str">
        <f>"9780128031896"</f>
        <v>9780128031896</v>
      </c>
      <c r="G3001" t="str">
        <f>"9780128031889"</f>
        <v>9780128031889</v>
      </c>
      <c r="H3001" t="s">
        <v>4041</v>
      </c>
      <c r="I3001" t="s">
        <v>4042</v>
      </c>
      <c r="J3001" t="s">
        <v>4043</v>
      </c>
      <c r="K3001" t="s">
        <v>73</v>
      </c>
      <c r="N3001" t="s">
        <v>74</v>
      </c>
      <c r="O3001" t="s">
        <v>75</v>
      </c>
      <c r="P3001" t="s">
        <v>74</v>
      </c>
      <c r="Q3001" t="s">
        <v>76</v>
      </c>
      <c r="R3001" t="s">
        <v>73</v>
      </c>
      <c r="S3001">
        <v>0</v>
      </c>
      <c r="W3001" s="20">
        <v>7.7546296296296304E-4</v>
      </c>
      <c r="X3001" t="s">
        <v>6440</v>
      </c>
      <c r="Y3001">
        <v>13</v>
      </c>
      <c r="Z3001">
        <v>0</v>
      </c>
      <c r="AA3001" t="s">
        <v>78</v>
      </c>
      <c r="AB3001">
        <v>0</v>
      </c>
      <c r="AC3001" t="s">
        <v>78</v>
      </c>
      <c r="AD3001">
        <v>0</v>
      </c>
      <c r="AE3001">
        <v>11117970</v>
      </c>
      <c r="AF3001" t="s">
        <v>79</v>
      </c>
      <c r="AG3001" t="s">
        <v>1330</v>
      </c>
    </row>
    <row r="3002" spans="1:33" x14ac:dyDescent="0.35">
      <c r="A3002" s="18">
        <v>44220.681250000001</v>
      </c>
      <c r="B3002">
        <v>6185922</v>
      </c>
      <c r="C3002" t="s">
        <v>6353</v>
      </c>
      <c r="D3002" t="s">
        <v>538</v>
      </c>
      <c r="E3002" s="19">
        <v>43958</v>
      </c>
      <c r="F3002" t="str">
        <f>"9781108173780"</f>
        <v>9781108173780</v>
      </c>
      <c r="G3002" t="str">
        <f>"9781107195424"</f>
        <v>9781107195424</v>
      </c>
      <c r="H3002" t="s">
        <v>1561</v>
      </c>
      <c r="I3002">
        <v>551.48299999999904</v>
      </c>
      <c r="J3002" t="s">
        <v>6354</v>
      </c>
      <c r="K3002" t="s">
        <v>85</v>
      </c>
      <c r="N3002" t="s">
        <v>186</v>
      </c>
      <c r="P3002" t="s">
        <v>1850</v>
      </c>
      <c r="Q3002" t="s">
        <v>76</v>
      </c>
      <c r="R3002" t="s">
        <v>73</v>
      </c>
      <c r="S3002">
        <v>0</v>
      </c>
      <c r="W3002" s="20">
        <v>0</v>
      </c>
      <c r="X3002" t="s">
        <v>78</v>
      </c>
      <c r="Y3002">
        <v>0</v>
      </c>
      <c r="Z3002">
        <v>5</v>
      </c>
      <c r="AA3002" t="s">
        <v>6441</v>
      </c>
      <c r="AB3002">
        <v>130</v>
      </c>
      <c r="AC3002" t="s">
        <v>78</v>
      </c>
      <c r="AD3002">
        <v>0</v>
      </c>
      <c r="AE3002">
        <v>-1</v>
      </c>
      <c r="AF3002" t="s">
        <v>88</v>
      </c>
      <c r="AG3002" t="s">
        <v>6312</v>
      </c>
    </row>
    <row r="3003" spans="1:33" x14ac:dyDescent="0.35">
      <c r="A3003" s="18">
        <v>44220.665972222225</v>
      </c>
      <c r="B3003">
        <v>4452700</v>
      </c>
      <c r="C3003" t="s">
        <v>4037</v>
      </c>
      <c r="D3003" t="s">
        <v>70</v>
      </c>
      <c r="E3003" s="19">
        <v>42471</v>
      </c>
      <c r="F3003" t="str">
        <f>"9781119225096"</f>
        <v>9781119225096</v>
      </c>
      <c r="G3003" t="str">
        <f>"9781119225102"</f>
        <v>9781119225102</v>
      </c>
      <c r="H3003" t="s">
        <v>4038</v>
      </c>
      <c r="I3003" t="s">
        <v>3435</v>
      </c>
      <c r="J3003" t="s">
        <v>4039</v>
      </c>
      <c r="K3003" t="s">
        <v>73</v>
      </c>
      <c r="N3003" t="s">
        <v>74</v>
      </c>
      <c r="O3003" t="s">
        <v>75</v>
      </c>
      <c r="P3003" t="s">
        <v>74</v>
      </c>
      <c r="Q3003" t="s">
        <v>76</v>
      </c>
      <c r="R3003" t="s">
        <v>73</v>
      </c>
      <c r="S3003">
        <v>0</v>
      </c>
      <c r="W3003" s="20">
        <v>4.2824074074074075E-4</v>
      </c>
      <c r="X3003" t="s">
        <v>5778</v>
      </c>
      <c r="Y3003">
        <v>11</v>
      </c>
      <c r="Z3003">
        <v>0</v>
      </c>
      <c r="AA3003" t="s">
        <v>78</v>
      </c>
      <c r="AB3003">
        <v>0</v>
      </c>
      <c r="AC3003" t="s">
        <v>78</v>
      </c>
      <c r="AD3003">
        <v>0</v>
      </c>
      <c r="AE3003">
        <v>11175444</v>
      </c>
      <c r="AF3003" t="s">
        <v>79</v>
      </c>
      <c r="AG3003" t="s">
        <v>1330</v>
      </c>
    </row>
    <row r="3004" spans="1:33" x14ac:dyDescent="0.35">
      <c r="A3004" s="18">
        <v>44220.65347222222</v>
      </c>
      <c r="B3004">
        <v>1798303</v>
      </c>
      <c r="C3004" t="s">
        <v>4399</v>
      </c>
      <c r="D3004" t="s">
        <v>158</v>
      </c>
      <c r="E3004" s="19">
        <v>41911</v>
      </c>
      <c r="F3004" t="str">
        <f>"9780124200111"</f>
        <v>9780124200111</v>
      </c>
      <c r="G3004" t="str">
        <f>"9780124200036"</f>
        <v>9780124200036</v>
      </c>
      <c r="H3004" t="s">
        <v>4400</v>
      </c>
      <c r="I3004" t="s">
        <v>4401</v>
      </c>
      <c r="J3004" t="s">
        <v>4402</v>
      </c>
      <c r="K3004" t="s">
        <v>73</v>
      </c>
      <c r="N3004" t="s">
        <v>74</v>
      </c>
      <c r="O3004" t="s">
        <v>75</v>
      </c>
      <c r="P3004" t="s">
        <v>74</v>
      </c>
      <c r="Q3004" t="s">
        <v>76</v>
      </c>
      <c r="R3004" t="s">
        <v>73</v>
      </c>
      <c r="S3004">
        <v>0</v>
      </c>
      <c r="W3004" s="20">
        <v>8.5763888888888886E-3</v>
      </c>
      <c r="X3004" t="s">
        <v>6442</v>
      </c>
      <c r="Y3004">
        <v>56</v>
      </c>
      <c r="Z3004">
        <v>0</v>
      </c>
      <c r="AA3004" t="s">
        <v>78</v>
      </c>
      <c r="AB3004">
        <v>0</v>
      </c>
      <c r="AC3004" t="s">
        <v>78</v>
      </c>
      <c r="AD3004">
        <v>0</v>
      </c>
      <c r="AE3004">
        <v>10944045</v>
      </c>
      <c r="AF3004" t="s">
        <v>79</v>
      </c>
      <c r="AG3004" t="s">
        <v>1330</v>
      </c>
    </row>
    <row r="3005" spans="1:33" x14ac:dyDescent="0.35">
      <c r="A3005" s="18">
        <v>44220.645833333336</v>
      </c>
      <c r="B3005">
        <v>479833</v>
      </c>
      <c r="C3005" t="s">
        <v>6318</v>
      </c>
      <c r="D3005" t="s">
        <v>70</v>
      </c>
      <c r="E3005" s="19">
        <v>39930</v>
      </c>
      <c r="F3005" t="str">
        <f>"9780470824115"</f>
        <v>9780470824115</v>
      </c>
      <c r="G3005" t="str">
        <f>"9780470824108"</f>
        <v>9780470824108</v>
      </c>
      <c r="H3005" t="s">
        <v>6319</v>
      </c>
      <c r="I3005">
        <v>629.83000000000004</v>
      </c>
      <c r="J3005" t="s">
        <v>6320</v>
      </c>
      <c r="K3005" t="s">
        <v>73</v>
      </c>
      <c r="N3005" t="s">
        <v>74</v>
      </c>
      <c r="O3005" t="s">
        <v>75</v>
      </c>
      <c r="P3005" t="s">
        <v>74</v>
      </c>
      <c r="Q3005" t="s">
        <v>76</v>
      </c>
      <c r="R3005" t="s">
        <v>73</v>
      </c>
      <c r="S3005">
        <v>0</v>
      </c>
      <c r="W3005" s="20">
        <v>1.6782407407407406E-3</v>
      </c>
      <c r="X3005" t="s">
        <v>6443</v>
      </c>
      <c r="Y3005">
        <v>14</v>
      </c>
      <c r="Z3005">
        <v>0</v>
      </c>
      <c r="AA3005" t="s">
        <v>78</v>
      </c>
      <c r="AB3005">
        <v>0</v>
      </c>
      <c r="AC3005" t="s">
        <v>78</v>
      </c>
      <c r="AD3005">
        <v>0</v>
      </c>
      <c r="AE3005">
        <v>10325864</v>
      </c>
      <c r="AF3005" t="s">
        <v>79</v>
      </c>
      <c r="AG3005" t="s">
        <v>1173</v>
      </c>
    </row>
    <row r="3006" spans="1:33" x14ac:dyDescent="0.35">
      <c r="A3006" s="18">
        <v>44220.636111111111</v>
      </c>
      <c r="B3006">
        <v>1911737</v>
      </c>
      <c r="C3006" t="s">
        <v>6444</v>
      </c>
      <c r="D3006" t="s">
        <v>1258</v>
      </c>
      <c r="E3006" s="19">
        <v>41974</v>
      </c>
      <c r="F3006" t="str">
        <f>"9781606501719"</f>
        <v>9781606501719</v>
      </c>
      <c r="G3006" t="str">
        <f>"9781606501702"</f>
        <v>9781606501702</v>
      </c>
      <c r="H3006" t="s">
        <v>4032</v>
      </c>
      <c r="I3006">
        <v>629.83000000000004</v>
      </c>
      <c r="J3006" t="s">
        <v>6445</v>
      </c>
      <c r="K3006" t="s">
        <v>73</v>
      </c>
      <c r="N3006" t="s">
        <v>74</v>
      </c>
      <c r="O3006" t="s">
        <v>75</v>
      </c>
      <c r="P3006" t="s">
        <v>74</v>
      </c>
      <c r="Q3006" t="s">
        <v>76</v>
      </c>
      <c r="R3006" t="s">
        <v>73</v>
      </c>
      <c r="S3006">
        <v>0</v>
      </c>
      <c r="W3006" s="20">
        <v>7.6851851851851847E-3</v>
      </c>
      <c r="X3006" t="s">
        <v>6446</v>
      </c>
      <c r="Y3006">
        <v>9</v>
      </c>
      <c r="Z3006">
        <v>0</v>
      </c>
      <c r="AA3006" t="s">
        <v>78</v>
      </c>
      <c r="AB3006">
        <v>0</v>
      </c>
      <c r="AC3006" t="s">
        <v>6447</v>
      </c>
      <c r="AD3006">
        <v>1</v>
      </c>
      <c r="AE3006">
        <v>11007943</v>
      </c>
      <c r="AF3006" t="s">
        <v>79</v>
      </c>
      <c r="AG3006" t="s">
        <v>1173</v>
      </c>
    </row>
    <row r="3007" spans="1:33" x14ac:dyDescent="0.35">
      <c r="A3007" s="18">
        <v>44220.62777777778</v>
      </c>
      <c r="B3007">
        <v>1798303</v>
      </c>
      <c r="C3007" t="s">
        <v>4399</v>
      </c>
      <c r="D3007" t="s">
        <v>158</v>
      </c>
      <c r="E3007" s="19">
        <v>41911</v>
      </c>
      <c r="F3007" t="str">
        <f>"9780124200111"</f>
        <v>9780124200111</v>
      </c>
      <c r="G3007" t="str">
        <f>"9780124200036"</f>
        <v>9780124200036</v>
      </c>
      <c r="H3007" t="s">
        <v>4400</v>
      </c>
      <c r="I3007" t="s">
        <v>4401</v>
      </c>
      <c r="J3007" t="s">
        <v>4402</v>
      </c>
      <c r="K3007" t="s">
        <v>73</v>
      </c>
      <c r="N3007" t="s">
        <v>74</v>
      </c>
      <c r="O3007" t="s">
        <v>75</v>
      </c>
      <c r="P3007" t="s">
        <v>74</v>
      </c>
      <c r="Q3007" t="s">
        <v>76</v>
      </c>
      <c r="R3007" t="s">
        <v>73</v>
      </c>
      <c r="S3007">
        <v>0</v>
      </c>
      <c r="W3007" s="20">
        <v>2.0833333333333335E-4</v>
      </c>
      <c r="X3007" t="s">
        <v>6448</v>
      </c>
      <c r="Y3007">
        <v>3</v>
      </c>
      <c r="Z3007">
        <v>0</v>
      </c>
      <c r="AA3007" t="s">
        <v>78</v>
      </c>
      <c r="AB3007">
        <v>0</v>
      </c>
      <c r="AC3007" t="s">
        <v>78</v>
      </c>
      <c r="AD3007">
        <v>0</v>
      </c>
      <c r="AE3007">
        <v>10944045</v>
      </c>
      <c r="AF3007" t="s">
        <v>79</v>
      </c>
      <c r="AG3007" t="s">
        <v>1330</v>
      </c>
    </row>
    <row r="3008" spans="1:33" x14ac:dyDescent="0.35">
      <c r="A3008" s="18">
        <v>44220.555555555555</v>
      </c>
      <c r="B3008">
        <v>1911737</v>
      </c>
      <c r="C3008" t="s">
        <v>6444</v>
      </c>
      <c r="D3008" t="s">
        <v>1258</v>
      </c>
      <c r="E3008" s="19">
        <v>41974</v>
      </c>
      <c r="F3008" t="str">
        <f>"9781606501719"</f>
        <v>9781606501719</v>
      </c>
      <c r="G3008" t="str">
        <f>"9781606501702"</f>
        <v>9781606501702</v>
      </c>
      <c r="H3008" t="s">
        <v>4032</v>
      </c>
      <c r="I3008">
        <v>629.83000000000004</v>
      </c>
      <c r="J3008" t="s">
        <v>6445</v>
      </c>
      <c r="K3008" t="s">
        <v>73</v>
      </c>
      <c r="N3008" t="s">
        <v>74</v>
      </c>
      <c r="O3008" t="s">
        <v>75</v>
      </c>
      <c r="P3008" t="s">
        <v>74</v>
      </c>
      <c r="Q3008" t="s">
        <v>76</v>
      </c>
      <c r="R3008" t="s">
        <v>73</v>
      </c>
      <c r="S3008">
        <v>0</v>
      </c>
      <c r="W3008" s="20">
        <v>0</v>
      </c>
      <c r="X3008" t="s">
        <v>78</v>
      </c>
      <c r="Y3008">
        <v>0</v>
      </c>
      <c r="Z3008">
        <v>0</v>
      </c>
      <c r="AA3008" t="s">
        <v>78</v>
      </c>
      <c r="AB3008">
        <v>0</v>
      </c>
      <c r="AC3008" t="s">
        <v>78</v>
      </c>
      <c r="AD3008">
        <v>0</v>
      </c>
      <c r="AE3008">
        <v>11007943</v>
      </c>
      <c r="AF3008" t="s">
        <v>79</v>
      </c>
      <c r="AG3008" t="s">
        <v>1173</v>
      </c>
    </row>
    <row r="3009" spans="1:33" x14ac:dyDescent="0.35">
      <c r="A3009" s="18">
        <v>44220.410416666666</v>
      </c>
      <c r="B3009">
        <v>1808666</v>
      </c>
      <c r="C3009" t="s">
        <v>6449</v>
      </c>
      <c r="D3009" t="s">
        <v>6450</v>
      </c>
      <c r="E3009" s="19">
        <v>41156</v>
      </c>
      <c r="F3009" t="str">
        <f>"9781453281710"</f>
        <v>9781453281710</v>
      </c>
      <c r="G3009" t="str">
        <f>"9781453271100"</f>
        <v>9781453271100</v>
      </c>
      <c r="H3009" t="s">
        <v>636</v>
      </c>
      <c r="I3009" t="s">
        <v>6451</v>
      </c>
      <c r="K3009" t="s">
        <v>85</v>
      </c>
      <c r="N3009" t="s">
        <v>86</v>
      </c>
      <c r="P3009" t="s">
        <v>87</v>
      </c>
      <c r="Q3009" t="s">
        <v>76</v>
      </c>
      <c r="R3009" t="s">
        <v>73</v>
      </c>
      <c r="S3009">
        <v>0</v>
      </c>
      <c r="W3009" s="20">
        <v>2.0833333333333335E-4</v>
      </c>
      <c r="X3009" t="s">
        <v>639</v>
      </c>
      <c r="Y3009">
        <v>3</v>
      </c>
      <c r="Z3009">
        <v>0</v>
      </c>
      <c r="AA3009" t="s">
        <v>78</v>
      </c>
      <c r="AB3009">
        <v>0</v>
      </c>
      <c r="AC3009" t="s">
        <v>78</v>
      </c>
      <c r="AD3009">
        <v>0</v>
      </c>
      <c r="AE3009">
        <v>-1</v>
      </c>
      <c r="AF3009" t="s">
        <v>79</v>
      </c>
      <c r="AG3009" t="s">
        <v>6452</v>
      </c>
    </row>
    <row r="3010" spans="1:33" x14ac:dyDescent="0.35">
      <c r="A3010" s="18">
        <v>44219.990972222222</v>
      </c>
      <c r="B3010">
        <v>479833</v>
      </c>
      <c r="C3010" t="s">
        <v>6318</v>
      </c>
      <c r="D3010" t="s">
        <v>70</v>
      </c>
      <c r="E3010" s="19">
        <v>39930</v>
      </c>
      <c r="F3010" t="str">
        <f>"9780470824115"</f>
        <v>9780470824115</v>
      </c>
      <c r="G3010" t="str">
        <f>"9780470824108"</f>
        <v>9780470824108</v>
      </c>
      <c r="H3010" t="s">
        <v>6319</v>
      </c>
      <c r="I3010">
        <v>629.83000000000004</v>
      </c>
      <c r="J3010" t="s">
        <v>6320</v>
      </c>
      <c r="K3010" t="s">
        <v>73</v>
      </c>
      <c r="N3010" t="s">
        <v>74</v>
      </c>
      <c r="O3010" t="s">
        <v>75</v>
      </c>
      <c r="P3010" t="s">
        <v>74</v>
      </c>
      <c r="Q3010" t="s">
        <v>76</v>
      </c>
      <c r="R3010" t="s">
        <v>73</v>
      </c>
      <c r="S3010">
        <v>0</v>
      </c>
      <c r="W3010" s="20">
        <v>4.6180555555555558E-3</v>
      </c>
      <c r="X3010" t="s">
        <v>6453</v>
      </c>
      <c r="Y3010">
        <v>10</v>
      </c>
      <c r="Z3010">
        <v>0</v>
      </c>
      <c r="AA3010" t="s">
        <v>78</v>
      </c>
      <c r="AB3010">
        <v>0</v>
      </c>
      <c r="AC3010" t="s">
        <v>132</v>
      </c>
      <c r="AD3010">
        <v>1</v>
      </c>
      <c r="AE3010">
        <v>10325864</v>
      </c>
      <c r="AF3010" t="s">
        <v>79</v>
      </c>
      <c r="AG3010" t="s">
        <v>1173</v>
      </c>
    </row>
    <row r="3011" spans="1:33" x14ac:dyDescent="0.35">
      <c r="A3011" s="18">
        <v>44219.990972222222</v>
      </c>
      <c r="B3011">
        <v>1911737</v>
      </c>
      <c r="C3011" t="s">
        <v>6444</v>
      </c>
      <c r="D3011" t="s">
        <v>1258</v>
      </c>
      <c r="E3011" s="19">
        <v>41974</v>
      </c>
      <c r="F3011" t="str">
        <f>"9781606501719"</f>
        <v>9781606501719</v>
      </c>
      <c r="G3011" t="str">
        <f>"9781606501702"</f>
        <v>9781606501702</v>
      </c>
      <c r="H3011" t="s">
        <v>4032</v>
      </c>
      <c r="I3011">
        <v>629.83000000000004</v>
      </c>
      <c r="J3011" t="s">
        <v>6445</v>
      </c>
      <c r="K3011" t="s">
        <v>73</v>
      </c>
      <c r="N3011" t="s">
        <v>74</v>
      </c>
      <c r="O3011" t="s">
        <v>75</v>
      </c>
      <c r="P3011" t="s">
        <v>74</v>
      </c>
      <c r="Q3011" t="s">
        <v>76</v>
      </c>
      <c r="R3011" t="s">
        <v>73</v>
      </c>
      <c r="S3011">
        <v>0</v>
      </c>
      <c r="W3011" s="20">
        <v>3.4027777777777784E-3</v>
      </c>
      <c r="X3011" t="s">
        <v>6454</v>
      </c>
      <c r="Y3011">
        <v>21</v>
      </c>
      <c r="Z3011">
        <v>0</v>
      </c>
      <c r="AA3011" t="s">
        <v>78</v>
      </c>
      <c r="AB3011">
        <v>0</v>
      </c>
      <c r="AC3011" t="s">
        <v>2689</v>
      </c>
      <c r="AD3011">
        <v>1</v>
      </c>
      <c r="AE3011">
        <v>11007943</v>
      </c>
      <c r="AF3011" t="s">
        <v>79</v>
      </c>
      <c r="AG3011" t="s">
        <v>1173</v>
      </c>
    </row>
    <row r="3012" spans="1:33" x14ac:dyDescent="0.35">
      <c r="A3012" s="18">
        <v>44219.966666666667</v>
      </c>
      <c r="B3012">
        <v>1681594</v>
      </c>
      <c r="C3012" t="s">
        <v>6455</v>
      </c>
      <c r="D3012" t="s">
        <v>239</v>
      </c>
      <c r="E3012" s="19">
        <v>38749</v>
      </c>
      <c r="F3012" t="str">
        <f>"9781860949104"</f>
        <v>9781860949104</v>
      </c>
      <c r="G3012" t="str">
        <f>"9781860946226"</f>
        <v>9781860946226</v>
      </c>
      <c r="H3012" t="s">
        <v>1122</v>
      </c>
      <c r="I3012">
        <v>629</v>
      </c>
      <c r="J3012" t="s">
        <v>6456</v>
      </c>
      <c r="K3012" t="s">
        <v>73</v>
      </c>
      <c r="N3012" t="s">
        <v>74</v>
      </c>
      <c r="O3012" t="s">
        <v>75</v>
      </c>
      <c r="P3012" t="s">
        <v>74</v>
      </c>
      <c r="Q3012" t="s">
        <v>76</v>
      </c>
      <c r="R3012" t="s">
        <v>73</v>
      </c>
      <c r="S3012">
        <v>0</v>
      </c>
      <c r="W3012" s="20">
        <v>2.2349537037037032E-2</v>
      </c>
      <c r="X3012" t="s">
        <v>6457</v>
      </c>
      <c r="Y3012">
        <v>35</v>
      </c>
      <c r="Z3012">
        <v>0</v>
      </c>
      <c r="AA3012" t="s">
        <v>78</v>
      </c>
      <c r="AB3012">
        <v>0</v>
      </c>
      <c r="AC3012" t="s">
        <v>5476</v>
      </c>
      <c r="AD3012">
        <v>1</v>
      </c>
      <c r="AE3012">
        <v>10201146</v>
      </c>
      <c r="AF3012" t="s">
        <v>79</v>
      </c>
      <c r="AG3012" t="s">
        <v>1173</v>
      </c>
    </row>
    <row r="3013" spans="1:33" x14ac:dyDescent="0.35">
      <c r="A3013" s="18">
        <v>44219.966666666667</v>
      </c>
      <c r="B3013">
        <v>479833</v>
      </c>
      <c r="C3013" t="s">
        <v>6318</v>
      </c>
      <c r="D3013" t="s">
        <v>70</v>
      </c>
      <c r="E3013" s="19">
        <v>39930</v>
      </c>
      <c r="F3013" t="str">
        <f>"9780470824115"</f>
        <v>9780470824115</v>
      </c>
      <c r="G3013" t="str">
        <f>"9780470824108"</f>
        <v>9780470824108</v>
      </c>
      <c r="H3013" t="s">
        <v>6319</v>
      </c>
      <c r="I3013">
        <v>629.83000000000004</v>
      </c>
      <c r="J3013" t="s">
        <v>6320</v>
      </c>
      <c r="K3013" t="s">
        <v>73</v>
      </c>
      <c r="N3013" t="s">
        <v>74</v>
      </c>
      <c r="O3013" t="s">
        <v>75</v>
      </c>
      <c r="P3013" t="s">
        <v>74</v>
      </c>
      <c r="Q3013" t="s">
        <v>76</v>
      </c>
      <c r="R3013" t="s">
        <v>73</v>
      </c>
      <c r="S3013">
        <v>0</v>
      </c>
      <c r="W3013" s="20">
        <v>0</v>
      </c>
      <c r="X3013" t="s">
        <v>78</v>
      </c>
      <c r="Y3013">
        <v>0</v>
      </c>
      <c r="Z3013">
        <v>0</v>
      </c>
      <c r="AA3013" t="s">
        <v>78</v>
      </c>
      <c r="AB3013">
        <v>0</v>
      </c>
      <c r="AC3013" t="s">
        <v>78</v>
      </c>
      <c r="AD3013">
        <v>0</v>
      </c>
      <c r="AE3013">
        <v>10325864</v>
      </c>
      <c r="AF3013" t="s">
        <v>79</v>
      </c>
      <c r="AG3013" t="s">
        <v>1173</v>
      </c>
    </row>
    <row r="3014" spans="1:33" x14ac:dyDescent="0.35">
      <c r="A3014" s="18">
        <v>44219.9</v>
      </c>
      <c r="B3014">
        <v>2056916</v>
      </c>
      <c r="C3014" t="s">
        <v>6458</v>
      </c>
      <c r="D3014" t="s">
        <v>158</v>
      </c>
      <c r="E3014" s="19">
        <v>42153</v>
      </c>
      <c r="F3014" t="str">
        <f>"9780128016688"</f>
        <v>9780128016688</v>
      </c>
      <c r="G3014" t="str">
        <f>"9780128014561"</f>
        <v>9780128014561</v>
      </c>
      <c r="H3014" t="s">
        <v>71</v>
      </c>
      <c r="I3014">
        <v>621.31242399999996</v>
      </c>
      <c r="J3014" t="s">
        <v>6145</v>
      </c>
      <c r="K3014" t="s">
        <v>73</v>
      </c>
      <c r="N3014" t="s">
        <v>74</v>
      </c>
      <c r="O3014" t="s">
        <v>75</v>
      </c>
      <c r="P3014" t="s">
        <v>74</v>
      </c>
      <c r="Q3014" t="s">
        <v>76</v>
      </c>
      <c r="R3014" t="s">
        <v>73</v>
      </c>
      <c r="S3014">
        <v>0</v>
      </c>
      <c r="W3014" s="20">
        <v>3.3564814814814812E-4</v>
      </c>
      <c r="X3014" t="s">
        <v>6459</v>
      </c>
      <c r="Y3014">
        <v>6</v>
      </c>
      <c r="Z3014">
        <v>0</v>
      </c>
      <c r="AA3014" t="s">
        <v>78</v>
      </c>
      <c r="AB3014">
        <v>0</v>
      </c>
      <c r="AC3014" t="s">
        <v>78</v>
      </c>
      <c r="AD3014">
        <v>0</v>
      </c>
      <c r="AE3014">
        <v>11058675</v>
      </c>
      <c r="AF3014" t="s">
        <v>79</v>
      </c>
      <c r="AG3014" t="s">
        <v>548</v>
      </c>
    </row>
    <row r="3015" spans="1:33" x14ac:dyDescent="0.35">
      <c r="A3015" s="18">
        <v>44219.883333333331</v>
      </c>
      <c r="B3015">
        <v>4875240</v>
      </c>
      <c r="C3015" t="s">
        <v>465</v>
      </c>
      <c r="D3015" t="s">
        <v>70</v>
      </c>
      <c r="E3015" s="19">
        <v>42954</v>
      </c>
      <c r="F3015" t="str">
        <f>"9781119329039"</f>
        <v>9781119329039</v>
      </c>
      <c r="G3015" t="str">
        <f>"9781119329053"</f>
        <v>9781119329053</v>
      </c>
      <c r="H3015" t="s">
        <v>466</v>
      </c>
      <c r="I3015">
        <v>621.38104399999997</v>
      </c>
      <c r="J3015" t="s">
        <v>467</v>
      </c>
      <c r="K3015" t="s">
        <v>73</v>
      </c>
      <c r="N3015" t="s">
        <v>74</v>
      </c>
      <c r="O3015" t="s">
        <v>75</v>
      </c>
      <c r="P3015" t="s">
        <v>74</v>
      </c>
      <c r="Q3015" t="s">
        <v>76</v>
      </c>
      <c r="R3015" t="s">
        <v>73</v>
      </c>
      <c r="S3015">
        <v>0</v>
      </c>
      <c r="W3015" s="20">
        <v>4.6296296296296294E-5</v>
      </c>
      <c r="X3015" t="s">
        <v>132</v>
      </c>
      <c r="Y3015">
        <v>1</v>
      </c>
      <c r="Z3015">
        <v>0</v>
      </c>
      <c r="AA3015" t="s">
        <v>78</v>
      </c>
      <c r="AB3015">
        <v>0</v>
      </c>
      <c r="AC3015" t="s">
        <v>78</v>
      </c>
      <c r="AD3015">
        <v>0</v>
      </c>
      <c r="AE3015">
        <v>11395817</v>
      </c>
      <c r="AF3015" t="s">
        <v>79</v>
      </c>
      <c r="AG3015" t="s">
        <v>6460</v>
      </c>
    </row>
    <row r="3016" spans="1:33" x14ac:dyDescent="0.35">
      <c r="A3016" s="18">
        <v>44219.482638888891</v>
      </c>
      <c r="B3016">
        <v>3339142</v>
      </c>
      <c r="C3016" t="s">
        <v>1890</v>
      </c>
      <c r="D3016" t="s">
        <v>300</v>
      </c>
      <c r="E3016" s="19">
        <v>40025</v>
      </c>
      <c r="F3016" t="str">
        <f>"9780262270830"</f>
        <v>9780262270830</v>
      </c>
      <c r="G3016" t="str">
        <f>"9780262533058"</f>
        <v>9780262533058</v>
      </c>
      <c r="H3016" t="s">
        <v>110</v>
      </c>
      <c r="I3016">
        <v>5.0999999999999996</v>
      </c>
      <c r="J3016" t="s">
        <v>1891</v>
      </c>
      <c r="K3016" t="s">
        <v>73</v>
      </c>
      <c r="N3016" t="s">
        <v>74</v>
      </c>
      <c r="O3016" t="s">
        <v>75</v>
      </c>
      <c r="P3016" t="s">
        <v>74</v>
      </c>
      <c r="Q3016" t="s">
        <v>76</v>
      </c>
      <c r="R3016" t="s">
        <v>73</v>
      </c>
      <c r="S3016">
        <v>0</v>
      </c>
      <c r="W3016" s="20">
        <v>4.6296296296296294E-5</v>
      </c>
      <c r="X3016" t="s">
        <v>132</v>
      </c>
      <c r="Y3016">
        <v>1</v>
      </c>
      <c r="Z3016">
        <v>0</v>
      </c>
      <c r="AA3016" t="s">
        <v>78</v>
      </c>
      <c r="AB3016">
        <v>0</v>
      </c>
      <c r="AC3016" t="s">
        <v>78</v>
      </c>
      <c r="AD3016">
        <v>0</v>
      </c>
      <c r="AE3016">
        <v>10397652</v>
      </c>
      <c r="AF3016" t="s">
        <v>79</v>
      </c>
      <c r="AG3016" t="s">
        <v>6012</v>
      </c>
    </row>
    <row r="3017" spans="1:33" x14ac:dyDescent="0.35">
      <c r="A3017" s="18">
        <v>44218.921527777777</v>
      </c>
      <c r="B3017">
        <v>3339142</v>
      </c>
      <c r="C3017" t="s">
        <v>1890</v>
      </c>
      <c r="D3017" t="s">
        <v>300</v>
      </c>
      <c r="E3017" s="19">
        <v>40025</v>
      </c>
      <c r="F3017" t="str">
        <f>"9780262270830"</f>
        <v>9780262270830</v>
      </c>
      <c r="G3017" t="str">
        <f>"9780262533058"</f>
        <v>9780262533058</v>
      </c>
      <c r="H3017" t="s">
        <v>110</v>
      </c>
      <c r="I3017">
        <v>5.0999999999999996</v>
      </c>
      <c r="J3017" t="s">
        <v>1891</v>
      </c>
      <c r="K3017" t="s">
        <v>73</v>
      </c>
      <c r="N3017" t="s">
        <v>74</v>
      </c>
      <c r="O3017" t="s">
        <v>75</v>
      </c>
      <c r="P3017" t="s">
        <v>74</v>
      </c>
      <c r="Q3017" t="s">
        <v>76</v>
      </c>
      <c r="R3017" t="s">
        <v>73</v>
      </c>
      <c r="S3017">
        <v>0</v>
      </c>
      <c r="W3017" s="20">
        <v>3.3564814814814811E-3</v>
      </c>
      <c r="X3017" t="s">
        <v>6461</v>
      </c>
      <c r="Y3017">
        <v>29</v>
      </c>
      <c r="Z3017">
        <v>0</v>
      </c>
      <c r="AA3017" t="s">
        <v>78</v>
      </c>
      <c r="AB3017">
        <v>0</v>
      </c>
      <c r="AC3017" t="s">
        <v>78</v>
      </c>
      <c r="AD3017">
        <v>0</v>
      </c>
      <c r="AE3017">
        <v>10397652</v>
      </c>
      <c r="AF3017" t="s">
        <v>79</v>
      </c>
      <c r="AG3017" t="s">
        <v>6012</v>
      </c>
    </row>
    <row r="3018" spans="1:33" x14ac:dyDescent="0.35">
      <c r="A3018" s="18">
        <v>44218.825694444444</v>
      </c>
      <c r="B3018">
        <v>3339142</v>
      </c>
      <c r="C3018" t="s">
        <v>1890</v>
      </c>
      <c r="D3018" t="s">
        <v>300</v>
      </c>
      <c r="E3018" s="19">
        <v>40025</v>
      </c>
      <c r="F3018" t="str">
        <f>"9780262270830"</f>
        <v>9780262270830</v>
      </c>
      <c r="G3018" t="str">
        <f>"9780262533058"</f>
        <v>9780262533058</v>
      </c>
      <c r="H3018" t="s">
        <v>110</v>
      </c>
      <c r="I3018">
        <v>5.0999999999999996</v>
      </c>
      <c r="J3018" t="s">
        <v>1891</v>
      </c>
      <c r="K3018" t="s">
        <v>73</v>
      </c>
      <c r="N3018" t="s">
        <v>74</v>
      </c>
      <c r="O3018" t="s">
        <v>75</v>
      </c>
      <c r="P3018" t="s">
        <v>74</v>
      </c>
      <c r="Q3018" t="s">
        <v>76</v>
      </c>
      <c r="R3018" t="s">
        <v>73</v>
      </c>
      <c r="S3018">
        <v>0</v>
      </c>
      <c r="W3018" s="20">
        <v>4.8067129629629633E-2</v>
      </c>
      <c r="X3018" t="s">
        <v>6462</v>
      </c>
      <c r="Y3018">
        <v>25</v>
      </c>
      <c r="Z3018">
        <v>0</v>
      </c>
      <c r="AA3018" t="s">
        <v>78</v>
      </c>
      <c r="AB3018">
        <v>0</v>
      </c>
      <c r="AC3018" t="s">
        <v>78</v>
      </c>
      <c r="AD3018">
        <v>0</v>
      </c>
      <c r="AE3018">
        <v>10397652</v>
      </c>
      <c r="AF3018" t="s">
        <v>88</v>
      </c>
      <c r="AG3018" t="s">
        <v>6012</v>
      </c>
    </row>
    <row r="3019" spans="1:33" x14ac:dyDescent="0.35">
      <c r="A3019" s="18">
        <v>44218.790277777778</v>
      </c>
      <c r="B3019">
        <v>3339142</v>
      </c>
      <c r="C3019" t="s">
        <v>1890</v>
      </c>
      <c r="D3019" t="s">
        <v>300</v>
      </c>
      <c r="E3019" s="19">
        <v>40025</v>
      </c>
      <c r="F3019" t="str">
        <f>"9780262270830"</f>
        <v>9780262270830</v>
      </c>
      <c r="G3019" t="str">
        <f>"9780262533058"</f>
        <v>9780262533058</v>
      </c>
      <c r="H3019" t="s">
        <v>110</v>
      </c>
      <c r="I3019">
        <v>5.0999999999999996</v>
      </c>
      <c r="J3019" t="s">
        <v>1891</v>
      </c>
      <c r="K3019" t="s">
        <v>73</v>
      </c>
      <c r="N3019" t="s">
        <v>74</v>
      </c>
      <c r="O3019" t="s">
        <v>75</v>
      </c>
      <c r="P3019" t="s">
        <v>74</v>
      </c>
      <c r="Q3019" t="s">
        <v>76</v>
      </c>
      <c r="R3019" t="s">
        <v>73</v>
      </c>
      <c r="S3019">
        <v>0</v>
      </c>
      <c r="W3019" s="20">
        <v>3.8078703703703707E-3</v>
      </c>
      <c r="X3019" t="s">
        <v>6463</v>
      </c>
      <c r="Y3019">
        <v>4</v>
      </c>
      <c r="Z3019">
        <v>0</v>
      </c>
      <c r="AA3019" t="s">
        <v>78</v>
      </c>
      <c r="AB3019">
        <v>0</v>
      </c>
      <c r="AC3019" t="s">
        <v>78</v>
      </c>
      <c r="AD3019">
        <v>0</v>
      </c>
      <c r="AE3019">
        <v>10397652</v>
      </c>
      <c r="AF3019" t="s">
        <v>88</v>
      </c>
      <c r="AG3019" t="s">
        <v>6012</v>
      </c>
    </row>
    <row r="3020" spans="1:33" x14ac:dyDescent="0.35">
      <c r="A3020" s="18">
        <v>44218.77847222222</v>
      </c>
      <c r="B3020">
        <v>583642</v>
      </c>
      <c r="C3020" t="s">
        <v>2337</v>
      </c>
      <c r="D3020" t="s">
        <v>205</v>
      </c>
      <c r="E3020" s="19">
        <v>40210</v>
      </c>
      <c r="F3020" t="str">
        <f>"9781596930902"</f>
        <v>9781596930902</v>
      </c>
      <c r="G3020" t="str">
        <f>"9781596930896"</f>
        <v>9781596930896</v>
      </c>
      <c r="H3020" t="s">
        <v>2338</v>
      </c>
      <c r="I3020">
        <v>621.38482999999997</v>
      </c>
      <c r="J3020" t="s">
        <v>2339</v>
      </c>
      <c r="K3020" t="s">
        <v>73</v>
      </c>
      <c r="N3020" t="s">
        <v>74</v>
      </c>
      <c r="O3020" t="s">
        <v>75</v>
      </c>
      <c r="P3020" t="s">
        <v>74</v>
      </c>
      <c r="Q3020" t="s">
        <v>76</v>
      </c>
      <c r="R3020" t="s">
        <v>73</v>
      </c>
      <c r="S3020">
        <v>0</v>
      </c>
      <c r="W3020" s="20">
        <v>4.8611111111111104E-4</v>
      </c>
      <c r="X3020" t="s">
        <v>249</v>
      </c>
      <c r="Y3020">
        <v>2</v>
      </c>
      <c r="Z3020">
        <v>0</v>
      </c>
      <c r="AA3020" t="s">
        <v>78</v>
      </c>
      <c r="AB3020">
        <v>0</v>
      </c>
      <c r="AC3020" t="s">
        <v>78</v>
      </c>
      <c r="AD3020">
        <v>0</v>
      </c>
      <c r="AE3020">
        <v>10393271</v>
      </c>
      <c r="AF3020" t="s">
        <v>79</v>
      </c>
      <c r="AG3020" t="s">
        <v>6012</v>
      </c>
    </row>
    <row r="3021" spans="1:33" x14ac:dyDescent="0.35">
      <c r="A3021" s="18">
        <v>44218.693055555559</v>
      </c>
      <c r="B3021">
        <v>3405013</v>
      </c>
      <c r="C3021" t="s">
        <v>6274</v>
      </c>
      <c r="D3021" t="s">
        <v>1332</v>
      </c>
      <c r="E3021" s="19">
        <v>29921</v>
      </c>
      <c r="F3021" t="str">
        <f>"9781613991664"</f>
        <v>9781613991664</v>
      </c>
      <c r="G3021" t="str">
        <f>"9780895203175"</f>
        <v>9780895203175</v>
      </c>
      <c r="H3021" t="s">
        <v>179</v>
      </c>
      <c r="J3021" t="s">
        <v>6275</v>
      </c>
      <c r="K3021" t="s">
        <v>73</v>
      </c>
      <c r="N3021" t="s">
        <v>74</v>
      </c>
      <c r="O3021" t="s">
        <v>75</v>
      </c>
      <c r="P3021" t="s">
        <v>74</v>
      </c>
      <c r="Q3021" t="s">
        <v>76</v>
      </c>
      <c r="R3021" t="s">
        <v>73</v>
      </c>
      <c r="S3021">
        <v>0</v>
      </c>
      <c r="W3021" s="20">
        <v>2.5347222222222221E-3</v>
      </c>
      <c r="X3021" t="s">
        <v>6464</v>
      </c>
      <c r="Y3021">
        <v>17</v>
      </c>
      <c r="Z3021">
        <v>0</v>
      </c>
      <c r="AA3021" t="s">
        <v>78</v>
      </c>
      <c r="AB3021">
        <v>0</v>
      </c>
      <c r="AC3021" t="s">
        <v>78</v>
      </c>
      <c r="AD3021">
        <v>0</v>
      </c>
      <c r="AE3021">
        <v>10619584</v>
      </c>
      <c r="AF3021" t="s">
        <v>79</v>
      </c>
      <c r="AG3021" t="s">
        <v>6012</v>
      </c>
    </row>
    <row r="3022" spans="1:33" x14ac:dyDescent="0.35">
      <c r="A3022" s="18">
        <v>44217.490277777775</v>
      </c>
      <c r="B3022">
        <v>6253285</v>
      </c>
      <c r="C3022" t="s">
        <v>6465</v>
      </c>
      <c r="D3022" t="s">
        <v>239</v>
      </c>
      <c r="E3022" s="19">
        <v>44004</v>
      </c>
      <c r="F3022" t="str">
        <f>"9789811216374"</f>
        <v>9789811216374</v>
      </c>
      <c r="G3022" t="str">
        <f>"9789811216367"</f>
        <v>9789811216367</v>
      </c>
      <c r="H3022" t="s">
        <v>1194</v>
      </c>
      <c r="I3022" t="s">
        <v>2024</v>
      </c>
      <c r="J3022" t="s">
        <v>6466</v>
      </c>
      <c r="K3022" t="s">
        <v>85</v>
      </c>
      <c r="N3022" t="s">
        <v>86</v>
      </c>
      <c r="P3022" t="s">
        <v>1850</v>
      </c>
      <c r="Q3022" t="s">
        <v>76</v>
      </c>
      <c r="R3022" t="s">
        <v>73</v>
      </c>
      <c r="S3022">
        <v>1</v>
      </c>
      <c r="T3022">
        <v>1</v>
      </c>
      <c r="U3022" s="18">
        <v>44217.490277777775</v>
      </c>
      <c r="V3022" s="18">
        <v>44218.490277777775</v>
      </c>
      <c r="W3022" s="20">
        <v>0</v>
      </c>
      <c r="X3022" t="s">
        <v>78</v>
      </c>
      <c r="Y3022">
        <v>0</v>
      </c>
      <c r="Z3022">
        <v>0</v>
      </c>
      <c r="AA3022" t="s">
        <v>78</v>
      </c>
      <c r="AB3022">
        <v>0</v>
      </c>
      <c r="AC3022" t="s">
        <v>78</v>
      </c>
      <c r="AD3022">
        <v>0</v>
      </c>
      <c r="AE3022">
        <v>-1</v>
      </c>
      <c r="AF3022" t="s">
        <v>88</v>
      </c>
      <c r="AG3022" t="s">
        <v>6012</v>
      </c>
    </row>
    <row r="3023" spans="1:33" x14ac:dyDescent="0.35">
      <c r="A3023" s="18">
        <v>44217.45416666667</v>
      </c>
      <c r="B3023">
        <v>5214696</v>
      </c>
      <c r="C3023" t="s">
        <v>4966</v>
      </c>
      <c r="D3023" t="s">
        <v>200</v>
      </c>
      <c r="E3023" s="19">
        <v>43130</v>
      </c>
      <c r="F3023" t="str">
        <f>"9789811055324"</f>
        <v>9789811055324</v>
      </c>
      <c r="G3023" t="str">
        <f>"9789811055317"</f>
        <v>9789811055317</v>
      </c>
      <c r="H3023" t="s">
        <v>979</v>
      </c>
      <c r="I3023">
        <v>629.89200000000005</v>
      </c>
      <c r="J3023" t="s">
        <v>202</v>
      </c>
      <c r="K3023" t="s">
        <v>85</v>
      </c>
      <c r="N3023" t="s">
        <v>86</v>
      </c>
      <c r="P3023" t="s">
        <v>87</v>
      </c>
      <c r="Q3023" t="s">
        <v>76</v>
      </c>
      <c r="R3023" t="s">
        <v>73</v>
      </c>
      <c r="S3023">
        <v>0</v>
      </c>
      <c r="W3023" s="20">
        <v>6.9444444444444444E-5</v>
      </c>
      <c r="X3023" t="s">
        <v>132</v>
      </c>
      <c r="Y3023">
        <v>1</v>
      </c>
      <c r="Z3023">
        <v>0</v>
      </c>
      <c r="AA3023" t="s">
        <v>78</v>
      </c>
      <c r="AB3023">
        <v>0</v>
      </c>
      <c r="AC3023" t="s">
        <v>78</v>
      </c>
      <c r="AD3023">
        <v>0</v>
      </c>
      <c r="AE3023">
        <v>11494319</v>
      </c>
      <c r="AF3023" t="s">
        <v>79</v>
      </c>
      <c r="AG3023" t="s">
        <v>431</v>
      </c>
    </row>
    <row r="3024" spans="1:33" x14ac:dyDescent="0.35">
      <c r="A3024" s="18">
        <v>44217.45208333333</v>
      </c>
      <c r="B3024">
        <v>5214696</v>
      </c>
      <c r="C3024" t="s">
        <v>4966</v>
      </c>
      <c r="D3024" t="s">
        <v>200</v>
      </c>
      <c r="E3024" s="19">
        <v>43130</v>
      </c>
      <c r="F3024" t="str">
        <f>"9789811055324"</f>
        <v>9789811055324</v>
      </c>
      <c r="G3024" t="str">
        <f>"9789811055317"</f>
        <v>9789811055317</v>
      </c>
      <c r="H3024" t="s">
        <v>979</v>
      </c>
      <c r="I3024">
        <v>629.89200000000005</v>
      </c>
      <c r="J3024" t="s">
        <v>202</v>
      </c>
      <c r="K3024" t="s">
        <v>85</v>
      </c>
      <c r="N3024" t="s">
        <v>86</v>
      </c>
      <c r="P3024" t="s">
        <v>87</v>
      </c>
      <c r="Q3024" t="s">
        <v>76</v>
      </c>
      <c r="R3024" t="s">
        <v>73</v>
      </c>
      <c r="S3024">
        <v>0</v>
      </c>
      <c r="W3024" s="20">
        <v>3.4722222222222222E-5</v>
      </c>
      <c r="X3024" t="s">
        <v>132</v>
      </c>
      <c r="Y3024">
        <v>1</v>
      </c>
      <c r="Z3024">
        <v>0</v>
      </c>
      <c r="AA3024" t="s">
        <v>78</v>
      </c>
      <c r="AB3024">
        <v>0</v>
      </c>
      <c r="AC3024" t="s">
        <v>78</v>
      </c>
      <c r="AD3024">
        <v>0</v>
      </c>
      <c r="AE3024">
        <v>11494319</v>
      </c>
      <c r="AF3024" t="s">
        <v>79</v>
      </c>
      <c r="AG3024" t="s">
        <v>6012</v>
      </c>
    </row>
    <row r="3025" spans="1:33" x14ac:dyDescent="0.35">
      <c r="A3025" s="18">
        <v>44217.393750000003</v>
      </c>
      <c r="B3025">
        <v>6253285</v>
      </c>
      <c r="C3025" t="s">
        <v>6465</v>
      </c>
      <c r="D3025" t="s">
        <v>239</v>
      </c>
      <c r="E3025" s="19">
        <v>44004</v>
      </c>
      <c r="F3025" t="str">
        <f>"9789811216374"</f>
        <v>9789811216374</v>
      </c>
      <c r="G3025" t="str">
        <f>"9789811216367"</f>
        <v>9789811216367</v>
      </c>
      <c r="H3025" t="s">
        <v>1194</v>
      </c>
      <c r="I3025" t="s">
        <v>2024</v>
      </c>
      <c r="J3025" t="s">
        <v>6466</v>
      </c>
      <c r="K3025" t="s">
        <v>85</v>
      </c>
      <c r="N3025" t="s">
        <v>86</v>
      </c>
      <c r="P3025" t="s">
        <v>1850</v>
      </c>
      <c r="Q3025" t="s">
        <v>76</v>
      </c>
      <c r="R3025" t="s">
        <v>73</v>
      </c>
      <c r="S3025">
        <v>0</v>
      </c>
      <c r="W3025" s="20">
        <v>9.2592592592592588E-5</v>
      </c>
      <c r="X3025" t="s">
        <v>132</v>
      </c>
      <c r="Y3025">
        <v>1</v>
      </c>
      <c r="Z3025">
        <v>0</v>
      </c>
      <c r="AA3025" t="s">
        <v>78</v>
      </c>
      <c r="AB3025">
        <v>0</v>
      </c>
      <c r="AC3025" t="s">
        <v>78</v>
      </c>
      <c r="AD3025">
        <v>0</v>
      </c>
      <c r="AE3025">
        <v>-1</v>
      </c>
      <c r="AF3025" t="s">
        <v>79</v>
      </c>
      <c r="AG3025" t="s">
        <v>6012</v>
      </c>
    </row>
    <row r="3026" spans="1:33" x14ac:dyDescent="0.35">
      <c r="A3026" s="18">
        <v>44216.682638888888</v>
      </c>
      <c r="B3026">
        <v>3339142</v>
      </c>
      <c r="C3026" t="s">
        <v>1890</v>
      </c>
      <c r="D3026" t="s">
        <v>300</v>
      </c>
      <c r="E3026" s="19">
        <v>40025</v>
      </c>
      <c r="F3026" t="str">
        <f>"9780262270830"</f>
        <v>9780262270830</v>
      </c>
      <c r="G3026" t="str">
        <f>"9780262533058"</f>
        <v>9780262533058</v>
      </c>
      <c r="H3026" t="s">
        <v>110</v>
      </c>
      <c r="I3026">
        <v>5.0999999999999996</v>
      </c>
      <c r="J3026" t="s">
        <v>1891</v>
      </c>
      <c r="K3026" t="s">
        <v>73</v>
      </c>
      <c r="N3026" t="s">
        <v>74</v>
      </c>
      <c r="O3026" t="s">
        <v>75</v>
      </c>
      <c r="P3026" t="s">
        <v>74</v>
      </c>
      <c r="Q3026" t="s">
        <v>76</v>
      </c>
      <c r="R3026" t="s">
        <v>73</v>
      </c>
      <c r="S3026">
        <v>0</v>
      </c>
      <c r="W3026" s="20">
        <v>9.0277777777777784E-4</v>
      </c>
      <c r="X3026" t="s">
        <v>6467</v>
      </c>
      <c r="Y3026">
        <v>11</v>
      </c>
      <c r="Z3026">
        <v>0</v>
      </c>
      <c r="AA3026" t="s">
        <v>78</v>
      </c>
      <c r="AB3026">
        <v>0</v>
      </c>
      <c r="AC3026" t="s">
        <v>78</v>
      </c>
      <c r="AD3026">
        <v>0</v>
      </c>
      <c r="AE3026">
        <v>10397652</v>
      </c>
      <c r="AF3026" t="s">
        <v>79</v>
      </c>
      <c r="AG3026" t="s">
        <v>6012</v>
      </c>
    </row>
    <row r="3027" spans="1:33" x14ac:dyDescent="0.35">
      <c r="A3027" s="18">
        <v>44216.677083333336</v>
      </c>
      <c r="B3027">
        <v>4875240</v>
      </c>
      <c r="C3027" t="s">
        <v>465</v>
      </c>
      <c r="D3027" t="s">
        <v>70</v>
      </c>
      <c r="E3027" s="19">
        <v>42954</v>
      </c>
      <c r="F3027" t="str">
        <f>"9781119329039"</f>
        <v>9781119329039</v>
      </c>
      <c r="G3027" t="str">
        <f>"9781119329053"</f>
        <v>9781119329053</v>
      </c>
      <c r="H3027" t="s">
        <v>466</v>
      </c>
      <c r="I3027">
        <v>621.38104399999997</v>
      </c>
      <c r="J3027" t="s">
        <v>467</v>
      </c>
      <c r="K3027" t="s">
        <v>73</v>
      </c>
      <c r="N3027" t="s">
        <v>74</v>
      </c>
      <c r="O3027" t="s">
        <v>75</v>
      </c>
      <c r="P3027" t="s">
        <v>74</v>
      </c>
      <c r="Q3027" t="s">
        <v>76</v>
      </c>
      <c r="R3027" t="s">
        <v>73</v>
      </c>
      <c r="S3027">
        <v>0</v>
      </c>
      <c r="W3027" s="20">
        <v>3.7037037037037034E-3</v>
      </c>
      <c r="X3027" t="s">
        <v>6468</v>
      </c>
      <c r="Y3027">
        <v>16</v>
      </c>
      <c r="Z3027">
        <v>0</v>
      </c>
      <c r="AA3027" t="s">
        <v>78</v>
      </c>
      <c r="AB3027">
        <v>0</v>
      </c>
      <c r="AC3027" t="s">
        <v>78</v>
      </c>
      <c r="AD3027">
        <v>0</v>
      </c>
      <c r="AE3027">
        <v>11395817</v>
      </c>
      <c r="AF3027" t="s">
        <v>79</v>
      </c>
      <c r="AG3027" t="s">
        <v>6460</v>
      </c>
    </row>
    <row r="3028" spans="1:33" x14ac:dyDescent="0.35">
      <c r="A3028" s="18">
        <v>44216.647222222222</v>
      </c>
      <c r="B3028">
        <v>3339142</v>
      </c>
      <c r="C3028" t="s">
        <v>1890</v>
      </c>
      <c r="D3028" t="s">
        <v>300</v>
      </c>
      <c r="E3028" s="19">
        <v>40025</v>
      </c>
      <c r="F3028" t="str">
        <f>"9780262270830"</f>
        <v>9780262270830</v>
      </c>
      <c r="G3028" t="str">
        <f>"9780262533058"</f>
        <v>9780262533058</v>
      </c>
      <c r="H3028" t="s">
        <v>110</v>
      </c>
      <c r="I3028">
        <v>5.0999999999999996</v>
      </c>
      <c r="J3028" t="s">
        <v>1891</v>
      </c>
      <c r="K3028" t="s">
        <v>73</v>
      </c>
      <c r="N3028" t="s">
        <v>74</v>
      </c>
      <c r="O3028" t="s">
        <v>75</v>
      </c>
      <c r="P3028" t="s">
        <v>74</v>
      </c>
      <c r="Q3028" t="s">
        <v>76</v>
      </c>
      <c r="R3028" t="s">
        <v>73</v>
      </c>
      <c r="S3028">
        <v>0</v>
      </c>
      <c r="W3028" s="20">
        <v>9.7337962962962977E-3</v>
      </c>
      <c r="X3028" t="s">
        <v>6469</v>
      </c>
      <c r="Y3028">
        <v>15</v>
      </c>
      <c r="Z3028">
        <v>0</v>
      </c>
      <c r="AA3028" t="s">
        <v>78</v>
      </c>
      <c r="AB3028">
        <v>0</v>
      </c>
      <c r="AC3028" t="s">
        <v>78</v>
      </c>
      <c r="AD3028">
        <v>0</v>
      </c>
      <c r="AE3028">
        <v>10397652</v>
      </c>
      <c r="AF3028" t="s">
        <v>79</v>
      </c>
      <c r="AG3028" t="s">
        <v>6012</v>
      </c>
    </row>
    <row r="3029" spans="1:33" x14ac:dyDescent="0.35">
      <c r="A3029" s="18">
        <v>44216.620138888888</v>
      </c>
      <c r="B3029">
        <v>1562141</v>
      </c>
      <c r="C3029" t="s">
        <v>6470</v>
      </c>
      <c r="D3029" t="s">
        <v>1311</v>
      </c>
      <c r="E3029" s="19">
        <v>40703</v>
      </c>
      <c r="F3029" t="str">
        <f>"9781317902997"</f>
        <v>9781317902997</v>
      </c>
      <c r="G3029" t="str">
        <f>"9780273724681"</f>
        <v>9780273724681</v>
      </c>
      <c r="H3029" t="s">
        <v>2999</v>
      </c>
      <c r="I3029">
        <v>729.29</v>
      </c>
      <c r="J3029" t="s">
        <v>6471</v>
      </c>
      <c r="K3029" t="s">
        <v>85</v>
      </c>
      <c r="N3029" t="s">
        <v>86</v>
      </c>
      <c r="P3029" t="s">
        <v>87</v>
      </c>
      <c r="Q3029" t="s">
        <v>76</v>
      </c>
      <c r="R3029" t="s">
        <v>73</v>
      </c>
      <c r="S3029">
        <v>0</v>
      </c>
      <c r="W3029" s="20">
        <v>9.2592592592592588E-5</v>
      </c>
      <c r="X3029" t="s">
        <v>125</v>
      </c>
      <c r="Y3029">
        <v>2</v>
      </c>
      <c r="Z3029">
        <v>0</v>
      </c>
      <c r="AA3029" t="s">
        <v>78</v>
      </c>
      <c r="AB3029">
        <v>0</v>
      </c>
      <c r="AC3029" t="s">
        <v>78</v>
      </c>
      <c r="AD3029">
        <v>0</v>
      </c>
      <c r="AE3029">
        <v>10806980</v>
      </c>
      <c r="AF3029" t="s">
        <v>79</v>
      </c>
      <c r="AG3029" t="s">
        <v>6472</v>
      </c>
    </row>
    <row r="3030" spans="1:33" x14ac:dyDescent="0.35">
      <c r="A3030" s="18">
        <v>44216.618750000001</v>
      </c>
      <c r="B3030">
        <v>6452036</v>
      </c>
      <c r="C3030" t="s">
        <v>6473</v>
      </c>
      <c r="D3030" t="s">
        <v>200</v>
      </c>
      <c r="E3030" s="19">
        <v>44203</v>
      </c>
      <c r="F3030" t="str">
        <f>"9789813346420"</f>
        <v>9789813346420</v>
      </c>
      <c r="G3030" t="str">
        <f>"9789813346413"</f>
        <v>9789813346413</v>
      </c>
      <c r="H3030" t="s">
        <v>3540</v>
      </c>
      <c r="I3030">
        <v>621.39499999999998</v>
      </c>
      <c r="J3030" t="s">
        <v>202</v>
      </c>
      <c r="K3030" t="s">
        <v>85</v>
      </c>
      <c r="N3030" t="s">
        <v>86</v>
      </c>
      <c r="P3030" t="s">
        <v>87</v>
      </c>
      <c r="Q3030" t="s">
        <v>76</v>
      </c>
      <c r="R3030" t="s">
        <v>73</v>
      </c>
      <c r="S3030">
        <v>0</v>
      </c>
      <c r="W3030" s="20">
        <v>5.7870370370370366E-5</v>
      </c>
      <c r="X3030" t="s">
        <v>132</v>
      </c>
      <c r="Y3030">
        <v>1</v>
      </c>
      <c r="Z3030">
        <v>0</v>
      </c>
      <c r="AA3030" t="s">
        <v>78</v>
      </c>
      <c r="AB3030">
        <v>0</v>
      </c>
      <c r="AC3030" t="s">
        <v>78</v>
      </c>
      <c r="AD3030">
        <v>0</v>
      </c>
      <c r="AE3030">
        <v>-1</v>
      </c>
      <c r="AF3030" t="s">
        <v>79</v>
      </c>
      <c r="AG3030" t="s">
        <v>6472</v>
      </c>
    </row>
    <row r="3031" spans="1:33" x14ac:dyDescent="0.35">
      <c r="A3031" s="18">
        <v>44216.61041666667</v>
      </c>
      <c r="B3031">
        <v>6253285</v>
      </c>
      <c r="C3031" t="s">
        <v>6465</v>
      </c>
      <c r="D3031" t="s">
        <v>239</v>
      </c>
      <c r="E3031" s="19">
        <v>44004</v>
      </c>
      <c r="F3031" t="str">
        <f>"9789811216374"</f>
        <v>9789811216374</v>
      </c>
      <c r="G3031" t="str">
        <f>"9789811216367"</f>
        <v>9789811216367</v>
      </c>
      <c r="H3031" t="s">
        <v>1194</v>
      </c>
      <c r="I3031" t="s">
        <v>2024</v>
      </c>
      <c r="J3031" t="s">
        <v>6466</v>
      </c>
      <c r="K3031" t="s">
        <v>85</v>
      </c>
      <c r="N3031" t="s">
        <v>86</v>
      </c>
      <c r="P3031" t="s">
        <v>1850</v>
      </c>
      <c r="Q3031" t="s">
        <v>76</v>
      </c>
      <c r="R3031" t="s">
        <v>73</v>
      </c>
      <c r="S3031">
        <v>0</v>
      </c>
      <c r="W3031" s="20">
        <v>1.1574074074074073E-4</v>
      </c>
      <c r="X3031" t="s">
        <v>125</v>
      </c>
      <c r="Y3031">
        <v>2</v>
      </c>
      <c r="Z3031">
        <v>0</v>
      </c>
      <c r="AA3031" t="s">
        <v>78</v>
      </c>
      <c r="AB3031">
        <v>0</v>
      </c>
      <c r="AC3031" t="s">
        <v>78</v>
      </c>
      <c r="AD3031">
        <v>0</v>
      </c>
      <c r="AE3031">
        <v>-1</v>
      </c>
      <c r="AF3031" t="s">
        <v>79</v>
      </c>
      <c r="AG3031" t="s">
        <v>6472</v>
      </c>
    </row>
    <row r="3032" spans="1:33" x14ac:dyDescent="0.35">
      <c r="A3032" s="18">
        <v>44216.609027777777</v>
      </c>
      <c r="B3032">
        <v>1193106</v>
      </c>
      <c r="C3032" t="s">
        <v>6474</v>
      </c>
      <c r="D3032" t="s">
        <v>239</v>
      </c>
      <c r="E3032" s="19">
        <v>41358</v>
      </c>
      <c r="F3032" t="str">
        <f>"9789814508308"</f>
        <v>9789814508308</v>
      </c>
      <c r="G3032" t="str">
        <f>"9789814508292"</f>
        <v>9789814508292</v>
      </c>
      <c r="H3032" t="s">
        <v>6475</v>
      </c>
      <c r="I3032">
        <v>620.10599999999999</v>
      </c>
      <c r="J3032" t="s">
        <v>6476</v>
      </c>
      <c r="K3032" t="s">
        <v>73</v>
      </c>
      <c r="N3032" t="s">
        <v>74</v>
      </c>
      <c r="O3032" t="s">
        <v>75</v>
      </c>
      <c r="P3032" t="s">
        <v>74</v>
      </c>
      <c r="Q3032" t="s">
        <v>76</v>
      </c>
      <c r="R3032" t="s">
        <v>73</v>
      </c>
      <c r="S3032">
        <v>0</v>
      </c>
      <c r="W3032" s="20">
        <v>0</v>
      </c>
      <c r="X3032" t="s">
        <v>78</v>
      </c>
      <c r="Y3032">
        <v>0</v>
      </c>
      <c r="Z3032">
        <v>2</v>
      </c>
      <c r="AA3032" t="s">
        <v>6477</v>
      </c>
      <c r="AB3032">
        <v>60</v>
      </c>
      <c r="AC3032" t="s">
        <v>78</v>
      </c>
      <c r="AD3032">
        <v>0</v>
      </c>
      <c r="AE3032">
        <v>10700690</v>
      </c>
      <c r="AF3032" t="s">
        <v>79</v>
      </c>
      <c r="AG3032" t="s">
        <v>6012</v>
      </c>
    </row>
    <row r="3033" spans="1:33" x14ac:dyDescent="0.35">
      <c r="A3033" s="18">
        <v>44216.595833333333</v>
      </c>
      <c r="B3033">
        <v>3339142</v>
      </c>
      <c r="C3033" t="s">
        <v>1890</v>
      </c>
      <c r="D3033" t="s">
        <v>300</v>
      </c>
      <c r="E3033" s="19">
        <v>40025</v>
      </c>
      <c r="F3033" t="str">
        <f>"9780262270830"</f>
        <v>9780262270830</v>
      </c>
      <c r="G3033" t="str">
        <f>"9780262533058"</f>
        <v>9780262533058</v>
      </c>
      <c r="H3033" t="s">
        <v>110</v>
      </c>
      <c r="I3033">
        <v>5.0999999999999996</v>
      </c>
      <c r="J3033" t="s">
        <v>1891</v>
      </c>
      <c r="K3033" t="s">
        <v>73</v>
      </c>
      <c r="N3033" t="s">
        <v>74</v>
      </c>
      <c r="O3033" t="s">
        <v>75</v>
      </c>
      <c r="P3033" t="s">
        <v>74</v>
      </c>
      <c r="Q3033" t="s">
        <v>76</v>
      </c>
      <c r="R3033" t="s">
        <v>73</v>
      </c>
      <c r="S3033">
        <v>0</v>
      </c>
      <c r="W3033" s="20">
        <v>2.1898148148148149E-2</v>
      </c>
      <c r="X3033" t="s">
        <v>6478</v>
      </c>
      <c r="Y3033">
        <v>49</v>
      </c>
      <c r="Z3033">
        <v>0</v>
      </c>
      <c r="AA3033" t="s">
        <v>78</v>
      </c>
      <c r="AB3033">
        <v>0</v>
      </c>
      <c r="AC3033" t="s">
        <v>78</v>
      </c>
      <c r="AD3033">
        <v>0</v>
      </c>
      <c r="AE3033">
        <v>10397652</v>
      </c>
      <c r="AF3033" t="s">
        <v>88</v>
      </c>
      <c r="AG3033" t="s">
        <v>6012</v>
      </c>
    </row>
    <row r="3034" spans="1:33" x14ac:dyDescent="0.35">
      <c r="A3034" s="18">
        <v>44216.594444444447</v>
      </c>
      <c r="B3034">
        <v>4939442</v>
      </c>
      <c r="C3034" t="s">
        <v>6479</v>
      </c>
      <c r="D3034" t="s">
        <v>70</v>
      </c>
      <c r="E3034" s="19">
        <v>43073</v>
      </c>
      <c r="F3034" t="str">
        <f>"9783527699797"</f>
        <v>9783527699797</v>
      </c>
      <c r="G3034" t="str">
        <f>"9783527340910"</f>
        <v>9783527340910</v>
      </c>
      <c r="H3034" t="s">
        <v>6480</v>
      </c>
      <c r="I3034">
        <v>620.11297000000002</v>
      </c>
      <c r="J3034" t="s">
        <v>6481</v>
      </c>
      <c r="K3034" t="s">
        <v>73</v>
      </c>
      <c r="N3034" t="s">
        <v>74</v>
      </c>
      <c r="O3034" t="s">
        <v>75</v>
      </c>
      <c r="P3034" t="s">
        <v>74</v>
      </c>
      <c r="Q3034" t="s">
        <v>76</v>
      </c>
      <c r="R3034" t="s">
        <v>73</v>
      </c>
      <c r="S3034">
        <v>0</v>
      </c>
      <c r="W3034" s="20">
        <v>0</v>
      </c>
      <c r="X3034" t="s">
        <v>78</v>
      </c>
      <c r="Y3034">
        <v>0</v>
      </c>
      <c r="Z3034">
        <v>0</v>
      </c>
      <c r="AA3034" t="s">
        <v>78</v>
      </c>
      <c r="AB3034">
        <v>0</v>
      </c>
      <c r="AC3034" t="s">
        <v>78</v>
      </c>
      <c r="AD3034">
        <v>0</v>
      </c>
      <c r="AE3034">
        <v>11422579</v>
      </c>
      <c r="AF3034" t="s">
        <v>79</v>
      </c>
      <c r="AG3034" t="s">
        <v>6482</v>
      </c>
    </row>
    <row r="3035" spans="1:33" x14ac:dyDescent="0.35">
      <c r="A3035" s="18">
        <v>44216.593055555553</v>
      </c>
      <c r="B3035">
        <v>5496107</v>
      </c>
      <c r="C3035" t="s">
        <v>6483</v>
      </c>
      <c r="D3035" t="s">
        <v>158</v>
      </c>
      <c r="E3035" s="19">
        <v>43337</v>
      </c>
      <c r="F3035" t="str">
        <f>"9780128130285"</f>
        <v>9780128130285</v>
      </c>
      <c r="G3035" t="str">
        <f>"9780128130278"</f>
        <v>9780128130278</v>
      </c>
      <c r="H3035" t="s">
        <v>179</v>
      </c>
      <c r="I3035">
        <v>622.33820000000003</v>
      </c>
      <c r="J3035" t="s">
        <v>6484</v>
      </c>
      <c r="K3035" t="s">
        <v>73</v>
      </c>
      <c r="N3035" t="s">
        <v>74</v>
      </c>
      <c r="O3035" t="s">
        <v>75</v>
      </c>
      <c r="P3035" t="s">
        <v>74</v>
      </c>
      <c r="Q3035" t="s">
        <v>76</v>
      </c>
      <c r="R3035" t="s">
        <v>73</v>
      </c>
      <c r="S3035">
        <v>0</v>
      </c>
      <c r="W3035" s="20">
        <v>0</v>
      </c>
      <c r="X3035" t="s">
        <v>78</v>
      </c>
      <c r="Y3035">
        <v>0</v>
      </c>
      <c r="Z3035">
        <v>3</v>
      </c>
      <c r="AA3035" t="s">
        <v>6485</v>
      </c>
      <c r="AB3035">
        <v>79</v>
      </c>
      <c r="AC3035" t="s">
        <v>78</v>
      </c>
      <c r="AD3035">
        <v>0</v>
      </c>
      <c r="AE3035">
        <v>-1</v>
      </c>
      <c r="AF3035" t="s">
        <v>79</v>
      </c>
      <c r="AG3035" t="s">
        <v>6012</v>
      </c>
    </row>
    <row r="3036" spans="1:33" x14ac:dyDescent="0.35">
      <c r="A3036" s="18">
        <v>44216.592361111114</v>
      </c>
      <c r="B3036">
        <v>894402</v>
      </c>
      <c r="C3036" t="s">
        <v>6486</v>
      </c>
      <c r="D3036" t="s">
        <v>70</v>
      </c>
      <c r="E3036" s="19">
        <v>41176</v>
      </c>
      <c r="F3036" t="str">
        <f>"9781118360699"</f>
        <v>9781118360699</v>
      </c>
      <c r="G3036" t="str">
        <f>"9780470638828"</f>
        <v>9780470638828</v>
      </c>
      <c r="H3036" t="s">
        <v>6487</v>
      </c>
      <c r="I3036" t="s">
        <v>2963</v>
      </c>
      <c r="J3036" t="s">
        <v>6488</v>
      </c>
      <c r="K3036" t="s">
        <v>85</v>
      </c>
      <c r="N3036" t="s">
        <v>74</v>
      </c>
      <c r="O3036" t="s">
        <v>75</v>
      </c>
      <c r="P3036" t="s">
        <v>74</v>
      </c>
      <c r="Q3036" t="s">
        <v>76</v>
      </c>
      <c r="R3036" t="s">
        <v>73</v>
      </c>
      <c r="S3036">
        <v>1</v>
      </c>
      <c r="W3036" s="20">
        <v>0</v>
      </c>
      <c r="X3036" t="s">
        <v>78</v>
      </c>
      <c r="Y3036">
        <v>0</v>
      </c>
      <c r="Z3036">
        <v>0</v>
      </c>
      <c r="AA3036" t="s">
        <v>78</v>
      </c>
      <c r="AB3036">
        <v>0</v>
      </c>
      <c r="AC3036" t="s">
        <v>78</v>
      </c>
      <c r="AD3036">
        <v>0</v>
      </c>
      <c r="AE3036">
        <v>10606048</v>
      </c>
      <c r="AF3036" t="s">
        <v>88</v>
      </c>
      <c r="AG3036" t="s">
        <v>6489</v>
      </c>
    </row>
    <row r="3037" spans="1:33" x14ac:dyDescent="0.35">
      <c r="A3037" s="18">
        <v>44216.588888888888</v>
      </c>
      <c r="B3037">
        <v>894402</v>
      </c>
      <c r="C3037" t="s">
        <v>6486</v>
      </c>
      <c r="D3037" t="s">
        <v>70</v>
      </c>
      <c r="E3037" s="19">
        <v>41176</v>
      </c>
      <c r="F3037" t="str">
        <f>"9781118360699"</f>
        <v>9781118360699</v>
      </c>
      <c r="G3037" t="str">
        <f>"9780470638828"</f>
        <v>9780470638828</v>
      </c>
      <c r="H3037" t="s">
        <v>6487</v>
      </c>
      <c r="I3037" t="s">
        <v>2963</v>
      </c>
      <c r="J3037" t="s">
        <v>6488</v>
      </c>
      <c r="K3037" t="s">
        <v>85</v>
      </c>
      <c r="N3037" t="s">
        <v>74</v>
      </c>
      <c r="O3037" t="s">
        <v>75</v>
      </c>
      <c r="P3037" t="s">
        <v>74</v>
      </c>
      <c r="Q3037" t="s">
        <v>76</v>
      </c>
      <c r="R3037" t="s">
        <v>73</v>
      </c>
      <c r="S3037">
        <v>0</v>
      </c>
      <c r="W3037" s="20">
        <v>0</v>
      </c>
      <c r="X3037" t="s">
        <v>78</v>
      </c>
      <c r="Y3037">
        <v>0</v>
      </c>
      <c r="Z3037">
        <v>0</v>
      </c>
      <c r="AA3037" t="s">
        <v>78</v>
      </c>
      <c r="AB3037">
        <v>0</v>
      </c>
      <c r="AC3037" t="s">
        <v>78</v>
      </c>
      <c r="AD3037">
        <v>0</v>
      </c>
      <c r="AE3037">
        <v>10606048</v>
      </c>
      <c r="AF3037" t="s">
        <v>79</v>
      </c>
      <c r="AG3037" t="s">
        <v>6482</v>
      </c>
    </row>
    <row r="3038" spans="1:33" x14ac:dyDescent="0.35">
      <c r="A3038" s="18">
        <v>44216.588888888888</v>
      </c>
      <c r="B3038">
        <v>894402</v>
      </c>
      <c r="C3038" t="s">
        <v>6486</v>
      </c>
      <c r="D3038" t="s">
        <v>70</v>
      </c>
      <c r="E3038" s="19">
        <v>41176</v>
      </c>
      <c r="F3038" t="str">
        <f>"9781118360699"</f>
        <v>9781118360699</v>
      </c>
      <c r="G3038" t="str">
        <f>"9780470638828"</f>
        <v>9780470638828</v>
      </c>
      <c r="H3038" t="s">
        <v>6487</v>
      </c>
      <c r="I3038" t="s">
        <v>2963</v>
      </c>
      <c r="J3038" t="s">
        <v>6488</v>
      </c>
      <c r="K3038" t="s">
        <v>85</v>
      </c>
      <c r="N3038" t="s">
        <v>74</v>
      </c>
      <c r="O3038" t="s">
        <v>75</v>
      </c>
      <c r="P3038" t="s">
        <v>74</v>
      </c>
      <c r="Q3038" t="s">
        <v>76</v>
      </c>
      <c r="R3038" t="s">
        <v>73</v>
      </c>
      <c r="S3038">
        <v>0</v>
      </c>
      <c r="W3038" s="20">
        <v>3.5763888888888894E-3</v>
      </c>
      <c r="X3038" t="s">
        <v>6490</v>
      </c>
      <c r="Y3038">
        <v>25</v>
      </c>
      <c r="Z3038">
        <v>0</v>
      </c>
      <c r="AA3038" t="s">
        <v>78</v>
      </c>
      <c r="AB3038">
        <v>0</v>
      </c>
      <c r="AC3038" t="s">
        <v>78</v>
      </c>
      <c r="AD3038">
        <v>0</v>
      </c>
      <c r="AE3038">
        <v>10606048</v>
      </c>
      <c r="AF3038" t="s">
        <v>88</v>
      </c>
      <c r="AG3038" t="s">
        <v>6489</v>
      </c>
    </row>
    <row r="3039" spans="1:33" x14ac:dyDescent="0.35">
      <c r="A3039" s="18">
        <v>44216.588888888888</v>
      </c>
      <c r="B3039">
        <v>4939442</v>
      </c>
      <c r="C3039" t="s">
        <v>6479</v>
      </c>
      <c r="D3039" t="s">
        <v>70</v>
      </c>
      <c r="E3039" s="19">
        <v>43073</v>
      </c>
      <c r="F3039" t="str">
        <f t="shared" ref="F3039:F3045" si="8">"9783527699797"</f>
        <v>9783527699797</v>
      </c>
      <c r="G3039" t="str">
        <f t="shared" ref="G3039:G3045" si="9">"9783527340910"</f>
        <v>9783527340910</v>
      </c>
      <c r="H3039" t="s">
        <v>6480</v>
      </c>
      <c r="I3039">
        <v>620.11297000000002</v>
      </c>
      <c r="J3039" t="s">
        <v>6481</v>
      </c>
      <c r="K3039" t="s">
        <v>73</v>
      </c>
      <c r="N3039" t="s">
        <v>74</v>
      </c>
      <c r="O3039" t="s">
        <v>75</v>
      </c>
      <c r="P3039" t="s">
        <v>74</v>
      </c>
      <c r="Q3039" t="s">
        <v>76</v>
      </c>
      <c r="R3039" t="s">
        <v>73</v>
      </c>
      <c r="S3039">
        <v>0</v>
      </c>
      <c r="W3039" s="20">
        <v>0</v>
      </c>
      <c r="X3039" t="s">
        <v>78</v>
      </c>
      <c r="Y3039">
        <v>0</v>
      </c>
      <c r="Z3039">
        <v>0</v>
      </c>
      <c r="AA3039" t="s">
        <v>78</v>
      </c>
      <c r="AB3039">
        <v>0</v>
      </c>
      <c r="AC3039" t="s">
        <v>78</v>
      </c>
      <c r="AD3039">
        <v>0</v>
      </c>
      <c r="AE3039">
        <v>11422579</v>
      </c>
      <c r="AF3039" t="s">
        <v>79</v>
      </c>
      <c r="AG3039" t="s">
        <v>6482</v>
      </c>
    </row>
    <row r="3040" spans="1:33" x14ac:dyDescent="0.35">
      <c r="A3040" s="18">
        <v>44216.587500000001</v>
      </c>
      <c r="B3040">
        <v>4939442</v>
      </c>
      <c r="C3040" t="s">
        <v>6479</v>
      </c>
      <c r="D3040" t="s">
        <v>70</v>
      </c>
      <c r="E3040" s="19">
        <v>43073</v>
      </c>
      <c r="F3040" t="str">
        <f t="shared" si="8"/>
        <v>9783527699797</v>
      </c>
      <c r="G3040" t="str">
        <f t="shared" si="9"/>
        <v>9783527340910</v>
      </c>
      <c r="H3040" t="s">
        <v>6480</v>
      </c>
      <c r="I3040">
        <v>620.11297000000002</v>
      </c>
      <c r="J3040" t="s">
        <v>6481</v>
      </c>
      <c r="K3040" t="s">
        <v>73</v>
      </c>
      <c r="N3040" t="s">
        <v>74</v>
      </c>
      <c r="O3040" t="s">
        <v>75</v>
      </c>
      <c r="P3040" t="s">
        <v>74</v>
      </c>
      <c r="Q3040" t="s">
        <v>76</v>
      </c>
      <c r="R3040" t="s">
        <v>73</v>
      </c>
      <c r="S3040">
        <v>0</v>
      </c>
      <c r="W3040" s="20">
        <v>0</v>
      </c>
      <c r="X3040" t="s">
        <v>78</v>
      </c>
      <c r="Y3040">
        <v>0</v>
      </c>
      <c r="Z3040">
        <v>0</v>
      </c>
      <c r="AA3040" t="s">
        <v>78</v>
      </c>
      <c r="AB3040">
        <v>0</v>
      </c>
      <c r="AC3040" t="s">
        <v>78</v>
      </c>
      <c r="AD3040">
        <v>0</v>
      </c>
      <c r="AE3040">
        <v>11422579</v>
      </c>
      <c r="AF3040" t="s">
        <v>79</v>
      </c>
      <c r="AG3040" t="s">
        <v>6482</v>
      </c>
    </row>
    <row r="3041" spans="1:33" x14ac:dyDescent="0.35">
      <c r="A3041" s="18">
        <v>44216.586805555555</v>
      </c>
      <c r="B3041">
        <v>4939442</v>
      </c>
      <c r="C3041" t="s">
        <v>6479</v>
      </c>
      <c r="D3041" t="s">
        <v>70</v>
      </c>
      <c r="E3041" s="19">
        <v>43073</v>
      </c>
      <c r="F3041" t="str">
        <f t="shared" si="8"/>
        <v>9783527699797</v>
      </c>
      <c r="G3041" t="str">
        <f t="shared" si="9"/>
        <v>9783527340910</v>
      </c>
      <c r="H3041" t="s">
        <v>6480</v>
      </c>
      <c r="I3041">
        <v>620.11297000000002</v>
      </c>
      <c r="J3041" t="s">
        <v>6481</v>
      </c>
      <c r="K3041" t="s">
        <v>73</v>
      </c>
      <c r="N3041" t="s">
        <v>74</v>
      </c>
      <c r="O3041" t="s">
        <v>75</v>
      </c>
      <c r="P3041" t="s">
        <v>74</v>
      </c>
      <c r="Q3041" t="s">
        <v>76</v>
      </c>
      <c r="R3041" t="s">
        <v>73</v>
      </c>
      <c r="S3041">
        <v>0</v>
      </c>
      <c r="W3041" s="20">
        <v>0</v>
      </c>
      <c r="X3041" t="s">
        <v>78</v>
      </c>
      <c r="Y3041">
        <v>0</v>
      </c>
      <c r="Z3041">
        <v>0</v>
      </c>
      <c r="AA3041" t="s">
        <v>78</v>
      </c>
      <c r="AB3041">
        <v>0</v>
      </c>
      <c r="AC3041" t="s">
        <v>78</v>
      </c>
      <c r="AD3041">
        <v>0</v>
      </c>
      <c r="AE3041">
        <v>11422579</v>
      </c>
      <c r="AF3041" t="s">
        <v>79</v>
      </c>
      <c r="AG3041" t="s">
        <v>6482</v>
      </c>
    </row>
    <row r="3042" spans="1:33" x14ac:dyDescent="0.35">
      <c r="A3042" s="18">
        <v>44216.583333333336</v>
      </c>
      <c r="B3042">
        <v>4939442</v>
      </c>
      <c r="C3042" t="s">
        <v>6479</v>
      </c>
      <c r="D3042" t="s">
        <v>70</v>
      </c>
      <c r="E3042" s="19">
        <v>43073</v>
      </c>
      <c r="F3042" t="str">
        <f t="shared" si="8"/>
        <v>9783527699797</v>
      </c>
      <c r="G3042" t="str">
        <f t="shared" si="9"/>
        <v>9783527340910</v>
      </c>
      <c r="H3042" t="s">
        <v>6480</v>
      </c>
      <c r="I3042">
        <v>620.11297000000002</v>
      </c>
      <c r="J3042" t="s">
        <v>6481</v>
      </c>
      <c r="K3042" t="s">
        <v>73</v>
      </c>
      <c r="N3042" t="s">
        <v>74</v>
      </c>
      <c r="O3042" t="s">
        <v>75</v>
      </c>
      <c r="P3042" t="s">
        <v>74</v>
      </c>
      <c r="Q3042" t="s">
        <v>76</v>
      </c>
      <c r="R3042" t="s">
        <v>73</v>
      </c>
      <c r="S3042">
        <v>0</v>
      </c>
      <c r="W3042" s="20">
        <v>0</v>
      </c>
      <c r="X3042" t="s">
        <v>78</v>
      </c>
      <c r="Y3042">
        <v>0</v>
      </c>
      <c r="Z3042">
        <v>0</v>
      </c>
      <c r="AA3042" t="s">
        <v>78</v>
      </c>
      <c r="AB3042">
        <v>0</v>
      </c>
      <c r="AC3042" t="s">
        <v>78</v>
      </c>
      <c r="AD3042">
        <v>0</v>
      </c>
      <c r="AE3042">
        <v>11422579</v>
      </c>
      <c r="AF3042" t="s">
        <v>79</v>
      </c>
      <c r="AG3042" t="s">
        <v>6482</v>
      </c>
    </row>
    <row r="3043" spans="1:33" x14ac:dyDescent="0.35">
      <c r="A3043" s="18">
        <v>44216.582638888889</v>
      </c>
      <c r="B3043">
        <v>4939442</v>
      </c>
      <c r="C3043" t="s">
        <v>6479</v>
      </c>
      <c r="D3043" t="s">
        <v>70</v>
      </c>
      <c r="E3043" s="19">
        <v>43073</v>
      </c>
      <c r="F3043" t="str">
        <f t="shared" si="8"/>
        <v>9783527699797</v>
      </c>
      <c r="G3043" t="str">
        <f t="shared" si="9"/>
        <v>9783527340910</v>
      </c>
      <c r="H3043" t="s">
        <v>6480</v>
      </c>
      <c r="I3043">
        <v>620.11297000000002</v>
      </c>
      <c r="J3043" t="s">
        <v>6481</v>
      </c>
      <c r="K3043" t="s">
        <v>73</v>
      </c>
      <c r="N3043" t="s">
        <v>74</v>
      </c>
      <c r="O3043" t="s">
        <v>75</v>
      </c>
      <c r="P3043" t="s">
        <v>74</v>
      </c>
      <c r="Q3043" t="s">
        <v>76</v>
      </c>
      <c r="R3043" t="s">
        <v>73</v>
      </c>
      <c r="S3043">
        <v>0</v>
      </c>
      <c r="W3043" s="20">
        <v>0</v>
      </c>
      <c r="X3043" t="s">
        <v>78</v>
      </c>
      <c r="Y3043">
        <v>0</v>
      </c>
      <c r="Z3043">
        <v>0</v>
      </c>
      <c r="AA3043" t="s">
        <v>78</v>
      </c>
      <c r="AB3043">
        <v>0</v>
      </c>
      <c r="AC3043" t="s">
        <v>78</v>
      </c>
      <c r="AD3043">
        <v>0</v>
      </c>
      <c r="AE3043">
        <v>11422579</v>
      </c>
      <c r="AF3043" t="s">
        <v>79</v>
      </c>
      <c r="AG3043" t="s">
        <v>6482</v>
      </c>
    </row>
    <row r="3044" spans="1:33" x14ac:dyDescent="0.35">
      <c r="A3044" s="18">
        <v>44216.581250000003</v>
      </c>
      <c r="B3044">
        <v>4939442</v>
      </c>
      <c r="C3044" t="s">
        <v>6479</v>
      </c>
      <c r="D3044" t="s">
        <v>70</v>
      </c>
      <c r="E3044" s="19">
        <v>43073</v>
      </c>
      <c r="F3044" t="str">
        <f t="shared" si="8"/>
        <v>9783527699797</v>
      </c>
      <c r="G3044" t="str">
        <f t="shared" si="9"/>
        <v>9783527340910</v>
      </c>
      <c r="H3044" t="s">
        <v>6480</v>
      </c>
      <c r="I3044">
        <v>620.11297000000002</v>
      </c>
      <c r="J3044" t="s">
        <v>6481</v>
      </c>
      <c r="K3044" t="s">
        <v>73</v>
      </c>
      <c r="N3044" t="s">
        <v>74</v>
      </c>
      <c r="O3044" t="s">
        <v>75</v>
      </c>
      <c r="P3044" t="s">
        <v>74</v>
      </c>
      <c r="Q3044" t="s">
        <v>76</v>
      </c>
      <c r="R3044" t="s">
        <v>73</v>
      </c>
      <c r="S3044">
        <v>0</v>
      </c>
      <c r="W3044" s="20">
        <v>0</v>
      </c>
      <c r="X3044" t="s">
        <v>78</v>
      </c>
      <c r="Y3044">
        <v>0</v>
      </c>
      <c r="Z3044">
        <v>0</v>
      </c>
      <c r="AA3044" t="s">
        <v>78</v>
      </c>
      <c r="AB3044">
        <v>0</v>
      </c>
      <c r="AC3044" t="s">
        <v>78</v>
      </c>
      <c r="AD3044">
        <v>0</v>
      </c>
      <c r="AE3044">
        <v>11422579</v>
      </c>
      <c r="AF3044" t="s">
        <v>79</v>
      </c>
      <c r="AG3044" t="s">
        <v>6482</v>
      </c>
    </row>
    <row r="3045" spans="1:33" x14ac:dyDescent="0.35">
      <c r="A3045" s="18">
        <v>44216.570833333331</v>
      </c>
      <c r="B3045">
        <v>4939442</v>
      </c>
      <c r="C3045" t="s">
        <v>6479</v>
      </c>
      <c r="D3045" t="s">
        <v>70</v>
      </c>
      <c r="E3045" s="19">
        <v>43073</v>
      </c>
      <c r="F3045" t="str">
        <f t="shared" si="8"/>
        <v>9783527699797</v>
      </c>
      <c r="G3045" t="str">
        <f t="shared" si="9"/>
        <v>9783527340910</v>
      </c>
      <c r="H3045" t="s">
        <v>6480</v>
      </c>
      <c r="I3045">
        <v>620.11297000000002</v>
      </c>
      <c r="J3045" t="s">
        <v>6481</v>
      </c>
      <c r="K3045" t="s">
        <v>73</v>
      </c>
      <c r="N3045" t="s">
        <v>74</v>
      </c>
      <c r="O3045" t="s">
        <v>75</v>
      </c>
      <c r="P3045" t="s">
        <v>74</v>
      </c>
      <c r="Q3045" t="s">
        <v>76</v>
      </c>
      <c r="R3045" t="s">
        <v>73</v>
      </c>
      <c r="S3045">
        <v>1</v>
      </c>
      <c r="W3045" s="20">
        <v>1.7361111111111112E-4</v>
      </c>
      <c r="X3045" t="s">
        <v>6491</v>
      </c>
      <c r="Y3045">
        <v>9</v>
      </c>
      <c r="Z3045">
        <v>4</v>
      </c>
      <c r="AA3045" t="s">
        <v>6492</v>
      </c>
      <c r="AB3045">
        <v>117</v>
      </c>
      <c r="AC3045" t="s">
        <v>78</v>
      </c>
      <c r="AD3045">
        <v>0</v>
      </c>
      <c r="AE3045">
        <v>11422579</v>
      </c>
      <c r="AF3045" t="s">
        <v>88</v>
      </c>
      <c r="AG3045" t="s">
        <v>6489</v>
      </c>
    </row>
    <row r="3046" spans="1:33" x14ac:dyDescent="0.35">
      <c r="A3046" s="18">
        <v>44216.497916666667</v>
      </c>
      <c r="B3046">
        <v>3339142</v>
      </c>
      <c r="C3046" t="s">
        <v>1890</v>
      </c>
      <c r="D3046" t="s">
        <v>300</v>
      </c>
      <c r="E3046" s="19">
        <v>40025</v>
      </c>
      <c r="F3046" t="str">
        <f>"9780262270830"</f>
        <v>9780262270830</v>
      </c>
      <c r="G3046" t="str">
        <f>"9780262533058"</f>
        <v>9780262533058</v>
      </c>
      <c r="H3046" t="s">
        <v>110</v>
      </c>
      <c r="I3046">
        <v>5.0999999999999996</v>
      </c>
      <c r="J3046" t="s">
        <v>1891</v>
      </c>
      <c r="K3046" t="s">
        <v>73</v>
      </c>
      <c r="N3046" t="s">
        <v>74</v>
      </c>
      <c r="O3046" t="s">
        <v>75</v>
      </c>
      <c r="P3046" t="s">
        <v>74</v>
      </c>
      <c r="Q3046" t="s">
        <v>76</v>
      </c>
      <c r="R3046" t="s">
        <v>73</v>
      </c>
      <c r="S3046">
        <v>0</v>
      </c>
      <c r="W3046" s="20">
        <v>3.7037037037037042E-2</v>
      </c>
      <c r="X3046" t="s">
        <v>6493</v>
      </c>
      <c r="Y3046">
        <v>30</v>
      </c>
      <c r="Z3046">
        <v>0</v>
      </c>
      <c r="AA3046" t="s">
        <v>78</v>
      </c>
      <c r="AB3046">
        <v>0</v>
      </c>
      <c r="AC3046" t="s">
        <v>78</v>
      </c>
      <c r="AD3046">
        <v>0</v>
      </c>
      <c r="AE3046">
        <v>10397652</v>
      </c>
      <c r="AF3046" t="s">
        <v>88</v>
      </c>
      <c r="AG3046" t="s">
        <v>6012</v>
      </c>
    </row>
    <row r="3047" spans="1:33" x14ac:dyDescent="0.35">
      <c r="A3047" s="18">
        <v>44216.49722222222</v>
      </c>
      <c r="B3047">
        <v>583642</v>
      </c>
      <c r="C3047" t="s">
        <v>2337</v>
      </c>
      <c r="D3047" t="s">
        <v>205</v>
      </c>
      <c r="E3047" s="19">
        <v>40210</v>
      </c>
      <c r="F3047" t="str">
        <f>"9781596930902"</f>
        <v>9781596930902</v>
      </c>
      <c r="G3047" t="str">
        <f>"9781596930896"</f>
        <v>9781596930896</v>
      </c>
      <c r="H3047" t="s">
        <v>2338</v>
      </c>
      <c r="I3047">
        <v>621.38482999999997</v>
      </c>
      <c r="J3047" t="s">
        <v>2339</v>
      </c>
      <c r="K3047" t="s">
        <v>73</v>
      </c>
      <c r="N3047" t="s">
        <v>74</v>
      </c>
      <c r="O3047" t="s">
        <v>75</v>
      </c>
      <c r="P3047" t="s">
        <v>74</v>
      </c>
      <c r="Q3047" t="s">
        <v>76</v>
      </c>
      <c r="R3047" t="s">
        <v>73</v>
      </c>
      <c r="S3047">
        <v>0</v>
      </c>
      <c r="W3047" s="20">
        <v>4.6296296296296294E-5</v>
      </c>
      <c r="X3047" t="s">
        <v>132</v>
      </c>
      <c r="Y3047">
        <v>1</v>
      </c>
      <c r="Z3047">
        <v>0</v>
      </c>
      <c r="AA3047" t="s">
        <v>78</v>
      </c>
      <c r="AB3047">
        <v>0</v>
      </c>
      <c r="AC3047" t="s">
        <v>78</v>
      </c>
      <c r="AD3047">
        <v>0</v>
      </c>
      <c r="AE3047">
        <v>10393271</v>
      </c>
      <c r="AF3047" t="s">
        <v>79</v>
      </c>
      <c r="AG3047" t="s">
        <v>6012</v>
      </c>
    </row>
    <row r="3048" spans="1:33" x14ac:dyDescent="0.35">
      <c r="A3048" s="18">
        <v>44216.435416666667</v>
      </c>
      <c r="B3048">
        <v>5333539</v>
      </c>
      <c r="C3048" t="s">
        <v>6494</v>
      </c>
      <c r="D3048" t="s">
        <v>6495</v>
      </c>
      <c r="E3048" s="19">
        <v>42905</v>
      </c>
      <c r="F3048" t="str">
        <f>"9781462919680"</f>
        <v>9781462919680</v>
      </c>
      <c r="G3048" t="str">
        <f>"9784805314326"</f>
        <v>9784805314326</v>
      </c>
      <c r="H3048" t="s">
        <v>1204</v>
      </c>
      <c r="I3048">
        <v>495.68242099999998</v>
      </c>
      <c r="J3048" t="s">
        <v>6496</v>
      </c>
      <c r="K3048" t="s">
        <v>73</v>
      </c>
      <c r="N3048" t="s">
        <v>74</v>
      </c>
      <c r="O3048" t="s">
        <v>75</v>
      </c>
      <c r="P3048" t="s">
        <v>74</v>
      </c>
      <c r="Q3048" t="s">
        <v>76</v>
      </c>
      <c r="R3048" t="s">
        <v>73</v>
      </c>
      <c r="S3048">
        <v>0</v>
      </c>
      <c r="W3048" s="20">
        <v>6.9444444444444444E-5</v>
      </c>
      <c r="X3048" t="s">
        <v>132</v>
      </c>
      <c r="Y3048">
        <v>1</v>
      </c>
      <c r="Z3048">
        <v>0</v>
      </c>
      <c r="AA3048" t="s">
        <v>78</v>
      </c>
      <c r="AB3048">
        <v>0</v>
      </c>
      <c r="AC3048" t="s">
        <v>78</v>
      </c>
      <c r="AD3048">
        <v>0</v>
      </c>
      <c r="AE3048">
        <v>11536186</v>
      </c>
      <c r="AF3048" t="s">
        <v>79</v>
      </c>
      <c r="AG3048" t="s">
        <v>6472</v>
      </c>
    </row>
    <row r="3049" spans="1:33" x14ac:dyDescent="0.35">
      <c r="A3049" s="18">
        <v>44216.435416666667</v>
      </c>
      <c r="B3049">
        <v>5333486</v>
      </c>
      <c r="C3049" t="s">
        <v>6497</v>
      </c>
      <c r="D3049" t="s">
        <v>6495</v>
      </c>
      <c r="E3049" s="19">
        <v>42689</v>
      </c>
      <c r="F3049" t="str">
        <f>"9781462918799"</f>
        <v>9781462918799</v>
      </c>
      <c r="G3049" t="str">
        <f>"9784805313794"</f>
        <v>9784805313794</v>
      </c>
      <c r="H3049" t="s">
        <v>1204</v>
      </c>
      <c r="I3049">
        <v>495.68242099999998</v>
      </c>
      <c r="J3049" t="s">
        <v>6498</v>
      </c>
      <c r="K3049" t="s">
        <v>73</v>
      </c>
      <c r="N3049" t="s">
        <v>74</v>
      </c>
      <c r="O3049" t="s">
        <v>75</v>
      </c>
      <c r="P3049" t="s">
        <v>74</v>
      </c>
      <c r="Q3049" t="s">
        <v>76</v>
      </c>
      <c r="R3049" t="s">
        <v>73</v>
      </c>
      <c r="S3049">
        <v>0</v>
      </c>
      <c r="W3049" s="20">
        <v>8.1018518518518516E-5</v>
      </c>
      <c r="X3049" t="s">
        <v>6499</v>
      </c>
      <c r="Y3049">
        <v>1</v>
      </c>
      <c r="Z3049">
        <v>0</v>
      </c>
      <c r="AA3049" t="s">
        <v>78</v>
      </c>
      <c r="AB3049">
        <v>0</v>
      </c>
      <c r="AC3049" t="s">
        <v>78</v>
      </c>
      <c r="AD3049">
        <v>0</v>
      </c>
      <c r="AE3049">
        <v>11536142</v>
      </c>
      <c r="AF3049" t="s">
        <v>79</v>
      </c>
      <c r="AG3049" t="s">
        <v>6472</v>
      </c>
    </row>
    <row r="3050" spans="1:33" x14ac:dyDescent="0.35">
      <c r="A3050" s="18">
        <v>44216.373611111114</v>
      </c>
      <c r="B3050">
        <v>2190202</v>
      </c>
      <c r="C3050" t="s">
        <v>6500</v>
      </c>
      <c r="D3050" t="s">
        <v>6495</v>
      </c>
      <c r="E3050" s="19">
        <v>42304</v>
      </c>
      <c r="F3050" t="str">
        <f>"9781462917174"</f>
        <v>9781462917174</v>
      </c>
      <c r="G3050" t="str">
        <f>"9780804844932"</f>
        <v>9780804844932</v>
      </c>
      <c r="H3050" t="s">
        <v>1204</v>
      </c>
      <c r="I3050" t="s">
        <v>6501</v>
      </c>
      <c r="J3050" t="s">
        <v>6502</v>
      </c>
      <c r="K3050" t="s">
        <v>73</v>
      </c>
      <c r="N3050" t="s">
        <v>74</v>
      </c>
      <c r="O3050" t="s">
        <v>75</v>
      </c>
      <c r="P3050" t="s">
        <v>74</v>
      </c>
      <c r="Q3050" t="s">
        <v>76</v>
      </c>
      <c r="R3050" t="s">
        <v>73</v>
      </c>
      <c r="S3050">
        <v>0</v>
      </c>
      <c r="W3050" s="20">
        <v>6.9444444444444447E-4</v>
      </c>
      <c r="X3050" t="s">
        <v>249</v>
      </c>
      <c r="Y3050">
        <v>2</v>
      </c>
      <c r="Z3050">
        <v>0</v>
      </c>
      <c r="AA3050" t="s">
        <v>78</v>
      </c>
      <c r="AB3050">
        <v>0</v>
      </c>
      <c r="AC3050" t="s">
        <v>78</v>
      </c>
      <c r="AD3050">
        <v>0</v>
      </c>
      <c r="AE3050">
        <v>-1</v>
      </c>
      <c r="AF3050" t="s">
        <v>79</v>
      </c>
      <c r="AG3050" t="s">
        <v>6472</v>
      </c>
    </row>
    <row r="3051" spans="1:33" x14ac:dyDescent="0.35">
      <c r="A3051" s="18">
        <v>44216.373611111114</v>
      </c>
      <c r="B3051">
        <v>5333553</v>
      </c>
      <c r="C3051" t="s">
        <v>6503</v>
      </c>
      <c r="D3051" t="s">
        <v>6495</v>
      </c>
      <c r="E3051" s="19">
        <v>42955</v>
      </c>
      <c r="F3051" t="str">
        <f>"9781462919659"</f>
        <v>9781462919659</v>
      </c>
      <c r="G3051" t="str">
        <f>"9784805313787"</f>
        <v>9784805313787</v>
      </c>
      <c r="H3051" t="s">
        <v>1204</v>
      </c>
      <c r="I3051">
        <v>495.68242099999998</v>
      </c>
      <c r="J3051" t="s">
        <v>6504</v>
      </c>
      <c r="K3051" t="s">
        <v>73</v>
      </c>
      <c r="N3051" t="s">
        <v>74</v>
      </c>
      <c r="O3051" t="s">
        <v>75</v>
      </c>
      <c r="P3051" t="s">
        <v>74</v>
      </c>
      <c r="Q3051" t="s">
        <v>76</v>
      </c>
      <c r="R3051" t="s">
        <v>73</v>
      </c>
      <c r="S3051">
        <v>0</v>
      </c>
      <c r="W3051" s="20">
        <v>8.2175925925925917E-4</v>
      </c>
      <c r="X3051" t="s">
        <v>249</v>
      </c>
      <c r="Y3051">
        <v>2</v>
      </c>
      <c r="Z3051">
        <v>0</v>
      </c>
      <c r="AA3051" t="s">
        <v>78</v>
      </c>
      <c r="AB3051">
        <v>0</v>
      </c>
      <c r="AC3051" t="s">
        <v>78</v>
      </c>
      <c r="AD3051">
        <v>0</v>
      </c>
      <c r="AE3051">
        <v>11536199</v>
      </c>
      <c r="AF3051" t="s">
        <v>79</v>
      </c>
      <c r="AG3051" t="s">
        <v>6472</v>
      </c>
    </row>
    <row r="3052" spans="1:33" x14ac:dyDescent="0.35">
      <c r="A3052" s="18">
        <v>44216.368750000001</v>
      </c>
      <c r="B3052">
        <v>1595823</v>
      </c>
      <c r="C3052" t="s">
        <v>6505</v>
      </c>
      <c r="D3052" t="s">
        <v>6495</v>
      </c>
      <c r="E3052" s="19">
        <v>40389</v>
      </c>
      <c r="F3052" t="str">
        <f>"9781462913640"</f>
        <v>9781462913640</v>
      </c>
      <c r="G3052" t="str">
        <f>"9784805308592"</f>
        <v>9784805308592</v>
      </c>
      <c r="H3052" t="s">
        <v>1204</v>
      </c>
      <c r="I3052" t="s">
        <v>6506</v>
      </c>
      <c r="J3052" t="s">
        <v>6507</v>
      </c>
      <c r="K3052" t="s">
        <v>73</v>
      </c>
      <c r="N3052" t="s">
        <v>74</v>
      </c>
      <c r="O3052" t="s">
        <v>75</v>
      </c>
      <c r="P3052" t="s">
        <v>74</v>
      </c>
      <c r="Q3052" t="s">
        <v>76</v>
      </c>
      <c r="R3052" t="s">
        <v>73</v>
      </c>
      <c r="S3052">
        <v>0</v>
      </c>
      <c r="W3052" s="20">
        <v>6.9444444444444444E-5</v>
      </c>
      <c r="X3052" t="s">
        <v>6508</v>
      </c>
      <c r="Y3052">
        <v>2</v>
      </c>
      <c r="Z3052">
        <v>0</v>
      </c>
      <c r="AA3052" t="s">
        <v>78</v>
      </c>
      <c r="AB3052">
        <v>0</v>
      </c>
      <c r="AC3052" t="s">
        <v>78</v>
      </c>
      <c r="AD3052">
        <v>0</v>
      </c>
      <c r="AE3052">
        <v>10841257</v>
      </c>
      <c r="AF3052" t="s">
        <v>79</v>
      </c>
      <c r="AG3052" t="s">
        <v>6472</v>
      </c>
    </row>
    <row r="3053" spans="1:33" x14ac:dyDescent="0.35">
      <c r="A3053" s="18">
        <v>44216.367361111108</v>
      </c>
      <c r="B3053">
        <v>1507301</v>
      </c>
      <c r="C3053" t="s">
        <v>6509</v>
      </c>
      <c r="D3053" t="s">
        <v>6495</v>
      </c>
      <c r="E3053" s="19">
        <v>39005</v>
      </c>
      <c r="F3053" t="str">
        <f>"9781462910632"</f>
        <v>9781462910632</v>
      </c>
      <c r="G3053" t="str">
        <f>"9780804837798"</f>
        <v>9780804837798</v>
      </c>
      <c r="H3053" t="s">
        <v>1204</v>
      </c>
      <c r="I3053">
        <v>495.61099999999999</v>
      </c>
      <c r="J3053" t="s">
        <v>6510</v>
      </c>
      <c r="K3053" t="s">
        <v>73</v>
      </c>
      <c r="N3053" t="s">
        <v>74</v>
      </c>
      <c r="O3053" t="s">
        <v>75</v>
      </c>
      <c r="P3053" t="s">
        <v>74</v>
      </c>
      <c r="Q3053" t="s">
        <v>76</v>
      </c>
      <c r="R3053" t="s">
        <v>73</v>
      </c>
      <c r="S3053">
        <v>0</v>
      </c>
      <c r="W3053" s="20">
        <v>1.5393518518518519E-3</v>
      </c>
      <c r="X3053" t="s">
        <v>6511</v>
      </c>
      <c r="Y3053">
        <v>3</v>
      </c>
      <c r="Z3053">
        <v>0</v>
      </c>
      <c r="AA3053" t="s">
        <v>78</v>
      </c>
      <c r="AB3053">
        <v>0</v>
      </c>
      <c r="AC3053" t="s">
        <v>78</v>
      </c>
      <c r="AD3053">
        <v>0</v>
      </c>
      <c r="AE3053">
        <v>10795880</v>
      </c>
      <c r="AF3053" t="s">
        <v>79</v>
      </c>
      <c r="AG3053" t="s">
        <v>6472</v>
      </c>
    </row>
    <row r="3054" spans="1:33" x14ac:dyDescent="0.35">
      <c r="A3054" s="18">
        <v>44216.027777777781</v>
      </c>
      <c r="B3054">
        <v>6452036</v>
      </c>
      <c r="C3054" t="s">
        <v>6473</v>
      </c>
      <c r="D3054" t="s">
        <v>200</v>
      </c>
      <c r="E3054" s="19">
        <v>44203</v>
      </c>
      <c r="F3054" t="str">
        <f>"9789813346420"</f>
        <v>9789813346420</v>
      </c>
      <c r="G3054" t="str">
        <f>"9789813346413"</f>
        <v>9789813346413</v>
      </c>
      <c r="H3054" t="s">
        <v>3540</v>
      </c>
      <c r="I3054">
        <v>621.39499999999998</v>
      </c>
      <c r="J3054" t="s">
        <v>202</v>
      </c>
      <c r="K3054" t="s">
        <v>85</v>
      </c>
      <c r="N3054" t="s">
        <v>86</v>
      </c>
      <c r="P3054" t="s">
        <v>87</v>
      </c>
      <c r="Q3054" t="s">
        <v>76</v>
      </c>
      <c r="R3054" t="s">
        <v>73</v>
      </c>
      <c r="S3054">
        <v>0</v>
      </c>
      <c r="W3054" s="20">
        <v>0</v>
      </c>
      <c r="X3054" t="s">
        <v>78</v>
      </c>
      <c r="Y3054">
        <v>0</v>
      </c>
      <c r="Z3054">
        <v>4</v>
      </c>
      <c r="AA3054" t="s">
        <v>6512</v>
      </c>
      <c r="AB3054">
        <v>17</v>
      </c>
      <c r="AC3054" t="s">
        <v>78</v>
      </c>
      <c r="AD3054">
        <v>0</v>
      </c>
      <c r="AE3054">
        <v>-1</v>
      </c>
      <c r="AF3054" t="s">
        <v>79</v>
      </c>
      <c r="AG3054" t="s">
        <v>6012</v>
      </c>
    </row>
    <row r="3055" spans="1:33" x14ac:dyDescent="0.35">
      <c r="A3055" s="18">
        <v>44215.972916666666</v>
      </c>
      <c r="B3055">
        <v>1207856</v>
      </c>
      <c r="C3055" t="s">
        <v>6513</v>
      </c>
      <c r="D3055" t="s">
        <v>70</v>
      </c>
      <c r="E3055" s="19">
        <v>41484</v>
      </c>
      <c r="F3055" t="str">
        <f>"9781118636169"</f>
        <v>9781118636169</v>
      </c>
      <c r="G3055" t="str">
        <f>"9781118346419"</f>
        <v>9781118346419</v>
      </c>
      <c r="H3055" t="s">
        <v>6514</v>
      </c>
      <c r="I3055">
        <v>620.20000000000005</v>
      </c>
      <c r="J3055" t="s">
        <v>6515</v>
      </c>
      <c r="K3055" t="s">
        <v>73</v>
      </c>
      <c r="N3055" t="s">
        <v>74</v>
      </c>
      <c r="O3055" t="s">
        <v>75</v>
      </c>
      <c r="P3055" t="s">
        <v>74</v>
      </c>
      <c r="Q3055" t="s">
        <v>76</v>
      </c>
      <c r="R3055" t="s">
        <v>73</v>
      </c>
      <c r="S3055">
        <v>0</v>
      </c>
      <c r="W3055" s="20">
        <v>8.6805555555555551E-4</v>
      </c>
      <c r="X3055" t="s">
        <v>6516</v>
      </c>
      <c r="Y3055">
        <v>7</v>
      </c>
      <c r="Z3055">
        <v>6</v>
      </c>
      <c r="AA3055" t="s">
        <v>6517</v>
      </c>
      <c r="AB3055">
        <v>54</v>
      </c>
      <c r="AC3055" t="s">
        <v>78</v>
      </c>
      <c r="AD3055">
        <v>0</v>
      </c>
      <c r="AE3055">
        <v>10716701</v>
      </c>
      <c r="AF3055" t="s">
        <v>79</v>
      </c>
      <c r="AG3055" t="s">
        <v>6012</v>
      </c>
    </row>
    <row r="3056" spans="1:33" x14ac:dyDescent="0.35">
      <c r="A3056" s="18">
        <v>44215.925000000003</v>
      </c>
      <c r="B3056">
        <v>1681238</v>
      </c>
      <c r="C3056" t="s">
        <v>6518</v>
      </c>
      <c r="D3056" t="s">
        <v>239</v>
      </c>
      <c r="E3056" s="19">
        <v>37865</v>
      </c>
      <c r="F3056" t="str">
        <f>"9789812795144"</f>
        <v>9789812795144</v>
      </c>
      <c r="G3056" t="str">
        <f>"9789812383945"</f>
        <v>9789812383945</v>
      </c>
      <c r="H3056" t="s">
        <v>6519</v>
      </c>
      <c r="I3056">
        <v>620.19204232000004</v>
      </c>
      <c r="J3056" t="s">
        <v>6520</v>
      </c>
      <c r="K3056" t="s">
        <v>73</v>
      </c>
      <c r="N3056" t="s">
        <v>74</v>
      </c>
      <c r="O3056" t="s">
        <v>75</v>
      </c>
      <c r="P3056" t="s">
        <v>74</v>
      </c>
      <c r="Q3056" t="s">
        <v>76</v>
      </c>
      <c r="R3056" t="s">
        <v>73</v>
      </c>
      <c r="S3056">
        <v>0</v>
      </c>
      <c r="W3056" s="20">
        <v>4.0046296296296297E-3</v>
      </c>
      <c r="X3056" t="s">
        <v>6521</v>
      </c>
      <c r="Y3056">
        <v>40</v>
      </c>
      <c r="Z3056">
        <v>0</v>
      </c>
      <c r="AA3056" t="s">
        <v>78</v>
      </c>
      <c r="AB3056">
        <v>0</v>
      </c>
      <c r="AC3056" t="s">
        <v>78</v>
      </c>
      <c r="AD3056">
        <v>0</v>
      </c>
      <c r="AE3056">
        <v>10255575</v>
      </c>
      <c r="AF3056" t="s">
        <v>79</v>
      </c>
      <c r="AG3056" t="s">
        <v>4914</v>
      </c>
    </row>
    <row r="3057" spans="1:33" x14ac:dyDescent="0.35">
      <c r="A3057" s="18">
        <v>44215.924305555556</v>
      </c>
      <c r="B3057">
        <v>731300</v>
      </c>
      <c r="C3057" t="s">
        <v>6522</v>
      </c>
      <c r="D3057" t="s">
        <v>239</v>
      </c>
      <c r="E3057" s="19">
        <v>40320</v>
      </c>
      <c r="F3057" t="str">
        <f>"9781848163300"</f>
        <v>9781848163300</v>
      </c>
      <c r="G3057" t="str">
        <f>"9781848163294"</f>
        <v>9781848163294</v>
      </c>
      <c r="H3057" t="s">
        <v>2609</v>
      </c>
      <c r="I3057">
        <v>531.11300000000006</v>
      </c>
      <c r="J3057" t="s">
        <v>6523</v>
      </c>
      <c r="K3057" t="s">
        <v>73</v>
      </c>
      <c r="N3057" t="s">
        <v>74</v>
      </c>
      <c r="O3057" t="s">
        <v>75</v>
      </c>
      <c r="P3057" t="s">
        <v>74</v>
      </c>
      <c r="Q3057" t="s">
        <v>76</v>
      </c>
      <c r="R3057" t="s">
        <v>73</v>
      </c>
      <c r="S3057">
        <v>0</v>
      </c>
      <c r="W3057" s="20">
        <v>2.4305555555555552E-4</v>
      </c>
      <c r="X3057" t="s">
        <v>6524</v>
      </c>
      <c r="Y3057">
        <v>4</v>
      </c>
      <c r="Z3057">
        <v>0</v>
      </c>
      <c r="AA3057" t="s">
        <v>78</v>
      </c>
      <c r="AB3057">
        <v>0</v>
      </c>
      <c r="AC3057" t="s">
        <v>78</v>
      </c>
      <c r="AD3057">
        <v>0</v>
      </c>
      <c r="AE3057">
        <v>10422020</v>
      </c>
      <c r="AF3057" t="s">
        <v>79</v>
      </c>
      <c r="AG3057" t="s">
        <v>4914</v>
      </c>
    </row>
    <row r="3058" spans="1:33" x14ac:dyDescent="0.35">
      <c r="A3058" s="18">
        <v>44215.807638888888</v>
      </c>
      <c r="B3058">
        <v>3339517</v>
      </c>
      <c r="C3058" t="s">
        <v>6525</v>
      </c>
      <c r="D3058" t="s">
        <v>300</v>
      </c>
      <c r="E3058" s="19">
        <v>41180</v>
      </c>
      <c r="F3058" t="str">
        <f>"9780262305563"</f>
        <v>9780262305563</v>
      </c>
      <c r="G3058" t="str">
        <f>"9780262017473"</f>
        <v>9780262017473</v>
      </c>
      <c r="H3058" t="s">
        <v>6526</v>
      </c>
      <c r="I3058" t="s">
        <v>3582</v>
      </c>
      <c r="J3058" t="s">
        <v>6527</v>
      </c>
      <c r="K3058" t="s">
        <v>73</v>
      </c>
      <c r="N3058" t="s">
        <v>74</v>
      </c>
      <c r="O3058" t="s">
        <v>75</v>
      </c>
      <c r="P3058" t="s">
        <v>74</v>
      </c>
      <c r="Q3058" t="s">
        <v>76</v>
      </c>
      <c r="R3058" t="s">
        <v>73</v>
      </c>
      <c r="S3058">
        <v>0</v>
      </c>
      <c r="W3058" s="20">
        <v>4.8611111111111104E-4</v>
      </c>
      <c r="X3058" t="s">
        <v>6528</v>
      </c>
      <c r="Y3058">
        <v>4</v>
      </c>
      <c r="Z3058">
        <v>0</v>
      </c>
      <c r="AA3058" t="s">
        <v>78</v>
      </c>
      <c r="AB3058">
        <v>0</v>
      </c>
      <c r="AC3058" t="s">
        <v>78</v>
      </c>
      <c r="AD3058">
        <v>0</v>
      </c>
      <c r="AE3058">
        <v>10608196</v>
      </c>
      <c r="AF3058" t="s">
        <v>79</v>
      </c>
      <c r="AG3058" t="s">
        <v>6012</v>
      </c>
    </row>
    <row r="3059" spans="1:33" x14ac:dyDescent="0.35">
      <c r="A3059" s="18">
        <v>44215.71597222222</v>
      </c>
      <c r="B3059">
        <v>5994707</v>
      </c>
      <c r="C3059" t="s">
        <v>6529</v>
      </c>
      <c r="D3059" t="s">
        <v>6530</v>
      </c>
      <c r="E3059" s="19">
        <v>43879</v>
      </c>
      <c r="F3059" t="str">
        <f>"9781975136383"</f>
        <v>9781975136383</v>
      </c>
      <c r="G3059" t="str">
        <f>"9781284216837"</f>
        <v>9781284216837</v>
      </c>
      <c r="H3059" t="s">
        <v>222</v>
      </c>
      <c r="K3059" t="s">
        <v>85</v>
      </c>
      <c r="Q3059" t="s">
        <v>76</v>
      </c>
      <c r="R3059" t="s">
        <v>73</v>
      </c>
      <c r="S3059">
        <v>0</v>
      </c>
      <c r="W3059" s="20">
        <v>5.7870370370370366E-5</v>
      </c>
      <c r="X3059" t="s">
        <v>132</v>
      </c>
      <c r="Y3059">
        <v>1</v>
      </c>
      <c r="Z3059">
        <v>0</v>
      </c>
      <c r="AA3059" t="s">
        <v>78</v>
      </c>
      <c r="AB3059">
        <v>0</v>
      </c>
      <c r="AC3059" t="s">
        <v>78</v>
      </c>
      <c r="AD3059">
        <v>0</v>
      </c>
      <c r="AE3059">
        <v>-1</v>
      </c>
      <c r="AF3059" t="s">
        <v>79</v>
      </c>
      <c r="AG3059" t="s">
        <v>6460</v>
      </c>
    </row>
    <row r="3060" spans="1:33" x14ac:dyDescent="0.35">
      <c r="A3060" s="18">
        <v>44215.567361111112</v>
      </c>
      <c r="B3060">
        <v>3339142</v>
      </c>
      <c r="C3060" t="s">
        <v>1890</v>
      </c>
      <c r="D3060" t="s">
        <v>300</v>
      </c>
      <c r="E3060" s="19">
        <v>40025</v>
      </c>
      <c r="F3060" t="str">
        <f>"9780262270830"</f>
        <v>9780262270830</v>
      </c>
      <c r="G3060" t="str">
        <f>"9780262533058"</f>
        <v>9780262533058</v>
      </c>
      <c r="H3060" t="s">
        <v>110</v>
      </c>
      <c r="I3060">
        <v>5.0999999999999996</v>
      </c>
      <c r="J3060" t="s">
        <v>1891</v>
      </c>
      <c r="K3060" t="s">
        <v>73</v>
      </c>
      <c r="N3060" t="s">
        <v>74</v>
      </c>
      <c r="O3060" t="s">
        <v>75</v>
      </c>
      <c r="P3060" t="s">
        <v>74</v>
      </c>
      <c r="Q3060" t="s">
        <v>76</v>
      </c>
      <c r="R3060" t="s">
        <v>73</v>
      </c>
      <c r="S3060">
        <v>0</v>
      </c>
      <c r="W3060" s="20">
        <v>1.1782407407407406E-2</v>
      </c>
      <c r="X3060" t="s">
        <v>6531</v>
      </c>
      <c r="Y3060">
        <v>18</v>
      </c>
      <c r="Z3060">
        <v>0</v>
      </c>
      <c r="AA3060" t="s">
        <v>78</v>
      </c>
      <c r="AB3060">
        <v>0</v>
      </c>
      <c r="AC3060" t="s">
        <v>78</v>
      </c>
      <c r="AD3060">
        <v>0</v>
      </c>
      <c r="AE3060">
        <v>10397652</v>
      </c>
      <c r="AF3060" t="s">
        <v>88</v>
      </c>
      <c r="AG3060" t="s">
        <v>6012</v>
      </c>
    </row>
    <row r="3061" spans="1:33" x14ac:dyDescent="0.35">
      <c r="A3061" s="18">
        <v>44215.567361111112</v>
      </c>
      <c r="B3061">
        <v>583642</v>
      </c>
      <c r="C3061" t="s">
        <v>2337</v>
      </c>
      <c r="D3061" t="s">
        <v>205</v>
      </c>
      <c r="E3061" s="19">
        <v>40210</v>
      </c>
      <c r="F3061" t="str">
        <f>"9781596930902"</f>
        <v>9781596930902</v>
      </c>
      <c r="G3061" t="str">
        <f>"9781596930896"</f>
        <v>9781596930896</v>
      </c>
      <c r="H3061" t="s">
        <v>2338</v>
      </c>
      <c r="I3061">
        <v>621.38482999999997</v>
      </c>
      <c r="J3061" t="s">
        <v>2339</v>
      </c>
      <c r="K3061" t="s">
        <v>73</v>
      </c>
      <c r="N3061" t="s">
        <v>74</v>
      </c>
      <c r="O3061" t="s">
        <v>75</v>
      </c>
      <c r="P3061" t="s">
        <v>74</v>
      </c>
      <c r="Q3061" t="s">
        <v>76</v>
      </c>
      <c r="R3061" t="s">
        <v>73</v>
      </c>
      <c r="S3061">
        <v>0</v>
      </c>
      <c r="W3061" s="20">
        <v>4.6296296296296294E-5</v>
      </c>
      <c r="X3061" t="s">
        <v>132</v>
      </c>
      <c r="Y3061">
        <v>1</v>
      </c>
      <c r="Z3061">
        <v>0</v>
      </c>
      <c r="AA3061" t="s">
        <v>78</v>
      </c>
      <c r="AB3061">
        <v>0</v>
      </c>
      <c r="AC3061" t="s">
        <v>78</v>
      </c>
      <c r="AD3061">
        <v>0</v>
      </c>
      <c r="AE3061">
        <v>10393271</v>
      </c>
      <c r="AF3061" t="s">
        <v>79</v>
      </c>
      <c r="AG3061" t="s">
        <v>6012</v>
      </c>
    </row>
    <row r="3062" spans="1:33" x14ac:dyDescent="0.35">
      <c r="A3062" s="18">
        <v>44215.536805555559</v>
      </c>
      <c r="B3062">
        <v>5596906</v>
      </c>
      <c r="C3062" t="s">
        <v>5707</v>
      </c>
      <c r="D3062" t="s">
        <v>3539</v>
      </c>
      <c r="E3062" s="19">
        <v>43425</v>
      </c>
      <c r="F3062" t="str">
        <f>"9789402415582"</f>
        <v>9789402415582</v>
      </c>
      <c r="G3062" t="str">
        <f>"9789402415568"</f>
        <v>9789402415568</v>
      </c>
      <c r="H3062" t="s">
        <v>1561</v>
      </c>
      <c r="I3062">
        <v>551.35500000000002</v>
      </c>
      <c r="J3062" t="s">
        <v>5708</v>
      </c>
      <c r="K3062" t="s">
        <v>85</v>
      </c>
      <c r="Q3062" t="s">
        <v>76</v>
      </c>
      <c r="R3062" t="s">
        <v>73</v>
      </c>
      <c r="S3062">
        <v>0</v>
      </c>
      <c r="W3062" s="20">
        <v>6.9444444444444444E-5</v>
      </c>
      <c r="X3062" t="s">
        <v>132</v>
      </c>
      <c r="Y3062">
        <v>1</v>
      </c>
      <c r="Z3062">
        <v>0</v>
      </c>
      <c r="AA3062" t="s">
        <v>78</v>
      </c>
      <c r="AB3062">
        <v>0</v>
      </c>
      <c r="AC3062" t="s">
        <v>78</v>
      </c>
      <c r="AD3062">
        <v>0</v>
      </c>
      <c r="AE3062">
        <v>-1</v>
      </c>
      <c r="AF3062" t="s">
        <v>88</v>
      </c>
      <c r="AG3062" t="s">
        <v>6312</v>
      </c>
    </row>
    <row r="3063" spans="1:33" x14ac:dyDescent="0.35">
      <c r="A3063" s="18">
        <v>44215.535416666666</v>
      </c>
      <c r="B3063">
        <v>6185922</v>
      </c>
      <c r="C3063" t="s">
        <v>6353</v>
      </c>
      <c r="D3063" t="s">
        <v>538</v>
      </c>
      <c r="E3063" s="19">
        <v>43958</v>
      </c>
      <c r="F3063" t="str">
        <f>"9781108173780"</f>
        <v>9781108173780</v>
      </c>
      <c r="G3063" t="str">
        <f>"9781107195424"</f>
        <v>9781107195424</v>
      </c>
      <c r="H3063" t="s">
        <v>1561</v>
      </c>
      <c r="I3063">
        <v>551.48299999999904</v>
      </c>
      <c r="J3063" t="s">
        <v>6354</v>
      </c>
      <c r="K3063" t="s">
        <v>85</v>
      </c>
      <c r="N3063" t="s">
        <v>186</v>
      </c>
      <c r="P3063" t="s">
        <v>1850</v>
      </c>
      <c r="Q3063" t="s">
        <v>76</v>
      </c>
      <c r="R3063" t="s">
        <v>73</v>
      </c>
      <c r="S3063">
        <v>0</v>
      </c>
      <c r="W3063" s="20">
        <v>0</v>
      </c>
      <c r="X3063" t="s">
        <v>78</v>
      </c>
      <c r="Y3063">
        <v>0</v>
      </c>
      <c r="Z3063">
        <v>4</v>
      </c>
      <c r="AA3063" t="s">
        <v>6532</v>
      </c>
      <c r="AB3063">
        <v>78</v>
      </c>
      <c r="AC3063" t="s">
        <v>78</v>
      </c>
      <c r="AD3063">
        <v>0</v>
      </c>
      <c r="AE3063">
        <v>-1</v>
      </c>
      <c r="AF3063" t="s">
        <v>79</v>
      </c>
      <c r="AG3063" t="s">
        <v>6312</v>
      </c>
    </row>
    <row r="3064" spans="1:33" x14ac:dyDescent="0.35">
      <c r="A3064" s="18">
        <v>44215.525694444441</v>
      </c>
      <c r="B3064">
        <v>6452036</v>
      </c>
      <c r="C3064" t="s">
        <v>6473</v>
      </c>
      <c r="D3064" t="s">
        <v>200</v>
      </c>
      <c r="E3064" s="19">
        <v>44203</v>
      </c>
      <c r="F3064" t="str">
        <f>"9789813346420"</f>
        <v>9789813346420</v>
      </c>
      <c r="G3064" t="str">
        <f>"9789813346413"</f>
        <v>9789813346413</v>
      </c>
      <c r="H3064" t="s">
        <v>3540</v>
      </c>
      <c r="I3064">
        <v>621.39499999999998</v>
      </c>
      <c r="J3064" t="s">
        <v>202</v>
      </c>
      <c r="K3064" t="s">
        <v>85</v>
      </c>
      <c r="N3064" t="s">
        <v>86</v>
      </c>
      <c r="P3064" t="s">
        <v>87</v>
      </c>
      <c r="Q3064" t="s">
        <v>76</v>
      </c>
      <c r="R3064" t="s">
        <v>73</v>
      </c>
      <c r="S3064">
        <v>0</v>
      </c>
      <c r="W3064" s="20">
        <v>2.3148148148148147E-5</v>
      </c>
      <c r="X3064" t="s">
        <v>78</v>
      </c>
      <c r="Y3064">
        <v>0</v>
      </c>
      <c r="Z3064">
        <v>11</v>
      </c>
      <c r="AA3064" t="s">
        <v>6533</v>
      </c>
      <c r="AB3064">
        <v>114</v>
      </c>
      <c r="AC3064" t="s">
        <v>78</v>
      </c>
      <c r="AD3064">
        <v>0</v>
      </c>
      <c r="AE3064">
        <v>-1</v>
      </c>
      <c r="AF3064" t="s">
        <v>79</v>
      </c>
      <c r="AG3064" t="s">
        <v>6534</v>
      </c>
    </row>
    <row r="3065" spans="1:33" x14ac:dyDescent="0.35">
      <c r="A3065" s="18">
        <v>44215.476388888892</v>
      </c>
      <c r="B3065">
        <v>3339142</v>
      </c>
      <c r="C3065" t="s">
        <v>1890</v>
      </c>
      <c r="D3065" t="s">
        <v>300</v>
      </c>
      <c r="E3065" s="19">
        <v>40025</v>
      </c>
      <c r="F3065" t="str">
        <f>"9780262270830"</f>
        <v>9780262270830</v>
      </c>
      <c r="G3065" t="str">
        <f>"9780262533058"</f>
        <v>9780262533058</v>
      </c>
      <c r="H3065" t="s">
        <v>110</v>
      </c>
      <c r="I3065">
        <v>5.0999999999999996</v>
      </c>
      <c r="J3065" t="s">
        <v>1891</v>
      </c>
      <c r="K3065" t="s">
        <v>73</v>
      </c>
      <c r="N3065" t="s">
        <v>74</v>
      </c>
      <c r="O3065" t="s">
        <v>75</v>
      </c>
      <c r="P3065" t="s">
        <v>74</v>
      </c>
      <c r="Q3065" t="s">
        <v>76</v>
      </c>
      <c r="R3065" t="s">
        <v>73</v>
      </c>
      <c r="S3065">
        <v>0</v>
      </c>
      <c r="W3065" s="20">
        <v>7.6493055555555564E-2</v>
      </c>
      <c r="X3065" t="s">
        <v>6535</v>
      </c>
      <c r="Y3065">
        <v>95</v>
      </c>
      <c r="Z3065">
        <v>0</v>
      </c>
      <c r="AA3065" t="s">
        <v>78</v>
      </c>
      <c r="AB3065">
        <v>0</v>
      </c>
      <c r="AC3065" t="s">
        <v>78</v>
      </c>
      <c r="AD3065">
        <v>0</v>
      </c>
      <c r="AE3065">
        <v>10397652</v>
      </c>
      <c r="AF3065" t="s">
        <v>79</v>
      </c>
      <c r="AG3065" t="s">
        <v>6012</v>
      </c>
    </row>
    <row r="3066" spans="1:33" x14ac:dyDescent="0.35">
      <c r="A3066" s="18">
        <v>44215.459027777775</v>
      </c>
      <c r="B3066">
        <v>6253285</v>
      </c>
      <c r="C3066" t="s">
        <v>6465</v>
      </c>
      <c r="D3066" t="s">
        <v>239</v>
      </c>
      <c r="E3066" s="19">
        <v>44004</v>
      </c>
      <c r="F3066" t="str">
        <f>"9789811216374"</f>
        <v>9789811216374</v>
      </c>
      <c r="G3066" t="str">
        <f>"9789811216367"</f>
        <v>9789811216367</v>
      </c>
      <c r="H3066" t="s">
        <v>1194</v>
      </c>
      <c r="I3066" t="s">
        <v>2024</v>
      </c>
      <c r="J3066" t="s">
        <v>6466</v>
      </c>
      <c r="K3066" t="s">
        <v>85</v>
      </c>
      <c r="N3066" t="s">
        <v>86</v>
      </c>
      <c r="P3066" t="s">
        <v>1850</v>
      </c>
      <c r="Q3066" t="s">
        <v>76</v>
      </c>
      <c r="R3066" t="s">
        <v>73</v>
      </c>
      <c r="S3066">
        <v>0</v>
      </c>
      <c r="T3066">
        <v>1</v>
      </c>
      <c r="U3066" s="18">
        <v>44215.429861111108</v>
      </c>
      <c r="V3066" s="18">
        <v>44216.429861111108</v>
      </c>
      <c r="W3066" s="20">
        <v>6.7129629629629625E-4</v>
      </c>
      <c r="X3066" t="s">
        <v>6536</v>
      </c>
      <c r="Y3066">
        <v>3</v>
      </c>
      <c r="Z3066">
        <v>4</v>
      </c>
      <c r="AA3066" t="s">
        <v>6537</v>
      </c>
      <c r="AB3066">
        <v>92</v>
      </c>
      <c r="AC3066" t="s">
        <v>78</v>
      </c>
      <c r="AD3066">
        <v>0</v>
      </c>
      <c r="AE3066">
        <v>-1</v>
      </c>
      <c r="AF3066" t="s">
        <v>88</v>
      </c>
      <c r="AG3066" t="s">
        <v>6012</v>
      </c>
    </row>
    <row r="3067" spans="1:33" x14ac:dyDescent="0.35">
      <c r="A3067" s="18">
        <v>44215.45416666667</v>
      </c>
      <c r="B3067">
        <v>6253285</v>
      </c>
      <c r="C3067" t="s">
        <v>6465</v>
      </c>
      <c r="D3067" t="s">
        <v>239</v>
      </c>
      <c r="E3067" s="19">
        <v>44004</v>
      </c>
      <c r="F3067" t="str">
        <f>"9789811216374"</f>
        <v>9789811216374</v>
      </c>
      <c r="G3067" t="str">
        <f>"9789811216367"</f>
        <v>9789811216367</v>
      </c>
      <c r="H3067" t="s">
        <v>1194</v>
      </c>
      <c r="I3067" t="s">
        <v>2024</v>
      </c>
      <c r="J3067" t="s">
        <v>6466</v>
      </c>
      <c r="K3067" t="s">
        <v>85</v>
      </c>
      <c r="N3067" t="s">
        <v>86</v>
      </c>
      <c r="P3067" t="s">
        <v>1850</v>
      </c>
      <c r="Q3067" t="s">
        <v>76</v>
      </c>
      <c r="R3067" t="s">
        <v>73</v>
      </c>
      <c r="S3067">
        <v>0</v>
      </c>
      <c r="W3067" s="20">
        <v>8.449074074074075E-4</v>
      </c>
      <c r="X3067" t="s">
        <v>6538</v>
      </c>
      <c r="Y3067">
        <v>9</v>
      </c>
      <c r="Z3067">
        <v>1</v>
      </c>
      <c r="AA3067" t="s">
        <v>6539</v>
      </c>
      <c r="AB3067">
        <v>56</v>
      </c>
      <c r="AC3067" t="s">
        <v>78</v>
      </c>
      <c r="AD3067">
        <v>0</v>
      </c>
      <c r="AE3067">
        <v>-1</v>
      </c>
      <c r="AF3067" t="s">
        <v>79</v>
      </c>
      <c r="AG3067" t="s">
        <v>6012</v>
      </c>
    </row>
    <row r="3068" spans="1:33" x14ac:dyDescent="0.35">
      <c r="A3068" s="18">
        <v>44215.436805555553</v>
      </c>
      <c r="B3068">
        <v>404049</v>
      </c>
      <c r="C3068" t="s">
        <v>6167</v>
      </c>
      <c r="D3068" t="s">
        <v>158</v>
      </c>
      <c r="E3068" s="19">
        <v>38706</v>
      </c>
      <c r="F3068" t="str">
        <f>"9780080529677"</f>
        <v>9780080529677</v>
      </c>
      <c r="G3068" t="str">
        <f>"9780080445069"</f>
        <v>9780080445069</v>
      </c>
      <c r="H3068" t="s">
        <v>1764</v>
      </c>
      <c r="I3068">
        <v>532.04999999999995</v>
      </c>
      <c r="J3068" t="s">
        <v>6540</v>
      </c>
      <c r="K3068" t="s">
        <v>73</v>
      </c>
      <c r="N3068" t="s">
        <v>74</v>
      </c>
      <c r="O3068" t="s">
        <v>75</v>
      </c>
      <c r="P3068" t="s">
        <v>74</v>
      </c>
      <c r="Q3068" t="s">
        <v>76</v>
      </c>
      <c r="R3068" t="s">
        <v>73</v>
      </c>
      <c r="S3068">
        <v>0</v>
      </c>
      <c r="W3068" s="20">
        <v>3.4722222222222222E-5</v>
      </c>
      <c r="X3068" t="s">
        <v>132</v>
      </c>
      <c r="Y3068">
        <v>1</v>
      </c>
      <c r="Z3068">
        <v>0</v>
      </c>
      <c r="AA3068" t="s">
        <v>78</v>
      </c>
      <c r="AB3068">
        <v>0</v>
      </c>
      <c r="AC3068" t="s">
        <v>78</v>
      </c>
      <c r="AD3068">
        <v>0</v>
      </c>
      <c r="AE3068">
        <v>10251184</v>
      </c>
      <c r="AF3068" t="s">
        <v>79</v>
      </c>
      <c r="AG3068" t="s">
        <v>6012</v>
      </c>
    </row>
    <row r="3069" spans="1:33" x14ac:dyDescent="0.35">
      <c r="A3069" s="18">
        <v>44215.436805555553</v>
      </c>
      <c r="B3069">
        <v>1679919</v>
      </c>
      <c r="C3069" t="s">
        <v>6541</v>
      </c>
      <c r="D3069" t="s">
        <v>239</v>
      </c>
      <c r="E3069" s="19">
        <v>37152</v>
      </c>
      <c r="F3069" t="str">
        <f>"9789812811592"</f>
        <v>9789812811592</v>
      </c>
      <c r="G3069" t="str">
        <f>"9789810245351"</f>
        <v>9789810245351</v>
      </c>
      <c r="H3069" t="s">
        <v>2609</v>
      </c>
      <c r="I3069">
        <v>532</v>
      </c>
      <c r="J3069" t="s">
        <v>6542</v>
      </c>
      <c r="K3069" t="s">
        <v>73</v>
      </c>
      <c r="N3069" t="s">
        <v>74</v>
      </c>
      <c r="O3069" t="s">
        <v>75</v>
      </c>
      <c r="P3069" t="s">
        <v>74</v>
      </c>
      <c r="Q3069" t="s">
        <v>76</v>
      </c>
      <c r="R3069" t="s">
        <v>73</v>
      </c>
      <c r="S3069">
        <v>0</v>
      </c>
      <c r="W3069" s="20">
        <v>3.4722222222222222E-5</v>
      </c>
      <c r="X3069" t="s">
        <v>132</v>
      </c>
      <c r="Y3069">
        <v>1</v>
      </c>
      <c r="Z3069">
        <v>0</v>
      </c>
      <c r="AA3069" t="s">
        <v>78</v>
      </c>
      <c r="AB3069">
        <v>0</v>
      </c>
      <c r="AC3069" t="s">
        <v>78</v>
      </c>
      <c r="AD3069">
        <v>0</v>
      </c>
      <c r="AE3069">
        <v>10255440</v>
      </c>
      <c r="AF3069" t="s">
        <v>79</v>
      </c>
      <c r="AG3069" t="s">
        <v>6012</v>
      </c>
    </row>
    <row r="3070" spans="1:33" x14ac:dyDescent="0.35">
      <c r="A3070" s="18">
        <v>44215.436805555553</v>
      </c>
      <c r="B3070">
        <v>4696319</v>
      </c>
      <c r="C3070" t="s">
        <v>6543</v>
      </c>
      <c r="D3070" t="s">
        <v>70</v>
      </c>
      <c r="E3070" s="19">
        <v>42695</v>
      </c>
      <c r="F3070" t="str">
        <f>"9781119003014"</f>
        <v>9781119003014</v>
      </c>
      <c r="G3070" t="str">
        <f>"9781119002994"</f>
        <v>9781119002994</v>
      </c>
      <c r="H3070" t="s">
        <v>1088</v>
      </c>
      <c r="I3070">
        <v>620.10640284999999</v>
      </c>
      <c r="J3070" t="s">
        <v>6544</v>
      </c>
      <c r="K3070" t="s">
        <v>73</v>
      </c>
      <c r="N3070" t="s">
        <v>74</v>
      </c>
      <c r="O3070" t="s">
        <v>75</v>
      </c>
      <c r="P3070" t="s">
        <v>74</v>
      </c>
      <c r="Q3070" t="s">
        <v>76</v>
      </c>
      <c r="R3070" t="s">
        <v>73</v>
      </c>
      <c r="S3070">
        <v>0</v>
      </c>
      <c r="W3070" s="20">
        <v>7.6388888888888893E-4</v>
      </c>
      <c r="X3070" t="s">
        <v>6545</v>
      </c>
      <c r="Y3070">
        <v>5</v>
      </c>
      <c r="Z3070">
        <v>0</v>
      </c>
      <c r="AA3070" t="s">
        <v>78</v>
      </c>
      <c r="AB3070">
        <v>0</v>
      </c>
      <c r="AC3070" t="s">
        <v>78</v>
      </c>
      <c r="AD3070">
        <v>0</v>
      </c>
      <c r="AE3070">
        <v>11270406</v>
      </c>
      <c r="AF3070" t="s">
        <v>79</v>
      </c>
      <c r="AG3070" t="s">
        <v>6012</v>
      </c>
    </row>
    <row r="3071" spans="1:33" x14ac:dyDescent="0.35">
      <c r="A3071" s="18">
        <v>44215.436805555553</v>
      </c>
      <c r="B3071">
        <v>1633611</v>
      </c>
      <c r="C3071" t="s">
        <v>6546</v>
      </c>
      <c r="D3071" t="s">
        <v>1311</v>
      </c>
      <c r="E3071" s="19">
        <v>40779</v>
      </c>
      <c r="F3071" t="str">
        <f>"9781439856628"</f>
        <v>9781439856628</v>
      </c>
      <c r="G3071" t="str">
        <f>"9781439856611"</f>
        <v>9781439856611</v>
      </c>
      <c r="H3071" t="s">
        <v>1764</v>
      </c>
      <c r="I3071">
        <v>532.05028500000003</v>
      </c>
      <c r="J3071" t="s">
        <v>6547</v>
      </c>
      <c r="K3071" t="s">
        <v>85</v>
      </c>
      <c r="N3071" t="s">
        <v>74</v>
      </c>
      <c r="O3071" t="s">
        <v>75</v>
      </c>
      <c r="P3071" t="s">
        <v>74</v>
      </c>
      <c r="Q3071" t="s">
        <v>76</v>
      </c>
      <c r="R3071" t="s">
        <v>73</v>
      </c>
      <c r="S3071">
        <v>0</v>
      </c>
      <c r="W3071" s="20">
        <v>4.6296296296296294E-5</v>
      </c>
      <c r="X3071" t="s">
        <v>132</v>
      </c>
      <c r="Y3071">
        <v>1</v>
      </c>
      <c r="Z3071">
        <v>0</v>
      </c>
      <c r="AA3071" t="s">
        <v>78</v>
      </c>
      <c r="AB3071">
        <v>0</v>
      </c>
      <c r="AC3071" t="s">
        <v>78</v>
      </c>
      <c r="AD3071">
        <v>0</v>
      </c>
      <c r="AE3071">
        <v>10502472</v>
      </c>
      <c r="AF3071" t="s">
        <v>79</v>
      </c>
      <c r="AG3071" t="s">
        <v>6012</v>
      </c>
    </row>
    <row r="3072" spans="1:33" x14ac:dyDescent="0.35">
      <c r="A3072" s="18">
        <v>44215.436805555553</v>
      </c>
      <c r="B3072">
        <v>1012531</v>
      </c>
      <c r="C3072" t="s">
        <v>6548</v>
      </c>
      <c r="D3072" t="s">
        <v>158</v>
      </c>
      <c r="E3072" s="19">
        <v>41179</v>
      </c>
      <c r="F3072" t="str">
        <f>"9780080982779"</f>
        <v>9780080982779</v>
      </c>
      <c r="G3072" t="str">
        <f>"9780080982434"</f>
        <v>9780080982434</v>
      </c>
      <c r="H3072" t="s">
        <v>275</v>
      </c>
      <c r="I3072" t="s">
        <v>4517</v>
      </c>
      <c r="J3072" t="s">
        <v>6549</v>
      </c>
      <c r="K3072" t="s">
        <v>73</v>
      </c>
      <c r="N3072" t="s">
        <v>74</v>
      </c>
      <c r="O3072" t="s">
        <v>75</v>
      </c>
      <c r="P3072" t="s">
        <v>74</v>
      </c>
      <c r="Q3072" t="s">
        <v>76</v>
      </c>
      <c r="R3072" t="s">
        <v>73</v>
      </c>
      <c r="S3072">
        <v>0</v>
      </c>
      <c r="W3072" s="20">
        <v>3.4722222222222222E-5</v>
      </c>
      <c r="X3072" t="s">
        <v>132</v>
      </c>
      <c r="Y3072">
        <v>1</v>
      </c>
      <c r="Z3072">
        <v>0</v>
      </c>
      <c r="AA3072" t="s">
        <v>78</v>
      </c>
      <c r="AB3072">
        <v>0</v>
      </c>
      <c r="AC3072" t="s">
        <v>78</v>
      </c>
      <c r="AD3072">
        <v>0</v>
      </c>
      <c r="AE3072">
        <v>10595534</v>
      </c>
      <c r="AF3072" t="s">
        <v>79</v>
      </c>
      <c r="AG3072" t="s">
        <v>6012</v>
      </c>
    </row>
    <row r="3073" spans="1:33" x14ac:dyDescent="0.35">
      <c r="A3073" s="18">
        <v>44215.436111111114</v>
      </c>
      <c r="B3073">
        <v>2033828</v>
      </c>
      <c r="C3073" t="s">
        <v>6167</v>
      </c>
      <c r="D3073" t="s">
        <v>158</v>
      </c>
      <c r="E3073" s="19">
        <v>42088</v>
      </c>
      <c r="F3073" t="str">
        <f>"9780128011720"</f>
        <v>9780128011720</v>
      </c>
      <c r="G3073" t="str">
        <f>"9780080999951"</f>
        <v>9780080999951</v>
      </c>
      <c r="H3073" t="s">
        <v>6168</v>
      </c>
      <c r="I3073" t="s">
        <v>6169</v>
      </c>
      <c r="J3073" t="s">
        <v>6170</v>
      </c>
      <c r="K3073" t="s">
        <v>73</v>
      </c>
      <c r="N3073" t="s">
        <v>74</v>
      </c>
      <c r="O3073" t="s">
        <v>75</v>
      </c>
      <c r="P3073" t="s">
        <v>74</v>
      </c>
      <c r="Q3073" t="s">
        <v>76</v>
      </c>
      <c r="R3073" t="s">
        <v>73</v>
      </c>
      <c r="S3073">
        <v>0</v>
      </c>
      <c r="W3073" s="20">
        <v>3.2407407407407406E-4</v>
      </c>
      <c r="X3073" t="s">
        <v>6421</v>
      </c>
      <c r="Y3073">
        <v>3</v>
      </c>
      <c r="Z3073">
        <v>0</v>
      </c>
      <c r="AA3073" t="s">
        <v>78</v>
      </c>
      <c r="AB3073">
        <v>0</v>
      </c>
      <c r="AC3073" t="s">
        <v>78</v>
      </c>
      <c r="AD3073">
        <v>0</v>
      </c>
      <c r="AE3073">
        <v>11048368</v>
      </c>
      <c r="AF3073" t="s">
        <v>79</v>
      </c>
      <c r="AG3073" t="s">
        <v>6012</v>
      </c>
    </row>
    <row r="3074" spans="1:33" x14ac:dyDescent="0.35">
      <c r="A3074" s="18">
        <v>44215.429861111108</v>
      </c>
      <c r="B3074">
        <v>6253285</v>
      </c>
      <c r="C3074" t="s">
        <v>6465</v>
      </c>
      <c r="D3074" t="s">
        <v>239</v>
      </c>
      <c r="E3074" s="19">
        <v>44004</v>
      </c>
      <c r="F3074" t="str">
        <f>"9789811216374"</f>
        <v>9789811216374</v>
      </c>
      <c r="G3074" t="str">
        <f>"9789811216367"</f>
        <v>9789811216367</v>
      </c>
      <c r="H3074" t="s">
        <v>1194</v>
      </c>
      <c r="I3074" t="s">
        <v>2024</v>
      </c>
      <c r="J3074" t="s">
        <v>6466</v>
      </c>
      <c r="K3074" t="s">
        <v>85</v>
      </c>
      <c r="N3074" t="s">
        <v>86</v>
      </c>
      <c r="P3074" t="s">
        <v>1850</v>
      </c>
      <c r="Q3074" t="s">
        <v>76</v>
      </c>
      <c r="R3074" t="s">
        <v>73</v>
      </c>
      <c r="S3074">
        <v>5</v>
      </c>
      <c r="T3074">
        <v>1</v>
      </c>
      <c r="U3074" s="18">
        <v>44215.429861111108</v>
      </c>
      <c r="V3074" s="18">
        <v>44216.429861111108</v>
      </c>
      <c r="W3074" s="20">
        <v>0</v>
      </c>
      <c r="X3074" t="s">
        <v>78</v>
      </c>
      <c r="Y3074">
        <v>0</v>
      </c>
      <c r="Z3074">
        <v>0</v>
      </c>
      <c r="AA3074" t="s">
        <v>78</v>
      </c>
      <c r="AB3074">
        <v>0</v>
      </c>
      <c r="AC3074" t="s">
        <v>78</v>
      </c>
      <c r="AD3074">
        <v>0</v>
      </c>
      <c r="AE3074">
        <v>-1</v>
      </c>
      <c r="AF3074" t="s">
        <v>88</v>
      </c>
      <c r="AG3074" t="s">
        <v>6012</v>
      </c>
    </row>
    <row r="3075" spans="1:33" x14ac:dyDescent="0.35">
      <c r="A3075" s="18">
        <v>44215.400694444441</v>
      </c>
      <c r="B3075">
        <v>6253285</v>
      </c>
      <c r="C3075" t="s">
        <v>6465</v>
      </c>
      <c r="D3075" t="s">
        <v>239</v>
      </c>
      <c r="E3075" s="19">
        <v>44004</v>
      </c>
      <c r="F3075" t="str">
        <f>"9789811216374"</f>
        <v>9789811216374</v>
      </c>
      <c r="G3075" t="str">
        <f>"9789811216367"</f>
        <v>9789811216367</v>
      </c>
      <c r="H3075" t="s">
        <v>1194</v>
      </c>
      <c r="I3075" t="s">
        <v>2024</v>
      </c>
      <c r="J3075" t="s">
        <v>6466</v>
      </c>
      <c r="K3075" t="s">
        <v>85</v>
      </c>
      <c r="N3075" t="s">
        <v>86</v>
      </c>
      <c r="P3075" t="s">
        <v>1850</v>
      </c>
      <c r="Q3075" t="s">
        <v>76</v>
      </c>
      <c r="R3075" t="s">
        <v>73</v>
      </c>
      <c r="S3075">
        <v>5</v>
      </c>
      <c r="T3075">
        <v>7</v>
      </c>
      <c r="U3075" s="18">
        <v>44215.400694444441</v>
      </c>
      <c r="V3075" s="18">
        <v>44222.400694444441</v>
      </c>
      <c r="W3075" s="20">
        <v>2.8252314814814813E-2</v>
      </c>
      <c r="X3075" t="s">
        <v>6550</v>
      </c>
      <c r="Y3075">
        <v>103</v>
      </c>
      <c r="Z3075">
        <v>0</v>
      </c>
      <c r="AA3075" t="s">
        <v>78</v>
      </c>
      <c r="AB3075">
        <v>0</v>
      </c>
      <c r="AC3075" t="s">
        <v>78</v>
      </c>
      <c r="AD3075">
        <v>0</v>
      </c>
      <c r="AE3075">
        <v>-1</v>
      </c>
      <c r="AF3075" t="s">
        <v>88</v>
      </c>
      <c r="AG3075" t="s">
        <v>1256</v>
      </c>
    </row>
    <row r="3076" spans="1:33" x14ac:dyDescent="0.35">
      <c r="A3076" s="18">
        <v>44215.394444444442</v>
      </c>
      <c r="B3076">
        <v>6253285</v>
      </c>
      <c r="C3076" t="s">
        <v>6465</v>
      </c>
      <c r="D3076" t="s">
        <v>239</v>
      </c>
      <c r="E3076" s="19">
        <v>44004</v>
      </c>
      <c r="F3076" t="str">
        <f>"9789811216374"</f>
        <v>9789811216374</v>
      </c>
      <c r="G3076" t="str">
        <f>"9789811216367"</f>
        <v>9789811216367</v>
      </c>
      <c r="H3076" t="s">
        <v>1194</v>
      </c>
      <c r="I3076" t="s">
        <v>2024</v>
      </c>
      <c r="J3076" t="s">
        <v>6466</v>
      </c>
      <c r="K3076" t="s">
        <v>85</v>
      </c>
      <c r="N3076" t="s">
        <v>86</v>
      </c>
      <c r="P3076" t="s">
        <v>1850</v>
      </c>
      <c r="Q3076" t="s">
        <v>76</v>
      </c>
      <c r="R3076" t="s">
        <v>73</v>
      </c>
      <c r="S3076">
        <v>0</v>
      </c>
      <c r="W3076" s="20">
        <v>0</v>
      </c>
      <c r="X3076" t="s">
        <v>78</v>
      </c>
      <c r="Y3076">
        <v>0</v>
      </c>
      <c r="Z3076">
        <v>9</v>
      </c>
      <c r="AA3076" t="s">
        <v>6551</v>
      </c>
      <c r="AB3076">
        <v>126</v>
      </c>
      <c r="AC3076" t="s">
        <v>78</v>
      </c>
      <c r="AD3076">
        <v>0</v>
      </c>
      <c r="AE3076">
        <v>-1</v>
      </c>
      <c r="AF3076" t="s">
        <v>88</v>
      </c>
      <c r="AG3076" t="s">
        <v>1256</v>
      </c>
    </row>
    <row r="3077" spans="1:33" x14ac:dyDescent="0.35">
      <c r="A3077" s="18">
        <v>44215.387499999997</v>
      </c>
      <c r="B3077">
        <v>6452036</v>
      </c>
      <c r="C3077" t="s">
        <v>6473</v>
      </c>
      <c r="D3077" t="s">
        <v>200</v>
      </c>
      <c r="E3077" s="19">
        <v>44203</v>
      </c>
      <c r="F3077" t="str">
        <f>"9789813346420"</f>
        <v>9789813346420</v>
      </c>
      <c r="G3077" t="str">
        <f>"9789813346413"</f>
        <v>9789813346413</v>
      </c>
      <c r="H3077" t="s">
        <v>3540</v>
      </c>
      <c r="I3077">
        <v>621.39499999999998</v>
      </c>
      <c r="J3077" t="s">
        <v>202</v>
      </c>
      <c r="K3077" t="s">
        <v>85</v>
      </c>
      <c r="N3077" t="s">
        <v>86</v>
      </c>
      <c r="P3077" t="s">
        <v>87</v>
      </c>
      <c r="Q3077" t="s">
        <v>76</v>
      </c>
      <c r="R3077" t="s">
        <v>73</v>
      </c>
      <c r="S3077">
        <v>1</v>
      </c>
      <c r="T3077">
        <v>90</v>
      </c>
      <c r="U3077" s="18">
        <v>44215.387499999997</v>
      </c>
      <c r="V3077" s="18">
        <v>44305.387499999997</v>
      </c>
      <c r="W3077" s="20">
        <v>0</v>
      </c>
      <c r="X3077" t="s">
        <v>78</v>
      </c>
      <c r="Y3077">
        <v>0</v>
      </c>
      <c r="Z3077">
        <v>0</v>
      </c>
      <c r="AA3077" t="s">
        <v>78</v>
      </c>
      <c r="AB3077">
        <v>0</v>
      </c>
      <c r="AC3077" t="s">
        <v>78</v>
      </c>
      <c r="AD3077">
        <v>0</v>
      </c>
      <c r="AE3077">
        <v>-1</v>
      </c>
      <c r="AF3077" t="s">
        <v>88</v>
      </c>
      <c r="AG3077" t="s">
        <v>6552</v>
      </c>
    </row>
    <row r="3078" spans="1:33" x14ac:dyDescent="0.35">
      <c r="A3078" s="18">
        <v>44214.775000000001</v>
      </c>
      <c r="B3078">
        <v>4875240</v>
      </c>
      <c r="C3078" t="s">
        <v>465</v>
      </c>
      <c r="D3078" t="s">
        <v>70</v>
      </c>
      <c r="E3078" s="19">
        <v>42954</v>
      </c>
      <c r="F3078" t="str">
        <f>"9781119329039"</f>
        <v>9781119329039</v>
      </c>
      <c r="G3078" t="str">
        <f>"9781119329053"</f>
        <v>9781119329053</v>
      </c>
      <c r="H3078" t="s">
        <v>466</v>
      </c>
      <c r="I3078">
        <v>621.38104399999997</v>
      </c>
      <c r="J3078" t="s">
        <v>467</v>
      </c>
      <c r="K3078" t="s">
        <v>73</v>
      </c>
      <c r="N3078" t="s">
        <v>74</v>
      </c>
      <c r="O3078" t="s">
        <v>75</v>
      </c>
      <c r="P3078" t="s">
        <v>74</v>
      </c>
      <c r="Q3078" t="s">
        <v>76</v>
      </c>
      <c r="R3078" t="s">
        <v>73</v>
      </c>
      <c r="S3078">
        <v>0</v>
      </c>
      <c r="W3078" s="20">
        <v>4.9768518518518521E-4</v>
      </c>
      <c r="X3078" t="s">
        <v>249</v>
      </c>
      <c r="Y3078">
        <v>2</v>
      </c>
      <c r="Z3078">
        <v>0</v>
      </c>
      <c r="AA3078" t="s">
        <v>78</v>
      </c>
      <c r="AB3078">
        <v>0</v>
      </c>
      <c r="AC3078" t="s">
        <v>78</v>
      </c>
      <c r="AD3078">
        <v>0</v>
      </c>
      <c r="AE3078">
        <v>11395817</v>
      </c>
      <c r="AF3078" t="s">
        <v>88</v>
      </c>
      <c r="AG3078" t="s">
        <v>6012</v>
      </c>
    </row>
    <row r="3079" spans="1:33" x14ac:dyDescent="0.35">
      <c r="A3079" s="18">
        <v>44214.501388888886</v>
      </c>
      <c r="B3079">
        <v>1118508</v>
      </c>
      <c r="C3079" t="s">
        <v>3484</v>
      </c>
      <c r="D3079" t="s">
        <v>70</v>
      </c>
      <c r="E3079" s="19">
        <v>41316</v>
      </c>
      <c r="F3079" t="str">
        <f>"9781118483572"</f>
        <v>9781118483572</v>
      </c>
      <c r="G3079" t="str">
        <f>"9780470978771"</f>
        <v>9780470978771</v>
      </c>
      <c r="H3079" t="s">
        <v>974</v>
      </c>
      <c r="I3079">
        <v>620.10640000000001</v>
      </c>
      <c r="J3079" t="s">
        <v>3485</v>
      </c>
      <c r="K3079" t="s">
        <v>73</v>
      </c>
      <c r="N3079" t="s">
        <v>74</v>
      </c>
      <c r="O3079" t="s">
        <v>75</v>
      </c>
      <c r="P3079" t="s">
        <v>74</v>
      </c>
      <c r="Q3079" t="s">
        <v>76</v>
      </c>
      <c r="R3079" t="s">
        <v>73</v>
      </c>
      <c r="S3079">
        <v>0</v>
      </c>
      <c r="W3079" s="20">
        <v>1.1157407407407408E-2</v>
      </c>
      <c r="X3079" t="s">
        <v>6553</v>
      </c>
      <c r="Y3079">
        <v>14</v>
      </c>
      <c r="Z3079">
        <v>0</v>
      </c>
      <c r="AA3079" t="s">
        <v>78</v>
      </c>
      <c r="AB3079">
        <v>0</v>
      </c>
      <c r="AC3079" t="s">
        <v>78</v>
      </c>
      <c r="AD3079">
        <v>0</v>
      </c>
      <c r="AE3079">
        <v>10657959</v>
      </c>
      <c r="AF3079" t="s">
        <v>79</v>
      </c>
      <c r="AG3079" t="s">
        <v>6012</v>
      </c>
    </row>
    <row r="3080" spans="1:33" x14ac:dyDescent="0.35">
      <c r="A3080" s="18">
        <v>44214.501388888886</v>
      </c>
      <c r="B3080">
        <v>3018128</v>
      </c>
      <c r="C3080" t="s">
        <v>6554</v>
      </c>
      <c r="D3080" t="s">
        <v>226</v>
      </c>
      <c r="E3080" s="19">
        <v>40391</v>
      </c>
      <c r="F3080" t="str">
        <f>"9781611228892"</f>
        <v>9781611228892</v>
      </c>
      <c r="G3080" t="str">
        <f>"9781608760572"</f>
        <v>9781608760572</v>
      </c>
      <c r="H3080" t="s">
        <v>1194</v>
      </c>
      <c r="I3080" t="s">
        <v>6555</v>
      </c>
      <c r="J3080" t="s">
        <v>6556</v>
      </c>
      <c r="K3080" t="s">
        <v>73</v>
      </c>
      <c r="N3080" t="s">
        <v>74</v>
      </c>
      <c r="O3080" t="s">
        <v>75</v>
      </c>
      <c r="P3080" t="s">
        <v>230</v>
      </c>
      <c r="Q3080" t="s">
        <v>76</v>
      </c>
      <c r="R3080" t="s">
        <v>85</v>
      </c>
      <c r="S3080">
        <v>0</v>
      </c>
      <c r="W3080" s="20">
        <v>5.3356481481481484E-3</v>
      </c>
      <c r="X3080" t="s">
        <v>6557</v>
      </c>
      <c r="Y3080">
        <v>8</v>
      </c>
      <c r="Z3080">
        <v>0</v>
      </c>
      <c r="AA3080" t="s">
        <v>78</v>
      </c>
      <c r="AB3080">
        <v>0</v>
      </c>
      <c r="AC3080" t="s">
        <v>78</v>
      </c>
      <c r="AD3080">
        <v>0</v>
      </c>
      <c r="AE3080">
        <v>10659050</v>
      </c>
      <c r="AF3080" t="s">
        <v>79</v>
      </c>
      <c r="AG3080" t="s">
        <v>6012</v>
      </c>
    </row>
    <row r="3081" spans="1:33" x14ac:dyDescent="0.35">
      <c r="A3081" s="18">
        <v>44214.501388888886</v>
      </c>
      <c r="B3081">
        <v>713126</v>
      </c>
      <c r="C3081" t="s">
        <v>6558</v>
      </c>
      <c r="D3081" t="s">
        <v>6559</v>
      </c>
      <c r="E3081" s="19">
        <v>40483</v>
      </c>
      <c r="F3081" t="str">
        <f>"9781845644024"</f>
        <v>9781845644024</v>
      </c>
      <c r="G3081" t="str">
        <f>"9781845641443"</f>
        <v>9781845641443</v>
      </c>
      <c r="H3081" t="s">
        <v>6314</v>
      </c>
      <c r="I3081">
        <v>532.00502849999998</v>
      </c>
      <c r="J3081" t="s">
        <v>6560</v>
      </c>
      <c r="K3081" t="s">
        <v>85</v>
      </c>
      <c r="P3081" t="s">
        <v>297</v>
      </c>
      <c r="Q3081" t="s">
        <v>76</v>
      </c>
      <c r="R3081" t="s">
        <v>73</v>
      </c>
      <c r="S3081">
        <v>0</v>
      </c>
      <c r="W3081" s="20">
        <v>4.8726851851851856E-3</v>
      </c>
      <c r="X3081" t="s">
        <v>6561</v>
      </c>
      <c r="Y3081">
        <v>8</v>
      </c>
      <c r="Z3081">
        <v>0</v>
      </c>
      <c r="AA3081" t="s">
        <v>78</v>
      </c>
      <c r="AB3081">
        <v>0</v>
      </c>
      <c r="AC3081" t="s">
        <v>78</v>
      </c>
      <c r="AD3081">
        <v>0</v>
      </c>
      <c r="AE3081">
        <v>10477306</v>
      </c>
      <c r="AF3081" t="s">
        <v>79</v>
      </c>
      <c r="AG3081" t="s">
        <v>6012</v>
      </c>
    </row>
    <row r="3082" spans="1:33" x14ac:dyDescent="0.35">
      <c r="A3082" s="18">
        <v>44214.460416666669</v>
      </c>
      <c r="B3082">
        <v>4443317</v>
      </c>
      <c r="C3082" t="s">
        <v>6370</v>
      </c>
      <c r="D3082" t="s">
        <v>70</v>
      </c>
      <c r="E3082" s="19">
        <v>42492</v>
      </c>
      <c r="F3082" t="str">
        <f>"9781118643501"</f>
        <v>9781118643501</v>
      </c>
      <c r="G3082" t="str">
        <f>"9781118643525"</f>
        <v>9781118643525</v>
      </c>
      <c r="H3082" t="s">
        <v>6371</v>
      </c>
      <c r="I3082">
        <v>577.64</v>
      </c>
      <c r="J3082" t="s">
        <v>6372</v>
      </c>
      <c r="K3082" t="s">
        <v>73</v>
      </c>
      <c r="N3082" t="s">
        <v>74</v>
      </c>
      <c r="O3082" t="s">
        <v>75</v>
      </c>
      <c r="P3082" t="s">
        <v>74</v>
      </c>
      <c r="Q3082" t="s">
        <v>76</v>
      </c>
      <c r="R3082" t="s">
        <v>73</v>
      </c>
      <c r="S3082">
        <v>0</v>
      </c>
      <c r="W3082" s="20">
        <v>2.3148148148148146E-4</v>
      </c>
      <c r="X3082" t="s">
        <v>6562</v>
      </c>
      <c r="Y3082">
        <v>2</v>
      </c>
      <c r="Z3082">
        <v>1</v>
      </c>
      <c r="AA3082" t="s">
        <v>6563</v>
      </c>
      <c r="AB3082">
        <v>30</v>
      </c>
      <c r="AC3082" t="s">
        <v>78</v>
      </c>
      <c r="AD3082">
        <v>0</v>
      </c>
      <c r="AE3082">
        <v>11171796</v>
      </c>
      <c r="AF3082" t="s">
        <v>88</v>
      </c>
      <c r="AG3082" t="s">
        <v>6312</v>
      </c>
    </row>
    <row r="3083" spans="1:33" x14ac:dyDescent="0.35">
      <c r="A3083" s="18">
        <v>44214.456250000003</v>
      </c>
      <c r="B3083">
        <v>1694926</v>
      </c>
      <c r="C3083" t="s">
        <v>3779</v>
      </c>
      <c r="D3083" t="s">
        <v>70</v>
      </c>
      <c r="E3083" s="19">
        <v>41799</v>
      </c>
      <c r="F3083" t="str">
        <f>"9781118823828"</f>
        <v>9781118823828</v>
      </c>
      <c r="G3083" t="str">
        <f>"9781118823774"</f>
        <v>9781118823774</v>
      </c>
      <c r="H3083" t="s">
        <v>110</v>
      </c>
      <c r="I3083" t="s">
        <v>3134</v>
      </c>
      <c r="J3083" t="s">
        <v>3780</v>
      </c>
      <c r="K3083" t="s">
        <v>73</v>
      </c>
      <c r="N3083" t="s">
        <v>74</v>
      </c>
      <c r="O3083" t="s">
        <v>75</v>
      </c>
      <c r="P3083" t="s">
        <v>74</v>
      </c>
      <c r="Q3083" t="s">
        <v>76</v>
      </c>
      <c r="R3083" t="s">
        <v>73</v>
      </c>
      <c r="S3083">
        <v>0</v>
      </c>
      <c r="W3083" s="20">
        <v>1.2037037037037038E-3</v>
      </c>
      <c r="X3083" t="s">
        <v>6564</v>
      </c>
      <c r="Y3083">
        <v>9</v>
      </c>
      <c r="Z3083">
        <v>0</v>
      </c>
      <c r="AA3083" t="s">
        <v>78</v>
      </c>
      <c r="AB3083">
        <v>0</v>
      </c>
      <c r="AC3083" t="s">
        <v>78</v>
      </c>
      <c r="AD3083">
        <v>0</v>
      </c>
      <c r="AE3083">
        <v>10876081</v>
      </c>
      <c r="AF3083" t="s">
        <v>79</v>
      </c>
      <c r="AG3083" t="s">
        <v>6460</v>
      </c>
    </row>
    <row r="3084" spans="1:33" x14ac:dyDescent="0.35">
      <c r="A3084" s="18">
        <v>44214.45208333333</v>
      </c>
      <c r="B3084">
        <v>289446</v>
      </c>
      <c r="C3084" t="s">
        <v>6357</v>
      </c>
      <c r="D3084" t="s">
        <v>284</v>
      </c>
      <c r="E3084" s="19">
        <v>38718</v>
      </c>
      <c r="F3084" t="str">
        <f>"9781845930295"</f>
        <v>9781845930295</v>
      </c>
      <c r="G3084" t="str">
        <f>"9780851990507"</f>
        <v>9780851990507</v>
      </c>
      <c r="H3084" t="s">
        <v>6358</v>
      </c>
      <c r="I3084" t="s">
        <v>6359</v>
      </c>
      <c r="J3084" t="s">
        <v>6360</v>
      </c>
      <c r="K3084" t="s">
        <v>73</v>
      </c>
      <c r="N3084" t="s">
        <v>74</v>
      </c>
      <c r="O3084" t="s">
        <v>75</v>
      </c>
      <c r="P3084" t="s">
        <v>230</v>
      </c>
      <c r="Q3084" t="s">
        <v>76</v>
      </c>
      <c r="R3084" t="s">
        <v>85</v>
      </c>
      <c r="S3084">
        <v>0</v>
      </c>
      <c r="W3084" s="20">
        <v>4.1666666666666669E-4</v>
      </c>
      <c r="X3084" t="s">
        <v>6565</v>
      </c>
      <c r="Y3084">
        <v>4</v>
      </c>
      <c r="Z3084">
        <v>1</v>
      </c>
      <c r="AA3084" t="s">
        <v>6566</v>
      </c>
      <c r="AB3084">
        <v>8</v>
      </c>
      <c r="AC3084" t="s">
        <v>78</v>
      </c>
      <c r="AD3084">
        <v>0</v>
      </c>
      <c r="AE3084">
        <v>10157960</v>
      </c>
      <c r="AF3084" t="s">
        <v>88</v>
      </c>
      <c r="AG3084" t="s">
        <v>6312</v>
      </c>
    </row>
    <row r="3085" spans="1:33" x14ac:dyDescent="0.35">
      <c r="A3085" s="18">
        <v>44214.45208333333</v>
      </c>
      <c r="B3085">
        <v>826883</v>
      </c>
      <c r="C3085" t="s">
        <v>2059</v>
      </c>
      <c r="D3085" t="s">
        <v>70</v>
      </c>
      <c r="E3085" s="19">
        <v>40918</v>
      </c>
      <c r="F3085" t="str">
        <f>"9781444347135"</f>
        <v>9781444347135</v>
      </c>
      <c r="G3085" t="str">
        <f>"9781405194655"</f>
        <v>9781405194655</v>
      </c>
      <c r="H3085" t="s">
        <v>1561</v>
      </c>
      <c r="I3085">
        <v>551.79999999999995</v>
      </c>
      <c r="J3085" t="s">
        <v>2060</v>
      </c>
      <c r="K3085" t="s">
        <v>73</v>
      </c>
      <c r="N3085" t="s">
        <v>74</v>
      </c>
      <c r="O3085" t="s">
        <v>75</v>
      </c>
      <c r="P3085" t="s">
        <v>74</v>
      </c>
      <c r="Q3085" t="s">
        <v>76</v>
      </c>
      <c r="R3085" t="s">
        <v>73</v>
      </c>
      <c r="S3085">
        <v>0</v>
      </c>
      <c r="W3085" s="20">
        <v>4.6296296296296294E-5</v>
      </c>
      <c r="X3085" t="s">
        <v>132</v>
      </c>
      <c r="Y3085">
        <v>1</v>
      </c>
      <c r="Z3085">
        <v>0</v>
      </c>
      <c r="AA3085" t="s">
        <v>78</v>
      </c>
      <c r="AB3085">
        <v>0</v>
      </c>
      <c r="AC3085" t="s">
        <v>78</v>
      </c>
      <c r="AD3085">
        <v>0</v>
      </c>
      <c r="AE3085">
        <v>10524044</v>
      </c>
      <c r="AF3085" t="s">
        <v>88</v>
      </c>
      <c r="AG3085" t="s">
        <v>6312</v>
      </c>
    </row>
    <row r="3086" spans="1:33" x14ac:dyDescent="0.35">
      <c r="A3086" s="18">
        <v>44214.451388888891</v>
      </c>
      <c r="B3086">
        <v>4305699</v>
      </c>
      <c r="C3086" t="s">
        <v>6567</v>
      </c>
      <c r="D3086" t="s">
        <v>70</v>
      </c>
      <c r="E3086" s="19">
        <v>42423</v>
      </c>
      <c r="F3086" t="str">
        <f>"9781118782309"</f>
        <v>9781118782309</v>
      </c>
      <c r="G3086" t="str">
        <f>"9781118782323"</f>
        <v>9781118782323</v>
      </c>
      <c r="H3086" t="s">
        <v>4592</v>
      </c>
      <c r="I3086" t="s">
        <v>6568</v>
      </c>
      <c r="J3086" t="s">
        <v>6569</v>
      </c>
      <c r="K3086" t="s">
        <v>73</v>
      </c>
      <c r="N3086" t="s">
        <v>74</v>
      </c>
      <c r="O3086" t="s">
        <v>75</v>
      </c>
      <c r="P3086" t="s">
        <v>74</v>
      </c>
      <c r="Q3086" t="s">
        <v>76</v>
      </c>
      <c r="R3086" t="s">
        <v>73</v>
      </c>
      <c r="S3086">
        <v>0</v>
      </c>
      <c r="W3086" s="20">
        <v>3.4722222222222222E-5</v>
      </c>
      <c r="X3086" t="s">
        <v>132</v>
      </c>
      <c r="Y3086">
        <v>1</v>
      </c>
      <c r="Z3086">
        <v>0</v>
      </c>
      <c r="AA3086" t="s">
        <v>78</v>
      </c>
      <c r="AB3086">
        <v>0</v>
      </c>
      <c r="AC3086" t="s">
        <v>78</v>
      </c>
      <c r="AD3086">
        <v>0</v>
      </c>
      <c r="AE3086">
        <v>11137211</v>
      </c>
      <c r="AF3086" t="s">
        <v>88</v>
      </c>
      <c r="AG3086" t="s">
        <v>6312</v>
      </c>
    </row>
    <row r="3087" spans="1:33" x14ac:dyDescent="0.35">
      <c r="A3087" s="18">
        <v>44214.451388888891</v>
      </c>
      <c r="B3087">
        <v>5724038</v>
      </c>
      <c r="C3087" t="s">
        <v>6570</v>
      </c>
      <c r="D3087" t="s">
        <v>70</v>
      </c>
      <c r="E3087" s="19">
        <v>43606</v>
      </c>
      <c r="F3087" t="str">
        <f>"9781119579861"</f>
        <v>9781119579861</v>
      </c>
      <c r="G3087" t="str">
        <f>"9781786303837"</f>
        <v>9781786303837</v>
      </c>
      <c r="H3087" t="s">
        <v>1561</v>
      </c>
      <c r="I3087">
        <v>551.48299999999995</v>
      </c>
      <c r="J3087" t="s">
        <v>6571</v>
      </c>
      <c r="K3087" t="s">
        <v>85</v>
      </c>
      <c r="N3087" t="s">
        <v>74</v>
      </c>
      <c r="O3087" t="s">
        <v>75</v>
      </c>
      <c r="P3087" t="s">
        <v>74</v>
      </c>
      <c r="Q3087" t="s">
        <v>76</v>
      </c>
      <c r="R3087" t="s">
        <v>73</v>
      </c>
      <c r="S3087">
        <v>0</v>
      </c>
      <c r="W3087" s="20">
        <v>4.6296296296296294E-5</v>
      </c>
      <c r="X3087" t="s">
        <v>132</v>
      </c>
      <c r="Y3087">
        <v>1</v>
      </c>
      <c r="Z3087">
        <v>0</v>
      </c>
      <c r="AA3087" t="s">
        <v>78</v>
      </c>
      <c r="AB3087">
        <v>0</v>
      </c>
      <c r="AC3087" t="s">
        <v>78</v>
      </c>
      <c r="AD3087">
        <v>0</v>
      </c>
      <c r="AE3087">
        <v>11657961</v>
      </c>
      <c r="AF3087" t="s">
        <v>88</v>
      </c>
      <c r="AG3087" t="s">
        <v>6312</v>
      </c>
    </row>
    <row r="3088" spans="1:33" x14ac:dyDescent="0.35">
      <c r="A3088" s="18">
        <v>44214.451388888891</v>
      </c>
      <c r="B3088">
        <v>318218</v>
      </c>
      <c r="C3088" t="s">
        <v>6572</v>
      </c>
      <c r="D3088" t="s">
        <v>158</v>
      </c>
      <c r="E3088" s="19">
        <v>39358</v>
      </c>
      <c r="F3088" t="str">
        <f>"9780080553269"</f>
        <v>9780080553269</v>
      </c>
      <c r="G3088" t="str">
        <f>"9780444519610"</f>
        <v>9780444519610</v>
      </c>
      <c r="H3088" t="s">
        <v>6573</v>
      </c>
      <c r="I3088">
        <v>333.73</v>
      </c>
      <c r="J3088" t="s">
        <v>6574</v>
      </c>
      <c r="K3088" t="s">
        <v>73</v>
      </c>
      <c r="N3088" t="s">
        <v>74</v>
      </c>
      <c r="O3088" t="s">
        <v>75</v>
      </c>
      <c r="P3088" t="s">
        <v>74</v>
      </c>
      <c r="Q3088" t="s">
        <v>76</v>
      </c>
      <c r="R3088" t="s">
        <v>73</v>
      </c>
      <c r="S3088">
        <v>0</v>
      </c>
      <c r="W3088" s="20">
        <v>4.1782407407407402E-3</v>
      </c>
      <c r="X3088" t="s">
        <v>6575</v>
      </c>
      <c r="Y3088">
        <v>7</v>
      </c>
      <c r="Z3088">
        <v>0</v>
      </c>
      <c r="AA3088" t="s">
        <v>78</v>
      </c>
      <c r="AB3088">
        <v>0</v>
      </c>
      <c r="AC3088" t="s">
        <v>78</v>
      </c>
      <c r="AD3088">
        <v>0</v>
      </c>
      <c r="AE3088">
        <v>10203551</v>
      </c>
      <c r="AF3088" t="s">
        <v>88</v>
      </c>
      <c r="AG3088" t="s">
        <v>6312</v>
      </c>
    </row>
    <row r="3089" spans="1:33" x14ac:dyDescent="0.35">
      <c r="A3089" s="18">
        <v>44214.45</v>
      </c>
      <c r="B3089">
        <v>3377421</v>
      </c>
      <c r="C3089" t="s">
        <v>6576</v>
      </c>
      <c r="D3089" t="s">
        <v>351</v>
      </c>
      <c r="E3089" s="19">
        <v>34366</v>
      </c>
      <c r="F3089" t="str">
        <f>"9780309568630"</f>
        <v>9780309568630</v>
      </c>
      <c r="G3089" t="str">
        <f>"9780309047456"</f>
        <v>9780309047456</v>
      </c>
      <c r="H3089" t="s">
        <v>1561</v>
      </c>
      <c r="I3089">
        <v>551.29999999999995</v>
      </c>
      <c r="J3089" t="s">
        <v>6577</v>
      </c>
      <c r="K3089" t="s">
        <v>73</v>
      </c>
      <c r="N3089" t="s">
        <v>74</v>
      </c>
      <c r="O3089" t="s">
        <v>75</v>
      </c>
      <c r="P3089" t="s">
        <v>230</v>
      </c>
      <c r="Q3089" t="s">
        <v>76</v>
      </c>
      <c r="R3089" t="s">
        <v>85</v>
      </c>
      <c r="S3089">
        <v>0</v>
      </c>
      <c r="W3089" s="20">
        <v>3.0092592592592595E-4</v>
      </c>
      <c r="X3089" t="s">
        <v>6578</v>
      </c>
      <c r="Y3089">
        <v>4</v>
      </c>
      <c r="Z3089">
        <v>0</v>
      </c>
      <c r="AA3089" t="s">
        <v>78</v>
      </c>
      <c r="AB3089">
        <v>0</v>
      </c>
      <c r="AC3089" t="s">
        <v>78</v>
      </c>
      <c r="AD3089">
        <v>0</v>
      </c>
      <c r="AE3089">
        <v>10071449</v>
      </c>
      <c r="AF3089" t="s">
        <v>88</v>
      </c>
      <c r="AG3089" t="s">
        <v>6312</v>
      </c>
    </row>
    <row r="3090" spans="1:33" x14ac:dyDescent="0.35">
      <c r="A3090" s="18">
        <v>44214.449305555558</v>
      </c>
      <c r="B3090">
        <v>865211</v>
      </c>
      <c r="C3090" t="s">
        <v>6374</v>
      </c>
      <c r="D3090" t="s">
        <v>70</v>
      </c>
      <c r="E3090" s="19">
        <v>40938</v>
      </c>
      <c r="F3090" t="str">
        <f>"9781119952503"</f>
        <v>9781119952503</v>
      </c>
      <c r="G3090" t="str">
        <f>"9780470688908"</f>
        <v>9780470688908</v>
      </c>
      <c r="H3090" t="s">
        <v>6375</v>
      </c>
      <c r="I3090" t="s">
        <v>6376</v>
      </c>
      <c r="J3090" t="s">
        <v>6377</v>
      </c>
      <c r="K3090" t="s">
        <v>73</v>
      </c>
      <c r="N3090" t="s">
        <v>74</v>
      </c>
      <c r="O3090" t="s">
        <v>75</v>
      </c>
      <c r="P3090" t="s">
        <v>74</v>
      </c>
      <c r="Q3090" t="s">
        <v>76</v>
      </c>
      <c r="R3090" t="s">
        <v>73</v>
      </c>
      <c r="S3090">
        <v>0</v>
      </c>
      <c r="W3090" s="20">
        <v>1.0729166666666666E-2</v>
      </c>
      <c r="X3090" t="s">
        <v>6579</v>
      </c>
      <c r="Y3090">
        <v>5</v>
      </c>
      <c r="Z3090">
        <v>0</v>
      </c>
      <c r="AA3090" t="s">
        <v>78</v>
      </c>
      <c r="AB3090">
        <v>0</v>
      </c>
      <c r="AC3090" t="s">
        <v>78</v>
      </c>
      <c r="AD3090">
        <v>0</v>
      </c>
      <c r="AE3090">
        <v>10546609</v>
      </c>
      <c r="AF3090" t="s">
        <v>88</v>
      </c>
      <c r="AG3090" t="s">
        <v>6312</v>
      </c>
    </row>
    <row r="3091" spans="1:33" x14ac:dyDescent="0.35">
      <c r="A3091" s="18">
        <v>44214.449305555558</v>
      </c>
      <c r="B3091">
        <v>1887715</v>
      </c>
      <c r="C3091" t="s">
        <v>6580</v>
      </c>
      <c r="D3091" t="s">
        <v>338</v>
      </c>
      <c r="E3091" s="19">
        <v>41975</v>
      </c>
      <c r="F3091" t="str">
        <f>"9780444634184"</f>
        <v>9780444634184</v>
      </c>
      <c r="G3091" t="str">
        <f>"9780444634023"</f>
        <v>9780444634023</v>
      </c>
      <c r="H3091" t="s">
        <v>1561</v>
      </c>
      <c r="I3091">
        <v>551.41072299999996</v>
      </c>
      <c r="J3091" t="s">
        <v>6581</v>
      </c>
      <c r="K3091" t="s">
        <v>73</v>
      </c>
      <c r="N3091" t="s">
        <v>74</v>
      </c>
      <c r="O3091" t="s">
        <v>75</v>
      </c>
      <c r="P3091" t="s">
        <v>74</v>
      </c>
      <c r="Q3091" t="s">
        <v>76</v>
      </c>
      <c r="R3091" t="s">
        <v>73</v>
      </c>
      <c r="S3091">
        <v>0</v>
      </c>
      <c r="W3091" s="20">
        <v>3.4722222222222222E-5</v>
      </c>
      <c r="X3091" t="s">
        <v>132</v>
      </c>
      <c r="Y3091">
        <v>1</v>
      </c>
      <c r="Z3091">
        <v>0</v>
      </c>
      <c r="AA3091" t="s">
        <v>78</v>
      </c>
      <c r="AB3091">
        <v>0</v>
      </c>
      <c r="AC3091" t="s">
        <v>78</v>
      </c>
      <c r="AD3091">
        <v>0</v>
      </c>
      <c r="AE3091">
        <v>10999846</v>
      </c>
      <c r="AF3091" t="s">
        <v>88</v>
      </c>
      <c r="AG3091" t="s">
        <v>6312</v>
      </c>
    </row>
    <row r="3092" spans="1:33" x14ac:dyDescent="0.35">
      <c r="A3092" s="18">
        <v>44214.448611111111</v>
      </c>
      <c r="B3092">
        <v>1182933</v>
      </c>
      <c r="C3092" t="s">
        <v>5940</v>
      </c>
      <c r="D3092" t="s">
        <v>538</v>
      </c>
      <c r="E3092" s="19">
        <v>41421</v>
      </c>
      <c r="F3092" t="str">
        <f>"9781107057579"</f>
        <v>9781107057579</v>
      </c>
      <c r="G3092" t="str">
        <f>"9781107005549"</f>
        <v>9781107005549</v>
      </c>
      <c r="H3092" t="s">
        <v>1905</v>
      </c>
      <c r="I3092">
        <v>551.41499999999996</v>
      </c>
      <c r="J3092" t="s">
        <v>5941</v>
      </c>
      <c r="K3092" t="s">
        <v>73</v>
      </c>
      <c r="N3092" t="s">
        <v>74</v>
      </c>
      <c r="O3092" t="s">
        <v>75</v>
      </c>
      <c r="P3092" t="s">
        <v>74</v>
      </c>
      <c r="Q3092" t="s">
        <v>76</v>
      </c>
      <c r="R3092" t="s">
        <v>73</v>
      </c>
      <c r="S3092">
        <v>0</v>
      </c>
      <c r="W3092" s="20">
        <v>2.199074074074074E-4</v>
      </c>
      <c r="X3092" t="s">
        <v>6582</v>
      </c>
      <c r="Y3092">
        <v>2</v>
      </c>
      <c r="Z3092">
        <v>1</v>
      </c>
      <c r="AA3092" t="s">
        <v>6026</v>
      </c>
      <c r="AB3092">
        <v>42</v>
      </c>
      <c r="AC3092" t="s">
        <v>78</v>
      </c>
      <c r="AD3092">
        <v>0</v>
      </c>
      <c r="AE3092">
        <v>10695299</v>
      </c>
      <c r="AF3092" t="s">
        <v>88</v>
      </c>
      <c r="AG3092" t="s">
        <v>6312</v>
      </c>
    </row>
    <row r="3093" spans="1:33" x14ac:dyDescent="0.35">
      <c r="A3093" s="18">
        <v>44214.447916666664</v>
      </c>
      <c r="B3093">
        <v>303129</v>
      </c>
      <c r="C3093" t="s">
        <v>6583</v>
      </c>
      <c r="D3093" t="s">
        <v>3539</v>
      </c>
      <c r="E3093" s="19">
        <v>38594</v>
      </c>
      <c r="F3093" t="str">
        <f>"9781402027635"</f>
        <v>9781402027635</v>
      </c>
      <c r="G3093" t="str">
        <f>"9781402026324"</f>
        <v>9781402026324</v>
      </c>
      <c r="H3093" t="s">
        <v>1561</v>
      </c>
      <c r="I3093">
        <v>551.70000000000005</v>
      </c>
      <c r="J3093" t="s">
        <v>5708</v>
      </c>
      <c r="K3093" t="s">
        <v>85</v>
      </c>
      <c r="N3093" t="s">
        <v>86</v>
      </c>
      <c r="P3093" t="s">
        <v>87</v>
      </c>
      <c r="Q3093" t="s">
        <v>76</v>
      </c>
      <c r="R3093" t="s">
        <v>73</v>
      </c>
      <c r="S3093">
        <v>0</v>
      </c>
      <c r="W3093" s="20">
        <v>3.7037037037037035E-4</v>
      </c>
      <c r="X3093" t="s">
        <v>6584</v>
      </c>
      <c r="Y3093">
        <v>5</v>
      </c>
      <c r="Z3093">
        <v>0</v>
      </c>
      <c r="AA3093" t="s">
        <v>78</v>
      </c>
      <c r="AB3093">
        <v>0</v>
      </c>
      <c r="AC3093" t="s">
        <v>78</v>
      </c>
      <c r="AD3093">
        <v>0</v>
      </c>
      <c r="AE3093">
        <v>10144287</v>
      </c>
      <c r="AF3093" t="s">
        <v>88</v>
      </c>
      <c r="AG3093" t="s">
        <v>6312</v>
      </c>
    </row>
    <row r="3094" spans="1:33" x14ac:dyDescent="0.35">
      <c r="A3094" s="18">
        <v>44214.44027777778</v>
      </c>
      <c r="B3094">
        <v>3008749</v>
      </c>
      <c r="C3094" t="s">
        <v>5920</v>
      </c>
      <c r="D3094" t="s">
        <v>158</v>
      </c>
      <c r="E3094" s="19">
        <v>41353</v>
      </c>
      <c r="F3094" t="str">
        <f>"9780080885223"</f>
        <v>9780080885223</v>
      </c>
      <c r="G3094" t="str">
        <f>"9780123747396"</f>
        <v>9780123747396</v>
      </c>
      <c r="H3094" t="s">
        <v>1561</v>
      </c>
      <c r="I3094">
        <v>551.41</v>
      </c>
      <c r="J3094" t="s">
        <v>5921</v>
      </c>
      <c r="K3094" t="s">
        <v>73</v>
      </c>
      <c r="N3094" t="s">
        <v>74</v>
      </c>
      <c r="O3094" t="s">
        <v>75</v>
      </c>
      <c r="P3094" t="s">
        <v>74</v>
      </c>
      <c r="Q3094" t="s">
        <v>76</v>
      </c>
      <c r="R3094" t="s">
        <v>73</v>
      </c>
      <c r="S3094">
        <v>0</v>
      </c>
      <c r="W3094" s="20">
        <v>2.3842592592592591E-3</v>
      </c>
      <c r="X3094" t="s">
        <v>6585</v>
      </c>
      <c r="Y3094">
        <v>6</v>
      </c>
      <c r="Z3094">
        <v>1</v>
      </c>
      <c r="AA3094" t="s">
        <v>6586</v>
      </c>
      <c r="AB3094">
        <v>16</v>
      </c>
      <c r="AC3094" t="s">
        <v>78</v>
      </c>
      <c r="AD3094">
        <v>0</v>
      </c>
      <c r="AE3094">
        <v>10671465</v>
      </c>
      <c r="AF3094" t="s">
        <v>88</v>
      </c>
      <c r="AG3094" t="s">
        <v>6312</v>
      </c>
    </row>
    <row r="3095" spans="1:33" x14ac:dyDescent="0.35">
      <c r="A3095" s="18">
        <v>44214.439583333333</v>
      </c>
      <c r="B3095">
        <v>4517652</v>
      </c>
      <c r="C3095" t="s">
        <v>6587</v>
      </c>
      <c r="D3095" t="s">
        <v>70</v>
      </c>
      <c r="E3095" s="19">
        <v>42534</v>
      </c>
      <c r="F3095" t="str">
        <f>"9781118648575"</f>
        <v>9781118648575</v>
      </c>
      <c r="G3095" t="str">
        <f>"9781118648551"</f>
        <v>9781118648551</v>
      </c>
      <c r="H3095" t="s">
        <v>1905</v>
      </c>
      <c r="I3095" t="s">
        <v>6588</v>
      </c>
      <c r="J3095" t="s">
        <v>6589</v>
      </c>
      <c r="K3095" t="s">
        <v>73</v>
      </c>
      <c r="N3095" t="s">
        <v>74</v>
      </c>
      <c r="O3095" t="s">
        <v>75</v>
      </c>
      <c r="P3095" t="s">
        <v>74</v>
      </c>
      <c r="Q3095" t="s">
        <v>76</v>
      </c>
      <c r="R3095" t="s">
        <v>73</v>
      </c>
      <c r="S3095">
        <v>0</v>
      </c>
      <c r="W3095" s="20">
        <v>3.4722222222222222E-5</v>
      </c>
      <c r="X3095" t="s">
        <v>132</v>
      </c>
      <c r="Y3095">
        <v>1</v>
      </c>
      <c r="Z3095">
        <v>0</v>
      </c>
      <c r="AA3095" t="s">
        <v>78</v>
      </c>
      <c r="AB3095">
        <v>0</v>
      </c>
      <c r="AC3095" t="s">
        <v>78</v>
      </c>
      <c r="AD3095">
        <v>0</v>
      </c>
      <c r="AE3095">
        <v>11211162</v>
      </c>
      <c r="AF3095" t="s">
        <v>88</v>
      </c>
      <c r="AG3095" t="s">
        <v>6312</v>
      </c>
    </row>
    <row r="3096" spans="1:33" x14ac:dyDescent="0.35">
      <c r="A3096" s="18">
        <v>44214.436111111114</v>
      </c>
      <c r="B3096">
        <v>1666657</v>
      </c>
      <c r="C3096" t="s">
        <v>6590</v>
      </c>
      <c r="D3096" t="s">
        <v>158</v>
      </c>
      <c r="E3096" s="19">
        <v>41557</v>
      </c>
      <c r="F3096" t="str">
        <f>"9780444627384"</f>
        <v>9780444627384</v>
      </c>
      <c r="G3096" t="str">
        <f>"9780124114555"</f>
        <v>9780124114555</v>
      </c>
      <c r="H3096" t="s">
        <v>6591</v>
      </c>
      <c r="I3096">
        <v>551.79999999999995</v>
      </c>
      <c r="J3096" t="s">
        <v>6592</v>
      </c>
      <c r="K3096" t="s">
        <v>73</v>
      </c>
      <c r="N3096" t="s">
        <v>74</v>
      </c>
      <c r="O3096" t="s">
        <v>75</v>
      </c>
      <c r="P3096" t="s">
        <v>74</v>
      </c>
      <c r="Q3096" t="s">
        <v>76</v>
      </c>
      <c r="R3096" t="s">
        <v>73</v>
      </c>
      <c r="S3096">
        <v>0</v>
      </c>
      <c r="W3096" s="20">
        <v>3.2175925925925926E-3</v>
      </c>
      <c r="X3096" t="s">
        <v>6593</v>
      </c>
      <c r="Y3096">
        <v>5</v>
      </c>
      <c r="Z3096">
        <v>0</v>
      </c>
      <c r="AA3096" t="s">
        <v>78</v>
      </c>
      <c r="AB3096">
        <v>0</v>
      </c>
      <c r="AC3096" t="s">
        <v>78</v>
      </c>
      <c r="AD3096">
        <v>0</v>
      </c>
      <c r="AE3096">
        <v>10806065</v>
      </c>
      <c r="AF3096" t="s">
        <v>88</v>
      </c>
      <c r="AG3096" t="s">
        <v>6312</v>
      </c>
    </row>
    <row r="3097" spans="1:33" x14ac:dyDescent="0.35">
      <c r="A3097" s="18">
        <v>44214.43472222222</v>
      </c>
      <c r="B3097">
        <v>300877</v>
      </c>
      <c r="C3097" t="s">
        <v>6594</v>
      </c>
      <c r="D3097" t="s">
        <v>158</v>
      </c>
      <c r="E3097" s="19">
        <v>38678</v>
      </c>
      <c r="F3097" t="str">
        <f>"9780080525228"</f>
        <v>9780080525228</v>
      </c>
      <c r="G3097" t="str">
        <f>"9780080448497"</f>
        <v>9780080448497</v>
      </c>
      <c r="H3097" t="s">
        <v>1561</v>
      </c>
      <c r="I3097">
        <v>552.5</v>
      </c>
      <c r="J3097" t="s">
        <v>6595</v>
      </c>
      <c r="K3097" t="s">
        <v>73</v>
      </c>
      <c r="N3097" t="s">
        <v>74</v>
      </c>
      <c r="O3097" t="s">
        <v>75</v>
      </c>
      <c r="P3097" t="s">
        <v>74</v>
      </c>
      <c r="Q3097" t="s">
        <v>76</v>
      </c>
      <c r="R3097" t="s">
        <v>73</v>
      </c>
      <c r="S3097">
        <v>0</v>
      </c>
      <c r="W3097" s="20">
        <v>4.6296296296296294E-5</v>
      </c>
      <c r="X3097" t="s">
        <v>132</v>
      </c>
      <c r="Y3097">
        <v>1</v>
      </c>
      <c r="Z3097">
        <v>0</v>
      </c>
      <c r="AA3097" t="s">
        <v>78</v>
      </c>
      <c r="AB3097">
        <v>0</v>
      </c>
      <c r="AC3097" t="s">
        <v>78</v>
      </c>
      <c r="AD3097">
        <v>0</v>
      </c>
      <c r="AE3097">
        <v>10179914</v>
      </c>
      <c r="AF3097" t="s">
        <v>88</v>
      </c>
      <c r="AG3097" t="s">
        <v>6312</v>
      </c>
    </row>
    <row r="3098" spans="1:33" x14ac:dyDescent="0.35">
      <c r="A3098" s="18">
        <v>44214.43472222222</v>
      </c>
      <c r="B3098">
        <v>4714765</v>
      </c>
      <c r="C3098" t="s">
        <v>6596</v>
      </c>
      <c r="D3098" t="s">
        <v>338</v>
      </c>
      <c r="E3098" s="19">
        <v>42668</v>
      </c>
      <c r="F3098" t="str">
        <f>"9780128033876"</f>
        <v>9780128033876</v>
      </c>
      <c r="G3098" t="str">
        <f>"9780128033869"</f>
        <v>9780128033869</v>
      </c>
      <c r="H3098" t="s">
        <v>1905</v>
      </c>
      <c r="I3098">
        <v>552.5</v>
      </c>
      <c r="J3098" t="s">
        <v>6597</v>
      </c>
      <c r="K3098" t="s">
        <v>73</v>
      </c>
      <c r="N3098" t="s">
        <v>74</v>
      </c>
      <c r="O3098" t="s">
        <v>75</v>
      </c>
      <c r="P3098" t="s">
        <v>74</v>
      </c>
      <c r="Q3098" t="s">
        <v>76</v>
      </c>
      <c r="R3098" t="s">
        <v>73</v>
      </c>
      <c r="S3098">
        <v>0</v>
      </c>
      <c r="W3098" s="20">
        <v>3.4722222222222222E-5</v>
      </c>
      <c r="X3098" t="s">
        <v>132</v>
      </c>
      <c r="Y3098">
        <v>1</v>
      </c>
      <c r="Z3098">
        <v>0</v>
      </c>
      <c r="AA3098" t="s">
        <v>78</v>
      </c>
      <c r="AB3098">
        <v>0</v>
      </c>
      <c r="AC3098" t="s">
        <v>78</v>
      </c>
      <c r="AD3098">
        <v>0</v>
      </c>
      <c r="AE3098">
        <v>11279818</v>
      </c>
      <c r="AF3098" t="s">
        <v>88</v>
      </c>
      <c r="AG3098" t="s">
        <v>6312</v>
      </c>
    </row>
    <row r="3099" spans="1:33" x14ac:dyDescent="0.35">
      <c r="A3099" s="18">
        <v>44214.434027777781</v>
      </c>
      <c r="B3099">
        <v>1367687</v>
      </c>
      <c r="C3099" t="s">
        <v>6383</v>
      </c>
      <c r="D3099" t="s">
        <v>70</v>
      </c>
      <c r="E3099" s="19">
        <v>41575</v>
      </c>
      <c r="F3099" t="str">
        <f>"9781118527177"</f>
        <v>9781118527177</v>
      </c>
      <c r="G3099" t="str">
        <f>"9781119962779"</f>
        <v>9781119962779</v>
      </c>
      <c r="H3099" t="s">
        <v>6384</v>
      </c>
      <c r="I3099">
        <v>551.29999999999995</v>
      </c>
      <c r="J3099" t="s">
        <v>6385</v>
      </c>
      <c r="K3099" t="s">
        <v>73</v>
      </c>
      <c r="N3099" t="s">
        <v>74</v>
      </c>
      <c r="O3099" t="s">
        <v>75</v>
      </c>
      <c r="P3099" t="s">
        <v>74</v>
      </c>
      <c r="Q3099" t="s">
        <v>76</v>
      </c>
      <c r="R3099" t="s">
        <v>73</v>
      </c>
      <c r="S3099">
        <v>0</v>
      </c>
      <c r="W3099" s="20">
        <v>4.6296296296296294E-5</v>
      </c>
      <c r="X3099" t="s">
        <v>132</v>
      </c>
      <c r="Y3099">
        <v>1</v>
      </c>
      <c r="Z3099">
        <v>0</v>
      </c>
      <c r="AA3099" t="s">
        <v>78</v>
      </c>
      <c r="AB3099">
        <v>0</v>
      </c>
      <c r="AC3099" t="s">
        <v>78</v>
      </c>
      <c r="AD3099">
        <v>0</v>
      </c>
      <c r="AE3099">
        <v>10753392</v>
      </c>
      <c r="AF3099" t="s">
        <v>88</v>
      </c>
      <c r="AG3099" t="s">
        <v>6312</v>
      </c>
    </row>
    <row r="3100" spans="1:33" x14ac:dyDescent="0.35">
      <c r="A3100" s="18">
        <v>44214.434027777781</v>
      </c>
      <c r="B3100">
        <v>1642641</v>
      </c>
      <c r="C3100" t="s">
        <v>6361</v>
      </c>
      <c r="D3100" t="s">
        <v>70</v>
      </c>
      <c r="E3100" s="19">
        <v>41764</v>
      </c>
      <c r="F3100" t="str">
        <f>"9781118414903"</f>
        <v>9781118414903</v>
      </c>
      <c r="G3100" t="str">
        <f>"9781118414897"</f>
        <v>9781118414897</v>
      </c>
      <c r="H3100" t="s">
        <v>1905</v>
      </c>
      <c r="I3100" t="s">
        <v>6362</v>
      </c>
      <c r="J3100" t="s">
        <v>6363</v>
      </c>
      <c r="K3100" t="s">
        <v>73</v>
      </c>
      <c r="N3100" t="s">
        <v>74</v>
      </c>
      <c r="O3100" t="s">
        <v>75</v>
      </c>
      <c r="P3100" t="s">
        <v>74</v>
      </c>
      <c r="Q3100" t="s">
        <v>76</v>
      </c>
      <c r="R3100" t="s">
        <v>73</v>
      </c>
      <c r="S3100">
        <v>0</v>
      </c>
      <c r="W3100" s="20">
        <v>3.3564814814814812E-4</v>
      </c>
      <c r="X3100" t="s">
        <v>6598</v>
      </c>
      <c r="Y3100">
        <v>2</v>
      </c>
      <c r="Z3100">
        <v>1</v>
      </c>
      <c r="AA3100" t="s">
        <v>6599</v>
      </c>
      <c r="AB3100">
        <v>24</v>
      </c>
      <c r="AC3100" t="s">
        <v>78</v>
      </c>
      <c r="AD3100">
        <v>0</v>
      </c>
      <c r="AE3100">
        <v>10845578</v>
      </c>
      <c r="AF3100" t="s">
        <v>88</v>
      </c>
      <c r="AG3100" t="s">
        <v>6312</v>
      </c>
    </row>
    <row r="3101" spans="1:33" x14ac:dyDescent="0.35">
      <c r="A3101" s="18">
        <v>44214.432638888888</v>
      </c>
      <c r="B3101">
        <v>3017414</v>
      </c>
      <c r="C3101" t="s">
        <v>6366</v>
      </c>
      <c r="D3101" t="s">
        <v>234</v>
      </c>
      <c r="E3101" s="19">
        <v>36526</v>
      </c>
      <c r="F3101" t="str">
        <f>"9788122428414"</f>
        <v>9788122428414</v>
      </c>
      <c r="G3101" t="str">
        <f>"9788122418644"</f>
        <v>9788122418644</v>
      </c>
      <c r="H3101" t="s">
        <v>1905</v>
      </c>
      <c r="J3101" t="s">
        <v>6367</v>
      </c>
      <c r="K3101" t="s">
        <v>73</v>
      </c>
      <c r="N3101" t="s">
        <v>74</v>
      </c>
      <c r="O3101" t="s">
        <v>75</v>
      </c>
      <c r="P3101" t="s">
        <v>74</v>
      </c>
      <c r="Q3101" t="s">
        <v>76</v>
      </c>
      <c r="R3101" t="s">
        <v>73</v>
      </c>
      <c r="S3101">
        <v>0</v>
      </c>
      <c r="W3101" s="20">
        <v>2.5578703703703704E-2</v>
      </c>
      <c r="X3101" t="s">
        <v>6600</v>
      </c>
      <c r="Y3101">
        <v>5</v>
      </c>
      <c r="Z3101">
        <v>2</v>
      </c>
      <c r="AA3101" t="s">
        <v>6601</v>
      </c>
      <c r="AB3101">
        <v>74</v>
      </c>
      <c r="AC3101" t="s">
        <v>78</v>
      </c>
      <c r="AD3101">
        <v>0</v>
      </c>
      <c r="AE3101">
        <v>10367727</v>
      </c>
      <c r="AF3101" t="s">
        <v>88</v>
      </c>
      <c r="AG3101" t="s">
        <v>6312</v>
      </c>
    </row>
    <row r="3102" spans="1:33" x14ac:dyDescent="0.35">
      <c r="A3102" s="18">
        <v>44214.431944444441</v>
      </c>
      <c r="B3102">
        <v>6185922</v>
      </c>
      <c r="C3102" t="s">
        <v>6353</v>
      </c>
      <c r="D3102" t="s">
        <v>538</v>
      </c>
      <c r="E3102" s="19">
        <v>43958</v>
      </c>
      <c r="F3102" t="str">
        <f>"9781108173780"</f>
        <v>9781108173780</v>
      </c>
      <c r="G3102" t="str">
        <f>"9781107195424"</f>
        <v>9781107195424</v>
      </c>
      <c r="H3102" t="s">
        <v>1561</v>
      </c>
      <c r="I3102">
        <v>551.48299999999904</v>
      </c>
      <c r="J3102" t="s">
        <v>6354</v>
      </c>
      <c r="K3102" t="s">
        <v>85</v>
      </c>
      <c r="Q3102" t="s">
        <v>76</v>
      </c>
      <c r="R3102" t="s">
        <v>73</v>
      </c>
      <c r="S3102">
        <v>0</v>
      </c>
      <c r="W3102" s="20">
        <v>4.155092592592593E-3</v>
      </c>
      <c r="X3102" t="s">
        <v>6602</v>
      </c>
      <c r="Y3102">
        <v>5</v>
      </c>
      <c r="Z3102">
        <v>0</v>
      </c>
      <c r="AA3102" t="s">
        <v>78</v>
      </c>
      <c r="AB3102">
        <v>0</v>
      </c>
      <c r="AC3102" t="s">
        <v>78</v>
      </c>
      <c r="AD3102">
        <v>0</v>
      </c>
      <c r="AE3102">
        <v>-1</v>
      </c>
      <c r="AF3102" t="s">
        <v>88</v>
      </c>
      <c r="AG3102" t="s">
        <v>6312</v>
      </c>
    </row>
    <row r="3103" spans="1:33" x14ac:dyDescent="0.35">
      <c r="A3103" s="18">
        <v>44214.431250000001</v>
      </c>
      <c r="B3103">
        <v>5596906</v>
      </c>
      <c r="C3103" t="s">
        <v>5707</v>
      </c>
      <c r="D3103" t="s">
        <v>3539</v>
      </c>
      <c r="E3103" s="19">
        <v>43425</v>
      </c>
      <c r="F3103" t="str">
        <f>"9789402415582"</f>
        <v>9789402415582</v>
      </c>
      <c r="G3103" t="str">
        <f>"9789402415568"</f>
        <v>9789402415568</v>
      </c>
      <c r="H3103" t="s">
        <v>1561</v>
      </c>
      <c r="I3103">
        <v>551.35500000000002</v>
      </c>
      <c r="J3103" t="s">
        <v>5708</v>
      </c>
      <c r="K3103" t="s">
        <v>85</v>
      </c>
      <c r="Q3103" t="s">
        <v>76</v>
      </c>
      <c r="R3103" t="s">
        <v>73</v>
      </c>
      <c r="S3103">
        <v>0</v>
      </c>
      <c r="W3103" s="20">
        <v>5.6712962962962956E-4</v>
      </c>
      <c r="X3103" t="s">
        <v>6603</v>
      </c>
      <c r="Y3103">
        <v>5</v>
      </c>
      <c r="Z3103">
        <v>0</v>
      </c>
      <c r="AA3103" t="s">
        <v>78</v>
      </c>
      <c r="AB3103">
        <v>0</v>
      </c>
      <c r="AC3103" t="s">
        <v>78</v>
      </c>
      <c r="AD3103">
        <v>0</v>
      </c>
      <c r="AE3103">
        <v>-1</v>
      </c>
      <c r="AF3103" t="s">
        <v>88</v>
      </c>
      <c r="AG3103" t="s">
        <v>6312</v>
      </c>
    </row>
    <row r="3104" spans="1:33" x14ac:dyDescent="0.35">
      <c r="A3104" s="18">
        <v>44214.431250000001</v>
      </c>
      <c r="B3104">
        <v>432017</v>
      </c>
      <c r="C3104" t="s">
        <v>2334</v>
      </c>
      <c r="D3104" t="s">
        <v>538</v>
      </c>
      <c r="E3104" s="19">
        <v>39863</v>
      </c>
      <c r="F3104" t="str">
        <f>"9780511515149"</f>
        <v>9780511515149</v>
      </c>
      <c r="G3104" t="str">
        <f>"9780521897167"</f>
        <v>9780521897167</v>
      </c>
      <c r="H3104" t="s">
        <v>1905</v>
      </c>
      <c r="I3104">
        <v>552.5</v>
      </c>
      <c r="J3104" t="s">
        <v>2335</v>
      </c>
      <c r="K3104" t="s">
        <v>73</v>
      </c>
      <c r="N3104" t="s">
        <v>74</v>
      </c>
      <c r="O3104" t="s">
        <v>75</v>
      </c>
      <c r="P3104" t="s">
        <v>74</v>
      </c>
      <c r="Q3104" t="s">
        <v>76</v>
      </c>
      <c r="R3104" t="s">
        <v>73</v>
      </c>
      <c r="S3104">
        <v>0</v>
      </c>
      <c r="W3104" s="20">
        <v>3.4722222222222222E-5</v>
      </c>
      <c r="X3104" t="s">
        <v>132</v>
      </c>
      <c r="Y3104">
        <v>1</v>
      </c>
      <c r="Z3104">
        <v>0</v>
      </c>
      <c r="AA3104" t="s">
        <v>78</v>
      </c>
      <c r="AB3104">
        <v>0</v>
      </c>
      <c r="AC3104" t="s">
        <v>78</v>
      </c>
      <c r="AD3104">
        <v>0</v>
      </c>
      <c r="AE3104">
        <v>10297090</v>
      </c>
      <c r="AF3104" t="s">
        <v>88</v>
      </c>
      <c r="AG3104" t="s">
        <v>6312</v>
      </c>
    </row>
    <row r="3105" spans="1:33" x14ac:dyDescent="0.35">
      <c r="A3105" s="18">
        <v>44214.430555555555</v>
      </c>
      <c r="B3105">
        <v>4179310</v>
      </c>
      <c r="C3105" t="s">
        <v>6604</v>
      </c>
      <c r="D3105" t="s">
        <v>338</v>
      </c>
      <c r="E3105" s="19">
        <v>42333</v>
      </c>
      <c r="F3105" t="str">
        <f>"9780444635396"</f>
        <v>9780444635396</v>
      </c>
      <c r="G3105" t="str">
        <f>"9780444635297"</f>
        <v>9780444635297</v>
      </c>
      <c r="H3105" t="s">
        <v>1561</v>
      </c>
      <c r="I3105">
        <v>551.29999999999995</v>
      </c>
      <c r="J3105" t="s">
        <v>6605</v>
      </c>
      <c r="K3105" t="s">
        <v>73</v>
      </c>
      <c r="N3105" t="s">
        <v>74</v>
      </c>
      <c r="O3105" t="s">
        <v>75</v>
      </c>
      <c r="P3105" t="s">
        <v>74</v>
      </c>
      <c r="Q3105" t="s">
        <v>76</v>
      </c>
      <c r="R3105" t="s">
        <v>73</v>
      </c>
      <c r="S3105">
        <v>0</v>
      </c>
      <c r="W3105" s="20">
        <v>4.6296296296296294E-5</v>
      </c>
      <c r="X3105" t="s">
        <v>132</v>
      </c>
      <c r="Y3105">
        <v>1</v>
      </c>
      <c r="Z3105">
        <v>0</v>
      </c>
      <c r="AA3105" t="s">
        <v>78</v>
      </c>
      <c r="AB3105">
        <v>0</v>
      </c>
      <c r="AC3105" t="s">
        <v>78</v>
      </c>
      <c r="AD3105">
        <v>0</v>
      </c>
      <c r="AE3105">
        <v>11125436</v>
      </c>
      <c r="AF3105" t="s">
        <v>88</v>
      </c>
      <c r="AG3105" t="s">
        <v>6312</v>
      </c>
    </row>
    <row r="3106" spans="1:33" x14ac:dyDescent="0.35">
      <c r="A3106" s="18">
        <v>44214.429166666669</v>
      </c>
      <c r="B3106">
        <v>312765</v>
      </c>
      <c r="C3106" t="s">
        <v>5754</v>
      </c>
      <c r="D3106" t="s">
        <v>158</v>
      </c>
      <c r="E3106" s="19">
        <v>36670</v>
      </c>
      <c r="F3106" t="str">
        <f>"9780080527475"</f>
        <v>9780080527475</v>
      </c>
      <c r="G3106" t="str">
        <f>"9780126363753"</f>
        <v>9780126363753</v>
      </c>
      <c r="H3106" t="s">
        <v>1905</v>
      </c>
      <c r="I3106">
        <v>552.5</v>
      </c>
      <c r="J3106" t="s">
        <v>5755</v>
      </c>
      <c r="K3106" t="s">
        <v>85</v>
      </c>
      <c r="N3106" t="s">
        <v>86</v>
      </c>
      <c r="P3106" t="s">
        <v>87</v>
      </c>
      <c r="Q3106" t="s">
        <v>76</v>
      </c>
      <c r="R3106" t="s">
        <v>73</v>
      </c>
      <c r="S3106">
        <v>0</v>
      </c>
      <c r="W3106" s="20">
        <v>6.2500000000000001E-4</v>
      </c>
      <c r="X3106" t="s">
        <v>6606</v>
      </c>
      <c r="Y3106">
        <v>9</v>
      </c>
      <c r="Z3106">
        <v>4</v>
      </c>
      <c r="AA3106" t="s">
        <v>6607</v>
      </c>
      <c r="AB3106">
        <v>52</v>
      </c>
      <c r="AC3106" t="s">
        <v>78</v>
      </c>
      <c r="AD3106">
        <v>0</v>
      </c>
      <c r="AE3106">
        <v>10190220</v>
      </c>
      <c r="AF3106" t="s">
        <v>88</v>
      </c>
      <c r="AG3106" t="s">
        <v>6312</v>
      </c>
    </row>
    <row r="3107" spans="1:33" x14ac:dyDescent="0.35">
      <c r="A3107" s="18">
        <v>44213.749305555553</v>
      </c>
      <c r="B3107">
        <v>1562141</v>
      </c>
      <c r="C3107" t="s">
        <v>6470</v>
      </c>
      <c r="D3107" t="s">
        <v>1311</v>
      </c>
      <c r="E3107" s="19">
        <v>40703</v>
      </c>
      <c r="F3107" t="str">
        <f>"9781317902997"</f>
        <v>9781317902997</v>
      </c>
      <c r="G3107" t="str">
        <f>"9780273724681"</f>
        <v>9780273724681</v>
      </c>
      <c r="H3107" t="s">
        <v>2999</v>
      </c>
      <c r="I3107">
        <v>729.29</v>
      </c>
      <c r="J3107" t="s">
        <v>6471</v>
      </c>
      <c r="K3107" t="s">
        <v>85</v>
      </c>
      <c r="N3107" t="s">
        <v>86</v>
      </c>
      <c r="P3107" t="s">
        <v>87</v>
      </c>
      <c r="Q3107" t="s">
        <v>76</v>
      </c>
      <c r="R3107" t="s">
        <v>73</v>
      </c>
      <c r="S3107">
        <v>0</v>
      </c>
      <c r="T3107">
        <v>90</v>
      </c>
      <c r="U3107" s="18">
        <v>44213.640277777777</v>
      </c>
      <c r="V3107" s="18">
        <v>44303.640277777777</v>
      </c>
      <c r="W3107" s="20">
        <v>2.7314814814814819E-3</v>
      </c>
      <c r="X3107" t="s">
        <v>6608</v>
      </c>
      <c r="Y3107">
        <v>17</v>
      </c>
      <c r="Z3107">
        <v>3</v>
      </c>
      <c r="AA3107" t="s">
        <v>6609</v>
      </c>
      <c r="AB3107">
        <v>100</v>
      </c>
      <c r="AC3107" t="s">
        <v>78</v>
      </c>
      <c r="AD3107">
        <v>0</v>
      </c>
      <c r="AE3107">
        <v>10806980</v>
      </c>
      <c r="AF3107" t="s">
        <v>88</v>
      </c>
      <c r="AG3107" t="s">
        <v>1256</v>
      </c>
    </row>
    <row r="3108" spans="1:33" x14ac:dyDescent="0.35">
      <c r="A3108" s="18">
        <v>44213.740277777775</v>
      </c>
      <c r="B3108">
        <v>1562141</v>
      </c>
      <c r="C3108" t="s">
        <v>6470</v>
      </c>
      <c r="D3108" t="s">
        <v>1311</v>
      </c>
      <c r="E3108" s="19">
        <v>40703</v>
      </c>
      <c r="F3108" t="str">
        <f>"9781317902997"</f>
        <v>9781317902997</v>
      </c>
      <c r="G3108" t="str">
        <f>"9780273724681"</f>
        <v>9780273724681</v>
      </c>
      <c r="H3108" t="s">
        <v>2999</v>
      </c>
      <c r="I3108">
        <v>729.29</v>
      </c>
      <c r="J3108" t="s">
        <v>6471</v>
      </c>
      <c r="K3108" t="s">
        <v>85</v>
      </c>
      <c r="N3108" t="s">
        <v>86</v>
      </c>
      <c r="P3108" t="s">
        <v>87</v>
      </c>
      <c r="Q3108" t="s">
        <v>76</v>
      </c>
      <c r="R3108" t="s">
        <v>73</v>
      </c>
      <c r="S3108">
        <v>0</v>
      </c>
      <c r="W3108" s="20">
        <v>2.2222222222222222E-3</v>
      </c>
      <c r="X3108" t="s">
        <v>6610</v>
      </c>
      <c r="Y3108">
        <v>4</v>
      </c>
      <c r="Z3108">
        <v>6</v>
      </c>
      <c r="AA3108" t="s">
        <v>6611</v>
      </c>
      <c r="AB3108">
        <v>101</v>
      </c>
      <c r="AC3108" t="s">
        <v>78</v>
      </c>
      <c r="AD3108">
        <v>0</v>
      </c>
      <c r="AE3108">
        <v>10806980</v>
      </c>
      <c r="AF3108" t="s">
        <v>79</v>
      </c>
      <c r="AG3108" t="s">
        <v>1256</v>
      </c>
    </row>
    <row r="3109" spans="1:33" x14ac:dyDescent="0.35">
      <c r="A3109" s="18">
        <v>44213.726388888892</v>
      </c>
      <c r="B3109">
        <v>4517652</v>
      </c>
      <c r="C3109" t="s">
        <v>6587</v>
      </c>
      <c r="D3109" t="s">
        <v>70</v>
      </c>
      <c r="E3109" s="19">
        <v>42534</v>
      </c>
      <c r="F3109" t="str">
        <f>"9781118648575"</f>
        <v>9781118648575</v>
      </c>
      <c r="G3109" t="str">
        <f>"9781118648551"</f>
        <v>9781118648551</v>
      </c>
      <c r="H3109" t="s">
        <v>1905</v>
      </c>
      <c r="I3109" t="s">
        <v>6588</v>
      </c>
      <c r="J3109" t="s">
        <v>6589</v>
      </c>
      <c r="K3109" t="s">
        <v>73</v>
      </c>
      <c r="N3109" t="s">
        <v>74</v>
      </c>
      <c r="O3109" t="s">
        <v>75</v>
      </c>
      <c r="P3109" t="s">
        <v>74</v>
      </c>
      <c r="Q3109" t="s">
        <v>76</v>
      </c>
      <c r="R3109" t="s">
        <v>73</v>
      </c>
      <c r="S3109">
        <v>0</v>
      </c>
      <c r="W3109" s="20">
        <v>7.407407407407407E-4</v>
      </c>
      <c r="X3109" t="s">
        <v>6612</v>
      </c>
      <c r="Y3109">
        <v>6</v>
      </c>
      <c r="Z3109">
        <v>2</v>
      </c>
      <c r="AA3109" t="s">
        <v>6613</v>
      </c>
      <c r="AB3109">
        <v>41</v>
      </c>
      <c r="AC3109" t="s">
        <v>78</v>
      </c>
      <c r="AD3109">
        <v>0</v>
      </c>
      <c r="AE3109">
        <v>11211162</v>
      </c>
      <c r="AF3109" t="s">
        <v>88</v>
      </c>
      <c r="AG3109" t="s">
        <v>6312</v>
      </c>
    </row>
    <row r="3110" spans="1:33" x14ac:dyDescent="0.35">
      <c r="A3110" s="18">
        <v>44213.724999999999</v>
      </c>
      <c r="B3110">
        <v>4714765</v>
      </c>
      <c r="C3110" t="s">
        <v>6596</v>
      </c>
      <c r="D3110" t="s">
        <v>338</v>
      </c>
      <c r="E3110" s="19">
        <v>42668</v>
      </c>
      <c r="F3110" t="str">
        <f>"9780128033876"</f>
        <v>9780128033876</v>
      </c>
      <c r="G3110" t="str">
        <f>"9780128033869"</f>
        <v>9780128033869</v>
      </c>
      <c r="H3110" t="s">
        <v>1905</v>
      </c>
      <c r="I3110">
        <v>552.5</v>
      </c>
      <c r="J3110" t="s">
        <v>6597</v>
      </c>
      <c r="K3110" t="s">
        <v>73</v>
      </c>
      <c r="N3110" t="s">
        <v>74</v>
      </c>
      <c r="O3110" t="s">
        <v>75</v>
      </c>
      <c r="P3110" t="s">
        <v>74</v>
      </c>
      <c r="Q3110" t="s">
        <v>76</v>
      </c>
      <c r="R3110" t="s">
        <v>73</v>
      </c>
      <c r="S3110">
        <v>0</v>
      </c>
      <c r="W3110" s="20">
        <v>0</v>
      </c>
      <c r="X3110" t="s">
        <v>78</v>
      </c>
      <c r="Y3110">
        <v>0</v>
      </c>
      <c r="Z3110">
        <v>1</v>
      </c>
      <c r="AA3110" t="s">
        <v>6614</v>
      </c>
      <c r="AB3110">
        <v>22</v>
      </c>
      <c r="AC3110" t="s">
        <v>78</v>
      </c>
      <c r="AD3110">
        <v>0</v>
      </c>
      <c r="AE3110">
        <v>11279818</v>
      </c>
      <c r="AF3110" t="s">
        <v>79</v>
      </c>
      <c r="AG3110" t="s">
        <v>6312</v>
      </c>
    </row>
    <row r="3111" spans="1:33" x14ac:dyDescent="0.35">
      <c r="A3111" s="18">
        <v>44213.688194444447</v>
      </c>
      <c r="B3111">
        <v>4517652</v>
      </c>
      <c r="C3111" t="s">
        <v>6587</v>
      </c>
      <c r="D3111" t="s">
        <v>70</v>
      </c>
      <c r="E3111" s="19">
        <v>42534</v>
      </c>
      <c r="F3111" t="str">
        <f>"9781118648575"</f>
        <v>9781118648575</v>
      </c>
      <c r="G3111" t="str">
        <f>"9781118648551"</f>
        <v>9781118648551</v>
      </c>
      <c r="H3111" t="s">
        <v>1905</v>
      </c>
      <c r="I3111" t="s">
        <v>6588</v>
      </c>
      <c r="J3111" t="s">
        <v>6589</v>
      </c>
      <c r="K3111" t="s">
        <v>73</v>
      </c>
      <c r="N3111" t="s">
        <v>74</v>
      </c>
      <c r="O3111" t="s">
        <v>75</v>
      </c>
      <c r="P3111" t="s">
        <v>74</v>
      </c>
      <c r="Q3111" t="s">
        <v>76</v>
      </c>
      <c r="R3111" t="s">
        <v>73</v>
      </c>
      <c r="S3111">
        <v>0</v>
      </c>
      <c r="W3111" s="20">
        <v>6.9444444444444444E-5</v>
      </c>
      <c r="X3111" t="s">
        <v>6615</v>
      </c>
      <c r="Y3111">
        <v>1</v>
      </c>
      <c r="Z3111">
        <v>1</v>
      </c>
      <c r="AA3111" t="s">
        <v>6616</v>
      </c>
      <c r="AB3111">
        <v>54</v>
      </c>
      <c r="AC3111" t="s">
        <v>78</v>
      </c>
      <c r="AD3111">
        <v>0</v>
      </c>
      <c r="AE3111">
        <v>11211162</v>
      </c>
      <c r="AF3111" t="s">
        <v>88</v>
      </c>
      <c r="AG3111" t="s">
        <v>6312</v>
      </c>
    </row>
    <row r="3112" spans="1:33" x14ac:dyDescent="0.35">
      <c r="A3112" s="18">
        <v>44213.686805555553</v>
      </c>
      <c r="B3112">
        <v>1207856</v>
      </c>
      <c r="C3112" t="s">
        <v>6513</v>
      </c>
      <c r="D3112" t="s">
        <v>70</v>
      </c>
      <c r="E3112" s="19">
        <v>41484</v>
      </c>
      <c r="F3112" t="str">
        <f>"9781118636169"</f>
        <v>9781118636169</v>
      </c>
      <c r="G3112" t="str">
        <f>"9781118346419"</f>
        <v>9781118346419</v>
      </c>
      <c r="H3112" t="s">
        <v>6514</v>
      </c>
      <c r="I3112">
        <v>620.20000000000005</v>
      </c>
      <c r="J3112" t="s">
        <v>6515</v>
      </c>
      <c r="K3112" t="s">
        <v>73</v>
      </c>
      <c r="N3112" t="s">
        <v>74</v>
      </c>
      <c r="O3112" t="s">
        <v>75</v>
      </c>
      <c r="P3112" t="s">
        <v>74</v>
      </c>
      <c r="Q3112" t="s">
        <v>76</v>
      </c>
      <c r="R3112" t="s">
        <v>73</v>
      </c>
      <c r="S3112">
        <v>1</v>
      </c>
      <c r="W3112" s="20">
        <v>4.4745370370370373E-2</v>
      </c>
      <c r="X3112" t="s">
        <v>6617</v>
      </c>
      <c r="Y3112">
        <v>92</v>
      </c>
      <c r="Z3112">
        <v>8</v>
      </c>
      <c r="AA3112" t="s">
        <v>6618</v>
      </c>
      <c r="AB3112">
        <v>58</v>
      </c>
      <c r="AC3112" t="s">
        <v>78</v>
      </c>
      <c r="AD3112">
        <v>0</v>
      </c>
      <c r="AE3112">
        <v>10716701</v>
      </c>
      <c r="AF3112" t="s">
        <v>88</v>
      </c>
      <c r="AG3112" t="s">
        <v>1256</v>
      </c>
    </row>
    <row r="3113" spans="1:33" x14ac:dyDescent="0.35">
      <c r="A3113" s="18">
        <v>44213.682638888888</v>
      </c>
      <c r="B3113">
        <v>3008749</v>
      </c>
      <c r="C3113" t="s">
        <v>5920</v>
      </c>
      <c r="D3113" t="s">
        <v>158</v>
      </c>
      <c r="E3113" s="19">
        <v>41353</v>
      </c>
      <c r="F3113" t="str">
        <f>"9780080885223"</f>
        <v>9780080885223</v>
      </c>
      <c r="G3113" t="str">
        <f>"9780123747396"</f>
        <v>9780123747396</v>
      </c>
      <c r="H3113" t="s">
        <v>1561</v>
      </c>
      <c r="I3113">
        <v>551.41</v>
      </c>
      <c r="J3113" t="s">
        <v>5921</v>
      </c>
      <c r="K3113" t="s">
        <v>73</v>
      </c>
      <c r="N3113" t="s">
        <v>74</v>
      </c>
      <c r="O3113" t="s">
        <v>75</v>
      </c>
      <c r="P3113" t="s">
        <v>74</v>
      </c>
      <c r="Q3113" t="s">
        <v>76</v>
      </c>
      <c r="R3113" t="s">
        <v>73</v>
      </c>
      <c r="S3113">
        <v>0</v>
      </c>
      <c r="W3113" s="20">
        <v>0</v>
      </c>
      <c r="X3113" t="s">
        <v>78</v>
      </c>
      <c r="Y3113">
        <v>0</v>
      </c>
      <c r="Z3113">
        <v>17</v>
      </c>
      <c r="AA3113" t="s">
        <v>6619</v>
      </c>
      <c r="AB3113">
        <v>394</v>
      </c>
      <c r="AC3113" t="s">
        <v>78</v>
      </c>
      <c r="AD3113">
        <v>0</v>
      </c>
      <c r="AE3113">
        <v>10671465</v>
      </c>
      <c r="AF3113" t="s">
        <v>88</v>
      </c>
      <c r="AG3113" t="s">
        <v>6312</v>
      </c>
    </row>
    <row r="3114" spans="1:33" x14ac:dyDescent="0.35">
      <c r="A3114" s="18">
        <v>44213.673611111109</v>
      </c>
      <c r="B3114">
        <v>1207856</v>
      </c>
      <c r="C3114" t="s">
        <v>6513</v>
      </c>
      <c r="D3114" t="s">
        <v>70</v>
      </c>
      <c r="E3114" s="19">
        <v>41484</v>
      </c>
      <c r="F3114" t="str">
        <f>"9781118636169"</f>
        <v>9781118636169</v>
      </c>
      <c r="G3114" t="str">
        <f>"9781118346419"</f>
        <v>9781118346419</v>
      </c>
      <c r="H3114" t="s">
        <v>6514</v>
      </c>
      <c r="I3114">
        <v>620.20000000000005</v>
      </c>
      <c r="J3114" t="s">
        <v>6515</v>
      </c>
      <c r="K3114" t="s">
        <v>73</v>
      </c>
      <c r="N3114" t="s">
        <v>74</v>
      </c>
      <c r="O3114" t="s">
        <v>75</v>
      </c>
      <c r="P3114" t="s">
        <v>74</v>
      </c>
      <c r="Q3114" t="s">
        <v>76</v>
      </c>
      <c r="R3114" t="s">
        <v>73</v>
      </c>
      <c r="S3114">
        <v>0</v>
      </c>
      <c r="W3114" s="20">
        <v>1.5393518518518519E-3</v>
      </c>
      <c r="X3114" t="s">
        <v>6620</v>
      </c>
      <c r="Y3114">
        <v>9</v>
      </c>
      <c r="Z3114">
        <v>0</v>
      </c>
      <c r="AA3114" t="s">
        <v>78</v>
      </c>
      <c r="AB3114">
        <v>0</v>
      </c>
      <c r="AC3114" t="s">
        <v>78</v>
      </c>
      <c r="AD3114">
        <v>0</v>
      </c>
      <c r="AE3114">
        <v>10716701</v>
      </c>
      <c r="AF3114" t="s">
        <v>79</v>
      </c>
      <c r="AG3114" t="s">
        <v>1256</v>
      </c>
    </row>
    <row r="3115" spans="1:33" x14ac:dyDescent="0.35">
      <c r="A3115" s="18">
        <v>44213.640972222223</v>
      </c>
      <c r="B3115">
        <v>1562141</v>
      </c>
      <c r="C3115" t="s">
        <v>6470</v>
      </c>
      <c r="D3115" t="s">
        <v>1311</v>
      </c>
      <c r="E3115" s="19">
        <v>40703</v>
      </c>
      <c r="F3115" t="str">
        <f>"9781317902997"</f>
        <v>9781317902997</v>
      </c>
      <c r="G3115" t="str">
        <f>"9780273724681"</f>
        <v>9780273724681</v>
      </c>
      <c r="H3115" t="s">
        <v>2999</v>
      </c>
      <c r="I3115">
        <v>729.29</v>
      </c>
      <c r="J3115" t="s">
        <v>6471</v>
      </c>
      <c r="K3115" t="s">
        <v>85</v>
      </c>
      <c r="N3115" t="s">
        <v>86</v>
      </c>
      <c r="P3115" t="s">
        <v>87</v>
      </c>
      <c r="Q3115" t="s">
        <v>76</v>
      </c>
      <c r="R3115" t="s">
        <v>73</v>
      </c>
      <c r="S3115">
        <v>0</v>
      </c>
      <c r="W3115" s="20">
        <v>1.7465277777777777E-2</v>
      </c>
      <c r="X3115" t="s">
        <v>6621</v>
      </c>
      <c r="Y3115">
        <v>59</v>
      </c>
      <c r="Z3115">
        <v>5</v>
      </c>
      <c r="AA3115" t="s">
        <v>6622</v>
      </c>
      <c r="AB3115">
        <v>80</v>
      </c>
      <c r="AC3115" t="s">
        <v>78</v>
      </c>
      <c r="AD3115">
        <v>0</v>
      </c>
      <c r="AE3115">
        <v>10806980</v>
      </c>
      <c r="AF3115" t="s">
        <v>79</v>
      </c>
      <c r="AG3115" t="s">
        <v>1256</v>
      </c>
    </row>
    <row r="3116" spans="1:33" x14ac:dyDescent="0.35">
      <c r="A3116" s="18">
        <v>44213.640277777777</v>
      </c>
      <c r="B3116">
        <v>1562141</v>
      </c>
      <c r="C3116" t="s">
        <v>6470</v>
      </c>
      <c r="D3116" t="s">
        <v>1311</v>
      </c>
      <c r="E3116" s="19">
        <v>40703</v>
      </c>
      <c r="F3116" t="str">
        <f>"9781317902997"</f>
        <v>9781317902997</v>
      </c>
      <c r="G3116" t="str">
        <f>"9780273724681"</f>
        <v>9780273724681</v>
      </c>
      <c r="H3116" t="s">
        <v>2999</v>
      </c>
      <c r="I3116">
        <v>729.29</v>
      </c>
      <c r="J3116" t="s">
        <v>6471</v>
      </c>
      <c r="K3116" t="s">
        <v>85</v>
      </c>
      <c r="N3116" t="s">
        <v>86</v>
      </c>
      <c r="P3116" t="s">
        <v>87</v>
      </c>
      <c r="Q3116" t="s">
        <v>76</v>
      </c>
      <c r="R3116" t="s">
        <v>73</v>
      </c>
      <c r="S3116">
        <v>1</v>
      </c>
      <c r="T3116">
        <v>90</v>
      </c>
      <c r="U3116" s="18">
        <v>44213.640277777777</v>
      </c>
      <c r="V3116" s="18">
        <v>44303.640277777777</v>
      </c>
      <c r="W3116" s="20">
        <v>0</v>
      </c>
      <c r="X3116" t="s">
        <v>78</v>
      </c>
      <c r="Y3116">
        <v>0</v>
      </c>
      <c r="Z3116">
        <v>0</v>
      </c>
      <c r="AA3116" t="s">
        <v>78</v>
      </c>
      <c r="AB3116">
        <v>0</v>
      </c>
      <c r="AC3116" t="s">
        <v>78</v>
      </c>
      <c r="AD3116">
        <v>0</v>
      </c>
      <c r="AE3116">
        <v>10806980</v>
      </c>
      <c r="AF3116" t="s">
        <v>88</v>
      </c>
      <c r="AG3116" t="s">
        <v>1256</v>
      </c>
    </row>
    <row r="3117" spans="1:33" x14ac:dyDescent="0.35">
      <c r="A3117" s="18">
        <v>44213.538888888892</v>
      </c>
      <c r="B3117">
        <v>1446430</v>
      </c>
      <c r="C3117" t="s">
        <v>1649</v>
      </c>
      <c r="D3117" t="s">
        <v>127</v>
      </c>
      <c r="E3117" s="19">
        <v>40274</v>
      </c>
      <c r="F3117" t="str">
        <f>"9781439882573"</f>
        <v>9781439882573</v>
      </c>
      <c r="G3117" t="str">
        <f>"9781420085983"</f>
        <v>9781420085983</v>
      </c>
      <c r="H3117" t="s">
        <v>979</v>
      </c>
      <c r="I3117" t="s">
        <v>1650</v>
      </c>
      <c r="J3117" t="s">
        <v>1651</v>
      </c>
      <c r="K3117" t="s">
        <v>73</v>
      </c>
      <c r="N3117" t="s">
        <v>74</v>
      </c>
      <c r="O3117" t="s">
        <v>75</v>
      </c>
      <c r="P3117" t="s">
        <v>74</v>
      </c>
      <c r="Q3117" t="s">
        <v>76</v>
      </c>
      <c r="R3117" t="s">
        <v>73</v>
      </c>
      <c r="S3117">
        <v>0</v>
      </c>
      <c r="W3117" s="20">
        <v>3.9224537037037037E-2</v>
      </c>
      <c r="X3117" t="s">
        <v>6623</v>
      </c>
      <c r="Y3117">
        <v>58</v>
      </c>
      <c r="Z3117">
        <v>0</v>
      </c>
      <c r="AA3117" t="s">
        <v>78</v>
      </c>
      <c r="AB3117">
        <v>0</v>
      </c>
      <c r="AC3117" t="s">
        <v>78</v>
      </c>
      <c r="AD3117">
        <v>0</v>
      </c>
      <c r="AE3117">
        <v>11166018</v>
      </c>
      <c r="AF3117" t="s">
        <v>79</v>
      </c>
      <c r="AG3117" t="s">
        <v>6012</v>
      </c>
    </row>
    <row r="3118" spans="1:33" x14ac:dyDescent="0.35">
      <c r="A3118" s="18">
        <v>44213.438194444447</v>
      </c>
      <c r="B3118">
        <v>5445113</v>
      </c>
      <c r="C3118" t="s">
        <v>6624</v>
      </c>
      <c r="D3118" t="s">
        <v>3182</v>
      </c>
      <c r="E3118" s="19">
        <v>30348</v>
      </c>
      <c r="F3118" t="str">
        <f>"9781467746106"</f>
        <v>9781467746106</v>
      </c>
      <c r="G3118" t="str">
        <f>""</f>
        <v/>
      </c>
      <c r="H3118" t="s">
        <v>6625</v>
      </c>
      <c r="I3118" t="s">
        <v>6626</v>
      </c>
      <c r="J3118" t="s">
        <v>6627</v>
      </c>
      <c r="K3118" t="s">
        <v>73</v>
      </c>
      <c r="N3118" t="s">
        <v>74</v>
      </c>
      <c r="O3118" t="s">
        <v>75</v>
      </c>
      <c r="P3118" t="s">
        <v>74</v>
      </c>
      <c r="Q3118" t="s">
        <v>76</v>
      </c>
      <c r="R3118" t="s">
        <v>73</v>
      </c>
      <c r="S3118">
        <v>0</v>
      </c>
      <c r="W3118" s="20">
        <v>5.0925925925925921E-4</v>
      </c>
      <c r="X3118" t="s">
        <v>6628</v>
      </c>
      <c r="Y3118">
        <v>8</v>
      </c>
      <c r="Z3118">
        <v>0</v>
      </c>
      <c r="AA3118" t="s">
        <v>78</v>
      </c>
      <c r="AB3118">
        <v>0</v>
      </c>
      <c r="AC3118" t="s">
        <v>78</v>
      </c>
      <c r="AD3118">
        <v>0</v>
      </c>
      <c r="AE3118">
        <v>11588843</v>
      </c>
      <c r="AF3118" t="s">
        <v>79</v>
      </c>
      <c r="AG3118" t="s">
        <v>548</v>
      </c>
    </row>
    <row r="3119" spans="1:33" x14ac:dyDescent="0.35">
      <c r="A3119" s="18">
        <v>44213.436805555553</v>
      </c>
      <c r="B3119">
        <v>534858</v>
      </c>
      <c r="C3119" t="s">
        <v>3959</v>
      </c>
      <c r="D3119" t="s">
        <v>158</v>
      </c>
      <c r="E3119" s="19">
        <v>40144</v>
      </c>
      <c r="F3119" t="str">
        <f>"9780080931562"</f>
        <v>9780080931562</v>
      </c>
      <c r="G3119" t="str">
        <f>"9780444527851"</f>
        <v>9780444527851</v>
      </c>
      <c r="H3119" t="s">
        <v>159</v>
      </c>
      <c r="I3119">
        <v>665.53</v>
      </c>
      <c r="J3119" t="s">
        <v>3960</v>
      </c>
      <c r="K3119" t="s">
        <v>73</v>
      </c>
      <c r="N3119" t="s">
        <v>74</v>
      </c>
      <c r="O3119" t="s">
        <v>75</v>
      </c>
      <c r="P3119" t="s">
        <v>74</v>
      </c>
      <c r="Q3119" t="s">
        <v>76</v>
      </c>
      <c r="R3119" t="s">
        <v>73</v>
      </c>
      <c r="S3119">
        <v>0</v>
      </c>
      <c r="W3119" s="20">
        <v>7.0601851851851847E-4</v>
      </c>
      <c r="X3119" t="s">
        <v>5993</v>
      </c>
      <c r="Y3119">
        <v>2</v>
      </c>
      <c r="Z3119">
        <v>1</v>
      </c>
      <c r="AA3119" t="s">
        <v>639</v>
      </c>
      <c r="AB3119">
        <v>3</v>
      </c>
      <c r="AC3119" t="s">
        <v>78</v>
      </c>
      <c r="AD3119">
        <v>0</v>
      </c>
      <c r="AE3119">
        <v>10378873</v>
      </c>
      <c r="AF3119" t="s">
        <v>79</v>
      </c>
      <c r="AG3119" t="s">
        <v>548</v>
      </c>
    </row>
    <row r="3120" spans="1:33" x14ac:dyDescent="0.35">
      <c r="A3120" s="18">
        <v>44212.988888888889</v>
      </c>
      <c r="B3120">
        <v>589099</v>
      </c>
      <c r="C3120" t="s">
        <v>69</v>
      </c>
      <c r="D3120" t="s">
        <v>70</v>
      </c>
      <c r="E3120" s="19">
        <v>40498</v>
      </c>
      <c r="F3120" t="str">
        <f>"9780470825624"</f>
        <v>9780470825624</v>
      </c>
      <c r="G3120" t="str">
        <f>"9780470825617"</f>
        <v>9780470825617</v>
      </c>
      <c r="H3120" t="s">
        <v>71</v>
      </c>
      <c r="I3120">
        <v>621.38400000000001</v>
      </c>
      <c r="J3120" t="s">
        <v>72</v>
      </c>
      <c r="K3120" t="s">
        <v>73</v>
      </c>
      <c r="N3120" t="s">
        <v>74</v>
      </c>
      <c r="O3120" t="s">
        <v>75</v>
      </c>
      <c r="P3120" t="s">
        <v>74</v>
      </c>
      <c r="Q3120" t="s">
        <v>76</v>
      </c>
      <c r="R3120" t="s">
        <v>73</v>
      </c>
      <c r="S3120">
        <v>0</v>
      </c>
      <c r="W3120" s="20">
        <v>9.7222222222222209E-4</v>
      </c>
      <c r="X3120" t="s">
        <v>6629</v>
      </c>
      <c r="Y3120">
        <v>13</v>
      </c>
      <c r="Z3120">
        <v>0</v>
      </c>
      <c r="AA3120" t="s">
        <v>78</v>
      </c>
      <c r="AB3120">
        <v>0</v>
      </c>
      <c r="AC3120" t="s">
        <v>78</v>
      </c>
      <c r="AD3120">
        <v>0</v>
      </c>
      <c r="AE3120">
        <v>10412611</v>
      </c>
      <c r="AF3120" t="s">
        <v>88</v>
      </c>
      <c r="AG3120" t="s">
        <v>6012</v>
      </c>
    </row>
    <row r="3121" spans="1:33" x14ac:dyDescent="0.35">
      <c r="A3121" s="18">
        <v>44212.942361111112</v>
      </c>
      <c r="B3121">
        <v>648012</v>
      </c>
      <c r="C3121" t="s">
        <v>3494</v>
      </c>
      <c r="D3121" t="s">
        <v>2648</v>
      </c>
      <c r="E3121" s="19">
        <v>40550</v>
      </c>
      <c r="F3121" t="str">
        <f>"9781889057804"</f>
        <v>9781889057804</v>
      </c>
      <c r="G3121" t="str">
        <f>"9781889057781"</f>
        <v>9781889057781</v>
      </c>
      <c r="H3121" t="s">
        <v>1179</v>
      </c>
      <c r="I3121">
        <v>378.1662</v>
      </c>
      <c r="J3121" t="s">
        <v>3495</v>
      </c>
      <c r="K3121" t="s">
        <v>73</v>
      </c>
      <c r="N3121" t="s">
        <v>74</v>
      </c>
      <c r="O3121" t="s">
        <v>75</v>
      </c>
      <c r="P3121" t="s">
        <v>74</v>
      </c>
      <c r="Q3121" t="s">
        <v>76</v>
      </c>
      <c r="R3121" t="s">
        <v>73</v>
      </c>
      <c r="S3121">
        <v>0</v>
      </c>
      <c r="W3121" s="20">
        <v>7.291666666666667E-4</v>
      </c>
      <c r="X3121" t="s">
        <v>6630</v>
      </c>
      <c r="Y3121">
        <v>13</v>
      </c>
      <c r="Z3121">
        <v>0</v>
      </c>
      <c r="AA3121" t="s">
        <v>78</v>
      </c>
      <c r="AB3121">
        <v>0</v>
      </c>
      <c r="AC3121" t="s">
        <v>78</v>
      </c>
      <c r="AD3121">
        <v>0</v>
      </c>
      <c r="AE3121">
        <v>10440680</v>
      </c>
      <c r="AF3121" t="s">
        <v>79</v>
      </c>
      <c r="AG3121" t="s">
        <v>6012</v>
      </c>
    </row>
    <row r="3122" spans="1:33" x14ac:dyDescent="0.35">
      <c r="A3122" s="18">
        <v>44212.847916666666</v>
      </c>
      <c r="B3122">
        <v>4958853</v>
      </c>
      <c r="C3122" t="s">
        <v>6631</v>
      </c>
      <c r="D3122" t="s">
        <v>6632</v>
      </c>
      <c r="E3122" s="19">
        <v>41131</v>
      </c>
      <c r="F3122" t="str">
        <f>"9780071791212"</f>
        <v>9780071791212</v>
      </c>
      <c r="G3122" t="str">
        <f>"9780071791236"</f>
        <v>9780071791236</v>
      </c>
      <c r="H3122" t="s">
        <v>1179</v>
      </c>
      <c r="I3122">
        <v>378.1662</v>
      </c>
      <c r="J3122" t="s">
        <v>6633</v>
      </c>
      <c r="K3122" t="s">
        <v>85</v>
      </c>
      <c r="P3122" t="s">
        <v>297</v>
      </c>
      <c r="Q3122" t="s">
        <v>76</v>
      </c>
      <c r="R3122" t="s">
        <v>73</v>
      </c>
      <c r="S3122">
        <v>1</v>
      </c>
      <c r="T3122">
        <v>1</v>
      </c>
      <c r="U3122" s="18">
        <v>44212.847916666666</v>
      </c>
      <c r="V3122" s="18">
        <v>44213.847916666666</v>
      </c>
      <c r="W3122" s="20">
        <v>0</v>
      </c>
      <c r="X3122" t="s">
        <v>78</v>
      </c>
      <c r="Y3122">
        <v>0</v>
      </c>
      <c r="Z3122">
        <v>0</v>
      </c>
      <c r="AA3122" t="s">
        <v>78</v>
      </c>
      <c r="AB3122">
        <v>0</v>
      </c>
      <c r="AC3122" t="s">
        <v>78</v>
      </c>
      <c r="AD3122">
        <v>0</v>
      </c>
      <c r="AE3122">
        <v>-1</v>
      </c>
      <c r="AF3122" t="s">
        <v>88</v>
      </c>
      <c r="AG3122" t="s">
        <v>6012</v>
      </c>
    </row>
    <row r="3123" spans="1:33" x14ac:dyDescent="0.35">
      <c r="A3123" s="18">
        <v>44212.804861111108</v>
      </c>
      <c r="B3123">
        <v>1344533</v>
      </c>
      <c r="C3123" t="s">
        <v>6111</v>
      </c>
      <c r="D3123" t="s">
        <v>127</v>
      </c>
      <c r="E3123" s="19">
        <v>41501</v>
      </c>
      <c r="F3123" t="str">
        <f>"9781136338939"</f>
        <v>9781136338939</v>
      </c>
      <c r="G3123" t="str">
        <f>"9780415518352"</f>
        <v>9780415518352</v>
      </c>
      <c r="H3123" t="s">
        <v>1179</v>
      </c>
      <c r="I3123">
        <v>373.11020000000002</v>
      </c>
      <c r="J3123" t="s">
        <v>6112</v>
      </c>
      <c r="K3123" t="s">
        <v>73</v>
      </c>
      <c r="N3123" t="s">
        <v>74</v>
      </c>
      <c r="O3123" t="s">
        <v>75</v>
      </c>
      <c r="P3123" t="s">
        <v>74</v>
      </c>
      <c r="Q3123" t="s">
        <v>76</v>
      </c>
      <c r="R3123" t="s">
        <v>73</v>
      </c>
      <c r="S3123">
        <v>0</v>
      </c>
      <c r="W3123" s="20">
        <v>1.9675925925925928E-3</v>
      </c>
      <c r="X3123" t="s">
        <v>6634</v>
      </c>
      <c r="Y3123">
        <v>10</v>
      </c>
      <c r="Z3123">
        <v>0</v>
      </c>
      <c r="AA3123" t="s">
        <v>78</v>
      </c>
      <c r="AB3123">
        <v>0</v>
      </c>
      <c r="AC3123" t="s">
        <v>78</v>
      </c>
      <c r="AD3123">
        <v>0</v>
      </c>
      <c r="AE3123">
        <v>10747263</v>
      </c>
      <c r="AF3123" t="s">
        <v>79</v>
      </c>
      <c r="AG3123" t="s">
        <v>5181</v>
      </c>
    </row>
    <row r="3124" spans="1:33" x14ac:dyDescent="0.35">
      <c r="A3124" s="18">
        <v>44212.715277777781</v>
      </c>
      <c r="B3124">
        <v>4332506</v>
      </c>
      <c r="C3124" t="s">
        <v>6635</v>
      </c>
      <c r="D3124" t="s">
        <v>127</v>
      </c>
      <c r="E3124" s="19">
        <v>42335</v>
      </c>
      <c r="F3124" t="str">
        <f>"9781782414933"</f>
        <v>9781782414933</v>
      </c>
      <c r="G3124" t="str">
        <f>"9781782203315"</f>
        <v>9781782203315</v>
      </c>
      <c r="H3124" t="s">
        <v>738</v>
      </c>
      <c r="I3124">
        <v>150.72</v>
      </c>
      <c r="J3124" t="s">
        <v>6636</v>
      </c>
      <c r="K3124" t="s">
        <v>73</v>
      </c>
      <c r="N3124" t="s">
        <v>74</v>
      </c>
      <c r="O3124" t="s">
        <v>75</v>
      </c>
      <c r="P3124" t="s">
        <v>74</v>
      </c>
      <c r="Q3124" t="s">
        <v>76</v>
      </c>
      <c r="R3124" t="s">
        <v>73</v>
      </c>
      <c r="S3124">
        <v>0</v>
      </c>
      <c r="W3124" s="20">
        <v>3.4722222222222224E-4</v>
      </c>
      <c r="X3124" t="s">
        <v>6637</v>
      </c>
      <c r="Y3124">
        <v>8</v>
      </c>
      <c r="Z3124">
        <v>0</v>
      </c>
      <c r="AA3124" t="s">
        <v>78</v>
      </c>
      <c r="AB3124">
        <v>0</v>
      </c>
      <c r="AC3124" t="s">
        <v>78</v>
      </c>
      <c r="AD3124">
        <v>0</v>
      </c>
      <c r="AE3124">
        <v>11153531</v>
      </c>
      <c r="AF3124" t="s">
        <v>79</v>
      </c>
      <c r="AG3124" t="s">
        <v>6012</v>
      </c>
    </row>
    <row r="3125" spans="1:33" x14ac:dyDescent="0.35">
      <c r="A3125" s="18">
        <v>44212.708333333336</v>
      </c>
      <c r="B3125">
        <v>1344533</v>
      </c>
      <c r="C3125" t="s">
        <v>6111</v>
      </c>
      <c r="D3125" t="s">
        <v>127</v>
      </c>
      <c r="E3125" s="19">
        <v>41501</v>
      </c>
      <c r="F3125" t="str">
        <f>"9781136338939"</f>
        <v>9781136338939</v>
      </c>
      <c r="G3125" t="str">
        <f>"9780415518352"</f>
        <v>9780415518352</v>
      </c>
      <c r="H3125" t="s">
        <v>1179</v>
      </c>
      <c r="I3125">
        <v>373.11020000000002</v>
      </c>
      <c r="J3125" t="s">
        <v>6112</v>
      </c>
      <c r="K3125" t="s">
        <v>73</v>
      </c>
      <c r="N3125" t="s">
        <v>74</v>
      </c>
      <c r="O3125" t="s">
        <v>75</v>
      </c>
      <c r="P3125" t="s">
        <v>74</v>
      </c>
      <c r="Q3125" t="s">
        <v>76</v>
      </c>
      <c r="R3125" t="s">
        <v>73</v>
      </c>
      <c r="S3125">
        <v>0</v>
      </c>
      <c r="W3125" s="20">
        <v>0</v>
      </c>
      <c r="X3125" t="s">
        <v>78</v>
      </c>
      <c r="Y3125">
        <v>0</v>
      </c>
      <c r="Z3125">
        <v>5</v>
      </c>
      <c r="AA3125" t="s">
        <v>6638</v>
      </c>
      <c r="AB3125">
        <v>276</v>
      </c>
      <c r="AC3125" t="s">
        <v>78</v>
      </c>
      <c r="AD3125">
        <v>0</v>
      </c>
      <c r="AE3125">
        <v>10747263</v>
      </c>
      <c r="AF3125" t="s">
        <v>79</v>
      </c>
      <c r="AG3125" t="s">
        <v>5181</v>
      </c>
    </row>
    <row r="3126" spans="1:33" x14ac:dyDescent="0.35">
      <c r="A3126" s="18">
        <v>44212.581250000003</v>
      </c>
      <c r="B3126">
        <v>4826498</v>
      </c>
      <c r="C3126" t="s">
        <v>6639</v>
      </c>
      <c r="D3126" t="s">
        <v>2660</v>
      </c>
      <c r="E3126" s="19">
        <v>42795</v>
      </c>
      <c r="F3126" t="str">
        <f>"9781486305100"</f>
        <v>9781486305100</v>
      </c>
      <c r="G3126" t="str">
        <f>"9781486305094"</f>
        <v>9781486305094</v>
      </c>
      <c r="H3126" t="s">
        <v>6640</v>
      </c>
      <c r="I3126">
        <v>631.42200000000003</v>
      </c>
      <c r="J3126" t="s">
        <v>6641</v>
      </c>
      <c r="K3126" t="s">
        <v>73</v>
      </c>
      <c r="N3126" t="s">
        <v>74</v>
      </c>
      <c r="O3126" t="s">
        <v>75</v>
      </c>
      <c r="P3126" t="s">
        <v>74</v>
      </c>
      <c r="Q3126" t="s">
        <v>76</v>
      </c>
      <c r="R3126" t="s">
        <v>73</v>
      </c>
      <c r="S3126">
        <v>0</v>
      </c>
      <c r="W3126" s="20">
        <v>5.7870370370370378E-4</v>
      </c>
      <c r="X3126" t="s">
        <v>6642</v>
      </c>
      <c r="Y3126">
        <v>6</v>
      </c>
      <c r="Z3126">
        <v>0</v>
      </c>
      <c r="AA3126" t="s">
        <v>78</v>
      </c>
      <c r="AB3126">
        <v>0</v>
      </c>
      <c r="AC3126" t="s">
        <v>78</v>
      </c>
      <c r="AD3126">
        <v>0</v>
      </c>
      <c r="AE3126">
        <v>11364231</v>
      </c>
      <c r="AF3126" t="s">
        <v>88</v>
      </c>
      <c r="AG3126" t="s">
        <v>6460</v>
      </c>
    </row>
    <row r="3127" spans="1:33" x14ac:dyDescent="0.35">
      <c r="A3127" s="18">
        <v>44210.816666666666</v>
      </c>
      <c r="B3127">
        <v>4877050</v>
      </c>
      <c r="C3127" t="s">
        <v>6643</v>
      </c>
      <c r="D3127" t="s">
        <v>741</v>
      </c>
      <c r="E3127" s="19">
        <v>42491</v>
      </c>
      <c r="F3127" t="str">
        <f>"9781423233671"</f>
        <v>9781423233671</v>
      </c>
      <c r="G3127" t="str">
        <f>"9781423233039"</f>
        <v>9781423233039</v>
      </c>
      <c r="H3127" t="s">
        <v>115</v>
      </c>
      <c r="I3127">
        <v>515</v>
      </c>
      <c r="J3127" t="s">
        <v>6644</v>
      </c>
      <c r="K3127" t="s">
        <v>73</v>
      </c>
      <c r="N3127" t="s">
        <v>74</v>
      </c>
      <c r="O3127" t="s">
        <v>75</v>
      </c>
      <c r="P3127" t="s">
        <v>74</v>
      </c>
      <c r="Q3127" t="s">
        <v>76</v>
      </c>
      <c r="R3127" t="s">
        <v>73</v>
      </c>
      <c r="S3127">
        <v>0</v>
      </c>
      <c r="W3127" s="20">
        <v>5.5555555555555556E-4</v>
      </c>
      <c r="X3127" t="s">
        <v>1428</v>
      </c>
      <c r="Y3127">
        <v>6</v>
      </c>
      <c r="Z3127">
        <v>0</v>
      </c>
      <c r="AA3127" t="s">
        <v>78</v>
      </c>
      <c r="AB3127">
        <v>0</v>
      </c>
      <c r="AC3127" t="s">
        <v>78</v>
      </c>
      <c r="AD3127">
        <v>0</v>
      </c>
      <c r="AE3127">
        <v>11397719</v>
      </c>
      <c r="AF3127" t="s">
        <v>79</v>
      </c>
      <c r="AG3127" t="s">
        <v>6460</v>
      </c>
    </row>
    <row r="3128" spans="1:33" x14ac:dyDescent="0.35">
      <c r="A3128" s="18">
        <v>44210.8125</v>
      </c>
      <c r="B3128">
        <v>4040739</v>
      </c>
      <c r="C3128" t="s">
        <v>6645</v>
      </c>
      <c r="D3128" t="s">
        <v>70</v>
      </c>
      <c r="E3128" s="19">
        <v>42233</v>
      </c>
      <c r="F3128" t="str">
        <f>"9781119043416"</f>
        <v>9781119043416</v>
      </c>
      <c r="G3128" t="str">
        <f>"9781119043386"</f>
        <v>9781119043386</v>
      </c>
      <c r="H3128" t="s">
        <v>115</v>
      </c>
      <c r="I3128">
        <v>515</v>
      </c>
      <c r="J3128" t="s">
        <v>6646</v>
      </c>
      <c r="K3128" t="s">
        <v>73</v>
      </c>
      <c r="N3128" t="s">
        <v>74</v>
      </c>
      <c r="O3128" t="s">
        <v>75</v>
      </c>
      <c r="P3128" t="s">
        <v>74</v>
      </c>
      <c r="Q3128" t="s">
        <v>76</v>
      </c>
      <c r="R3128" t="s">
        <v>73</v>
      </c>
      <c r="S3128">
        <v>0</v>
      </c>
      <c r="W3128" s="20">
        <v>3.8425925925925923E-3</v>
      </c>
      <c r="X3128" t="s">
        <v>6647</v>
      </c>
      <c r="Y3128">
        <v>15</v>
      </c>
      <c r="Z3128">
        <v>0</v>
      </c>
      <c r="AA3128" t="s">
        <v>78</v>
      </c>
      <c r="AB3128">
        <v>0</v>
      </c>
      <c r="AC3128" t="s">
        <v>78</v>
      </c>
      <c r="AD3128">
        <v>0</v>
      </c>
      <c r="AE3128">
        <v>11069587</v>
      </c>
      <c r="AF3128" t="s">
        <v>79</v>
      </c>
      <c r="AG3128" t="s">
        <v>6460</v>
      </c>
    </row>
    <row r="3129" spans="1:33" x14ac:dyDescent="0.35">
      <c r="A3129" s="18">
        <v>44210.719444444447</v>
      </c>
      <c r="B3129">
        <v>1991964</v>
      </c>
      <c r="C3129" t="s">
        <v>6648</v>
      </c>
      <c r="D3129" t="s">
        <v>1046</v>
      </c>
      <c r="E3129" s="19">
        <v>42095</v>
      </c>
      <c r="F3129" t="str">
        <f>"9781452945187"</f>
        <v>9781452945187</v>
      </c>
      <c r="G3129" t="str">
        <f>"9780816697335"</f>
        <v>9780816697335</v>
      </c>
      <c r="H3129" t="s">
        <v>775</v>
      </c>
      <c r="I3129" t="s">
        <v>6649</v>
      </c>
      <c r="J3129" t="s">
        <v>6650</v>
      </c>
      <c r="K3129" t="s">
        <v>73</v>
      </c>
      <c r="N3129" t="s">
        <v>74</v>
      </c>
      <c r="O3129" t="s">
        <v>75</v>
      </c>
      <c r="P3129" t="s">
        <v>74</v>
      </c>
      <c r="Q3129" t="s">
        <v>76</v>
      </c>
      <c r="R3129" t="s">
        <v>73</v>
      </c>
      <c r="S3129">
        <v>1</v>
      </c>
      <c r="W3129" s="20">
        <v>6.3657407407407402E-4</v>
      </c>
      <c r="X3129" t="s">
        <v>6651</v>
      </c>
      <c r="Y3129">
        <v>15</v>
      </c>
      <c r="Z3129">
        <v>0</v>
      </c>
      <c r="AA3129" t="s">
        <v>78</v>
      </c>
      <c r="AB3129">
        <v>0</v>
      </c>
      <c r="AC3129" t="s">
        <v>78</v>
      </c>
      <c r="AD3129">
        <v>0</v>
      </c>
      <c r="AE3129">
        <v>11034339</v>
      </c>
      <c r="AF3129" t="s">
        <v>88</v>
      </c>
      <c r="AG3129" t="s">
        <v>6012</v>
      </c>
    </row>
    <row r="3130" spans="1:33" x14ac:dyDescent="0.35">
      <c r="A3130" s="18">
        <v>44210.598611111112</v>
      </c>
      <c r="B3130">
        <v>5596906</v>
      </c>
      <c r="C3130" t="s">
        <v>5707</v>
      </c>
      <c r="D3130" t="s">
        <v>3539</v>
      </c>
      <c r="E3130" s="19">
        <v>43425</v>
      </c>
      <c r="F3130" t="str">
        <f>"9789402415582"</f>
        <v>9789402415582</v>
      </c>
      <c r="G3130" t="str">
        <f>"9789402415568"</f>
        <v>9789402415568</v>
      </c>
      <c r="H3130" t="s">
        <v>1561</v>
      </c>
      <c r="I3130">
        <v>551.35500000000002</v>
      </c>
      <c r="J3130" t="s">
        <v>5708</v>
      </c>
      <c r="K3130" t="s">
        <v>85</v>
      </c>
      <c r="Q3130" t="s">
        <v>76</v>
      </c>
      <c r="R3130" t="s">
        <v>73</v>
      </c>
      <c r="S3130">
        <v>0</v>
      </c>
      <c r="W3130" s="20">
        <v>9.2592592592592588E-5</v>
      </c>
      <c r="X3130" t="s">
        <v>6652</v>
      </c>
      <c r="Y3130">
        <v>2</v>
      </c>
      <c r="Z3130">
        <v>0</v>
      </c>
      <c r="AA3130" t="s">
        <v>78</v>
      </c>
      <c r="AB3130">
        <v>0</v>
      </c>
      <c r="AC3130" t="s">
        <v>78</v>
      </c>
      <c r="AD3130">
        <v>0</v>
      </c>
      <c r="AE3130">
        <v>-1</v>
      </c>
      <c r="AF3130" t="s">
        <v>88</v>
      </c>
      <c r="AG3130" t="s">
        <v>6312</v>
      </c>
    </row>
    <row r="3131" spans="1:33" x14ac:dyDescent="0.35">
      <c r="A3131" s="18">
        <v>44210.59652777778</v>
      </c>
      <c r="B3131">
        <v>312765</v>
      </c>
      <c r="C3131" t="s">
        <v>5754</v>
      </c>
      <c r="D3131" t="s">
        <v>158</v>
      </c>
      <c r="E3131" s="19">
        <v>36670</v>
      </c>
      <c r="F3131" t="str">
        <f>"9780080527475"</f>
        <v>9780080527475</v>
      </c>
      <c r="G3131" t="str">
        <f>"9780126363753"</f>
        <v>9780126363753</v>
      </c>
      <c r="H3131" t="s">
        <v>1905</v>
      </c>
      <c r="I3131">
        <v>552.5</v>
      </c>
      <c r="J3131" t="s">
        <v>5755</v>
      </c>
      <c r="K3131" t="s">
        <v>85</v>
      </c>
      <c r="N3131" t="s">
        <v>86</v>
      </c>
      <c r="P3131" t="s">
        <v>87</v>
      </c>
      <c r="Q3131" t="s">
        <v>76</v>
      </c>
      <c r="R3131" t="s">
        <v>73</v>
      </c>
      <c r="S3131">
        <v>0</v>
      </c>
      <c r="W3131" s="20">
        <v>8.1018518518518516E-5</v>
      </c>
      <c r="X3131" t="s">
        <v>132</v>
      </c>
      <c r="Y3131">
        <v>1</v>
      </c>
      <c r="Z3131">
        <v>0</v>
      </c>
      <c r="AA3131" t="s">
        <v>78</v>
      </c>
      <c r="AB3131">
        <v>0</v>
      </c>
      <c r="AC3131" t="s">
        <v>78</v>
      </c>
      <c r="AD3131">
        <v>0</v>
      </c>
      <c r="AE3131">
        <v>10190220</v>
      </c>
      <c r="AF3131" t="s">
        <v>88</v>
      </c>
      <c r="AG3131" t="s">
        <v>6312</v>
      </c>
    </row>
    <row r="3132" spans="1:33" x14ac:dyDescent="0.35">
      <c r="A3132" s="18">
        <v>44210.585416666669</v>
      </c>
      <c r="B3132">
        <v>1991964</v>
      </c>
      <c r="C3132" t="s">
        <v>6648</v>
      </c>
      <c r="D3132" t="s">
        <v>1046</v>
      </c>
      <c r="E3132" s="19">
        <v>42095</v>
      </c>
      <c r="F3132" t="str">
        <f>"9781452945187"</f>
        <v>9781452945187</v>
      </c>
      <c r="G3132" t="str">
        <f>"9780816697335"</f>
        <v>9780816697335</v>
      </c>
      <c r="H3132" t="s">
        <v>775</v>
      </c>
      <c r="I3132" t="s">
        <v>6649</v>
      </c>
      <c r="J3132" t="s">
        <v>6650</v>
      </c>
      <c r="K3132" t="s">
        <v>73</v>
      </c>
      <c r="N3132" t="s">
        <v>74</v>
      </c>
      <c r="O3132" t="s">
        <v>75</v>
      </c>
      <c r="P3132" t="s">
        <v>74</v>
      </c>
      <c r="Q3132" t="s">
        <v>76</v>
      </c>
      <c r="R3132" t="s">
        <v>73</v>
      </c>
      <c r="S3132">
        <v>0</v>
      </c>
      <c r="W3132" s="20">
        <v>1.2662037037037039E-2</v>
      </c>
      <c r="X3132" t="s">
        <v>6653</v>
      </c>
      <c r="Y3132">
        <v>10</v>
      </c>
      <c r="Z3132">
        <v>0</v>
      </c>
      <c r="AA3132" t="s">
        <v>78</v>
      </c>
      <c r="AB3132">
        <v>0</v>
      </c>
      <c r="AC3132" t="s">
        <v>78</v>
      </c>
      <c r="AD3132">
        <v>0</v>
      </c>
      <c r="AE3132">
        <v>11034339</v>
      </c>
      <c r="AF3132" t="s">
        <v>79</v>
      </c>
      <c r="AG3132" t="s">
        <v>6012</v>
      </c>
    </row>
    <row r="3133" spans="1:33" x14ac:dyDescent="0.35">
      <c r="A3133" s="18">
        <v>44210.57708333333</v>
      </c>
      <c r="B3133">
        <v>4835660</v>
      </c>
      <c r="C3133" t="s">
        <v>6654</v>
      </c>
      <c r="D3133" t="s">
        <v>6655</v>
      </c>
      <c r="E3133" s="19">
        <v>42571</v>
      </c>
      <c r="F3133" t="str">
        <f>"9781532604881"</f>
        <v>9781532604881</v>
      </c>
      <c r="G3133" t="str">
        <f>"9781620327289"</f>
        <v>9781620327289</v>
      </c>
      <c r="H3133" t="s">
        <v>222</v>
      </c>
      <c r="I3133">
        <v>610.91999999999905</v>
      </c>
      <c r="J3133" t="s">
        <v>6656</v>
      </c>
      <c r="K3133" t="s">
        <v>73</v>
      </c>
      <c r="N3133" t="s">
        <v>74</v>
      </c>
      <c r="O3133" t="s">
        <v>75</v>
      </c>
      <c r="P3133" t="s">
        <v>74</v>
      </c>
      <c r="Q3133" t="s">
        <v>76</v>
      </c>
      <c r="R3133" t="s">
        <v>73</v>
      </c>
      <c r="S3133">
        <v>0</v>
      </c>
      <c r="W3133" s="20">
        <v>9.2592592592592588E-5</v>
      </c>
      <c r="X3133" t="s">
        <v>132</v>
      </c>
      <c r="Y3133">
        <v>1</v>
      </c>
      <c r="Z3133">
        <v>0</v>
      </c>
      <c r="AA3133" t="s">
        <v>78</v>
      </c>
      <c r="AB3133">
        <v>0</v>
      </c>
      <c r="AC3133" t="s">
        <v>78</v>
      </c>
      <c r="AD3133">
        <v>0</v>
      </c>
      <c r="AE3133">
        <v>11369867</v>
      </c>
      <c r="AF3133" t="s">
        <v>79</v>
      </c>
      <c r="AG3133" t="s">
        <v>6012</v>
      </c>
    </row>
    <row r="3134" spans="1:33" x14ac:dyDescent="0.35">
      <c r="A3134" s="18">
        <v>44210.500694444447</v>
      </c>
      <c r="B3134">
        <v>583642</v>
      </c>
      <c r="C3134" t="s">
        <v>2337</v>
      </c>
      <c r="D3134" t="s">
        <v>205</v>
      </c>
      <c r="E3134" s="19">
        <v>40210</v>
      </c>
      <c r="F3134" t="str">
        <f>"9781596930902"</f>
        <v>9781596930902</v>
      </c>
      <c r="G3134" t="str">
        <f>"9781596930896"</f>
        <v>9781596930896</v>
      </c>
      <c r="H3134" t="s">
        <v>2338</v>
      </c>
      <c r="I3134">
        <v>621.38482999999997</v>
      </c>
      <c r="J3134" t="s">
        <v>2339</v>
      </c>
      <c r="K3134" t="s">
        <v>73</v>
      </c>
      <c r="N3134" t="s">
        <v>74</v>
      </c>
      <c r="O3134" t="s">
        <v>75</v>
      </c>
      <c r="P3134" t="s">
        <v>74</v>
      </c>
      <c r="Q3134" t="s">
        <v>76</v>
      </c>
      <c r="R3134" t="s">
        <v>73</v>
      </c>
      <c r="S3134">
        <v>0</v>
      </c>
      <c r="W3134" s="20">
        <v>3.9930555555555561E-3</v>
      </c>
      <c r="X3134" t="s">
        <v>6657</v>
      </c>
      <c r="Y3134">
        <v>4</v>
      </c>
      <c r="Z3134">
        <v>0</v>
      </c>
      <c r="AA3134" t="s">
        <v>78</v>
      </c>
      <c r="AB3134">
        <v>0</v>
      </c>
      <c r="AC3134" t="s">
        <v>78</v>
      </c>
      <c r="AD3134">
        <v>0</v>
      </c>
      <c r="AE3134">
        <v>10393271</v>
      </c>
      <c r="AF3134" t="s">
        <v>88</v>
      </c>
      <c r="AG3134" t="s">
        <v>6012</v>
      </c>
    </row>
    <row r="3135" spans="1:33" x14ac:dyDescent="0.35">
      <c r="A3135" s="18">
        <v>44210.443749999999</v>
      </c>
      <c r="B3135">
        <v>1085134</v>
      </c>
      <c r="C3135" t="s">
        <v>6658</v>
      </c>
      <c r="D3135" t="s">
        <v>6659</v>
      </c>
      <c r="E3135" s="19">
        <v>39052</v>
      </c>
      <c r="F3135" t="str">
        <f>"9781611683820"</f>
        <v>9781611683820</v>
      </c>
      <c r="G3135" t="str">
        <f>"9781584655824"</f>
        <v>9781584655824</v>
      </c>
      <c r="H3135" t="s">
        <v>822</v>
      </c>
      <c r="I3135">
        <v>791.43010000000004</v>
      </c>
      <c r="J3135" t="s">
        <v>6660</v>
      </c>
      <c r="K3135" t="s">
        <v>73</v>
      </c>
      <c r="N3135" t="s">
        <v>74</v>
      </c>
      <c r="O3135" t="s">
        <v>75</v>
      </c>
      <c r="P3135" t="s">
        <v>74</v>
      </c>
      <c r="Q3135" t="s">
        <v>76</v>
      </c>
      <c r="R3135" t="s">
        <v>73</v>
      </c>
      <c r="S3135">
        <v>0</v>
      </c>
      <c r="W3135" s="20">
        <v>3.4953703703703705E-3</v>
      </c>
      <c r="X3135" t="s">
        <v>6661</v>
      </c>
      <c r="Y3135">
        <v>13</v>
      </c>
      <c r="Z3135">
        <v>0</v>
      </c>
      <c r="AA3135" t="s">
        <v>78</v>
      </c>
      <c r="AB3135">
        <v>0</v>
      </c>
      <c r="AC3135" t="s">
        <v>78</v>
      </c>
      <c r="AD3135">
        <v>0</v>
      </c>
      <c r="AE3135">
        <v>10569251</v>
      </c>
      <c r="AF3135" t="s">
        <v>79</v>
      </c>
      <c r="AG3135" t="s">
        <v>6012</v>
      </c>
    </row>
    <row r="3136" spans="1:33" x14ac:dyDescent="0.35">
      <c r="A3136" s="18">
        <v>44209.927083333336</v>
      </c>
      <c r="B3136">
        <v>583642</v>
      </c>
      <c r="C3136" t="s">
        <v>2337</v>
      </c>
      <c r="D3136" t="s">
        <v>205</v>
      </c>
      <c r="E3136" s="19">
        <v>40210</v>
      </c>
      <c r="F3136" t="str">
        <f>"9781596930902"</f>
        <v>9781596930902</v>
      </c>
      <c r="G3136" t="str">
        <f>"9781596930896"</f>
        <v>9781596930896</v>
      </c>
      <c r="H3136" t="s">
        <v>2338</v>
      </c>
      <c r="I3136">
        <v>621.38482999999997</v>
      </c>
      <c r="J3136" t="s">
        <v>2339</v>
      </c>
      <c r="K3136" t="s">
        <v>73</v>
      </c>
      <c r="N3136" t="s">
        <v>74</v>
      </c>
      <c r="O3136" t="s">
        <v>75</v>
      </c>
      <c r="P3136" t="s">
        <v>74</v>
      </c>
      <c r="Q3136" t="s">
        <v>76</v>
      </c>
      <c r="R3136" t="s">
        <v>73</v>
      </c>
      <c r="S3136">
        <v>0</v>
      </c>
      <c r="W3136" s="20">
        <v>1.2384259259259258E-3</v>
      </c>
      <c r="X3136" t="s">
        <v>6662</v>
      </c>
      <c r="Y3136">
        <v>8</v>
      </c>
      <c r="Z3136">
        <v>0</v>
      </c>
      <c r="AA3136" t="s">
        <v>78</v>
      </c>
      <c r="AB3136">
        <v>0</v>
      </c>
      <c r="AC3136" t="s">
        <v>78</v>
      </c>
      <c r="AD3136">
        <v>0</v>
      </c>
      <c r="AE3136">
        <v>10393271</v>
      </c>
      <c r="AF3136" t="s">
        <v>88</v>
      </c>
      <c r="AG3136" t="s">
        <v>6012</v>
      </c>
    </row>
    <row r="3137" spans="1:33" x14ac:dyDescent="0.35">
      <c r="A3137" s="18">
        <v>44209.417361111111</v>
      </c>
      <c r="B3137">
        <v>4877020</v>
      </c>
      <c r="C3137" t="s">
        <v>2651</v>
      </c>
      <c r="D3137" t="s">
        <v>741</v>
      </c>
      <c r="E3137" s="19">
        <v>42856</v>
      </c>
      <c r="F3137" t="str">
        <f>"9781423234951"</f>
        <v>9781423234951</v>
      </c>
      <c r="G3137" t="str">
        <f>"9781423234746"</f>
        <v>9781423234746</v>
      </c>
      <c r="H3137" t="s">
        <v>115</v>
      </c>
      <c r="I3137">
        <v>510.76</v>
      </c>
      <c r="J3137" t="s">
        <v>2652</v>
      </c>
      <c r="K3137" t="s">
        <v>73</v>
      </c>
      <c r="N3137" t="s">
        <v>74</v>
      </c>
      <c r="O3137" t="s">
        <v>75</v>
      </c>
      <c r="P3137" t="s">
        <v>74</v>
      </c>
      <c r="Q3137" t="s">
        <v>76</v>
      </c>
      <c r="R3137" t="s">
        <v>73</v>
      </c>
      <c r="S3137">
        <v>0</v>
      </c>
      <c r="W3137" s="20">
        <v>7.0601851851851847E-4</v>
      </c>
      <c r="X3137" t="s">
        <v>792</v>
      </c>
      <c r="Y3137">
        <v>3</v>
      </c>
      <c r="Z3137">
        <v>0</v>
      </c>
      <c r="AA3137" t="s">
        <v>78</v>
      </c>
      <c r="AB3137">
        <v>0</v>
      </c>
      <c r="AC3137" t="s">
        <v>78</v>
      </c>
      <c r="AD3137">
        <v>0</v>
      </c>
      <c r="AE3137">
        <v>11397702</v>
      </c>
      <c r="AF3137" t="s">
        <v>79</v>
      </c>
      <c r="AG3137" t="s">
        <v>770</v>
      </c>
    </row>
    <row r="3138" spans="1:33" x14ac:dyDescent="0.35">
      <c r="A3138" s="18">
        <v>44209.036805555559</v>
      </c>
      <c r="B3138">
        <v>4875240</v>
      </c>
      <c r="C3138" t="s">
        <v>465</v>
      </c>
      <c r="D3138" t="s">
        <v>70</v>
      </c>
      <c r="E3138" s="19">
        <v>42954</v>
      </c>
      <c r="F3138" t="str">
        <f>"9781119329039"</f>
        <v>9781119329039</v>
      </c>
      <c r="G3138" t="str">
        <f>"9781119329053"</f>
        <v>9781119329053</v>
      </c>
      <c r="H3138" t="s">
        <v>466</v>
      </c>
      <c r="I3138">
        <v>621.38104399999997</v>
      </c>
      <c r="J3138" t="s">
        <v>467</v>
      </c>
      <c r="K3138" t="s">
        <v>73</v>
      </c>
      <c r="N3138" t="s">
        <v>74</v>
      </c>
      <c r="O3138" t="s">
        <v>75</v>
      </c>
      <c r="P3138" t="s">
        <v>74</v>
      </c>
      <c r="Q3138" t="s">
        <v>76</v>
      </c>
      <c r="R3138" t="s">
        <v>73</v>
      </c>
      <c r="S3138">
        <v>2</v>
      </c>
      <c r="W3138" s="20">
        <v>0</v>
      </c>
      <c r="X3138" t="s">
        <v>78</v>
      </c>
      <c r="Y3138">
        <v>0</v>
      </c>
      <c r="Z3138">
        <v>0</v>
      </c>
      <c r="AA3138" t="s">
        <v>78</v>
      </c>
      <c r="AB3138">
        <v>0</v>
      </c>
      <c r="AC3138" t="s">
        <v>78</v>
      </c>
      <c r="AD3138">
        <v>0</v>
      </c>
      <c r="AE3138">
        <v>11395817</v>
      </c>
      <c r="AF3138" t="s">
        <v>88</v>
      </c>
      <c r="AG3138" t="s">
        <v>1330</v>
      </c>
    </row>
    <row r="3139" spans="1:33" x14ac:dyDescent="0.35">
      <c r="A3139" s="18">
        <v>44208.995833333334</v>
      </c>
      <c r="B3139">
        <v>338204</v>
      </c>
      <c r="C3139" t="s">
        <v>6663</v>
      </c>
      <c r="D3139" t="s">
        <v>3964</v>
      </c>
      <c r="E3139" s="19">
        <v>39433</v>
      </c>
      <c r="F3139" t="str">
        <f>"9783540751571"</f>
        <v>9783540751571</v>
      </c>
      <c r="G3139" t="str">
        <f>"9783642444456"</f>
        <v>9783642444456</v>
      </c>
      <c r="H3139" t="s">
        <v>227</v>
      </c>
      <c r="I3139">
        <v>572.88</v>
      </c>
      <c r="J3139" t="s">
        <v>3686</v>
      </c>
      <c r="K3139" t="s">
        <v>73</v>
      </c>
      <c r="N3139" t="s">
        <v>74</v>
      </c>
      <c r="O3139" t="s">
        <v>75</v>
      </c>
      <c r="P3139" t="s">
        <v>74</v>
      </c>
      <c r="Q3139" t="s">
        <v>76</v>
      </c>
      <c r="R3139" t="s">
        <v>73</v>
      </c>
      <c r="S3139">
        <v>0</v>
      </c>
      <c r="W3139" s="20">
        <v>6.7129629629629625E-4</v>
      </c>
      <c r="X3139" t="s">
        <v>6664</v>
      </c>
      <c r="Y3139">
        <v>10</v>
      </c>
      <c r="Z3139">
        <v>1</v>
      </c>
      <c r="AA3139" t="s">
        <v>6665</v>
      </c>
      <c r="AB3139">
        <v>25</v>
      </c>
      <c r="AC3139" t="s">
        <v>78</v>
      </c>
      <c r="AD3139">
        <v>0</v>
      </c>
      <c r="AE3139">
        <v>10223228</v>
      </c>
      <c r="AF3139" t="s">
        <v>79</v>
      </c>
      <c r="AG3139" t="s">
        <v>6312</v>
      </c>
    </row>
    <row r="3140" spans="1:33" x14ac:dyDescent="0.35">
      <c r="A3140" s="18">
        <v>44208.71875</v>
      </c>
      <c r="B3140">
        <v>479833</v>
      </c>
      <c r="C3140" t="s">
        <v>6318</v>
      </c>
      <c r="D3140" t="s">
        <v>70</v>
      </c>
      <c r="E3140" s="19">
        <v>39930</v>
      </c>
      <c r="F3140" t="str">
        <f>"9780470824115"</f>
        <v>9780470824115</v>
      </c>
      <c r="G3140" t="str">
        <f>"9780470824108"</f>
        <v>9780470824108</v>
      </c>
      <c r="H3140" t="s">
        <v>6319</v>
      </c>
      <c r="I3140">
        <v>629.83000000000004</v>
      </c>
      <c r="J3140" t="s">
        <v>6320</v>
      </c>
      <c r="K3140" t="s">
        <v>73</v>
      </c>
      <c r="N3140" t="s">
        <v>74</v>
      </c>
      <c r="O3140" t="s">
        <v>75</v>
      </c>
      <c r="P3140" t="s">
        <v>74</v>
      </c>
      <c r="Q3140" t="s">
        <v>76</v>
      </c>
      <c r="R3140" t="s">
        <v>73</v>
      </c>
      <c r="S3140">
        <v>1</v>
      </c>
      <c r="W3140" s="20">
        <v>6.3657407407407402E-4</v>
      </c>
      <c r="X3140" t="s">
        <v>360</v>
      </c>
      <c r="Y3140">
        <v>2</v>
      </c>
      <c r="Z3140">
        <v>0</v>
      </c>
      <c r="AA3140" t="s">
        <v>78</v>
      </c>
      <c r="AB3140">
        <v>0</v>
      </c>
      <c r="AC3140" t="s">
        <v>78</v>
      </c>
      <c r="AD3140">
        <v>0</v>
      </c>
      <c r="AE3140">
        <v>10325864</v>
      </c>
      <c r="AF3140" t="s">
        <v>88</v>
      </c>
      <c r="AG3140" t="s">
        <v>6343</v>
      </c>
    </row>
    <row r="3141" spans="1:33" x14ac:dyDescent="0.35">
      <c r="A3141" s="18">
        <v>44208.717361111114</v>
      </c>
      <c r="B3141">
        <v>1681594</v>
      </c>
      <c r="C3141" t="s">
        <v>6455</v>
      </c>
      <c r="D3141" t="s">
        <v>239</v>
      </c>
      <c r="E3141" s="19">
        <v>38749</v>
      </c>
      <c r="F3141" t="str">
        <f>"9781860949104"</f>
        <v>9781860949104</v>
      </c>
      <c r="G3141" t="str">
        <f>"9781860946226"</f>
        <v>9781860946226</v>
      </c>
      <c r="H3141" t="s">
        <v>1122</v>
      </c>
      <c r="I3141">
        <v>629</v>
      </c>
      <c r="J3141" t="s">
        <v>6456</v>
      </c>
      <c r="K3141" t="s">
        <v>73</v>
      </c>
      <c r="N3141" t="s">
        <v>74</v>
      </c>
      <c r="O3141" t="s">
        <v>75</v>
      </c>
      <c r="P3141" t="s">
        <v>74</v>
      </c>
      <c r="Q3141" t="s">
        <v>76</v>
      </c>
      <c r="R3141" t="s">
        <v>73</v>
      </c>
      <c r="S3141">
        <v>2</v>
      </c>
      <c r="W3141" s="20">
        <v>1.7361111111111112E-4</v>
      </c>
      <c r="X3141" t="s">
        <v>6666</v>
      </c>
      <c r="Y3141">
        <v>5</v>
      </c>
      <c r="Z3141">
        <v>0</v>
      </c>
      <c r="AA3141" t="s">
        <v>78</v>
      </c>
      <c r="AB3141">
        <v>0</v>
      </c>
      <c r="AC3141" t="s">
        <v>78</v>
      </c>
      <c r="AD3141">
        <v>0</v>
      </c>
      <c r="AE3141">
        <v>10201146</v>
      </c>
      <c r="AF3141" t="s">
        <v>88</v>
      </c>
      <c r="AG3141" t="s">
        <v>6667</v>
      </c>
    </row>
    <row r="3142" spans="1:33" x14ac:dyDescent="0.35">
      <c r="A3142" s="18">
        <v>44208.715277777781</v>
      </c>
      <c r="B3142">
        <v>1911737</v>
      </c>
      <c r="C3142" t="s">
        <v>6444</v>
      </c>
      <c r="D3142" t="s">
        <v>1258</v>
      </c>
      <c r="E3142" s="19">
        <v>41974</v>
      </c>
      <c r="F3142" t="str">
        <f>"9781606501719"</f>
        <v>9781606501719</v>
      </c>
      <c r="G3142" t="str">
        <f>"9781606501702"</f>
        <v>9781606501702</v>
      </c>
      <c r="H3142" t="s">
        <v>4032</v>
      </c>
      <c r="I3142">
        <v>629.83000000000004</v>
      </c>
      <c r="J3142" t="s">
        <v>6445</v>
      </c>
      <c r="K3142" t="s">
        <v>73</v>
      </c>
      <c r="N3142" t="s">
        <v>74</v>
      </c>
      <c r="O3142" t="s">
        <v>75</v>
      </c>
      <c r="P3142" t="s">
        <v>74</v>
      </c>
      <c r="Q3142" t="s">
        <v>76</v>
      </c>
      <c r="R3142" t="s">
        <v>73</v>
      </c>
      <c r="S3142">
        <v>0</v>
      </c>
      <c r="W3142" s="20">
        <v>5.7870370370370366E-5</v>
      </c>
      <c r="X3142" t="s">
        <v>132</v>
      </c>
      <c r="Y3142">
        <v>1</v>
      </c>
      <c r="Z3142">
        <v>0</v>
      </c>
      <c r="AA3142" t="s">
        <v>78</v>
      </c>
      <c r="AB3142">
        <v>0</v>
      </c>
      <c r="AC3142" t="s">
        <v>78</v>
      </c>
      <c r="AD3142">
        <v>0</v>
      </c>
      <c r="AE3142">
        <v>11007943</v>
      </c>
      <c r="AF3142" t="s">
        <v>79</v>
      </c>
      <c r="AG3142" t="s">
        <v>1173</v>
      </c>
    </row>
    <row r="3143" spans="1:33" x14ac:dyDescent="0.35">
      <c r="A3143" s="18">
        <v>44208.714583333334</v>
      </c>
      <c r="B3143">
        <v>479833</v>
      </c>
      <c r="C3143" t="s">
        <v>6318</v>
      </c>
      <c r="D3143" t="s">
        <v>70</v>
      </c>
      <c r="E3143" s="19">
        <v>39930</v>
      </c>
      <c r="F3143" t="str">
        <f>"9780470824115"</f>
        <v>9780470824115</v>
      </c>
      <c r="G3143" t="str">
        <f>"9780470824108"</f>
        <v>9780470824108</v>
      </c>
      <c r="H3143" t="s">
        <v>6319</v>
      </c>
      <c r="I3143">
        <v>629.83000000000004</v>
      </c>
      <c r="J3143" t="s">
        <v>6320</v>
      </c>
      <c r="K3143" t="s">
        <v>73</v>
      </c>
      <c r="N3143" t="s">
        <v>74</v>
      </c>
      <c r="O3143" t="s">
        <v>75</v>
      </c>
      <c r="P3143" t="s">
        <v>74</v>
      </c>
      <c r="Q3143" t="s">
        <v>76</v>
      </c>
      <c r="R3143" t="s">
        <v>73</v>
      </c>
      <c r="S3143">
        <v>0</v>
      </c>
      <c r="W3143" s="20">
        <v>3.7500000000000003E-3</v>
      </c>
      <c r="X3143" t="s">
        <v>6668</v>
      </c>
      <c r="Y3143">
        <v>22</v>
      </c>
      <c r="Z3143">
        <v>0</v>
      </c>
      <c r="AA3143" t="s">
        <v>78</v>
      </c>
      <c r="AB3143">
        <v>0</v>
      </c>
      <c r="AC3143" t="s">
        <v>78</v>
      </c>
      <c r="AD3143">
        <v>0</v>
      </c>
      <c r="AE3143">
        <v>10325864</v>
      </c>
      <c r="AF3143" t="s">
        <v>88</v>
      </c>
      <c r="AG3143" t="s">
        <v>6343</v>
      </c>
    </row>
    <row r="3144" spans="1:33" x14ac:dyDescent="0.35">
      <c r="A3144" s="18">
        <v>44208.714583333334</v>
      </c>
      <c r="B3144">
        <v>1681594</v>
      </c>
      <c r="C3144" t="s">
        <v>6455</v>
      </c>
      <c r="D3144" t="s">
        <v>239</v>
      </c>
      <c r="E3144" s="19">
        <v>38749</v>
      </c>
      <c r="F3144" t="str">
        <f>"9781860949104"</f>
        <v>9781860949104</v>
      </c>
      <c r="G3144" t="str">
        <f>"9781860946226"</f>
        <v>9781860946226</v>
      </c>
      <c r="H3144" t="s">
        <v>1122</v>
      </c>
      <c r="I3144">
        <v>629</v>
      </c>
      <c r="J3144" t="s">
        <v>6456</v>
      </c>
      <c r="K3144" t="s">
        <v>73</v>
      </c>
      <c r="N3144" t="s">
        <v>74</v>
      </c>
      <c r="O3144" t="s">
        <v>75</v>
      </c>
      <c r="P3144" t="s">
        <v>74</v>
      </c>
      <c r="Q3144" t="s">
        <v>76</v>
      </c>
      <c r="R3144" t="s">
        <v>73</v>
      </c>
      <c r="S3144">
        <v>0</v>
      </c>
      <c r="W3144" s="20">
        <v>5.7870370370370366E-5</v>
      </c>
      <c r="X3144" t="s">
        <v>132</v>
      </c>
      <c r="Y3144">
        <v>1</v>
      </c>
      <c r="Z3144">
        <v>0</v>
      </c>
      <c r="AA3144" t="s">
        <v>78</v>
      </c>
      <c r="AB3144">
        <v>0</v>
      </c>
      <c r="AC3144" t="s">
        <v>78</v>
      </c>
      <c r="AD3144">
        <v>0</v>
      </c>
      <c r="AE3144">
        <v>10201146</v>
      </c>
      <c r="AF3144" t="s">
        <v>79</v>
      </c>
      <c r="AG3144" t="s">
        <v>6343</v>
      </c>
    </row>
    <row r="3145" spans="1:33" x14ac:dyDescent="0.35">
      <c r="A3145" s="18">
        <v>44208.714583333334</v>
      </c>
      <c r="B3145">
        <v>1681594</v>
      </c>
      <c r="C3145" t="s">
        <v>6455</v>
      </c>
      <c r="D3145" t="s">
        <v>239</v>
      </c>
      <c r="E3145" s="19">
        <v>38749</v>
      </c>
      <c r="F3145" t="str">
        <f>"9781860949104"</f>
        <v>9781860949104</v>
      </c>
      <c r="G3145" t="str">
        <f>"9781860946226"</f>
        <v>9781860946226</v>
      </c>
      <c r="H3145" t="s">
        <v>1122</v>
      </c>
      <c r="I3145">
        <v>629</v>
      </c>
      <c r="J3145" t="s">
        <v>6456</v>
      </c>
      <c r="K3145" t="s">
        <v>73</v>
      </c>
      <c r="N3145" t="s">
        <v>74</v>
      </c>
      <c r="O3145" t="s">
        <v>75</v>
      </c>
      <c r="P3145" t="s">
        <v>74</v>
      </c>
      <c r="Q3145" t="s">
        <v>76</v>
      </c>
      <c r="R3145" t="s">
        <v>73</v>
      </c>
      <c r="S3145">
        <v>0</v>
      </c>
      <c r="W3145" s="20">
        <v>2.6504629629629625E-3</v>
      </c>
      <c r="X3145" t="s">
        <v>6669</v>
      </c>
      <c r="Y3145">
        <v>15</v>
      </c>
      <c r="Z3145">
        <v>0</v>
      </c>
      <c r="AA3145" t="s">
        <v>78</v>
      </c>
      <c r="AB3145">
        <v>0</v>
      </c>
      <c r="AC3145" t="s">
        <v>78</v>
      </c>
      <c r="AD3145">
        <v>0</v>
      </c>
      <c r="AE3145">
        <v>10201146</v>
      </c>
      <c r="AF3145" t="s">
        <v>88</v>
      </c>
      <c r="AG3145" t="s">
        <v>6667</v>
      </c>
    </row>
    <row r="3146" spans="1:33" x14ac:dyDescent="0.35">
      <c r="A3146" s="18">
        <v>44208.713888888888</v>
      </c>
      <c r="B3146">
        <v>1681594</v>
      </c>
      <c r="C3146" t="s">
        <v>6455</v>
      </c>
      <c r="D3146" t="s">
        <v>239</v>
      </c>
      <c r="E3146" s="19">
        <v>38749</v>
      </c>
      <c r="F3146" t="str">
        <f>"9781860949104"</f>
        <v>9781860949104</v>
      </c>
      <c r="G3146" t="str">
        <f>"9781860946226"</f>
        <v>9781860946226</v>
      </c>
      <c r="H3146" t="s">
        <v>1122</v>
      </c>
      <c r="I3146">
        <v>629</v>
      </c>
      <c r="J3146" t="s">
        <v>6456</v>
      </c>
      <c r="K3146" t="s">
        <v>73</v>
      </c>
      <c r="N3146" t="s">
        <v>74</v>
      </c>
      <c r="O3146" t="s">
        <v>75</v>
      </c>
      <c r="P3146" t="s">
        <v>74</v>
      </c>
      <c r="Q3146" t="s">
        <v>76</v>
      </c>
      <c r="R3146" t="s">
        <v>73</v>
      </c>
      <c r="S3146">
        <v>0</v>
      </c>
      <c r="W3146" s="20">
        <v>5.7870370370370366E-5</v>
      </c>
      <c r="X3146" t="s">
        <v>132</v>
      </c>
      <c r="Y3146">
        <v>1</v>
      </c>
      <c r="Z3146">
        <v>0</v>
      </c>
      <c r="AA3146" t="s">
        <v>78</v>
      </c>
      <c r="AB3146">
        <v>0</v>
      </c>
      <c r="AC3146" t="s">
        <v>78</v>
      </c>
      <c r="AD3146">
        <v>0</v>
      </c>
      <c r="AE3146">
        <v>10201146</v>
      </c>
      <c r="AF3146" t="s">
        <v>79</v>
      </c>
      <c r="AG3146" t="s">
        <v>1173</v>
      </c>
    </row>
    <row r="3147" spans="1:33" x14ac:dyDescent="0.35">
      <c r="A3147" s="18">
        <v>44208.713888888888</v>
      </c>
      <c r="B3147">
        <v>479833</v>
      </c>
      <c r="C3147" t="s">
        <v>6318</v>
      </c>
      <c r="D3147" t="s">
        <v>70</v>
      </c>
      <c r="E3147" s="19">
        <v>39930</v>
      </c>
      <c r="F3147" t="str">
        <f>"9780470824115"</f>
        <v>9780470824115</v>
      </c>
      <c r="G3147" t="str">
        <f>"9780470824108"</f>
        <v>9780470824108</v>
      </c>
      <c r="H3147" t="s">
        <v>6319</v>
      </c>
      <c r="I3147">
        <v>629.83000000000004</v>
      </c>
      <c r="J3147" t="s">
        <v>6320</v>
      </c>
      <c r="K3147" t="s">
        <v>73</v>
      </c>
      <c r="N3147" t="s">
        <v>74</v>
      </c>
      <c r="O3147" t="s">
        <v>75</v>
      </c>
      <c r="P3147" t="s">
        <v>74</v>
      </c>
      <c r="Q3147" t="s">
        <v>76</v>
      </c>
      <c r="R3147" t="s">
        <v>73</v>
      </c>
      <c r="S3147">
        <v>0</v>
      </c>
      <c r="W3147" s="20">
        <v>3.1250000000000001E-4</v>
      </c>
      <c r="X3147" t="s">
        <v>639</v>
      </c>
      <c r="Y3147">
        <v>3</v>
      </c>
      <c r="Z3147">
        <v>0</v>
      </c>
      <c r="AA3147" t="s">
        <v>78</v>
      </c>
      <c r="AB3147">
        <v>0</v>
      </c>
      <c r="AC3147" t="s">
        <v>78</v>
      </c>
      <c r="AD3147">
        <v>0</v>
      </c>
      <c r="AE3147">
        <v>10325864</v>
      </c>
      <c r="AF3147" t="s">
        <v>79</v>
      </c>
      <c r="AG3147" t="s">
        <v>1173</v>
      </c>
    </row>
    <row r="3148" spans="1:33" x14ac:dyDescent="0.35">
      <c r="A3148" s="18">
        <v>44208.599305555559</v>
      </c>
      <c r="B3148">
        <v>3008749</v>
      </c>
      <c r="C3148" t="s">
        <v>5920</v>
      </c>
      <c r="D3148" t="s">
        <v>158</v>
      </c>
      <c r="E3148" s="19">
        <v>41353</v>
      </c>
      <c r="F3148" t="str">
        <f>"9780080885223"</f>
        <v>9780080885223</v>
      </c>
      <c r="G3148" t="str">
        <f>"9780123747396"</f>
        <v>9780123747396</v>
      </c>
      <c r="H3148" t="s">
        <v>1561</v>
      </c>
      <c r="I3148">
        <v>551.41</v>
      </c>
      <c r="J3148" t="s">
        <v>5921</v>
      </c>
      <c r="K3148" t="s">
        <v>73</v>
      </c>
      <c r="N3148" t="s">
        <v>74</v>
      </c>
      <c r="O3148" t="s">
        <v>75</v>
      </c>
      <c r="P3148" t="s">
        <v>74</v>
      </c>
      <c r="Q3148" t="s">
        <v>76</v>
      </c>
      <c r="R3148" t="s">
        <v>73</v>
      </c>
      <c r="S3148">
        <v>0</v>
      </c>
      <c r="W3148" s="20">
        <v>2.2569444444444447E-3</v>
      </c>
      <c r="X3148" t="s">
        <v>6670</v>
      </c>
      <c r="Y3148">
        <v>6</v>
      </c>
      <c r="Z3148">
        <v>2</v>
      </c>
      <c r="AA3148" t="s">
        <v>6671</v>
      </c>
      <c r="AB3148">
        <v>26</v>
      </c>
      <c r="AC3148" t="s">
        <v>78</v>
      </c>
      <c r="AD3148">
        <v>0</v>
      </c>
      <c r="AE3148">
        <v>10671465</v>
      </c>
      <c r="AF3148" t="s">
        <v>88</v>
      </c>
      <c r="AG3148" t="s">
        <v>6672</v>
      </c>
    </row>
    <row r="3149" spans="1:33" x14ac:dyDescent="0.35">
      <c r="A3149" s="18">
        <v>44208.598611111112</v>
      </c>
      <c r="B3149">
        <v>3035850</v>
      </c>
      <c r="C3149" t="s">
        <v>6673</v>
      </c>
      <c r="D3149" t="s">
        <v>3539</v>
      </c>
      <c r="E3149" s="19">
        <v>36860</v>
      </c>
      <c r="F3149" t="str">
        <f>"9780306480867"</f>
        <v>9780306480867</v>
      </c>
      <c r="G3149" t="str">
        <f>"9780792366386"</f>
        <v>9780792366386</v>
      </c>
      <c r="H3149" t="s">
        <v>1905</v>
      </c>
      <c r="I3149">
        <v>551.6</v>
      </c>
      <c r="J3149" t="s">
        <v>5708</v>
      </c>
      <c r="K3149" t="s">
        <v>73</v>
      </c>
      <c r="N3149" t="s">
        <v>74</v>
      </c>
      <c r="O3149" t="s">
        <v>75</v>
      </c>
      <c r="P3149" t="s">
        <v>74</v>
      </c>
      <c r="Q3149" t="s">
        <v>76</v>
      </c>
      <c r="R3149" t="s">
        <v>73</v>
      </c>
      <c r="S3149">
        <v>0</v>
      </c>
      <c r="W3149" s="20">
        <v>2.199074074074074E-4</v>
      </c>
      <c r="X3149" t="s">
        <v>6674</v>
      </c>
      <c r="Y3149">
        <v>3</v>
      </c>
      <c r="Z3149">
        <v>0</v>
      </c>
      <c r="AA3149" t="s">
        <v>78</v>
      </c>
      <c r="AB3149">
        <v>0</v>
      </c>
      <c r="AC3149" t="s">
        <v>78</v>
      </c>
      <c r="AD3149">
        <v>0</v>
      </c>
      <c r="AE3149">
        <v>10067203</v>
      </c>
      <c r="AF3149" t="s">
        <v>88</v>
      </c>
      <c r="AG3149" t="s">
        <v>6672</v>
      </c>
    </row>
    <row r="3150" spans="1:33" x14ac:dyDescent="0.35">
      <c r="A3150" s="18">
        <v>44208.597916666666</v>
      </c>
      <c r="B3150">
        <v>1367687</v>
      </c>
      <c r="C3150" t="s">
        <v>6383</v>
      </c>
      <c r="D3150" t="s">
        <v>70</v>
      </c>
      <c r="E3150" s="19">
        <v>41575</v>
      </c>
      <c r="F3150" t="str">
        <f>"9781118527177"</f>
        <v>9781118527177</v>
      </c>
      <c r="G3150" t="str">
        <f>"9781119962779"</f>
        <v>9781119962779</v>
      </c>
      <c r="H3150" t="s">
        <v>6384</v>
      </c>
      <c r="I3150">
        <v>551.29999999999995</v>
      </c>
      <c r="J3150" t="s">
        <v>6385</v>
      </c>
      <c r="K3150" t="s">
        <v>73</v>
      </c>
      <c r="N3150" t="s">
        <v>74</v>
      </c>
      <c r="O3150" t="s">
        <v>75</v>
      </c>
      <c r="P3150" t="s">
        <v>74</v>
      </c>
      <c r="Q3150" t="s">
        <v>76</v>
      </c>
      <c r="R3150" t="s">
        <v>73</v>
      </c>
      <c r="S3150">
        <v>0</v>
      </c>
      <c r="W3150" s="20">
        <v>5.3240740740740744E-4</v>
      </c>
      <c r="X3150" t="s">
        <v>6675</v>
      </c>
      <c r="Y3150">
        <v>7</v>
      </c>
      <c r="Z3150">
        <v>0</v>
      </c>
      <c r="AA3150" t="s">
        <v>78</v>
      </c>
      <c r="AB3150">
        <v>0</v>
      </c>
      <c r="AC3150" t="s">
        <v>78</v>
      </c>
      <c r="AD3150">
        <v>0</v>
      </c>
      <c r="AE3150">
        <v>10753392</v>
      </c>
      <c r="AF3150" t="s">
        <v>88</v>
      </c>
      <c r="AG3150" t="s">
        <v>6672</v>
      </c>
    </row>
    <row r="3151" spans="1:33" x14ac:dyDescent="0.35">
      <c r="A3151" s="18">
        <v>44208.597222222219</v>
      </c>
      <c r="B3151">
        <v>1182933</v>
      </c>
      <c r="C3151" t="s">
        <v>5940</v>
      </c>
      <c r="D3151" t="s">
        <v>538</v>
      </c>
      <c r="E3151" s="19">
        <v>41421</v>
      </c>
      <c r="F3151" t="str">
        <f>"9781107057579"</f>
        <v>9781107057579</v>
      </c>
      <c r="G3151" t="str">
        <f>"9781107005549"</f>
        <v>9781107005549</v>
      </c>
      <c r="H3151" t="s">
        <v>1905</v>
      </c>
      <c r="I3151">
        <v>551.41499999999996</v>
      </c>
      <c r="J3151" t="s">
        <v>5941</v>
      </c>
      <c r="K3151" t="s">
        <v>73</v>
      </c>
      <c r="N3151" t="s">
        <v>74</v>
      </c>
      <c r="O3151" t="s">
        <v>75</v>
      </c>
      <c r="P3151" t="s">
        <v>74</v>
      </c>
      <c r="Q3151" t="s">
        <v>76</v>
      </c>
      <c r="R3151" t="s">
        <v>73</v>
      </c>
      <c r="S3151">
        <v>0</v>
      </c>
      <c r="W3151" s="20">
        <v>2.4305555555555552E-4</v>
      </c>
      <c r="X3151" t="s">
        <v>6582</v>
      </c>
      <c r="Y3151">
        <v>2</v>
      </c>
      <c r="Z3151">
        <v>1</v>
      </c>
      <c r="AA3151" t="s">
        <v>6026</v>
      </c>
      <c r="AB3151">
        <v>42</v>
      </c>
      <c r="AC3151" t="s">
        <v>78</v>
      </c>
      <c r="AD3151">
        <v>0</v>
      </c>
      <c r="AE3151">
        <v>10695299</v>
      </c>
      <c r="AF3151" t="s">
        <v>88</v>
      </c>
      <c r="AG3151" t="s">
        <v>6672</v>
      </c>
    </row>
    <row r="3152" spans="1:33" x14ac:dyDescent="0.35">
      <c r="A3152" s="18">
        <v>44208.595138888886</v>
      </c>
      <c r="B3152">
        <v>4179310</v>
      </c>
      <c r="C3152" t="s">
        <v>6604</v>
      </c>
      <c r="D3152" t="s">
        <v>338</v>
      </c>
      <c r="E3152" s="19">
        <v>42333</v>
      </c>
      <c r="F3152" t="str">
        <f>"9780444635396"</f>
        <v>9780444635396</v>
      </c>
      <c r="G3152" t="str">
        <f>"9780444635297"</f>
        <v>9780444635297</v>
      </c>
      <c r="H3152" t="s">
        <v>1561</v>
      </c>
      <c r="I3152">
        <v>551.29999999999995</v>
      </c>
      <c r="J3152" t="s">
        <v>6605</v>
      </c>
      <c r="K3152" t="s">
        <v>73</v>
      </c>
      <c r="N3152" t="s">
        <v>74</v>
      </c>
      <c r="O3152" t="s">
        <v>75</v>
      </c>
      <c r="P3152" t="s">
        <v>74</v>
      </c>
      <c r="Q3152" t="s">
        <v>76</v>
      </c>
      <c r="R3152" t="s">
        <v>73</v>
      </c>
      <c r="S3152">
        <v>0</v>
      </c>
      <c r="W3152" s="20">
        <v>1.5162037037037036E-3</v>
      </c>
      <c r="X3152" t="s">
        <v>6676</v>
      </c>
      <c r="Y3152">
        <v>7</v>
      </c>
      <c r="Z3152">
        <v>1</v>
      </c>
      <c r="AA3152" t="s">
        <v>6677</v>
      </c>
      <c r="AB3152">
        <v>44</v>
      </c>
      <c r="AC3152" t="s">
        <v>78</v>
      </c>
      <c r="AD3152">
        <v>0</v>
      </c>
      <c r="AE3152">
        <v>11125436</v>
      </c>
      <c r="AF3152" t="s">
        <v>88</v>
      </c>
      <c r="AG3152" t="s">
        <v>6672</v>
      </c>
    </row>
    <row r="3153" spans="1:33" x14ac:dyDescent="0.35">
      <c r="A3153" s="18">
        <v>44208.594444444447</v>
      </c>
      <c r="B3153">
        <v>312765</v>
      </c>
      <c r="C3153" t="s">
        <v>5754</v>
      </c>
      <c r="D3153" t="s">
        <v>158</v>
      </c>
      <c r="E3153" s="19">
        <v>36670</v>
      </c>
      <c r="F3153" t="str">
        <f>"9780080527475"</f>
        <v>9780080527475</v>
      </c>
      <c r="G3153" t="str">
        <f>"9780126363753"</f>
        <v>9780126363753</v>
      </c>
      <c r="H3153" t="s">
        <v>1905</v>
      </c>
      <c r="I3153">
        <v>552.5</v>
      </c>
      <c r="J3153" t="s">
        <v>5755</v>
      </c>
      <c r="K3153" t="s">
        <v>85</v>
      </c>
      <c r="N3153" t="s">
        <v>86</v>
      </c>
      <c r="P3153" t="s">
        <v>87</v>
      </c>
      <c r="Q3153" t="s">
        <v>76</v>
      </c>
      <c r="R3153" t="s">
        <v>73</v>
      </c>
      <c r="S3153">
        <v>0</v>
      </c>
      <c r="W3153" s="20">
        <v>4.6296296296296294E-5</v>
      </c>
      <c r="X3153" t="s">
        <v>132</v>
      </c>
      <c r="Y3153">
        <v>1</v>
      </c>
      <c r="Z3153">
        <v>0</v>
      </c>
      <c r="AA3153" t="s">
        <v>78</v>
      </c>
      <c r="AB3153">
        <v>0</v>
      </c>
      <c r="AC3153" t="s">
        <v>78</v>
      </c>
      <c r="AD3153">
        <v>0</v>
      </c>
      <c r="AE3153">
        <v>10190220</v>
      </c>
      <c r="AF3153" t="s">
        <v>88</v>
      </c>
      <c r="AG3153" t="s">
        <v>6672</v>
      </c>
    </row>
    <row r="3154" spans="1:33" x14ac:dyDescent="0.35">
      <c r="A3154" s="18">
        <v>44208.593055555553</v>
      </c>
      <c r="B3154">
        <v>432017</v>
      </c>
      <c r="C3154" t="s">
        <v>2334</v>
      </c>
      <c r="D3154" t="s">
        <v>538</v>
      </c>
      <c r="E3154" s="19">
        <v>39863</v>
      </c>
      <c r="F3154" t="str">
        <f>"9780511515149"</f>
        <v>9780511515149</v>
      </c>
      <c r="G3154" t="str">
        <f>"9780521897167"</f>
        <v>9780521897167</v>
      </c>
      <c r="H3154" t="s">
        <v>1905</v>
      </c>
      <c r="I3154">
        <v>552.5</v>
      </c>
      <c r="J3154" t="s">
        <v>2335</v>
      </c>
      <c r="K3154" t="s">
        <v>73</v>
      </c>
      <c r="N3154" t="s">
        <v>74</v>
      </c>
      <c r="O3154" t="s">
        <v>75</v>
      </c>
      <c r="P3154" t="s">
        <v>74</v>
      </c>
      <c r="Q3154" t="s">
        <v>76</v>
      </c>
      <c r="R3154" t="s">
        <v>73</v>
      </c>
      <c r="S3154">
        <v>0</v>
      </c>
      <c r="W3154" s="20">
        <v>7.407407407407407E-4</v>
      </c>
      <c r="X3154" t="s">
        <v>6678</v>
      </c>
      <c r="Y3154">
        <v>4</v>
      </c>
      <c r="Z3154">
        <v>3</v>
      </c>
      <c r="AA3154" t="s">
        <v>6679</v>
      </c>
      <c r="AB3154">
        <v>117</v>
      </c>
      <c r="AC3154" t="s">
        <v>78</v>
      </c>
      <c r="AD3154">
        <v>0</v>
      </c>
      <c r="AE3154">
        <v>10297090</v>
      </c>
      <c r="AF3154" t="s">
        <v>79</v>
      </c>
      <c r="AG3154" t="s">
        <v>6672</v>
      </c>
    </row>
    <row r="3155" spans="1:33" x14ac:dyDescent="0.35">
      <c r="A3155" s="18">
        <v>44208.588194444441</v>
      </c>
      <c r="B3155">
        <v>4003860</v>
      </c>
      <c r="C3155" t="s">
        <v>6680</v>
      </c>
      <c r="D3155" t="s">
        <v>158</v>
      </c>
      <c r="E3155" s="19">
        <v>42270</v>
      </c>
      <c r="F3155" t="str">
        <f>"9780128019108"</f>
        <v>9780128019108</v>
      </c>
      <c r="G3155" t="str">
        <f>"9780128018989"</f>
        <v>9780128018989</v>
      </c>
      <c r="H3155" t="s">
        <v>289</v>
      </c>
      <c r="I3155">
        <v>622.33799999999997</v>
      </c>
      <c r="J3155" t="s">
        <v>6681</v>
      </c>
      <c r="K3155" t="s">
        <v>73</v>
      </c>
      <c r="N3155" t="s">
        <v>74</v>
      </c>
      <c r="O3155" t="s">
        <v>75</v>
      </c>
      <c r="P3155" t="s">
        <v>74</v>
      </c>
      <c r="Q3155" t="s">
        <v>76</v>
      </c>
      <c r="R3155" t="s">
        <v>73</v>
      </c>
      <c r="S3155">
        <v>0</v>
      </c>
      <c r="W3155" s="20">
        <v>1.4930555555555556E-3</v>
      </c>
      <c r="X3155" t="s">
        <v>6682</v>
      </c>
      <c r="Y3155">
        <v>21</v>
      </c>
      <c r="Z3155">
        <v>2</v>
      </c>
      <c r="AA3155" t="s">
        <v>6683</v>
      </c>
      <c r="AB3155">
        <v>48</v>
      </c>
      <c r="AC3155" t="s">
        <v>78</v>
      </c>
      <c r="AD3155">
        <v>0</v>
      </c>
      <c r="AE3155">
        <v>11116659</v>
      </c>
      <c r="AF3155" t="s">
        <v>79</v>
      </c>
      <c r="AG3155" t="s">
        <v>6180</v>
      </c>
    </row>
    <row r="3156" spans="1:33" x14ac:dyDescent="0.35">
      <c r="A3156" s="18">
        <v>44208.46875</v>
      </c>
      <c r="B3156">
        <v>1446324</v>
      </c>
      <c r="C3156" t="s">
        <v>6684</v>
      </c>
      <c r="D3156" t="s">
        <v>127</v>
      </c>
      <c r="E3156" s="19">
        <v>40730</v>
      </c>
      <c r="F3156" t="str">
        <f>"9781439820803"</f>
        <v>9781439820803</v>
      </c>
      <c r="G3156" t="str">
        <f>"9781439820780"</f>
        <v>9781439820780</v>
      </c>
      <c r="H3156" t="s">
        <v>466</v>
      </c>
      <c r="I3156" t="s">
        <v>6685</v>
      </c>
      <c r="J3156" t="s">
        <v>6686</v>
      </c>
      <c r="K3156" t="s">
        <v>73</v>
      </c>
      <c r="N3156" t="s">
        <v>74</v>
      </c>
      <c r="O3156" t="s">
        <v>75</v>
      </c>
      <c r="P3156" t="s">
        <v>74</v>
      </c>
      <c r="Q3156" t="s">
        <v>76</v>
      </c>
      <c r="R3156" t="s">
        <v>73</v>
      </c>
      <c r="S3156">
        <v>0</v>
      </c>
      <c r="W3156" s="20">
        <v>2.6620370370370372E-4</v>
      </c>
      <c r="X3156" t="s">
        <v>6687</v>
      </c>
      <c r="Y3156">
        <v>2</v>
      </c>
      <c r="Z3156">
        <v>0</v>
      </c>
      <c r="AA3156" t="s">
        <v>78</v>
      </c>
      <c r="AB3156">
        <v>0</v>
      </c>
      <c r="AC3156" t="s">
        <v>78</v>
      </c>
      <c r="AD3156">
        <v>0</v>
      </c>
      <c r="AE3156">
        <v>11002774</v>
      </c>
      <c r="AF3156" t="s">
        <v>79</v>
      </c>
      <c r="AG3156" t="s">
        <v>6012</v>
      </c>
    </row>
    <row r="3157" spans="1:33" x14ac:dyDescent="0.35">
      <c r="A3157" s="18">
        <v>44208.432638888888</v>
      </c>
      <c r="B3157">
        <v>5389081</v>
      </c>
      <c r="C3157" t="s">
        <v>6688</v>
      </c>
      <c r="D3157" t="s">
        <v>3089</v>
      </c>
      <c r="E3157" s="19">
        <v>42530</v>
      </c>
      <c r="F3157" t="str">
        <f>"9781683922414"</f>
        <v>9781683922414</v>
      </c>
      <c r="G3157" t="str">
        <f>""</f>
        <v/>
      </c>
      <c r="H3157" t="s">
        <v>1466</v>
      </c>
      <c r="I3157">
        <v>6.3</v>
      </c>
      <c r="J3157" t="s">
        <v>6689</v>
      </c>
      <c r="K3157" t="s">
        <v>73</v>
      </c>
      <c r="N3157" t="s">
        <v>74</v>
      </c>
      <c r="O3157" t="s">
        <v>75</v>
      </c>
      <c r="P3157" t="s">
        <v>74</v>
      </c>
      <c r="Q3157" t="s">
        <v>76</v>
      </c>
      <c r="R3157" t="s">
        <v>73</v>
      </c>
      <c r="S3157">
        <v>0</v>
      </c>
      <c r="W3157" s="20">
        <v>6.4930555555555549E-3</v>
      </c>
      <c r="X3157" t="s">
        <v>6690</v>
      </c>
      <c r="Y3157">
        <v>25</v>
      </c>
      <c r="Z3157">
        <v>0</v>
      </c>
      <c r="AA3157" t="s">
        <v>78</v>
      </c>
      <c r="AB3157">
        <v>0</v>
      </c>
      <c r="AC3157" t="s">
        <v>78</v>
      </c>
      <c r="AD3157">
        <v>0</v>
      </c>
      <c r="AE3157">
        <v>-1</v>
      </c>
      <c r="AF3157" t="s">
        <v>79</v>
      </c>
      <c r="AG3157" t="s">
        <v>6397</v>
      </c>
    </row>
    <row r="3158" spans="1:33" x14ac:dyDescent="0.35">
      <c r="A3158" s="18">
        <v>44208.426388888889</v>
      </c>
      <c r="B3158">
        <v>1446430</v>
      </c>
      <c r="C3158" t="s">
        <v>1649</v>
      </c>
      <c r="D3158" t="s">
        <v>127</v>
      </c>
      <c r="E3158" s="19">
        <v>40274</v>
      </c>
      <c r="F3158" t="str">
        <f>"9781439882573"</f>
        <v>9781439882573</v>
      </c>
      <c r="G3158" t="str">
        <f>"9781420085983"</f>
        <v>9781420085983</v>
      </c>
      <c r="H3158" t="s">
        <v>979</v>
      </c>
      <c r="I3158" t="s">
        <v>1650</v>
      </c>
      <c r="J3158" t="s">
        <v>1651</v>
      </c>
      <c r="K3158" t="s">
        <v>73</v>
      </c>
      <c r="N3158" t="s">
        <v>74</v>
      </c>
      <c r="O3158" t="s">
        <v>75</v>
      </c>
      <c r="P3158" t="s">
        <v>74</v>
      </c>
      <c r="Q3158" t="s">
        <v>76</v>
      </c>
      <c r="R3158" t="s">
        <v>73</v>
      </c>
      <c r="S3158">
        <v>0</v>
      </c>
      <c r="W3158" s="20">
        <v>1.1863425925925925E-2</v>
      </c>
      <c r="X3158" t="s">
        <v>6691</v>
      </c>
      <c r="Y3158">
        <v>52</v>
      </c>
      <c r="Z3158">
        <v>0</v>
      </c>
      <c r="AA3158" t="s">
        <v>78</v>
      </c>
      <c r="AB3158">
        <v>0</v>
      </c>
      <c r="AC3158" t="s">
        <v>78</v>
      </c>
      <c r="AD3158">
        <v>0</v>
      </c>
      <c r="AE3158">
        <v>11166018</v>
      </c>
      <c r="AF3158" t="s">
        <v>79</v>
      </c>
      <c r="AG3158" t="s">
        <v>6180</v>
      </c>
    </row>
    <row r="3159" spans="1:33" x14ac:dyDescent="0.35">
      <c r="A3159" s="18">
        <v>44207.656944444447</v>
      </c>
      <c r="B3159">
        <v>432017</v>
      </c>
      <c r="C3159" t="s">
        <v>2334</v>
      </c>
      <c r="D3159" t="s">
        <v>538</v>
      </c>
      <c r="E3159" s="19">
        <v>39863</v>
      </c>
      <c r="F3159" t="str">
        <f>"9780511515149"</f>
        <v>9780511515149</v>
      </c>
      <c r="G3159" t="str">
        <f>"9780521897167"</f>
        <v>9780521897167</v>
      </c>
      <c r="H3159" t="s">
        <v>1905</v>
      </c>
      <c r="I3159">
        <v>552.5</v>
      </c>
      <c r="J3159" t="s">
        <v>2335</v>
      </c>
      <c r="K3159" t="s">
        <v>73</v>
      </c>
      <c r="N3159" t="s">
        <v>74</v>
      </c>
      <c r="O3159" t="s">
        <v>75</v>
      </c>
      <c r="P3159" t="s">
        <v>74</v>
      </c>
      <c r="Q3159" t="s">
        <v>76</v>
      </c>
      <c r="R3159" t="s">
        <v>73</v>
      </c>
      <c r="S3159">
        <v>0</v>
      </c>
      <c r="W3159" s="20">
        <v>2.3611111111111111E-3</v>
      </c>
      <c r="X3159" t="s">
        <v>6692</v>
      </c>
      <c r="Y3159">
        <v>14</v>
      </c>
      <c r="Z3159">
        <v>4</v>
      </c>
      <c r="AA3159" t="s">
        <v>6693</v>
      </c>
      <c r="AB3159">
        <v>173</v>
      </c>
      <c r="AC3159" t="s">
        <v>78</v>
      </c>
      <c r="AD3159">
        <v>0</v>
      </c>
      <c r="AE3159">
        <v>10297090</v>
      </c>
      <c r="AF3159" t="s">
        <v>88</v>
      </c>
      <c r="AG3159" t="s">
        <v>6672</v>
      </c>
    </row>
    <row r="3160" spans="1:33" x14ac:dyDescent="0.35">
      <c r="A3160" s="18">
        <v>44207.652083333334</v>
      </c>
      <c r="B3160">
        <v>312765</v>
      </c>
      <c r="C3160" t="s">
        <v>5754</v>
      </c>
      <c r="D3160" t="s">
        <v>158</v>
      </c>
      <c r="E3160" s="19">
        <v>36670</v>
      </c>
      <c r="F3160" t="str">
        <f>"9780080527475"</f>
        <v>9780080527475</v>
      </c>
      <c r="G3160" t="str">
        <f>"9780126363753"</f>
        <v>9780126363753</v>
      </c>
      <c r="H3160" t="s">
        <v>1905</v>
      </c>
      <c r="I3160">
        <v>552.5</v>
      </c>
      <c r="J3160" t="s">
        <v>5755</v>
      </c>
      <c r="K3160" t="s">
        <v>85</v>
      </c>
      <c r="N3160" t="s">
        <v>86</v>
      </c>
      <c r="P3160" t="s">
        <v>87</v>
      </c>
      <c r="Q3160" t="s">
        <v>76</v>
      </c>
      <c r="R3160" t="s">
        <v>73</v>
      </c>
      <c r="S3160">
        <v>0</v>
      </c>
      <c r="W3160" s="20">
        <v>2.1412037037037038E-3</v>
      </c>
      <c r="X3160" t="s">
        <v>6694</v>
      </c>
      <c r="Y3160">
        <v>10</v>
      </c>
      <c r="Z3160">
        <v>0</v>
      </c>
      <c r="AA3160" t="s">
        <v>78</v>
      </c>
      <c r="AB3160">
        <v>0</v>
      </c>
      <c r="AC3160" t="s">
        <v>78</v>
      </c>
      <c r="AD3160">
        <v>0</v>
      </c>
      <c r="AE3160">
        <v>10190220</v>
      </c>
      <c r="AF3160" t="s">
        <v>88</v>
      </c>
      <c r="AG3160" t="s">
        <v>6672</v>
      </c>
    </row>
    <row r="3161" spans="1:33" x14ac:dyDescent="0.35">
      <c r="A3161" s="18">
        <v>44207.474999999999</v>
      </c>
      <c r="B3161">
        <v>6379822</v>
      </c>
      <c r="C3161" t="s">
        <v>2241</v>
      </c>
      <c r="D3161" t="s">
        <v>70</v>
      </c>
      <c r="E3161" s="19">
        <v>44222</v>
      </c>
      <c r="F3161" t="str">
        <f>"9781119033813"</f>
        <v>9781119033813</v>
      </c>
      <c r="G3161" t="str">
        <f>"9781119978282"</f>
        <v>9781119978282</v>
      </c>
      <c r="H3161" t="s">
        <v>2242</v>
      </c>
      <c r="I3161">
        <v>614.1</v>
      </c>
      <c r="J3161" t="s">
        <v>2243</v>
      </c>
      <c r="K3161" t="s">
        <v>85</v>
      </c>
      <c r="N3161" t="s">
        <v>86</v>
      </c>
      <c r="P3161" t="s">
        <v>87</v>
      </c>
      <c r="Q3161" t="s">
        <v>76</v>
      </c>
      <c r="R3161" t="s">
        <v>73</v>
      </c>
      <c r="S3161">
        <v>0</v>
      </c>
      <c r="W3161" s="20">
        <v>0</v>
      </c>
      <c r="X3161" t="s">
        <v>78</v>
      </c>
      <c r="Y3161">
        <v>0</v>
      </c>
      <c r="Z3161">
        <v>1</v>
      </c>
      <c r="AA3161" t="s">
        <v>2911</v>
      </c>
      <c r="AB3161">
        <v>1</v>
      </c>
      <c r="AC3161" t="s">
        <v>78</v>
      </c>
      <c r="AD3161">
        <v>0</v>
      </c>
      <c r="AE3161">
        <v>-1</v>
      </c>
      <c r="AF3161" t="s">
        <v>79</v>
      </c>
      <c r="AG3161" t="s">
        <v>6012</v>
      </c>
    </row>
    <row r="3162" spans="1:33" x14ac:dyDescent="0.35">
      <c r="A3162" s="18">
        <v>44206.722916666666</v>
      </c>
      <c r="B3162">
        <v>294320</v>
      </c>
      <c r="C3162" t="s">
        <v>6695</v>
      </c>
      <c r="D3162" t="s">
        <v>158</v>
      </c>
      <c r="E3162" s="19">
        <v>38978</v>
      </c>
      <c r="F3162" t="str">
        <f>"9780080480336"</f>
        <v>9780080480336</v>
      </c>
      <c r="G3162" t="str">
        <f>"9780750659246"</f>
        <v>9780750659246</v>
      </c>
      <c r="H3162" t="s">
        <v>1194</v>
      </c>
      <c r="I3162">
        <v>620.11222999999995</v>
      </c>
      <c r="J3162" t="s">
        <v>6696</v>
      </c>
      <c r="K3162" t="s">
        <v>73</v>
      </c>
      <c r="N3162" t="s">
        <v>74</v>
      </c>
      <c r="O3162" t="s">
        <v>75</v>
      </c>
      <c r="P3162" t="s">
        <v>74</v>
      </c>
      <c r="Q3162" t="s">
        <v>76</v>
      </c>
      <c r="R3162" t="s">
        <v>73</v>
      </c>
      <c r="S3162">
        <v>0</v>
      </c>
      <c r="W3162" s="20">
        <v>3.6574074074074074E-3</v>
      </c>
      <c r="X3162" t="s">
        <v>6697</v>
      </c>
      <c r="Y3162">
        <v>42</v>
      </c>
      <c r="Z3162">
        <v>0</v>
      </c>
      <c r="AA3162" t="s">
        <v>78</v>
      </c>
      <c r="AB3162">
        <v>0</v>
      </c>
      <c r="AC3162" t="s">
        <v>78</v>
      </c>
      <c r="AD3162">
        <v>0</v>
      </c>
      <c r="AE3162">
        <v>10186267</v>
      </c>
      <c r="AF3162" t="s">
        <v>79</v>
      </c>
      <c r="AG3162" t="s">
        <v>548</v>
      </c>
    </row>
    <row r="3163" spans="1:33" x14ac:dyDescent="0.35">
      <c r="A3163" s="18">
        <v>44205.804861111108</v>
      </c>
      <c r="B3163">
        <v>534858</v>
      </c>
      <c r="C3163" t="s">
        <v>3959</v>
      </c>
      <c r="D3163" t="s">
        <v>158</v>
      </c>
      <c r="E3163" s="19">
        <v>40144</v>
      </c>
      <c r="F3163" t="str">
        <f>"9780080931562"</f>
        <v>9780080931562</v>
      </c>
      <c r="G3163" t="str">
        <f>"9780444527851"</f>
        <v>9780444527851</v>
      </c>
      <c r="H3163" t="s">
        <v>159</v>
      </c>
      <c r="I3163">
        <v>665.53</v>
      </c>
      <c r="J3163" t="s">
        <v>3960</v>
      </c>
      <c r="K3163" t="s">
        <v>73</v>
      </c>
      <c r="N3163" t="s">
        <v>74</v>
      </c>
      <c r="O3163" t="s">
        <v>75</v>
      </c>
      <c r="P3163" t="s">
        <v>74</v>
      </c>
      <c r="Q3163" t="s">
        <v>76</v>
      </c>
      <c r="R3163" t="s">
        <v>73</v>
      </c>
      <c r="S3163">
        <v>0</v>
      </c>
      <c r="W3163" s="20">
        <v>1.0416666666666667E-3</v>
      </c>
      <c r="X3163" t="s">
        <v>6698</v>
      </c>
      <c r="Y3163">
        <v>6</v>
      </c>
      <c r="Z3163">
        <v>0</v>
      </c>
      <c r="AA3163" t="s">
        <v>78</v>
      </c>
      <c r="AB3163">
        <v>0</v>
      </c>
      <c r="AC3163" t="s">
        <v>78</v>
      </c>
      <c r="AD3163">
        <v>0</v>
      </c>
      <c r="AE3163">
        <v>10378873</v>
      </c>
      <c r="AF3163" t="s">
        <v>79</v>
      </c>
      <c r="AG3163" t="s">
        <v>6180</v>
      </c>
    </row>
    <row r="3164" spans="1:33" x14ac:dyDescent="0.35">
      <c r="A3164" s="18">
        <v>44205.445138888892</v>
      </c>
      <c r="B3164">
        <v>1446430</v>
      </c>
      <c r="C3164" t="s">
        <v>1649</v>
      </c>
      <c r="D3164" t="s">
        <v>127</v>
      </c>
      <c r="E3164" s="19">
        <v>40274</v>
      </c>
      <c r="F3164" t="str">
        <f>"9781439882573"</f>
        <v>9781439882573</v>
      </c>
      <c r="G3164" t="str">
        <f>"9781420085983"</f>
        <v>9781420085983</v>
      </c>
      <c r="H3164" t="s">
        <v>979</v>
      </c>
      <c r="I3164" t="s">
        <v>1650</v>
      </c>
      <c r="J3164" t="s">
        <v>1651</v>
      </c>
      <c r="K3164" t="s">
        <v>73</v>
      </c>
      <c r="N3164" t="s">
        <v>74</v>
      </c>
      <c r="O3164" t="s">
        <v>75</v>
      </c>
      <c r="P3164" t="s">
        <v>74</v>
      </c>
      <c r="Q3164" t="s">
        <v>76</v>
      </c>
      <c r="R3164" t="s">
        <v>73</v>
      </c>
      <c r="S3164">
        <v>0</v>
      </c>
      <c r="W3164" s="20">
        <v>1.7303240740740741E-2</v>
      </c>
      <c r="X3164" t="s">
        <v>6699</v>
      </c>
      <c r="Y3164">
        <v>23</v>
      </c>
      <c r="Z3164">
        <v>0</v>
      </c>
      <c r="AA3164" t="s">
        <v>78</v>
      </c>
      <c r="AB3164">
        <v>0</v>
      </c>
      <c r="AC3164" t="s">
        <v>78</v>
      </c>
      <c r="AD3164">
        <v>0</v>
      </c>
      <c r="AE3164">
        <v>11166018</v>
      </c>
      <c r="AF3164" t="s">
        <v>79</v>
      </c>
      <c r="AG3164" t="s">
        <v>6323</v>
      </c>
    </row>
    <row r="3165" spans="1:33" x14ac:dyDescent="0.35">
      <c r="A3165" s="18">
        <v>44204.781944444447</v>
      </c>
      <c r="B3165">
        <v>316852</v>
      </c>
      <c r="C3165" t="s">
        <v>6700</v>
      </c>
      <c r="D3165" t="s">
        <v>158</v>
      </c>
      <c r="E3165" s="19">
        <v>36698</v>
      </c>
      <c r="F3165" t="str">
        <f>"9780080511467"</f>
        <v>9780080511467</v>
      </c>
      <c r="G3165" t="str">
        <f>"9780750672191"</f>
        <v>9780750672191</v>
      </c>
      <c r="H3165" t="s">
        <v>6701</v>
      </c>
      <c r="I3165">
        <v>671.8</v>
      </c>
      <c r="J3165" t="s">
        <v>6702</v>
      </c>
      <c r="K3165" t="s">
        <v>85</v>
      </c>
      <c r="N3165" t="s">
        <v>86</v>
      </c>
      <c r="P3165" t="s">
        <v>87</v>
      </c>
      <c r="Q3165" t="s">
        <v>76</v>
      </c>
      <c r="R3165" t="s">
        <v>73</v>
      </c>
      <c r="S3165">
        <v>0</v>
      </c>
      <c r="W3165" s="20">
        <v>4.1666666666666669E-4</v>
      </c>
      <c r="X3165" t="s">
        <v>6703</v>
      </c>
      <c r="Y3165">
        <v>10</v>
      </c>
      <c r="Z3165">
        <v>0</v>
      </c>
      <c r="AA3165" t="s">
        <v>78</v>
      </c>
      <c r="AB3165">
        <v>0</v>
      </c>
      <c r="AC3165" t="s">
        <v>78</v>
      </c>
      <c r="AD3165">
        <v>0</v>
      </c>
      <c r="AE3165">
        <v>10245838</v>
      </c>
      <c r="AF3165" t="s">
        <v>79</v>
      </c>
      <c r="AG3165" t="s">
        <v>6012</v>
      </c>
    </row>
    <row r="3166" spans="1:33" x14ac:dyDescent="0.35">
      <c r="A3166" s="18">
        <v>44203.54583333333</v>
      </c>
      <c r="B3166">
        <v>583642</v>
      </c>
      <c r="C3166" t="s">
        <v>2337</v>
      </c>
      <c r="D3166" t="s">
        <v>205</v>
      </c>
      <c r="E3166" s="19">
        <v>40210</v>
      </c>
      <c r="F3166" t="str">
        <f>"9781596930902"</f>
        <v>9781596930902</v>
      </c>
      <c r="G3166" t="str">
        <f>"9781596930896"</f>
        <v>9781596930896</v>
      </c>
      <c r="H3166" t="s">
        <v>2338</v>
      </c>
      <c r="I3166">
        <v>621.38482999999997</v>
      </c>
      <c r="J3166" t="s">
        <v>2339</v>
      </c>
      <c r="K3166" t="s">
        <v>73</v>
      </c>
      <c r="N3166" t="s">
        <v>74</v>
      </c>
      <c r="O3166" t="s">
        <v>75</v>
      </c>
      <c r="P3166" t="s">
        <v>74</v>
      </c>
      <c r="Q3166" t="s">
        <v>76</v>
      </c>
      <c r="R3166" t="s">
        <v>73</v>
      </c>
      <c r="S3166">
        <v>0</v>
      </c>
      <c r="W3166" s="20">
        <v>1.7303240740740741E-2</v>
      </c>
      <c r="X3166" t="s">
        <v>6704</v>
      </c>
      <c r="Y3166">
        <v>9</v>
      </c>
      <c r="Z3166">
        <v>0</v>
      </c>
      <c r="AA3166" t="s">
        <v>78</v>
      </c>
      <c r="AB3166">
        <v>0</v>
      </c>
      <c r="AC3166" t="s">
        <v>78</v>
      </c>
      <c r="AD3166">
        <v>0</v>
      </c>
      <c r="AE3166">
        <v>10393271</v>
      </c>
      <c r="AF3166" t="s">
        <v>88</v>
      </c>
      <c r="AG3166" t="s">
        <v>6180</v>
      </c>
    </row>
    <row r="3167" spans="1:33" x14ac:dyDescent="0.35">
      <c r="A3167" s="18">
        <v>44203.104166666664</v>
      </c>
      <c r="B3167">
        <v>583642</v>
      </c>
      <c r="C3167" t="s">
        <v>2337</v>
      </c>
      <c r="D3167" t="s">
        <v>205</v>
      </c>
      <c r="E3167" s="19">
        <v>40210</v>
      </c>
      <c r="F3167" t="str">
        <f>"9781596930902"</f>
        <v>9781596930902</v>
      </c>
      <c r="G3167" t="str">
        <f>"9781596930896"</f>
        <v>9781596930896</v>
      </c>
      <c r="H3167" t="s">
        <v>2338</v>
      </c>
      <c r="I3167">
        <v>621.38482999999997</v>
      </c>
      <c r="J3167" t="s">
        <v>2339</v>
      </c>
      <c r="K3167" t="s">
        <v>73</v>
      </c>
      <c r="N3167" t="s">
        <v>74</v>
      </c>
      <c r="O3167" t="s">
        <v>75</v>
      </c>
      <c r="P3167" t="s">
        <v>74</v>
      </c>
      <c r="Q3167" t="s">
        <v>76</v>
      </c>
      <c r="R3167" t="s">
        <v>73</v>
      </c>
      <c r="S3167">
        <v>0</v>
      </c>
      <c r="W3167" s="20">
        <v>3.4722222222222222E-5</v>
      </c>
      <c r="X3167" t="s">
        <v>132</v>
      </c>
      <c r="Y3167">
        <v>1</v>
      </c>
      <c r="Z3167">
        <v>0</v>
      </c>
      <c r="AA3167" t="s">
        <v>78</v>
      </c>
      <c r="AB3167">
        <v>0</v>
      </c>
      <c r="AC3167" t="s">
        <v>78</v>
      </c>
      <c r="AD3167">
        <v>0</v>
      </c>
      <c r="AE3167">
        <v>10393271</v>
      </c>
      <c r="AF3167" t="s">
        <v>79</v>
      </c>
      <c r="AG3167" t="s">
        <v>6180</v>
      </c>
    </row>
    <row r="3168" spans="1:33" x14ac:dyDescent="0.35">
      <c r="A3168" s="18">
        <v>44202.98541666667</v>
      </c>
      <c r="B3168">
        <v>583642</v>
      </c>
      <c r="C3168" t="s">
        <v>2337</v>
      </c>
      <c r="D3168" t="s">
        <v>205</v>
      </c>
      <c r="E3168" s="19">
        <v>40210</v>
      </c>
      <c r="F3168" t="str">
        <f>"9781596930902"</f>
        <v>9781596930902</v>
      </c>
      <c r="G3168" t="str">
        <f>"9781596930896"</f>
        <v>9781596930896</v>
      </c>
      <c r="H3168" t="s">
        <v>2338</v>
      </c>
      <c r="I3168">
        <v>621.38482999999997</v>
      </c>
      <c r="J3168" t="s">
        <v>2339</v>
      </c>
      <c r="K3168" t="s">
        <v>73</v>
      </c>
      <c r="N3168" t="s">
        <v>74</v>
      </c>
      <c r="O3168" t="s">
        <v>75</v>
      </c>
      <c r="P3168" t="s">
        <v>74</v>
      </c>
      <c r="Q3168" t="s">
        <v>76</v>
      </c>
      <c r="R3168" t="s">
        <v>73</v>
      </c>
      <c r="S3168">
        <v>0</v>
      </c>
      <c r="W3168" s="20">
        <v>1.6168981481481482E-2</v>
      </c>
      <c r="X3168" t="s">
        <v>6705</v>
      </c>
      <c r="Y3168">
        <v>9</v>
      </c>
      <c r="Z3168">
        <v>0</v>
      </c>
      <c r="AA3168" t="s">
        <v>78</v>
      </c>
      <c r="AB3168">
        <v>0</v>
      </c>
      <c r="AC3168" t="s">
        <v>78</v>
      </c>
      <c r="AD3168">
        <v>0</v>
      </c>
      <c r="AE3168">
        <v>10393271</v>
      </c>
      <c r="AF3168" t="s">
        <v>88</v>
      </c>
      <c r="AG3168" t="s">
        <v>6180</v>
      </c>
    </row>
    <row r="3169" spans="1:33" x14ac:dyDescent="0.35">
      <c r="A3169" s="18">
        <v>44202.718055555553</v>
      </c>
      <c r="B3169">
        <v>3339142</v>
      </c>
      <c r="C3169" t="s">
        <v>1890</v>
      </c>
      <c r="D3169" t="s">
        <v>300</v>
      </c>
      <c r="E3169" s="19">
        <v>40025</v>
      </c>
      <c r="F3169" t="str">
        <f>"9780262270830"</f>
        <v>9780262270830</v>
      </c>
      <c r="G3169" t="str">
        <f>"9780262533058"</f>
        <v>9780262533058</v>
      </c>
      <c r="H3169" t="s">
        <v>110</v>
      </c>
      <c r="I3169">
        <v>5.0999999999999996</v>
      </c>
      <c r="J3169" t="s">
        <v>1891</v>
      </c>
      <c r="K3169" t="s">
        <v>73</v>
      </c>
      <c r="N3169" t="s">
        <v>74</v>
      </c>
      <c r="O3169" t="s">
        <v>75</v>
      </c>
      <c r="P3169" t="s">
        <v>74</v>
      </c>
      <c r="Q3169" t="s">
        <v>76</v>
      </c>
      <c r="R3169" t="s">
        <v>73</v>
      </c>
      <c r="S3169">
        <v>4</v>
      </c>
      <c r="W3169" s="20">
        <v>3.1134259259259257E-3</v>
      </c>
      <c r="X3169" t="s">
        <v>6706</v>
      </c>
      <c r="Y3169">
        <v>59</v>
      </c>
      <c r="Z3169">
        <v>0</v>
      </c>
      <c r="AA3169" t="s">
        <v>78</v>
      </c>
      <c r="AB3169">
        <v>0</v>
      </c>
      <c r="AC3169" t="s">
        <v>78</v>
      </c>
      <c r="AD3169">
        <v>0</v>
      </c>
      <c r="AE3169">
        <v>10397652</v>
      </c>
      <c r="AF3169" t="s">
        <v>88</v>
      </c>
      <c r="AG3169" t="s">
        <v>6180</v>
      </c>
    </row>
    <row r="3170" spans="1:33" x14ac:dyDescent="0.35">
      <c r="A3170" s="18">
        <v>44202.713888888888</v>
      </c>
      <c r="B3170">
        <v>3339142</v>
      </c>
      <c r="C3170" t="s">
        <v>1890</v>
      </c>
      <c r="D3170" t="s">
        <v>300</v>
      </c>
      <c r="E3170" s="19">
        <v>40025</v>
      </c>
      <c r="F3170" t="str">
        <f>"9780262270830"</f>
        <v>9780262270830</v>
      </c>
      <c r="G3170" t="str">
        <f>"9780262533058"</f>
        <v>9780262533058</v>
      </c>
      <c r="H3170" t="s">
        <v>110</v>
      </c>
      <c r="I3170">
        <v>5.0999999999999996</v>
      </c>
      <c r="J3170" t="s">
        <v>1891</v>
      </c>
      <c r="K3170" t="s">
        <v>73</v>
      </c>
      <c r="N3170" t="s">
        <v>74</v>
      </c>
      <c r="O3170" t="s">
        <v>75</v>
      </c>
      <c r="P3170" t="s">
        <v>74</v>
      </c>
      <c r="Q3170" t="s">
        <v>76</v>
      </c>
      <c r="R3170" t="s">
        <v>73</v>
      </c>
      <c r="S3170">
        <v>0</v>
      </c>
      <c r="W3170" s="20">
        <v>2.8819444444444444E-3</v>
      </c>
      <c r="X3170" t="s">
        <v>6707</v>
      </c>
      <c r="Y3170">
        <v>11</v>
      </c>
      <c r="Z3170">
        <v>0</v>
      </c>
      <c r="AA3170" t="s">
        <v>78</v>
      </c>
      <c r="AB3170">
        <v>0</v>
      </c>
      <c r="AC3170" t="s">
        <v>78</v>
      </c>
      <c r="AD3170">
        <v>0</v>
      </c>
      <c r="AE3170">
        <v>10397652</v>
      </c>
      <c r="AF3170" t="s">
        <v>88</v>
      </c>
      <c r="AG3170" t="s">
        <v>6180</v>
      </c>
    </row>
    <row r="3171" spans="1:33" x14ac:dyDescent="0.35">
      <c r="A3171" s="18">
        <v>44202.713194444441</v>
      </c>
      <c r="B3171">
        <v>1962193</v>
      </c>
      <c r="C3171" t="s">
        <v>4242</v>
      </c>
      <c r="D3171" t="s">
        <v>314</v>
      </c>
      <c r="E3171" s="19">
        <v>40355</v>
      </c>
      <c r="F3171" t="str">
        <f>"9780748638314"</f>
        <v>9780748638314</v>
      </c>
      <c r="G3171" t="str">
        <f>"9780748638307"</f>
        <v>9780748638307</v>
      </c>
      <c r="H3171" t="s">
        <v>528</v>
      </c>
      <c r="I3171">
        <v>194</v>
      </c>
      <c r="J3171" t="s">
        <v>4243</v>
      </c>
      <c r="K3171" t="s">
        <v>73</v>
      </c>
      <c r="N3171" t="s">
        <v>74</v>
      </c>
      <c r="O3171" t="s">
        <v>75</v>
      </c>
      <c r="P3171" t="s">
        <v>74</v>
      </c>
      <c r="Q3171" t="s">
        <v>76</v>
      </c>
      <c r="R3171" t="s">
        <v>73</v>
      </c>
      <c r="S3171">
        <v>1</v>
      </c>
      <c r="W3171" s="20">
        <v>0</v>
      </c>
      <c r="X3171" t="s">
        <v>78</v>
      </c>
      <c r="Y3171">
        <v>0</v>
      </c>
      <c r="Z3171">
        <v>0</v>
      </c>
      <c r="AA3171" t="s">
        <v>78</v>
      </c>
      <c r="AB3171">
        <v>0</v>
      </c>
      <c r="AC3171" t="s">
        <v>78</v>
      </c>
      <c r="AD3171">
        <v>0</v>
      </c>
      <c r="AE3171">
        <v>10404211</v>
      </c>
      <c r="AF3171" t="s">
        <v>88</v>
      </c>
      <c r="AG3171" t="s">
        <v>6180</v>
      </c>
    </row>
    <row r="3172" spans="1:33" x14ac:dyDescent="0.35">
      <c r="A3172" s="18">
        <v>44202.581944444442</v>
      </c>
      <c r="B3172">
        <v>338781</v>
      </c>
      <c r="C3172" t="s">
        <v>6708</v>
      </c>
      <c r="D3172" t="s">
        <v>205</v>
      </c>
      <c r="E3172" s="19">
        <v>39437</v>
      </c>
      <c r="F3172" t="str">
        <f>"9781596931312"</f>
        <v>9781596931312</v>
      </c>
      <c r="G3172" t="str">
        <f>"9781596931305"</f>
        <v>9781596931305</v>
      </c>
      <c r="H3172" t="s">
        <v>466</v>
      </c>
      <c r="I3172">
        <v>621.38400000000001</v>
      </c>
      <c r="J3172" t="s">
        <v>6709</v>
      </c>
      <c r="K3172" t="s">
        <v>73</v>
      </c>
      <c r="N3172" t="s">
        <v>74</v>
      </c>
      <c r="O3172" t="s">
        <v>75</v>
      </c>
      <c r="P3172" t="s">
        <v>74</v>
      </c>
      <c r="Q3172" t="s">
        <v>76</v>
      </c>
      <c r="R3172" t="s">
        <v>73</v>
      </c>
      <c r="S3172">
        <v>0</v>
      </c>
      <c r="W3172" s="20">
        <v>4.1435185185185186E-3</v>
      </c>
      <c r="X3172" t="s">
        <v>360</v>
      </c>
      <c r="Y3172">
        <v>2</v>
      </c>
      <c r="Z3172">
        <v>0</v>
      </c>
      <c r="AA3172" t="s">
        <v>78</v>
      </c>
      <c r="AB3172">
        <v>0</v>
      </c>
      <c r="AC3172" t="s">
        <v>78</v>
      </c>
      <c r="AD3172">
        <v>0</v>
      </c>
      <c r="AE3172">
        <v>10240790</v>
      </c>
      <c r="AF3172" t="s">
        <v>88</v>
      </c>
      <c r="AG3172" t="s">
        <v>6180</v>
      </c>
    </row>
    <row r="3173" spans="1:33" x14ac:dyDescent="0.35">
      <c r="A3173" s="18">
        <v>44202.570138888892</v>
      </c>
      <c r="B3173">
        <v>4895092</v>
      </c>
      <c r="C3173" t="s">
        <v>6710</v>
      </c>
      <c r="D3173" t="s">
        <v>3089</v>
      </c>
      <c r="E3173" s="19">
        <v>42824</v>
      </c>
      <c r="F3173" t="str">
        <f>"9781683920939"</f>
        <v>9781683920939</v>
      </c>
      <c r="G3173" t="str">
        <f>""</f>
        <v/>
      </c>
      <c r="H3173" t="s">
        <v>110</v>
      </c>
      <c r="I3173">
        <v>4.6782000000000004</v>
      </c>
      <c r="J3173" t="s">
        <v>6711</v>
      </c>
      <c r="K3173" t="s">
        <v>73</v>
      </c>
      <c r="N3173" t="s">
        <v>74</v>
      </c>
      <c r="O3173" t="s">
        <v>75</v>
      </c>
      <c r="P3173" t="s">
        <v>74</v>
      </c>
      <c r="Q3173" t="s">
        <v>76</v>
      </c>
      <c r="R3173" t="s">
        <v>73</v>
      </c>
      <c r="S3173">
        <v>0</v>
      </c>
      <c r="W3173" s="20">
        <v>2.7164351851851853E-2</v>
      </c>
      <c r="X3173" t="s">
        <v>6712</v>
      </c>
      <c r="Y3173">
        <v>6</v>
      </c>
      <c r="Z3173">
        <v>0</v>
      </c>
      <c r="AA3173" t="s">
        <v>78</v>
      </c>
      <c r="AB3173">
        <v>0</v>
      </c>
      <c r="AC3173" t="s">
        <v>78</v>
      </c>
      <c r="AD3173">
        <v>0</v>
      </c>
      <c r="AE3173">
        <v>11405524</v>
      </c>
      <c r="AF3173" t="s">
        <v>79</v>
      </c>
      <c r="AG3173" t="s">
        <v>6713</v>
      </c>
    </row>
    <row r="3174" spans="1:33" x14ac:dyDescent="0.35">
      <c r="A3174" s="18">
        <v>44202.567361111112</v>
      </c>
      <c r="B3174">
        <v>583642</v>
      </c>
      <c r="C3174" t="s">
        <v>2337</v>
      </c>
      <c r="D3174" t="s">
        <v>205</v>
      </c>
      <c r="E3174" s="19">
        <v>40210</v>
      </c>
      <c r="F3174" t="str">
        <f>"9781596930902"</f>
        <v>9781596930902</v>
      </c>
      <c r="G3174" t="str">
        <f>"9781596930896"</f>
        <v>9781596930896</v>
      </c>
      <c r="H3174" t="s">
        <v>2338</v>
      </c>
      <c r="I3174">
        <v>621.38482999999997</v>
      </c>
      <c r="J3174" t="s">
        <v>2339</v>
      </c>
      <c r="K3174" t="s">
        <v>73</v>
      </c>
      <c r="N3174" t="s">
        <v>74</v>
      </c>
      <c r="O3174" t="s">
        <v>75</v>
      </c>
      <c r="P3174" t="s">
        <v>74</v>
      </c>
      <c r="Q3174" t="s">
        <v>76</v>
      </c>
      <c r="R3174" t="s">
        <v>73</v>
      </c>
      <c r="S3174">
        <v>0</v>
      </c>
      <c r="W3174" s="20">
        <v>2.3738425925925923E-2</v>
      </c>
      <c r="X3174" t="s">
        <v>6714</v>
      </c>
      <c r="Y3174">
        <v>31</v>
      </c>
      <c r="Z3174">
        <v>0</v>
      </c>
      <c r="AA3174" t="s">
        <v>78</v>
      </c>
      <c r="AB3174">
        <v>0</v>
      </c>
      <c r="AC3174" t="s">
        <v>78</v>
      </c>
      <c r="AD3174">
        <v>0</v>
      </c>
      <c r="AE3174">
        <v>10393271</v>
      </c>
      <c r="AF3174" t="s">
        <v>88</v>
      </c>
      <c r="AG3174" t="s">
        <v>6180</v>
      </c>
    </row>
    <row r="3175" spans="1:33" x14ac:dyDescent="0.35">
      <c r="A3175" s="18">
        <v>44202.427777777775</v>
      </c>
      <c r="B3175">
        <v>1962193</v>
      </c>
      <c r="C3175" t="s">
        <v>4242</v>
      </c>
      <c r="D3175" t="s">
        <v>314</v>
      </c>
      <c r="E3175" s="19">
        <v>40355</v>
      </c>
      <c r="F3175" t="str">
        <f>"9780748638314"</f>
        <v>9780748638314</v>
      </c>
      <c r="G3175" t="str">
        <f>"9780748638307"</f>
        <v>9780748638307</v>
      </c>
      <c r="H3175" t="s">
        <v>528</v>
      </c>
      <c r="I3175">
        <v>194</v>
      </c>
      <c r="J3175" t="s">
        <v>4243</v>
      </c>
      <c r="K3175" t="s">
        <v>73</v>
      </c>
      <c r="N3175" t="s">
        <v>74</v>
      </c>
      <c r="O3175" t="s">
        <v>75</v>
      </c>
      <c r="P3175" t="s">
        <v>74</v>
      </c>
      <c r="Q3175" t="s">
        <v>76</v>
      </c>
      <c r="R3175" t="s">
        <v>73</v>
      </c>
      <c r="S3175">
        <v>1</v>
      </c>
      <c r="W3175" s="20">
        <v>0</v>
      </c>
      <c r="X3175" t="s">
        <v>78</v>
      </c>
      <c r="Y3175">
        <v>0</v>
      </c>
      <c r="Z3175">
        <v>0</v>
      </c>
      <c r="AA3175" t="s">
        <v>78</v>
      </c>
      <c r="AB3175">
        <v>0</v>
      </c>
      <c r="AC3175" t="s">
        <v>78</v>
      </c>
      <c r="AD3175">
        <v>0</v>
      </c>
      <c r="AE3175">
        <v>10404211</v>
      </c>
      <c r="AF3175" t="s">
        <v>88</v>
      </c>
      <c r="AG3175" t="s">
        <v>6552</v>
      </c>
    </row>
    <row r="3176" spans="1:33" x14ac:dyDescent="0.35">
      <c r="A3176" s="18">
        <v>44202.211111111108</v>
      </c>
      <c r="B3176">
        <v>1962193</v>
      </c>
      <c r="C3176" t="s">
        <v>4242</v>
      </c>
      <c r="D3176" t="s">
        <v>314</v>
      </c>
      <c r="E3176" s="19">
        <v>40355</v>
      </c>
      <c r="F3176" t="str">
        <f>"9780748638314"</f>
        <v>9780748638314</v>
      </c>
      <c r="G3176" t="str">
        <f>"9780748638307"</f>
        <v>9780748638307</v>
      </c>
      <c r="H3176" t="s">
        <v>528</v>
      </c>
      <c r="I3176">
        <v>194</v>
      </c>
      <c r="J3176" t="s">
        <v>4243</v>
      </c>
      <c r="K3176" t="s">
        <v>73</v>
      </c>
      <c r="N3176" t="s">
        <v>74</v>
      </c>
      <c r="O3176" t="s">
        <v>75</v>
      </c>
      <c r="P3176" t="s">
        <v>74</v>
      </c>
      <c r="Q3176" t="s">
        <v>76</v>
      </c>
      <c r="R3176" t="s">
        <v>73</v>
      </c>
      <c r="S3176">
        <v>0</v>
      </c>
      <c r="W3176" s="20">
        <v>5.800925925925926E-2</v>
      </c>
      <c r="X3176" t="s">
        <v>6715</v>
      </c>
      <c r="Y3176">
        <v>47</v>
      </c>
      <c r="Z3176">
        <v>0</v>
      </c>
      <c r="AA3176" t="s">
        <v>78</v>
      </c>
      <c r="AB3176">
        <v>0</v>
      </c>
      <c r="AC3176" t="s">
        <v>78</v>
      </c>
      <c r="AD3176">
        <v>0</v>
      </c>
      <c r="AE3176">
        <v>10404211</v>
      </c>
      <c r="AF3176" t="s">
        <v>79</v>
      </c>
      <c r="AG3176" t="s">
        <v>6552</v>
      </c>
    </row>
    <row r="3177" spans="1:33" x14ac:dyDescent="0.35">
      <c r="A3177" s="18">
        <v>44202.061805555553</v>
      </c>
      <c r="B3177">
        <v>583642</v>
      </c>
      <c r="C3177" t="s">
        <v>2337</v>
      </c>
      <c r="D3177" t="s">
        <v>205</v>
      </c>
      <c r="E3177" s="19">
        <v>40210</v>
      </c>
      <c r="F3177" t="str">
        <f>"9781596930902"</f>
        <v>9781596930902</v>
      </c>
      <c r="G3177" t="str">
        <f>"9781596930896"</f>
        <v>9781596930896</v>
      </c>
      <c r="H3177" t="s">
        <v>2338</v>
      </c>
      <c r="I3177">
        <v>621.38482999999997</v>
      </c>
      <c r="J3177" t="s">
        <v>2339</v>
      </c>
      <c r="K3177" t="s">
        <v>73</v>
      </c>
      <c r="N3177" t="s">
        <v>74</v>
      </c>
      <c r="O3177" t="s">
        <v>75</v>
      </c>
      <c r="P3177" t="s">
        <v>74</v>
      </c>
      <c r="Q3177" t="s">
        <v>76</v>
      </c>
      <c r="R3177" t="s">
        <v>73</v>
      </c>
      <c r="S3177">
        <v>0</v>
      </c>
      <c r="W3177" s="20">
        <v>3.4722222222222222E-5</v>
      </c>
      <c r="X3177" t="s">
        <v>132</v>
      </c>
      <c r="Y3177">
        <v>1</v>
      </c>
      <c r="Z3177">
        <v>0</v>
      </c>
      <c r="AA3177" t="s">
        <v>78</v>
      </c>
      <c r="AB3177">
        <v>0</v>
      </c>
      <c r="AC3177" t="s">
        <v>78</v>
      </c>
      <c r="AD3177">
        <v>0</v>
      </c>
      <c r="AE3177">
        <v>10393271</v>
      </c>
      <c r="AF3177" t="s">
        <v>79</v>
      </c>
      <c r="AG3177" t="s">
        <v>6180</v>
      </c>
    </row>
    <row r="3178" spans="1:33" x14ac:dyDescent="0.35">
      <c r="A3178" s="18">
        <v>44201.899305555555</v>
      </c>
      <c r="B3178">
        <v>583642</v>
      </c>
      <c r="C3178" t="s">
        <v>2337</v>
      </c>
      <c r="D3178" t="s">
        <v>205</v>
      </c>
      <c r="E3178" s="19">
        <v>40210</v>
      </c>
      <c r="F3178" t="str">
        <f>"9781596930902"</f>
        <v>9781596930902</v>
      </c>
      <c r="G3178" t="str">
        <f>"9781596930896"</f>
        <v>9781596930896</v>
      </c>
      <c r="H3178" t="s">
        <v>2338</v>
      </c>
      <c r="I3178">
        <v>621.38482999999997</v>
      </c>
      <c r="J3178" t="s">
        <v>2339</v>
      </c>
      <c r="K3178" t="s">
        <v>73</v>
      </c>
      <c r="N3178" t="s">
        <v>74</v>
      </c>
      <c r="O3178" t="s">
        <v>75</v>
      </c>
      <c r="P3178" t="s">
        <v>74</v>
      </c>
      <c r="Q3178" t="s">
        <v>76</v>
      </c>
      <c r="R3178" t="s">
        <v>73</v>
      </c>
      <c r="S3178">
        <v>0</v>
      </c>
      <c r="W3178" s="20">
        <v>3.3564814814814812E-4</v>
      </c>
      <c r="X3178" t="s">
        <v>1235</v>
      </c>
      <c r="Y3178">
        <v>4</v>
      </c>
      <c r="Z3178">
        <v>0</v>
      </c>
      <c r="AA3178" t="s">
        <v>78</v>
      </c>
      <c r="AB3178">
        <v>0</v>
      </c>
      <c r="AC3178" t="s">
        <v>1214</v>
      </c>
      <c r="AD3178">
        <v>1</v>
      </c>
      <c r="AE3178">
        <v>10393271</v>
      </c>
      <c r="AF3178" t="s">
        <v>88</v>
      </c>
      <c r="AG3178" t="s">
        <v>6180</v>
      </c>
    </row>
    <row r="3179" spans="1:33" x14ac:dyDescent="0.35">
      <c r="A3179" s="18">
        <v>44201.631249999999</v>
      </c>
      <c r="B3179">
        <v>1080378</v>
      </c>
      <c r="C3179" t="s">
        <v>6716</v>
      </c>
      <c r="D3179" t="s">
        <v>1240</v>
      </c>
      <c r="E3179" s="19">
        <v>41242</v>
      </c>
      <c r="F3179" t="str">
        <f>"9781441191540"</f>
        <v>9781441191540</v>
      </c>
      <c r="G3179" t="str">
        <f>"9781441147158"</f>
        <v>9781441147158</v>
      </c>
      <c r="H3179" t="s">
        <v>528</v>
      </c>
      <c r="I3179">
        <v>194</v>
      </c>
      <c r="J3179" t="s">
        <v>6717</v>
      </c>
      <c r="K3179" t="s">
        <v>73</v>
      </c>
      <c r="N3179" t="s">
        <v>74</v>
      </c>
      <c r="O3179" t="s">
        <v>75</v>
      </c>
      <c r="P3179" t="s">
        <v>74</v>
      </c>
      <c r="Q3179" t="s">
        <v>76</v>
      </c>
      <c r="R3179" t="s">
        <v>73</v>
      </c>
      <c r="S3179">
        <v>0</v>
      </c>
      <c r="W3179" s="20">
        <v>5.3067129629629638E-2</v>
      </c>
      <c r="X3179" t="s">
        <v>6718</v>
      </c>
      <c r="Y3179">
        <v>48</v>
      </c>
      <c r="Z3179">
        <v>0</v>
      </c>
      <c r="AA3179" t="s">
        <v>78</v>
      </c>
      <c r="AB3179">
        <v>0</v>
      </c>
      <c r="AC3179" t="s">
        <v>78</v>
      </c>
      <c r="AD3179">
        <v>0</v>
      </c>
      <c r="AE3179">
        <v>10632605</v>
      </c>
      <c r="AF3179" t="s">
        <v>79</v>
      </c>
      <c r="AG3179" t="s">
        <v>6180</v>
      </c>
    </row>
    <row r="3180" spans="1:33" x14ac:dyDescent="0.35">
      <c r="A3180" s="18">
        <v>44201.620138888888</v>
      </c>
      <c r="B3180">
        <v>1633238</v>
      </c>
      <c r="C3180" t="s">
        <v>6719</v>
      </c>
      <c r="D3180" t="s">
        <v>127</v>
      </c>
      <c r="E3180" s="19">
        <v>39379</v>
      </c>
      <c r="F3180" t="str">
        <f>"9781420011920"</f>
        <v>9781420011920</v>
      </c>
      <c r="G3180" t="str">
        <f>"9780750308243"</f>
        <v>9780750308243</v>
      </c>
      <c r="H3180" t="s">
        <v>868</v>
      </c>
      <c r="I3180">
        <v>612.01448000000005</v>
      </c>
      <c r="J3180" t="s">
        <v>6720</v>
      </c>
      <c r="K3180" t="s">
        <v>85</v>
      </c>
      <c r="N3180" t="s">
        <v>86</v>
      </c>
      <c r="P3180" t="s">
        <v>87</v>
      </c>
      <c r="Q3180" t="s">
        <v>76</v>
      </c>
      <c r="R3180" t="s">
        <v>73</v>
      </c>
      <c r="S3180">
        <v>0</v>
      </c>
      <c r="W3180" s="20">
        <v>3.7037037037037035E-4</v>
      </c>
      <c r="X3180" t="s">
        <v>6721</v>
      </c>
      <c r="Y3180">
        <v>9</v>
      </c>
      <c r="Z3180">
        <v>0</v>
      </c>
      <c r="AA3180" t="s">
        <v>78</v>
      </c>
      <c r="AB3180">
        <v>0</v>
      </c>
      <c r="AC3180" t="s">
        <v>78</v>
      </c>
      <c r="AD3180">
        <v>0</v>
      </c>
      <c r="AE3180">
        <v>11167310</v>
      </c>
      <c r="AF3180" t="s">
        <v>79</v>
      </c>
      <c r="AG3180" t="s">
        <v>6722</v>
      </c>
    </row>
    <row r="3181" spans="1:33" x14ac:dyDescent="0.35">
      <c r="A3181" s="18">
        <v>44201.553472222222</v>
      </c>
      <c r="B3181">
        <v>2031899</v>
      </c>
      <c r="C3181" t="s">
        <v>6723</v>
      </c>
      <c r="D3181" t="s">
        <v>2287</v>
      </c>
      <c r="E3181" s="19">
        <v>40905</v>
      </c>
      <c r="F3181" t="str">
        <f>"9781469821559"</f>
        <v>9781469821559</v>
      </c>
      <c r="G3181" t="str">
        <f>"9780781780575"</f>
        <v>9780781780575</v>
      </c>
      <c r="H3181" t="s">
        <v>222</v>
      </c>
      <c r="I3181" t="s">
        <v>1828</v>
      </c>
      <c r="J3181" t="s">
        <v>6724</v>
      </c>
      <c r="K3181" t="s">
        <v>73</v>
      </c>
      <c r="N3181" t="s">
        <v>74</v>
      </c>
      <c r="O3181" t="s">
        <v>75</v>
      </c>
      <c r="P3181" t="s">
        <v>74</v>
      </c>
      <c r="Q3181" t="s">
        <v>76</v>
      </c>
      <c r="R3181" t="s">
        <v>73</v>
      </c>
      <c r="S3181">
        <v>0</v>
      </c>
      <c r="W3181" s="20">
        <v>1.3888888888888889E-4</v>
      </c>
      <c r="X3181" t="s">
        <v>4630</v>
      </c>
      <c r="Y3181">
        <v>3</v>
      </c>
      <c r="Z3181">
        <v>0</v>
      </c>
      <c r="AA3181" t="s">
        <v>78</v>
      </c>
      <c r="AB3181">
        <v>0</v>
      </c>
      <c r="AC3181" t="s">
        <v>78</v>
      </c>
      <c r="AD3181">
        <v>0</v>
      </c>
      <c r="AE3181">
        <v>10824303</v>
      </c>
      <c r="AF3181" t="s">
        <v>79</v>
      </c>
      <c r="AG3181" t="s">
        <v>6180</v>
      </c>
    </row>
    <row r="3182" spans="1:33" x14ac:dyDescent="0.35">
      <c r="A3182" s="18">
        <v>44201.552777777775</v>
      </c>
      <c r="B3182">
        <v>5495893</v>
      </c>
      <c r="C3182" t="s">
        <v>6725</v>
      </c>
      <c r="D3182" t="s">
        <v>127</v>
      </c>
      <c r="E3182" s="19">
        <v>43332</v>
      </c>
      <c r="F3182" t="str">
        <f>"9780429955402"</f>
        <v>9780429955402</v>
      </c>
      <c r="G3182" t="str">
        <f>"9781444179637"</f>
        <v>9781444179637</v>
      </c>
      <c r="H3182" t="s">
        <v>222</v>
      </c>
      <c r="I3182">
        <v>615.84199999999998</v>
      </c>
      <c r="J3182" t="s">
        <v>6726</v>
      </c>
      <c r="K3182" t="s">
        <v>85</v>
      </c>
      <c r="N3182" t="s">
        <v>86</v>
      </c>
      <c r="P3182" t="s">
        <v>297</v>
      </c>
      <c r="Q3182" t="s">
        <v>76</v>
      </c>
      <c r="R3182" t="s">
        <v>73</v>
      </c>
      <c r="S3182">
        <v>0</v>
      </c>
      <c r="W3182" s="20">
        <v>1.273148148148148E-4</v>
      </c>
      <c r="X3182" t="s">
        <v>249</v>
      </c>
      <c r="Y3182">
        <v>2</v>
      </c>
      <c r="Z3182">
        <v>0</v>
      </c>
      <c r="AA3182" t="s">
        <v>78</v>
      </c>
      <c r="AB3182">
        <v>0</v>
      </c>
      <c r="AC3182" t="s">
        <v>78</v>
      </c>
      <c r="AD3182">
        <v>0</v>
      </c>
      <c r="AE3182">
        <v>-1</v>
      </c>
      <c r="AF3182" t="s">
        <v>79</v>
      </c>
      <c r="AG3182" t="s">
        <v>6180</v>
      </c>
    </row>
    <row r="3183" spans="1:33" x14ac:dyDescent="0.35">
      <c r="A3183" s="18">
        <v>44201.488194444442</v>
      </c>
      <c r="B3183">
        <v>1480657</v>
      </c>
      <c r="C3183" t="s">
        <v>6727</v>
      </c>
      <c r="D3183" t="s">
        <v>1311</v>
      </c>
      <c r="E3183" s="19">
        <v>40519</v>
      </c>
      <c r="F3183" t="str">
        <f>"9781439894651"</f>
        <v>9781439894651</v>
      </c>
      <c r="G3183" t="str">
        <f>"9781420091854"</f>
        <v>9781420091854</v>
      </c>
      <c r="H3183" t="s">
        <v>3320</v>
      </c>
      <c r="I3183" t="s">
        <v>6728</v>
      </c>
      <c r="J3183" t="s">
        <v>6729</v>
      </c>
      <c r="K3183" t="s">
        <v>73</v>
      </c>
      <c r="N3183" t="s">
        <v>74</v>
      </c>
      <c r="O3183" t="s">
        <v>75</v>
      </c>
      <c r="P3183" t="s">
        <v>74</v>
      </c>
      <c r="Q3183" t="s">
        <v>76</v>
      </c>
      <c r="R3183" t="s">
        <v>73</v>
      </c>
      <c r="S3183">
        <v>0</v>
      </c>
      <c r="W3183" s="20">
        <v>9.3749999999999997E-3</v>
      </c>
      <c r="X3183" t="s">
        <v>6730</v>
      </c>
      <c r="Y3183">
        <v>44</v>
      </c>
      <c r="Z3183">
        <v>0</v>
      </c>
      <c r="AA3183" t="s">
        <v>78</v>
      </c>
      <c r="AB3183">
        <v>0</v>
      </c>
      <c r="AC3183" t="s">
        <v>78</v>
      </c>
      <c r="AD3183">
        <v>0</v>
      </c>
      <c r="AE3183">
        <v>11166523</v>
      </c>
      <c r="AF3183" t="s">
        <v>79</v>
      </c>
      <c r="AG3183" t="s">
        <v>6180</v>
      </c>
    </row>
    <row r="3184" spans="1:33" x14ac:dyDescent="0.35">
      <c r="A3184" s="18">
        <v>44201.452777777777</v>
      </c>
      <c r="B3184">
        <v>1480657</v>
      </c>
      <c r="C3184" t="s">
        <v>6727</v>
      </c>
      <c r="D3184" t="s">
        <v>1311</v>
      </c>
      <c r="E3184" s="19">
        <v>40519</v>
      </c>
      <c r="F3184" t="str">
        <f>"9781439894651"</f>
        <v>9781439894651</v>
      </c>
      <c r="G3184" t="str">
        <f>"9781420091854"</f>
        <v>9781420091854</v>
      </c>
      <c r="H3184" t="s">
        <v>3320</v>
      </c>
      <c r="I3184" t="s">
        <v>6728</v>
      </c>
      <c r="J3184" t="s">
        <v>6729</v>
      </c>
      <c r="K3184" t="s">
        <v>73</v>
      </c>
      <c r="N3184" t="s">
        <v>74</v>
      </c>
      <c r="O3184" t="s">
        <v>75</v>
      </c>
      <c r="P3184" t="s">
        <v>74</v>
      </c>
      <c r="Q3184" t="s">
        <v>76</v>
      </c>
      <c r="R3184" t="s">
        <v>73</v>
      </c>
      <c r="S3184">
        <v>0</v>
      </c>
      <c r="W3184" s="20">
        <v>9.2824074074074076E-3</v>
      </c>
      <c r="X3184" t="s">
        <v>6731</v>
      </c>
      <c r="Y3184">
        <v>10</v>
      </c>
      <c r="Z3184">
        <v>0</v>
      </c>
      <c r="AA3184" t="s">
        <v>78</v>
      </c>
      <c r="AB3184">
        <v>0</v>
      </c>
      <c r="AC3184" t="s">
        <v>78</v>
      </c>
      <c r="AD3184">
        <v>0</v>
      </c>
      <c r="AE3184">
        <v>11166523</v>
      </c>
      <c r="AF3184" t="s">
        <v>79</v>
      </c>
      <c r="AG3184" t="s">
        <v>6180</v>
      </c>
    </row>
    <row r="3185" spans="1:33" x14ac:dyDescent="0.35">
      <c r="A3185" s="18">
        <v>44201.086111111108</v>
      </c>
      <c r="B3185">
        <v>5353867</v>
      </c>
      <c r="C3185" t="s">
        <v>4884</v>
      </c>
      <c r="D3185" t="s">
        <v>2275</v>
      </c>
      <c r="E3185" s="19">
        <v>36770</v>
      </c>
      <c r="F3185" t="str">
        <f>"9781470446055"</f>
        <v>9781470446055</v>
      </c>
      <c r="G3185" t="str">
        <f>"9780821805312"</f>
        <v>9780821805312</v>
      </c>
      <c r="H3185" t="s">
        <v>115</v>
      </c>
      <c r="I3185">
        <v>519.5</v>
      </c>
      <c r="J3185" t="s">
        <v>4885</v>
      </c>
      <c r="K3185" t="s">
        <v>85</v>
      </c>
      <c r="N3185" t="s">
        <v>86</v>
      </c>
      <c r="P3185" t="s">
        <v>87</v>
      </c>
      <c r="Q3185" t="s">
        <v>76</v>
      </c>
      <c r="R3185" t="s">
        <v>73</v>
      </c>
      <c r="S3185">
        <v>0</v>
      </c>
      <c r="W3185" s="20">
        <v>5.7870370370370366E-5</v>
      </c>
      <c r="X3185" t="s">
        <v>4986</v>
      </c>
      <c r="Y3185">
        <v>1</v>
      </c>
      <c r="Z3185">
        <v>0</v>
      </c>
      <c r="AA3185" t="s">
        <v>78</v>
      </c>
      <c r="AB3185">
        <v>0</v>
      </c>
      <c r="AC3185" t="s">
        <v>78</v>
      </c>
      <c r="AD3185">
        <v>0</v>
      </c>
      <c r="AE3185">
        <v>11548022</v>
      </c>
      <c r="AF3185" t="s">
        <v>79</v>
      </c>
      <c r="AG3185" t="s">
        <v>6732</v>
      </c>
    </row>
    <row r="3186" spans="1:33" x14ac:dyDescent="0.35">
      <c r="A3186" s="18">
        <v>44201.073611111111</v>
      </c>
      <c r="B3186">
        <v>1152685</v>
      </c>
      <c r="C3186" t="s">
        <v>6733</v>
      </c>
      <c r="D3186" t="s">
        <v>70</v>
      </c>
      <c r="E3186" s="19">
        <v>41386</v>
      </c>
      <c r="F3186" t="str">
        <f>"9781118502327"</f>
        <v>9781118502327</v>
      </c>
      <c r="G3186" t="str">
        <f>"9780470751848"</f>
        <v>9780470751848</v>
      </c>
      <c r="H3186" t="s">
        <v>71</v>
      </c>
      <c r="I3186">
        <v>621.38410999999996</v>
      </c>
      <c r="J3186" t="s">
        <v>6734</v>
      </c>
      <c r="K3186" t="s">
        <v>73</v>
      </c>
      <c r="N3186" t="s">
        <v>74</v>
      </c>
      <c r="O3186" t="s">
        <v>75</v>
      </c>
      <c r="P3186" t="s">
        <v>74</v>
      </c>
      <c r="Q3186" t="s">
        <v>76</v>
      </c>
      <c r="R3186" t="s">
        <v>73</v>
      </c>
      <c r="S3186">
        <v>0</v>
      </c>
      <c r="W3186" s="20">
        <v>2.1516203703703704E-2</v>
      </c>
      <c r="X3186" t="s">
        <v>6735</v>
      </c>
      <c r="Y3186">
        <v>66</v>
      </c>
      <c r="Z3186">
        <v>0</v>
      </c>
      <c r="AA3186" t="s">
        <v>78</v>
      </c>
      <c r="AB3186">
        <v>0</v>
      </c>
      <c r="AC3186" t="s">
        <v>78</v>
      </c>
      <c r="AD3186">
        <v>0</v>
      </c>
      <c r="AE3186">
        <v>10674811</v>
      </c>
      <c r="AF3186" t="s">
        <v>88</v>
      </c>
      <c r="AG3186" t="s">
        <v>6180</v>
      </c>
    </row>
    <row r="3187" spans="1:33" x14ac:dyDescent="0.35">
      <c r="A3187" s="18">
        <v>44201.032638888886</v>
      </c>
      <c r="B3187">
        <v>4205879</v>
      </c>
      <c r="C3187" t="s">
        <v>6736</v>
      </c>
      <c r="D3187" t="s">
        <v>70</v>
      </c>
      <c r="E3187" s="19">
        <v>42401</v>
      </c>
      <c r="F3187" t="str">
        <f>"9781119178989"</f>
        <v>9781119178989</v>
      </c>
      <c r="G3187" t="str">
        <f>"9781118642061"</f>
        <v>9781118642061</v>
      </c>
      <c r="H3187" t="s">
        <v>466</v>
      </c>
      <c r="I3187" t="s">
        <v>6737</v>
      </c>
      <c r="J3187" t="s">
        <v>6738</v>
      </c>
      <c r="K3187" t="s">
        <v>73</v>
      </c>
      <c r="N3187" t="s">
        <v>74</v>
      </c>
      <c r="O3187" t="s">
        <v>75</v>
      </c>
      <c r="P3187" t="s">
        <v>74</v>
      </c>
      <c r="Q3187" t="s">
        <v>76</v>
      </c>
      <c r="R3187" t="s">
        <v>73</v>
      </c>
      <c r="S3187">
        <v>0</v>
      </c>
      <c r="W3187" s="20">
        <v>3.0092592592592595E-4</v>
      </c>
      <c r="X3187" t="s">
        <v>6739</v>
      </c>
      <c r="Y3187">
        <v>6</v>
      </c>
      <c r="Z3187">
        <v>0</v>
      </c>
      <c r="AA3187" t="s">
        <v>78</v>
      </c>
      <c r="AB3187">
        <v>0</v>
      </c>
      <c r="AC3187" t="s">
        <v>78</v>
      </c>
      <c r="AD3187">
        <v>0</v>
      </c>
      <c r="AE3187">
        <v>11152497</v>
      </c>
      <c r="AF3187" t="s">
        <v>88</v>
      </c>
      <c r="AG3187" t="s">
        <v>6180</v>
      </c>
    </row>
    <row r="3188" spans="1:33" x14ac:dyDescent="0.35">
      <c r="A3188" s="18">
        <v>44200.984722222223</v>
      </c>
      <c r="B3188">
        <v>583642</v>
      </c>
      <c r="C3188" t="s">
        <v>2337</v>
      </c>
      <c r="D3188" t="s">
        <v>205</v>
      </c>
      <c r="E3188" s="19">
        <v>40210</v>
      </c>
      <c r="F3188" t="str">
        <f>"9781596930902"</f>
        <v>9781596930902</v>
      </c>
      <c r="G3188" t="str">
        <f>"9781596930896"</f>
        <v>9781596930896</v>
      </c>
      <c r="H3188" t="s">
        <v>2338</v>
      </c>
      <c r="I3188">
        <v>621.38482999999997</v>
      </c>
      <c r="J3188" t="s">
        <v>2339</v>
      </c>
      <c r="K3188" t="s">
        <v>73</v>
      </c>
      <c r="N3188" t="s">
        <v>74</v>
      </c>
      <c r="O3188" t="s">
        <v>75</v>
      </c>
      <c r="P3188" t="s">
        <v>74</v>
      </c>
      <c r="Q3188" t="s">
        <v>76</v>
      </c>
      <c r="R3188" t="s">
        <v>73</v>
      </c>
      <c r="S3188">
        <v>0</v>
      </c>
      <c r="W3188" s="20">
        <v>8.8414351851851855E-2</v>
      </c>
      <c r="X3188" t="s">
        <v>6740</v>
      </c>
      <c r="Y3188">
        <v>118</v>
      </c>
      <c r="Z3188">
        <v>0</v>
      </c>
      <c r="AA3188" t="s">
        <v>78</v>
      </c>
      <c r="AB3188">
        <v>0</v>
      </c>
      <c r="AC3188" t="s">
        <v>78</v>
      </c>
      <c r="AD3188">
        <v>0</v>
      </c>
      <c r="AE3188">
        <v>10393271</v>
      </c>
      <c r="AF3188" t="s">
        <v>88</v>
      </c>
      <c r="AG3188" t="s">
        <v>6180</v>
      </c>
    </row>
    <row r="3189" spans="1:33" x14ac:dyDescent="0.35">
      <c r="A3189" s="18">
        <v>44200.907638888886</v>
      </c>
      <c r="B3189">
        <v>3405014</v>
      </c>
      <c r="C3189" t="s">
        <v>2863</v>
      </c>
      <c r="D3189" t="s">
        <v>1332</v>
      </c>
      <c r="E3189" s="19">
        <v>31382</v>
      </c>
      <c r="F3189" t="str">
        <f>"9781613991596"</f>
        <v>9781613991596</v>
      </c>
      <c r="G3189" t="str">
        <f>"9781555630010"</f>
        <v>9781555630010</v>
      </c>
      <c r="H3189" t="s">
        <v>179</v>
      </c>
      <c r="I3189">
        <v>622.18280000000004</v>
      </c>
      <c r="J3189" t="s">
        <v>2864</v>
      </c>
      <c r="K3189" t="s">
        <v>73</v>
      </c>
      <c r="N3189" t="s">
        <v>74</v>
      </c>
      <c r="O3189" t="s">
        <v>75</v>
      </c>
      <c r="P3189" t="s">
        <v>74</v>
      </c>
      <c r="Q3189" t="s">
        <v>76</v>
      </c>
      <c r="R3189" t="s">
        <v>73</v>
      </c>
      <c r="S3189">
        <v>0</v>
      </c>
      <c r="W3189" s="20">
        <v>0</v>
      </c>
      <c r="X3189" t="s">
        <v>78</v>
      </c>
      <c r="Y3189">
        <v>0</v>
      </c>
      <c r="Z3189">
        <v>1</v>
      </c>
      <c r="AA3189" t="s">
        <v>6741</v>
      </c>
      <c r="AB3189">
        <v>123</v>
      </c>
      <c r="AC3189" t="s">
        <v>78</v>
      </c>
      <c r="AD3189">
        <v>0</v>
      </c>
      <c r="AE3189">
        <v>10619585</v>
      </c>
      <c r="AF3189" t="s">
        <v>79</v>
      </c>
      <c r="AG3189" t="s">
        <v>6180</v>
      </c>
    </row>
    <row r="3190" spans="1:33" x14ac:dyDescent="0.35">
      <c r="A3190" s="18">
        <v>44200.781944444447</v>
      </c>
      <c r="B3190">
        <v>583642</v>
      </c>
      <c r="C3190" t="s">
        <v>2337</v>
      </c>
      <c r="D3190" t="s">
        <v>205</v>
      </c>
      <c r="E3190" s="19">
        <v>40210</v>
      </c>
      <c r="F3190" t="str">
        <f>"9781596930902"</f>
        <v>9781596930902</v>
      </c>
      <c r="G3190" t="str">
        <f>"9781596930896"</f>
        <v>9781596930896</v>
      </c>
      <c r="H3190" t="s">
        <v>2338</v>
      </c>
      <c r="I3190">
        <v>621.38482999999997</v>
      </c>
      <c r="J3190" t="s">
        <v>2339</v>
      </c>
      <c r="K3190" t="s">
        <v>73</v>
      </c>
      <c r="N3190" t="s">
        <v>74</v>
      </c>
      <c r="O3190" t="s">
        <v>75</v>
      </c>
      <c r="P3190" t="s">
        <v>74</v>
      </c>
      <c r="Q3190" t="s">
        <v>76</v>
      </c>
      <c r="R3190" t="s">
        <v>73</v>
      </c>
      <c r="S3190">
        <v>0</v>
      </c>
      <c r="W3190" s="20">
        <v>5.5949074074074075E-2</v>
      </c>
      <c r="X3190" t="s">
        <v>6742</v>
      </c>
      <c r="Y3190">
        <v>53</v>
      </c>
      <c r="Z3190">
        <v>0</v>
      </c>
      <c r="AA3190" t="s">
        <v>78</v>
      </c>
      <c r="AB3190">
        <v>0</v>
      </c>
      <c r="AC3190" t="s">
        <v>536</v>
      </c>
      <c r="AD3190">
        <v>1</v>
      </c>
      <c r="AE3190">
        <v>10393271</v>
      </c>
      <c r="AF3190" t="s">
        <v>88</v>
      </c>
      <c r="AG3190" t="s">
        <v>6180</v>
      </c>
    </row>
    <row r="3191" spans="1:33" x14ac:dyDescent="0.35">
      <c r="A3191" s="18">
        <v>44200.479166666664</v>
      </c>
      <c r="B3191">
        <v>5606186</v>
      </c>
      <c r="C3191" t="s">
        <v>6743</v>
      </c>
      <c r="D3191" t="s">
        <v>338</v>
      </c>
      <c r="E3191" s="19">
        <v>43433</v>
      </c>
      <c r="F3191" t="str">
        <f>"9780444641137"</f>
        <v>9780444641137</v>
      </c>
      <c r="G3191" t="str">
        <f>"9780444641120"</f>
        <v>9780444641120</v>
      </c>
      <c r="H3191" t="s">
        <v>3320</v>
      </c>
      <c r="I3191">
        <v>536.70000000000005</v>
      </c>
      <c r="J3191" t="s">
        <v>6744</v>
      </c>
      <c r="K3191" t="s">
        <v>73</v>
      </c>
      <c r="N3191" t="s">
        <v>74</v>
      </c>
      <c r="O3191" t="s">
        <v>75</v>
      </c>
      <c r="P3191" t="s">
        <v>74</v>
      </c>
      <c r="Q3191" t="s">
        <v>76</v>
      </c>
      <c r="R3191" t="s">
        <v>73</v>
      </c>
      <c r="S3191">
        <v>1</v>
      </c>
      <c r="W3191" s="20">
        <v>0</v>
      </c>
      <c r="X3191" t="s">
        <v>78</v>
      </c>
      <c r="Y3191">
        <v>0</v>
      </c>
      <c r="Z3191">
        <v>0</v>
      </c>
      <c r="AA3191" t="s">
        <v>78</v>
      </c>
      <c r="AB3191">
        <v>0</v>
      </c>
      <c r="AC3191" t="s">
        <v>78</v>
      </c>
      <c r="AD3191">
        <v>0</v>
      </c>
      <c r="AE3191">
        <v>-1</v>
      </c>
      <c r="AF3191" t="s">
        <v>88</v>
      </c>
      <c r="AG3191" t="s">
        <v>6180</v>
      </c>
    </row>
    <row r="3192" spans="1:33" x14ac:dyDescent="0.35">
      <c r="A3192" s="18">
        <v>44200.476388888892</v>
      </c>
      <c r="B3192">
        <v>892233</v>
      </c>
      <c r="C3192" t="s">
        <v>6745</v>
      </c>
      <c r="D3192" t="s">
        <v>338</v>
      </c>
      <c r="E3192" s="19">
        <v>41025</v>
      </c>
      <c r="F3192" t="str">
        <f>"9780444563545"</f>
        <v>9780444563545</v>
      </c>
      <c r="G3192" t="str">
        <f>"9780444563477"</f>
        <v>9780444563477</v>
      </c>
      <c r="H3192" t="s">
        <v>6746</v>
      </c>
      <c r="I3192">
        <v>532</v>
      </c>
      <c r="J3192" t="s">
        <v>6747</v>
      </c>
      <c r="K3192" t="s">
        <v>73</v>
      </c>
      <c r="N3192" t="s">
        <v>74</v>
      </c>
      <c r="O3192" t="s">
        <v>75</v>
      </c>
      <c r="P3192" t="s">
        <v>74</v>
      </c>
      <c r="Q3192" t="s">
        <v>76</v>
      </c>
      <c r="R3192" t="s">
        <v>73</v>
      </c>
      <c r="S3192">
        <v>1</v>
      </c>
      <c r="W3192" s="20">
        <v>1.1574074074074073E-5</v>
      </c>
      <c r="X3192" t="s">
        <v>78</v>
      </c>
      <c r="Y3192">
        <v>0</v>
      </c>
      <c r="Z3192">
        <v>0</v>
      </c>
      <c r="AA3192" t="s">
        <v>78</v>
      </c>
      <c r="AB3192">
        <v>0</v>
      </c>
      <c r="AC3192" t="s">
        <v>78</v>
      </c>
      <c r="AD3192">
        <v>0</v>
      </c>
      <c r="AE3192">
        <v>10540381</v>
      </c>
      <c r="AF3192" t="s">
        <v>88</v>
      </c>
      <c r="AG3192" t="s">
        <v>6180</v>
      </c>
    </row>
    <row r="3193" spans="1:33" x14ac:dyDescent="0.35">
      <c r="A3193" s="18">
        <v>44200.475694444445</v>
      </c>
      <c r="B3193">
        <v>424598</v>
      </c>
      <c r="C3193" t="s">
        <v>6748</v>
      </c>
      <c r="D3193" t="s">
        <v>538</v>
      </c>
      <c r="E3193" s="19">
        <v>39408</v>
      </c>
      <c r="F3193" t="str">
        <f>"9780511504068"</f>
        <v>9780511504068</v>
      </c>
      <c r="G3193" t="str">
        <f>"9780521853514"</f>
        <v>9780521853514</v>
      </c>
      <c r="H3193" t="s">
        <v>848</v>
      </c>
      <c r="I3193">
        <v>541.36300000000006</v>
      </c>
      <c r="J3193" t="s">
        <v>6749</v>
      </c>
      <c r="K3193" t="s">
        <v>73</v>
      </c>
      <c r="N3193" t="s">
        <v>74</v>
      </c>
      <c r="O3193" t="s">
        <v>75</v>
      </c>
      <c r="P3193" t="s">
        <v>74</v>
      </c>
      <c r="Q3193" t="s">
        <v>76</v>
      </c>
      <c r="R3193" t="s">
        <v>73</v>
      </c>
      <c r="S3193">
        <v>1</v>
      </c>
      <c r="W3193" s="20">
        <v>0</v>
      </c>
      <c r="X3193" t="s">
        <v>78</v>
      </c>
      <c r="Y3193">
        <v>0</v>
      </c>
      <c r="Z3193">
        <v>0</v>
      </c>
      <c r="AA3193" t="s">
        <v>78</v>
      </c>
      <c r="AB3193">
        <v>0</v>
      </c>
      <c r="AC3193" t="s">
        <v>78</v>
      </c>
      <c r="AD3193">
        <v>0</v>
      </c>
      <c r="AE3193">
        <v>10288030</v>
      </c>
      <c r="AF3193" t="s">
        <v>88</v>
      </c>
      <c r="AG3193" t="s">
        <v>6180</v>
      </c>
    </row>
    <row r="3194" spans="1:33" x14ac:dyDescent="0.35">
      <c r="A3194" s="18">
        <v>44200.474305555559</v>
      </c>
      <c r="B3194">
        <v>5561524</v>
      </c>
      <c r="C3194" t="s">
        <v>6750</v>
      </c>
      <c r="D3194" t="s">
        <v>158</v>
      </c>
      <c r="E3194" s="19">
        <v>43399</v>
      </c>
      <c r="F3194" t="str">
        <f>"9780128115572"</f>
        <v>9780128115572</v>
      </c>
      <c r="G3194" t="str">
        <f>"9780128115565"</f>
        <v>9780128115565</v>
      </c>
      <c r="H3194" t="s">
        <v>159</v>
      </c>
      <c r="I3194">
        <v>664</v>
      </c>
      <c r="J3194" t="s">
        <v>6751</v>
      </c>
      <c r="K3194" t="s">
        <v>73</v>
      </c>
      <c r="N3194" t="s">
        <v>74</v>
      </c>
      <c r="O3194" t="s">
        <v>75</v>
      </c>
      <c r="P3194" t="s">
        <v>74</v>
      </c>
      <c r="Q3194" t="s">
        <v>76</v>
      </c>
      <c r="R3194" t="s">
        <v>73</v>
      </c>
      <c r="S3194">
        <v>1</v>
      </c>
      <c r="W3194" s="20">
        <v>0</v>
      </c>
      <c r="X3194" t="s">
        <v>78</v>
      </c>
      <c r="Y3194">
        <v>0</v>
      </c>
      <c r="Z3194">
        <v>0</v>
      </c>
      <c r="AA3194" t="s">
        <v>78</v>
      </c>
      <c r="AB3194">
        <v>0</v>
      </c>
      <c r="AC3194" t="s">
        <v>78</v>
      </c>
      <c r="AD3194">
        <v>0</v>
      </c>
      <c r="AE3194">
        <v>11626539</v>
      </c>
      <c r="AF3194" t="s">
        <v>88</v>
      </c>
      <c r="AG3194" t="s">
        <v>6180</v>
      </c>
    </row>
    <row r="3195" spans="1:33" x14ac:dyDescent="0.35">
      <c r="A3195" s="18">
        <v>44200.472916666666</v>
      </c>
      <c r="B3195">
        <v>1185332</v>
      </c>
      <c r="C3195" t="s">
        <v>6752</v>
      </c>
      <c r="D3195" t="s">
        <v>1637</v>
      </c>
      <c r="E3195" s="19">
        <v>38265</v>
      </c>
      <c r="F3195" t="str">
        <f>"9781847550415"</f>
        <v>9781847550415</v>
      </c>
      <c r="G3195" t="str">
        <f>"9780854045914"</f>
        <v>9780854045914</v>
      </c>
      <c r="H3195" t="s">
        <v>154</v>
      </c>
      <c r="I3195">
        <v>541.36900000000003</v>
      </c>
      <c r="J3195">
        <v>2006494660</v>
      </c>
      <c r="K3195" t="s">
        <v>73</v>
      </c>
      <c r="N3195" t="s">
        <v>74</v>
      </c>
      <c r="O3195" t="s">
        <v>75</v>
      </c>
      <c r="P3195" t="s">
        <v>74</v>
      </c>
      <c r="Q3195" t="s">
        <v>76</v>
      </c>
      <c r="R3195" t="s">
        <v>73</v>
      </c>
      <c r="S3195">
        <v>1</v>
      </c>
      <c r="W3195" s="20">
        <v>0</v>
      </c>
      <c r="X3195" t="s">
        <v>78</v>
      </c>
      <c r="Y3195">
        <v>0</v>
      </c>
      <c r="Z3195">
        <v>0</v>
      </c>
      <c r="AA3195" t="s">
        <v>78</v>
      </c>
      <c r="AB3195">
        <v>0</v>
      </c>
      <c r="AC3195" t="s">
        <v>78</v>
      </c>
      <c r="AD3195">
        <v>0</v>
      </c>
      <c r="AE3195">
        <v>10621162</v>
      </c>
      <c r="AF3195" t="s">
        <v>88</v>
      </c>
      <c r="AG3195" t="s">
        <v>6180</v>
      </c>
    </row>
    <row r="3196" spans="1:33" x14ac:dyDescent="0.35">
      <c r="A3196" s="18">
        <v>44200.47152777778</v>
      </c>
      <c r="B3196">
        <v>349311</v>
      </c>
      <c r="C3196" t="s">
        <v>6753</v>
      </c>
      <c r="D3196" t="s">
        <v>158</v>
      </c>
      <c r="E3196" s="19">
        <v>36693</v>
      </c>
      <c r="F3196" t="str">
        <f>"9780080500997"</f>
        <v>9780080500997</v>
      </c>
      <c r="G3196" t="str">
        <f>"9780125309851"</f>
        <v>9780125309851</v>
      </c>
      <c r="H3196" t="s">
        <v>154</v>
      </c>
      <c r="I3196">
        <v>541.36900000000003</v>
      </c>
      <c r="J3196" t="s">
        <v>6754</v>
      </c>
      <c r="K3196" t="s">
        <v>73</v>
      </c>
      <c r="N3196" t="s">
        <v>74</v>
      </c>
      <c r="O3196" t="s">
        <v>75</v>
      </c>
      <c r="P3196" t="s">
        <v>74</v>
      </c>
      <c r="Q3196" t="s">
        <v>76</v>
      </c>
      <c r="R3196" t="s">
        <v>73</v>
      </c>
      <c r="S3196">
        <v>1</v>
      </c>
      <c r="W3196" s="20">
        <v>0</v>
      </c>
      <c r="X3196" t="s">
        <v>78</v>
      </c>
      <c r="Y3196">
        <v>0</v>
      </c>
      <c r="Z3196">
        <v>0</v>
      </c>
      <c r="AA3196" t="s">
        <v>78</v>
      </c>
      <c r="AB3196">
        <v>0</v>
      </c>
      <c r="AC3196" t="s">
        <v>78</v>
      </c>
      <c r="AD3196">
        <v>0</v>
      </c>
      <c r="AE3196">
        <v>10235995</v>
      </c>
      <c r="AF3196" t="s">
        <v>88</v>
      </c>
      <c r="AG3196" t="s">
        <v>6180</v>
      </c>
    </row>
    <row r="3197" spans="1:33" x14ac:dyDescent="0.35">
      <c r="A3197" s="18">
        <v>44200.470833333333</v>
      </c>
      <c r="B3197">
        <v>318347</v>
      </c>
      <c r="C3197" t="s">
        <v>6755</v>
      </c>
      <c r="D3197" t="s">
        <v>158</v>
      </c>
      <c r="E3197" s="19">
        <v>36829</v>
      </c>
      <c r="F3197" t="str">
        <f>"9780080531182"</f>
        <v>9780080531182</v>
      </c>
      <c r="G3197" t="str">
        <f>"9780444503848"</f>
        <v>9780444503848</v>
      </c>
      <c r="H3197" t="s">
        <v>2606</v>
      </c>
      <c r="I3197" t="s">
        <v>6756</v>
      </c>
      <c r="J3197" t="s">
        <v>6757</v>
      </c>
      <c r="K3197" t="s">
        <v>85</v>
      </c>
      <c r="N3197" t="s">
        <v>86</v>
      </c>
      <c r="P3197" t="s">
        <v>87</v>
      </c>
      <c r="Q3197" t="s">
        <v>76</v>
      </c>
      <c r="R3197" t="s">
        <v>73</v>
      </c>
      <c r="S3197">
        <v>2</v>
      </c>
      <c r="T3197">
        <v>90</v>
      </c>
      <c r="U3197" s="18">
        <v>44200.470833333333</v>
      </c>
      <c r="V3197" s="18">
        <v>44290.470833333333</v>
      </c>
      <c r="W3197" s="20">
        <v>0</v>
      </c>
      <c r="X3197" t="s">
        <v>78</v>
      </c>
      <c r="Y3197">
        <v>0</v>
      </c>
      <c r="Z3197">
        <v>0</v>
      </c>
      <c r="AA3197" t="s">
        <v>78</v>
      </c>
      <c r="AB3197">
        <v>0</v>
      </c>
      <c r="AC3197" t="s">
        <v>78</v>
      </c>
      <c r="AD3197">
        <v>0</v>
      </c>
      <c r="AE3197">
        <v>10201896</v>
      </c>
      <c r="AF3197" t="s">
        <v>88</v>
      </c>
      <c r="AG3197" t="s">
        <v>6180</v>
      </c>
    </row>
    <row r="3198" spans="1:33" x14ac:dyDescent="0.35">
      <c r="A3198" s="18">
        <v>44200.46875</v>
      </c>
      <c r="B3198">
        <v>318347</v>
      </c>
      <c r="C3198" t="s">
        <v>6755</v>
      </c>
      <c r="D3198" t="s">
        <v>158</v>
      </c>
      <c r="E3198" s="19">
        <v>36829</v>
      </c>
      <c r="F3198" t="str">
        <f>"9780080531182"</f>
        <v>9780080531182</v>
      </c>
      <c r="G3198" t="str">
        <f>"9780444503848"</f>
        <v>9780444503848</v>
      </c>
      <c r="H3198" t="s">
        <v>2606</v>
      </c>
      <c r="I3198" t="s">
        <v>6756</v>
      </c>
      <c r="J3198" t="s">
        <v>6757</v>
      </c>
      <c r="K3198" t="s">
        <v>85</v>
      </c>
      <c r="N3198" t="s">
        <v>86</v>
      </c>
      <c r="P3198" t="s">
        <v>87</v>
      </c>
      <c r="Q3198" t="s">
        <v>76</v>
      </c>
      <c r="R3198" t="s">
        <v>73</v>
      </c>
      <c r="S3198">
        <v>0</v>
      </c>
      <c r="W3198" s="20">
        <v>0</v>
      </c>
      <c r="X3198" t="s">
        <v>78</v>
      </c>
      <c r="Y3198">
        <v>0</v>
      </c>
      <c r="Z3198">
        <v>3</v>
      </c>
      <c r="AA3198" t="s">
        <v>6758</v>
      </c>
      <c r="AB3198">
        <v>74</v>
      </c>
      <c r="AC3198" t="s">
        <v>78</v>
      </c>
      <c r="AD3198">
        <v>0</v>
      </c>
      <c r="AE3198">
        <v>10201896</v>
      </c>
      <c r="AF3198" t="s">
        <v>79</v>
      </c>
      <c r="AG3198" t="s">
        <v>6180</v>
      </c>
    </row>
    <row r="3199" spans="1:33" x14ac:dyDescent="0.35">
      <c r="A3199" s="18">
        <v>44200.464583333334</v>
      </c>
      <c r="B3199">
        <v>892233</v>
      </c>
      <c r="C3199" t="s">
        <v>6745</v>
      </c>
      <c r="D3199" t="s">
        <v>338</v>
      </c>
      <c r="E3199" s="19">
        <v>41025</v>
      </c>
      <c r="F3199" t="str">
        <f>"9780444563545"</f>
        <v>9780444563545</v>
      </c>
      <c r="G3199" t="str">
        <f>"9780444563477"</f>
        <v>9780444563477</v>
      </c>
      <c r="H3199" t="s">
        <v>6746</v>
      </c>
      <c r="I3199">
        <v>532</v>
      </c>
      <c r="J3199" t="s">
        <v>6747</v>
      </c>
      <c r="K3199" t="s">
        <v>73</v>
      </c>
      <c r="N3199" t="s">
        <v>74</v>
      </c>
      <c r="O3199" t="s">
        <v>75</v>
      </c>
      <c r="P3199" t="s">
        <v>74</v>
      </c>
      <c r="Q3199" t="s">
        <v>76</v>
      </c>
      <c r="R3199" t="s">
        <v>73</v>
      </c>
      <c r="S3199">
        <v>0</v>
      </c>
      <c r="W3199" s="20">
        <v>1.1574074074074073E-5</v>
      </c>
      <c r="X3199" t="s">
        <v>78</v>
      </c>
      <c r="Y3199">
        <v>0</v>
      </c>
      <c r="Z3199">
        <v>11</v>
      </c>
      <c r="AA3199" t="s">
        <v>6759</v>
      </c>
      <c r="AB3199">
        <v>71</v>
      </c>
      <c r="AC3199" t="s">
        <v>78</v>
      </c>
      <c r="AD3199">
        <v>0</v>
      </c>
      <c r="AE3199">
        <v>10540381</v>
      </c>
      <c r="AF3199" t="s">
        <v>79</v>
      </c>
      <c r="AG3199" t="s">
        <v>6180</v>
      </c>
    </row>
    <row r="3200" spans="1:33" x14ac:dyDescent="0.35">
      <c r="A3200" s="18">
        <v>44200.460416666669</v>
      </c>
      <c r="B3200">
        <v>424598</v>
      </c>
      <c r="C3200" t="s">
        <v>6748</v>
      </c>
      <c r="D3200" t="s">
        <v>538</v>
      </c>
      <c r="E3200" s="19">
        <v>39408</v>
      </c>
      <c r="F3200" t="str">
        <f>"9780511504068"</f>
        <v>9780511504068</v>
      </c>
      <c r="G3200" t="str">
        <f>"9780521853514"</f>
        <v>9780521853514</v>
      </c>
      <c r="H3200" t="s">
        <v>848</v>
      </c>
      <c r="I3200">
        <v>541.36300000000006</v>
      </c>
      <c r="J3200" t="s">
        <v>6749</v>
      </c>
      <c r="K3200" t="s">
        <v>73</v>
      </c>
      <c r="N3200" t="s">
        <v>74</v>
      </c>
      <c r="O3200" t="s">
        <v>75</v>
      </c>
      <c r="P3200" t="s">
        <v>74</v>
      </c>
      <c r="Q3200" t="s">
        <v>76</v>
      </c>
      <c r="R3200" t="s">
        <v>73</v>
      </c>
      <c r="S3200">
        <v>0</v>
      </c>
      <c r="W3200" s="20">
        <v>5.7870370370370366E-5</v>
      </c>
      <c r="X3200" t="s">
        <v>156</v>
      </c>
      <c r="Y3200">
        <v>1</v>
      </c>
      <c r="Z3200">
        <v>14</v>
      </c>
      <c r="AA3200" t="s">
        <v>6760</v>
      </c>
      <c r="AB3200">
        <v>200</v>
      </c>
      <c r="AC3200" t="s">
        <v>78</v>
      </c>
      <c r="AD3200">
        <v>0</v>
      </c>
      <c r="AE3200">
        <v>10288030</v>
      </c>
      <c r="AF3200" t="s">
        <v>79</v>
      </c>
      <c r="AG3200" t="s">
        <v>6180</v>
      </c>
    </row>
    <row r="3201" spans="1:33" x14ac:dyDescent="0.35">
      <c r="A3201" s="18">
        <v>44200.457638888889</v>
      </c>
      <c r="B3201">
        <v>5561524</v>
      </c>
      <c r="C3201" t="s">
        <v>6750</v>
      </c>
      <c r="D3201" t="s">
        <v>158</v>
      </c>
      <c r="E3201" s="19">
        <v>43399</v>
      </c>
      <c r="F3201" t="str">
        <f>"9780128115572"</f>
        <v>9780128115572</v>
      </c>
      <c r="G3201" t="str">
        <f>"9780128115565"</f>
        <v>9780128115565</v>
      </c>
      <c r="H3201" t="s">
        <v>159</v>
      </c>
      <c r="I3201">
        <v>664</v>
      </c>
      <c r="J3201" t="s">
        <v>6751</v>
      </c>
      <c r="K3201" t="s">
        <v>73</v>
      </c>
      <c r="N3201" t="s">
        <v>74</v>
      </c>
      <c r="O3201" t="s">
        <v>75</v>
      </c>
      <c r="P3201" t="s">
        <v>74</v>
      </c>
      <c r="Q3201" t="s">
        <v>76</v>
      </c>
      <c r="R3201" t="s">
        <v>73</v>
      </c>
      <c r="S3201">
        <v>0</v>
      </c>
      <c r="W3201" s="20">
        <v>0</v>
      </c>
      <c r="X3201" t="s">
        <v>78</v>
      </c>
      <c r="Y3201">
        <v>0</v>
      </c>
      <c r="Z3201">
        <v>2</v>
      </c>
      <c r="AA3201" t="s">
        <v>6761</v>
      </c>
      <c r="AB3201">
        <v>7</v>
      </c>
      <c r="AC3201" t="s">
        <v>78</v>
      </c>
      <c r="AD3201">
        <v>0</v>
      </c>
      <c r="AE3201">
        <v>11626539</v>
      </c>
      <c r="AF3201" t="s">
        <v>79</v>
      </c>
      <c r="AG3201" t="s">
        <v>6180</v>
      </c>
    </row>
    <row r="3202" spans="1:33" x14ac:dyDescent="0.35">
      <c r="A3202" s="18">
        <v>44200.453472222223</v>
      </c>
      <c r="B3202">
        <v>1185332</v>
      </c>
      <c r="C3202" t="s">
        <v>6752</v>
      </c>
      <c r="D3202" t="s">
        <v>1637</v>
      </c>
      <c r="E3202" s="19">
        <v>38265</v>
      </c>
      <c r="F3202" t="str">
        <f>"9781847550415"</f>
        <v>9781847550415</v>
      </c>
      <c r="G3202" t="str">
        <f>"9780854045914"</f>
        <v>9780854045914</v>
      </c>
      <c r="H3202" t="s">
        <v>154</v>
      </c>
      <c r="I3202">
        <v>541.36900000000003</v>
      </c>
      <c r="J3202">
        <v>2006494660</v>
      </c>
      <c r="K3202" t="s">
        <v>73</v>
      </c>
      <c r="N3202" t="s">
        <v>74</v>
      </c>
      <c r="O3202" t="s">
        <v>75</v>
      </c>
      <c r="P3202" t="s">
        <v>74</v>
      </c>
      <c r="Q3202" t="s">
        <v>76</v>
      </c>
      <c r="R3202" t="s">
        <v>73</v>
      </c>
      <c r="S3202">
        <v>0</v>
      </c>
      <c r="W3202" s="20">
        <v>0</v>
      </c>
      <c r="X3202" t="s">
        <v>78</v>
      </c>
      <c r="Y3202">
        <v>0</v>
      </c>
      <c r="Z3202">
        <v>6</v>
      </c>
      <c r="AA3202" t="s">
        <v>6762</v>
      </c>
      <c r="AB3202">
        <v>66</v>
      </c>
      <c r="AC3202" t="s">
        <v>78</v>
      </c>
      <c r="AD3202">
        <v>0</v>
      </c>
      <c r="AE3202">
        <v>10621162</v>
      </c>
      <c r="AF3202" t="s">
        <v>79</v>
      </c>
      <c r="AG3202" t="s">
        <v>6180</v>
      </c>
    </row>
    <row r="3203" spans="1:33" x14ac:dyDescent="0.35">
      <c r="A3203" s="18">
        <v>44200.408333333333</v>
      </c>
      <c r="B3203">
        <v>1166016</v>
      </c>
      <c r="C3203" t="s">
        <v>6763</v>
      </c>
      <c r="D3203" t="s">
        <v>338</v>
      </c>
      <c r="E3203" s="19">
        <v>41387</v>
      </c>
      <c r="F3203" t="str">
        <f>"9780444594716"</f>
        <v>9780444594716</v>
      </c>
      <c r="G3203" t="str">
        <f>"9780444563644"</f>
        <v>9780444563644</v>
      </c>
      <c r="H3203" t="s">
        <v>154</v>
      </c>
      <c r="I3203">
        <v>541.39200000000005</v>
      </c>
      <c r="J3203" t="s">
        <v>6764</v>
      </c>
      <c r="K3203" t="s">
        <v>73</v>
      </c>
      <c r="N3203" t="s">
        <v>74</v>
      </c>
      <c r="O3203" t="s">
        <v>75</v>
      </c>
      <c r="P3203" t="s">
        <v>74</v>
      </c>
      <c r="Q3203" t="s">
        <v>76</v>
      </c>
      <c r="R3203" t="s">
        <v>73</v>
      </c>
      <c r="S3203">
        <v>1</v>
      </c>
      <c r="W3203" s="20">
        <v>0</v>
      </c>
      <c r="X3203" t="s">
        <v>78</v>
      </c>
      <c r="Y3203">
        <v>0</v>
      </c>
      <c r="Z3203">
        <v>0</v>
      </c>
      <c r="AA3203" t="s">
        <v>78</v>
      </c>
      <c r="AB3203">
        <v>0</v>
      </c>
      <c r="AC3203" t="s">
        <v>78</v>
      </c>
      <c r="AD3203">
        <v>0</v>
      </c>
      <c r="AE3203">
        <v>10686014</v>
      </c>
      <c r="AF3203" t="s">
        <v>88</v>
      </c>
      <c r="AG3203" t="s">
        <v>6180</v>
      </c>
    </row>
    <row r="3204" spans="1:33" x14ac:dyDescent="0.35">
      <c r="A3204" s="18">
        <v>44200.399305555555</v>
      </c>
      <c r="B3204">
        <v>349311</v>
      </c>
      <c r="C3204" t="s">
        <v>6753</v>
      </c>
      <c r="D3204" t="s">
        <v>158</v>
      </c>
      <c r="E3204" s="19">
        <v>36693</v>
      </c>
      <c r="F3204" t="str">
        <f>"9780080500997"</f>
        <v>9780080500997</v>
      </c>
      <c r="G3204" t="str">
        <f>"9780125309851"</f>
        <v>9780125309851</v>
      </c>
      <c r="H3204" t="s">
        <v>154</v>
      </c>
      <c r="I3204">
        <v>541.36900000000003</v>
      </c>
      <c r="J3204" t="s">
        <v>6754</v>
      </c>
      <c r="K3204" t="s">
        <v>73</v>
      </c>
      <c r="N3204" t="s">
        <v>74</v>
      </c>
      <c r="O3204" t="s">
        <v>75</v>
      </c>
      <c r="P3204" t="s">
        <v>74</v>
      </c>
      <c r="Q3204" t="s">
        <v>76</v>
      </c>
      <c r="R3204" t="s">
        <v>73</v>
      </c>
      <c r="S3204">
        <v>2</v>
      </c>
      <c r="W3204" s="20">
        <v>0</v>
      </c>
      <c r="X3204" t="s">
        <v>78</v>
      </c>
      <c r="Y3204">
        <v>0</v>
      </c>
      <c r="Z3204">
        <v>0</v>
      </c>
      <c r="AA3204" t="s">
        <v>78</v>
      </c>
      <c r="AB3204">
        <v>0</v>
      </c>
      <c r="AC3204" t="s">
        <v>78</v>
      </c>
      <c r="AD3204">
        <v>0</v>
      </c>
      <c r="AE3204">
        <v>10235995</v>
      </c>
      <c r="AF3204" t="s">
        <v>88</v>
      </c>
      <c r="AG3204" t="s">
        <v>6180</v>
      </c>
    </row>
    <row r="3205" spans="1:33" x14ac:dyDescent="0.35">
      <c r="A3205" s="18">
        <v>44199.536111111112</v>
      </c>
      <c r="B3205">
        <v>4451919</v>
      </c>
      <c r="C3205" t="s">
        <v>6765</v>
      </c>
      <c r="D3205" t="s">
        <v>70</v>
      </c>
      <c r="E3205" s="19">
        <v>42548</v>
      </c>
      <c r="F3205" t="str">
        <f>"9783527693528"</f>
        <v>9783527693528</v>
      </c>
      <c r="G3205" t="str">
        <f>"9783527338948"</f>
        <v>9783527338948</v>
      </c>
      <c r="H3205" t="s">
        <v>2907</v>
      </c>
      <c r="I3205">
        <v>500</v>
      </c>
      <c r="J3205" t="s">
        <v>6766</v>
      </c>
      <c r="K3205" t="s">
        <v>73</v>
      </c>
      <c r="N3205" t="s">
        <v>74</v>
      </c>
      <c r="O3205" t="s">
        <v>75</v>
      </c>
      <c r="P3205" t="s">
        <v>74</v>
      </c>
      <c r="Q3205" t="s">
        <v>76</v>
      </c>
      <c r="R3205" t="s">
        <v>73</v>
      </c>
      <c r="S3205">
        <v>0</v>
      </c>
      <c r="W3205" s="20">
        <v>1.0069444444444444E-3</v>
      </c>
      <c r="X3205" t="s">
        <v>6767</v>
      </c>
      <c r="Y3205">
        <v>14</v>
      </c>
      <c r="Z3205">
        <v>0</v>
      </c>
      <c r="AA3205" t="s">
        <v>78</v>
      </c>
      <c r="AB3205">
        <v>0</v>
      </c>
      <c r="AC3205" t="s">
        <v>78</v>
      </c>
      <c r="AD3205">
        <v>0</v>
      </c>
      <c r="AE3205">
        <v>11172363</v>
      </c>
      <c r="AF3205" t="s">
        <v>79</v>
      </c>
      <c r="AG3205" t="s">
        <v>6180</v>
      </c>
    </row>
    <row r="3206" spans="1:33" x14ac:dyDescent="0.35">
      <c r="A3206" s="18">
        <v>44199.495138888888</v>
      </c>
      <c r="B3206">
        <v>4182981</v>
      </c>
      <c r="C3206" t="s">
        <v>6768</v>
      </c>
      <c r="D3206" t="s">
        <v>70</v>
      </c>
      <c r="E3206" s="19">
        <v>42352</v>
      </c>
      <c r="F3206" t="str">
        <f>"9781118897744"</f>
        <v>9781118897744</v>
      </c>
      <c r="G3206" t="str">
        <f>"9781118897720"</f>
        <v>9781118897720</v>
      </c>
      <c r="H3206" t="s">
        <v>1084</v>
      </c>
      <c r="I3206" t="s">
        <v>6769</v>
      </c>
      <c r="J3206" t="s">
        <v>6770</v>
      </c>
      <c r="K3206" t="s">
        <v>73</v>
      </c>
      <c r="N3206" t="s">
        <v>74</v>
      </c>
      <c r="O3206" t="s">
        <v>75</v>
      </c>
      <c r="P3206" t="s">
        <v>74</v>
      </c>
      <c r="Q3206" t="s">
        <v>76</v>
      </c>
      <c r="R3206" t="s">
        <v>73</v>
      </c>
      <c r="S3206">
        <v>0</v>
      </c>
      <c r="W3206" s="20">
        <v>2.1689814814814815E-2</v>
      </c>
      <c r="X3206" t="s">
        <v>6771</v>
      </c>
      <c r="Y3206">
        <v>28</v>
      </c>
      <c r="Z3206">
        <v>0</v>
      </c>
      <c r="AA3206" t="s">
        <v>78</v>
      </c>
      <c r="AB3206">
        <v>0</v>
      </c>
      <c r="AC3206" t="s">
        <v>78</v>
      </c>
      <c r="AD3206">
        <v>0</v>
      </c>
      <c r="AE3206">
        <v>11124847</v>
      </c>
      <c r="AF3206" t="s">
        <v>79</v>
      </c>
      <c r="AG3206" t="s">
        <v>6180</v>
      </c>
    </row>
    <row r="3207" spans="1:33" x14ac:dyDescent="0.35">
      <c r="A3207" s="18">
        <v>44199.431944444441</v>
      </c>
      <c r="B3207">
        <v>5353867</v>
      </c>
      <c r="C3207" t="s">
        <v>4884</v>
      </c>
      <c r="D3207" t="s">
        <v>2275</v>
      </c>
      <c r="E3207" s="19">
        <v>36770</v>
      </c>
      <c r="F3207" t="str">
        <f>"9781470446055"</f>
        <v>9781470446055</v>
      </c>
      <c r="G3207" t="str">
        <f>"9780821805312"</f>
        <v>9780821805312</v>
      </c>
      <c r="H3207" t="s">
        <v>115</v>
      </c>
      <c r="I3207">
        <v>519.5</v>
      </c>
      <c r="J3207" t="s">
        <v>4885</v>
      </c>
      <c r="K3207" t="s">
        <v>85</v>
      </c>
      <c r="N3207" t="s">
        <v>86</v>
      </c>
      <c r="P3207" t="s">
        <v>87</v>
      </c>
      <c r="Q3207" t="s">
        <v>76</v>
      </c>
      <c r="R3207" t="s">
        <v>73</v>
      </c>
      <c r="S3207">
        <v>0</v>
      </c>
      <c r="W3207" s="20">
        <v>1.7361111111111112E-4</v>
      </c>
      <c r="X3207" t="s">
        <v>4986</v>
      </c>
      <c r="Y3207">
        <v>1</v>
      </c>
      <c r="Z3207">
        <v>0</v>
      </c>
      <c r="AA3207" t="s">
        <v>78</v>
      </c>
      <c r="AB3207">
        <v>0</v>
      </c>
      <c r="AC3207" t="s">
        <v>78</v>
      </c>
      <c r="AD3207">
        <v>0</v>
      </c>
      <c r="AE3207">
        <v>11548022</v>
      </c>
      <c r="AF3207" t="s">
        <v>79</v>
      </c>
      <c r="AG3207" t="s">
        <v>6732</v>
      </c>
    </row>
    <row r="3208" spans="1:33" x14ac:dyDescent="0.35">
      <c r="A3208" s="18">
        <v>44199.285416666666</v>
      </c>
      <c r="B3208">
        <v>1652816</v>
      </c>
      <c r="C3208" t="s">
        <v>6772</v>
      </c>
      <c r="D3208" t="s">
        <v>6773</v>
      </c>
      <c r="E3208" s="19">
        <v>41699</v>
      </c>
      <c r="F3208" t="str">
        <f>"9781615472178"</f>
        <v>9781615472178</v>
      </c>
      <c r="G3208" t="str">
        <f>"9781615470259"</f>
        <v>9781615470259</v>
      </c>
      <c r="H3208" t="s">
        <v>110</v>
      </c>
      <c r="I3208">
        <v>5.0999999999999996</v>
      </c>
      <c r="J3208" t="s">
        <v>6774</v>
      </c>
      <c r="K3208" t="s">
        <v>73</v>
      </c>
      <c r="N3208" t="s">
        <v>74</v>
      </c>
      <c r="O3208" t="s">
        <v>75</v>
      </c>
      <c r="P3208" t="s">
        <v>74</v>
      </c>
      <c r="Q3208" t="s">
        <v>76</v>
      </c>
      <c r="R3208" t="s">
        <v>73</v>
      </c>
      <c r="S3208">
        <v>0</v>
      </c>
      <c r="W3208" s="20">
        <v>1.9675925925925926E-4</v>
      </c>
      <c r="X3208" t="s">
        <v>6775</v>
      </c>
      <c r="Y3208">
        <v>4</v>
      </c>
      <c r="Z3208">
        <v>0</v>
      </c>
      <c r="AA3208" t="s">
        <v>78</v>
      </c>
      <c r="AB3208">
        <v>0</v>
      </c>
      <c r="AC3208" t="s">
        <v>78</v>
      </c>
      <c r="AD3208">
        <v>0</v>
      </c>
      <c r="AE3208">
        <v>10850209</v>
      </c>
      <c r="AF3208" t="s">
        <v>79</v>
      </c>
      <c r="AG3208" t="s">
        <v>6180</v>
      </c>
    </row>
    <row r="3209" spans="1:33" x14ac:dyDescent="0.35">
      <c r="A3209" s="18">
        <v>44199.225694444445</v>
      </c>
      <c r="B3209">
        <v>4794160</v>
      </c>
      <c r="C3209" t="s">
        <v>6776</v>
      </c>
      <c r="D3209" t="s">
        <v>2550</v>
      </c>
      <c r="E3209" s="19">
        <v>42762</v>
      </c>
      <c r="F3209" t="str">
        <f>"9781786469670"</f>
        <v>9781786469670</v>
      </c>
      <c r="G3209" t="str">
        <f>"9781786464392"</f>
        <v>9781786464392</v>
      </c>
      <c r="H3209" t="s">
        <v>110</v>
      </c>
      <c r="J3209" t="s">
        <v>6777</v>
      </c>
      <c r="K3209" t="s">
        <v>73</v>
      </c>
      <c r="N3209" t="s">
        <v>74</v>
      </c>
      <c r="O3209" t="s">
        <v>75</v>
      </c>
      <c r="P3209" t="s">
        <v>230</v>
      </c>
      <c r="Q3209" t="s">
        <v>76</v>
      </c>
      <c r="R3209" t="s">
        <v>85</v>
      </c>
      <c r="S3209">
        <v>1</v>
      </c>
      <c r="W3209" s="20">
        <v>0</v>
      </c>
      <c r="X3209" t="s">
        <v>78</v>
      </c>
      <c r="Y3209">
        <v>0</v>
      </c>
      <c r="Z3209">
        <v>0</v>
      </c>
      <c r="AA3209" t="s">
        <v>78</v>
      </c>
      <c r="AB3209">
        <v>0</v>
      </c>
      <c r="AC3209" t="s">
        <v>78</v>
      </c>
      <c r="AD3209">
        <v>0</v>
      </c>
      <c r="AE3209">
        <v>11343302</v>
      </c>
      <c r="AF3209" t="s">
        <v>88</v>
      </c>
      <c r="AG3209" t="s">
        <v>6180</v>
      </c>
    </row>
    <row r="3210" spans="1:33" x14ac:dyDescent="0.35">
      <c r="A3210" s="18">
        <v>44199.220833333333</v>
      </c>
      <c r="B3210">
        <v>5751843</v>
      </c>
      <c r="C3210" t="s">
        <v>6431</v>
      </c>
      <c r="D3210" t="s">
        <v>70</v>
      </c>
      <c r="E3210" s="19">
        <v>43592</v>
      </c>
      <c r="F3210" t="str">
        <f>"9781119557678"</f>
        <v>9781119557678</v>
      </c>
      <c r="G3210" t="str">
        <f>"9781119557593"</f>
        <v>9781119557593</v>
      </c>
      <c r="H3210" t="s">
        <v>110</v>
      </c>
      <c r="I3210">
        <v>5.133</v>
      </c>
      <c r="J3210" t="s">
        <v>6432</v>
      </c>
      <c r="K3210" t="s">
        <v>73</v>
      </c>
      <c r="Q3210" t="s">
        <v>76</v>
      </c>
      <c r="R3210" t="s">
        <v>73</v>
      </c>
      <c r="S3210">
        <v>0</v>
      </c>
      <c r="W3210" s="20">
        <v>2.7777777777777779E-3</v>
      </c>
      <c r="X3210" t="s">
        <v>6778</v>
      </c>
      <c r="Y3210">
        <v>27</v>
      </c>
      <c r="Z3210">
        <v>0</v>
      </c>
      <c r="AA3210" t="s">
        <v>78</v>
      </c>
      <c r="AB3210">
        <v>0</v>
      </c>
      <c r="AC3210" t="s">
        <v>78</v>
      </c>
      <c r="AD3210">
        <v>0</v>
      </c>
      <c r="AE3210">
        <v>-1</v>
      </c>
      <c r="AF3210" t="s">
        <v>79</v>
      </c>
      <c r="AG3210" t="s">
        <v>6180</v>
      </c>
    </row>
    <row r="3211" spans="1:33" x14ac:dyDescent="0.35">
      <c r="A3211" s="18">
        <v>44198.138194444444</v>
      </c>
      <c r="B3211">
        <v>1919413</v>
      </c>
      <c r="C3211" t="s">
        <v>6779</v>
      </c>
      <c r="D3211" t="s">
        <v>6780</v>
      </c>
      <c r="E3211" s="19">
        <v>41760</v>
      </c>
      <c r="F3211" t="str">
        <f>"9781920590789"</f>
        <v>9781920590789</v>
      </c>
      <c r="G3211" t="str">
        <f>"9781920590079"</f>
        <v>9781920590079</v>
      </c>
      <c r="H3211" t="s">
        <v>6781</v>
      </c>
      <c r="I3211">
        <v>813.54</v>
      </c>
      <c r="J3211" t="s">
        <v>6782</v>
      </c>
      <c r="K3211" t="s">
        <v>73</v>
      </c>
      <c r="N3211" t="s">
        <v>74</v>
      </c>
      <c r="O3211" t="s">
        <v>75</v>
      </c>
      <c r="P3211" t="s">
        <v>230</v>
      </c>
      <c r="Q3211" t="s">
        <v>76</v>
      </c>
      <c r="R3211" t="s">
        <v>85</v>
      </c>
      <c r="S3211">
        <v>0</v>
      </c>
      <c r="W3211" s="20">
        <v>9.2592592592592588E-5</v>
      </c>
      <c r="X3211" t="s">
        <v>1492</v>
      </c>
      <c r="Y3211">
        <v>2</v>
      </c>
      <c r="Z3211">
        <v>0</v>
      </c>
      <c r="AA3211" t="s">
        <v>78</v>
      </c>
      <c r="AB3211">
        <v>0</v>
      </c>
      <c r="AC3211" t="s">
        <v>78</v>
      </c>
      <c r="AD3211">
        <v>0</v>
      </c>
      <c r="AE3211">
        <v>-1</v>
      </c>
      <c r="AF3211" t="s">
        <v>79</v>
      </c>
      <c r="AG3211" t="s">
        <v>6783</v>
      </c>
    </row>
    <row r="3212" spans="1:33" x14ac:dyDescent="0.35">
      <c r="A3212" s="18">
        <v>44198.104861111111</v>
      </c>
      <c r="B3212">
        <v>1919413</v>
      </c>
      <c r="C3212" t="s">
        <v>6779</v>
      </c>
      <c r="D3212" t="s">
        <v>6780</v>
      </c>
      <c r="E3212" s="19">
        <v>41760</v>
      </c>
      <c r="F3212" t="str">
        <f>"9781920590789"</f>
        <v>9781920590789</v>
      </c>
      <c r="G3212" t="str">
        <f>"9781920590079"</f>
        <v>9781920590079</v>
      </c>
      <c r="H3212" t="s">
        <v>6781</v>
      </c>
      <c r="I3212">
        <v>813.54</v>
      </c>
      <c r="J3212" t="s">
        <v>6782</v>
      </c>
      <c r="K3212" t="s">
        <v>73</v>
      </c>
      <c r="N3212" t="s">
        <v>74</v>
      </c>
      <c r="O3212" t="s">
        <v>75</v>
      </c>
      <c r="P3212" t="s">
        <v>230</v>
      </c>
      <c r="Q3212" t="s">
        <v>76</v>
      </c>
      <c r="R3212" t="s">
        <v>85</v>
      </c>
      <c r="S3212">
        <v>1</v>
      </c>
      <c r="W3212" s="20">
        <v>0</v>
      </c>
      <c r="X3212" t="s">
        <v>78</v>
      </c>
      <c r="Y3212">
        <v>0</v>
      </c>
      <c r="Z3212">
        <v>0</v>
      </c>
      <c r="AA3212" t="s">
        <v>78</v>
      </c>
      <c r="AB3212">
        <v>0</v>
      </c>
      <c r="AC3212" t="s">
        <v>78</v>
      </c>
      <c r="AD3212">
        <v>0</v>
      </c>
      <c r="AE3212">
        <v>-1</v>
      </c>
      <c r="AF3212" t="s">
        <v>88</v>
      </c>
      <c r="AG3212" t="s">
        <v>6783</v>
      </c>
    </row>
    <row r="3213" spans="1:33" x14ac:dyDescent="0.35">
      <c r="A3213" s="18">
        <v>44198.104166666664</v>
      </c>
      <c r="B3213">
        <v>1919413</v>
      </c>
      <c r="C3213" t="s">
        <v>6779</v>
      </c>
      <c r="D3213" t="s">
        <v>6780</v>
      </c>
      <c r="E3213" s="19">
        <v>41760</v>
      </c>
      <c r="F3213" t="str">
        <f>"9781920590789"</f>
        <v>9781920590789</v>
      </c>
      <c r="G3213" t="str">
        <f>"9781920590079"</f>
        <v>9781920590079</v>
      </c>
      <c r="H3213" t="s">
        <v>6781</v>
      </c>
      <c r="I3213">
        <v>813.54</v>
      </c>
      <c r="J3213" t="s">
        <v>6782</v>
      </c>
      <c r="K3213" t="s">
        <v>73</v>
      </c>
      <c r="N3213" t="s">
        <v>74</v>
      </c>
      <c r="O3213" t="s">
        <v>75</v>
      </c>
      <c r="P3213" t="s">
        <v>230</v>
      </c>
      <c r="Q3213" t="s">
        <v>76</v>
      </c>
      <c r="R3213" t="s">
        <v>85</v>
      </c>
      <c r="S3213">
        <v>0</v>
      </c>
      <c r="W3213" s="20">
        <v>3.0092592592592595E-4</v>
      </c>
      <c r="X3213" t="s">
        <v>132</v>
      </c>
      <c r="Y3213">
        <v>1</v>
      </c>
      <c r="Z3213">
        <v>0</v>
      </c>
      <c r="AA3213" t="s">
        <v>78</v>
      </c>
      <c r="AB3213">
        <v>0</v>
      </c>
      <c r="AC3213" t="s">
        <v>78</v>
      </c>
      <c r="AD3213">
        <v>0</v>
      </c>
      <c r="AE3213">
        <v>-1</v>
      </c>
      <c r="AF3213" t="s">
        <v>88</v>
      </c>
      <c r="AG3213" t="s">
        <v>6783</v>
      </c>
    </row>
    <row r="3214" spans="1:33" x14ac:dyDescent="0.35">
      <c r="A3214" s="18">
        <v>44197.956250000003</v>
      </c>
      <c r="B3214">
        <v>5521418</v>
      </c>
      <c r="C3214" t="s">
        <v>6784</v>
      </c>
      <c r="D3214" t="s">
        <v>338</v>
      </c>
      <c r="E3214" s="19">
        <v>43370</v>
      </c>
      <c r="F3214" t="str">
        <f>"9780128140659"</f>
        <v>9780128140659</v>
      </c>
      <c r="G3214" t="str">
        <f>"9780128140642"</f>
        <v>9780128140642</v>
      </c>
      <c r="H3214" t="s">
        <v>275</v>
      </c>
      <c r="I3214">
        <v>620.19200000000001</v>
      </c>
      <c r="J3214" t="s">
        <v>6785</v>
      </c>
      <c r="K3214" t="s">
        <v>85</v>
      </c>
      <c r="N3214" t="s">
        <v>74</v>
      </c>
      <c r="O3214" t="s">
        <v>75</v>
      </c>
      <c r="P3214" t="s">
        <v>74</v>
      </c>
      <c r="Q3214" t="s">
        <v>76</v>
      </c>
      <c r="R3214" t="s">
        <v>73</v>
      </c>
      <c r="S3214">
        <v>0</v>
      </c>
      <c r="W3214" s="20">
        <v>1.0416666666666667E-3</v>
      </c>
      <c r="X3214" t="s">
        <v>6786</v>
      </c>
      <c r="Y3214">
        <v>12</v>
      </c>
      <c r="Z3214">
        <v>0</v>
      </c>
      <c r="AA3214" t="s">
        <v>78</v>
      </c>
      <c r="AB3214">
        <v>0</v>
      </c>
      <c r="AC3214" t="s">
        <v>78</v>
      </c>
      <c r="AD3214">
        <v>0</v>
      </c>
      <c r="AE3214">
        <v>-1</v>
      </c>
      <c r="AF3214" t="s">
        <v>79</v>
      </c>
      <c r="AG3214" t="s">
        <v>6323</v>
      </c>
    </row>
    <row r="3215" spans="1:33" x14ac:dyDescent="0.35">
      <c r="A3215" s="18">
        <v>44197.924305555556</v>
      </c>
      <c r="B3215">
        <v>534858</v>
      </c>
      <c r="C3215" t="s">
        <v>3959</v>
      </c>
      <c r="D3215" t="s">
        <v>158</v>
      </c>
      <c r="E3215" s="19">
        <v>40144</v>
      </c>
      <c r="F3215" t="str">
        <f>"9780080931562"</f>
        <v>9780080931562</v>
      </c>
      <c r="G3215" t="str">
        <f>"9780444527851"</f>
        <v>9780444527851</v>
      </c>
      <c r="H3215" t="s">
        <v>159</v>
      </c>
      <c r="I3215">
        <v>665.53</v>
      </c>
      <c r="J3215" t="s">
        <v>3960</v>
      </c>
      <c r="K3215" t="s">
        <v>73</v>
      </c>
      <c r="N3215" t="s">
        <v>74</v>
      </c>
      <c r="O3215" t="s">
        <v>75</v>
      </c>
      <c r="P3215" t="s">
        <v>74</v>
      </c>
      <c r="Q3215" t="s">
        <v>76</v>
      </c>
      <c r="R3215" t="s">
        <v>73</v>
      </c>
      <c r="S3215">
        <v>0</v>
      </c>
      <c r="W3215" s="20">
        <v>3.8888888888888883E-3</v>
      </c>
      <c r="X3215" t="s">
        <v>6787</v>
      </c>
      <c r="Y3215">
        <v>5</v>
      </c>
      <c r="Z3215">
        <v>0</v>
      </c>
      <c r="AA3215" t="s">
        <v>78</v>
      </c>
      <c r="AB3215">
        <v>0</v>
      </c>
      <c r="AC3215" t="s">
        <v>78</v>
      </c>
      <c r="AD3215">
        <v>0</v>
      </c>
      <c r="AE3215">
        <v>10378873</v>
      </c>
      <c r="AF3215" t="s">
        <v>79</v>
      </c>
      <c r="AG3215" t="s">
        <v>6343</v>
      </c>
    </row>
    <row r="3216" spans="1:33" x14ac:dyDescent="0.35">
      <c r="A3216" s="18">
        <v>44197.614583333336</v>
      </c>
      <c r="B3216">
        <v>533846</v>
      </c>
      <c r="C3216" t="s">
        <v>6788</v>
      </c>
      <c r="D3216" t="s">
        <v>1240</v>
      </c>
      <c r="E3216" s="19">
        <v>40899</v>
      </c>
      <c r="F3216" t="str">
        <f>"9781441105868"</f>
        <v>9781441105868</v>
      </c>
      <c r="G3216" t="str">
        <f>"9781441121097"</f>
        <v>9781441121097</v>
      </c>
      <c r="H3216" t="s">
        <v>528</v>
      </c>
      <c r="I3216" t="s">
        <v>6789</v>
      </c>
      <c r="J3216" t="s">
        <v>6790</v>
      </c>
      <c r="K3216" t="s">
        <v>73</v>
      </c>
      <c r="N3216" t="s">
        <v>74</v>
      </c>
      <c r="O3216" t="s">
        <v>75</v>
      </c>
      <c r="P3216" t="s">
        <v>74</v>
      </c>
      <c r="Q3216" t="s">
        <v>76</v>
      </c>
      <c r="R3216" t="s">
        <v>73</v>
      </c>
      <c r="S3216">
        <v>0</v>
      </c>
      <c r="W3216" s="20">
        <v>1.6643518518518519E-2</v>
      </c>
      <c r="X3216" t="s">
        <v>6791</v>
      </c>
      <c r="Y3216">
        <v>54</v>
      </c>
      <c r="Z3216">
        <v>0</v>
      </c>
      <c r="AA3216" t="s">
        <v>78</v>
      </c>
      <c r="AB3216">
        <v>0</v>
      </c>
      <c r="AC3216" t="s">
        <v>6792</v>
      </c>
      <c r="AD3216">
        <v>2</v>
      </c>
      <c r="AE3216">
        <v>10387227</v>
      </c>
      <c r="AF3216" t="s">
        <v>79</v>
      </c>
      <c r="AG3216" t="s">
        <v>6180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PQ</vt:lpstr>
      <vt:lpstr>Ebooks Summary</vt:lpstr>
      <vt:lpstr>Ebooks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 Zacharias</dc:creator>
  <cp:lastModifiedBy>Rani Anand</cp:lastModifiedBy>
  <dcterms:created xsi:type="dcterms:W3CDTF">2021-12-28T04:31:35Z</dcterms:created>
  <dcterms:modified xsi:type="dcterms:W3CDTF">2022-01-20T11:59:37Z</dcterms:modified>
</cp:coreProperties>
</file>