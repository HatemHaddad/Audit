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2019 PRs\Stats 2018\"/>
    </mc:Choice>
  </mc:AlternateContent>
  <bookViews>
    <workbookView xWindow="0" yWindow="0" windowWidth="21600" windowHeight="9630"/>
  </bookViews>
  <sheets>
    <sheet name="Agregated usage" sheetId="2" r:id="rId1"/>
    <sheet name="WoS usage by metric" sheetId="1" r:id="rId2"/>
    <sheet name="JCR" sheetId="3" r:id="rId3"/>
  </sheets>
  <definedNames>
    <definedName name="_xlnm._FilterDatabase" localSheetId="1" hidden="1">'WoS usage by metric'!$A$2:$AK$297</definedName>
    <definedName name="_xlchart.v1.0" hidden="1">JCR!$A$2:$A$35</definedName>
    <definedName name="_xlchart.v1.1" hidden="1">JCR!$B$1</definedName>
    <definedName name="_xlchart.v1.2" hidden="1">JCR!$B$2:$B$35</definedName>
    <definedName name="_xlchart.v1.3" hidden="1">JCR!$C$1</definedName>
    <definedName name="_xlchart.v1.4" hidden="1">JCR!$C$2:$C$35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2" l="1"/>
  <c r="C36" i="3"/>
  <c r="AK1" i="1" l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 l="1"/>
</calcChain>
</file>

<file path=xl/sharedStrings.xml><?xml version="1.0" encoding="utf-8"?>
<sst xmlns="http://schemas.openxmlformats.org/spreadsheetml/2006/main" count="680" uniqueCount="185">
  <si>
    <t>Institution</t>
  </si>
  <si>
    <t>Product &amp; Usage Metric</t>
  </si>
  <si>
    <t>Total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</si>
  <si>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</si>
  <si>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</si>
  <si>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</si>
  <si>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</si>
  <si>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</si>
  <si>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</si>
  <si>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</si>
  <si>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</si>
  <si>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</si>
  <si>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</si>
  <si>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</si>
  <si>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</si>
  <si>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</si>
  <si>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</si>
  <si>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</si>
  <si>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</si>
  <si>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</si>
  <si>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</si>
  <si>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</si>
  <si>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</si>
  <si>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</si>
  <si>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</si>
  <si>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</si>
  <si>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</si>
  <si>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</si>
  <si>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</si>
  <si>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</si>
  <si>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</si>
  <si>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</si>
  <si>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</si>
  <si>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</si>
  <si>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</si>
  <si>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</si>
  <si>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All-DBs Sub-Sessions</t>
  </si>
  <si>
    <t>All-DBs Queries</t>
  </si>
  <si>
    <t>All-DBs Citations</t>
  </si>
  <si>
    <t>All-DBs Records Viewed</t>
  </si>
  <si>
    <t>All-DBs Records Exported</t>
  </si>
  <si>
    <t>All-DBs Records Saved</t>
  </si>
  <si>
    <t>All-DBs Records Printed</t>
  </si>
  <si>
    <t>All-DBs Records Emailed</t>
  </si>
  <si>
    <t>All-DBs Records Ordered</t>
  </si>
  <si>
    <t>All-DBs TOC Viewed</t>
  </si>
  <si>
    <t>All-DBs CWC Viewed</t>
  </si>
  <si>
    <t>All-DBs Result Clicks</t>
  </si>
  <si>
    <t>KJD Sub-Sessions</t>
  </si>
  <si>
    <t>KJD Queries</t>
  </si>
  <si>
    <t>KJD Citations</t>
  </si>
  <si>
    <t>KJD Records Viewed</t>
  </si>
  <si>
    <t>KJD Records Exported</t>
  </si>
  <si>
    <t>KJD Records Saved</t>
  </si>
  <si>
    <t>KJD Records Printed</t>
  </si>
  <si>
    <t>KJD Records Emailed</t>
  </si>
  <si>
    <t>KJD Records Ordered</t>
  </si>
  <si>
    <t>KJD TOC Viewed</t>
  </si>
  <si>
    <t>KJD CWC Viewed</t>
  </si>
  <si>
    <t>KJD Result Clicks</t>
  </si>
  <si>
    <t>RSCI Sub-Sessions</t>
  </si>
  <si>
    <t>RSCI Queries</t>
  </si>
  <si>
    <t>RSCI Citations</t>
  </si>
  <si>
    <t>RSCI Records Viewed</t>
  </si>
  <si>
    <t>RSCI Records Exported</t>
  </si>
  <si>
    <t>RSCI Records Saved</t>
  </si>
  <si>
    <t>RSCI Records Printed</t>
  </si>
  <si>
    <t>RSCI Records Emailed</t>
  </si>
  <si>
    <t>RSCI Records Ordered</t>
  </si>
  <si>
    <t>RSCI TOC Viewed</t>
  </si>
  <si>
    <t>RSCI CWC Viewed</t>
  </si>
  <si>
    <t>RSCI Result Clicks</t>
  </si>
  <si>
    <t>SCIELO Sub-Sessions</t>
  </si>
  <si>
    <t>SCIELO Queries</t>
  </si>
  <si>
    <t>SCIELO Citations</t>
  </si>
  <si>
    <t>SCIELO Records Viewed</t>
  </si>
  <si>
    <t>SCIELO Records Exported</t>
  </si>
  <si>
    <t>SCIELO Records Saved</t>
  </si>
  <si>
    <t>SCIELO Records Printed</t>
  </si>
  <si>
    <t>SCIELO Records Emailed</t>
  </si>
  <si>
    <t>SCIELO Records Ordered</t>
  </si>
  <si>
    <t>SCIELO TOC Viewed</t>
  </si>
  <si>
    <t>SCIELO CWC Viewed</t>
  </si>
  <si>
    <t>SCIELO Result Clicks</t>
  </si>
  <si>
    <t>WOS Sub-Sessions</t>
  </si>
  <si>
    <t>WOS Queries</t>
  </si>
  <si>
    <t>WOS Citations</t>
  </si>
  <si>
    <t>WOS Records Viewed</t>
  </si>
  <si>
    <t>WOS Records Exported</t>
  </si>
  <si>
    <t>WOS Records Saved</t>
  </si>
  <si>
    <t>WOS Records Printed</t>
  </si>
  <si>
    <t>WOS Records Emailed</t>
  </si>
  <si>
    <t>WOS Records Ordered</t>
  </si>
  <si>
    <t>WOS TOC Viewed</t>
  </si>
  <si>
    <t>WOS CWC Viewed</t>
  </si>
  <si>
    <t>WOS Result Clicks</t>
  </si>
  <si>
    <t>WOS-WS Sub-Sessions</t>
  </si>
  <si>
    <t>WOS-WS Queries</t>
  </si>
  <si>
    <t>WOS-WS Citations</t>
  </si>
  <si>
    <t>WOS-WS Records Viewed</t>
  </si>
  <si>
    <t>WOS-WS Records Exported</t>
  </si>
  <si>
    <t>WOS-WS Records Saved</t>
  </si>
  <si>
    <t>WOS-WS Records Printed</t>
  </si>
  <si>
    <t>WOS-WS Records Emailed</t>
  </si>
  <si>
    <t>WOS-WS Records Ordered</t>
  </si>
  <si>
    <t>WOS-WS TOC Viewed</t>
  </si>
  <si>
    <t>WOS-WS CWC Viewed</t>
  </si>
  <si>
    <t>WOS-WS Result Clicks</t>
  </si>
  <si>
    <t>WoK Portal Sessions</t>
  </si>
  <si>
    <t>Alerts - Citation</t>
  </si>
  <si>
    <t>Alerts - Search</t>
  </si>
  <si>
    <t>Alerts - TOC</t>
  </si>
  <si>
    <t>AMR - Links To WoS Citing Articles</t>
  </si>
  <si>
    <t>AMR - Links To WoS Full Records</t>
  </si>
  <si>
    <t>AMR - Links To WoS Related Records</t>
  </si>
  <si>
    <t>AMR - Links To WoS Times Cited Counts</t>
  </si>
  <si>
    <t>AMR - Total Calls</t>
  </si>
  <si>
    <t>AMR - Total Items Requested</t>
  </si>
  <si>
    <t>AMR - WoS Items Matched</t>
  </si>
  <si>
    <t>AMR - WoS Items Not Matched</t>
  </si>
  <si>
    <t>RSS Feeds - Citation</t>
  </si>
  <si>
    <t>RSS Feeds - Search</t>
  </si>
  <si>
    <t>RSS Feeds - TOC</t>
  </si>
  <si>
    <t>ResearchSoft Queries into WoK</t>
  </si>
  <si>
    <t>Custom Links to Full Text</t>
  </si>
  <si>
    <t>EndNote online logins</t>
  </si>
  <si>
    <t>EndNote online new users</t>
  </si>
  <si>
    <t>EndNote online new refs</t>
  </si>
  <si>
    <t>EndNote online exports</t>
  </si>
  <si>
    <t>EndNote online imports</t>
  </si>
  <si>
    <t>EndNote online searches</t>
  </si>
  <si>
    <t>EndNote online captures</t>
  </si>
  <si>
    <t>EndNote online CWYW format bib</t>
  </si>
  <si>
    <t>EndNote online CWYW travel lib</t>
  </si>
  <si>
    <t>EndNote online total pages served</t>
  </si>
  <si>
    <t>Glossary of terms</t>
  </si>
  <si>
    <t xml:space="preserve">Session: </t>
  </si>
  <si>
    <t>Number of successful logons (connections) to Web of Science.</t>
  </si>
  <si>
    <t xml:space="preserve">Sub-sessions: </t>
  </si>
  <si>
    <t>Number of successful logons (connections) to a product accessed through Web of Science.</t>
  </si>
  <si>
    <t xml:space="preserve">Query: </t>
  </si>
  <si>
    <t>A request that returns results from a database. A query is always recorded when a user clicks the Search button in a product. A query is also recorded when a set is created by an alert.</t>
  </si>
  <si>
    <t>WS - Abbreviation for Web Services.</t>
  </si>
  <si>
    <t>Web-based information exchange systems based on XML and standard communications protocols. A Web services subsession is recorded when an outside Web application accesses an Web of Knowledge database via the supported web services interface provided by Web of Knowledge. A Web services query is recorded when request for data is submitted to a database in Web of Knowledge via a Web services client.</t>
  </si>
  <si>
    <t>Year</t>
  </si>
  <si>
    <t>Year-Month</t>
  </si>
  <si>
    <t>Sub-Sessions including WS</t>
  </si>
  <si>
    <t>Queries including WS</t>
  </si>
  <si>
    <t>Petroleum Institute</t>
  </si>
  <si>
    <t>Links to OpenURL Server</t>
  </si>
  <si>
    <t>AMR - JCR Links To 5-year Trend Graph</t>
  </si>
  <si>
    <t>AMR - JCR Items Not Matched</t>
  </si>
  <si>
    <t>AMR - JCR Items Matched</t>
  </si>
  <si>
    <t>MEDLINE Result Clicks</t>
  </si>
  <si>
    <t>MEDLINE CWC Viewed</t>
  </si>
  <si>
    <t>MEDLINE TOC Viewed</t>
  </si>
  <si>
    <t>MEDLINE Records Ordered</t>
  </si>
  <si>
    <t>MEDLINE Records Emailed</t>
  </si>
  <si>
    <t>MEDLINE Records Printed</t>
  </si>
  <si>
    <t>MEDLINE Records Saved</t>
  </si>
  <si>
    <t>MEDLINE Records Exported</t>
  </si>
  <si>
    <t>MEDLINE Records Viewed</t>
  </si>
  <si>
    <t>MEDLINE Citations</t>
  </si>
  <si>
    <t>MEDLINE Queries</t>
  </si>
  <si>
    <t>MEDLINE Sub-Sessions</t>
  </si>
  <si>
    <t>JCR Result Clicks</t>
  </si>
  <si>
    <t>JCR CWC Viewed</t>
  </si>
  <si>
    <t>JCR TOC Viewed</t>
  </si>
  <si>
    <t>JCR Records Ordered</t>
  </si>
  <si>
    <t>JCR Records Emailed</t>
  </si>
  <si>
    <t>JCR Records Printed</t>
  </si>
  <si>
    <t>JCR Records Saved</t>
  </si>
  <si>
    <t>JCR Records Exported</t>
  </si>
  <si>
    <t>JCR Records Viewed</t>
  </si>
  <si>
    <t>JCR Citations</t>
  </si>
  <si>
    <t>JCR Queries</t>
  </si>
  <si>
    <t>JCR Sub-Sessions</t>
  </si>
  <si>
    <t>Masdar Institute of Science and Technology - Abu Dhabi</t>
  </si>
  <si>
    <t>Khalifa University of Science Technology and Research - Abu Dhabi</t>
  </si>
  <si>
    <t>2018-10</t>
  </si>
  <si>
    <t>Saved &amp; exported records</t>
  </si>
  <si>
    <t>Viewed &amp; Click records</t>
  </si>
  <si>
    <t>Month</t>
  </si>
  <si>
    <t>Incites_JCR Sub-Sessions</t>
  </si>
  <si>
    <t>Incites_JCR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</si>
</sst>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mmm\-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164" fontId="0" fillId="0" borderId="0" xfId="1" applyNumberFormat="1" applyFont="1"/>
    <xf numFmtId="0" fontId="0" fillId="0" borderId="9" xfId="0" applyBorder="1"/>
    <xf numFmtId="0" fontId="0" fillId="0" borderId="10" xfId="0" applyBorder="1"/>
    <xf numFmtId="0" fontId="2" fillId="0" borderId="5" xfId="0" applyFont="1" applyFill="1" applyBorder="1" applyAlignment="1">
      <alignment vertical="center" wrapText="1"/>
    </xf>
    <xf numFmtId="165" fontId="0" fillId="0" borderId="6" xfId="0" applyNumberFormat="1" applyBorder="1"/>
    <xf numFmtId="165" fontId="0" fillId="0" borderId="7" xfId="0" applyNumberForma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164" fontId="0" fillId="0" borderId="12" xfId="1" applyNumberFormat="1" applyFont="1" applyBorder="1"/>
    <xf numFmtId="164" fontId="0" fillId="0" borderId="13" xfId="1" applyNumberFormat="1" applyFont="1" applyBorder="1"/>
    <xf numFmtId="164" fontId="0" fillId="0" borderId="14" xfId="1" applyNumberFormat="1" applyFont="1" applyBorder="1"/>
    <xf numFmtId="0" fontId="2" fillId="0" borderId="15" xfId="0" applyFont="1" applyBorder="1" applyAlignment="1">
      <alignment vertical="center" wrapText="1"/>
    </xf>
    <xf numFmtId="0" fontId="2" fillId="0" borderId="16" xfId="0" applyFont="1" applyFill="1" applyBorder="1" applyAlignment="1">
      <alignment vertical="center" wrapText="1"/>
    </xf>
    <xf numFmtId="3" fontId="0" fillId="0" borderId="10" xfId="1" applyNumberFormat="1" applyFont="1" applyBorder="1"/>
    <xf numFmtId="0" fontId="0" fillId="3" borderId="0" xfId="0" applyFill="1"/>
    <xf numFmtId="0" fontId="0" fillId="4" borderId="0" xfId="0" applyFill="1"/>
    <xf numFmtId="3" fontId="0" fillId="0" borderId="17" xfId="1" applyNumberFormat="1" applyFont="1" applyBorder="1"/>
    <xf numFmtId="3" fontId="0" fillId="0" borderId="18" xfId="1" applyNumberFormat="1" applyFont="1" applyBorder="1"/>
    <xf numFmtId="3" fontId="0" fillId="0" borderId="19" xfId="1" applyNumberFormat="1" applyFont="1" applyBorder="1"/>
    <xf numFmtId="3" fontId="0" fillId="0" borderId="20" xfId="1" applyNumberFormat="1" applyFont="1" applyBorder="1"/>
    <xf numFmtId="3" fontId="0" fillId="0" borderId="21" xfId="1" applyNumberFormat="1" applyFont="1" applyBorder="1"/>
    <xf numFmtId="0" fontId="0" fillId="0" borderId="18" xfId="0" applyBorder="1"/>
    <xf numFmtId="0" fontId="0" fillId="0" borderId="8" xfId="0" applyBorder="1"/>
    <xf numFmtId="0" fontId="0" fillId="0" borderId="21" xfId="0" applyBorder="1"/>
    <xf numFmtId="0" fontId="0" fillId="0" borderId="11" xfId="0" applyBorder="1"/>
    <xf numFmtId="165" fontId="0" fillId="0" borderId="8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bg1"/>
                </a:solidFill>
              </a:rPr>
              <a:t>Usage 2016-2018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'Agregated usage'!$C$8</c:f>
              <c:strCache>
                <c:ptCount val="1"/>
                <c:pt idx="0">
                  <c:v>WoK Portal Sessions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'Agregated usage'!$B$9:$B$42</c:f>
              <c:numCache>
                <c:formatCode>[$-409]mmm\-yy;@</c:formatCode>
                <c:ptCount val="34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</c:numCache>
            </c:numRef>
          </c:cat>
          <c:val>
            <c:numRef>
              <c:f>'Agregated usage'!$C$9:$C$42</c:f>
              <c:numCache>
                <c:formatCode>_(* #,##0_);_(* \(#,##0\);_(* "-"??_);_(@_)</c:formatCode>
                <c:ptCount val="34"/>
                <c:pt idx="0">
                  <c:v>757</c:v>
                </c:pt>
                <c:pt idx="1">
                  <c:v>787</c:v>
                </c:pt>
                <c:pt idx="2">
                  <c:v>647</c:v>
                </c:pt>
                <c:pt idx="3">
                  <c:v>529</c:v>
                </c:pt>
                <c:pt idx="4">
                  <c:v>797</c:v>
                </c:pt>
                <c:pt idx="5">
                  <c:v>419</c:v>
                </c:pt>
                <c:pt idx="6">
                  <c:v>223</c:v>
                </c:pt>
                <c:pt idx="7">
                  <c:v>357</c:v>
                </c:pt>
                <c:pt idx="8">
                  <c:v>882</c:v>
                </c:pt>
                <c:pt idx="9">
                  <c:v>940</c:v>
                </c:pt>
                <c:pt idx="10">
                  <c:v>722</c:v>
                </c:pt>
                <c:pt idx="11">
                  <c:v>374</c:v>
                </c:pt>
                <c:pt idx="12">
                  <c:v>822</c:v>
                </c:pt>
                <c:pt idx="13">
                  <c:v>654</c:v>
                </c:pt>
                <c:pt idx="14">
                  <c:v>713</c:v>
                </c:pt>
                <c:pt idx="15">
                  <c:v>517</c:v>
                </c:pt>
                <c:pt idx="16">
                  <c:v>613</c:v>
                </c:pt>
                <c:pt idx="17">
                  <c:v>395</c:v>
                </c:pt>
                <c:pt idx="18">
                  <c:v>286</c:v>
                </c:pt>
                <c:pt idx="19">
                  <c:v>475</c:v>
                </c:pt>
                <c:pt idx="20">
                  <c:v>671</c:v>
                </c:pt>
                <c:pt idx="21">
                  <c:v>694</c:v>
                </c:pt>
                <c:pt idx="22">
                  <c:v>412</c:v>
                </c:pt>
                <c:pt idx="23">
                  <c:v>329</c:v>
                </c:pt>
                <c:pt idx="24">
                  <c:v>462</c:v>
                </c:pt>
                <c:pt idx="25">
                  <c:v>411</c:v>
                </c:pt>
                <c:pt idx="26">
                  <c:v>817</c:v>
                </c:pt>
                <c:pt idx="27">
                  <c:v>580</c:v>
                </c:pt>
                <c:pt idx="28">
                  <c:v>483</c:v>
                </c:pt>
                <c:pt idx="29">
                  <c:v>189</c:v>
                </c:pt>
                <c:pt idx="30">
                  <c:v>232</c:v>
                </c:pt>
                <c:pt idx="31">
                  <c:v>119</c:v>
                </c:pt>
                <c:pt idx="32">
                  <c:v>936</c:v>
                </c:pt>
                <c:pt idx="33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7-7344-988D-964B523980BB}"/>
            </c:ext>
          </c:extLst>
        </c:ser>
        <c:ser>
          <c:idx val="1"/>
          <c:order val="1"/>
          <c:tx>
            <c:strRef>
              <c:f>'Agregated usage'!$D$8</c:f>
              <c:strCache>
                <c:ptCount val="1"/>
                <c:pt idx="0">
                  <c:v>Sub-Sessions including WS</c:v>
                </c:pt>
              </c:strCache>
            </c:strRef>
          </c:tx>
          <c:spPr>
            <a:ln w="22225" cap="rnd">
              <a:solidFill>
                <a:srgbClr val="00B050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'Agregated usage'!$B$9:$B$42</c:f>
              <c:numCache>
                <c:formatCode>[$-409]mmm\-yy;@</c:formatCode>
                <c:ptCount val="34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</c:numCache>
            </c:numRef>
          </c:cat>
          <c:val>
            <c:numRef>
              <c:f>'Agregated usage'!$D$9:$D$42</c:f>
              <c:numCache>
                <c:formatCode>_(* #,##0_);_(* \(#,##0\);_(* "-"??_);_(@_)</c:formatCode>
                <c:ptCount val="34"/>
                <c:pt idx="0">
                  <c:v>787</c:v>
                </c:pt>
                <c:pt idx="1">
                  <c:v>684</c:v>
                </c:pt>
                <c:pt idx="2">
                  <c:v>631</c:v>
                </c:pt>
                <c:pt idx="3">
                  <c:v>558</c:v>
                </c:pt>
                <c:pt idx="4">
                  <c:v>764</c:v>
                </c:pt>
                <c:pt idx="5">
                  <c:v>432</c:v>
                </c:pt>
                <c:pt idx="6">
                  <c:v>295</c:v>
                </c:pt>
                <c:pt idx="7">
                  <c:v>532</c:v>
                </c:pt>
                <c:pt idx="8">
                  <c:v>1126</c:v>
                </c:pt>
                <c:pt idx="9">
                  <c:v>1419</c:v>
                </c:pt>
                <c:pt idx="10">
                  <c:v>999</c:v>
                </c:pt>
                <c:pt idx="11">
                  <c:v>558</c:v>
                </c:pt>
                <c:pt idx="12">
                  <c:v>1052</c:v>
                </c:pt>
                <c:pt idx="13">
                  <c:v>809</c:v>
                </c:pt>
                <c:pt idx="14">
                  <c:v>935</c:v>
                </c:pt>
                <c:pt idx="15">
                  <c:v>700</c:v>
                </c:pt>
                <c:pt idx="16">
                  <c:v>825</c:v>
                </c:pt>
                <c:pt idx="17">
                  <c:v>556</c:v>
                </c:pt>
                <c:pt idx="18">
                  <c:v>412</c:v>
                </c:pt>
                <c:pt idx="19">
                  <c:v>624</c:v>
                </c:pt>
                <c:pt idx="20">
                  <c:v>800</c:v>
                </c:pt>
                <c:pt idx="21">
                  <c:v>819</c:v>
                </c:pt>
                <c:pt idx="22">
                  <c:v>527</c:v>
                </c:pt>
                <c:pt idx="23">
                  <c:v>449</c:v>
                </c:pt>
                <c:pt idx="24">
                  <c:v>653</c:v>
                </c:pt>
                <c:pt idx="25">
                  <c:v>666</c:v>
                </c:pt>
                <c:pt idx="26">
                  <c:v>1027</c:v>
                </c:pt>
                <c:pt idx="27">
                  <c:v>844</c:v>
                </c:pt>
                <c:pt idx="28">
                  <c:v>654</c:v>
                </c:pt>
                <c:pt idx="29">
                  <c:v>284</c:v>
                </c:pt>
                <c:pt idx="30">
                  <c:v>340</c:v>
                </c:pt>
                <c:pt idx="31">
                  <c:v>184</c:v>
                </c:pt>
                <c:pt idx="32">
                  <c:v>1257</c:v>
                </c:pt>
                <c:pt idx="33">
                  <c:v>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7-7344-988D-964B523980BB}"/>
            </c:ext>
          </c:extLst>
        </c:ser>
        <c:ser>
          <c:idx val="2"/>
          <c:order val="2"/>
          <c:tx>
            <c:strRef>
              <c:f>'Agregated usage'!$E$8</c:f>
              <c:strCache>
                <c:ptCount val="1"/>
                <c:pt idx="0">
                  <c:v>Queries including WS</c:v>
                </c:pt>
              </c:strCache>
            </c:strRef>
          </c:tx>
          <c:spPr>
            <a:ln w="22225" cap="rnd">
              <a:solidFill>
                <a:srgbClr val="FF0000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'Agregated usage'!$B$9:$B$42</c:f>
              <c:numCache>
                <c:formatCode>[$-409]mmm\-yy;@</c:formatCode>
                <c:ptCount val="34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</c:numCache>
            </c:numRef>
          </c:cat>
          <c:val>
            <c:numRef>
              <c:f>'Agregated usage'!$E$9:$E$42</c:f>
              <c:numCache>
                <c:formatCode>_(* #,##0_);_(* \(#,##0\);_(* "-"??_);_(@_)</c:formatCode>
                <c:ptCount val="34"/>
                <c:pt idx="0">
                  <c:v>1898</c:v>
                </c:pt>
                <c:pt idx="1">
                  <c:v>1631</c:v>
                </c:pt>
                <c:pt idx="2">
                  <c:v>1669</c:v>
                </c:pt>
                <c:pt idx="3">
                  <c:v>1405</c:v>
                </c:pt>
                <c:pt idx="4">
                  <c:v>2080</c:v>
                </c:pt>
                <c:pt idx="5">
                  <c:v>1327</c:v>
                </c:pt>
                <c:pt idx="6">
                  <c:v>547</c:v>
                </c:pt>
                <c:pt idx="7">
                  <c:v>1027</c:v>
                </c:pt>
                <c:pt idx="8">
                  <c:v>2219</c:v>
                </c:pt>
                <c:pt idx="9">
                  <c:v>3856</c:v>
                </c:pt>
                <c:pt idx="10">
                  <c:v>2015</c:v>
                </c:pt>
                <c:pt idx="11">
                  <c:v>981</c:v>
                </c:pt>
                <c:pt idx="12">
                  <c:v>2005</c:v>
                </c:pt>
                <c:pt idx="13">
                  <c:v>1408</c:v>
                </c:pt>
                <c:pt idx="14">
                  <c:v>1881</c:v>
                </c:pt>
                <c:pt idx="15">
                  <c:v>1136</c:v>
                </c:pt>
                <c:pt idx="16">
                  <c:v>1383</c:v>
                </c:pt>
                <c:pt idx="17">
                  <c:v>885</c:v>
                </c:pt>
                <c:pt idx="18">
                  <c:v>667</c:v>
                </c:pt>
                <c:pt idx="19">
                  <c:v>1115</c:v>
                </c:pt>
                <c:pt idx="20">
                  <c:v>1166</c:v>
                </c:pt>
                <c:pt idx="21">
                  <c:v>1296</c:v>
                </c:pt>
                <c:pt idx="22">
                  <c:v>874</c:v>
                </c:pt>
                <c:pt idx="23">
                  <c:v>1004</c:v>
                </c:pt>
                <c:pt idx="24">
                  <c:v>1368</c:v>
                </c:pt>
                <c:pt idx="25">
                  <c:v>1309</c:v>
                </c:pt>
                <c:pt idx="26">
                  <c:v>1814</c:v>
                </c:pt>
                <c:pt idx="27">
                  <c:v>1537</c:v>
                </c:pt>
                <c:pt idx="28">
                  <c:v>1227</c:v>
                </c:pt>
                <c:pt idx="29">
                  <c:v>493</c:v>
                </c:pt>
                <c:pt idx="30">
                  <c:v>526</c:v>
                </c:pt>
                <c:pt idx="31">
                  <c:v>405</c:v>
                </c:pt>
                <c:pt idx="32">
                  <c:v>2290</c:v>
                </c:pt>
                <c:pt idx="33">
                  <c:v>1386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7-7344-988D-964B52398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40367"/>
        <c:axId val="79509055"/>
      </c:lineChart>
      <c:dateAx>
        <c:axId val="79240367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9055"/>
        <c:crosses val="autoZero"/>
        <c:auto val="1"/>
        <c:lblOffset val="100"/>
        <c:baseTimeUnit val="months"/>
      </c:dateAx>
      <c:valAx>
        <c:axId val="795090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4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'Agregated usage'!$F$8</c:f>
              <c:strCache>
                <c:ptCount val="1"/>
                <c:pt idx="0">
                  <c:v>Saved &amp; exported records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'Agregated usage'!$B$9:$B$42</c:f>
              <c:numCache>
                <c:formatCode>[$-409]mmm\-yy;@</c:formatCode>
                <c:ptCount val="34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</c:numCache>
            </c:numRef>
          </c:cat>
          <c:val>
            <c:numRef>
              <c:f>'Agregated usage'!$F$9:$F$42</c:f>
              <c:numCache>
                <c:formatCode>#,##0</c:formatCode>
                <c:ptCount val="34"/>
                <c:pt idx="0">
                  <c:v>1767</c:v>
                </c:pt>
                <c:pt idx="1">
                  <c:v>115</c:v>
                </c:pt>
                <c:pt idx="2">
                  <c:v>759</c:v>
                </c:pt>
                <c:pt idx="3">
                  <c:v>969</c:v>
                </c:pt>
                <c:pt idx="4">
                  <c:v>1586</c:v>
                </c:pt>
                <c:pt idx="5">
                  <c:v>231</c:v>
                </c:pt>
                <c:pt idx="6">
                  <c:v>1174</c:v>
                </c:pt>
                <c:pt idx="7">
                  <c:v>132</c:v>
                </c:pt>
                <c:pt idx="8">
                  <c:v>1678</c:v>
                </c:pt>
                <c:pt idx="9">
                  <c:v>569</c:v>
                </c:pt>
                <c:pt idx="10">
                  <c:v>98</c:v>
                </c:pt>
                <c:pt idx="11">
                  <c:v>374</c:v>
                </c:pt>
                <c:pt idx="12">
                  <c:v>223</c:v>
                </c:pt>
                <c:pt idx="13">
                  <c:v>124</c:v>
                </c:pt>
                <c:pt idx="14">
                  <c:v>144</c:v>
                </c:pt>
                <c:pt idx="15">
                  <c:v>347</c:v>
                </c:pt>
                <c:pt idx="16">
                  <c:v>417</c:v>
                </c:pt>
                <c:pt idx="17">
                  <c:v>516</c:v>
                </c:pt>
                <c:pt idx="18">
                  <c:v>180</c:v>
                </c:pt>
                <c:pt idx="19">
                  <c:v>1429</c:v>
                </c:pt>
                <c:pt idx="20">
                  <c:v>90</c:v>
                </c:pt>
                <c:pt idx="21">
                  <c:v>2208</c:v>
                </c:pt>
                <c:pt idx="22">
                  <c:v>22</c:v>
                </c:pt>
                <c:pt idx="23">
                  <c:v>0</c:v>
                </c:pt>
                <c:pt idx="24">
                  <c:v>818</c:v>
                </c:pt>
                <c:pt idx="25">
                  <c:v>327</c:v>
                </c:pt>
                <c:pt idx="26">
                  <c:v>7062</c:v>
                </c:pt>
                <c:pt idx="27">
                  <c:v>18</c:v>
                </c:pt>
                <c:pt idx="28">
                  <c:v>59</c:v>
                </c:pt>
                <c:pt idx="29">
                  <c:v>35</c:v>
                </c:pt>
                <c:pt idx="30">
                  <c:v>35</c:v>
                </c:pt>
                <c:pt idx="31">
                  <c:v>0</c:v>
                </c:pt>
                <c:pt idx="32">
                  <c:v>349</c:v>
                </c:pt>
                <c:pt idx="33" formatCode="General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E-7C48-8ACA-AB3E934341D9}"/>
            </c:ext>
          </c:extLst>
        </c:ser>
        <c:ser>
          <c:idx val="1"/>
          <c:order val="1"/>
          <c:tx>
            <c:strRef>
              <c:f>'Agregated usage'!$G$8</c:f>
              <c:strCache>
                <c:ptCount val="1"/>
                <c:pt idx="0">
                  <c:v>Viewed &amp; Click records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'Agregated usage'!$B$9:$B$42</c:f>
              <c:numCache>
                <c:formatCode>[$-409]mmm\-yy;@</c:formatCode>
                <c:ptCount val="34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</c:numCache>
            </c:numRef>
          </c:cat>
          <c:val>
            <c:numRef>
              <c:f>'Agregated usage'!$G$9:$G$42</c:f>
              <c:numCache>
                <c:formatCode>General</c:formatCode>
                <c:ptCount val="34"/>
                <c:pt idx="0">
                  <c:v>1563</c:v>
                </c:pt>
                <c:pt idx="1">
                  <c:v>1646</c:v>
                </c:pt>
                <c:pt idx="2">
                  <c:v>1690</c:v>
                </c:pt>
                <c:pt idx="3">
                  <c:v>1717</c:v>
                </c:pt>
                <c:pt idx="4">
                  <c:v>1545</c:v>
                </c:pt>
                <c:pt idx="5">
                  <c:v>1204</c:v>
                </c:pt>
                <c:pt idx="6">
                  <c:v>488</c:v>
                </c:pt>
                <c:pt idx="7">
                  <c:v>1174</c:v>
                </c:pt>
                <c:pt idx="8">
                  <c:v>2575</c:v>
                </c:pt>
                <c:pt idx="9">
                  <c:v>3657</c:v>
                </c:pt>
                <c:pt idx="10">
                  <c:v>1753</c:v>
                </c:pt>
                <c:pt idx="11" formatCode="#,##0">
                  <c:v>1075</c:v>
                </c:pt>
                <c:pt idx="12">
                  <c:v>1785</c:v>
                </c:pt>
                <c:pt idx="13">
                  <c:v>1189</c:v>
                </c:pt>
                <c:pt idx="14">
                  <c:v>1369</c:v>
                </c:pt>
                <c:pt idx="15">
                  <c:v>877</c:v>
                </c:pt>
                <c:pt idx="16">
                  <c:v>1313</c:v>
                </c:pt>
                <c:pt idx="17">
                  <c:v>935</c:v>
                </c:pt>
                <c:pt idx="18">
                  <c:v>619</c:v>
                </c:pt>
                <c:pt idx="19">
                  <c:v>891</c:v>
                </c:pt>
                <c:pt idx="20">
                  <c:v>1283</c:v>
                </c:pt>
                <c:pt idx="21">
                  <c:v>955</c:v>
                </c:pt>
                <c:pt idx="22">
                  <c:v>928</c:v>
                </c:pt>
                <c:pt idx="23">
                  <c:v>937</c:v>
                </c:pt>
                <c:pt idx="24">
                  <c:v>1366</c:v>
                </c:pt>
                <c:pt idx="25">
                  <c:v>1227</c:v>
                </c:pt>
                <c:pt idx="26">
                  <c:v>1491</c:v>
                </c:pt>
                <c:pt idx="27">
                  <c:v>1937</c:v>
                </c:pt>
                <c:pt idx="28">
                  <c:v>1025</c:v>
                </c:pt>
                <c:pt idx="29">
                  <c:v>599</c:v>
                </c:pt>
                <c:pt idx="30">
                  <c:v>599</c:v>
                </c:pt>
                <c:pt idx="31">
                  <c:v>411</c:v>
                </c:pt>
                <c:pt idx="32">
                  <c:v>2205</c:v>
                </c:pt>
                <c:pt idx="33">
                  <c:v>1261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21-0142-8CB2-6D9B6EBB9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6883359"/>
        <c:axId val="78536319"/>
      </c:barChart>
      <c:dateAx>
        <c:axId val="66883359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36319"/>
        <c:crosses val="autoZero"/>
        <c:auto val="1"/>
        <c:lblOffset val="100"/>
        <c:baseTimeUnit val="months"/>
      </c:dateAx>
      <c:valAx>
        <c:axId val="78536319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Journal Citation Report</a:t>
            </a:r>
          </a:p>
          <a:p>
            <a:pPr>
              <a:defRPr/>
            </a:pPr>
            <a:r>
              <a:rPr lang="en-US"/>
              <a:t>Sub-sessions and Queries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JCR!$B$1</c:f>
              <c:strCache>
                <c:ptCount val="1"/>
                <c:pt idx="0">
                  <c:v>Incites_JCR Sub-Sessions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JCR!$A$2:$A$35</c:f>
              <c:strCache>
                <c:ptCount val="34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2017-01</c:v>
                </c:pt>
                <c:pt idx="13">
                  <c:v>2017-02</c:v>
                </c:pt>
                <c:pt idx="14">
                  <c:v>2017-03</c:v>
                </c:pt>
                <c:pt idx="15">
                  <c:v>2017-04</c:v>
                </c:pt>
                <c:pt idx="16">
                  <c:v>2017-05</c:v>
                </c:pt>
                <c:pt idx="17">
                  <c:v>2017-06</c:v>
                </c:pt>
                <c:pt idx="18">
                  <c:v>2017-07</c:v>
                </c:pt>
                <c:pt idx="19">
                  <c:v>2017-08</c:v>
                </c:pt>
                <c:pt idx="20">
                  <c:v>2017-09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2018-01</c:v>
                </c:pt>
                <c:pt idx="25">
                  <c:v>2018-02</c:v>
                </c:pt>
                <c:pt idx="26">
                  <c:v>2018-03</c:v>
                </c:pt>
                <c:pt idx="27">
                  <c:v>2018-04</c:v>
                </c:pt>
                <c:pt idx="28">
                  <c:v>2018-05</c:v>
                </c:pt>
                <c:pt idx="29">
                  <c:v>2018-06</c:v>
                </c:pt>
                <c:pt idx="30">
                  <c:v>2018-07</c:v>
                </c:pt>
                <c:pt idx="31">
                  <c:v>2018-08</c:v>
                </c:pt>
                <c:pt idx="32">
                  <c:v>2018-09</c:v>
                </c:pt>
                <c:pt idx="33">
                  <c:v>2018-10</c:v>
                </c:pt>
              </c:strCache>
            </c:strRef>
          </c:cat>
          <c:val>
            <c:numRef>
              <c:f>JCR!$B$2:$B$35</c:f>
              <c:numCache>
                <c:formatCode>General</c:formatCode>
                <c:ptCount val="34"/>
                <c:pt idx="0">
                  <c:v>162</c:v>
                </c:pt>
                <c:pt idx="1">
                  <c:v>147</c:v>
                </c:pt>
                <c:pt idx="2">
                  <c:v>94</c:v>
                </c:pt>
                <c:pt idx="3">
                  <c:v>46</c:v>
                </c:pt>
                <c:pt idx="4">
                  <c:v>70</c:v>
                </c:pt>
                <c:pt idx="5">
                  <c:v>69</c:v>
                </c:pt>
                <c:pt idx="6">
                  <c:v>4</c:v>
                </c:pt>
                <c:pt idx="7">
                  <c:v>78</c:v>
                </c:pt>
                <c:pt idx="8">
                  <c:v>174</c:v>
                </c:pt>
                <c:pt idx="9">
                  <c:v>223</c:v>
                </c:pt>
                <c:pt idx="10">
                  <c:v>139</c:v>
                </c:pt>
                <c:pt idx="11">
                  <c:v>151</c:v>
                </c:pt>
                <c:pt idx="12">
                  <c:v>226</c:v>
                </c:pt>
                <c:pt idx="13">
                  <c:v>208</c:v>
                </c:pt>
                <c:pt idx="14">
                  <c:v>203</c:v>
                </c:pt>
                <c:pt idx="15">
                  <c:v>36</c:v>
                </c:pt>
                <c:pt idx="16">
                  <c:v>223</c:v>
                </c:pt>
                <c:pt idx="17">
                  <c:v>141</c:v>
                </c:pt>
                <c:pt idx="18">
                  <c:v>112</c:v>
                </c:pt>
                <c:pt idx="19">
                  <c:v>112</c:v>
                </c:pt>
                <c:pt idx="20">
                  <c:v>120</c:v>
                </c:pt>
                <c:pt idx="21">
                  <c:v>170</c:v>
                </c:pt>
                <c:pt idx="22">
                  <c:v>122</c:v>
                </c:pt>
                <c:pt idx="23">
                  <c:v>160</c:v>
                </c:pt>
                <c:pt idx="24">
                  <c:v>140</c:v>
                </c:pt>
                <c:pt idx="25">
                  <c:v>193</c:v>
                </c:pt>
                <c:pt idx="26">
                  <c:v>210</c:v>
                </c:pt>
                <c:pt idx="27">
                  <c:v>256</c:v>
                </c:pt>
                <c:pt idx="28">
                  <c:v>130</c:v>
                </c:pt>
                <c:pt idx="29">
                  <c:v>134</c:v>
                </c:pt>
                <c:pt idx="30">
                  <c:v>16</c:v>
                </c:pt>
                <c:pt idx="31">
                  <c:v>22</c:v>
                </c:pt>
                <c:pt idx="32">
                  <c:v>70</c:v>
                </c:pt>
                <c:pt idx="3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E-8A4F-B3A4-0320D27BE394}"/>
            </c:ext>
          </c:extLst>
        </c:ser>
        <c:ser>
          <c:idx val="1"/>
          <c:order val="1"/>
          <c:tx>
            <c:strRef>
              <c:f>JCR!$C$1</c:f>
              <c:strCache>
                <c:ptCount val="1"/>
                <c:pt idx="0">
                  <c:v>Incites_JCR Queries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JCR!$A$2:$A$35</c:f>
              <c:strCache>
                <c:ptCount val="34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2017-01</c:v>
                </c:pt>
                <c:pt idx="13">
                  <c:v>2017-02</c:v>
                </c:pt>
                <c:pt idx="14">
                  <c:v>2017-03</c:v>
                </c:pt>
                <c:pt idx="15">
                  <c:v>2017-04</c:v>
                </c:pt>
                <c:pt idx="16">
                  <c:v>2017-05</c:v>
                </c:pt>
                <c:pt idx="17">
                  <c:v>2017-06</c:v>
                </c:pt>
                <c:pt idx="18">
                  <c:v>2017-07</c:v>
                </c:pt>
                <c:pt idx="19">
                  <c:v>2017-08</c:v>
                </c:pt>
                <c:pt idx="20">
                  <c:v>2017-09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2018-01</c:v>
                </c:pt>
                <c:pt idx="25">
                  <c:v>2018-02</c:v>
                </c:pt>
                <c:pt idx="26">
                  <c:v>2018-03</c:v>
                </c:pt>
                <c:pt idx="27">
                  <c:v>2018-04</c:v>
                </c:pt>
                <c:pt idx="28">
                  <c:v>2018-05</c:v>
                </c:pt>
                <c:pt idx="29">
                  <c:v>2018-06</c:v>
                </c:pt>
                <c:pt idx="30">
                  <c:v>2018-07</c:v>
                </c:pt>
                <c:pt idx="31">
                  <c:v>2018-08</c:v>
                </c:pt>
                <c:pt idx="32">
                  <c:v>2018-09</c:v>
                </c:pt>
                <c:pt idx="33">
                  <c:v>2018-10</c:v>
                </c:pt>
              </c:strCache>
            </c:strRef>
          </c:cat>
          <c:val>
            <c:numRef>
              <c:f>JCR!$C$2:$C$35</c:f>
              <c:numCache>
                <c:formatCode>General</c:formatCode>
                <c:ptCount val="34"/>
                <c:pt idx="0">
                  <c:v>371</c:v>
                </c:pt>
                <c:pt idx="1">
                  <c:v>289</c:v>
                </c:pt>
                <c:pt idx="2">
                  <c:v>143</c:v>
                </c:pt>
                <c:pt idx="3">
                  <c:v>137</c:v>
                </c:pt>
                <c:pt idx="4">
                  <c:v>90</c:v>
                </c:pt>
                <c:pt idx="5">
                  <c:v>121</c:v>
                </c:pt>
                <c:pt idx="6">
                  <c:v>13</c:v>
                </c:pt>
                <c:pt idx="7">
                  <c:v>90</c:v>
                </c:pt>
                <c:pt idx="8">
                  <c:v>189</c:v>
                </c:pt>
                <c:pt idx="9">
                  <c:v>261</c:v>
                </c:pt>
                <c:pt idx="10">
                  <c:v>144</c:v>
                </c:pt>
                <c:pt idx="11">
                  <c:v>155</c:v>
                </c:pt>
                <c:pt idx="12">
                  <c:v>242</c:v>
                </c:pt>
                <c:pt idx="13">
                  <c:v>171</c:v>
                </c:pt>
                <c:pt idx="14">
                  <c:v>263</c:v>
                </c:pt>
                <c:pt idx="15">
                  <c:v>38</c:v>
                </c:pt>
                <c:pt idx="16">
                  <c:v>333</c:v>
                </c:pt>
                <c:pt idx="17">
                  <c:v>240</c:v>
                </c:pt>
                <c:pt idx="18">
                  <c:v>149</c:v>
                </c:pt>
                <c:pt idx="19">
                  <c:v>193</c:v>
                </c:pt>
                <c:pt idx="20">
                  <c:v>158</c:v>
                </c:pt>
                <c:pt idx="21">
                  <c:v>219</c:v>
                </c:pt>
                <c:pt idx="22">
                  <c:v>118</c:v>
                </c:pt>
                <c:pt idx="23">
                  <c:v>137</c:v>
                </c:pt>
                <c:pt idx="24">
                  <c:v>162</c:v>
                </c:pt>
                <c:pt idx="25">
                  <c:v>308</c:v>
                </c:pt>
                <c:pt idx="26">
                  <c:v>352</c:v>
                </c:pt>
                <c:pt idx="27">
                  <c:v>412</c:v>
                </c:pt>
                <c:pt idx="28">
                  <c:v>146</c:v>
                </c:pt>
                <c:pt idx="29">
                  <c:v>227</c:v>
                </c:pt>
                <c:pt idx="30">
                  <c:v>23</c:v>
                </c:pt>
                <c:pt idx="31">
                  <c:v>47</c:v>
                </c:pt>
                <c:pt idx="32">
                  <c:v>55</c:v>
                </c:pt>
                <c:pt idx="33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E-8A4F-B3A4-0320D27BE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0251887"/>
        <c:axId val="870275679"/>
      </c:barChart>
      <c:catAx>
        <c:axId val="8702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75679"/>
        <c:crosses val="autoZero"/>
        <c:auto val="1"/>
        <c:lblAlgn val="ctr"/>
        <c:lblOffset val="100"/>
        <c:noMultiLvlLbl val="0"/>
      </c:catAx>
      <c:valAx>
        <c:axId val="87027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5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7</xdr:row>
      <xdr:rowOff>0</xdr:rowOff>
    </xdr:from>
    <xdr:to>
      <xdr:col>20</xdr:col>
      <xdr:colOff>444500</xdr:colOff>
      <xdr:row>35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DD70C7-071B-F14C-B4E0-6387D9E10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35</xdr:row>
      <xdr:rowOff>127000</xdr:rowOff>
    </xdr:from>
    <xdr:to>
      <xdr:col>20</xdr:col>
      <xdr:colOff>444500</xdr:colOff>
      <xdr:row>60</xdr:row>
      <xdr:rowOff>42334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4B097D-F13D-FB47-98C0-B7C3E91AD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50800</xdr:rowOff>
    </xdr:from>
    <xdr:to>
      <xdr:col>16</xdr:col>
      <xdr:colOff>50800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32028-BB54-6849-9656-11634B251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topLeftCell="A4" zoomScale="90" zoomScaleNormal="90" workbookViewId="0">
      <selection activeCell="G33" sqref="G33:G44"/>
    </sheetView>
  </sheetViews>
  <sheetFormatPr defaultColWidth="11" defaultRowHeight="15.75" x14ac:dyDescent="0.25"/>
  <cols>
    <col min="1" max="2" width="8.625" customWidth="1"/>
    <col min="3" max="3" width="9.375" customWidth="1"/>
    <col min="4" max="4" width="9.125" customWidth="1"/>
    <col min="5" max="5" width="9" customWidth="1"/>
    <col min="6" max="6" width="9.625" customWidth="1"/>
  </cols>
  <sheetData>
    <row r="1" spans="1:15" x14ac:dyDescent="0.25">
      <c r="A1" s="40" t="s">
        <v>135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x14ac:dyDescent="0.25">
      <c r="A3" s="1" t="s">
        <v>136</v>
      </c>
      <c r="B3" s="41" t="s">
        <v>137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5" ht="30" x14ac:dyDescent="0.25">
      <c r="A4" s="2" t="s">
        <v>138</v>
      </c>
      <c r="B4" s="42" t="s">
        <v>139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30" customHeight="1" x14ac:dyDescent="0.25">
      <c r="A5" s="1" t="s">
        <v>140</v>
      </c>
      <c r="B5" s="43" t="s">
        <v>141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 spans="1:15" ht="56.1" customHeight="1" x14ac:dyDescent="0.25">
      <c r="A6" s="2" t="s">
        <v>142</v>
      </c>
      <c r="B6" s="44" t="s">
        <v>143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</row>
    <row r="7" spans="1:15" ht="16.5" thickBot="1" x14ac:dyDescent="0.3"/>
    <row r="8" spans="1:15" ht="63.75" thickBot="1" x14ac:dyDescent="0.3">
      <c r="A8" s="15" t="s">
        <v>144</v>
      </c>
      <c r="B8" s="6" t="s">
        <v>145</v>
      </c>
      <c r="C8" s="6" t="s">
        <v>108</v>
      </c>
      <c r="D8" s="6" t="s">
        <v>146</v>
      </c>
      <c r="E8" s="16" t="s">
        <v>147</v>
      </c>
      <c r="F8" s="6" t="s">
        <v>180</v>
      </c>
      <c r="G8" s="6" t="s">
        <v>181</v>
      </c>
    </row>
    <row r="9" spans="1:15" x14ac:dyDescent="0.25">
      <c r="A9" s="34">
        <v>2016</v>
      </c>
      <c r="B9" s="7">
        <v>42370</v>
      </c>
      <c r="C9" s="9">
        <v>757</v>
      </c>
      <c r="D9" s="9">
        <v>787</v>
      </c>
      <c r="E9" s="12">
        <v>1898</v>
      </c>
      <c r="F9" s="20">
        <v>1767</v>
      </c>
      <c r="G9" s="26">
        <v>1563</v>
      </c>
    </row>
    <row r="10" spans="1:15" x14ac:dyDescent="0.25">
      <c r="A10" s="35"/>
      <c r="B10" s="8">
        <v>42401</v>
      </c>
      <c r="C10" s="10">
        <v>787</v>
      </c>
      <c r="D10" s="10">
        <v>684</v>
      </c>
      <c r="E10" s="13">
        <v>1631</v>
      </c>
      <c r="F10" s="21">
        <v>115</v>
      </c>
      <c r="G10" s="4">
        <v>1646</v>
      </c>
    </row>
    <row r="11" spans="1:15" x14ac:dyDescent="0.25">
      <c r="A11" s="35"/>
      <c r="B11" s="8">
        <v>42430</v>
      </c>
      <c r="C11" s="10">
        <v>647</v>
      </c>
      <c r="D11" s="10">
        <v>631</v>
      </c>
      <c r="E11" s="13">
        <v>1669</v>
      </c>
      <c r="F11" s="21">
        <v>759</v>
      </c>
      <c r="G11" s="4">
        <v>1690</v>
      </c>
    </row>
    <row r="12" spans="1:15" x14ac:dyDescent="0.25">
      <c r="A12" s="35"/>
      <c r="B12" s="8">
        <v>42461</v>
      </c>
      <c r="C12" s="10">
        <v>529</v>
      </c>
      <c r="D12" s="10">
        <v>558</v>
      </c>
      <c r="E12" s="13">
        <v>1405</v>
      </c>
      <c r="F12" s="21">
        <v>969</v>
      </c>
      <c r="G12" s="4">
        <v>1717</v>
      </c>
    </row>
    <row r="13" spans="1:15" x14ac:dyDescent="0.25">
      <c r="A13" s="35"/>
      <c r="B13" s="8">
        <v>42491</v>
      </c>
      <c r="C13" s="10">
        <v>797</v>
      </c>
      <c r="D13" s="10">
        <v>764</v>
      </c>
      <c r="E13" s="13">
        <v>2080</v>
      </c>
      <c r="F13" s="21">
        <v>1586</v>
      </c>
      <c r="G13" s="4">
        <v>1545</v>
      </c>
    </row>
    <row r="14" spans="1:15" x14ac:dyDescent="0.25">
      <c r="A14" s="35"/>
      <c r="B14" s="8">
        <v>42522</v>
      </c>
      <c r="C14" s="10">
        <v>419</v>
      </c>
      <c r="D14" s="10">
        <v>432</v>
      </c>
      <c r="E14" s="13">
        <v>1327</v>
      </c>
      <c r="F14" s="21">
        <v>231</v>
      </c>
      <c r="G14" s="4">
        <v>1204</v>
      </c>
    </row>
    <row r="15" spans="1:15" x14ac:dyDescent="0.25">
      <c r="A15" s="35"/>
      <c r="B15" s="8">
        <v>42552</v>
      </c>
      <c r="C15" s="10">
        <v>223</v>
      </c>
      <c r="D15" s="10">
        <v>295</v>
      </c>
      <c r="E15" s="13">
        <v>547</v>
      </c>
      <c r="F15" s="21">
        <v>1174</v>
      </c>
      <c r="G15" s="4">
        <v>488</v>
      </c>
    </row>
    <row r="16" spans="1:15" x14ac:dyDescent="0.25">
      <c r="A16" s="35"/>
      <c r="B16" s="8">
        <v>42583</v>
      </c>
      <c r="C16" s="10">
        <v>357</v>
      </c>
      <c r="D16" s="10">
        <v>532</v>
      </c>
      <c r="E16" s="13">
        <v>1027</v>
      </c>
      <c r="F16" s="21">
        <v>132</v>
      </c>
      <c r="G16" s="4">
        <v>1174</v>
      </c>
    </row>
    <row r="17" spans="1:7" x14ac:dyDescent="0.25">
      <c r="A17" s="35"/>
      <c r="B17" s="8">
        <v>42614</v>
      </c>
      <c r="C17" s="10">
        <v>882</v>
      </c>
      <c r="D17" s="10">
        <v>1126</v>
      </c>
      <c r="E17" s="13">
        <v>2219</v>
      </c>
      <c r="F17" s="21">
        <v>1678</v>
      </c>
      <c r="G17" s="4">
        <v>2575</v>
      </c>
    </row>
    <row r="18" spans="1:7" x14ac:dyDescent="0.25">
      <c r="A18" s="35"/>
      <c r="B18" s="8">
        <v>42644</v>
      </c>
      <c r="C18" s="10">
        <v>940</v>
      </c>
      <c r="D18" s="10">
        <v>1419</v>
      </c>
      <c r="E18" s="13">
        <v>3856</v>
      </c>
      <c r="F18" s="21">
        <v>569</v>
      </c>
      <c r="G18" s="4">
        <v>3657</v>
      </c>
    </row>
    <row r="19" spans="1:7" x14ac:dyDescent="0.25">
      <c r="A19" s="35"/>
      <c r="B19" s="8">
        <v>42675</v>
      </c>
      <c r="C19" s="10">
        <v>722</v>
      </c>
      <c r="D19" s="10">
        <v>999</v>
      </c>
      <c r="E19" s="13">
        <v>2015</v>
      </c>
      <c r="F19" s="21">
        <v>98</v>
      </c>
      <c r="G19" s="4">
        <v>1753</v>
      </c>
    </row>
    <row r="20" spans="1:7" ht="16.5" thickBot="1" x14ac:dyDescent="0.3">
      <c r="A20" s="36"/>
      <c r="B20" s="8">
        <v>42705</v>
      </c>
      <c r="C20" s="11">
        <v>374</v>
      </c>
      <c r="D20" s="11">
        <v>558</v>
      </c>
      <c r="E20" s="14">
        <v>981</v>
      </c>
      <c r="F20" s="22">
        <v>374</v>
      </c>
      <c r="G20" s="17">
        <v>1075</v>
      </c>
    </row>
    <row r="21" spans="1:7" x14ac:dyDescent="0.25">
      <c r="A21" s="34">
        <v>2017</v>
      </c>
      <c r="B21" s="7">
        <v>42736</v>
      </c>
      <c r="C21" s="9">
        <v>822</v>
      </c>
      <c r="D21" s="9">
        <v>1052</v>
      </c>
      <c r="E21" s="12">
        <v>2005</v>
      </c>
      <c r="F21" s="23">
        <v>223</v>
      </c>
      <c r="G21" s="26">
        <v>1785</v>
      </c>
    </row>
    <row r="22" spans="1:7" x14ac:dyDescent="0.25">
      <c r="A22" s="35"/>
      <c r="B22" s="8">
        <v>42767</v>
      </c>
      <c r="C22" s="10">
        <v>654</v>
      </c>
      <c r="D22" s="10">
        <v>809</v>
      </c>
      <c r="E22" s="13">
        <v>1408</v>
      </c>
      <c r="F22" s="21">
        <v>124</v>
      </c>
      <c r="G22" s="4">
        <v>1189</v>
      </c>
    </row>
    <row r="23" spans="1:7" x14ac:dyDescent="0.25">
      <c r="A23" s="35"/>
      <c r="B23" s="8">
        <v>42795</v>
      </c>
      <c r="C23" s="10">
        <v>713</v>
      </c>
      <c r="D23" s="10">
        <v>935</v>
      </c>
      <c r="E23" s="13">
        <v>1881</v>
      </c>
      <c r="F23" s="21">
        <v>144</v>
      </c>
      <c r="G23" s="4">
        <v>1369</v>
      </c>
    </row>
    <row r="24" spans="1:7" x14ac:dyDescent="0.25">
      <c r="A24" s="35"/>
      <c r="B24" s="8">
        <v>42826</v>
      </c>
      <c r="C24" s="10">
        <v>517</v>
      </c>
      <c r="D24" s="10">
        <v>700</v>
      </c>
      <c r="E24" s="13">
        <v>1136</v>
      </c>
      <c r="F24" s="21">
        <v>347</v>
      </c>
      <c r="G24" s="4">
        <v>877</v>
      </c>
    </row>
    <row r="25" spans="1:7" x14ac:dyDescent="0.25">
      <c r="A25" s="35"/>
      <c r="B25" s="8">
        <v>42856</v>
      </c>
      <c r="C25" s="10">
        <v>613</v>
      </c>
      <c r="D25" s="10">
        <v>825</v>
      </c>
      <c r="E25" s="13">
        <v>1383</v>
      </c>
      <c r="F25" s="21">
        <v>417</v>
      </c>
      <c r="G25" s="4">
        <v>1313</v>
      </c>
    </row>
    <row r="26" spans="1:7" x14ac:dyDescent="0.25">
      <c r="A26" s="35"/>
      <c r="B26" s="8">
        <v>42887</v>
      </c>
      <c r="C26" s="10">
        <v>395</v>
      </c>
      <c r="D26" s="10">
        <v>556</v>
      </c>
      <c r="E26" s="13">
        <v>885</v>
      </c>
      <c r="F26" s="21">
        <v>516</v>
      </c>
      <c r="G26" s="4">
        <v>935</v>
      </c>
    </row>
    <row r="27" spans="1:7" x14ac:dyDescent="0.25">
      <c r="A27" s="35"/>
      <c r="B27" s="8">
        <v>42917</v>
      </c>
      <c r="C27" s="10">
        <v>286</v>
      </c>
      <c r="D27" s="10">
        <v>412</v>
      </c>
      <c r="E27" s="13">
        <v>667</v>
      </c>
      <c r="F27" s="21">
        <v>180</v>
      </c>
      <c r="G27" s="4">
        <v>619</v>
      </c>
    </row>
    <row r="28" spans="1:7" x14ac:dyDescent="0.25">
      <c r="A28" s="35"/>
      <c r="B28" s="8">
        <v>42948</v>
      </c>
      <c r="C28" s="10">
        <v>475</v>
      </c>
      <c r="D28" s="10">
        <v>624</v>
      </c>
      <c r="E28" s="13">
        <v>1115</v>
      </c>
      <c r="F28" s="21">
        <v>1429</v>
      </c>
      <c r="G28" s="4">
        <v>891</v>
      </c>
    </row>
    <row r="29" spans="1:7" x14ac:dyDescent="0.25">
      <c r="A29" s="35"/>
      <c r="B29" s="8">
        <v>42979</v>
      </c>
      <c r="C29" s="10">
        <v>671</v>
      </c>
      <c r="D29" s="10">
        <v>800</v>
      </c>
      <c r="E29" s="13">
        <v>1166</v>
      </c>
      <c r="F29" s="21">
        <v>90</v>
      </c>
      <c r="G29" s="4">
        <v>1283</v>
      </c>
    </row>
    <row r="30" spans="1:7" x14ac:dyDescent="0.25">
      <c r="A30" s="35"/>
      <c r="B30" s="8">
        <v>43009</v>
      </c>
      <c r="C30" s="10">
        <v>694</v>
      </c>
      <c r="D30" s="10">
        <v>819</v>
      </c>
      <c r="E30" s="13">
        <v>1296</v>
      </c>
      <c r="F30" s="21">
        <v>2208</v>
      </c>
      <c r="G30" s="4">
        <v>955</v>
      </c>
    </row>
    <row r="31" spans="1:7" x14ac:dyDescent="0.25">
      <c r="A31" s="35"/>
      <c r="B31" s="8">
        <v>43040</v>
      </c>
      <c r="C31" s="10">
        <v>412</v>
      </c>
      <c r="D31" s="10">
        <v>527</v>
      </c>
      <c r="E31" s="13">
        <v>874</v>
      </c>
      <c r="F31" s="21">
        <v>22</v>
      </c>
      <c r="G31" s="4">
        <v>928</v>
      </c>
    </row>
    <row r="32" spans="1:7" ht="16.5" thickBot="1" x14ac:dyDescent="0.3">
      <c r="A32" s="36"/>
      <c r="B32" s="8">
        <v>43070</v>
      </c>
      <c r="C32" s="11">
        <v>329</v>
      </c>
      <c r="D32" s="11">
        <v>449</v>
      </c>
      <c r="E32" s="14">
        <v>1004</v>
      </c>
      <c r="F32" s="24">
        <v>0</v>
      </c>
      <c r="G32" s="28">
        <v>937</v>
      </c>
    </row>
    <row r="33" spans="1:7" x14ac:dyDescent="0.25">
      <c r="A33" s="37">
        <v>2018</v>
      </c>
      <c r="B33" s="29">
        <v>43101</v>
      </c>
      <c r="C33" s="9">
        <v>462</v>
      </c>
      <c r="D33" s="9">
        <v>653</v>
      </c>
      <c r="E33" s="9">
        <v>1368</v>
      </c>
      <c r="F33" s="20">
        <v>818</v>
      </c>
      <c r="G33" s="26">
        <v>1366</v>
      </c>
    </row>
    <row r="34" spans="1:7" x14ac:dyDescent="0.25">
      <c r="A34" s="38"/>
      <c r="B34" s="30">
        <v>43132</v>
      </c>
      <c r="C34" s="10">
        <v>411</v>
      </c>
      <c r="D34" s="10">
        <v>666</v>
      </c>
      <c r="E34" s="10">
        <v>1309</v>
      </c>
      <c r="F34" s="21">
        <v>327</v>
      </c>
      <c r="G34" s="4">
        <v>1227</v>
      </c>
    </row>
    <row r="35" spans="1:7" x14ac:dyDescent="0.25">
      <c r="A35" s="38"/>
      <c r="B35" s="30">
        <v>43160</v>
      </c>
      <c r="C35" s="10">
        <v>817</v>
      </c>
      <c r="D35" s="10">
        <v>1027</v>
      </c>
      <c r="E35" s="10">
        <v>1814</v>
      </c>
      <c r="F35" s="21">
        <v>7062</v>
      </c>
      <c r="G35" s="4">
        <v>1491</v>
      </c>
    </row>
    <row r="36" spans="1:7" x14ac:dyDescent="0.25">
      <c r="A36" s="38"/>
      <c r="B36" s="30">
        <v>43191</v>
      </c>
      <c r="C36" s="10">
        <v>580</v>
      </c>
      <c r="D36" s="10">
        <v>844</v>
      </c>
      <c r="E36" s="10">
        <v>1537</v>
      </c>
      <c r="F36" s="21">
        <v>18</v>
      </c>
      <c r="G36" s="4">
        <v>1937</v>
      </c>
    </row>
    <row r="37" spans="1:7" x14ac:dyDescent="0.25">
      <c r="A37" s="38"/>
      <c r="B37" s="30">
        <v>43221</v>
      </c>
      <c r="C37" s="10">
        <v>483</v>
      </c>
      <c r="D37" s="10">
        <v>654</v>
      </c>
      <c r="E37" s="10">
        <v>1227</v>
      </c>
      <c r="F37" s="21">
        <v>59</v>
      </c>
      <c r="G37" s="4">
        <v>1025</v>
      </c>
    </row>
    <row r="38" spans="1:7" x14ac:dyDescent="0.25">
      <c r="A38" s="38"/>
      <c r="B38" s="30">
        <v>43252</v>
      </c>
      <c r="C38" s="10">
        <v>189</v>
      </c>
      <c r="D38" s="10">
        <v>284</v>
      </c>
      <c r="E38" s="10">
        <v>493</v>
      </c>
      <c r="F38" s="21">
        <v>35</v>
      </c>
      <c r="G38" s="4">
        <v>599</v>
      </c>
    </row>
    <row r="39" spans="1:7" x14ac:dyDescent="0.25">
      <c r="A39" s="38"/>
      <c r="B39" s="30">
        <v>43282</v>
      </c>
      <c r="C39" s="10">
        <v>232</v>
      </c>
      <c r="D39" s="10">
        <v>340</v>
      </c>
      <c r="E39" s="10">
        <v>526</v>
      </c>
      <c r="F39" s="21">
        <v>35</v>
      </c>
      <c r="G39" s="4">
        <v>599</v>
      </c>
    </row>
    <row r="40" spans="1:7" x14ac:dyDescent="0.25">
      <c r="A40" s="38"/>
      <c r="B40" s="30">
        <v>43313</v>
      </c>
      <c r="C40" s="10">
        <v>119</v>
      </c>
      <c r="D40" s="10">
        <v>184</v>
      </c>
      <c r="E40" s="10">
        <v>405</v>
      </c>
      <c r="F40" s="21">
        <v>0</v>
      </c>
      <c r="G40" s="4">
        <v>411</v>
      </c>
    </row>
    <row r="41" spans="1:7" x14ac:dyDescent="0.25">
      <c r="A41" s="38"/>
      <c r="B41" s="30">
        <v>43344</v>
      </c>
      <c r="C41" s="10">
        <v>936</v>
      </c>
      <c r="D41" s="10">
        <v>1257</v>
      </c>
      <c r="E41" s="10">
        <v>2290</v>
      </c>
      <c r="F41" s="21">
        <v>349</v>
      </c>
      <c r="G41" s="4">
        <v>2205</v>
      </c>
    </row>
    <row r="42" spans="1:7" x14ac:dyDescent="0.25">
      <c r="A42" s="38"/>
      <c r="B42" s="30">
        <v>43374</v>
      </c>
      <c r="C42" s="10">
        <v>604</v>
      </c>
      <c r="D42" s="10">
        <v>785</v>
      </c>
      <c r="E42" s="10">
        <v>1386</v>
      </c>
      <c r="F42" s="25">
        <v>69</v>
      </c>
      <c r="G42" s="4">
        <v>1261</v>
      </c>
    </row>
    <row r="43" spans="1:7" x14ac:dyDescent="0.25">
      <c r="A43" s="38"/>
      <c r="B43" s="30">
        <v>43405</v>
      </c>
      <c r="C43" s="10"/>
      <c r="D43" s="10"/>
      <c r="E43" s="10"/>
      <c r="F43" s="25"/>
      <c r="G43" s="4"/>
    </row>
    <row r="44" spans="1:7" ht="16.5" thickBot="1" x14ac:dyDescent="0.3">
      <c r="A44" s="39"/>
      <c r="B44" s="31">
        <v>43435</v>
      </c>
      <c r="C44" s="11"/>
      <c r="D44" s="11"/>
      <c r="E44" s="11"/>
      <c r="F44" s="27"/>
      <c r="G44" s="5">
        <f>SUM(G33:G43)</f>
        <v>12121</v>
      </c>
    </row>
  </sheetData>
  <mergeCells count="8">
    <mergeCell ref="A21:A32"/>
    <mergeCell ref="A33:A44"/>
    <mergeCell ref="A1:O2"/>
    <mergeCell ref="B3:O3"/>
    <mergeCell ref="B4:O4"/>
    <mergeCell ref="B5:O5"/>
    <mergeCell ref="B6:O6"/>
    <mergeCell ref="A9:A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7"/>
  <sheetViews>
    <sheetView workbookViewId="0">
      <pane xSplit="3" ySplit="2" topLeftCell="Z3" activePane="bottomRight" state="frozen"/>
      <selection pane="topRight" activeCell="D1" sqref="D1"/>
      <selection pane="bottomLeft" activeCell="A3" sqref="A3"/>
      <selection pane="bottomRight" activeCell="B11" sqref="B11"/>
    </sheetView>
  </sheetViews>
  <sheetFormatPr defaultColWidth="11" defaultRowHeight="15.75" x14ac:dyDescent="0.25"/>
  <cols>
    <col min="1" max="1" width="13" customWidth="1"/>
    <col min="2" max="2" width="25.625" customWidth="1"/>
    <col min="3" max="3" width="6.625" style="3" customWidth="1"/>
    <col min="4" max="5" width="11.5" bestFit="1" customWidth="1"/>
    <col min="6" max="7" width="11" bestFit="1" customWidth="1"/>
    <col min="8" max="8" width="13" bestFit="1" customWidth="1"/>
    <col min="9" max="9" width="11.5" bestFit="1" customWidth="1"/>
    <col min="10" max="11" width="13" bestFit="1" customWidth="1"/>
    <col min="12" max="14" width="11.5" bestFit="1" customWidth="1"/>
    <col min="15" max="15" width="13" bestFit="1" customWidth="1"/>
    <col min="16" max="17" width="11.5" bestFit="1" customWidth="1"/>
    <col min="18" max="22" width="13" bestFit="1" customWidth="1"/>
    <col min="23" max="24" width="11.5" bestFit="1" customWidth="1"/>
    <col min="25" max="36" width="13" bestFit="1" customWidth="1"/>
  </cols>
  <sheetData>
    <row r="1" spans="1:37" x14ac:dyDescent="0.25">
      <c r="D1" s="3">
        <f>SUBTOTAL(9,D3:D300)</f>
        <v>7730</v>
      </c>
      <c r="E1" s="3">
        <f t="shared" ref="E1:AK1" si="0">SUBTOTAL(9,E3:E300)</f>
        <v>6279</v>
      </c>
      <c r="F1" s="3">
        <f t="shared" si="0"/>
        <v>6654</v>
      </c>
      <c r="G1" s="3">
        <f t="shared" si="0"/>
        <v>5943</v>
      </c>
      <c r="H1" s="3">
        <f t="shared" si="0"/>
        <v>7715</v>
      </c>
      <c r="I1" s="3">
        <f t="shared" si="0"/>
        <v>4274</v>
      </c>
      <c r="J1" s="3">
        <f t="shared" si="0"/>
        <v>2967</v>
      </c>
      <c r="K1" s="3">
        <f t="shared" si="0"/>
        <v>3621</v>
      </c>
      <c r="L1" s="3">
        <f t="shared" si="0"/>
        <v>9851</v>
      </c>
      <c r="M1" s="3">
        <f t="shared" si="0"/>
        <v>12085</v>
      </c>
      <c r="N1" s="3">
        <f t="shared" si="0"/>
        <v>6158</v>
      </c>
      <c r="O1" s="3">
        <f t="shared" si="0"/>
        <v>3846</v>
      </c>
      <c r="P1" s="3">
        <f t="shared" si="0"/>
        <v>6792</v>
      </c>
      <c r="Q1" s="3">
        <f t="shared" si="0"/>
        <v>4719</v>
      </c>
      <c r="R1" s="3">
        <f t="shared" si="0"/>
        <v>5642</v>
      </c>
      <c r="S1" s="3">
        <f t="shared" si="0"/>
        <v>4121</v>
      </c>
      <c r="T1" s="3">
        <f t="shared" si="0"/>
        <v>6294</v>
      </c>
      <c r="U1" s="3">
        <f t="shared" si="0"/>
        <v>4125</v>
      </c>
      <c r="V1" s="3">
        <f t="shared" si="0"/>
        <v>2818</v>
      </c>
      <c r="W1" s="3">
        <f t="shared" si="0"/>
        <v>5195</v>
      </c>
      <c r="X1" s="3">
        <f t="shared" si="0"/>
        <v>4668</v>
      </c>
      <c r="Y1" s="3">
        <f t="shared" si="0"/>
        <v>7284</v>
      </c>
      <c r="Z1" s="3">
        <f t="shared" si="0"/>
        <v>5101</v>
      </c>
      <c r="AA1" s="3">
        <f t="shared" si="0"/>
        <v>3177</v>
      </c>
      <c r="AB1" s="3">
        <f t="shared" si="0"/>
        <v>5495</v>
      </c>
      <c r="AC1" s="3">
        <f t="shared" si="0"/>
        <v>4662</v>
      </c>
      <c r="AD1" s="3">
        <f t="shared" si="0"/>
        <v>12694</v>
      </c>
      <c r="AE1" s="3">
        <f t="shared" si="0"/>
        <v>5298</v>
      </c>
      <c r="AF1" s="3">
        <f t="shared" si="0"/>
        <v>3732</v>
      </c>
      <c r="AG1" s="3">
        <f t="shared" si="0"/>
        <v>2036</v>
      </c>
      <c r="AH1" s="3">
        <f t="shared" si="0"/>
        <v>2012</v>
      </c>
      <c r="AI1" s="3">
        <f t="shared" si="0"/>
        <v>1230</v>
      </c>
      <c r="AJ1" s="3">
        <f t="shared" si="0"/>
        <v>7748</v>
      </c>
      <c r="AK1" s="3">
        <f t="shared" si="0"/>
        <v>5247</v>
      </c>
    </row>
    <row r="2" spans="1:37" x14ac:dyDescent="0.25">
      <c r="A2" t="s">
        <v>0</v>
      </c>
      <c r="B2" t="s">
        <v>1</v>
      </c>
      <c r="C2" s="3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179</v>
      </c>
    </row>
    <row r="3" spans="1:37" x14ac:dyDescent="0.25">
      <c r="A3" t="s">
        <v>178</v>
      </c>
      <c r="B3" t="s">
        <v>36</v>
      </c>
      <c r="C3">
        <v>6876</v>
      </c>
      <c r="D3">
        <v>325</v>
      </c>
      <c r="E3">
        <v>283</v>
      </c>
      <c r="F3">
        <v>311</v>
      </c>
      <c r="G3">
        <v>255</v>
      </c>
      <c r="H3">
        <v>222</v>
      </c>
      <c r="I3">
        <v>218</v>
      </c>
      <c r="J3">
        <v>138</v>
      </c>
      <c r="K3">
        <v>199</v>
      </c>
      <c r="L3">
        <v>329</v>
      </c>
      <c r="M3">
        <v>370</v>
      </c>
      <c r="N3">
        <v>231</v>
      </c>
      <c r="O3">
        <v>136</v>
      </c>
      <c r="P3">
        <v>156</v>
      </c>
      <c r="Q3">
        <v>153</v>
      </c>
      <c r="R3">
        <v>178</v>
      </c>
      <c r="S3">
        <v>172</v>
      </c>
      <c r="T3">
        <v>180</v>
      </c>
      <c r="U3">
        <v>144</v>
      </c>
      <c r="V3">
        <v>121</v>
      </c>
      <c r="W3">
        <v>125</v>
      </c>
      <c r="X3">
        <v>169</v>
      </c>
      <c r="Y3">
        <v>176</v>
      </c>
      <c r="Z3">
        <v>154</v>
      </c>
      <c r="AA3">
        <v>108</v>
      </c>
      <c r="AB3">
        <v>206</v>
      </c>
      <c r="AC3">
        <v>224</v>
      </c>
      <c r="AD3">
        <v>218</v>
      </c>
      <c r="AE3">
        <v>294</v>
      </c>
      <c r="AF3">
        <v>212</v>
      </c>
      <c r="AG3">
        <v>101</v>
      </c>
      <c r="AH3">
        <v>112</v>
      </c>
      <c r="AI3">
        <v>73</v>
      </c>
      <c r="AJ3">
        <v>344</v>
      </c>
      <c r="AK3">
        <v>239</v>
      </c>
    </row>
    <row r="4" spans="1:37" x14ac:dyDescent="0.25">
      <c r="A4" t="s">
        <v>178</v>
      </c>
      <c r="B4" t="s">
        <v>37</v>
      </c>
      <c r="C4">
        <v>5982</v>
      </c>
      <c r="D4">
        <v>1088</v>
      </c>
      <c r="E4">
        <v>822</v>
      </c>
      <c r="F4">
        <v>918</v>
      </c>
      <c r="G4">
        <v>741</v>
      </c>
      <c r="H4">
        <v>791</v>
      </c>
      <c r="I4">
        <v>775</v>
      </c>
      <c r="J4">
        <v>152</v>
      </c>
      <c r="K4">
        <v>3</v>
      </c>
      <c r="L4">
        <v>26</v>
      </c>
      <c r="M4">
        <v>45</v>
      </c>
      <c r="N4">
        <v>44</v>
      </c>
      <c r="O4">
        <v>14</v>
      </c>
      <c r="P4">
        <v>67</v>
      </c>
      <c r="Q4">
        <v>43</v>
      </c>
      <c r="R4">
        <v>68</v>
      </c>
      <c r="S4">
        <v>49</v>
      </c>
      <c r="T4">
        <v>32</v>
      </c>
      <c r="U4">
        <v>5</v>
      </c>
      <c r="V4">
        <v>12</v>
      </c>
      <c r="W4">
        <v>9</v>
      </c>
      <c r="X4">
        <v>14</v>
      </c>
      <c r="Y4">
        <v>24</v>
      </c>
      <c r="Z4">
        <v>9</v>
      </c>
      <c r="AA4">
        <v>7</v>
      </c>
      <c r="AB4">
        <v>10</v>
      </c>
      <c r="AC4">
        <v>25</v>
      </c>
      <c r="AD4">
        <v>28</v>
      </c>
      <c r="AE4">
        <v>19</v>
      </c>
      <c r="AF4">
        <v>11</v>
      </c>
      <c r="AG4">
        <v>0</v>
      </c>
      <c r="AH4">
        <v>0</v>
      </c>
      <c r="AI4">
        <v>11</v>
      </c>
      <c r="AJ4">
        <v>5</v>
      </c>
      <c r="AK4">
        <v>115</v>
      </c>
    </row>
    <row r="5" spans="1:37" x14ac:dyDescent="0.25">
      <c r="A5" t="s">
        <v>178</v>
      </c>
      <c r="B5" t="s">
        <v>38</v>
      </c>
      <c r="C5">
        <v>1471</v>
      </c>
      <c r="D5">
        <v>310</v>
      </c>
      <c r="E5">
        <v>151</v>
      </c>
      <c r="F5">
        <v>201</v>
      </c>
      <c r="G5">
        <v>192</v>
      </c>
      <c r="H5">
        <v>167</v>
      </c>
      <c r="I5">
        <v>218</v>
      </c>
      <c r="J5">
        <v>37</v>
      </c>
      <c r="K5">
        <v>2</v>
      </c>
      <c r="L5">
        <v>5</v>
      </c>
      <c r="M5">
        <v>13</v>
      </c>
      <c r="N5">
        <v>19</v>
      </c>
      <c r="O5">
        <v>6</v>
      </c>
      <c r="P5">
        <v>15</v>
      </c>
      <c r="Q5">
        <v>18</v>
      </c>
      <c r="R5">
        <v>15</v>
      </c>
      <c r="S5">
        <v>22</v>
      </c>
      <c r="T5">
        <v>13</v>
      </c>
      <c r="U5">
        <v>3</v>
      </c>
      <c r="V5">
        <v>4</v>
      </c>
      <c r="W5">
        <v>6</v>
      </c>
      <c r="X5">
        <v>5</v>
      </c>
      <c r="Y5">
        <v>0</v>
      </c>
      <c r="Z5">
        <v>0</v>
      </c>
      <c r="AA5">
        <v>1</v>
      </c>
      <c r="AB5">
        <v>7</v>
      </c>
      <c r="AC5">
        <v>18</v>
      </c>
      <c r="AD5">
        <v>9</v>
      </c>
      <c r="AE5">
        <v>2</v>
      </c>
      <c r="AF5">
        <v>0</v>
      </c>
      <c r="AG5">
        <v>0</v>
      </c>
      <c r="AH5">
        <v>0</v>
      </c>
      <c r="AI5">
        <v>1</v>
      </c>
      <c r="AJ5">
        <v>3</v>
      </c>
      <c r="AK5">
        <v>8</v>
      </c>
    </row>
    <row r="6" spans="1:37" x14ac:dyDescent="0.25">
      <c r="A6" t="s">
        <v>178</v>
      </c>
      <c r="B6" s="19" t="s">
        <v>39</v>
      </c>
      <c r="C6">
        <v>1299</v>
      </c>
      <c r="D6">
        <v>181</v>
      </c>
      <c r="E6">
        <v>167</v>
      </c>
      <c r="F6">
        <v>228</v>
      </c>
      <c r="G6">
        <v>275</v>
      </c>
      <c r="H6">
        <v>170</v>
      </c>
      <c r="I6">
        <v>134</v>
      </c>
      <c r="J6">
        <v>23</v>
      </c>
      <c r="K6">
        <v>0</v>
      </c>
      <c r="L6">
        <v>2</v>
      </c>
      <c r="M6">
        <v>3</v>
      </c>
      <c r="N6">
        <v>7</v>
      </c>
      <c r="O6">
        <v>1</v>
      </c>
      <c r="P6">
        <v>6</v>
      </c>
      <c r="Q6">
        <v>3</v>
      </c>
      <c r="R6">
        <v>2</v>
      </c>
      <c r="S6">
        <v>6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15</v>
      </c>
      <c r="AD6">
        <v>17</v>
      </c>
      <c r="AE6">
        <v>5</v>
      </c>
      <c r="AF6">
        <v>0</v>
      </c>
      <c r="AG6">
        <v>0</v>
      </c>
      <c r="AH6">
        <v>0</v>
      </c>
      <c r="AI6">
        <v>2</v>
      </c>
      <c r="AJ6">
        <v>2</v>
      </c>
      <c r="AK6">
        <v>48</v>
      </c>
    </row>
    <row r="7" spans="1:37" x14ac:dyDescent="0.25">
      <c r="A7" t="s">
        <v>178</v>
      </c>
      <c r="B7" s="18" t="s">
        <v>40</v>
      </c>
      <c r="C7">
        <v>1681</v>
      </c>
      <c r="D7">
        <v>1507</v>
      </c>
      <c r="E7">
        <v>8</v>
      </c>
      <c r="F7">
        <v>33</v>
      </c>
      <c r="G7">
        <v>35</v>
      </c>
      <c r="H7">
        <v>65</v>
      </c>
      <c r="I7">
        <v>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5">
      <c r="A8" t="s">
        <v>178</v>
      </c>
      <c r="B8" s="18" t="s">
        <v>41</v>
      </c>
      <c r="C8">
        <v>357</v>
      </c>
      <c r="D8">
        <v>49</v>
      </c>
      <c r="E8">
        <v>0</v>
      </c>
      <c r="F8">
        <v>196</v>
      </c>
      <c r="G8">
        <v>0</v>
      </c>
      <c r="H8">
        <v>0</v>
      </c>
      <c r="I8">
        <v>40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10</v>
      </c>
      <c r="AD8">
        <v>62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178</v>
      </c>
      <c r="B9" t="s">
        <v>42</v>
      </c>
      <c r="C9">
        <v>33</v>
      </c>
      <c r="D9">
        <v>20</v>
      </c>
      <c r="E9">
        <v>0</v>
      </c>
      <c r="F9">
        <v>13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178</v>
      </c>
      <c r="B10" t="s">
        <v>43</v>
      </c>
      <c r="C10">
        <v>12</v>
      </c>
      <c r="D10">
        <v>0</v>
      </c>
      <c r="E10">
        <v>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 t="s">
        <v>178</v>
      </c>
      <c r="B11" t="s">
        <v>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 t="s">
        <v>178</v>
      </c>
      <c r="B12" s="19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 t="s">
        <v>178</v>
      </c>
      <c r="B13" s="19" t="s">
        <v>46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 t="s">
        <v>178</v>
      </c>
      <c r="B14" s="19" t="s">
        <v>47</v>
      </c>
      <c r="C14">
        <v>3879</v>
      </c>
      <c r="D14">
        <v>620</v>
      </c>
      <c r="E14">
        <v>532</v>
      </c>
      <c r="F14">
        <v>636</v>
      </c>
      <c r="G14">
        <v>667</v>
      </c>
      <c r="H14">
        <v>503</v>
      </c>
      <c r="I14">
        <v>476</v>
      </c>
      <c r="J14">
        <v>74</v>
      </c>
      <c r="K14">
        <v>2</v>
      </c>
      <c r="L14">
        <v>9</v>
      </c>
      <c r="M14">
        <v>16</v>
      </c>
      <c r="N14">
        <v>24</v>
      </c>
      <c r="O14">
        <v>7</v>
      </c>
      <c r="P14">
        <v>36</v>
      </c>
      <c r="Q14">
        <v>21</v>
      </c>
      <c r="R14">
        <v>19</v>
      </c>
      <c r="S14">
        <v>29</v>
      </c>
      <c r="T14">
        <v>13</v>
      </c>
      <c r="U14">
        <v>2</v>
      </c>
      <c r="V14">
        <v>5</v>
      </c>
      <c r="W14">
        <v>9</v>
      </c>
      <c r="X14">
        <v>6</v>
      </c>
      <c r="Y14">
        <v>6</v>
      </c>
      <c r="Z14">
        <v>0</v>
      </c>
      <c r="AA14">
        <v>1</v>
      </c>
      <c r="AB14">
        <v>8</v>
      </c>
      <c r="AC14">
        <v>37</v>
      </c>
      <c r="AD14">
        <v>25</v>
      </c>
      <c r="AE14">
        <v>16</v>
      </c>
      <c r="AF14">
        <v>0</v>
      </c>
      <c r="AG14">
        <v>0</v>
      </c>
      <c r="AH14">
        <v>0</v>
      </c>
      <c r="AI14">
        <v>3</v>
      </c>
      <c r="AJ14">
        <v>0</v>
      </c>
      <c r="AK14">
        <v>77</v>
      </c>
    </row>
    <row r="15" spans="1:37" x14ac:dyDescent="0.25">
      <c r="A15" t="s">
        <v>178</v>
      </c>
      <c r="B15" t="s">
        <v>176</v>
      </c>
      <c r="C15">
        <v>4</v>
      </c>
      <c r="D15">
        <v>1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5">
      <c r="A16" t="s">
        <v>178</v>
      </c>
      <c r="B16" t="s">
        <v>175</v>
      </c>
      <c r="C16">
        <v>4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5">
      <c r="A17" t="s">
        <v>178</v>
      </c>
      <c r="B17" t="s">
        <v>174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178</v>
      </c>
      <c r="B18" s="19" t="s">
        <v>173</v>
      </c>
      <c r="C18">
        <v>6</v>
      </c>
      <c r="D18">
        <v>0</v>
      </c>
      <c r="E18">
        <v>0</v>
      </c>
      <c r="F18">
        <v>0</v>
      </c>
      <c r="G18">
        <v>5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 t="s">
        <v>178</v>
      </c>
      <c r="B19" s="18" t="s">
        <v>172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178</v>
      </c>
      <c r="B20" s="18" t="s">
        <v>171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178</v>
      </c>
      <c r="B21" t="s">
        <v>170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178</v>
      </c>
      <c r="B22" t="s">
        <v>169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178</v>
      </c>
      <c r="B23" t="s">
        <v>168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t="s">
        <v>178</v>
      </c>
      <c r="B24" s="19" t="s">
        <v>167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t="s">
        <v>178</v>
      </c>
      <c r="B25" s="19" t="s">
        <v>166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5">
      <c r="A26" t="s">
        <v>178</v>
      </c>
      <c r="B26" s="19" t="s">
        <v>165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5">
      <c r="A27" t="s">
        <v>178</v>
      </c>
      <c r="B27" t="s">
        <v>60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5">
      <c r="A28" t="s">
        <v>178</v>
      </c>
      <c r="B28" t="s">
        <v>61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5">
      <c r="A29" t="s">
        <v>178</v>
      </c>
      <c r="B29" t="s">
        <v>62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178</v>
      </c>
      <c r="B30" s="19" t="s">
        <v>63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178</v>
      </c>
      <c r="B31" s="18" t="s">
        <v>64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178</v>
      </c>
      <c r="B32" s="18" t="s">
        <v>65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178</v>
      </c>
      <c r="B33" t="s">
        <v>66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178</v>
      </c>
      <c r="B34" t="s">
        <v>67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178</v>
      </c>
      <c r="B35" t="s">
        <v>68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178</v>
      </c>
      <c r="B36" s="19" t="s">
        <v>69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5">
      <c r="A37" t="s">
        <v>178</v>
      </c>
      <c r="B37" s="19" t="s">
        <v>70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5">
      <c r="A38" t="s">
        <v>178</v>
      </c>
      <c r="B38" s="19" t="s">
        <v>71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178</v>
      </c>
      <c r="B39" t="s">
        <v>72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178</v>
      </c>
      <c r="B40" t="s">
        <v>73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178</v>
      </c>
      <c r="B41" t="s">
        <v>74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178</v>
      </c>
      <c r="B42" s="19" t="s">
        <v>75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178</v>
      </c>
      <c r="B43" s="18" t="s">
        <v>76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178</v>
      </c>
      <c r="B44" s="18" t="s">
        <v>77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178</v>
      </c>
      <c r="B45" t="s">
        <v>78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178</v>
      </c>
      <c r="B46" t="s">
        <v>79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178</v>
      </c>
      <c r="B47" t="s">
        <v>80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178</v>
      </c>
      <c r="B48" s="19" t="s">
        <v>81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178</v>
      </c>
      <c r="B49" s="19" t="s">
        <v>82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178</v>
      </c>
      <c r="B50" s="19" t="s">
        <v>83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178</v>
      </c>
      <c r="B51" t="s">
        <v>84</v>
      </c>
      <c r="C51">
        <v>4612</v>
      </c>
      <c r="D51">
        <v>53</v>
      </c>
      <c r="E51">
        <v>34</v>
      </c>
      <c r="F51">
        <v>47</v>
      </c>
      <c r="G51">
        <v>35</v>
      </c>
      <c r="H51">
        <v>43</v>
      </c>
      <c r="I51">
        <v>22</v>
      </c>
      <c r="J51">
        <v>66</v>
      </c>
      <c r="K51">
        <v>150</v>
      </c>
      <c r="L51">
        <v>253</v>
      </c>
      <c r="M51">
        <v>301</v>
      </c>
      <c r="N51">
        <v>189</v>
      </c>
      <c r="O51">
        <v>117</v>
      </c>
      <c r="P51">
        <v>126</v>
      </c>
      <c r="Q51">
        <v>126</v>
      </c>
      <c r="R51">
        <v>142</v>
      </c>
      <c r="S51">
        <v>130</v>
      </c>
      <c r="T51">
        <v>150</v>
      </c>
      <c r="U51">
        <v>123</v>
      </c>
      <c r="V51">
        <v>110</v>
      </c>
      <c r="W51">
        <v>104</v>
      </c>
      <c r="X51">
        <v>150</v>
      </c>
      <c r="Y51">
        <v>158</v>
      </c>
      <c r="Z51">
        <v>131</v>
      </c>
      <c r="AA51">
        <v>91</v>
      </c>
      <c r="AB51">
        <v>172</v>
      </c>
      <c r="AC51">
        <v>192</v>
      </c>
      <c r="AD51">
        <v>182</v>
      </c>
      <c r="AE51">
        <v>254</v>
      </c>
      <c r="AF51">
        <v>189</v>
      </c>
      <c r="AG51">
        <v>88</v>
      </c>
      <c r="AH51">
        <v>104</v>
      </c>
      <c r="AI51">
        <v>66</v>
      </c>
      <c r="AJ51">
        <v>297</v>
      </c>
      <c r="AK51">
        <v>217</v>
      </c>
    </row>
    <row r="52" spans="1:37" x14ac:dyDescent="0.25">
      <c r="A52" t="s">
        <v>178</v>
      </c>
      <c r="B52" t="s">
        <v>85</v>
      </c>
      <c r="C52">
        <v>18911</v>
      </c>
      <c r="D52">
        <v>182</v>
      </c>
      <c r="E52">
        <v>114</v>
      </c>
      <c r="F52">
        <v>135</v>
      </c>
      <c r="G52">
        <v>133</v>
      </c>
      <c r="H52">
        <v>213</v>
      </c>
      <c r="I52">
        <v>88</v>
      </c>
      <c r="J52">
        <v>202</v>
      </c>
      <c r="K52">
        <v>689</v>
      </c>
      <c r="L52">
        <v>1070</v>
      </c>
      <c r="M52">
        <v>1881</v>
      </c>
      <c r="N52">
        <v>884</v>
      </c>
      <c r="O52">
        <v>468</v>
      </c>
      <c r="P52">
        <v>420</v>
      </c>
      <c r="Q52">
        <v>590</v>
      </c>
      <c r="R52">
        <v>614</v>
      </c>
      <c r="S52">
        <v>479</v>
      </c>
      <c r="T52">
        <v>635</v>
      </c>
      <c r="U52">
        <v>420</v>
      </c>
      <c r="V52">
        <v>379</v>
      </c>
      <c r="W52">
        <v>413</v>
      </c>
      <c r="X52">
        <v>483</v>
      </c>
      <c r="Y52">
        <v>501</v>
      </c>
      <c r="Z52">
        <v>492</v>
      </c>
      <c r="AA52">
        <v>581</v>
      </c>
      <c r="AB52">
        <v>855</v>
      </c>
      <c r="AC52">
        <v>755</v>
      </c>
      <c r="AD52">
        <v>687</v>
      </c>
      <c r="AE52">
        <v>1025</v>
      </c>
      <c r="AF52">
        <v>736</v>
      </c>
      <c r="AG52">
        <v>340</v>
      </c>
      <c r="AH52">
        <v>309</v>
      </c>
      <c r="AI52">
        <v>244</v>
      </c>
      <c r="AJ52">
        <v>1180</v>
      </c>
      <c r="AK52">
        <v>714</v>
      </c>
    </row>
    <row r="53" spans="1:37" x14ac:dyDescent="0.25">
      <c r="A53" t="s">
        <v>178</v>
      </c>
      <c r="B53" t="s">
        <v>86</v>
      </c>
      <c r="C53">
        <v>5459</v>
      </c>
      <c r="D53">
        <v>103</v>
      </c>
      <c r="E53">
        <v>42</v>
      </c>
      <c r="F53">
        <v>59</v>
      </c>
      <c r="G53">
        <v>54</v>
      </c>
      <c r="H53">
        <v>90</v>
      </c>
      <c r="I53">
        <v>41</v>
      </c>
      <c r="J53">
        <v>42</v>
      </c>
      <c r="K53">
        <v>198</v>
      </c>
      <c r="L53">
        <v>247</v>
      </c>
      <c r="M53">
        <v>787</v>
      </c>
      <c r="N53">
        <v>283</v>
      </c>
      <c r="O53">
        <v>141</v>
      </c>
      <c r="P53">
        <v>147</v>
      </c>
      <c r="Q53">
        <v>139</v>
      </c>
      <c r="R53">
        <v>119</v>
      </c>
      <c r="S53">
        <v>144</v>
      </c>
      <c r="T53">
        <v>242</v>
      </c>
      <c r="U53">
        <v>133</v>
      </c>
      <c r="V53">
        <v>140</v>
      </c>
      <c r="W53">
        <v>90</v>
      </c>
      <c r="X53">
        <v>185</v>
      </c>
      <c r="Y53">
        <v>121</v>
      </c>
      <c r="Z53">
        <v>102</v>
      </c>
      <c r="AA53">
        <v>237</v>
      </c>
      <c r="AB53">
        <v>285</v>
      </c>
      <c r="AC53">
        <v>208</v>
      </c>
      <c r="AD53">
        <v>215</v>
      </c>
      <c r="AE53">
        <v>196</v>
      </c>
      <c r="AF53">
        <v>143</v>
      </c>
      <c r="AG53">
        <v>79</v>
      </c>
      <c r="AH53">
        <v>88</v>
      </c>
      <c r="AI53">
        <v>50</v>
      </c>
      <c r="AJ53">
        <v>182</v>
      </c>
      <c r="AK53">
        <v>127</v>
      </c>
    </row>
    <row r="54" spans="1:37" x14ac:dyDescent="0.25">
      <c r="A54" t="s">
        <v>178</v>
      </c>
      <c r="B54" s="19" t="s">
        <v>87</v>
      </c>
      <c r="C54">
        <v>4773</v>
      </c>
      <c r="D54">
        <v>50</v>
      </c>
      <c r="E54">
        <v>33</v>
      </c>
      <c r="F54">
        <v>11</v>
      </c>
      <c r="G54">
        <v>29</v>
      </c>
      <c r="H54">
        <v>42</v>
      </c>
      <c r="I54">
        <v>13</v>
      </c>
      <c r="J54">
        <v>63</v>
      </c>
      <c r="K54">
        <v>162</v>
      </c>
      <c r="L54">
        <v>267</v>
      </c>
      <c r="M54">
        <v>309</v>
      </c>
      <c r="N54">
        <v>221</v>
      </c>
      <c r="O54">
        <v>136</v>
      </c>
      <c r="P54">
        <v>78</v>
      </c>
      <c r="Q54">
        <v>118</v>
      </c>
      <c r="R54">
        <v>95</v>
      </c>
      <c r="S54">
        <v>129</v>
      </c>
      <c r="T54">
        <v>130</v>
      </c>
      <c r="U54">
        <v>164</v>
      </c>
      <c r="V54">
        <v>87</v>
      </c>
      <c r="W54">
        <v>207</v>
      </c>
      <c r="X54">
        <v>97</v>
      </c>
      <c r="Y54">
        <v>128</v>
      </c>
      <c r="Z54">
        <v>137</v>
      </c>
      <c r="AA54">
        <v>54</v>
      </c>
      <c r="AB54">
        <v>176</v>
      </c>
      <c r="AC54">
        <v>189</v>
      </c>
      <c r="AD54">
        <v>162</v>
      </c>
      <c r="AE54">
        <v>280</v>
      </c>
      <c r="AF54">
        <v>92</v>
      </c>
      <c r="AG54">
        <v>89</v>
      </c>
      <c r="AH54">
        <v>72</v>
      </c>
      <c r="AI54">
        <v>63</v>
      </c>
      <c r="AJ54">
        <v>631</v>
      </c>
      <c r="AK54">
        <v>259</v>
      </c>
    </row>
    <row r="55" spans="1:37" x14ac:dyDescent="0.25">
      <c r="A55" t="s">
        <v>178</v>
      </c>
      <c r="B55" s="18" t="s">
        <v>88</v>
      </c>
      <c r="C55">
        <v>1941</v>
      </c>
      <c r="D55">
        <v>17</v>
      </c>
      <c r="E55">
        <v>15</v>
      </c>
      <c r="F55">
        <v>2</v>
      </c>
      <c r="G55">
        <v>1</v>
      </c>
      <c r="H55">
        <v>14</v>
      </c>
      <c r="I55">
        <v>6</v>
      </c>
      <c r="J55">
        <v>5</v>
      </c>
      <c r="K55">
        <v>29</v>
      </c>
      <c r="L55">
        <v>1175</v>
      </c>
      <c r="M55">
        <v>251</v>
      </c>
      <c r="N55">
        <v>59</v>
      </c>
      <c r="O55">
        <v>38</v>
      </c>
      <c r="P55">
        <v>0</v>
      </c>
      <c r="Q55">
        <v>0</v>
      </c>
      <c r="R55">
        <v>11</v>
      </c>
      <c r="S55">
        <v>3</v>
      </c>
      <c r="T55">
        <v>2</v>
      </c>
      <c r="U55">
        <v>16</v>
      </c>
      <c r="V55">
        <v>16</v>
      </c>
      <c r="W55">
        <v>4</v>
      </c>
      <c r="X55">
        <v>2</v>
      </c>
      <c r="Y55">
        <v>7</v>
      </c>
      <c r="Z55">
        <v>9</v>
      </c>
      <c r="AA55">
        <v>0</v>
      </c>
      <c r="AB55">
        <v>0</v>
      </c>
      <c r="AC55">
        <v>11</v>
      </c>
      <c r="AD55">
        <v>0</v>
      </c>
      <c r="AE55">
        <v>0</v>
      </c>
      <c r="AF55">
        <v>7</v>
      </c>
      <c r="AG55">
        <v>0</v>
      </c>
      <c r="AH55">
        <v>0</v>
      </c>
      <c r="AI55">
        <v>0</v>
      </c>
      <c r="AJ55">
        <v>201</v>
      </c>
      <c r="AK55">
        <v>40</v>
      </c>
    </row>
    <row r="56" spans="1:37" x14ac:dyDescent="0.25">
      <c r="A56" t="s">
        <v>178</v>
      </c>
      <c r="B56" s="18" t="s">
        <v>89</v>
      </c>
      <c r="C56">
        <v>15821</v>
      </c>
      <c r="D56">
        <v>119</v>
      </c>
      <c r="E56">
        <v>0</v>
      </c>
      <c r="F56">
        <v>0</v>
      </c>
      <c r="G56">
        <v>921</v>
      </c>
      <c r="H56">
        <v>1</v>
      </c>
      <c r="I56">
        <v>151</v>
      </c>
      <c r="J56">
        <v>1169</v>
      </c>
      <c r="K56">
        <v>46</v>
      </c>
      <c r="L56">
        <v>312</v>
      </c>
      <c r="M56">
        <v>255</v>
      </c>
      <c r="N56">
        <v>34</v>
      </c>
      <c r="O56">
        <v>314</v>
      </c>
      <c r="P56">
        <v>1</v>
      </c>
      <c r="Q56">
        <v>8</v>
      </c>
      <c r="R56">
        <v>31</v>
      </c>
      <c r="S56">
        <v>304</v>
      </c>
      <c r="T56">
        <v>283</v>
      </c>
      <c r="U56">
        <v>500</v>
      </c>
      <c r="V56">
        <v>160</v>
      </c>
      <c r="W56">
        <v>1408</v>
      </c>
      <c r="X56">
        <v>0</v>
      </c>
      <c r="Y56">
        <v>2154</v>
      </c>
      <c r="Z56">
        <v>11</v>
      </c>
      <c r="AA56">
        <v>0</v>
      </c>
      <c r="AB56">
        <v>506</v>
      </c>
      <c r="AC56">
        <v>98</v>
      </c>
      <c r="AD56">
        <v>6972</v>
      </c>
      <c r="AE56">
        <v>16</v>
      </c>
      <c r="AF56">
        <v>1</v>
      </c>
      <c r="AG56">
        <v>14</v>
      </c>
      <c r="AH56">
        <v>10</v>
      </c>
      <c r="AI56">
        <v>0</v>
      </c>
      <c r="AJ56">
        <v>22</v>
      </c>
      <c r="AK56">
        <v>0</v>
      </c>
    </row>
    <row r="57" spans="1:37" x14ac:dyDescent="0.25">
      <c r="A57" t="s">
        <v>178</v>
      </c>
      <c r="B57" t="s">
        <v>90</v>
      </c>
      <c r="C57">
        <v>709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27</v>
      </c>
      <c r="M57">
        <v>20</v>
      </c>
      <c r="N57">
        <v>0</v>
      </c>
      <c r="O57">
        <v>0</v>
      </c>
      <c r="P57">
        <v>2</v>
      </c>
      <c r="Q57">
        <v>0</v>
      </c>
      <c r="R57">
        <v>31</v>
      </c>
      <c r="S57">
        <v>0</v>
      </c>
      <c r="T57">
        <v>0</v>
      </c>
      <c r="U57">
        <v>0</v>
      </c>
      <c r="V57">
        <v>0</v>
      </c>
      <c r="W57">
        <v>12</v>
      </c>
      <c r="X57">
        <v>1</v>
      </c>
      <c r="Y57">
        <v>0</v>
      </c>
      <c r="Z57">
        <v>0</v>
      </c>
      <c r="AA57">
        <v>0</v>
      </c>
      <c r="AB57">
        <v>18</v>
      </c>
      <c r="AC57">
        <v>28</v>
      </c>
      <c r="AD57">
        <v>0</v>
      </c>
      <c r="AE57">
        <v>24</v>
      </c>
      <c r="AF57">
        <v>11</v>
      </c>
      <c r="AG57">
        <v>0</v>
      </c>
      <c r="AH57">
        <v>0</v>
      </c>
      <c r="AI57">
        <v>1</v>
      </c>
      <c r="AJ57">
        <v>0</v>
      </c>
      <c r="AK57">
        <v>531</v>
      </c>
    </row>
    <row r="58" spans="1:37" x14ac:dyDescent="0.25">
      <c r="A58" t="s">
        <v>178</v>
      </c>
      <c r="B58" t="s">
        <v>91</v>
      </c>
      <c r="C58">
        <v>86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13</v>
      </c>
      <c r="M58">
        <v>1</v>
      </c>
      <c r="N58">
        <v>0</v>
      </c>
      <c r="O58">
        <v>0</v>
      </c>
      <c r="P58">
        <v>17</v>
      </c>
      <c r="Q58">
        <v>0</v>
      </c>
      <c r="R58">
        <v>46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7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</row>
    <row r="59" spans="1:37" x14ac:dyDescent="0.25">
      <c r="A59" t="s">
        <v>178</v>
      </c>
      <c r="B59" t="s">
        <v>92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178</v>
      </c>
      <c r="B60" s="19" t="s">
        <v>93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178</v>
      </c>
      <c r="B61" s="19" t="s">
        <v>94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178</v>
      </c>
      <c r="B62" s="19" t="s">
        <v>95</v>
      </c>
      <c r="C62">
        <v>16374</v>
      </c>
      <c r="D62">
        <v>170</v>
      </c>
      <c r="E62">
        <v>113</v>
      </c>
      <c r="F62">
        <v>90</v>
      </c>
      <c r="G62">
        <v>111</v>
      </c>
      <c r="H62">
        <v>166</v>
      </c>
      <c r="I62">
        <v>73</v>
      </c>
      <c r="J62">
        <v>144</v>
      </c>
      <c r="K62">
        <v>615</v>
      </c>
      <c r="L62">
        <v>891</v>
      </c>
      <c r="M62">
        <v>1332</v>
      </c>
      <c r="N62">
        <v>651</v>
      </c>
      <c r="O62">
        <v>358</v>
      </c>
      <c r="P62">
        <v>316</v>
      </c>
      <c r="Q62">
        <v>284</v>
      </c>
      <c r="R62">
        <v>303</v>
      </c>
      <c r="S62">
        <v>329</v>
      </c>
      <c r="T62">
        <v>793</v>
      </c>
      <c r="U62">
        <v>364</v>
      </c>
      <c r="V62">
        <v>261</v>
      </c>
      <c r="W62">
        <v>284</v>
      </c>
      <c r="X62">
        <v>415</v>
      </c>
      <c r="Y62">
        <v>323</v>
      </c>
      <c r="Z62">
        <v>388</v>
      </c>
      <c r="AA62">
        <v>478</v>
      </c>
      <c r="AB62">
        <v>700</v>
      </c>
      <c r="AC62">
        <v>493</v>
      </c>
      <c r="AD62">
        <v>938</v>
      </c>
      <c r="AE62">
        <v>1419</v>
      </c>
      <c r="AF62">
        <v>756</v>
      </c>
      <c r="AG62">
        <v>361</v>
      </c>
      <c r="AH62">
        <v>396</v>
      </c>
      <c r="AI62">
        <v>200</v>
      </c>
      <c r="AJ62">
        <v>1143</v>
      </c>
      <c r="AK62">
        <v>716</v>
      </c>
    </row>
    <row r="63" spans="1:37" x14ac:dyDescent="0.25">
      <c r="A63" t="s">
        <v>178</v>
      </c>
      <c r="B63" t="s">
        <v>96</v>
      </c>
      <c r="C63">
        <v>869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188</v>
      </c>
      <c r="Q63">
        <v>7</v>
      </c>
      <c r="R63">
        <v>51</v>
      </c>
      <c r="S63">
        <v>12</v>
      </c>
      <c r="T63">
        <v>20</v>
      </c>
      <c r="U63">
        <v>2</v>
      </c>
      <c r="V63">
        <v>3</v>
      </c>
      <c r="W63">
        <v>35</v>
      </c>
      <c r="X63">
        <v>21</v>
      </c>
      <c r="Y63">
        <v>4</v>
      </c>
      <c r="Z63">
        <v>11</v>
      </c>
      <c r="AA63">
        <v>2</v>
      </c>
      <c r="AB63">
        <v>6</v>
      </c>
      <c r="AC63">
        <v>0</v>
      </c>
      <c r="AD63">
        <v>353</v>
      </c>
      <c r="AE63">
        <v>76</v>
      </c>
      <c r="AF63">
        <v>4</v>
      </c>
      <c r="AG63">
        <v>0</v>
      </c>
      <c r="AH63">
        <v>1</v>
      </c>
      <c r="AI63">
        <v>0</v>
      </c>
      <c r="AJ63">
        <v>6</v>
      </c>
      <c r="AK63">
        <v>67</v>
      </c>
    </row>
    <row r="64" spans="1:37" x14ac:dyDescent="0.25">
      <c r="A64" t="s">
        <v>178</v>
      </c>
      <c r="B64" t="s">
        <v>97</v>
      </c>
      <c r="C64">
        <v>865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185</v>
      </c>
      <c r="Q64">
        <v>7</v>
      </c>
      <c r="R64">
        <v>51</v>
      </c>
      <c r="S64">
        <v>12</v>
      </c>
      <c r="T64">
        <v>20</v>
      </c>
      <c r="U64">
        <v>2</v>
      </c>
      <c r="V64">
        <v>3</v>
      </c>
      <c r="W64">
        <v>35</v>
      </c>
      <c r="X64">
        <v>21</v>
      </c>
      <c r="Y64">
        <v>4</v>
      </c>
      <c r="Z64">
        <v>11</v>
      </c>
      <c r="AA64">
        <v>2</v>
      </c>
      <c r="AB64">
        <v>6</v>
      </c>
      <c r="AC64">
        <v>0</v>
      </c>
      <c r="AD64">
        <v>352</v>
      </c>
      <c r="AE64">
        <v>76</v>
      </c>
      <c r="AF64">
        <v>4</v>
      </c>
      <c r="AG64">
        <v>0</v>
      </c>
      <c r="AH64">
        <v>1</v>
      </c>
      <c r="AI64">
        <v>0</v>
      </c>
      <c r="AJ64">
        <v>6</v>
      </c>
      <c r="AK64">
        <v>67</v>
      </c>
    </row>
    <row r="65" spans="1:37" x14ac:dyDescent="0.25">
      <c r="A65" t="s">
        <v>178</v>
      </c>
      <c r="B65" t="s">
        <v>98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178</v>
      </c>
      <c r="B66" s="19" t="s">
        <v>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178</v>
      </c>
      <c r="B67" s="18" t="s">
        <v>100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178</v>
      </c>
      <c r="B68" s="18" t="s">
        <v>101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178</v>
      </c>
      <c r="B69" t="s">
        <v>102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178</v>
      </c>
      <c r="B70" t="s">
        <v>103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178</v>
      </c>
      <c r="B71" t="s">
        <v>104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178</v>
      </c>
      <c r="B72" s="19" t="s">
        <v>105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178</v>
      </c>
      <c r="B73" s="19" t="s">
        <v>106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178</v>
      </c>
      <c r="B74" s="19" t="s">
        <v>107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178</v>
      </c>
      <c r="B75" t="s">
        <v>108</v>
      </c>
      <c r="C75">
        <v>8308</v>
      </c>
      <c r="D75">
        <v>332</v>
      </c>
      <c r="E75">
        <v>287</v>
      </c>
      <c r="F75">
        <v>314</v>
      </c>
      <c r="G75">
        <v>258</v>
      </c>
      <c r="H75">
        <v>226</v>
      </c>
      <c r="I75">
        <v>218</v>
      </c>
      <c r="J75">
        <v>142</v>
      </c>
      <c r="K75">
        <v>206</v>
      </c>
      <c r="L75">
        <v>333</v>
      </c>
      <c r="M75">
        <v>378</v>
      </c>
      <c r="N75">
        <v>232</v>
      </c>
      <c r="O75">
        <v>139</v>
      </c>
      <c r="P75">
        <v>351</v>
      </c>
      <c r="Q75">
        <v>177</v>
      </c>
      <c r="R75">
        <v>251</v>
      </c>
      <c r="S75">
        <v>198</v>
      </c>
      <c r="T75">
        <v>236</v>
      </c>
      <c r="U75">
        <v>176</v>
      </c>
      <c r="V75">
        <v>142</v>
      </c>
      <c r="W75">
        <v>188</v>
      </c>
      <c r="X75">
        <v>205</v>
      </c>
      <c r="Y75">
        <v>257</v>
      </c>
      <c r="Z75">
        <v>232</v>
      </c>
      <c r="AA75">
        <v>125</v>
      </c>
      <c r="AB75">
        <v>235</v>
      </c>
      <c r="AC75">
        <v>230</v>
      </c>
      <c r="AD75">
        <v>584</v>
      </c>
      <c r="AE75">
        <v>394</v>
      </c>
      <c r="AF75">
        <v>244</v>
      </c>
      <c r="AG75">
        <v>105</v>
      </c>
      <c r="AH75">
        <v>118</v>
      </c>
      <c r="AI75">
        <v>76</v>
      </c>
      <c r="AJ75">
        <v>369</v>
      </c>
      <c r="AK75">
        <v>350</v>
      </c>
    </row>
    <row r="76" spans="1:37" x14ac:dyDescent="0.25">
      <c r="A76" t="s">
        <v>178</v>
      </c>
      <c r="B76" t="s">
        <v>109</v>
      </c>
      <c r="C76">
        <v>65</v>
      </c>
      <c r="D76">
        <v>6</v>
      </c>
      <c r="E76">
        <v>6</v>
      </c>
      <c r="F76">
        <v>6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</row>
    <row r="77" spans="1:37" x14ac:dyDescent="0.25">
      <c r="A77" t="s">
        <v>178</v>
      </c>
      <c r="B77" t="s">
        <v>110</v>
      </c>
      <c r="C77">
        <v>15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2</v>
      </c>
      <c r="AK77">
        <v>2</v>
      </c>
    </row>
    <row r="78" spans="1:37" x14ac:dyDescent="0.25">
      <c r="A78" t="s">
        <v>178</v>
      </c>
      <c r="B78" t="s">
        <v>111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178</v>
      </c>
      <c r="B79" t="s">
        <v>152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178</v>
      </c>
      <c r="B80" t="s">
        <v>151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178</v>
      </c>
      <c r="B81" t="s">
        <v>150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178</v>
      </c>
      <c r="B82" t="s">
        <v>112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178</v>
      </c>
      <c r="B83" t="s">
        <v>113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178</v>
      </c>
      <c r="B84" t="s">
        <v>114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178</v>
      </c>
      <c r="B85" t="s">
        <v>115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178</v>
      </c>
      <c r="B86" t="s">
        <v>116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178</v>
      </c>
      <c r="B87" t="s">
        <v>117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178</v>
      </c>
      <c r="B88" t="s">
        <v>118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178</v>
      </c>
      <c r="B89" t="s">
        <v>119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178</v>
      </c>
      <c r="B90" t="s">
        <v>120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178</v>
      </c>
      <c r="B91" t="s">
        <v>121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</row>
    <row r="92" spans="1:37" x14ac:dyDescent="0.25">
      <c r="A92" t="s">
        <v>178</v>
      </c>
      <c r="B92" t="s">
        <v>122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178</v>
      </c>
      <c r="B93" t="s">
        <v>123</v>
      </c>
      <c r="C93">
        <v>868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185</v>
      </c>
      <c r="Q93">
        <v>7</v>
      </c>
      <c r="R93">
        <v>51</v>
      </c>
      <c r="S93">
        <v>12</v>
      </c>
      <c r="T93">
        <v>20</v>
      </c>
      <c r="U93">
        <v>2</v>
      </c>
      <c r="V93">
        <v>3</v>
      </c>
      <c r="W93">
        <v>35</v>
      </c>
      <c r="X93">
        <v>21</v>
      </c>
      <c r="Y93">
        <v>6</v>
      </c>
      <c r="Z93">
        <v>11</v>
      </c>
      <c r="AA93">
        <v>2</v>
      </c>
      <c r="AB93">
        <v>7</v>
      </c>
      <c r="AC93">
        <v>0</v>
      </c>
      <c r="AD93">
        <v>352</v>
      </c>
      <c r="AE93">
        <v>76</v>
      </c>
      <c r="AF93">
        <v>4</v>
      </c>
      <c r="AG93">
        <v>0</v>
      </c>
      <c r="AH93">
        <v>1</v>
      </c>
      <c r="AI93">
        <v>0</v>
      </c>
      <c r="AJ93">
        <v>6</v>
      </c>
      <c r="AK93">
        <v>67</v>
      </c>
    </row>
    <row r="94" spans="1:37" x14ac:dyDescent="0.25">
      <c r="A94" t="s">
        <v>178</v>
      </c>
      <c r="B94" t="s">
        <v>124</v>
      </c>
      <c r="C94">
        <v>1443</v>
      </c>
      <c r="D94">
        <v>2</v>
      </c>
      <c r="E94">
        <v>3</v>
      </c>
      <c r="F94">
        <v>0</v>
      </c>
      <c r="G94">
        <v>5</v>
      </c>
      <c r="H94">
        <v>8</v>
      </c>
      <c r="I94">
        <v>0</v>
      </c>
      <c r="J94">
        <v>7</v>
      </c>
      <c r="K94">
        <v>9</v>
      </c>
      <c r="L94">
        <v>15</v>
      </c>
      <c r="M94">
        <v>38</v>
      </c>
      <c r="N94">
        <v>14</v>
      </c>
      <c r="O94">
        <v>9</v>
      </c>
      <c r="P94">
        <v>2</v>
      </c>
      <c r="Q94">
        <v>31</v>
      </c>
      <c r="R94">
        <v>12</v>
      </c>
      <c r="S94">
        <v>16</v>
      </c>
      <c r="T94">
        <v>27</v>
      </c>
      <c r="U94">
        <v>26</v>
      </c>
      <c r="V94">
        <v>9</v>
      </c>
      <c r="W94">
        <v>11</v>
      </c>
      <c r="X94">
        <v>19</v>
      </c>
      <c r="Y94">
        <v>59</v>
      </c>
      <c r="Z94">
        <v>58</v>
      </c>
      <c r="AA94">
        <v>13</v>
      </c>
      <c r="AB94">
        <v>33</v>
      </c>
      <c r="AC94">
        <v>51</v>
      </c>
      <c r="AD94">
        <v>69</v>
      </c>
      <c r="AE94">
        <v>66</v>
      </c>
      <c r="AF94">
        <v>37</v>
      </c>
      <c r="AG94">
        <v>152</v>
      </c>
      <c r="AH94">
        <v>117</v>
      </c>
      <c r="AI94">
        <v>25</v>
      </c>
      <c r="AJ94">
        <v>354</v>
      </c>
      <c r="AK94">
        <v>146</v>
      </c>
    </row>
    <row r="95" spans="1:37" x14ac:dyDescent="0.25">
      <c r="A95" t="s">
        <v>178</v>
      </c>
      <c r="B95" t="s">
        <v>149</v>
      </c>
      <c r="C95">
        <v>1880</v>
      </c>
      <c r="D95">
        <v>75</v>
      </c>
      <c r="E95">
        <v>138</v>
      </c>
      <c r="F95">
        <v>146</v>
      </c>
      <c r="G95">
        <v>201</v>
      </c>
      <c r="H95">
        <v>133</v>
      </c>
      <c r="I95">
        <v>89</v>
      </c>
      <c r="J95">
        <v>29</v>
      </c>
      <c r="K95">
        <v>38</v>
      </c>
      <c r="L95">
        <v>138</v>
      </c>
      <c r="M95">
        <v>71</v>
      </c>
      <c r="N95">
        <v>59</v>
      </c>
      <c r="O95">
        <v>77</v>
      </c>
      <c r="P95">
        <v>43</v>
      </c>
      <c r="Q95">
        <v>22</v>
      </c>
      <c r="R95">
        <v>26</v>
      </c>
      <c r="S95">
        <v>36</v>
      </c>
      <c r="T95">
        <v>196</v>
      </c>
      <c r="U95">
        <v>42</v>
      </c>
      <c r="V95">
        <v>43</v>
      </c>
      <c r="W95">
        <v>52</v>
      </c>
      <c r="X95">
        <v>54</v>
      </c>
      <c r="Y95">
        <v>20</v>
      </c>
      <c r="Z95">
        <v>32</v>
      </c>
      <c r="AA95">
        <v>21</v>
      </c>
      <c r="AB95">
        <v>17</v>
      </c>
      <c r="AC95">
        <v>21</v>
      </c>
      <c r="AD95">
        <v>12</v>
      </c>
      <c r="AE95">
        <v>1</v>
      </c>
      <c r="AF95">
        <v>1</v>
      </c>
      <c r="AG95">
        <v>5</v>
      </c>
      <c r="AH95">
        <v>9</v>
      </c>
      <c r="AI95">
        <v>1</v>
      </c>
      <c r="AJ95">
        <v>21</v>
      </c>
      <c r="AK95">
        <v>11</v>
      </c>
    </row>
    <row r="96" spans="1:37" x14ac:dyDescent="0.25">
      <c r="A96" t="s">
        <v>178</v>
      </c>
      <c r="B96" t="s">
        <v>125</v>
      </c>
      <c r="C96">
        <v>115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16</v>
      </c>
      <c r="U96">
        <v>12</v>
      </c>
      <c r="V96">
        <v>6</v>
      </c>
      <c r="W96">
        <v>4</v>
      </c>
      <c r="X96">
        <v>3</v>
      </c>
      <c r="Y96">
        <v>26</v>
      </c>
      <c r="Z96">
        <v>30</v>
      </c>
      <c r="AA96">
        <v>1</v>
      </c>
      <c r="AB96">
        <v>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14</v>
      </c>
    </row>
    <row r="97" spans="1:37" x14ac:dyDescent="0.25">
      <c r="A97" t="s">
        <v>178</v>
      </c>
      <c r="B97" t="s">
        <v>126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178</v>
      </c>
      <c r="B98" t="s">
        <v>127</v>
      </c>
      <c r="C98">
        <v>89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</v>
      </c>
      <c r="U98">
        <v>12</v>
      </c>
      <c r="V98">
        <v>3</v>
      </c>
      <c r="W98">
        <v>2</v>
      </c>
      <c r="X98">
        <v>3</v>
      </c>
      <c r="Y98">
        <v>18</v>
      </c>
      <c r="Z98">
        <v>38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6</v>
      </c>
    </row>
    <row r="99" spans="1:37" x14ac:dyDescent="0.25">
      <c r="A99" t="s">
        <v>178</v>
      </c>
      <c r="B99" s="18" t="s">
        <v>128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</row>
    <row r="100" spans="1:37" x14ac:dyDescent="0.25">
      <c r="A100" t="s">
        <v>178</v>
      </c>
      <c r="B100" t="s">
        <v>129</v>
      </c>
      <c r="C100">
        <v>466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181</v>
      </c>
      <c r="U100">
        <v>52</v>
      </c>
      <c r="V100">
        <v>8</v>
      </c>
      <c r="W100">
        <v>4</v>
      </c>
      <c r="X100">
        <v>1</v>
      </c>
      <c r="Y100">
        <v>65</v>
      </c>
      <c r="Z100">
        <v>138</v>
      </c>
      <c r="AA100">
        <v>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13</v>
      </c>
    </row>
    <row r="101" spans="1:37" x14ac:dyDescent="0.25">
      <c r="A101" t="s">
        <v>178</v>
      </c>
      <c r="B101" t="s">
        <v>130</v>
      </c>
      <c r="C101">
        <v>1034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134</v>
      </c>
      <c r="U101">
        <v>68</v>
      </c>
      <c r="V101">
        <v>92</v>
      </c>
      <c r="W101">
        <v>61</v>
      </c>
      <c r="X101">
        <v>11</v>
      </c>
      <c r="Y101">
        <v>106</v>
      </c>
      <c r="Z101">
        <v>523</v>
      </c>
      <c r="AA101">
        <v>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27</v>
      </c>
    </row>
    <row r="102" spans="1:37" x14ac:dyDescent="0.25">
      <c r="A102" t="s">
        <v>178</v>
      </c>
      <c r="B102" t="s">
        <v>131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178</v>
      </c>
      <c r="B103" t="s">
        <v>132</v>
      </c>
      <c r="C103">
        <v>700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155</v>
      </c>
      <c r="U103">
        <v>106</v>
      </c>
      <c r="V103">
        <v>25</v>
      </c>
      <c r="W103">
        <v>12</v>
      </c>
      <c r="X103">
        <v>7</v>
      </c>
      <c r="Y103">
        <v>98</v>
      </c>
      <c r="Z103">
        <v>257</v>
      </c>
      <c r="AA103">
        <v>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38</v>
      </c>
    </row>
    <row r="104" spans="1:37" x14ac:dyDescent="0.25">
      <c r="A104" t="s">
        <v>178</v>
      </c>
      <c r="B104" t="s">
        <v>133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178</v>
      </c>
      <c r="B105" t="s">
        <v>134</v>
      </c>
      <c r="C105">
        <v>2408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492</v>
      </c>
      <c r="U105">
        <v>250</v>
      </c>
      <c r="V105">
        <v>136</v>
      </c>
      <c r="W105">
        <v>83</v>
      </c>
      <c r="X105">
        <v>25</v>
      </c>
      <c r="Y105">
        <v>313</v>
      </c>
      <c r="Z105">
        <v>986</v>
      </c>
      <c r="AA105">
        <v>19</v>
      </c>
      <c r="AB105">
        <v>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</v>
      </c>
      <c r="AK105">
        <v>99</v>
      </c>
    </row>
    <row r="106" spans="1:37" x14ac:dyDescent="0.25">
      <c r="A106" t="s">
        <v>177</v>
      </c>
      <c r="B106" t="s">
        <v>36</v>
      </c>
      <c r="C106">
        <v>825</v>
      </c>
      <c r="D106">
        <v>21</v>
      </c>
      <c r="E106">
        <v>22</v>
      </c>
      <c r="F106">
        <v>32</v>
      </c>
      <c r="G106">
        <v>32</v>
      </c>
      <c r="H106">
        <v>51</v>
      </c>
      <c r="I106">
        <v>20</v>
      </c>
      <c r="J106">
        <v>12</v>
      </c>
      <c r="K106">
        <v>9</v>
      </c>
      <c r="L106">
        <v>28</v>
      </c>
      <c r="M106">
        <v>77</v>
      </c>
      <c r="N106">
        <v>58</v>
      </c>
      <c r="O106">
        <v>20</v>
      </c>
      <c r="P106">
        <v>67</v>
      </c>
      <c r="Q106">
        <v>37</v>
      </c>
      <c r="R106">
        <v>39</v>
      </c>
      <c r="S106">
        <v>32</v>
      </c>
      <c r="T106">
        <v>31</v>
      </c>
      <c r="U106">
        <v>28</v>
      </c>
      <c r="V106">
        <v>14</v>
      </c>
      <c r="W106">
        <v>17</v>
      </c>
      <c r="X106">
        <v>23</v>
      </c>
      <c r="Y106">
        <v>34</v>
      </c>
      <c r="Z106">
        <v>29</v>
      </c>
      <c r="AA106">
        <v>49</v>
      </c>
      <c r="AB106">
        <v>27</v>
      </c>
      <c r="AC106">
        <v>15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</row>
    <row r="107" spans="1:37" x14ac:dyDescent="0.25">
      <c r="A107" t="s">
        <v>177</v>
      </c>
      <c r="B107" t="s">
        <v>37</v>
      </c>
      <c r="C107">
        <v>558</v>
      </c>
      <c r="D107">
        <v>44</v>
      </c>
      <c r="E107">
        <v>35</v>
      </c>
      <c r="F107">
        <v>113</v>
      </c>
      <c r="G107">
        <v>73</v>
      </c>
      <c r="H107">
        <v>200</v>
      </c>
      <c r="I107">
        <v>34</v>
      </c>
      <c r="J107">
        <v>12</v>
      </c>
      <c r="K107">
        <v>0</v>
      </c>
      <c r="L107">
        <v>2</v>
      </c>
      <c r="M107">
        <v>0</v>
      </c>
      <c r="N107">
        <v>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</v>
      </c>
      <c r="X107">
        <v>0</v>
      </c>
      <c r="Y107">
        <v>3</v>
      </c>
      <c r="Z107">
        <v>0</v>
      </c>
      <c r="AA107">
        <v>27</v>
      </c>
      <c r="AB107">
        <v>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4</v>
      </c>
      <c r="AI107">
        <v>0</v>
      </c>
      <c r="AJ107">
        <v>0</v>
      </c>
      <c r="AK107">
        <v>0</v>
      </c>
    </row>
    <row r="108" spans="1:37" x14ac:dyDescent="0.25">
      <c r="A108" t="s">
        <v>177</v>
      </c>
      <c r="B108" t="s">
        <v>38</v>
      </c>
      <c r="C108">
        <v>77</v>
      </c>
      <c r="D108">
        <v>6</v>
      </c>
      <c r="E108">
        <v>5</v>
      </c>
      <c r="F108">
        <v>9</v>
      </c>
      <c r="G108">
        <v>4</v>
      </c>
      <c r="H108">
        <v>38</v>
      </c>
      <c r="I108">
        <v>11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</v>
      </c>
      <c r="AI108">
        <v>0</v>
      </c>
      <c r="AJ108">
        <v>0</v>
      </c>
      <c r="AK108">
        <v>0</v>
      </c>
    </row>
    <row r="109" spans="1:37" x14ac:dyDescent="0.25">
      <c r="A109" t="s">
        <v>177</v>
      </c>
      <c r="B109" s="19" t="s">
        <v>39</v>
      </c>
      <c r="C109">
        <v>247</v>
      </c>
      <c r="D109">
        <v>8</v>
      </c>
      <c r="E109">
        <v>2</v>
      </c>
      <c r="F109">
        <v>72</v>
      </c>
      <c r="G109">
        <v>78</v>
      </c>
      <c r="H109">
        <v>54</v>
      </c>
      <c r="I109">
        <v>9</v>
      </c>
      <c r="J109">
        <v>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19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177</v>
      </c>
      <c r="B110" s="18" t="s">
        <v>40</v>
      </c>
      <c r="C110">
        <v>148</v>
      </c>
      <c r="D110">
        <v>0</v>
      </c>
      <c r="E110">
        <v>67</v>
      </c>
      <c r="F110">
        <v>58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23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177</v>
      </c>
      <c r="B111" s="18" t="s">
        <v>41</v>
      </c>
      <c r="C111">
        <v>1512</v>
      </c>
      <c r="D111">
        <v>0</v>
      </c>
      <c r="E111">
        <v>0</v>
      </c>
      <c r="F111">
        <v>152</v>
      </c>
      <c r="G111">
        <v>0</v>
      </c>
      <c r="H111">
        <v>1360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177</v>
      </c>
      <c r="B112" t="s">
        <v>42</v>
      </c>
      <c r="C112">
        <v>131</v>
      </c>
      <c r="D112">
        <v>56</v>
      </c>
      <c r="E112">
        <v>0</v>
      </c>
      <c r="F112">
        <v>0</v>
      </c>
      <c r="G112">
        <v>0</v>
      </c>
      <c r="H112">
        <v>29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46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177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177</v>
      </c>
      <c r="B114" t="s">
        <v>44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177</v>
      </c>
      <c r="B115" s="19" t="s">
        <v>45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177</v>
      </c>
      <c r="B116" s="19" t="s">
        <v>46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177</v>
      </c>
      <c r="B117" s="19" t="s">
        <v>47</v>
      </c>
      <c r="C117">
        <v>647</v>
      </c>
      <c r="D117">
        <v>22</v>
      </c>
      <c r="E117">
        <v>30</v>
      </c>
      <c r="F117">
        <v>159</v>
      </c>
      <c r="G117">
        <v>137</v>
      </c>
      <c r="H117">
        <v>226</v>
      </c>
      <c r="I117">
        <v>28</v>
      </c>
      <c r="J117">
        <v>8</v>
      </c>
      <c r="K117">
        <v>0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29</v>
      </c>
      <c r="AB117">
        <v>0</v>
      </c>
      <c r="AC117">
        <v>3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</row>
    <row r="118" spans="1:37" x14ac:dyDescent="0.25">
      <c r="A118" t="s">
        <v>177</v>
      </c>
      <c r="B118" t="s">
        <v>176</v>
      </c>
      <c r="C118">
        <v>10</v>
      </c>
      <c r="D118">
        <v>0</v>
      </c>
      <c r="E118">
        <v>0</v>
      </c>
      <c r="F118">
        <v>1</v>
      </c>
      <c r="G118">
        <v>0</v>
      </c>
      <c r="H118">
        <v>3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1</v>
      </c>
      <c r="Q118">
        <v>2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177</v>
      </c>
      <c r="B119" t="s">
        <v>175</v>
      </c>
      <c r="C119">
        <v>14</v>
      </c>
      <c r="D119">
        <v>0</v>
      </c>
      <c r="E119">
        <v>0</v>
      </c>
      <c r="F119">
        <v>0</v>
      </c>
      <c r="G119">
        <v>0</v>
      </c>
      <c r="H119">
        <v>4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3</v>
      </c>
      <c r="Q119">
        <v>3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177</v>
      </c>
      <c r="B120" t="s">
        <v>174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177</v>
      </c>
      <c r="B121" s="19" t="s">
        <v>173</v>
      </c>
      <c r="C121">
        <v>7</v>
      </c>
      <c r="D121">
        <v>0</v>
      </c>
      <c r="E121">
        <v>0</v>
      </c>
      <c r="F121">
        <v>1</v>
      </c>
      <c r="G121">
        <v>0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177</v>
      </c>
      <c r="B122" s="18" t="s">
        <v>172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177</v>
      </c>
      <c r="B123" s="18" t="s">
        <v>171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177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177</v>
      </c>
      <c r="B125" t="s">
        <v>169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177</v>
      </c>
      <c r="B126" t="s">
        <v>168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177</v>
      </c>
      <c r="B127" s="19" t="s">
        <v>167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177</v>
      </c>
      <c r="B128" s="19" t="s">
        <v>166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177</v>
      </c>
      <c r="B129" s="19" t="s">
        <v>165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177</v>
      </c>
      <c r="B130" t="s">
        <v>72</v>
      </c>
      <c r="C130">
        <v>2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177</v>
      </c>
      <c r="B131" t="s">
        <v>73</v>
      </c>
      <c r="C131">
        <v>2</v>
      </c>
      <c r="D131">
        <v>0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177</v>
      </c>
      <c r="B132" t="s">
        <v>74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177</v>
      </c>
      <c r="B133" s="19" t="s">
        <v>75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177</v>
      </c>
      <c r="B134" s="18" t="s">
        <v>76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177</v>
      </c>
      <c r="B135" s="18" t="s">
        <v>77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177</v>
      </c>
      <c r="B136" t="s">
        <v>78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177</v>
      </c>
      <c r="B137" t="s">
        <v>79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177</v>
      </c>
      <c r="B138" t="s">
        <v>80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177</v>
      </c>
      <c r="B139" s="19" t="s">
        <v>81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177</v>
      </c>
      <c r="B140" s="19" t="s">
        <v>82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177</v>
      </c>
      <c r="B141" s="19" t="s">
        <v>83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177</v>
      </c>
      <c r="B142" t="s">
        <v>84</v>
      </c>
      <c r="C142">
        <v>466</v>
      </c>
      <c r="D142">
        <v>4</v>
      </c>
      <c r="E142">
        <v>1</v>
      </c>
      <c r="F142">
        <v>4</v>
      </c>
      <c r="G142">
        <v>6</v>
      </c>
      <c r="H142">
        <v>3</v>
      </c>
      <c r="I142">
        <v>0</v>
      </c>
      <c r="J142">
        <v>6</v>
      </c>
      <c r="K142">
        <v>9</v>
      </c>
      <c r="L142">
        <v>20</v>
      </c>
      <c r="M142">
        <v>55</v>
      </c>
      <c r="N142">
        <v>17</v>
      </c>
      <c r="O142">
        <v>13</v>
      </c>
      <c r="P142">
        <v>50</v>
      </c>
      <c r="Q142">
        <v>17</v>
      </c>
      <c r="R142">
        <v>33</v>
      </c>
      <c r="S142">
        <v>24</v>
      </c>
      <c r="T142">
        <v>20</v>
      </c>
      <c r="U142">
        <v>25</v>
      </c>
      <c r="V142">
        <v>11</v>
      </c>
      <c r="W142">
        <v>15</v>
      </c>
      <c r="X142">
        <v>17</v>
      </c>
      <c r="Y142">
        <v>29</v>
      </c>
      <c r="Z142">
        <v>26</v>
      </c>
      <c r="AA142">
        <v>27</v>
      </c>
      <c r="AB142">
        <v>20</v>
      </c>
      <c r="AC142">
        <v>13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</row>
    <row r="143" spans="1:37" x14ac:dyDescent="0.25">
      <c r="A143" t="s">
        <v>177</v>
      </c>
      <c r="B143" t="s">
        <v>85</v>
      </c>
      <c r="C143">
        <v>1831</v>
      </c>
      <c r="D143">
        <v>30</v>
      </c>
      <c r="E143">
        <v>1</v>
      </c>
      <c r="F143">
        <v>5</v>
      </c>
      <c r="G143">
        <v>5</v>
      </c>
      <c r="H143">
        <v>4</v>
      </c>
      <c r="I143">
        <v>0</v>
      </c>
      <c r="J143">
        <v>33</v>
      </c>
      <c r="K143">
        <v>30</v>
      </c>
      <c r="L143">
        <v>96</v>
      </c>
      <c r="M143">
        <v>438</v>
      </c>
      <c r="N143">
        <v>30</v>
      </c>
      <c r="O143">
        <v>45</v>
      </c>
      <c r="P143">
        <v>363</v>
      </c>
      <c r="Q143">
        <v>29</v>
      </c>
      <c r="R143">
        <v>105</v>
      </c>
      <c r="S143">
        <v>47</v>
      </c>
      <c r="T143">
        <v>48</v>
      </c>
      <c r="U143">
        <v>53</v>
      </c>
      <c r="V143">
        <v>21</v>
      </c>
      <c r="W143">
        <v>38</v>
      </c>
      <c r="X143">
        <v>68</v>
      </c>
      <c r="Y143">
        <v>73</v>
      </c>
      <c r="Z143">
        <v>84</v>
      </c>
      <c r="AA143">
        <v>43</v>
      </c>
      <c r="AB143">
        <v>66</v>
      </c>
      <c r="AC143">
        <v>76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177</v>
      </c>
      <c r="B144" t="s">
        <v>86</v>
      </c>
      <c r="C144">
        <v>366</v>
      </c>
      <c r="D144">
        <v>0</v>
      </c>
      <c r="E144">
        <v>0</v>
      </c>
      <c r="F144">
        <v>3</v>
      </c>
      <c r="G144">
        <v>5</v>
      </c>
      <c r="H144">
        <v>4</v>
      </c>
      <c r="I144">
        <v>0</v>
      </c>
      <c r="J144">
        <v>1</v>
      </c>
      <c r="K144">
        <v>8</v>
      </c>
      <c r="L144">
        <v>58</v>
      </c>
      <c r="M144">
        <v>64</v>
      </c>
      <c r="N144">
        <v>3</v>
      </c>
      <c r="O144">
        <v>3</v>
      </c>
      <c r="P144">
        <v>54</v>
      </c>
      <c r="Q144">
        <v>4</v>
      </c>
      <c r="R144">
        <v>7</v>
      </c>
      <c r="S144">
        <v>19</v>
      </c>
      <c r="T144">
        <v>8</v>
      </c>
      <c r="U144">
        <v>12</v>
      </c>
      <c r="V144">
        <v>6</v>
      </c>
      <c r="W144">
        <v>10</v>
      </c>
      <c r="X144">
        <v>14</v>
      </c>
      <c r="Y144">
        <v>22</v>
      </c>
      <c r="Z144">
        <v>11</v>
      </c>
      <c r="AA144">
        <v>2</v>
      </c>
      <c r="AB144">
        <v>20</v>
      </c>
      <c r="AC144">
        <v>28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177</v>
      </c>
      <c r="B145" s="19" t="s">
        <v>87</v>
      </c>
      <c r="C145">
        <v>494</v>
      </c>
      <c r="D145">
        <v>7</v>
      </c>
      <c r="E145">
        <v>0</v>
      </c>
      <c r="F145">
        <v>2</v>
      </c>
      <c r="G145">
        <v>9</v>
      </c>
      <c r="H145">
        <v>3</v>
      </c>
      <c r="I145">
        <v>0</v>
      </c>
      <c r="J145">
        <v>25</v>
      </c>
      <c r="K145">
        <v>13</v>
      </c>
      <c r="L145">
        <v>21</v>
      </c>
      <c r="M145">
        <v>116</v>
      </c>
      <c r="N145">
        <v>9</v>
      </c>
      <c r="O145">
        <v>12</v>
      </c>
      <c r="P145">
        <v>124</v>
      </c>
      <c r="Q145">
        <v>10</v>
      </c>
      <c r="R145">
        <v>19</v>
      </c>
      <c r="S145">
        <v>7</v>
      </c>
      <c r="T145">
        <v>17</v>
      </c>
      <c r="U145">
        <v>28</v>
      </c>
      <c r="V145">
        <v>6</v>
      </c>
      <c r="W145">
        <v>6</v>
      </c>
      <c r="X145">
        <v>11</v>
      </c>
      <c r="Y145">
        <v>7</v>
      </c>
      <c r="Z145">
        <v>16</v>
      </c>
      <c r="AA145">
        <v>9</v>
      </c>
      <c r="AB145">
        <v>17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177</v>
      </c>
      <c r="B146" s="18" t="s">
        <v>88</v>
      </c>
      <c r="C146">
        <v>172</v>
      </c>
      <c r="D146">
        <v>0</v>
      </c>
      <c r="E146">
        <v>0</v>
      </c>
      <c r="F146">
        <v>10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30</v>
      </c>
      <c r="M146">
        <v>16</v>
      </c>
      <c r="N146">
        <v>0</v>
      </c>
      <c r="O146">
        <v>0</v>
      </c>
      <c r="P146">
        <v>87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177</v>
      </c>
      <c r="B147" s="18" t="s">
        <v>89</v>
      </c>
      <c r="C147">
        <v>146</v>
      </c>
      <c r="D147">
        <v>0</v>
      </c>
      <c r="E147">
        <v>0</v>
      </c>
      <c r="F147">
        <v>0</v>
      </c>
      <c r="G147">
        <v>0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5</v>
      </c>
      <c r="N147">
        <v>0</v>
      </c>
      <c r="O147">
        <v>0</v>
      </c>
      <c r="P147">
        <v>10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128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177</v>
      </c>
      <c r="B148" t="s">
        <v>90</v>
      </c>
      <c r="C148">
        <v>285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160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10</v>
      </c>
      <c r="Y148">
        <v>0</v>
      </c>
      <c r="Z148">
        <v>20</v>
      </c>
      <c r="AA148">
        <v>0</v>
      </c>
      <c r="AB148">
        <v>0</v>
      </c>
      <c r="AC148">
        <v>95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177</v>
      </c>
      <c r="B149" t="s">
        <v>91</v>
      </c>
      <c r="C149">
        <v>25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20</v>
      </c>
      <c r="Y149">
        <v>0</v>
      </c>
      <c r="Z149">
        <v>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177</v>
      </c>
      <c r="B150" t="s">
        <v>92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177</v>
      </c>
      <c r="B151" s="19" t="s">
        <v>93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177</v>
      </c>
      <c r="B152" s="19" t="s">
        <v>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177</v>
      </c>
      <c r="B153" s="19" t="s">
        <v>95</v>
      </c>
      <c r="C153">
        <v>1555</v>
      </c>
      <c r="D153">
        <v>12</v>
      </c>
      <c r="E153">
        <v>1</v>
      </c>
      <c r="F153">
        <v>12</v>
      </c>
      <c r="G153">
        <v>13</v>
      </c>
      <c r="H153">
        <v>3</v>
      </c>
      <c r="I153">
        <v>0</v>
      </c>
      <c r="J153">
        <v>16</v>
      </c>
      <c r="K153">
        <v>19</v>
      </c>
      <c r="L153">
        <v>155</v>
      </c>
      <c r="M153">
        <v>231</v>
      </c>
      <c r="N153">
        <v>26</v>
      </c>
      <c r="O153">
        <v>69</v>
      </c>
      <c r="P153">
        <v>363</v>
      </c>
      <c r="Q153">
        <v>21</v>
      </c>
      <c r="R153">
        <v>60</v>
      </c>
      <c r="S153">
        <v>58</v>
      </c>
      <c r="T153">
        <v>34</v>
      </c>
      <c r="U153">
        <v>80</v>
      </c>
      <c r="V153">
        <v>15</v>
      </c>
      <c r="W153">
        <v>23</v>
      </c>
      <c r="X153">
        <v>56</v>
      </c>
      <c r="Y153">
        <v>70</v>
      </c>
      <c r="Z153">
        <v>74</v>
      </c>
      <c r="AA153">
        <v>20</v>
      </c>
      <c r="AB153">
        <v>57</v>
      </c>
      <c r="AC153">
        <v>67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177</v>
      </c>
      <c r="B154" t="s">
        <v>108</v>
      </c>
      <c r="C154">
        <v>864</v>
      </c>
      <c r="D154">
        <v>21</v>
      </c>
      <c r="E154">
        <v>22</v>
      </c>
      <c r="F154">
        <v>32</v>
      </c>
      <c r="G154">
        <v>32</v>
      </c>
      <c r="H154">
        <v>58</v>
      </c>
      <c r="I154">
        <v>21</v>
      </c>
      <c r="J154">
        <v>12</v>
      </c>
      <c r="K154">
        <v>9</v>
      </c>
      <c r="L154">
        <v>30</v>
      </c>
      <c r="M154">
        <v>77</v>
      </c>
      <c r="N154">
        <v>59</v>
      </c>
      <c r="O154">
        <v>21</v>
      </c>
      <c r="P154">
        <v>68</v>
      </c>
      <c r="Q154">
        <v>39</v>
      </c>
      <c r="R154">
        <v>40</v>
      </c>
      <c r="S154">
        <v>35</v>
      </c>
      <c r="T154">
        <v>34</v>
      </c>
      <c r="U154">
        <v>30</v>
      </c>
      <c r="V154">
        <v>15</v>
      </c>
      <c r="W154">
        <v>18</v>
      </c>
      <c r="X154">
        <v>23</v>
      </c>
      <c r="Y154">
        <v>36</v>
      </c>
      <c r="Z154">
        <v>30</v>
      </c>
      <c r="AA154">
        <v>52</v>
      </c>
      <c r="AB154">
        <v>30</v>
      </c>
      <c r="AC154">
        <v>19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</row>
    <row r="155" spans="1:37" x14ac:dyDescent="0.25">
      <c r="A155" t="s">
        <v>177</v>
      </c>
      <c r="B155" t="s">
        <v>109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177</v>
      </c>
      <c r="B156" t="s">
        <v>110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177</v>
      </c>
      <c r="B157" t="s">
        <v>111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177</v>
      </c>
      <c r="B158" t="s">
        <v>152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177</v>
      </c>
      <c r="B159" t="s">
        <v>151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177</v>
      </c>
      <c r="B160" t="s">
        <v>150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177</v>
      </c>
      <c r="B161" t="s">
        <v>112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177</v>
      </c>
      <c r="B162" t="s">
        <v>113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177</v>
      </c>
      <c r="B163" t="s">
        <v>114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177</v>
      </c>
      <c r="B164" t="s">
        <v>115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177</v>
      </c>
      <c r="B165" t="s">
        <v>116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177</v>
      </c>
      <c r="B166" t="s">
        <v>117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177</v>
      </c>
      <c r="B167" t="s">
        <v>118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177</v>
      </c>
      <c r="B168" t="s">
        <v>119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177</v>
      </c>
      <c r="B169" t="s">
        <v>120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177</v>
      </c>
      <c r="B170" t="s">
        <v>121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177</v>
      </c>
      <c r="B171" t="s">
        <v>122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177</v>
      </c>
      <c r="B172" t="s">
        <v>124</v>
      </c>
      <c r="C172">
        <v>501</v>
      </c>
      <c r="D172">
        <v>2</v>
      </c>
      <c r="E172">
        <v>9</v>
      </c>
      <c r="F172">
        <v>50</v>
      </c>
      <c r="G172">
        <v>64</v>
      </c>
      <c r="H172">
        <v>79</v>
      </c>
      <c r="I172">
        <v>6</v>
      </c>
      <c r="J172">
        <v>2</v>
      </c>
      <c r="K172">
        <v>4</v>
      </c>
      <c r="L172">
        <v>38</v>
      </c>
      <c r="M172">
        <v>37</v>
      </c>
      <c r="N172">
        <v>5</v>
      </c>
      <c r="O172">
        <v>27</v>
      </c>
      <c r="P172">
        <v>46</v>
      </c>
      <c r="Q172">
        <v>6</v>
      </c>
      <c r="R172">
        <v>32</v>
      </c>
      <c r="S172">
        <v>7</v>
      </c>
      <c r="T172">
        <v>5</v>
      </c>
      <c r="U172">
        <v>23</v>
      </c>
      <c r="V172">
        <v>2</v>
      </c>
      <c r="W172">
        <v>1</v>
      </c>
      <c r="X172">
        <v>12</v>
      </c>
      <c r="Y172">
        <v>8</v>
      </c>
      <c r="Z172">
        <v>9</v>
      </c>
      <c r="AA172">
        <v>21</v>
      </c>
      <c r="AB172">
        <v>5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177</v>
      </c>
      <c r="B173" t="s">
        <v>125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177</v>
      </c>
      <c r="B174" t="s">
        <v>126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177</v>
      </c>
      <c r="B175" t="s">
        <v>127</v>
      </c>
      <c r="C175">
        <v>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177</v>
      </c>
      <c r="B176" s="18" t="s">
        <v>128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177</v>
      </c>
      <c r="B177" t="s">
        <v>129</v>
      </c>
      <c r="C177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177</v>
      </c>
      <c r="B178" t="s">
        <v>130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177</v>
      </c>
      <c r="B179" t="s">
        <v>131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177</v>
      </c>
      <c r="B180" t="s">
        <v>132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177</v>
      </c>
      <c r="B181" t="s">
        <v>133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177</v>
      </c>
      <c r="B182" t="s">
        <v>134</v>
      </c>
      <c r="C182">
        <v>11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4</v>
      </c>
      <c r="M182">
        <v>0</v>
      </c>
      <c r="N182">
        <v>0</v>
      </c>
      <c r="O182">
        <v>0</v>
      </c>
      <c r="P182">
        <v>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148</v>
      </c>
      <c r="B183" t="s">
        <v>36</v>
      </c>
      <c r="C183">
        <v>4082</v>
      </c>
      <c r="D183">
        <v>167</v>
      </c>
      <c r="E183">
        <v>181</v>
      </c>
      <c r="F183">
        <v>131</v>
      </c>
      <c r="G183">
        <v>103</v>
      </c>
      <c r="H183">
        <v>95</v>
      </c>
      <c r="I183">
        <v>86</v>
      </c>
      <c r="J183">
        <v>30</v>
      </c>
      <c r="K183">
        <v>67</v>
      </c>
      <c r="L183">
        <v>242</v>
      </c>
      <c r="M183">
        <v>299</v>
      </c>
      <c r="N183">
        <v>203</v>
      </c>
      <c r="O183">
        <v>131</v>
      </c>
      <c r="P183">
        <v>210</v>
      </c>
      <c r="Q183">
        <v>173</v>
      </c>
      <c r="R183">
        <v>168</v>
      </c>
      <c r="S183">
        <v>133</v>
      </c>
      <c r="T183">
        <v>148</v>
      </c>
      <c r="U183">
        <v>75</v>
      </c>
      <c r="V183">
        <v>67</v>
      </c>
      <c r="W183">
        <v>99</v>
      </c>
      <c r="X183">
        <v>168</v>
      </c>
      <c r="Y183">
        <v>148</v>
      </c>
      <c r="Z183">
        <v>91</v>
      </c>
      <c r="AA183">
        <v>81</v>
      </c>
      <c r="AB183">
        <v>80</v>
      </c>
      <c r="AC183">
        <v>110</v>
      </c>
      <c r="AD183">
        <v>188</v>
      </c>
      <c r="AE183">
        <v>97</v>
      </c>
      <c r="AF183">
        <v>50</v>
      </c>
      <c r="AG183">
        <v>47</v>
      </c>
      <c r="AH183">
        <v>36</v>
      </c>
      <c r="AI183">
        <v>19</v>
      </c>
      <c r="AJ183">
        <v>111</v>
      </c>
      <c r="AK183">
        <v>48</v>
      </c>
    </row>
    <row r="184" spans="1:37" x14ac:dyDescent="0.25">
      <c r="A184" t="s">
        <v>148</v>
      </c>
      <c r="B184" t="s">
        <v>37</v>
      </c>
      <c r="C184">
        <v>1583</v>
      </c>
      <c r="D184">
        <v>158</v>
      </c>
      <c r="E184">
        <v>192</v>
      </c>
      <c r="F184">
        <v>269</v>
      </c>
      <c r="G184">
        <v>136</v>
      </c>
      <c r="H184">
        <v>183</v>
      </c>
      <c r="I184">
        <v>164</v>
      </c>
      <c r="J184">
        <v>50</v>
      </c>
      <c r="K184">
        <v>4</v>
      </c>
      <c r="L184">
        <v>16</v>
      </c>
      <c r="M184">
        <v>38</v>
      </c>
      <c r="N184">
        <v>9</v>
      </c>
      <c r="O184">
        <v>16</v>
      </c>
      <c r="P184">
        <v>16</v>
      </c>
      <c r="Q184">
        <v>0</v>
      </c>
      <c r="R184">
        <v>34</v>
      </c>
      <c r="S184">
        <v>18</v>
      </c>
      <c r="T184">
        <v>43</v>
      </c>
      <c r="U184">
        <v>11</v>
      </c>
      <c r="V184">
        <v>34</v>
      </c>
      <c r="W184">
        <v>11</v>
      </c>
      <c r="X184">
        <v>13</v>
      </c>
      <c r="Y184">
        <v>5</v>
      </c>
      <c r="Z184">
        <v>4</v>
      </c>
      <c r="AA184">
        <v>10</v>
      </c>
      <c r="AB184">
        <v>16</v>
      </c>
      <c r="AC184">
        <v>19</v>
      </c>
      <c r="AD184">
        <v>9</v>
      </c>
      <c r="AE184">
        <v>18</v>
      </c>
      <c r="AF184">
        <v>34</v>
      </c>
      <c r="AG184">
        <v>15</v>
      </c>
      <c r="AH184">
        <v>18</v>
      </c>
      <c r="AI184">
        <v>0</v>
      </c>
      <c r="AJ184">
        <v>15</v>
      </c>
      <c r="AK184">
        <v>5</v>
      </c>
    </row>
    <row r="185" spans="1:37" x14ac:dyDescent="0.25">
      <c r="A185" t="s">
        <v>148</v>
      </c>
      <c r="B185" t="s">
        <v>38</v>
      </c>
      <c r="C185">
        <v>212</v>
      </c>
      <c r="D185">
        <v>24</v>
      </c>
      <c r="E185">
        <v>22</v>
      </c>
      <c r="F185">
        <v>9</v>
      </c>
      <c r="G185">
        <v>8</v>
      </c>
      <c r="H185">
        <v>89</v>
      </c>
      <c r="I185">
        <v>28</v>
      </c>
      <c r="J185">
        <v>5</v>
      </c>
      <c r="K185">
        <v>0</v>
      </c>
      <c r="L185">
        <v>1</v>
      </c>
      <c r="M185">
        <v>4</v>
      </c>
      <c r="N185">
        <v>1</v>
      </c>
      <c r="O185">
        <v>1</v>
      </c>
      <c r="P185">
        <v>5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2</v>
      </c>
      <c r="AB185">
        <v>1</v>
      </c>
      <c r="AC185">
        <v>4</v>
      </c>
      <c r="AD185">
        <v>0</v>
      </c>
      <c r="AE185">
        <v>0</v>
      </c>
      <c r="AF185">
        <v>0</v>
      </c>
      <c r="AG185">
        <v>1</v>
      </c>
      <c r="AH185">
        <v>3</v>
      </c>
      <c r="AI185">
        <v>0</v>
      </c>
      <c r="AJ185">
        <v>0</v>
      </c>
      <c r="AK185">
        <v>1</v>
      </c>
    </row>
    <row r="186" spans="1:37" x14ac:dyDescent="0.25">
      <c r="A186" t="s">
        <v>148</v>
      </c>
      <c r="B186" s="19" t="s">
        <v>39</v>
      </c>
      <c r="C186">
        <v>482</v>
      </c>
      <c r="D186">
        <v>38</v>
      </c>
      <c r="E186">
        <v>57</v>
      </c>
      <c r="F186">
        <v>43</v>
      </c>
      <c r="G186">
        <v>45</v>
      </c>
      <c r="H186">
        <v>62</v>
      </c>
      <c r="I186">
        <v>66</v>
      </c>
      <c r="J186">
        <v>17</v>
      </c>
      <c r="K186">
        <v>0</v>
      </c>
      <c r="L186">
        <v>18</v>
      </c>
      <c r="M186">
        <v>25</v>
      </c>
      <c r="N186">
        <v>6</v>
      </c>
      <c r="O186">
        <v>3</v>
      </c>
      <c r="P186">
        <v>1</v>
      </c>
      <c r="Q186">
        <v>1</v>
      </c>
      <c r="R186">
        <v>3</v>
      </c>
      <c r="S186">
        <v>10</v>
      </c>
      <c r="T186">
        <v>9</v>
      </c>
      <c r="U186">
        <v>5</v>
      </c>
      <c r="V186">
        <v>13</v>
      </c>
      <c r="W186">
        <v>18</v>
      </c>
      <c r="X186">
        <v>15</v>
      </c>
      <c r="Y186">
        <v>3</v>
      </c>
      <c r="Z186">
        <v>1</v>
      </c>
      <c r="AA186">
        <v>3</v>
      </c>
      <c r="AB186">
        <v>1</v>
      </c>
      <c r="AC186">
        <v>2</v>
      </c>
      <c r="AD186">
        <v>1</v>
      </c>
      <c r="AE186">
        <v>0</v>
      </c>
      <c r="AF186">
        <v>1</v>
      </c>
      <c r="AG186">
        <v>4</v>
      </c>
      <c r="AH186">
        <v>9</v>
      </c>
      <c r="AI186">
        <v>0</v>
      </c>
      <c r="AJ186">
        <v>1</v>
      </c>
      <c r="AK186">
        <v>1</v>
      </c>
    </row>
    <row r="187" spans="1:37" x14ac:dyDescent="0.25">
      <c r="A187" t="s">
        <v>148</v>
      </c>
      <c r="B187" s="18" t="s">
        <v>40</v>
      </c>
      <c r="C187">
        <v>528</v>
      </c>
      <c r="D187">
        <v>25</v>
      </c>
      <c r="E187">
        <v>8</v>
      </c>
      <c r="F187">
        <v>302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129</v>
      </c>
      <c r="M187">
        <v>11</v>
      </c>
      <c r="N187">
        <v>0</v>
      </c>
      <c r="O187">
        <v>0</v>
      </c>
      <c r="P187">
        <v>5</v>
      </c>
      <c r="Q187">
        <v>0</v>
      </c>
      <c r="R187">
        <v>0</v>
      </c>
      <c r="S187">
        <v>19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5</v>
      </c>
      <c r="AK187">
        <v>20</v>
      </c>
    </row>
    <row r="188" spans="1:37" x14ac:dyDescent="0.25">
      <c r="A188" t="s">
        <v>148</v>
      </c>
      <c r="B188" s="18" t="s">
        <v>41</v>
      </c>
      <c r="C188">
        <v>211</v>
      </c>
      <c r="D188">
        <v>0</v>
      </c>
      <c r="E188">
        <v>0</v>
      </c>
      <c r="F188">
        <v>0</v>
      </c>
      <c r="G188">
        <v>0</v>
      </c>
      <c r="H188">
        <v>134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10</v>
      </c>
      <c r="AI188">
        <v>0</v>
      </c>
      <c r="AJ188">
        <v>67</v>
      </c>
      <c r="AK188">
        <v>0</v>
      </c>
    </row>
    <row r="189" spans="1:37" x14ac:dyDescent="0.25">
      <c r="A189" t="s">
        <v>148</v>
      </c>
      <c r="B189" t="s">
        <v>42</v>
      </c>
      <c r="C189">
        <v>52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52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148</v>
      </c>
      <c r="B190" t="s">
        <v>43</v>
      </c>
      <c r="C190">
        <v>2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148</v>
      </c>
      <c r="B191" t="s">
        <v>44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148</v>
      </c>
      <c r="B192" s="19" t="s">
        <v>45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148</v>
      </c>
      <c r="B193" s="19" t="s">
        <v>46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148</v>
      </c>
      <c r="B194" s="19" t="s">
        <v>47</v>
      </c>
      <c r="C194">
        <v>1044</v>
      </c>
      <c r="D194">
        <v>94</v>
      </c>
      <c r="E194">
        <v>134</v>
      </c>
      <c r="F194">
        <v>169</v>
      </c>
      <c r="G194">
        <v>87</v>
      </c>
      <c r="H194">
        <v>107</v>
      </c>
      <c r="I194">
        <v>110</v>
      </c>
      <c r="J194">
        <v>30</v>
      </c>
      <c r="K194">
        <v>1</v>
      </c>
      <c r="L194">
        <v>24</v>
      </c>
      <c r="M194">
        <v>30</v>
      </c>
      <c r="N194">
        <v>6</v>
      </c>
      <c r="O194">
        <v>9</v>
      </c>
      <c r="P194">
        <v>11</v>
      </c>
      <c r="Q194">
        <v>1</v>
      </c>
      <c r="R194">
        <v>14</v>
      </c>
      <c r="S194">
        <v>24</v>
      </c>
      <c r="T194">
        <v>29</v>
      </c>
      <c r="U194">
        <v>9</v>
      </c>
      <c r="V194">
        <v>28</v>
      </c>
      <c r="W194">
        <v>20</v>
      </c>
      <c r="X194">
        <v>18</v>
      </c>
      <c r="Y194">
        <v>3</v>
      </c>
      <c r="Z194">
        <v>1</v>
      </c>
      <c r="AA194">
        <v>8</v>
      </c>
      <c r="AB194">
        <v>6</v>
      </c>
      <c r="AC194">
        <v>13</v>
      </c>
      <c r="AD194">
        <v>1</v>
      </c>
      <c r="AE194">
        <v>1</v>
      </c>
      <c r="AF194">
        <v>13</v>
      </c>
      <c r="AG194">
        <v>14</v>
      </c>
      <c r="AH194">
        <v>13</v>
      </c>
      <c r="AI194">
        <v>0</v>
      </c>
      <c r="AJ194">
        <v>9</v>
      </c>
      <c r="AK194">
        <v>7</v>
      </c>
    </row>
    <row r="195" spans="1:37" x14ac:dyDescent="0.25">
      <c r="A195" t="s">
        <v>148</v>
      </c>
      <c r="B195" t="s">
        <v>176</v>
      </c>
      <c r="C195">
        <v>339</v>
      </c>
      <c r="D195">
        <v>54</v>
      </c>
      <c r="E195">
        <v>39</v>
      </c>
      <c r="F195">
        <v>19</v>
      </c>
      <c r="G195">
        <v>21</v>
      </c>
      <c r="H195">
        <v>39</v>
      </c>
      <c r="I195">
        <v>17</v>
      </c>
      <c r="J195">
        <v>3</v>
      </c>
      <c r="K195">
        <v>12</v>
      </c>
      <c r="L195">
        <v>15</v>
      </c>
      <c r="M195">
        <v>46</v>
      </c>
      <c r="N195">
        <v>21</v>
      </c>
      <c r="O195">
        <v>15</v>
      </c>
      <c r="P195">
        <v>10</v>
      </c>
      <c r="Q195">
        <v>22</v>
      </c>
      <c r="R195">
        <v>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148</v>
      </c>
      <c r="B196" t="s">
        <v>175</v>
      </c>
      <c r="C196">
        <v>509</v>
      </c>
      <c r="D196">
        <v>73</v>
      </c>
      <c r="E196">
        <v>37</v>
      </c>
      <c r="F196">
        <v>21</v>
      </c>
      <c r="G196">
        <v>32</v>
      </c>
      <c r="H196">
        <v>37</v>
      </c>
      <c r="I196">
        <v>25</v>
      </c>
      <c r="J196">
        <v>3</v>
      </c>
      <c r="K196">
        <v>16</v>
      </c>
      <c r="L196">
        <v>20</v>
      </c>
      <c r="M196">
        <v>121</v>
      </c>
      <c r="N196">
        <v>55</v>
      </c>
      <c r="O196">
        <v>23</v>
      </c>
      <c r="P196">
        <v>10</v>
      </c>
      <c r="Q196">
        <v>26</v>
      </c>
      <c r="R196">
        <v>10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148</v>
      </c>
      <c r="B197" t="s">
        <v>174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148</v>
      </c>
      <c r="B198" s="19" t="s">
        <v>173</v>
      </c>
      <c r="C198">
        <v>1269</v>
      </c>
      <c r="D198">
        <v>169</v>
      </c>
      <c r="E198">
        <v>123</v>
      </c>
      <c r="F198">
        <v>37</v>
      </c>
      <c r="G198">
        <v>61</v>
      </c>
      <c r="H198">
        <v>79</v>
      </c>
      <c r="I198">
        <v>72</v>
      </c>
      <c r="J198">
        <v>31</v>
      </c>
      <c r="K198">
        <v>67</v>
      </c>
      <c r="L198">
        <v>14</v>
      </c>
      <c r="M198">
        <v>227</v>
      </c>
      <c r="N198">
        <v>95</v>
      </c>
      <c r="O198">
        <v>50</v>
      </c>
      <c r="P198">
        <v>53</v>
      </c>
      <c r="Q198">
        <v>116</v>
      </c>
      <c r="R198">
        <v>75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148</v>
      </c>
      <c r="B199" s="18" t="s">
        <v>172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148</v>
      </c>
      <c r="B200" s="18" t="s">
        <v>171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148</v>
      </c>
      <c r="B201" t="s">
        <v>170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148</v>
      </c>
      <c r="B202" t="s">
        <v>169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148</v>
      </c>
      <c r="B203" t="s">
        <v>168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148</v>
      </c>
      <c r="B204" s="19" t="s">
        <v>167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148</v>
      </c>
      <c r="B205" s="19" t="s">
        <v>166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148</v>
      </c>
      <c r="B206" s="19" t="s">
        <v>165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148</v>
      </c>
      <c r="B207" t="s">
        <v>48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148</v>
      </c>
      <c r="B208" t="s">
        <v>49</v>
      </c>
      <c r="C208">
        <v>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7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148</v>
      </c>
      <c r="B209" t="s">
        <v>50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148</v>
      </c>
      <c r="B210" s="19" t="s">
        <v>51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148</v>
      </c>
      <c r="B211" s="18" t="s">
        <v>52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148</v>
      </c>
      <c r="B212" s="18" t="s">
        <v>53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148</v>
      </c>
      <c r="B213" t="s">
        <v>54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148</v>
      </c>
      <c r="B214" t="s">
        <v>55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148</v>
      </c>
      <c r="B215" t="s">
        <v>56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148</v>
      </c>
      <c r="B216" s="19" t="s">
        <v>57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148</v>
      </c>
      <c r="B217" s="19" t="s">
        <v>58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148</v>
      </c>
      <c r="B218" s="19" t="s">
        <v>59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148</v>
      </c>
      <c r="B219" t="s">
        <v>164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148</v>
      </c>
      <c r="B220" t="s">
        <v>163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148</v>
      </c>
      <c r="B221" t="s">
        <v>162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148</v>
      </c>
      <c r="B222" s="19" t="s">
        <v>161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148</v>
      </c>
      <c r="B223" s="18" t="s">
        <v>160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148</v>
      </c>
      <c r="B224" s="18" t="s">
        <v>159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148</v>
      </c>
      <c r="B225" t="s">
        <v>158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148</v>
      </c>
      <c r="B226" t="s">
        <v>157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148</v>
      </c>
      <c r="B227" t="s">
        <v>156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148</v>
      </c>
      <c r="B228" s="19" t="s">
        <v>155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148</v>
      </c>
      <c r="B229" s="19" t="s">
        <v>154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148</v>
      </c>
      <c r="B230" s="19" t="s">
        <v>153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148</v>
      </c>
      <c r="B231" t="s">
        <v>72</v>
      </c>
      <c r="C231">
        <v>6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148</v>
      </c>
      <c r="B232" t="s">
        <v>73</v>
      </c>
      <c r="C232">
        <v>10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3</v>
      </c>
      <c r="L232">
        <v>0</v>
      </c>
      <c r="M232">
        <v>0</v>
      </c>
      <c r="N232">
        <v>4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148</v>
      </c>
      <c r="B233" t="s">
        <v>74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148</v>
      </c>
      <c r="B234" s="19" t="s">
        <v>75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148</v>
      </c>
      <c r="B235" s="18" t="s">
        <v>76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148</v>
      </c>
      <c r="B236" s="18" t="s">
        <v>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148</v>
      </c>
      <c r="B237" t="s">
        <v>78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148</v>
      </c>
      <c r="B238" t="s">
        <v>79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148</v>
      </c>
      <c r="B239" t="s">
        <v>80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148</v>
      </c>
      <c r="B240" s="19" t="s">
        <v>81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148</v>
      </c>
      <c r="B241" s="19" t="s">
        <v>82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148</v>
      </c>
      <c r="B242" s="19" t="s">
        <v>83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148</v>
      </c>
      <c r="B243" t="s">
        <v>84</v>
      </c>
      <c r="C243">
        <v>3146</v>
      </c>
      <c r="D243">
        <v>83</v>
      </c>
      <c r="E243">
        <v>102</v>
      </c>
      <c r="F243">
        <v>74</v>
      </c>
      <c r="G243">
        <v>55</v>
      </c>
      <c r="H243">
        <v>46</v>
      </c>
      <c r="I243">
        <v>38</v>
      </c>
      <c r="J243">
        <v>19</v>
      </c>
      <c r="K243">
        <v>59</v>
      </c>
      <c r="L243">
        <v>201</v>
      </c>
      <c r="M243">
        <v>251</v>
      </c>
      <c r="N243">
        <v>182</v>
      </c>
      <c r="O243">
        <v>120</v>
      </c>
      <c r="P243">
        <v>155</v>
      </c>
      <c r="Q243">
        <v>134</v>
      </c>
      <c r="R243">
        <v>146</v>
      </c>
      <c r="S243">
        <v>111</v>
      </c>
      <c r="T243">
        <v>140</v>
      </c>
      <c r="U243">
        <v>67</v>
      </c>
      <c r="V243">
        <v>65</v>
      </c>
      <c r="W243">
        <v>86</v>
      </c>
      <c r="X243">
        <v>129</v>
      </c>
      <c r="Y243">
        <v>122</v>
      </c>
      <c r="Z243">
        <v>82</v>
      </c>
      <c r="AA243">
        <v>63</v>
      </c>
      <c r="AB243">
        <v>72</v>
      </c>
      <c r="AC243">
        <v>101</v>
      </c>
      <c r="AD243">
        <v>73</v>
      </c>
      <c r="AE243">
        <v>85</v>
      </c>
      <c r="AF243">
        <v>44</v>
      </c>
      <c r="AG243">
        <v>46</v>
      </c>
      <c r="AH243">
        <v>32</v>
      </c>
      <c r="AI243">
        <v>18</v>
      </c>
      <c r="AJ243">
        <v>102</v>
      </c>
      <c r="AK243">
        <v>43</v>
      </c>
    </row>
    <row r="244" spans="1:37" x14ac:dyDescent="0.25">
      <c r="A244" t="s">
        <v>148</v>
      </c>
      <c r="B244" t="s">
        <v>85</v>
      </c>
      <c r="C244">
        <v>11337</v>
      </c>
      <c r="D244">
        <v>164</v>
      </c>
      <c r="E244">
        <v>386</v>
      </c>
      <c r="F244">
        <v>189</v>
      </c>
      <c r="G244">
        <v>192</v>
      </c>
      <c r="H244">
        <v>138</v>
      </c>
      <c r="I244">
        <v>190</v>
      </c>
      <c r="J244">
        <v>53</v>
      </c>
      <c r="K244">
        <v>230</v>
      </c>
      <c r="L244">
        <v>922</v>
      </c>
      <c r="M244">
        <v>1293</v>
      </c>
      <c r="N244">
        <v>806</v>
      </c>
      <c r="O244">
        <v>407</v>
      </c>
      <c r="P244">
        <v>578</v>
      </c>
      <c r="Q244">
        <v>437</v>
      </c>
      <c r="R244">
        <v>607</v>
      </c>
      <c r="S244">
        <v>355</v>
      </c>
      <c r="T244">
        <v>319</v>
      </c>
      <c r="U244">
        <v>216</v>
      </c>
      <c r="V244">
        <v>173</v>
      </c>
      <c r="W244">
        <v>302</v>
      </c>
      <c r="X244">
        <v>298</v>
      </c>
      <c r="Y244">
        <v>387</v>
      </c>
      <c r="Z244">
        <v>259</v>
      </c>
      <c r="AA244">
        <v>277</v>
      </c>
      <c r="AB244">
        <v>268</v>
      </c>
      <c r="AC244">
        <v>420</v>
      </c>
      <c r="AD244">
        <v>360</v>
      </c>
      <c r="AE244">
        <v>254</v>
      </c>
      <c r="AF244">
        <v>128</v>
      </c>
      <c r="AG244">
        <v>136</v>
      </c>
      <c r="AH244">
        <v>87</v>
      </c>
      <c r="AI244">
        <v>134</v>
      </c>
      <c r="AJ244">
        <v>292</v>
      </c>
      <c r="AK244">
        <v>80</v>
      </c>
    </row>
    <row r="245" spans="1:37" x14ac:dyDescent="0.25">
      <c r="A245" t="s">
        <v>148</v>
      </c>
      <c r="B245" t="s">
        <v>86</v>
      </c>
      <c r="C245">
        <v>1920</v>
      </c>
      <c r="D245">
        <v>66</v>
      </c>
      <c r="E245">
        <v>108</v>
      </c>
      <c r="F245">
        <v>38</v>
      </c>
      <c r="G245">
        <v>107</v>
      </c>
      <c r="H245">
        <v>47</v>
      </c>
      <c r="I245">
        <v>109</v>
      </c>
      <c r="J245">
        <v>22</v>
      </c>
      <c r="K245">
        <v>46</v>
      </c>
      <c r="L245">
        <v>46</v>
      </c>
      <c r="M245">
        <v>136</v>
      </c>
      <c r="N245">
        <v>52</v>
      </c>
      <c r="O245">
        <v>78</v>
      </c>
      <c r="P245">
        <v>75</v>
      </c>
      <c r="Q245">
        <v>56</v>
      </c>
      <c r="R245">
        <v>137</v>
      </c>
      <c r="S245">
        <v>35</v>
      </c>
      <c r="T245">
        <v>58</v>
      </c>
      <c r="U245">
        <v>24</v>
      </c>
      <c r="V245">
        <v>31</v>
      </c>
      <c r="W245">
        <v>71</v>
      </c>
      <c r="X245">
        <v>53</v>
      </c>
      <c r="Y245">
        <v>60</v>
      </c>
      <c r="Z245">
        <v>40</v>
      </c>
      <c r="AA245">
        <v>61</v>
      </c>
      <c r="AB245">
        <v>103</v>
      </c>
      <c r="AC245">
        <v>69</v>
      </c>
      <c r="AD245">
        <v>80</v>
      </c>
      <c r="AE245">
        <v>27</v>
      </c>
      <c r="AF245">
        <v>13</v>
      </c>
      <c r="AG245">
        <v>15</v>
      </c>
      <c r="AH245">
        <v>5</v>
      </c>
      <c r="AI245">
        <v>13</v>
      </c>
      <c r="AJ245">
        <v>27</v>
      </c>
      <c r="AK245">
        <v>12</v>
      </c>
    </row>
    <row r="246" spans="1:37" x14ac:dyDescent="0.25">
      <c r="A246" t="s">
        <v>148</v>
      </c>
      <c r="B246" s="19" t="s">
        <v>87</v>
      </c>
      <c r="C246">
        <v>3663</v>
      </c>
      <c r="D246">
        <v>58</v>
      </c>
      <c r="E246">
        <v>132</v>
      </c>
      <c r="F246">
        <v>41</v>
      </c>
      <c r="G246">
        <v>25</v>
      </c>
      <c r="H246">
        <v>23</v>
      </c>
      <c r="I246">
        <v>28</v>
      </c>
      <c r="J246">
        <v>5</v>
      </c>
      <c r="K246">
        <v>34</v>
      </c>
      <c r="L246">
        <v>384</v>
      </c>
      <c r="M246">
        <v>329</v>
      </c>
      <c r="N246">
        <v>204</v>
      </c>
      <c r="O246">
        <v>148</v>
      </c>
      <c r="P246">
        <v>240</v>
      </c>
      <c r="Q246">
        <v>210</v>
      </c>
      <c r="R246">
        <v>224</v>
      </c>
      <c r="S246">
        <v>82</v>
      </c>
      <c r="T246">
        <v>64</v>
      </c>
      <c r="U246">
        <v>73</v>
      </c>
      <c r="V246">
        <v>58</v>
      </c>
      <c r="W246">
        <v>78</v>
      </c>
      <c r="X246">
        <v>225</v>
      </c>
      <c r="Y246">
        <v>109</v>
      </c>
      <c r="Z246">
        <v>72</v>
      </c>
      <c r="AA246">
        <v>91</v>
      </c>
      <c r="AB246">
        <v>152</v>
      </c>
      <c r="AC246">
        <v>105</v>
      </c>
      <c r="AD246">
        <v>74</v>
      </c>
      <c r="AE246">
        <v>70</v>
      </c>
      <c r="AF246">
        <v>60</v>
      </c>
      <c r="AG246">
        <v>34</v>
      </c>
      <c r="AH246">
        <v>25</v>
      </c>
      <c r="AI246">
        <v>33</v>
      </c>
      <c r="AJ246">
        <v>114</v>
      </c>
      <c r="AK246">
        <v>59</v>
      </c>
    </row>
    <row r="247" spans="1:37" x14ac:dyDescent="0.25">
      <c r="A247" t="s">
        <v>148</v>
      </c>
      <c r="B247" s="18" t="s">
        <v>88</v>
      </c>
      <c r="C247">
        <v>1032</v>
      </c>
      <c r="D247">
        <v>50</v>
      </c>
      <c r="E247">
        <v>7</v>
      </c>
      <c r="F247">
        <v>6</v>
      </c>
      <c r="G247">
        <v>4</v>
      </c>
      <c r="H247">
        <v>4</v>
      </c>
      <c r="I247">
        <v>1</v>
      </c>
      <c r="J247">
        <v>0</v>
      </c>
      <c r="K247">
        <v>56</v>
      </c>
      <c r="L247">
        <v>26</v>
      </c>
      <c r="M247">
        <v>31</v>
      </c>
      <c r="N247">
        <v>4</v>
      </c>
      <c r="O247">
        <v>22</v>
      </c>
      <c r="P247">
        <v>96</v>
      </c>
      <c r="Q247">
        <v>57</v>
      </c>
      <c r="R247">
        <v>101</v>
      </c>
      <c r="S247">
        <v>20</v>
      </c>
      <c r="T247">
        <v>131</v>
      </c>
      <c r="U247">
        <v>0</v>
      </c>
      <c r="V247">
        <v>2</v>
      </c>
      <c r="W247">
        <v>16</v>
      </c>
      <c r="X247">
        <v>88</v>
      </c>
      <c r="Y247">
        <v>35</v>
      </c>
      <c r="Z247">
        <v>2</v>
      </c>
      <c r="AA247">
        <v>0</v>
      </c>
      <c r="AB247">
        <v>72</v>
      </c>
      <c r="AC247">
        <v>25</v>
      </c>
      <c r="AD247">
        <v>27</v>
      </c>
      <c r="AE247">
        <v>1</v>
      </c>
      <c r="AF247">
        <v>51</v>
      </c>
      <c r="AG247">
        <v>21</v>
      </c>
      <c r="AH247">
        <v>15</v>
      </c>
      <c r="AI247">
        <v>0</v>
      </c>
      <c r="AJ247">
        <v>53</v>
      </c>
      <c r="AK247">
        <v>8</v>
      </c>
    </row>
    <row r="248" spans="1:37" x14ac:dyDescent="0.25">
      <c r="A248" t="s">
        <v>148</v>
      </c>
      <c r="B248" s="18" t="s">
        <v>89</v>
      </c>
      <c r="C248">
        <v>335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1</v>
      </c>
      <c r="M248">
        <v>0</v>
      </c>
      <c r="N248">
        <v>0</v>
      </c>
      <c r="O248">
        <v>0</v>
      </c>
      <c r="P248">
        <v>20</v>
      </c>
      <c r="Q248">
        <v>55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10</v>
      </c>
      <c r="Z248">
        <v>0</v>
      </c>
      <c r="AA248">
        <v>0</v>
      </c>
      <c r="AB248">
        <v>238</v>
      </c>
      <c r="AC248">
        <v>7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148</v>
      </c>
      <c r="B249" t="s">
        <v>90</v>
      </c>
      <c r="C249">
        <v>342</v>
      </c>
      <c r="D249">
        <v>0</v>
      </c>
      <c r="E249">
        <v>3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1</v>
      </c>
      <c r="L249">
        <v>7</v>
      </c>
      <c r="M249">
        <v>17</v>
      </c>
      <c r="N249">
        <v>0</v>
      </c>
      <c r="O249">
        <v>0</v>
      </c>
      <c r="P249">
        <v>5</v>
      </c>
      <c r="Q249">
        <v>0</v>
      </c>
      <c r="R249">
        <v>4</v>
      </c>
      <c r="S249">
        <v>0</v>
      </c>
      <c r="T249">
        <v>0</v>
      </c>
      <c r="U249">
        <v>18</v>
      </c>
      <c r="V249">
        <v>0</v>
      </c>
      <c r="W249">
        <v>200</v>
      </c>
      <c r="X249">
        <v>0</v>
      </c>
      <c r="Y249">
        <v>0</v>
      </c>
      <c r="Z249">
        <v>2</v>
      </c>
      <c r="AA249">
        <v>0</v>
      </c>
      <c r="AB249">
        <v>0</v>
      </c>
      <c r="AC249">
        <v>84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148</v>
      </c>
      <c r="B250" t="s">
        <v>91</v>
      </c>
      <c r="C250">
        <v>241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1</v>
      </c>
      <c r="P250">
        <v>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230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148</v>
      </c>
      <c r="B251" t="s">
        <v>92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148</v>
      </c>
      <c r="B252" s="19" t="s">
        <v>93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148</v>
      </c>
      <c r="B253" s="19" t="s">
        <v>94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148</v>
      </c>
      <c r="B254" s="19" t="s">
        <v>95</v>
      </c>
      <c r="C254">
        <v>9550</v>
      </c>
      <c r="D254">
        <v>134</v>
      </c>
      <c r="E254">
        <v>322</v>
      </c>
      <c r="F254">
        <v>189</v>
      </c>
      <c r="G254">
        <v>175</v>
      </c>
      <c r="H254">
        <v>104</v>
      </c>
      <c r="I254">
        <v>195</v>
      </c>
      <c r="J254">
        <v>48</v>
      </c>
      <c r="K254">
        <v>260</v>
      </c>
      <c r="L254">
        <v>789</v>
      </c>
      <c r="M254">
        <v>1039</v>
      </c>
      <c r="N254">
        <v>500</v>
      </c>
      <c r="O254">
        <v>282</v>
      </c>
      <c r="P254">
        <v>557</v>
      </c>
      <c r="Q254">
        <v>404</v>
      </c>
      <c r="R254">
        <v>555</v>
      </c>
      <c r="S254">
        <v>203</v>
      </c>
      <c r="T254">
        <v>224</v>
      </c>
      <c r="U254">
        <v>210</v>
      </c>
      <c r="V254">
        <v>146</v>
      </c>
      <c r="W254">
        <v>244</v>
      </c>
      <c r="X254">
        <v>440</v>
      </c>
      <c r="Y254">
        <v>304</v>
      </c>
      <c r="Z254">
        <v>239</v>
      </c>
      <c r="AA254">
        <v>225</v>
      </c>
      <c r="AB254">
        <v>248</v>
      </c>
      <c r="AC254">
        <v>303</v>
      </c>
      <c r="AD254">
        <v>273</v>
      </c>
      <c r="AE254">
        <v>146</v>
      </c>
      <c r="AF254">
        <v>103</v>
      </c>
      <c r="AG254">
        <v>97</v>
      </c>
      <c r="AH254">
        <v>83</v>
      </c>
      <c r="AI254">
        <v>110</v>
      </c>
      <c r="AJ254">
        <v>305</v>
      </c>
      <c r="AK254">
        <v>94</v>
      </c>
    </row>
    <row r="255" spans="1:37" x14ac:dyDescent="0.25">
      <c r="A255" t="s">
        <v>148</v>
      </c>
      <c r="B255" t="s">
        <v>96</v>
      </c>
      <c r="C255">
        <v>2745</v>
      </c>
      <c r="D255">
        <v>79</v>
      </c>
      <c r="E255">
        <v>22</v>
      </c>
      <c r="F255">
        <v>10</v>
      </c>
      <c r="G255">
        <v>50</v>
      </c>
      <c r="H255">
        <v>262</v>
      </c>
      <c r="I255">
        <v>29</v>
      </c>
      <c r="J255">
        <v>21</v>
      </c>
      <c r="K255">
        <v>25</v>
      </c>
      <c r="L255">
        <v>37</v>
      </c>
      <c r="M255">
        <v>20</v>
      </c>
      <c r="N255">
        <v>95</v>
      </c>
      <c r="O255">
        <v>6</v>
      </c>
      <c r="P255">
        <v>89</v>
      </c>
      <c r="Q255">
        <v>138</v>
      </c>
      <c r="R255">
        <v>171</v>
      </c>
      <c r="S255">
        <v>86</v>
      </c>
      <c r="T255">
        <v>136</v>
      </c>
      <c r="U255">
        <v>92</v>
      </c>
      <c r="V255">
        <v>21</v>
      </c>
      <c r="W255">
        <v>142</v>
      </c>
      <c r="X255">
        <v>123</v>
      </c>
      <c r="Y255">
        <v>146</v>
      </c>
      <c r="Z255">
        <v>3</v>
      </c>
      <c r="AA255">
        <v>27</v>
      </c>
      <c r="AB255">
        <v>68</v>
      </c>
      <c r="AC255">
        <v>11</v>
      </c>
      <c r="AD255">
        <v>13</v>
      </c>
      <c r="AE255">
        <v>37</v>
      </c>
      <c r="AF255">
        <v>155</v>
      </c>
      <c r="AG255">
        <v>2</v>
      </c>
      <c r="AH255">
        <v>53</v>
      </c>
      <c r="AI255">
        <v>8</v>
      </c>
      <c r="AJ255">
        <v>397</v>
      </c>
      <c r="AK255">
        <v>171</v>
      </c>
    </row>
    <row r="256" spans="1:37" x14ac:dyDescent="0.25">
      <c r="A256" t="s">
        <v>148</v>
      </c>
      <c r="B256" t="s">
        <v>97</v>
      </c>
      <c r="C256">
        <v>2672</v>
      </c>
      <c r="D256">
        <v>79</v>
      </c>
      <c r="E256">
        <v>22</v>
      </c>
      <c r="F256">
        <v>8</v>
      </c>
      <c r="G256">
        <v>46</v>
      </c>
      <c r="H256">
        <v>255</v>
      </c>
      <c r="I256">
        <v>25</v>
      </c>
      <c r="J256">
        <v>21</v>
      </c>
      <c r="K256">
        <v>25</v>
      </c>
      <c r="L256">
        <v>33</v>
      </c>
      <c r="M256">
        <v>20</v>
      </c>
      <c r="N256">
        <v>88</v>
      </c>
      <c r="O256">
        <v>4</v>
      </c>
      <c r="P256">
        <v>89</v>
      </c>
      <c r="Q256">
        <v>133</v>
      </c>
      <c r="R256">
        <v>170</v>
      </c>
      <c r="S256">
        <v>82</v>
      </c>
      <c r="T256">
        <v>133</v>
      </c>
      <c r="U256">
        <v>88</v>
      </c>
      <c r="V256">
        <v>21</v>
      </c>
      <c r="W256">
        <v>134</v>
      </c>
      <c r="X256">
        <v>123</v>
      </c>
      <c r="Y256">
        <v>146</v>
      </c>
      <c r="Z256">
        <v>2</v>
      </c>
      <c r="AA256">
        <v>27</v>
      </c>
      <c r="AB256">
        <v>68</v>
      </c>
      <c r="AC256">
        <v>7</v>
      </c>
      <c r="AD256">
        <v>13</v>
      </c>
      <c r="AE256">
        <v>31</v>
      </c>
      <c r="AF256">
        <v>155</v>
      </c>
      <c r="AG256">
        <v>1</v>
      </c>
      <c r="AH256">
        <v>53</v>
      </c>
      <c r="AI256">
        <v>8</v>
      </c>
      <c r="AJ256">
        <v>393</v>
      </c>
      <c r="AK256">
        <v>169</v>
      </c>
    </row>
    <row r="257" spans="1:37" x14ac:dyDescent="0.25">
      <c r="A257" t="s">
        <v>148</v>
      </c>
      <c r="B257" t="s">
        <v>98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148</v>
      </c>
      <c r="B258" s="19" t="s">
        <v>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148</v>
      </c>
      <c r="B259" s="18" t="s">
        <v>100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148</v>
      </c>
      <c r="B260" s="18" t="s">
        <v>101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148</v>
      </c>
      <c r="B261" t="s">
        <v>102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148</v>
      </c>
      <c r="B262" t="s">
        <v>103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148</v>
      </c>
      <c r="B263" t="s">
        <v>104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148</v>
      </c>
      <c r="B264" s="19" t="s">
        <v>105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148</v>
      </c>
      <c r="B265" s="19" t="s">
        <v>106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148</v>
      </c>
      <c r="B266" s="19" t="s">
        <v>107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148</v>
      </c>
      <c r="B267" t="s">
        <v>108</v>
      </c>
      <c r="C267">
        <v>9676</v>
      </c>
      <c r="D267">
        <v>404</v>
      </c>
      <c r="E267">
        <v>478</v>
      </c>
      <c r="F267">
        <v>301</v>
      </c>
      <c r="G267">
        <v>239</v>
      </c>
      <c r="H267">
        <v>513</v>
      </c>
      <c r="I267">
        <v>180</v>
      </c>
      <c r="J267">
        <v>69</v>
      </c>
      <c r="K267">
        <v>142</v>
      </c>
      <c r="L267">
        <v>519</v>
      </c>
      <c r="M267">
        <v>485</v>
      </c>
      <c r="N267">
        <v>431</v>
      </c>
      <c r="O267">
        <v>214</v>
      </c>
      <c r="P267">
        <v>403</v>
      </c>
      <c r="Q267">
        <v>438</v>
      </c>
      <c r="R267">
        <v>422</v>
      </c>
      <c r="S267">
        <v>284</v>
      </c>
      <c r="T267">
        <v>343</v>
      </c>
      <c r="U267">
        <v>189</v>
      </c>
      <c r="V267">
        <v>129</v>
      </c>
      <c r="W267">
        <v>269</v>
      </c>
      <c r="X267">
        <v>443</v>
      </c>
      <c r="Y267">
        <v>401</v>
      </c>
      <c r="Z267">
        <v>150</v>
      </c>
      <c r="AA267">
        <v>152</v>
      </c>
      <c r="AB267">
        <v>197</v>
      </c>
      <c r="AC267">
        <v>162</v>
      </c>
      <c r="AD267">
        <v>233</v>
      </c>
      <c r="AE267">
        <v>186</v>
      </c>
      <c r="AF267">
        <v>239</v>
      </c>
      <c r="AG267">
        <v>84</v>
      </c>
      <c r="AH267">
        <v>113</v>
      </c>
      <c r="AI267">
        <v>43</v>
      </c>
      <c r="AJ267">
        <v>567</v>
      </c>
      <c r="AK267">
        <v>254</v>
      </c>
    </row>
    <row r="268" spans="1:37" x14ac:dyDescent="0.25">
      <c r="A268" t="s">
        <v>148</v>
      </c>
      <c r="B268" t="s">
        <v>109</v>
      </c>
      <c r="C268">
        <v>262</v>
      </c>
      <c r="D268">
        <v>20</v>
      </c>
      <c r="E268">
        <v>21</v>
      </c>
      <c r="F268">
        <v>21</v>
      </c>
      <c r="G268">
        <v>21</v>
      </c>
      <c r="H268">
        <v>21</v>
      </c>
      <c r="I268">
        <v>21</v>
      </c>
      <c r="J268">
        <v>21</v>
      </c>
      <c r="K268">
        <v>21</v>
      </c>
      <c r="L268">
        <v>11</v>
      </c>
      <c r="M268">
        <v>11</v>
      </c>
      <c r="N268">
        <v>11</v>
      </c>
      <c r="O268">
        <v>11</v>
      </c>
      <c r="P268">
        <v>3</v>
      </c>
      <c r="Q268">
        <v>2</v>
      </c>
      <c r="R268">
        <v>2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2</v>
      </c>
      <c r="AF268">
        <v>2</v>
      </c>
      <c r="AG268">
        <v>2</v>
      </c>
      <c r="AH268">
        <v>2</v>
      </c>
      <c r="AI268">
        <v>0</v>
      </c>
      <c r="AJ268">
        <v>0</v>
      </c>
      <c r="AK268">
        <v>0</v>
      </c>
    </row>
    <row r="269" spans="1:37" x14ac:dyDescent="0.25">
      <c r="A269" t="s">
        <v>148</v>
      </c>
      <c r="B269" t="s">
        <v>110</v>
      </c>
      <c r="C269">
        <v>42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4</v>
      </c>
      <c r="Z269">
        <v>4</v>
      </c>
      <c r="AA269">
        <v>4</v>
      </c>
      <c r="AB269">
        <v>4</v>
      </c>
      <c r="AC269">
        <v>4</v>
      </c>
      <c r="AD269">
        <v>5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0</v>
      </c>
      <c r="AK269">
        <v>0</v>
      </c>
    </row>
    <row r="270" spans="1:37" x14ac:dyDescent="0.25">
      <c r="A270" t="s">
        <v>148</v>
      </c>
      <c r="B270" t="s">
        <v>111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148</v>
      </c>
      <c r="B271" t="s">
        <v>152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148</v>
      </c>
      <c r="B272" t="s">
        <v>151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148</v>
      </c>
      <c r="B273" t="s">
        <v>150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148</v>
      </c>
      <c r="B274" t="s">
        <v>112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148</v>
      </c>
      <c r="B275" t="s">
        <v>113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148</v>
      </c>
      <c r="B276" t="s">
        <v>114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148</v>
      </c>
      <c r="B277" t="s">
        <v>115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148</v>
      </c>
      <c r="B278" t="s">
        <v>116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148</v>
      </c>
      <c r="B279" t="s">
        <v>117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148</v>
      </c>
      <c r="B280" t="s">
        <v>118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148</v>
      </c>
      <c r="B281" t="s">
        <v>119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148</v>
      </c>
      <c r="B282" t="s">
        <v>120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148</v>
      </c>
      <c r="B283" t="s">
        <v>121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148</v>
      </c>
      <c r="B284" t="s">
        <v>122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148</v>
      </c>
      <c r="B285" t="s">
        <v>123</v>
      </c>
      <c r="C285">
        <v>2674</v>
      </c>
      <c r="D285">
        <v>79</v>
      </c>
      <c r="E285">
        <v>22</v>
      </c>
      <c r="F285">
        <v>8</v>
      </c>
      <c r="G285">
        <v>46</v>
      </c>
      <c r="H285">
        <v>255</v>
      </c>
      <c r="I285">
        <v>25</v>
      </c>
      <c r="J285">
        <v>21</v>
      </c>
      <c r="K285">
        <v>25</v>
      </c>
      <c r="L285">
        <v>33</v>
      </c>
      <c r="M285">
        <v>20</v>
      </c>
      <c r="N285">
        <v>88</v>
      </c>
      <c r="O285">
        <v>4</v>
      </c>
      <c r="P285">
        <v>89</v>
      </c>
      <c r="Q285">
        <v>133</v>
      </c>
      <c r="R285">
        <v>170</v>
      </c>
      <c r="S285">
        <v>82</v>
      </c>
      <c r="T285">
        <v>133</v>
      </c>
      <c r="U285">
        <v>88</v>
      </c>
      <c r="V285">
        <v>21</v>
      </c>
      <c r="W285">
        <v>134</v>
      </c>
      <c r="X285">
        <v>125</v>
      </c>
      <c r="Y285">
        <v>146</v>
      </c>
      <c r="Z285">
        <v>2</v>
      </c>
      <c r="AA285">
        <v>27</v>
      </c>
      <c r="AB285">
        <v>68</v>
      </c>
      <c r="AC285">
        <v>7</v>
      </c>
      <c r="AD285">
        <v>13</v>
      </c>
      <c r="AE285">
        <v>31</v>
      </c>
      <c r="AF285">
        <v>155</v>
      </c>
      <c r="AG285">
        <v>1</v>
      </c>
      <c r="AH285">
        <v>53</v>
      </c>
      <c r="AI285">
        <v>8</v>
      </c>
      <c r="AJ285">
        <v>393</v>
      </c>
      <c r="AK285">
        <v>169</v>
      </c>
    </row>
    <row r="286" spans="1:37" x14ac:dyDescent="0.25">
      <c r="A286" t="s">
        <v>148</v>
      </c>
      <c r="B286" t="s">
        <v>124</v>
      </c>
      <c r="C286">
        <v>2704</v>
      </c>
      <c r="D286">
        <v>77</v>
      </c>
      <c r="E286">
        <v>49</v>
      </c>
      <c r="F286">
        <v>139</v>
      </c>
      <c r="G286">
        <v>54</v>
      </c>
      <c r="H286">
        <v>57</v>
      </c>
      <c r="I286">
        <v>35</v>
      </c>
      <c r="J286">
        <v>14</v>
      </c>
      <c r="K286">
        <v>53</v>
      </c>
      <c r="L286">
        <v>239</v>
      </c>
      <c r="M286">
        <v>324</v>
      </c>
      <c r="N286">
        <v>91</v>
      </c>
      <c r="O286">
        <v>90</v>
      </c>
      <c r="P286">
        <v>44</v>
      </c>
      <c r="Q286">
        <v>139</v>
      </c>
      <c r="R286">
        <v>120</v>
      </c>
      <c r="S286">
        <v>54</v>
      </c>
      <c r="T286">
        <v>145</v>
      </c>
      <c r="U286">
        <v>45</v>
      </c>
      <c r="V286">
        <v>49</v>
      </c>
      <c r="W286">
        <v>32</v>
      </c>
      <c r="X286">
        <v>166</v>
      </c>
      <c r="Y286">
        <v>37</v>
      </c>
      <c r="Z286">
        <v>41</v>
      </c>
      <c r="AA286">
        <v>32</v>
      </c>
      <c r="AB286">
        <v>45</v>
      </c>
      <c r="AC286">
        <v>33</v>
      </c>
      <c r="AD286">
        <v>21</v>
      </c>
      <c r="AE286">
        <v>42</v>
      </c>
      <c r="AF286">
        <v>66</v>
      </c>
      <c r="AG286">
        <v>140</v>
      </c>
      <c r="AH286">
        <v>48</v>
      </c>
      <c r="AI286">
        <v>17</v>
      </c>
      <c r="AJ286">
        <v>102</v>
      </c>
      <c r="AK286">
        <v>64</v>
      </c>
    </row>
    <row r="287" spans="1:37" x14ac:dyDescent="0.25">
      <c r="A287" t="s">
        <v>148</v>
      </c>
      <c r="B287" t="s">
        <v>149</v>
      </c>
      <c r="C287">
        <v>290</v>
      </c>
      <c r="D287">
        <v>3</v>
      </c>
      <c r="E287">
        <v>26</v>
      </c>
      <c r="F287">
        <v>21</v>
      </c>
      <c r="G287">
        <v>15</v>
      </c>
      <c r="H287">
        <v>30</v>
      </c>
      <c r="I287">
        <v>20</v>
      </c>
      <c r="J287">
        <v>17</v>
      </c>
      <c r="K287">
        <v>4</v>
      </c>
      <c r="L287">
        <v>24</v>
      </c>
      <c r="M287">
        <v>15</v>
      </c>
      <c r="N287">
        <v>2</v>
      </c>
      <c r="O287">
        <v>13</v>
      </c>
      <c r="P287">
        <v>5</v>
      </c>
      <c r="Q287">
        <v>31</v>
      </c>
      <c r="R287">
        <v>6</v>
      </c>
      <c r="S287">
        <v>3</v>
      </c>
      <c r="T287">
        <v>10</v>
      </c>
      <c r="U287">
        <v>6</v>
      </c>
      <c r="V287">
        <v>11</v>
      </c>
      <c r="W287">
        <v>1</v>
      </c>
      <c r="X287">
        <v>7</v>
      </c>
      <c r="Y287">
        <v>5</v>
      </c>
      <c r="Z287">
        <v>0</v>
      </c>
      <c r="AA287">
        <v>8</v>
      </c>
      <c r="AB287">
        <v>2</v>
      </c>
      <c r="AC287">
        <v>1</v>
      </c>
      <c r="AD287">
        <v>1</v>
      </c>
      <c r="AE287">
        <v>1</v>
      </c>
      <c r="AF287">
        <v>1</v>
      </c>
      <c r="AG287">
        <v>0</v>
      </c>
      <c r="AH287">
        <v>0</v>
      </c>
      <c r="AI287">
        <v>1</v>
      </c>
      <c r="AJ287">
        <v>0</v>
      </c>
      <c r="AK287">
        <v>0</v>
      </c>
    </row>
    <row r="288" spans="1:37" x14ac:dyDescent="0.25">
      <c r="A288" t="s">
        <v>148</v>
      </c>
      <c r="B288" t="s">
        <v>125</v>
      </c>
      <c r="C288">
        <v>503</v>
      </c>
      <c r="D288">
        <v>30</v>
      </c>
      <c r="E288">
        <v>235</v>
      </c>
      <c r="F288">
        <v>63</v>
      </c>
      <c r="G288">
        <v>7</v>
      </c>
      <c r="H288">
        <v>37</v>
      </c>
      <c r="I288">
        <v>11</v>
      </c>
      <c r="J288">
        <v>7</v>
      </c>
      <c r="K288">
        <v>2</v>
      </c>
      <c r="L288">
        <v>9</v>
      </c>
      <c r="M288">
        <v>14</v>
      </c>
      <c r="N288">
        <v>2</v>
      </c>
      <c r="O288">
        <v>0</v>
      </c>
      <c r="P288">
        <v>21</v>
      </c>
      <c r="Q288">
        <v>1</v>
      </c>
      <c r="R288">
        <v>2</v>
      </c>
      <c r="S288">
        <v>3</v>
      </c>
      <c r="T288">
        <v>1</v>
      </c>
      <c r="U288">
        <v>1</v>
      </c>
      <c r="V288">
        <v>1</v>
      </c>
      <c r="W288">
        <v>0</v>
      </c>
      <c r="X288">
        <v>1</v>
      </c>
      <c r="Y288">
        <v>5</v>
      </c>
      <c r="Z288">
        <v>0</v>
      </c>
      <c r="AA288">
        <v>5</v>
      </c>
      <c r="AB288">
        <v>11</v>
      </c>
      <c r="AC288">
        <v>5</v>
      </c>
      <c r="AD288">
        <v>7</v>
      </c>
      <c r="AE288">
        <v>2</v>
      </c>
      <c r="AF288">
        <v>1</v>
      </c>
      <c r="AG288">
        <v>14</v>
      </c>
      <c r="AH288">
        <v>1</v>
      </c>
      <c r="AI288">
        <v>0</v>
      </c>
      <c r="AJ288">
        <v>0</v>
      </c>
      <c r="AK288">
        <v>4</v>
      </c>
    </row>
    <row r="289" spans="1:37" x14ac:dyDescent="0.25">
      <c r="A289" t="s">
        <v>148</v>
      </c>
      <c r="B289" t="s">
        <v>126</v>
      </c>
      <c r="C289">
        <v>73</v>
      </c>
      <c r="D289">
        <v>28</v>
      </c>
      <c r="E289">
        <v>38</v>
      </c>
      <c r="F289">
        <v>3</v>
      </c>
      <c r="G289">
        <v>1</v>
      </c>
      <c r="H289">
        <v>1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148</v>
      </c>
      <c r="B290" t="s">
        <v>127</v>
      </c>
      <c r="C290">
        <v>737</v>
      </c>
      <c r="D290">
        <v>17</v>
      </c>
      <c r="E290">
        <v>115</v>
      </c>
      <c r="F290">
        <v>32</v>
      </c>
      <c r="G290">
        <v>3</v>
      </c>
      <c r="H290">
        <v>25</v>
      </c>
      <c r="I290">
        <v>0</v>
      </c>
      <c r="J290">
        <v>11</v>
      </c>
      <c r="K290">
        <v>1</v>
      </c>
      <c r="L290">
        <v>218</v>
      </c>
      <c r="M290">
        <v>18</v>
      </c>
      <c r="N290">
        <v>8</v>
      </c>
      <c r="O290">
        <v>0</v>
      </c>
      <c r="P290">
        <v>13</v>
      </c>
      <c r="Q290">
        <v>24</v>
      </c>
      <c r="R290">
        <v>8</v>
      </c>
      <c r="S290">
        <v>20</v>
      </c>
      <c r="T290">
        <v>5</v>
      </c>
      <c r="U290">
        <v>0</v>
      </c>
      <c r="V290">
        <v>5</v>
      </c>
      <c r="W290">
        <v>3</v>
      </c>
      <c r="X290">
        <v>12</v>
      </c>
      <c r="Y290">
        <v>138</v>
      </c>
      <c r="Z290">
        <v>17</v>
      </c>
      <c r="AA290">
        <v>1</v>
      </c>
      <c r="AB290">
        <v>14</v>
      </c>
      <c r="AC290">
        <v>5</v>
      </c>
      <c r="AD290">
        <v>5</v>
      </c>
      <c r="AE290">
        <v>4</v>
      </c>
      <c r="AF290">
        <v>1</v>
      </c>
      <c r="AG290">
        <v>2</v>
      </c>
      <c r="AH290">
        <v>1</v>
      </c>
      <c r="AI290">
        <v>0</v>
      </c>
      <c r="AJ290">
        <v>5</v>
      </c>
      <c r="AK290">
        <v>6</v>
      </c>
    </row>
    <row r="291" spans="1:37" x14ac:dyDescent="0.25">
      <c r="A291" t="s">
        <v>148</v>
      </c>
      <c r="B291" s="18" t="s">
        <v>128</v>
      </c>
      <c r="C291">
        <v>36</v>
      </c>
      <c r="D291">
        <v>0</v>
      </c>
      <c r="E291">
        <v>9</v>
      </c>
      <c r="F291">
        <v>0</v>
      </c>
      <c r="G291">
        <v>2</v>
      </c>
      <c r="H291">
        <v>5</v>
      </c>
      <c r="I291">
        <v>0</v>
      </c>
      <c r="J291">
        <v>0</v>
      </c>
      <c r="K291">
        <v>0</v>
      </c>
      <c r="L291">
        <v>4</v>
      </c>
      <c r="M291">
        <v>0</v>
      </c>
      <c r="N291">
        <v>1</v>
      </c>
      <c r="O291">
        <v>0</v>
      </c>
      <c r="P291">
        <v>4</v>
      </c>
      <c r="Q291">
        <v>4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</row>
    <row r="292" spans="1:37" x14ac:dyDescent="0.25">
      <c r="A292" t="s">
        <v>148</v>
      </c>
      <c r="B292" t="s">
        <v>129</v>
      </c>
      <c r="C292">
        <v>258</v>
      </c>
      <c r="D292">
        <v>2</v>
      </c>
      <c r="E292">
        <v>14</v>
      </c>
      <c r="F292">
        <v>4</v>
      </c>
      <c r="G292">
        <v>2</v>
      </c>
      <c r="H292">
        <v>0</v>
      </c>
      <c r="I292">
        <v>0</v>
      </c>
      <c r="J292">
        <v>0</v>
      </c>
      <c r="K292">
        <v>2</v>
      </c>
      <c r="L292">
        <v>14</v>
      </c>
      <c r="M292">
        <v>2</v>
      </c>
      <c r="N292">
        <v>1</v>
      </c>
      <c r="O292">
        <v>11</v>
      </c>
      <c r="P292">
        <v>40</v>
      </c>
      <c r="Q292">
        <v>15</v>
      </c>
      <c r="R292">
        <v>5</v>
      </c>
      <c r="S292">
        <v>45</v>
      </c>
      <c r="T292">
        <v>16</v>
      </c>
      <c r="U292">
        <v>0</v>
      </c>
      <c r="V292">
        <v>30</v>
      </c>
      <c r="W292">
        <v>0</v>
      </c>
      <c r="X292">
        <v>16</v>
      </c>
      <c r="Y292">
        <v>27</v>
      </c>
      <c r="Z292">
        <v>0</v>
      </c>
      <c r="AA292">
        <v>1</v>
      </c>
      <c r="AB292">
        <v>0</v>
      </c>
      <c r="AC292">
        <v>0</v>
      </c>
      <c r="AD292">
        <v>1</v>
      </c>
      <c r="AE292">
        <v>2</v>
      </c>
      <c r="AF292">
        <v>2</v>
      </c>
      <c r="AG292">
        <v>0</v>
      </c>
      <c r="AH292">
        <v>0</v>
      </c>
      <c r="AI292">
        <v>0</v>
      </c>
      <c r="AJ292">
        <v>1</v>
      </c>
      <c r="AK292">
        <v>5</v>
      </c>
    </row>
    <row r="293" spans="1:37" x14ac:dyDescent="0.25">
      <c r="A293" t="s">
        <v>148</v>
      </c>
      <c r="B293" t="s">
        <v>130</v>
      </c>
      <c r="C293">
        <v>196</v>
      </c>
      <c r="D293">
        <v>13</v>
      </c>
      <c r="E293">
        <v>2</v>
      </c>
      <c r="F293">
        <v>103</v>
      </c>
      <c r="G293">
        <v>0</v>
      </c>
      <c r="H293">
        <v>4</v>
      </c>
      <c r="I293">
        <v>0</v>
      </c>
      <c r="J293">
        <v>0</v>
      </c>
      <c r="K293">
        <v>0</v>
      </c>
      <c r="L293">
        <v>0</v>
      </c>
      <c r="M293">
        <v>4</v>
      </c>
      <c r="N293">
        <v>1</v>
      </c>
      <c r="O293">
        <v>0</v>
      </c>
      <c r="P293">
        <v>24</v>
      </c>
      <c r="Q293">
        <v>0</v>
      </c>
      <c r="R293">
        <v>2</v>
      </c>
      <c r="S293">
        <v>26</v>
      </c>
      <c r="T293">
        <v>3</v>
      </c>
      <c r="U293">
        <v>0</v>
      </c>
      <c r="V293">
        <v>5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6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</v>
      </c>
    </row>
    <row r="294" spans="1:37" x14ac:dyDescent="0.25">
      <c r="A294" t="s">
        <v>148</v>
      </c>
      <c r="B294" t="s">
        <v>131</v>
      </c>
      <c r="C294">
        <v>23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2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2</v>
      </c>
      <c r="AA294">
        <v>0</v>
      </c>
      <c r="AB294">
        <v>0</v>
      </c>
      <c r="AC294">
        <v>0</v>
      </c>
      <c r="AD294">
        <v>14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</row>
    <row r="295" spans="1:37" x14ac:dyDescent="0.25">
      <c r="A295" t="s">
        <v>148</v>
      </c>
      <c r="B295" t="s">
        <v>132</v>
      </c>
      <c r="C295">
        <v>126</v>
      </c>
      <c r="D295">
        <v>2</v>
      </c>
      <c r="E295">
        <v>0</v>
      </c>
      <c r="F295">
        <v>65</v>
      </c>
      <c r="G295">
        <v>0</v>
      </c>
      <c r="H295">
        <v>3</v>
      </c>
      <c r="I295">
        <v>0</v>
      </c>
      <c r="J295">
        <v>0</v>
      </c>
      <c r="K295">
        <v>0</v>
      </c>
      <c r="L295">
        <v>0</v>
      </c>
      <c r="M295">
        <v>11</v>
      </c>
      <c r="N295">
        <v>0</v>
      </c>
      <c r="O295">
        <v>0</v>
      </c>
      <c r="P295">
        <v>29</v>
      </c>
      <c r="Q295">
        <v>0</v>
      </c>
      <c r="R295">
        <v>3</v>
      </c>
      <c r="S295">
        <v>7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2</v>
      </c>
      <c r="AH295">
        <v>0</v>
      </c>
      <c r="AI295">
        <v>0</v>
      </c>
      <c r="AJ295">
        <v>0</v>
      </c>
      <c r="AK295">
        <v>3</v>
      </c>
    </row>
    <row r="296" spans="1:37" x14ac:dyDescent="0.25">
      <c r="A296" t="s">
        <v>148</v>
      </c>
      <c r="B296" t="s">
        <v>133</v>
      </c>
      <c r="C296">
        <v>3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148</v>
      </c>
      <c r="B297" t="s">
        <v>134</v>
      </c>
      <c r="C297">
        <v>1955</v>
      </c>
      <c r="D297">
        <v>93</v>
      </c>
      <c r="E297">
        <v>413</v>
      </c>
      <c r="F297">
        <v>270</v>
      </c>
      <c r="G297">
        <v>15</v>
      </c>
      <c r="H297">
        <v>75</v>
      </c>
      <c r="I297">
        <v>12</v>
      </c>
      <c r="J297">
        <v>18</v>
      </c>
      <c r="K297">
        <v>5</v>
      </c>
      <c r="L297">
        <v>246</v>
      </c>
      <c r="M297">
        <v>50</v>
      </c>
      <c r="N297">
        <v>13</v>
      </c>
      <c r="O297">
        <v>11</v>
      </c>
      <c r="P297">
        <v>133</v>
      </c>
      <c r="Q297">
        <v>45</v>
      </c>
      <c r="R297">
        <v>20</v>
      </c>
      <c r="S297">
        <v>102</v>
      </c>
      <c r="T297">
        <v>26</v>
      </c>
      <c r="U297">
        <v>1</v>
      </c>
      <c r="V297">
        <v>42</v>
      </c>
      <c r="W297">
        <v>3</v>
      </c>
      <c r="X297">
        <v>29</v>
      </c>
      <c r="Y297">
        <v>174</v>
      </c>
      <c r="Z297">
        <v>19</v>
      </c>
      <c r="AA297">
        <v>7</v>
      </c>
      <c r="AB297">
        <v>25</v>
      </c>
      <c r="AC297">
        <v>10</v>
      </c>
      <c r="AD297">
        <v>34</v>
      </c>
      <c r="AE297">
        <v>10</v>
      </c>
      <c r="AF297">
        <v>4</v>
      </c>
      <c r="AG297">
        <v>20</v>
      </c>
      <c r="AH297">
        <v>2</v>
      </c>
      <c r="AI297">
        <v>0</v>
      </c>
      <c r="AJ297">
        <v>7</v>
      </c>
      <c r="AK297">
        <v>21</v>
      </c>
    </row>
  </sheetData>
  <autoFilter ref="A2:AK2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opLeftCell="A16" workbookViewId="0">
      <selection activeCell="C26" sqref="C26:C36"/>
    </sheetView>
  </sheetViews>
  <sheetFormatPr defaultColWidth="11" defaultRowHeight="15.75" x14ac:dyDescent="0.25"/>
  <sheetData>
    <row r="1" spans="1:3" ht="47.25" x14ac:dyDescent="0.25">
      <c r="A1" s="32" t="s">
        <v>182</v>
      </c>
      <c r="B1" s="32" t="s">
        <v>183</v>
      </c>
      <c r="C1" s="32" t="s">
        <v>184</v>
      </c>
    </row>
    <row r="2" spans="1:3" x14ac:dyDescent="0.25">
      <c r="A2" s="33" t="s">
        <v>3</v>
      </c>
      <c r="B2" s="33">
        <v>162</v>
      </c>
      <c r="C2" s="33">
        <v>371</v>
      </c>
    </row>
    <row r="3" spans="1:3" x14ac:dyDescent="0.25">
      <c r="A3" s="33" t="s">
        <v>4</v>
      </c>
      <c r="B3" s="33">
        <v>147</v>
      </c>
      <c r="C3" s="33">
        <v>289</v>
      </c>
    </row>
    <row r="4" spans="1:3" x14ac:dyDescent="0.25">
      <c r="A4" s="33" t="s">
        <v>5</v>
      </c>
      <c r="B4" s="33">
        <v>94</v>
      </c>
      <c r="C4" s="33">
        <v>143</v>
      </c>
    </row>
    <row r="5" spans="1:3" x14ac:dyDescent="0.25">
      <c r="A5" s="33" t="s">
        <v>6</v>
      </c>
      <c r="B5" s="33">
        <v>46</v>
      </c>
      <c r="C5" s="33">
        <v>137</v>
      </c>
    </row>
    <row r="6" spans="1:3" x14ac:dyDescent="0.25">
      <c r="A6" s="33" t="s">
        <v>7</v>
      </c>
      <c r="B6" s="33">
        <v>70</v>
      </c>
      <c r="C6" s="33">
        <v>90</v>
      </c>
    </row>
    <row r="7" spans="1:3" x14ac:dyDescent="0.25">
      <c r="A7" s="33" t="s">
        <v>8</v>
      </c>
      <c r="B7" s="33">
        <v>69</v>
      </c>
      <c r="C7" s="33">
        <v>121</v>
      </c>
    </row>
    <row r="8" spans="1:3" x14ac:dyDescent="0.25">
      <c r="A8" s="33" t="s">
        <v>9</v>
      </c>
      <c r="B8" s="33">
        <v>4</v>
      </c>
      <c r="C8" s="33">
        <v>13</v>
      </c>
    </row>
    <row r="9" spans="1:3" x14ac:dyDescent="0.25">
      <c r="A9" s="33" t="s">
        <v>10</v>
      </c>
      <c r="B9" s="33">
        <v>78</v>
      </c>
      <c r="C9" s="33">
        <v>90</v>
      </c>
    </row>
    <row r="10" spans="1:3" x14ac:dyDescent="0.25">
      <c r="A10" s="33" t="s">
        <v>11</v>
      </c>
      <c r="B10" s="33">
        <v>174</v>
      </c>
      <c r="C10" s="33">
        <v>189</v>
      </c>
    </row>
    <row r="11" spans="1:3" x14ac:dyDescent="0.25">
      <c r="A11" s="33" t="s">
        <v>12</v>
      </c>
      <c r="B11" s="33">
        <v>223</v>
      </c>
      <c r="C11" s="33">
        <v>261</v>
      </c>
    </row>
    <row r="12" spans="1:3" x14ac:dyDescent="0.25">
      <c r="A12" s="33" t="s">
        <v>13</v>
      </c>
      <c r="B12" s="33">
        <v>139</v>
      </c>
      <c r="C12" s="33">
        <v>144</v>
      </c>
    </row>
    <row r="13" spans="1:3" x14ac:dyDescent="0.25">
      <c r="A13" s="33" t="s">
        <v>14</v>
      </c>
      <c r="B13" s="33">
        <v>151</v>
      </c>
      <c r="C13" s="33">
        <v>155</v>
      </c>
    </row>
    <row r="14" spans="1:3" x14ac:dyDescent="0.25">
      <c r="A14" s="33" t="s">
        <v>15</v>
      </c>
      <c r="B14" s="33">
        <v>226</v>
      </c>
      <c r="C14" s="33">
        <v>242</v>
      </c>
    </row>
    <row r="15" spans="1:3" x14ac:dyDescent="0.25">
      <c r="A15" s="33" t="s">
        <v>16</v>
      </c>
      <c r="B15" s="33">
        <v>208</v>
      </c>
      <c r="C15" s="33">
        <v>171</v>
      </c>
    </row>
    <row r="16" spans="1:3" x14ac:dyDescent="0.25">
      <c r="A16" s="33" t="s">
        <v>17</v>
      </c>
      <c r="B16" s="33">
        <v>203</v>
      </c>
      <c r="C16" s="33">
        <v>263</v>
      </c>
    </row>
    <row r="17" spans="1:3" x14ac:dyDescent="0.25">
      <c r="A17" s="33" t="s">
        <v>18</v>
      </c>
      <c r="B17" s="33">
        <v>36</v>
      </c>
      <c r="C17" s="33">
        <v>38</v>
      </c>
    </row>
    <row r="18" spans="1:3" x14ac:dyDescent="0.25">
      <c r="A18" s="33" t="s">
        <v>19</v>
      </c>
      <c r="B18" s="33">
        <v>223</v>
      </c>
      <c r="C18" s="33">
        <v>333</v>
      </c>
    </row>
    <row r="19" spans="1:3" x14ac:dyDescent="0.25">
      <c r="A19" s="33" t="s">
        <v>20</v>
      </c>
      <c r="B19" s="33">
        <v>141</v>
      </c>
      <c r="C19" s="33">
        <v>240</v>
      </c>
    </row>
    <row r="20" spans="1:3" x14ac:dyDescent="0.25">
      <c r="A20" s="33" t="s">
        <v>21</v>
      </c>
      <c r="B20" s="33">
        <v>112</v>
      </c>
      <c r="C20" s="33">
        <v>149</v>
      </c>
    </row>
    <row r="21" spans="1:3" x14ac:dyDescent="0.25">
      <c r="A21" s="33" t="s">
        <v>22</v>
      </c>
      <c r="B21" s="33">
        <v>112</v>
      </c>
      <c r="C21" s="33">
        <v>193</v>
      </c>
    </row>
    <row r="22" spans="1:3" x14ac:dyDescent="0.25">
      <c r="A22" s="33" t="s">
        <v>23</v>
      </c>
      <c r="B22" s="33">
        <v>120</v>
      </c>
      <c r="C22" s="33">
        <v>158</v>
      </c>
    </row>
    <row r="23" spans="1:3" x14ac:dyDescent="0.25">
      <c r="A23" s="33" t="s">
        <v>24</v>
      </c>
      <c r="B23" s="33">
        <v>170</v>
      </c>
      <c r="C23" s="33">
        <v>219</v>
      </c>
    </row>
    <row r="24" spans="1:3" x14ac:dyDescent="0.25">
      <c r="A24" s="33" t="s">
        <v>25</v>
      </c>
      <c r="B24" s="33">
        <v>122</v>
      </c>
      <c r="C24" s="33">
        <v>118</v>
      </c>
    </row>
    <row r="25" spans="1:3" x14ac:dyDescent="0.25">
      <c r="A25" s="33" t="s">
        <v>26</v>
      </c>
      <c r="B25" s="33">
        <v>160</v>
      </c>
      <c r="C25" s="33">
        <v>137</v>
      </c>
    </row>
    <row r="26" spans="1:3" x14ac:dyDescent="0.25">
      <c r="A26" s="33" t="s">
        <v>27</v>
      </c>
      <c r="B26" s="33">
        <v>140</v>
      </c>
      <c r="C26" s="33">
        <v>162</v>
      </c>
    </row>
    <row r="27" spans="1:3" x14ac:dyDescent="0.25">
      <c r="A27" s="33" t="s">
        <v>28</v>
      </c>
      <c r="B27" s="33">
        <v>193</v>
      </c>
      <c r="C27" s="33">
        <v>308</v>
      </c>
    </row>
    <row r="28" spans="1:3" x14ac:dyDescent="0.25">
      <c r="A28" s="33" t="s">
        <v>29</v>
      </c>
      <c r="B28" s="33">
        <v>210</v>
      </c>
      <c r="C28" s="33">
        <v>352</v>
      </c>
    </row>
    <row r="29" spans="1:3" x14ac:dyDescent="0.25">
      <c r="A29" s="33" t="s">
        <v>30</v>
      </c>
      <c r="B29" s="33">
        <v>256</v>
      </c>
      <c r="C29" s="33">
        <v>412</v>
      </c>
    </row>
    <row r="30" spans="1:3" x14ac:dyDescent="0.25">
      <c r="A30" s="33" t="s">
        <v>31</v>
      </c>
      <c r="B30" s="33">
        <v>130</v>
      </c>
      <c r="C30" s="33">
        <v>146</v>
      </c>
    </row>
    <row r="31" spans="1:3" x14ac:dyDescent="0.25">
      <c r="A31" s="33" t="s">
        <v>32</v>
      </c>
      <c r="B31" s="33">
        <v>134</v>
      </c>
      <c r="C31" s="33">
        <v>227</v>
      </c>
    </row>
    <row r="32" spans="1:3" x14ac:dyDescent="0.25">
      <c r="A32" s="33" t="s">
        <v>33</v>
      </c>
      <c r="B32" s="33">
        <v>16</v>
      </c>
      <c r="C32" s="33">
        <v>23</v>
      </c>
    </row>
    <row r="33" spans="1:3" x14ac:dyDescent="0.25">
      <c r="A33" s="33" t="s">
        <v>34</v>
      </c>
      <c r="B33" s="33">
        <v>22</v>
      </c>
      <c r="C33" s="33">
        <v>47</v>
      </c>
    </row>
    <row r="34" spans="1:3" x14ac:dyDescent="0.25">
      <c r="A34" s="33" t="s">
        <v>35</v>
      </c>
      <c r="B34" s="33">
        <v>70</v>
      </c>
      <c r="C34" s="33">
        <v>55</v>
      </c>
    </row>
    <row r="35" spans="1:3" x14ac:dyDescent="0.25">
      <c r="A35" s="33" t="s">
        <v>179</v>
      </c>
      <c r="B35" s="33">
        <v>63</v>
      </c>
      <c r="C35" s="33">
        <v>145</v>
      </c>
    </row>
    <row r="36" spans="1:3" x14ac:dyDescent="0.25">
      <c r="C36">
        <f>SUM(C26:C35)</f>
        <v>1877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Agregated usage</vt:lpstr>
      <vt:lpstr>WoS usage by metric</vt:lpstr>
      <vt:lpstr>JCR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Iulian Herciu</dc:creator>
  <cp:lastModifiedBy>Rani Anand</cp:lastModifiedBy>
  <dcterms:created xsi:type="dcterms:W3CDTF">2018-11-05T07:51:01Z</dcterms:created>
  <dcterms:modified xsi:type="dcterms:W3CDTF">2018-11-25T11:06:18Z</dcterms:modified>
</cp:coreProperties>
</file>