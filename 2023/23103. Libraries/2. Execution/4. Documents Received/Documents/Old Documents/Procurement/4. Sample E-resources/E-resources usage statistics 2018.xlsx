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2019 PRs\"/>
    </mc:Choice>
  </mc:AlternateContent>
  <bookViews>
    <workbookView xWindow="0" yWindow="0" windowWidth="28800" windowHeight="12300"/>
  </bookViews>
  <sheets>
    <sheet name="2018 sub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4" i="1" l="1"/>
  <c r="D42" i="1" l="1"/>
</calcChain>
</file>

<file path=xl/sharedStrings.xml><?xml version="1.0" encoding="utf-8"?>
<sst xmlns="http://schemas.openxmlformats.org/spreadsheetml/2006/main" count="155" uniqueCount="112">
  <si>
    <t>S No</t>
  </si>
  <si>
    <t>New PR No</t>
  </si>
  <si>
    <t>EBSCOhost Databases 2018</t>
  </si>
  <si>
    <t>IEEE Database Subscription 2018</t>
  </si>
  <si>
    <t xml:space="preserve"> IOP Journals 2018</t>
  </si>
  <si>
    <t>American Chemical Society (ACS) Online Journals - 2018</t>
  </si>
  <si>
    <t>Cambridge University Press (CUP) Journals -2018</t>
  </si>
  <si>
    <t>Safari Tech and Business Books Whole Library 2018</t>
  </si>
  <si>
    <t>Knovel Academic database 2018</t>
  </si>
  <si>
    <t>JSTOR 2018</t>
  </si>
  <si>
    <t>APS Journals subscriptions 2018</t>
  </si>
  <si>
    <t xml:space="preserve">Oxford Reference Online Subscription </t>
  </si>
  <si>
    <t>AIP Journals online 2018</t>
  </si>
  <si>
    <t>Britannica Online Subscription 2018</t>
  </si>
  <si>
    <t>Lynda.com subscription 2018</t>
  </si>
  <si>
    <t>AAAS Science online 2018</t>
  </si>
  <si>
    <t>Taylor and Francis Online (T&amp;F) 2018</t>
  </si>
  <si>
    <t>Web of Science database 2018</t>
  </si>
  <si>
    <t>GeoScienceWorld Database Subscription 2018</t>
  </si>
  <si>
    <t>Engineering Case studies online 2018</t>
  </si>
  <si>
    <t>McGraw Hill access Engineering 2018 (MI)</t>
  </si>
  <si>
    <t>Springer - Nature Journals 2018</t>
  </si>
  <si>
    <t>American Society of Civil Engineers (ASCE)</t>
  </si>
  <si>
    <t>ASME Digital Collection annual subscription</t>
  </si>
  <si>
    <t xml:space="preserve">Optics InfoBase (OSA) </t>
  </si>
  <si>
    <t>N/A - MI</t>
  </si>
  <si>
    <t>Wiely Online Library</t>
  </si>
  <si>
    <t>ACM</t>
  </si>
  <si>
    <t xml:space="preserve">Technical Program Expanded Abstracts Database Subscription   </t>
  </si>
  <si>
    <t>Desal Data</t>
  </si>
  <si>
    <t>Total amount</t>
  </si>
  <si>
    <t xml:space="preserve"> Elsevier Science Direct Freedom collection 2018 ( MI)</t>
  </si>
  <si>
    <t xml:space="preserve"> Lyell Collection Database 2018</t>
  </si>
  <si>
    <t>Libguides Subscription</t>
  </si>
  <si>
    <t>YBP, Coutts blanket PO</t>
  </si>
  <si>
    <t>Subscription period</t>
  </si>
  <si>
    <t> 01-Jan-18 to 31-Dec-18</t>
  </si>
  <si>
    <t>01 Mar 2018 to 28 Feb 2019</t>
  </si>
  <si>
    <t> 01-Apr-2018 till 30-Apr-2019</t>
  </si>
  <si>
    <t>June 1, 2018 – May 31, 2019</t>
  </si>
  <si>
    <t>14-Mar-2018 to 13-Mar-2019</t>
  </si>
  <si>
    <t xml:space="preserve">Total spending from subscription budget </t>
  </si>
  <si>
    <t>No PO yet - Access is on</t>
  </si>
  <si>
    <t>Expiration date and Actual spent E-resources 2018</t>
  </si>
  <si>
    <t>Vendor</t>
  </si>
  <si>
    <t>EBSCO</t>
  </si>
  <si>
    <t>Technkowledge</t>
  </si>
  <si>
    <t>Knowledge E</t>
  </si>
  <si>
    <t>Proquest</t>
  </si>
  <si>
    <t>Package</t>
  </si>
  <si>
    <t>IOP Science</t>
  </si>
  <si>
    <t>Cambridge Core Journals</t>
  </si>
  <si>
    <t>ACS all publication + C&amp;EN</t>
  </si>
  <si>
    <t>Business &amp; Techbooks</t>
  </si>
  <si>
    <t>AIP select with back files</t>
  </si>
  <si>
    <t>Elsevier SciVal 2018:</t>
  </si>
  <si>
    <t xml:space="preserve">Elsevier Scopus </t>
  </si>
  <si>
    <t>PO Value  2018</t>
  </si>
  <si>
    <t>IIN</t>
  </si>
  <si>
    <t>Freeom collection</t>
  </si>
  <si>
    <t>Springer nature</t>
  </si>
  <si>
    <t xml:space="preserve">All Springer back ro 1997, All nature, 2017 e-books </t>
  </si>
  <si>
    <t>All ASCE journals +Proceedings</t>
  </si>
  <si>
    <t>All journals</t>
  </si>
  <si>
    <t xml:space="preserve">Knowledge E ? </t>
  </si>
  <si>
    <t>Techknowledge</t>
  </si>
  <si>
    <t> 01-march -18 to 31-Dec-18</t>
  </si>
  <si>
    <t>15 users</t>
  </si>
  <si>
    <t xml:space="preserve">Global Water international </t>
  </si>
  <si>
    <t>Naseej</t>
  </si>
  <si>
    <t>IEEE, IET back file to 1800</t>
  </si>
  <si>
    <t>01 Mar 2018 to 7 march 2019</t>
  </si>
  <si>
    <t>PanWorld</t>
  </si>
  <si>
    <t>LinkDin</t>
  </si>
  <si>
    <t>One Petro library 2018</t>
  </si>
  <si>
    <t>Clarivate Analytics</t>
  </si>
  <si>
    <t>EMEA</t>
  </si>
  <si>
    <t>SpringShare LLC</t>
  </si>
  <si>
    <t>ProQuest</t>
  </si>
  <si>
    <t>McGraw Hill</t>
  </si>
  <si>
    <t>2018 Perpetual, back file 1997</t>
  </si>
  <si>
    <t>Cancelled</t>
  </si>
  <si>
    <t>CultureGram</t>
  </si>
  <si>
    <t xml:space="preserve">RefWorks </t>
  </si>
  <si>
    <t>PQDT</t>
  </si>
  <si>
    <t>OCLC cataloue and metadata</t>
  </si>
  <si>
    <t>Ebook central</t>
  </si>
  <si>
    <t> 01-Jan-18 to 31-Dec-19</t>
  </si>
  <si>
    <t> 01-Jan-18 to 31-Dec-20</t>
  </si>
  <si>
    <t> 01-Jan-18 to 31-Dec-21</t>
  </si>
  <si>
    <t> 01-Jan-18 to 31-Dec-22</t>
  </si>
  <si>
    <t>4192 events</t>
  </si>
  <si>
    <t>Usage FT</t>
  </si>
  <si>
    <t>searches</t>
  </si>
  <si>
    <t>2019 proposal</t>
  </si>
  <si>
    <t>ProQuest central</t>
  </si>
  <si>
    <t xml:space="preserve">Gale </t>
  </si>
  <si>
    <t>Sage</t>
  </si>
  <si>
    <t>ASTM</t>
  </si>
  <si>
    <t>Innovative Q+</t>
  </si>
  <si>
    <t>206 per paper</t>
  </si>
  <si>
    <t>extention until octo</t>
  </si>
  <si>
    <t>freeing 300000</t>
  </si>
  <si>
    <t>Journals: 3407, ebooks:21397, Nature:902</t>
  </si>
  <si>
    <t>2579 searches</t>
  </si>
  <si>
    <t>12121 searches</t>
  </si>
  <si>
    <t>No stats</t>
  </si>
  <si>
    <t>No usage stats</t>
  </si>
  <si>
    <t>2091 searches</t>
  </si>
  <si>
    <t>10345 sessions</t>
  </si>
  <si>
    <t>Looks fabricated</t>
  </si>
  <si>
    <t>Graphica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</si>
</sst>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4C4D4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0" fillId="0" borderId="1" xfId="1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3" borderId="0" xfId="1" applyNumberFormat="1" applyFont="1" applyFill="1" applyAlignment="1">
      <alignment horizontal="center" vertical="center"/>
    </xf>
    <xf numFmtId="43" fontId="0" fillId="3" borderId="0" xfId="0" applyNumberForma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/>
    <xf numFmtId="0" fontId="0" fillId="4" borderId="5" xfId="0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43" fontId="0" fillId="4" borderId="5" xfId="1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3" fontId="0" fillId="4" borderId="1" xfId="1" applyNumberFormat="1" applyFont="1" applyFill="1" applyBorder="1" applyAlignment="1">
      <alignment horizontal="right" vertical="center"/>
    </xf>
    <xf numFmtId="43" fontId="1" fillId="4" borderId="1" xfId="1" applyNumberFormat="1" applyFont="1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3" fontId="0" fillId="5" borderId="1" xfId="1" applyNumberFormat="1" applyFont="1" applyFill="1" applyBorder="1" applyAlignment="1">
      <alignment horizontal="right" vertical="center"/>
    </xf>
    <xf numFmtId="0" fontId="0" fillId="5" borderId="1" xfId="0" applyFill="1" applyBorder="1"/>
    <xf numFmtId="0" fontId="4" fillId="5" borderId="1" xfId="0" applyFont="1" applyFill="1" applyBorder="1" applyAlignment="1">
      <alignment horizontal="left" vertical="center" wrapText="1"/>
    </xf>
    <xf numFmtId="43" fontId="0" fillId="5" borderId="1" xfId="1" applyNumberFormat="1" applyFont="1" applyFill="1" applyBorder="1" applyAlignment="1">
      <alignment horizontal="right" vertical="center" wrapText="1"/>
    </xf>
    <xf numFmtId="43" fontId="0" fillId="6" borderId="5" xfId="0" applyNumberFormat="1" applyFill="1" applyBorder="1" applyAlignment="1">
      <alignment vertical="center" wrapText="1"/>
    </xf>
    <xf numFmtId="4" fontId="0" fillId="6" borderId="1" xfId="0" applyNumberFormat="1" applyFill="1" applyBorder="1" applyAlignment="1">
      <alignment vertical="center" wrapText="1"/>
    </xf>
    <xf numFmtId="43" fontId="0" fillId="6" borderId="1" xfId="0" applyNumberForma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1" xfId="0" applyFont="1" applyFill="1" applyBorder="1"/>
    <xf numFmtId="0" fontId="3" fillId="0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3" fontId="0" fillId="3" borderId="1" xfId="1" applyNumberFormat="1" applyFont="1" applyFill="1" applyBorder="1" applyAlignment="1">
      <alignment horizontal="right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47625</xdr:colOff>
      <xdr:row>3</xdr:row>
      <xdr:rowOff>47625</xdr:rowOff>
    </xdr:to>
    <xdr:pic>
      <xdr:nvPicPr>
        <xdr:cNvPr id="2" name="Picture 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33813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4</xdr:row>
      <xdr:rowOff>0</xdr:rowOff>
    </xdr:from>
    <xdr:ext cx="47625" cy="47625"/>
    <xdr:pic>
      <xdr:nvPicPr>
        <xdr:cNvPr id="3" name="Picture 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5</xdr:row>
      <xdr:rowOff>0</xdr:rowOff>
    </xdr:from>
    <xdr:ext cx="47625" cy="47625"/>
    <xdr:pic>
      <xdr:nvPicPr>
        <xdr:cNvPr id="4" name="Picture 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6</xdr:row>
      <xdr:rowOff>0</xdr:rowOff>
    </xdr:from>
    <xdr:ext cx="47625" cy="47625"/>
    <xdr:pic>
      <xdr:nvPicPr>
        <xdr:cNvPr id="5" name="Picture 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657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7</xdr:row>
      <xdr:rowOff>0</xdr:rowOff>
    </xdr:from>
    <xdr:ext cx="47625" cy="47625"/>
    <xdr:pic>
      <xdr:nvPicPr>
        <xdr:cNvPr id="6" name="Picture 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657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8</xdr:row>
      <xdr:rowOff>0</xdr:rowOff>
    </xdr:from>
    <xdr:ext cx="47625" cy="47625"/>
    <xdr:pic>
      <xdr:nvPicPr>
        <xdr:cNvPr id="7" name="Picture 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3812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9</xdr:row>
      <xdr:rowOff>0</xdr:rowOff>
    </xdr:from>
    <xdr:ext cx="47625" cy="47625"/>
    <xdr:pic>
      <xdr:nvPicPr>
        <xdr:cNvPr id="8" name="Picture 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10</xdr:row>
      <xdr:rowOff>0</xdr:rowOff>
    </xdr:from>
    <xdr:ext cx="47625" cy="47625"/>
    <xdr:pic>
      <xdr:nvPicPr>
        <xdr:cNvPr id="9" name="Picture 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11</xdr:row>
      <xdr:rowOff>0</xdr:rowOff>
    </xdr:from>
    <xdr:ext cx="47625" cy="47625"/>
    <xdr:pic>
      <xdr:nvPicPr>
        <xdr:cNvPr id="10" name="Picture 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743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12</xdr:row>
      <xdr:rowOff>0</xdr:rowOff>
    </xdr:from>
    <xdr:ext cx="47625" cy="47625"/>
    <xdr:pic>
      <xdr:nvPicPr>
        <xdr:cNvPr id="11" name="Picture 1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829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25</xdr:row>
      <xdr:rowOff>0</xdr:rowOff>
    </xdr:from>
    <xdr:ext cx="47625" cy="47625"/>
    <xdr:pic>
      <xdr:nvPicPr>
        <xdr:cNvPr id="12" name="Picture 1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31</xdr:row>
      <xdr:rowOff>0</xdr:rowOff>
    </xdr:from>
    <xdr:to>
      <xdr:col>4</xdr:col>
      <xdr:colOff>47625</xdr:colOff>
      <xdr:row>31</xdr:row>
      <xdr:rowOff>47625</xdr:rowOff>
    </xdr:to>
    <xdr:pic>
      <xdr:nvPicPr>
        <xdr:cNvPr id="13" name="Picture 1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74485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47625</xdr:colOff>
      <xdr:row>25</xdr:row>
      <xdr:rowOff>47625</xdr:rowOff>
    </xdr:to>
    <xdr:pic>
      <xdr:nvPicPr>
        <xdr:cNvPr id="14" name="Picture 1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5276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47625</xdr:colOff>
      <xdr:row>31</xdr:row>
      <xdr:rowOff>47625</xdr:rowOff>
    </xdr:to>
    <xdr:pic>
      <xdr:nvPicPr>
        <xdr:cNvPr id="15" name="Picture 1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7810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47625</xdr:colOff>
      <xdr:row>31</xdr:row>
      <xdr:rowOff>47625</xdr:rowOff>
    </xdr:to>
    <xdr:pic>
      <xdr:nvPicPr>
        <xdr:cNvPr id="16" name="Picture 1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1724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31</xdr:row>
      <xdr:rowOff>0</xdr:rowOff>
    </xdr:from>
    <xdr:ext cx="47625" cy="47625"/>
    <xdr:pic>
      <xdr:nvPicPr>
        <xdr:cNvPr id="17" name="Picture 1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0</xdr:rowOff>
    </xdr:from>
    <xdr:ext cx="47625" cy="47625"/>
    <xdr:pic>
      <xdr:nvPicPr>
        <xdr:cNvPr id="18" name="Picture 1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0</xdr:rowOff>
    </xdr:from>
    <xdr:ext cx="47625" cy="47625"/>
    <xdr:pic>
      <xdr:nvPicPr>
        <xdr:cNvPr id="19" name="Picture 1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0</xdr:rowOff>
    </xdr:from>
    <xdr:ext cx="47625" cy="47625"/>
    <xdr:pic>
      <xdr:nvPicPr>
        <xdr:cNvPr id="20" name="Picture 1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31</xdr:row>
      <xdr:rowOff>0</xdr:rowOff>
    </xdr:from>
    <xdr:ext cx="47625" cy="47625"/>
    <xdr:pic>
      <xdr:nvPicPr>
        <xdr:cNvPr id="21" name="Picture 2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3105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47625" cy="47625"/>
    <xdr:pic>
      <xdr:nvPicPr>
        <xdr:cNvPr id="22" name="Picture 2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47625" cy="47625"/>
    <xdr:pic>
      <xdr:nvPicPr>
        <xdr:cNvPr id="23" name="Picture 2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47625" cy="47625"/>
    <xdr:pic>
      <xdr:nvPicPr>
        <xdr:cNvPr id="24" name="Picture 2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88963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38</xdr:row>
      <xdr:rowOff>0</xdr:rowOff>
    </xdr:from>
    <xdr:ext cx="47625" cy="47625"/>
    <xdr:pic>
      <xdr:nvPicPr>
        <xdr:cNvPr id="25" name="Picture 2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4</xdr:col>
      <xdr:colOff>0</xdr:colOff>
      <xdr:row>38</xdr:row>
      <xdr:rowOff>0</xdr:rowOff>
    </xdr:from>
    <xdr:to>
      <xdr:col>4</xdr:col>
      <xdr:colOff>47625</xdr:colOff>
      <xdr:row>38</xdr:row>
      <xdr:rowOff>47625</xdr:rowOff>
    </xdr:to>
    <xdr:pic>
      <xdr:nvPicPr>
        <xdr:cNvPr id="26" name="Picture 2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47625</xdr:colOff>
      <xdr:row>39</xdr:row>
      <xdr:rowOff>47625</xdr:rowOff>
    </xdr:to>
    <xdr:pic>
      <xdr:nvPicPr>
        <xdr:cNvPr id="27" name="Picture 2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39636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0</xdr:colOff>
      <xdr:row>38</xdr:row>
      <xdr:rowOff>0</xdr:rowOff>
    </xdr:from>
    <xdr:ext cx="47625" cy="47625"/>
    <xdr:pic>
      <xdr:nvPicPr>
        <xdr:cNvPr id="28" name="Picture 2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39</xdr:row>
      <xdr:rowOff>0</xdr:rowOff>
    </xdr:from>
    <xdr:ext cx="47625" cy="47625"/>
    <xdr:pic>
      <xdr:nvPicPr>
        <xdr:cNvPr id="29" name="Picture 2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41</xdr:row>
      <xdr:rowOff>0</xdr:rowOff>
    </xdr:from>
    <xdr:ext cx="47625" cy="47625"/>
    <xdr:pic>
      <xdr:nvPicPr>
        <xdr:cNvPr id="30" name="Picture 2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0</xdr:rowOff>
    </xdr:from>
    <xdr:ext cx="47625" cy="47625"/>
    <xdr:pic>
      <xdr:nvPicPr>
        <xdr:cNvPr id="31" name="Picture 3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344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0</xdr:rowOff>
    </xdr:from>
    <xdr:ext cx="47625" cy="47625"/>
    <xdr:pic>
      <xdr:nvPicPr>
        <xdr:cNvPr id="32" name="Picture 3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0</xdr:rowOff>
    </xdr:from>
    <xdr:ext cx="47625" cy="47625"/>
    <xdr:pic>
      <xdr:nvPicPr>
        <xdr:cNvPr id="33" name="Picture 3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3441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0</xdr:rowOff>
    </xdr:from>
    <xdr:ext cx="47625" cy="47625"/>
    <xdr:pic>
      <xdr:nvPicPr>
        <xdr:cNvPr id="34" name="Picture 3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15</xdr:row>
      <xdr:rowOff>0</xdr:rowOff>
    </xdr:from>
    <xdr:ext cx="47625" cy="47625"/>
    <xdr:pic>
      <xdr:nvPicPr>
        <xdr:cNvPr id="35" name="Picture 3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16</xdr:row>
      <xdr:rowOff>0</xdr:rowOff>
    </xdr:from>
    <xdr:ext cx="47625" cy="47625"/>
    <xdr:pic>
      <xdr:nvPicPr>
        <xdr:cNvPr id="36" name="Picture 3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17</xdr:row>
      <xdr:rowOff>0</xdr:rowOff>
    </xdr:from>
    <xdr:ext cx="47625" cy="47625"/>
    <xdr:pic>
      <xdr:nvPicPr>
        <xdr:cNvPr id="37" name="Picture 3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13</xdr:row>
      <xdr:rowOff>0</xdr:rowOff>
    </xdr:from>
    <xdr:ext cx="47625" cy="47625"/>
    <xdr:pic>
      <xdr:nvPicPr>
        <xdr:cNvPr id="38" name="Picture 3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14</xdr:row>
      <xdr:rowOff>0</xdr:rowOff>
    </xdr:from>
    <xdr:ext cx="47625" cy="47625"/>
    <xdr:pic>
      <xdr:nvPicPr>
        <xdr:cNvPr id="39" name="Picture 3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0680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15</xdr:row>
      <xdr:rowOff>0</xdr:rowOff>
    </xdr:from>
    <xdr:ext cx="47625" cy="47625"/>
    <xdr:pic>
      <xdr:nvPicPr>
        <xdr:cNvPr id="40" name="Picture 3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16</xdr:row>
      <xdr:rowOff>0</xdr:rowOff>
    </xdr:from>
    <xdr:ext cx="47625" cy="47625"/>
    <xdr:pic>
      <xdr:nvPicPr>
        <xdr:cNvPr id="41" name="Picture 4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18</xdr:row>
      <xdr:rowOff>0</xdr:rowOff>
    </xdr:from>
    <xdr:ext cx="47625" cy="47625"/>
    <xdr:pic>
      <xdr:nvPicPr>
        <xdr:cNvPr id="42" name="Picture 4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17</xdr:row>
      <xdr:rowOff>0</xdr:rowOff>
    </xdr:from>
    <xdr:ext cx="47625" cy="47625"/>
    <xdr:pic>
      <xdr:nvPicPr>
        <xdr:cNvPr id="43" name="Picture 42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539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19</xdr:row>
      <xdr:rowOff>0</xdr:rowOff>
    </xdr:from>
    <xdr:ext cx="47625" cy="47625"/>
    <xdr:pic>
      <xdr:nvPicPr>
        <xdr:cNvPr id="44" name="Picture 43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4300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20</xdr:row>
      <xdr:rowOff>0</xdr:rowOff>
    </xdr:from>
    <xdr:ext cx="47625" cy="47625"/>
    <xdr:pic>
      <xdr:nvPicPr>
        <xdr:cNvPr id="45" name="Picture 44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179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21</xdr:row>
      <xdr:rowOff>0</xdr:rowOff>
    </xdr:from>
    <xdr:ext cx="47625" cy="47625"/>
    <xdr:pic>
      <xdr:nvPicPr>
        <xdr:cNvPr id="46" name="Picture 45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5158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26</xdr:row>
      <xdr:rowOff>0</xdr:rowOff>
    </xdr:from>
    <xdr:ext cx="47625" cy="47625"/>
    <xdr:pic>
      <xdr:nvPicPr>
        <xdr:cNvPr id="47" name="Picture 46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07061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33</xdr:row>
      <xdr:rowOff>0</xdr:rowOff>
    </xdr:from>
    <xdr:ext cx="47625" cy="47625"/>
    <xdr:pic>
      <xdr:nvPicPr>
        <xdr:cNvPr id="48" name="Picture 47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5715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34</xdr:row>
      <xdr:rowOff>0</xdr:rowOff>
    </xdr:from>
    <xdr:ext cx="47625" cy="47625"/>
    <xdr:pic>
      <xdr:nvPicPr>
        <xdr:cNvPr id="49" name="Picture 48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35</xdr:row>
      <xdr:rowOff>0</xdr:rowOff>
    </xdr:from>
    <xdr:ext cx="47625" cy="47625"/>
    <xdr:pic>
      <xdr:nvPicPr>
        <xdr:cNvPr id="50" name="Picture 49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36</xdr:row>
      <xdr:rowOff>0</xdr:rowOff>
    </xdr:from>
    <xdr:ext cx="47625" cy="47625"/>
    <xdr:pic>
      <xdr:nvPicPr>
        <xdr:cNvPr id="51" name="Picture 50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37</xdr:row>
      <xdr:rowOff>0</xdr:rowOff>
    </xdr:from>
    <xdr:ext cx="47625" cy="47625"/>
    <xdr:pic>
      <xdr:nvPicPr>
        <xdr:cNvPr id="52" name="Picture 51" descr="https://aderp.dof.abudhabi.ae/OA_HTML/cabo/images/t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1218247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7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9" sqref="C9"/>
    </sheetView>
  </sheetViews>
  <sheetFormatPr defaultRowHeight="15" x14ac:dyDescent="0.25"/>
  <cols>
    <col min="2" max="2" width="12.28515625" customWidth="1"/>
    <col min="3" max="3" width="45" customWidth="1"/>
    <col min="4" max="4" width="14.7109375" bestFit="1" customWidth="1"/>
    <col min="5" max="5" width="28.7109375" customWidth="1"/>
    <col min="6" max="6" width="22.5703125" customWidth="1"/>
    <col min="7" max="7" width="30.42578125" customWidth="1"/>
    <col min="8" max="8" width="16.5703125" style="37" customWidth="1"/>
  </cols>
  <sheetData>
    <row r="2" spans="1:12" x14ac:dyDescent="0.25">
      <c r="A2" s="42" t="s">
        <v>43</v>
      </c>
      <c r="B2" s="42"/>
      <c r="C2" s="42"/>
      <c r="D2" s="42"/>
    </row>
    <row r="3" spans="1:12" x14ac:dyDescent="0.25">
      <c r="A3" s="8" t="s">
        <v>0</v>
      </c>
      <c r="B3" s="8" t="s">
        <v>1</v>
      </c>
      <c r="C3" s="8"/>
      <c r="D3" s="8" t="s">
        <v>57</v>
      </c>
      <c r="E3" s="8" t="s">
        <v>35</v>
      </c>
      <c r="F3" s="8" t="s">
        <v>44</v>
      </c>
      <c r="G3" s="27" t="s">
        <v>49</v>
      </c>
      <c r="H3" s="30" t="s">
        <v>92</v>
      </c>
      <c r="I3" s="30" t="s">
        <v>93</v>
      </c>
    </row>
    <row r="4" spans="1:12" ht="28.5" customHeight="1" x14ac:dyDescent="0.25">
      <c r="A4" s="11">
        <v>1</v>
      </c>
      <c r="B4" s="11">
        <v>8471100133</v>
      </c>
      <c r="C4" s="12" t="s">
        <v>2</v>
      </c>
      <c r="D4" s="13">
        <v>561510</v>
      </c>
      <c r="E4" s="9" t="s">
        <v>36</v>
      </c>
      <c r="F4" s="9" t="s">
        <v>45</v>
      </c>
      <c r="G4" s="9"/>
      <c r="H4" s="38">
        <v>4870</v>
      </c>
      <c r="I4" s="10"/>
      <c r="J4" s="10"/>
    </row>
    <row r="5" spans="1:12" ht="28.5" customHeight="1" x14ac:dyDescent="0.25">
      <c r="A5" s="14">
        <v>3</v>
      </c>
      <c r="B5" s="14">
        <v>8471100159</v>
      </c>
      <c r="C5" s="15" t="s">
        <v>4</v>
      </c>
      <c r="D5" s="16">
        <v>128800</v>
      </c>
      <c r="E5" s="9" t="s">
        <v>36</v>
      </c>
      <c r="F5" s="9" t="s">
        <v>46</v>
      </c>
      <c r="G5" s="10" t="s">
        <v>50</v>
      </c>
      <c r="H5" s="38">
        <v>1063</v>
      </c>
      <c r="I5" s="10"/>
      <c r="J5" s="10"/>
    </row>
    <row r="6" spans="1:12" ht="28.5" customHeight="1" x14ac:dyDescent="0.25">
      <c r="A6" s="14">
        <v>4</v>
      </c>
      <c r="B6" s="14">
        <v>8471100160</v>
      </c>
      <c r="C6" s="15" t="s">
        <v>5</v>
      </c>
      <c r="D6" s="16">
        <v>158307</v>
      </c>
      <c r="E6" s="9" t="s">
        <v>36</v>
      </c>
      <c r="F6" s="9" t="s">
        <v>46</v>
      </c>
      <c r="G6" s="28" t="s">
        <v>52</v>
      </c>
      <c r="H6" s="38">
        <v>2909</v>
      </c>
      <c r="I6" s="10"/>
      <c r="J6" s="10"/>
    </row>
    <row r="7" spans="1:12" ht="28.5" customHeight="1" x14ac:dyDescent="0.25">
      <c r="A7" s="31">
        <v>5</v>
      </c>
      <c r="B7" s="31">
        <v>8471100162</v>
      </c>
      <c r="C7" s="32" t="s">
        <v>6</v>
      </c>
      <c r="D7" s="33">
        <v>74226.960000000006</v>
      </c>
      <c r="E7" s="34" t="s">
        <v>36</v>
      </c>
      <c r="F7" s="34" t="s">
        <v>47</v>
      </c>
      <c r="G7" s="35" t="s">
        <v>51</v>
      </c>
      <c r="H7" s="39">
        <v>373</v>
      </c>
      <c r="I7" s="36"/>
      <c r="J7" s="36"/>
      <c r="K7">
        <v>76879</v>
      </c>
      <c r="L7" t="s">
        <v>100</v>
      </c>
    </row>
    <row r="8" spans="1:12" ht="36" customHeight="1" x14ac:dyDescent="0.25">
      <c r="A8" s="31">
        <v>6</v>
      </c>
      <c r="B8" s="31">
        <v>8471100164</v>
      </c>
      <c r="C8" s="32" t="s">
        <v>7</v>
      </c>
      <c r="D8" s="33">
        <v>59870</v>
      </c>
      <c r="E8" s="34" t="s">
        <v>36</v>
      </c>
      <c r="F8" s="34" t="s">
        <v>48</v>
      </c>
      <c r="G8" s="35" t="s">
        <v>53</v>
      </c>
      <c r="H8" s="40">
        <v>12201</v>
      </c>
      <c r="I8" s="36"/>
      <c r="J8" s="10"/>
    </row>
    <row r="9" spans="1:12" ht="28.5" customHeight="1" x14ac:dyDescent="0.25">
      <c r="A9" s="14">
        <v>7</v>
      </c>
      <c r="B9" s="14">
        <v>8471100165</v>
      </c>
      <c r="C9" s="15" t="s">
        <v>8</v>
      </c>
      <c r="D9" s="16">
        <v>336282.05</v>
      </c>
      <c r="E9" s="9" t="s">
        <v>36</v>
      </c>
      <c r="F9" s="9" t="s">
        <v>47</v>
      </c>
      <c r="G9" s="9"/>
      <c r="H9" s="38">
        <v>675</v>
      </c>
      <c r="I9" s="10"/>
      <c r="J9" s="10"/>
    </row>
    <row r="10" spans="1:12" ht="28.5" customHeight="1" x14ac:dyDescent="0.25">
      <c r="A10" s="14">
        <v>8</v>
      </c>
      <c r="B10" s="14">
        <v>8471100169</v>
      </c>
      <c r="C10" s="15" t="s">
        <v>9</v>
      </c>
      <c r="D10" s="16">
        <v>48475.62</v>
      </c>
      <c r="E10" s="9" t="s">
        <v>36</v>
      </c>
      <c r="F10" s="9" t="s">
        <v>47</v>
      </c>
      <c r="G10" s="9"/>
      <c r="H10" s="38">
        <v>5213</v>
      </c>
      <c r="I10" s="10"/>
      <c r="J10" s="10"/>
    </row>
    <row r="11" spans="1:12" ht="28.5" customHeight="1" x14ac:dyDescent="0.25">
      <c r="A11" s="14">
        <v>9</v>
      </c>
      <c r="B11" s="14">
        <v>8471100173</v>
      </c>
      <c r="C11" s="15" t="s">
        <v>10</v>
      </c>
      <c r="D11" s="16">
        <v>96362.75</v>
      </c>
      <c r="E11" s="9" t="s">
        <v>36</v>
      </c>
      <c r="F11" s="9" t="s">
        <v>47</v>
      </c>
      <c r="G11" s="9"/>
      <c r="H11" s="38">
        <v>414</v>
      </c>
      <c r="I11" s="10"/>
      <c r="J11" s="10"/>
    </row>
    <row r="12" spans="1:12" ht="28.5" customHeight="1" x14ac:dyDescent="0.25">
      <c r="A12" s="14">
        <v>10</v>
      </c>
      <c r="B12" s="14">
        <v>8471100168</v>
      </c>
      <c r="C12" s="15" t="s">
        <v>11</v>
      </c>
      <c r="D12" s="16">
        <v>12013.1</v>
      </c>
      <c r="E12" s="9" t="s">
        <v>36</v>
      </c>
      <c r="F12" s="9" t="s">
        <v>47</v>
      </c>
      <c r="G12" s="9"/>
      <c r="H12" s="38">
        <v>618</v>
      </c>
      <c r="I12" s="10"/>
      <c r="J12" s="10"/>
    </row>
    <row r="13" spans="1:12" ht="28.5" customHeight="1" x14ac:dyDescent="0.25">
      <c r="A13" s="14">
        <v>11</v>
      </c>
      <c r="B13" s="14">
        <v>8471100177</v>
      </c>
      <c r="C13" s="15" t="s">
        <v>12</v>
      </c>
      <c r="D13" s="16">
        <v>173777.23</v>
      </c>
      <c r="E13" s="9" t="s">
        <v>36</v>
      </c>
      <c r="F13" s="9" t="s">
        <v>47</v>
      </c>
      <c r="G13" s="28" t="s">
        <v>54</v>
      </c>
      <c r="H13" s="38">
        <v>603</v>
      </c>
      <c r="I13" s="10"/>
      <c r="J13" s="10"/>
    </row>
    <row r="14" spans="1:12" ht="28.5" customHeight="1" x14ac:dyDescent="0.25">
      <c r="A14" s="14">
        <v>12</v>
      </c>
      <c r="B14" s="14">
        <v>8471100189</v>
      </c>
      <c r="C14" s="15" t="s">
        <v>31</v>
      </c>
      <c r="D14" s="16">
        <v>3496000</v>
      </c>
      <c r="E14" s="9" t="s">
        <v>36</v>
      </c>
      <c r="F14" s="9" t="s">
        <v>58</v>
      </c>
      <c r="G14" s="9" t="s">
        <v>59</v>
      </c>
      <c r="H14" s="38">
        <v>125159</v>
      </c>
      <c r="I14" s="10" t="s">
        <v>110</v>
      </c>
      <c r="J14" s="10"/>
    </row>
    <row r="15" spans="1:12" ht="28.5" customHeight="1" x14ac:dyDescent="0.25">
      <c r="A15" s="14">
        <v>13</v>
      </c>
      <c r="B15" s="14">
        <v>8471100191</v>
      </c>
      <c r="C15" s="15" t="s">
        <v>55</v>
      </c>
      <c r="D15" s="16">
        <v>253920</v>
      </c>
      <c r="E15" s="9" t="s">
        <v>36</v>
      </c>
      <c r="F15" s="9" t="s">
        <v>58</v>
      </c>
      <c r="G15" s="9"/>
      <c r="H15" s="38">
        <v>3379</v>
      </c>
      <c r="I15" s="10"/>
      <c r="J15" s="10"/>
    </row>
    <row r="16" spans="1:12" ht="28.5" customHeight="1" x14ac:dyDescent="0.25">
      <c r="A16" s="14">
        <v>14</v>
      </c>
      <c r="B16" s="14">
        <v>8471100193</v>
      </c>
      <c r="C16" s="15" t="s">
        <v>56</v>
      </c>
      <c r="D16" s="16">
        <v>176110.07999999999</v>
      </c>
      <c r="E16" s="9" t="s">
        <v>36</v>
      </c>
      <c r="F16" s="9" t="s">
        <v>58</v>
      </c>
      <c r="G16" s="9"/>
      <c r="H16" s="38" t="s">
        <v>111</v>
      </c>
      <c r="I16" s="10"/>
      <c r="J16" s="10"/>
    </row>
    <row r="17" spans="1:11" ht="71.25" customHeight="1" x14ac:dyDescent="0.25">
      <c r="A17" s="14">
        <v>15</v>
      </c>
      <c r="B17" s="14">
        <v>8471100217</v>
      </c>
      <c r="C17" s="15" t="s">
        <v>21</v>
      </c>
      <c r="D17" s="16">
        <v>1104000</v>
      </c>
      <c r="E17" s="9" t="s">
        <v>36</v>
      </c>
      <c r="F17" s="9" t="s">
        <v>60</v>
      </c>
      <c r="G17" s="28" t="s">
        <v>61</v>
      </c>
      <c r="H17" s="41" t="s">
        <v>103</v>
      </c>
      <c r="I17" s="10"/>
      <c r="J17" s="10"/>
    </row>
    <row r="18" spans="1:11" ht="28.5" customHeight="1" x14ac:dyDescent="0.25">
      <c r="A18" s="14">
        <v>16</v>
      </c>
      <c r="B18" s="14">
        <v>8471100313</v>
      </c>
      <c r="C18" s="15" t="s">
        <v>22</v>
      </c>
      <c r="D18" s="16">
        <v>120000</v>
      </c>
      <c r="E18" s="9" t="s">
        <v>36</v>
      </c>
      <c r="F18" s="9" t="s">
        <v>47</v>
      </c>
      <c r="G18" s="28" t="s">
        <v>62</v>
      </c>
      <c r="H18" s="38">
        <v>518</v>
      </c>
      <c r="I18" s="10"/>
      <c r="J18" s="10"/>
    </row>
    <row r="19" spans="1:11" ht="28.5" customHeight="1" x14ac:dyDescent="0.25">
      <c r="A19" s="14">
        <v>17</v>
      </c>
      <c r="B19" s="14">
        <v>8471100315</v>
      </c>
      <c r="C19" s="15" t="s">
        <v>23</v>
      </c>
      <c r="D19" s="16">
        <v>56000</v>
      </c>
      <c r="E19" s="9" t="s">
        <v>36</v>
      </c>
      <c r="F19" s="9" t="s">
        <v>47</v>
      </c>
      <c r="G19" s="9" t="s">
        <v>63</v>
      </c>
      <c r="H19" s="38">
        <v>297</v>
      </c>
      <c r="I19" s="10"/>
      <c r="J19" s="10"/>
    </row>
    <row r="20" spans="1:11" ht="28.5" customHeight="1" x14ac:dyDescent="0.25">
      <c r="A20" s="14">
        <v>18</v>
      </c>
      <c r="B20" s="14" t="s">
        <v>25</v>
      </c>
      <c r="C20" s="15" t="s">
        <v>26</v>
      </c>
      <c r="D20" s="16">
        <v>702390.26</v>
      </c>
      <c r="E20" s="9" t="s">
        <v>36</v>
      </c>
      <c r="F20" s="9" t="s">
        <v>64</v>
      </c>
      <c r="G20" s="9"/>
      <c r="H20" s="38">
        <v>5957</v>
      </c>
      <c r="I20" s="10"/>
      <c r="J20" s="10"/>
    </row>
    <row r="21" spans="1:11" ht="28.5" customHeight="1" x14ac:dyDescent="0.25">
      <c r="A21" s="14">
        <v>19</v>
      </c>
      <c r="B21" s="14" t="s">
        <v>25</v>
      </c>
      <c r="C21" s="15" t="s">
        <v>27</v>
      </c>
      <c r="D21" s="16">
        <v>110377</v>
      </c>
      <c r="E21" s="9" t="s">
        <v>36</v>
      </c>
      <c r="F21" s="9" t="s">
        <v>65</v>
      </c>
      <c r="G21" s="9"/>
      <c r="H21" s="38">
        <v>170</v>
      </c>
      <c r="I21" s="10"/>
      <c r="J21" s="10"/>
    </row>
    <row r="22" spans="1:11" ht="37.5" customHeight="1" x14ac:dyDescent="0.25">
      <c r="A22" s="14">
        <v>20</v>
      </c>
      <c r="B22" s="14">
        <v>8471100369</v>
      </c>
      <c r="C22" s="15" t="s">
        <v>29</v>
      </c>
      <c r="D22" s="16">
        <v>22691</v>
      </c>
      <c r="E22" s="9" t="s">
        <v>66</v>
      </c>
      <c r="F22" s="28" t="s">
        <v>68</v>
      </c>
      <c r="G22" s="9" t="s">
        <v>67</v>
      </c>
      <c r="H22" s="38" t="s">
        <v>91</v>
      </c>
      <c r="I22" s="10"/>
      <c r="J22" s="10"/>
    </row>
    <row r="23" spans="1:11" ht="28.5" customHeight="1" x14ac:dyDescent="0.25">
      <c r="A23" s="14">
        <v>21</v>
      </c>
      <c r="B23" s="14">
        <v>8471100149</v>
      </c>
      <c r="C23" s="15" t="s">
        <v>3</v>
      </c>
      <c r="D23" s="16">
        <v>1398768</v>
      </c>
      <c r="E23" s="9" t="s">
        <v>71</v>
      </c>
      <c r="F23" s="9" t="s">
        <v>69</v>
      </c>
      <c r="G23" s="9" t="s">
        <v>70</v>
      </c>
      <c r="H23" s="38">
        <v>86267</v>
      </c>
      <c r="I23" s="10"/>
      <c r="J23" s="10"/>
    </row>
    <row r="24" spans="1:11" ht="28.5" customHeight="1" x14ac:dyDescent="0.25">
      <c r="A24" s="31">
        <v>22</v>
      </c>
      <c r="B24" s="31">
        <v>8471100178</v>
      </c>
      <c r="C24" s="32" t="s">
        <v>13</v>
      </c>
      <c r="D24" s="33">
        <v>20185</v>
      </c>
      <c r="E24" s="34" t="s">
        <v>37</v>
      </c>
      <c r="F24" s="34" t="s">
        <v>72</v>
      </c>
      <c r="G24" s="34"/>
      <c r="H24" s="39">
        <v>112</v>
      </c>
      <c r="I24" s="36"/>
      <c r="J24" s="10"/>
      <c r="K24" t="s">
        <v>101</v>
      </c>
    </row>
    <row r="25" spans="1:11" ht="28.5" customHeight="1" x14ac:dyDescent="0.25">
      <c r="A25" s="31">
        <v>23</v>
      </c>
      <c r="B25" s="31">
        <v>8471100179</v>
      </c>
      <c r="C25" s="32" t="s">
        <v>14</v>
      </c>
      <c r="D25" s="33">
        <v>128553.25</v>
      </c>
      <c r="E25" s="34" t="s">
        <v>37</v>
      </c>
      <c r="F25" s="34" t="s">
        <v>73</v>
      </c>
      <c r="G25" s="34"/>
      <c r="H25" s="39">
        <v>447</v>
      </c>
      <c r="I25" s="10"/>
      <c r="J25" s="10"/>
    </row>
    <row r="26" spans="1:11" ht="28.5" customHeight="1" x14ac:dyDescent="0.25">
      <c r="A26" s="14">
        <v>24</v>
      </c>
      <c r="B26" s="14">
        <v>8471100180</v>
      </c>
      <c r="C26" s="15" t="s">
        <v>15</v>
      </c>
      <c r="D26" s="16">
        <v>22000</v>
      </c>
      <c r="E26" s="9" t="s">
        <v>37</v>
      </c>
      <c r="F26" s="9" t="s">
        <v>45</v>
      </c>
      <c r="G26" s="9"/>
      <c r="H26" s="38">
        <v>87</v>
      </c>
      <c r="I26" s="10"/>
      <c r="J26" s="10"/>
    </row>
    <row r="27" spans="1:11" ht="28.5" customHeight="1" x14ac:dyDescent="0.25">
      <c r="A27" s="14">
        <v>25</v>
      </c>
      <c r="B27" s="14">
        <v>8471100254</v>
      </c>
      <c r="C27" s="15" t="s">
        <v>74</v>
      </c>
      <c r="D27" s="16">
        <v>35632</v>
      </c>
      <c r="E27" s="9" t="s">
        <v>37</v>
      </c>
      <c r="F27" s="9" t="s">
        <v>45</v>
      </c>
      <c r="G27" s="9"/>
      <c r="H27" s="38" t="s">
        <v>104</v>
      </c>
      <c r="I27" s="10"/>
      <c r="J27" s="10"/>
    </row>
    <row r="28" spans="1:11" ht="28.5" customHeight="1" x14ac:dyDescent="0.25">
      <c r="A28" s="14">
        <v>26</v>
      </c>
      <c r="B28" s="14">
        <v>8471100249</v>
      </c>
      <c r="C28" s="15" t="s">
        <v>17</v>
      </c>
      <c r="D28" s="17">
        <v>440000</v>
      </c>
      <c r="E28" s="9" t="s">
        <v>40</v>
      </c>
      <c r="F28" s="9" t="s">
        <v>75</v>
      </c>
      <c r="G28" s="9"/>
      <c r="H28" s="38" t="s">
        <v>105</v>
      </c>
      <c r="I28" s="10"/>
      <c r="J28" s="10"/>
    </row>
    <row r="29" spans="1:11" ht="28.5" customHeight="1" x14ac:dyDescent="0.25">
      <c r="A29" s="14">
        <v>27</v>
      </c>
      <c r="B29" s="14">
        <v>8471100194</v>
      </c>
      <c r="C29" s="15" t="s">
        <v>33</v>
      </c>
      <c r="D29" s="16">
        <v>29360</v>
      </c>
      <c r="E29" s="9" t="s">
        <v>38</v>
      </c>
      <c r="F29" s="9" t="s">
        <v>77</v>
      </c>
      <c r="G29" s="9"/>
      <c r="H29" s="38" t="s">
        <v>106</v>
      </c>
      <c r="I29" s="10"/>
      <c r="J29" s="10"/>
    </row>
    <row r="30" spans="1:11" ht="28.5" customHeight="1" x14ac:dyDescent="0.25">
      <c r="A30" s="14">
        <v>28</v>
      </c>
      <c r="B30" s="14">
        <v>8471100256</v>
      </c>
      <c r="C30" s="15" t="s">
        <v>18</v>
      </c>
      <c r="D30" s="16">
        <v>56672</v>
      </c>
      <c r="E30" s="9" t="s">
        <v>38</v>
      </c>
      <c r="F30" s="9" t="s">
        <v>76</v>
      </c>
      <c r="G30" s="9"/>
      <c r="H30" s="38">
        <v>384</v>
      </c>
      <c r="I30" s="10"/>
      <c r="J30" s="10"/>
    </row>
    <row r="31" spans="1:11" ht="28.5" customHeight="1" x14ac:dyDescent="0.25">
      <c r="A31" s="14">
        <v>29</v>
      </c>
      <c r="B31" s="14">
        <v>8471100183</v>
      </c>
      <c r="C31" s="15" t="s">
        <v>19</v>
      </c>
      <c r="D31" s="16">
        <v>7026.45</v>
      </c>
      <c r="E31" s="9" t="s">
        <v>38</v>
      </c>
      <c r="F31" s="9" t="s">
        <v>78</v>
      </c>
      <c r="G31" s="9"/>
      <c r="H31" s="38">
        <v>678</v>
      </c>
      <c r="I31" s="10"/>
      <c r="J31" s="10"/>
    </row>
    <row r="32" spans="1:11" ht="28.5" customHeight="1" x14ac:dyDescent="0.25">
      <c r="A32" s="14">
        <v>30</v>
      </c>
      <c r="B32" s="14">
        <v>8471100197</v>
      </c>
      <c r="C32" s="15" t="s">
        <v>20</v>
      </c>
      <c r="D32" s="16">
        <v>55784</v>
      </c>
      <c r="E32" s="9" t="s">
        <v>39</v>
      </c>
      <c r="F32" s="9" t="s">
        <v>79</v>
      </c>
      <c r="G32" s="9"/>
      <c r="H32" s="38">
        <v>324</v>
      </c>
      <c r="I32" s="10"/>
      <c r="J32" s="10"/>
    </row>
    <row r="33" spans="1:10" ht="28.5" customHeight="1" x14ac:dyDescent="0.25">
      <c r="A33" s="14">
        <v>31</v>
      </c>
      <c r="B33" s="14">
        <v>8471100250</v>
      </c>
      <c r="C33" s="15" t="s">
        <v>16</v>
      </c>
      <c r="D33" s="16">
        <v>369472</v>
      </c>
      <c r="E33" s="10" t="s">
        <v>42</v>
      </c>
      <c r="F33" s="29" t="s">
        <v>47</v>
      </c>
      <c r="G33" s="10" t="s">
        <v>80</v>
      </c>
      <c r="H33" s="38">
        <v>8735</v>
      </c>
      <c r="I33" s="10"/>
      <c r="J33" s="10"/>
    </row>
    <row r="34" spans="1:10" ht="28.5" customHeight="1" x14ac:dyDescent="0.25">
      <c r="A34" s="14">
        <v>32</v>
      </c>
      <c r="B34" s="14"/>
      <c r="C34" s="15" t="s">
        <v>82</v>
      </c>
      <c r="D34" s="24">
        <v>9403</v>
      </c>
      <c r="E34" s="9" t="s">
        <v>36</v>
      </c>
      <c r="F34" s="29" t="s">
        <v>78</v>
      </c>
      <c r="G34" s="10"/>
      <c r="H34" s="38">
        <v>1145</v>
      </c>
      <c r="I34" s="10"/>
      <c r="J34" s="10"/>
    </row>
    <row r="35" spans="1:10" ht="28.5" customHeight="1" x14ac:dyDescent="0.25">
      <c r="A35" s="14">
        <v>33</v>
      </c>
      <c r="B35" s="14"/>
      <c r="C35" s="15" t="s">
        <v>83</v>
      </c>
      <c r="D35" s="25">
        <v>23873.5</v>
      </c>
      <c r="E35" s="9" t="s">
        <v>87</v>
      </c>
      <c r="F35" s="29" t="s">
        <v>78</v>
      </c>
      <c r="G35" s="10"/>
      <c r="H35" s="38" t="s">
        <v>109</v>
      </c>
      <c r="I35" s="10"/>
      <c r="J35" s="10"/>
    </row>
    <row r="36" spans="1:10" ht="28.5" customHeight="1" x14ac:dyDescent="0.25">
      <c r="A36" s="14">
        <v>34</v>
      </c>
      <c r="B36" s="14"/>
      <c r="C36" s="15" t="s">
        <v>84</v>
      </c>
      <c r="D36" s="26">
        <v>91825</v>
      </c>
      <c r="E36" s="9" t="s">
        <v>88</v>
      </c>
      <c r="F36" s="29" t="s">
        <v>78</v>
      </c>
      <c r="G36" s="10"/>
      <c r="H36" s="38" t="s">
        <v>108</v>
      </c>
      <c r="I36" s="10"/>
      <c r="J36" s="10"/>
    </row>
    <row r="37" spans="1:10" ht="28.5" customHeight="1" x14ac:dyDescent="0.25">
      <c r="A37" s="14">
        <v>35</v>
      </c>
      <c r="B37" s="14"/>
      <c r="C37" s="15" t="s">
        <v>85</v>
      </c>
      <c r="D37" s="26">
        <v>14400</v>
      </c>
      <c r="E37" s="9" t="s">
        <v>89</v>
      </c>
      <c r="F37" s="29"/>
      <c r="G37" s="10"/>
      <c r="H37" s="38" t="s">
        <v>107</v>
      </c>
      <c r="I37" s="10"/>
      <c r="J37" s="10"/>
    </row>
    <row r="38" spans="1:10" ht="28.5" customHeight="1" x14ac:dyDescent="0.25">
      <c r="A38" s="14">
        <v>36</v>
      </c>
      <c r="B38" s="14"/>
      <c r="C38" s="15" t="s">
        <v>86</v>
      </c>
      <c r="D38" s="26">
        <v>44026</v>
      </c>
      <c r="E38" s="9" t="s">
        <v>90</v>
      </c>
      <c r="F38" s="29" t="s">
        <v>78</v>
      </c>
      <c r="G38" s="10"/>
      <c r="H38" s="38">
        <v>13256</v>
      </c>
      <c r="I38" s="10"/>
      <c r="J38" s="10"/>
    </row>
    <row r="39" spans="1:10" ht="28.5" customHeight="1" x14ac:dyDescent="0.25">
      <c r="A39" s="18"/>
      <c r="B39" s="18">
        <v>8471100257</v>
      </c>
      <c r="C39" s="19" t="s">
        <v>24</v>
      </c>
      <c r="D39" s="20">
        <v>49032</v>
      </c>
      <c r="E39" s="21" t="s">
        <v>81</v>
      </c>
      <c r="F39" s="21"/>
      <c r="G39" s="21"/>
      <c r="H39" s="38"/>
      <c r="I39" s="10"/>
      <c r="J39" s="10"/>
    </row>
    <row r="40" spans="1:10" ht="28.5" customHeight="1" x14ac:dyDescent="0.25">
      <c r="A40" s="18"/>
      <c r="B40" s="18">
        <v>8431100787</v>
      </c>
      <c r="C40" s="19" t="s">
        <v>32</v>
      </c>
      <c r="D40" s="20">
        <v>28082</v>
      </c>
      <c r="E40" s="21" t="s">
        <v>81</v>
      </c>
      <c r="F40" s="21"/>
      <c r="G40" s="21"/>
      <c r="H40" s="38"/>
      <c r="I40" s="10"/>
      <c r="J40" s="10"/>
    </row>
    <row r="41" spans="1:10" ht="28.5" customHeight="1" x14ac:dyDescent="0.25">
      <c r="A41" s="18"/>
      <c r="B41" s="18">
        <v>8431100792</v>
      </c>
      <c r="C41" s="22" t="s">
        <v>28</v>
      </c>
      <c r="D41" s="23">
        <v>11000</v>
      </c>
      <c r="E41" s="19" t="s">
        <v>81</v>
      </c>
      <c r="F41" s="19"/>
      <c r="G41" s="19"/>
      <c r="H41" s="38"/>
      <c r="I41" s="10"/>
      <c r="J41" s="10"/>
    </row>
    <row r="42" spans="1:10" ht="28.5" customHeight="1" x14ac:dyDescent="0.25">
      <c r="A42" s="43" t="s">
        <v>30</v>
      </c>
      <c r="B42" s="44"/>
      <c r="C42" s="45"/>
      <c r="D42" s="16">
        <f>SUM(D4:D41)</f>
        <v>10526207.25</v>
      </c>
      <c r="E42" s="10"/>
      <c r="F42" s="10"/>
      <c r="G42" s="10"/>
      <c r="H42" s="38"/>
      <c r="I42" s="10"/>
      <c r="J42" s="10"/>
    </row>
    <row r="43" spans="1:10" ht="28.5" customHeight="1" x14ac:dyDescent="0.25">
      <c r="A43" s="1"/>
      <c r="B43" s="1"/>
      <c r="C43" s="2" t="s">
        <v>34</v>
      </c>
      <c r="D43" s="3">
        <v>1000000</v>
      </c>
      <c r="E43" s="10"/>
      <c r="F43" s="10"/>
      <c r="G43" s="10"/>
      <c r="H43" s="38"/>
      <c r="I43" s="10"/>
      <c r="J43" s="10"/>
    </row>
    <row r="44" spans="1:10" ht="28.5" customHeight="1" x14ac:dyDescent="0.25">
      <c r="C44" s="6" t="s">
        <v>41</v>
      </c>
      <c r="D44" s="7">
        <f>SUM(D42:D43)</f>
        <v>11526207.25</v>
      </c>
    </row>
    <row r="45" spans="1:10" ht="28.5" customHeight="1" x14ac:dyDescent="0.25">
      <c r="C45" s="5"/>
      <c r="D45" s="4"/>
    </row>
    <row r="46" spans="1:10" ht="28.5" customHeight="1" x14ac:dyDescent="0.25">
      <c r="C46" s="5" t="s">
        <v>102</v>
      </c>
      <c r="D46" s="4"/>
    </row>
    <row r="47" spans="1:10" ht="28.5" customHeight="1" x14ac:dyDescent="0.25">
      <c r="C47" s="5"/>
      <c r="D47" s="4"/>
    </row>
  </sheetData>
  <mergeCells count="2">
    <mergeCell ref="A2:D2"/>
    <mergeCell ref="A42:C4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D4" sqref="D4"/>
    </sheetView>
  </sheetViews>
  <sheetFormatPr defaultRowHeight="15" x14ac:dyDescent="0.25"/>
  <sheetData>
    <row r="1" spans="1:1" x14ac:dyDescent="0.25">
      <c r="A1" t="s">
        <v>94</v>
      </c>
    </row>
    <row r="4" spans="1:1" x14ac:dyDescent="0.25">
      <c r="A4" t="s">
        <v>95</v>
      </c>
    </row>
    <row r="6" spans="1:1" x14ac:dyDescent="0.25">
      <c r="A6" t="s">
        <v>96</v>
      </c>
    </row>
    <row r="9" spans="1:1" x14ac:dyDescent="0.25">
      <c r="A9" t="s">
        <v>97</v>
      </c>
    </row>
    <row r="12" spans="1:1" x14ac:dyDescent="0.25">
      <c r="A12" t="s">
        <v>98</v>
      </c>
    </row>
    <row r="15" spans="1:1" x14ac:dyDescent="0.25">
      <c r="A1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 sub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Zineb Kherrati</dc:creator>
  <cp:lastModifiedBy>Rani Anand</cp:lastModifiedBy>
  <dcterms:created xsi:type="dcterms:W3CDTF">2018-04-17T07:50:50Z</dcterms:created>
  <dcterms:modified xsi:type="dcterms:W3CDTF">2019-04-08T11:20:51Z</dcterms:modified>
</cp:coreProperties>
</file>