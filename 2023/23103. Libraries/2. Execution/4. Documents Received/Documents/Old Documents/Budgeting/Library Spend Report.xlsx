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8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140" i="1" l="1"/>
  <c r="G139" i="1"/>
  <c r="G131" i="1"/>
  <c r="G128" i="1"/>
  <c r="G120" i="1"/>
  <c r="G99" i="1"/>
  <c r="G92" i="1"/>
  <c r="G82" i="1"/>
  <c r="G81" i="1"/>
  <c r="G44" i="1"/>
  <c r="G20" i="1"/>
  <c r="G16" i="1"/>
  <c r="G3" i="1"/>
  <c r="F136" i="1"/>
  <c r="F137" i="1"/>
  <c r="F138" i="1"/>
  <c r="F139" i="1"/>
  <c r="F140" i="1"/>
  <c r="F141" i="1"/>
  <c r="F135" i="1"/>
  <c r="F134" i="1"/>
  <c r="F129" i="1"/>
  <c r="F130" i="1"/>
  <c r="F128" i="1"/>
  <c r="F124" i="1"/>
  <c r="F121" i="1"/>
  <c r="F120" i="1"/>
  <c r="F99" i="1"/>
  <c r="F100" i="1"/>
  <c r="F98" i="1"/>
  <c r="F92" i="1"/>
  <c r="F93" i="1"/>
  <c r="F94" i="1"/>
  <c r="F95" i="1"/>
  <c r="F82" i="1"/>
  <c r="F81" i="1"/>
  <c r="F77" i="1"/>
  <c r="F76" i="1"/>
  <c r="F66" i="1"/>
  <c r="F67" i="1"/>
  <c r="F68" i="1"/>
  <c r="F69" i="1"/>
  <c r="F65" i="1"/>
  <c r="F63" i="1"/>
  <c r="F50" i="1"/>
  <c r="F49" i="1"/>
  <c r="F45" i="1"/>
  <c r="F44" i="1"/>
  <c r="F16" i="1"/>
  <c r="F17" i="1"/>
  <c r="F18" i="1"/>
  <c r="F19" i="1"/>
  <c r="F15" i="1"/>
  <c r="F13" i="1"/>
  <c r="F11" i="1"/>
  <c r="F142" i="1"/>
  <c r="F131" i="1"/>
  <c r="F125" i="1"/>
  <c r="F122" i="1"/>
  <c r="F101" i="1"/>
  <c r="F96" i="1"/>
  <c r="F89" i="1"/>
  <c r="F87" i="1"/>
  <c r="F83" i="1"/>
  <c r="F78" i="1"/>
  <c r="F74" i="1"/>
  <c r="F70" i="1"/>
  <c r="F53" i="1"/>
  <c r="F51" i="1"/>
  <c r="F46" i="1"/>
  <c r="F20" i="1"/>
  <c r="F8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<sst xmlns="http://schemas.openxmlformats.org/spreadsheetml/2006/main" count="238" uniqueCount="187">
  <si>
    <t/>
  </si>
  <si>
    <t>Period Year</t>
  </si>
  <si>
    <t>Account Description</t>
  </si>
  <si>
    <t>Vendor Name</t>
  </si>
  <si>
    <t>Purchase Order Number</t>
  </si>
  <si>
    <t>Amount</t>
  </si>
  <si>
    <t>2017</t>
  </si>
  <si>
    <t>Newspapers, magazines, journals, etc</t>
  </si>
  <si>
    <t>AMERICAN PHYSICAL SOCIETY</t>
  </si>
  <si>
    <t>8431200136</t>
  </si>
  <si>
    <t>ARABIAN ADVANCED SYSTEMS</t>
  </si>
  <si>
    <t>8431200101</t>
  </si>
  <si>
    <t>BIZMANUALZ, INC.</t>
  </si>
  <si>
    <t>8433200006</t>
  </si>
  <si>
    <t>EDUTECH MIDDLE EAST LLC - ABU DHABI</t>
  </si>
  <si>
    <t>8431200952</t>
  </si>
  <si>
    <t>INTEGRATED INFORMATION NETWORK INC.</t>
  </si>
  <si>
    <t>8431200123</t>
  </si>
  <si>
    <t>PROQUEST INFORMATION AND LEARNING LTD.</t>
  </si>
  <si>
    <t>8431200805</t>
  </si>
  <si>
    <t>8431200809</t>
  </si>
  <si>
    <t>8431200934</t>
  </si>
  <si>
    <t>PROQUEST LLC</t>
  </si>
  <si>
    <t>8431200091</t>
  </si>
  <si>
    <t>8431200937</t>
  </si>
  <si>
    <t>SPRINGSHARE LLC</t>
  </si>
  <si>
    <t>8431200098</t>
  </si>
  <si>
    <t>8431200293</t>
  </si>
  <si>
    <t>THOMSON REUTERS (SCIENTIFIC) Inc</t>
  </si>
  <si>
    <t>8431200179</t>
  </si>
  <si>
    <t>Printing supplies</t>
  </si>
  <si>
    <t>ABJAD DESIGN L.L.C.</t>
  </si>
  <si>
    <t>8431200270</t>
  </si>
  <si>
    <t>AL AMEERAH PRINTING PRESS</t>
  </si>
  <si>
    <t>8431200579</t>
  </si>
  <si>
    <t>ARABIAN PRINTING PRESS WLL</t>
  </si>
  <si>
    <t>8431200312</t>
  </si>
  <si>
    <t>GLOBAL PRINTING PRESS TRADING L.L.C.</t>
  </si>
  <si>
    <t>8431200267</t>
  </si>
  <si>
    <t>Text books and library books</t>
  </si>
  <si>
    <t>PAN WORLD GEN. TR.LLC</t>
  </si>
  <si>
    <t>8431200010</t>
  </si>
  <si>
    <t>8431200017</t>
  </si>
  <si>
    <t>8431200097</t>
  </si>
  <si>
    <t>8431200130</t>
  </si>
  <si>
    <t>8431200131</t>
  </si>
  <si>
    <t>8431200282</t>
  </si>
  <si>
    <t>8431200323</t>
  </si>
  <si>
    <t>8431200326</t>
  </si>
  <si>
    <t>8431200327</t>
  </si>
  <si>
    <t>8431200332</t>
  </si>
  <si>
    <t>8431200337</t>
  </si>
  <si>
    <t>8431200339</t>
  </si>
  <si>
    <t>8431200352</t>
  </si>
  <si>
    <t>8431200616</t>
  </si>
  <si>
    <t>8431200618</t>
  </si>
  <si>
    <t>8431200732</t>
  </si>
  <si>
    <t>8431200733</t>
  </si>
  <si>
    <t>8431200734</t>
  </si>
  <si>
    <t>8431200735</t>
  </si>
  <si>
    <t>8431200736</t>
  </si>
  <si>
    <t>8431200873</t>
  </si>
  <si>
    <t>8431200874</t>
  </si>
  <si>
    <t>8431200914</t>
  </si>
  <si>
    <t>8431200919</t>
  </si>
  <si>
    <t>2018</t>
  </si>
  <si>
    <t>8472100171</t>
  </si>
  <si>
    <t>CLARIVATE ANALYTICS (US) LLC</t>
  </si>
  <si>
    <t>8472101065</t>
  </si>
  <si>
    <t>EBSCO INFORMATION SERVICES SAS</t>
  </si>
  <si>
    <t>8472100241</t>
  </si>
  <si>
    <t>8472100714</t>
  </si>
  <si>
    <t>8472100896</t>
  </si>
  <si>
    <t>8472100425</t>
  </si>
  <si>
    <t>GEOSCIENCEWORLD</t>
  </si>
  <si>
    <t>8472100621</t>
  </si>
  <si>
    <t>8472100199</t>
  </si>
  <si>
    <t>8472100433</t>
  </si>
  <si>
    <t>KNOWLEDGE E DMCC</t>
  </si>
  <si>
    <t>8472100201</t>
  </si>
  <si>
    <t>8472100258</t>
  </si>
  <si>
    <t>8472100265</t>
  </si>
  <si>
    <t>8472100311</t>
  </si>
  <si>
    <t>8472100333</t>
  </si>
  <si>
    <t>8472100396</t>
  </si>
  <si>
    <t>8472100476</t>
  </si>
  <si>
    <t>8472100962</t>
  </si>
  <si>
    <t>8472101261</t>
  </si>
  <si>
    <t>8472101946</t>
  </si>
  <si>
    <t>LINKEDIN IRELAND UNLIMITED COMPANY</t>
  </si>
  <si>
    <t>8472101795</t>
  </si>
  <si>
    <t>8472102483</t>
  </si>
  <si>
    <t>LYNDA.COM, INC</t>
  </si>
  <si>
    <t>8472100330</t>
  </si>
  <si>
    <t>MCGRAW-HILL EDUCATION (UK) LIMITED</t>
  </si>
  <si>
    <t>8472100938</t>
  </si>
  <si>
    <t>MEDIA ANALYTICS LIMITED</t>
  </si>
  <si>
    <t>8472101109</t>
  </si>
  <si>
    <t>ORCID, INC.</t>
  </si>
  <si>
    <t>8472101819</t>
  </si>
  <si>
    <t>8472100119</t>
  </si>
  <si>
    <t>8472100039</t>
  </si>
  <si>
    <t>8472100316</t>
  </si>
  <si>
    <t>8472100498</t>
  </si>
  <si>
    <t>8472100499</t>
  </si>
  <si>
    <t>8472100477</t>
  </si>
  <si>
    <t>8472100500</t>
  </si>
  <si>
    <t>SPRINGER CUSTOMER SERVICE CENTER GmbH</t>
  </si>
  <si>
    <t>8472100944</t>
  </si>
  <si>
    <t>8472100399</t>
  </si>
  <si>
    <t>TECHKNOWLEDGE FZ L.L.C.</t>
  </si>
  <si>
    <t>8472100131</t>
  </si>
  <si>
    <t>8472100380</t>
  </si>
  <si>
    <t>8472100642</t>
  </si>
  <si>
    <t>Printing and publishing</t>
  </si>
  <si>
    <t>MODERN TECHNOLOGY PRINTING WORKS L.L.C.</t>
  </si>
  <si>
    <t>8472100346</t>
  </si>
  <si>
    <t>8472101766</t>
  </si>
  <si>
    <t>8472101487</t>
  </si>
  <si>
    <t>8472102335</t>
  </si>
  <si>
    <t>8472102444</t>
  </si>
  <si>
    <t>8472102644</t>
  </si>
  <si>
    <t>8472100242</t>
  </si>
  <si>
    <t>8472101337</t>
  </si>
  <si>
    <t>RIGHT PLUS ADVERTISING &amp; PUBLISHING L.L.C.</t>
  </si>
  <si>
    <t>8472101684</t>
  </si>
  <si>
    <t>8472102467</t>
  </si>
  <si>
    <t>8472102525</t>
  </si>
  <si>
    <t>Subscriptions and membership fees: Trade organisations</t>
  </si>
  <si>
    <t>ECS - THE ELECTROCHEMICAL SOCIETY</t>
  </si>
  <si>
    <t>8472100450</t>
  </si>
  <si>
    <t>8472100441</t>
  </si>
  <si>
    <t>8472100385</t>
  </si>
  <si>
    <t>MEED MEDIA FZ LLC</t>
  </si>
  <si>
    <t>8472102482</t>
  </si>
  <si>
    <t>MEPEP (CYPRUS) LTD.</t>
  </si>
  <si>
    <t>8472101288</t>
  </si>
  <si>
    <t>8472101340</t>
  </si>
  <si>
    <t>8472100392</t>
  </si>
  <si>
    <t>MAGRUDY ENTERPRISES L.L.C.</t>
  </si>
  <si>
    <t>8472100132</t>
  </si>
  <si>
    <t>MAGRUDY ENTERPRISES L.L.C. - ABU DHABI BRANCH</t>
  </si>
  <si>
    <t>8472100144</t>
  </si>
  <si>
    <t>8472100509</t>
  </si>
  <si>
    <t>8472100511</t>
  </si>
  <si>
    <t>8472100515</t>
  </si>
  <si>
    <t>8472100527</t>
  </si>
  <si>
    <t>8472100528</t>
  </si>
  <si>
    <t>8472100529</t>
  </si>
  <si>
    <t>8472100530</t>
  </si>
  <si>
    <t>8472100531</t>
  </si>
  <si>
    <t>8472100532</t>
  </si>
  <si>
    <t>8472100617</t>
  </si>
  <si>
    <t>8472100934</t>
  </si>
  <si>
    <t>8472100988</t>
  </si>
  <si>
    <t>8472101458</t>
  </si>
  <si>
    <t>8472101570</t>
  </si>
  <si>
    <t>8472101716</t>
  </si>
  <si>
    <t>8472102590</t>
  </si>
  <si>
    <t>8472102627</t>
  </si>
  <si>
    <t>8472102628</t>
  </si>
  <si>
    <t>8472102631</t>
  </si>
  <si>
    <t>2019</t>
  </si>
  <si>
    <t>Library books</t>
  </si>
  <si>
    <t>8472102917</t>
  </si>
  <si>
    <t>8472103091</t>
  </si>
  <si>
    <t>8472102867</t>
  </si>
  <si>
    <t>8472102870</t>
  </si>
  <si>
    <t>8472103099</t>
  </si>
  <si>
    <t>8472102872</t>
  </si>
  <si>
    <t>8472102891</t>
  </si>
  <si>
    <t>8472102901</t>
  </si>
  <si>
    <t>8472102774</t>
  </si>
  <si>
    <t>8472102799</t>
  </si>
  <si>
    <t>8472102833</t>
  </si>
  <si>
    <t>EXPRESS PRINTING LLC</t>
  </si>
  <si>
    <t>8472103050</t>
  </si>
  <si>
    <t>JUMBO ELECTRONICS CO. LTD. (L.L.C.)</t>
  </si>
  <si>
    <t>8472102938</t>
  </si>
  <si>
    <t>JUMBO ELECTRONICS COMPANY LIMITED - ABU DHABI BRANCH</t>
  </si>
  <si>
    <t>8472103120</t>
  </si>
  <si>
    <t>8472102933</t>
  </si>
  <si>
    <t>JOHN WILEY &amp; SONS LIMITED</t>
  </si>
  <si>
    <t>8472102769</t>
  </si>
  <si>
    <t>8472102784</t>
  </si>
  <si>
    <t>Total Amount per Supplier</t>
  </si>
  <si>
    <t>Spend per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</si>
</sst>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</font>
    <font>
      <sz val="8"/>
      <color theme="1"/>
      <name val="Calibri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top" wrapText="1"/>
    </xf>
    <xf numFmtId="3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3" fontId="1" fillId="3" borderId="1" xfId="0" applyNumberFormat="1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3" fontId="1" fillId="3" borderId="4" xfId="0" applyNumberFormat="1" applyFont="1" applyFill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center"/>
    </xf>
    <xf numFmtId="0" fontId="1" fillId="3" borderId="6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3" fontId="1" fillId="3" borderId="9" xfId="0" applyNumberFormat="1" applyFont="1" applyFill="1" applyBorder="1" applyAlignment="1">
      <alignment horizontal="right" vertical="top" wrapText="1"/>
    </xf>
    <xf numFmtId="3" fontId="2" fillId="0" borderId="9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1" fillId="3" borderId="12" xfId="0" applyFont="1" applyFill="1" applyBorder="1" applyAlignment="1">
      <alignment horizontal="left" vertical="top" wrapText="1"/>
    </xf>
    <xf numFmtId="3" fontId="1" fillId="3" borderId="12" xfId="0" applyNumberFormat="1" applyFont="1" applyFill="1" applyBorder="1" applyAlignment="1">
      <alignment horizontal="right" vertical="top" wrapText="1"/>
    </xf>
    <xf numFmtId="3" fontId="2" fillId="0" borderId="12" xfId="0" applyNumberFormat="1" applyFont="1" applyBorder="1" applyAlignment="1">
      <alignment horizontal="right" vertical="center"/>
    </xf>
    <xf numFmtId="0" fontId="1" fillId="3" borderId="12" xfId="0" applyFont="1" applyFill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center"/>
    </xf>
    <xf numFmtId="3" fontId="2" fillId="0" borderId="12" xfId="0" applyNumberFormat="1" applyFont="1" applyBorder="1" applyAlignment="1">
      <alignment horizontal="right" vertical="center"/>
    </xf>
    <xf numFmtId="3" fontId="2" fillId="0" borderId="11" xfId="0" applyNumberFormat="1" applyFont="1" applyBorder="1" applyAlignment="1">
      <alignment horizontal="right" vertical="center"/>
    </xf>
    <xf numFmtId="0" fontId="1" fillId="3" borderId="14" xfId="0" applyFont="1" applyFill="1" applyBorder="1" applyAlignment="1">
      <alignment horizontal="left" vertical="top" wrapText="1"/>
    </xf>
    <xf numFmtId="3" fontId="1" fillId="3" borderId="14" xfId="0" applyNumberFormat="1" applyFont="1" applyFill="1" applyBorder="1" applyAlignment="1">
      <alignment horizontal="right" vertical="top" wrapText="1"/>
    </xf>
    <xf numFmtId="3" fontId="2" fillId="0" borderId="14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horizontal="right" vertical="center"/>
    </xf>
    <xf numFmtId="0" fontId="1" fillId="2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showGridLines="0" tabSelected="1" topLeftCell="A82" workbookViewId="0">
      <selection activeCell="C8" sqref="C8:C10"/>
    </sheetView>
  </sheetViews>
  <sheetFormatPr defaultRowHeight="15" x14ac:dyDescent="0.25"/>
  <cols>
    <col min="1" max="1" width="5.5703125" customWidth="1"/>
    <col min="2" max="2" width="27" bestFit="1" customWidth="1"/>
    <col min="3" max="3" width="31.7109375" bestFit="1" customWidth="1"/>
    <col min="4" max="4" width="9.7109375" customWidth="1"/>
    <col min="5" max="5" width="8.140625" customWidth="1"/>
    <col min="6" max="6" width="10.5703125" style="3" customWidth="1"/>
    <col min="7" max="7" width="14.140625" bestFit="1" customWidth="1"/>
    <col min="8" max="11" width="10.140625" customWidth="1"/>
  </cols>
  <sheetData>
    <row r="1" spans="1:7" ht="15.75" thickBot="1" x14ac:dyDescent="0.3">
      <c r="A1" s="1" t="s">
        <v>0</v>
      </c>
    </row>
    <row r="2" spans="1:7" ht="34.5" thickBot="1" x14ac:dyDescent="0.3">
      <c r="A2" s="40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1" t="s">
        <v>185</v>
      </c>
      <c r="G2" s="42" t="s">
        <v>186</v>
      </c>
    </row>
    <row r="3" spans="1:7" x14ac:dyDescent="0.25">
      <c r="A3" s="13" t="s">
        <v>6</v>
      </c>
      <c r="B3" s="14" t="s">
        <v>7</v>
      </c>
      <c r="C3" s="15" t="s">
        <v>8</v>
      </c>
      <c r="D3" s="15" t="s">
        <v>9</v>
      </c>
      <c r="E3" s="16">
        <v>13915</v>
      </c>
      <c r="F3" s="17">
        <f>E3</f>
        <v>13915</v>
      </c>
      <c r="G3" s="24">
        <f>SUM(F3:F15)</f>
        <v>1055982.96</v>
      </c>
    </row>
    <row r="4" spans="1:7" x14ac:dyDescent="0.25">
      <c r="A4" s="18"/>
      <c r="B4" s="7"/>
      <c r="C4" s="8" t="s">
        <v>10</v>
      </c>
      <c r="D4" s="8" t="s">
        <v>11</v>
      </c>
      <c r="E4" s="9">
        <v>641683</v>
      </c>
      <c r="F4" s="4">
        <f t="shared" ref="F4:F7" si="0">E4</f>
        <v>641683</v>
      </c>
      <c r="G4" s="25"/>
    </row>
    <row r="5" spans="1:7" x14ac:dyDescent="0.25">
      <c r="A5" s="18"/>
      <c r="B5" s="7"/>
      <c r="C5" s="8" t="s">
        <v>12</v>
      </c>
      <c r="D5" s="8" t="s">
        <v>13</v>
      </c>
      <c r="E5" s="9">
        <v>535.5</v>
      </c>
      <c r="F5" s="4">
        <f t="shared" si="0"/>
        <v>535.5</v>
      </c>
      <c r="G5" s="25"/>
    </row>
    <row r="6" spans="1:7" x14ac:dyDescent="0.25">
      <c r="A6" s="18"/>
      <c r="B6" s="7"/>
      <c r="C6" s="8" t="s">
        <v>14</v>
      </c>
      <c r="D6" s="8" t="s">
        <v>15</v>
      </c>
      <c r="E6" s="9">
        <v>14400</v>
      </c>
      <c r="F6" s="4">
        <f t="shared" si="0"/>
        <v>14400</v>
      </c>
      <c r="G6" s="25"/>
    </row>
    <row r="7" spans="1:7" x14ac:dyDescent="0.25">
      <c r="A7" s="18"/>
      <c r="B7" s="7"/>
      <c r="C7" s="8" t="s">
        <v>16</v>
      </c>
      <c r="D7" s="8" t="s">
        <v>17</v>
      </c>
      <c r="E7" s="9">
        <v>181622.32</v>
      </c>
      <c r="F7" s="4">
        <f t="shared" si="0"/>
        <v>181622.32</v>
      </c>
      <c r="G7" s="25"/>
    </row>
    <row r="8" spans="1:7" x14ac:dyDescent="0.25">
      <c r="A8" s="18"/>
      <c r="B8" s="7"/>
      <c r="C8" s="7" t="s">
        <v>18</v>
      </c>
      <c r="D8" s="8" t="s">
        <v>19</v>
      </c>
      <c r="E8" s="9">
        <v>44076</v>
      </c>
      <c r="F8" s="2">
        <f>SUM(E8:E10)</f>
        <v>145304</v>
      </c>
      <c r="G8" s="25"/>
    </row>
    <row r="9" spans="1:7" x14ac:dyDescent="0.25">
      <c r="A9" s="18"/>
      <c r="B9" s="7"/>
      <c r="C9" s="7"/>
      <c r="D9" s="8" t="s">
        <v>20</v>
      </c>
      <c r="E9" s="9">
        <v>91825</v>
      </c>
      <c r="F9" s="2"/>
      <c r="G9" s="25"/>
    </row>
    <row r="10" spans="1:7" x14ac:dyDescent="0.25">
      <c r="A10" s="18"/>
      <c r="B10" s="7"/>
      <c r="C10" s="7"/>
      <c r="D10" s="8" t="s">
        <v>21</v>
      </c>
      <c r="E10" s="9">
        <v>9403</v>
      </c>
      <c r="F10" s="2"/>
      <c r="G10" s="25"/>
    </row>
    <row r="11" spans="1:7" x14ac:dyDescent="0.25">
      <c r="A11" s="18"/>
      <c r="B11" s="7"/>
      <c r="C11" s="7" t="s">
        <v>22</v>
      </c>
      <c r="D11" s="8" t="s">
        <v>23</v>
      </c>
      <c r="E11" s="9">
        <v>1835</v>
      </c>
      <c r="F11" s="2">
        <f>SUM(E11:E12)</f>
        <v>25709.5</v>
      </c>
      <c r="G11" s="25"/>
    </row>
    <row r="12" spans="1:7" x14ac:dyDescent="0.25">
      <c r="A12" s="18"/>
      <c r="B12" s="7"/>
      <c r="C12" s="7"/>
      <c r="D12" s="8" t="s">
        <v>24</v>
      </c>
      <c r="E12" s="9">
        <v>23874.5</v>
      </c>
      <c r="F12" s="5"/>
      <c r="G12" s="25"/>
    </row>
    <row r="13" spans="1:7" x14ac:dyDescent="0.25">
      <c r="A13" s="18"/>
      <c r="B13" s="7"/>
      <c r="C13" s="7" t="s">
        <v>25</v>
      </c>
      <c r="D13" s="8" t="s">
        <v>26</v>
      </c>
      <c r="E13" s="9">
        <v>2233</v>
      </c>
      <c r="F13" s="2">
        <f>SUM(E13:E14)</f>
        <v>4707</v>
      </c>
      <c r="G13" s="25"/>
    </row>
    <row r="14" spans="1:7" x14ac:dyDescent="0.25">
      <c r="A14" s="18"/>
      <c r="B14" s="7"/>
      <c r="C14" s="7"/>
      <c r="D14" s="8" t="s">
        <v>27</v>
      </c>
      <c r="E14" s="9">
        <v>2474</v>
      </c>
      <c r="F14" s="5"/>
      <c r="G14" s="25"/>
    </row>
    <row r="15" spans="1:7" x14ac:dyDescent="0.25">
      <c r="A15" s="18"/>
      <c r="B15" s="32"/>
      <c r="C15" s="29" t="s">
        <v>28</v>
      </c>
      <c r="D15" s="29" t="s">
        <v>29</v>
      </c>
      <c r="E15" s="30">
        <v>28106.639999999999</v>
      </c>
      <c r="F15" s="31">
        <f>SUM(E15)</f>
        <v>28106.639999999999</v>
      </c>
      <c r="G15" s="28"/>
    </row>
    <row r="16" spans="1:7" x14ac:dyDescent="0.25">
      <c r="A16" s="18"/>
      <c r="B16" s="10" t="s">
        <v>30</v>
      </c>
      <c r="C16" s="11" t="s">
        <v>31</v>
      </c>
      <c r="D16" s="11" t="s">
        <v>32</v>
      </c>
      <c r="E16" s="12">
        <v>19380</v>
      </c>
      <c r="F16" s="6">
        <f t="shared" ref="F16:F19" si="1">SUM(E16)</f>
        <v>19380</v>
      </c>
      <c r="G16" s="27">
        <f>SUM(F16:F19)</f>
        <v>34300</v>
      </c>
    </row>
    <row r="17" spans="1:7" x14ac:dyDescent="0.25">
      <c r="A17" s="18"/>
      <c r="B17" s="7"/>
      <c r="C17" s="8" t="s">
        <v>33</v>
      </c>
      <c r="D17" s="8" t="s">
        <v>34</v>
      </c>
      <c r="E17" s="9">
        <v>7500</v>
      </c>
      <c r="F17" s="4">
        <f t="shared" si="1"/>
        <v>7500</v>
      </c>
      <c r="G17" s="25"/>
    </row>
    <row r="18" spans="1:7" x14ac:dyDescent="0.25">
      <c r="A18" s="18"/>
      <c r="B18" s="7"/>
      <c r="C18" s="8" t="s">
        <v>35</v>
      </c>
      <c r="D18" s="8" t="s">
        <v>36</v>
      </c>
      <c r="E18" s="9">
        <v>5200</v>
      </c>
      <c r="F18" s="4">
        <f t="shared" si="1"/>
        <v>5200</v>
      </c>
      <c r="G18" s="25"/>
    </row>
    <row r="19" spans="1:7" x14ac:dyDescent="0.25">
      <c r="A19" s="18"/>
      <c r="B19" s="32"/>
      <c r="C19" s="29" t="s">
        <v>37</v>
      </c>
      <c r="D19" s="29" t="s">
        <v>38</v>
      </c>
      <c r="E19" s="30">
        <v>2220</v>
      </c>
      <c r="F19" s="31">
        <f t="shared" si="1"/>
        <v>2220</v>
      </c>
      <c r="G19" s="28"/>
    </row>
    <row r="20" spans="1:7" x14ac:dyDescent="0.25">
      <c r="A20" s="18"/>
      <c r="B20" s="10" t="s">
        <v>39</v>
      </c>
      <c r="C20" s="10" t="s">
        <v>40</v>
      </c>
      <c r="D20" s="11" t="s">
        <v>41</v>
      </c>
      <c r="E20" s="12">
        <v>67773.27</v>
      </c>
      <c r="F20" s="33">
        <f>SUM(E20:E43)</f>
        <v>4408564.62</v>
      </c>
      <c r="G20" s="27">
        <f>SUM(F20)</f>
        <v>4408564.62</v>
      </c>
    </row>
    <row r="21" spans="1:7" x14ac:dyDescent="0.25">
      <c r="A21" s="18"/>
      <c r="B21" s="7"/>
      <c r="C21" s="7"/>
      <c r="D21" s="8" t="s">
        <v>42</v>
      </c>
      <c r="E21" s="9">
        <v>18503.900000000001</v>
      </c>
      <c r="F21" s="2"/>
      <c r="G21" s="25"/>
    </row>
    <row r="22" spans="1:7" x14ac:dyDescent="0.25">
      <c r="A22" s="18"/>
      <c r="B22" s="7"/>
      <c r="C22" s="7"/>
      <c r="D22" s="8" t="s">
        <v>43</v>
      </c>
      <c r="E22" s="9">
        <v>22930</v>
      </c>
      <c r="F22" s="2"/>
      <c r="G22" s="25"/>
    </row>
    <row r="23" spans="1:7" x14ac:dyDescent="0.25">
      <c r="A23" s="18"/>
      <c r="B23" s="7"/>
      <c r="C23" s="7"/>
      <c r="D23" s="8" t="s">
        <v>44</v>
      </c>
      <c r="E23" s="9">
        <v>11460</v>
      </c>
      <c r="F23" s="2"/>
      <c r="G23" s="25"/>
    </row>
    <row r="24" spans="1:7" x14ac:dyDescent="0.25">
      <c r="A24" s="18"/>
      <c r="B24" s="7"/>
      <c r="C24" s="7"/>
      <c r="D24" s="8" t="s">
        <v>45</v>
      </c>
      <c r="E24" s="9">
        <v>81305</v>
      </c>
      <c r="F24" s="2"/>
      <c r="G24" s="25"/>
    </row>
    <row r="25" spans="1:7" x14ac:dyDescent="0.25">
      <c r="A25" s="18"/>
      <c r="B25" s="7"/>
      <c r="C25" s="7"/>
      <c r="D25" s="8" t="s">
        <v>46</v>
      </c>
      <c r="E25" s="9">
        <v>987553</v>
      </c>
      <c r="F25" s="2"/>
      <c r="G25" s="25"/>
    </row>
    <row r="26" spans="1:7" x14ac:dyDescent="0.25">
      <c r="A26" s="18"/>
      <c r="B26" s="7"/>
      <c r="C26" s="7"/>
      <c r="D26" s="8" t="s">
        <v>47</v>
      </c>
      <c r="E26" s="9">
        <v>12774</v>
      </c>
      <c r="F26" s="2"/>
      <c r="G26" s="25"/>
    </row>
    <row r="27" spans="1:7" x14ac:dyDescent="0.25">
      <c r="A27" s="18"/>
      <c r="B27" s="7"/>
      <c r="C27" s="7"/>
      <c r="D27" s="8" t="s">
        <v>48</v>
      </c>
      <c r="E27" s="9">
        <v>77386</v>
      </c>
      <c r="F27" s="2"/>
      <c r="G27" s="25"/>
    </row>
    <row r="28" spans="1:7" x14ac:dyDescent="0.25">
      <c r="A28" s="18"/>
      <c r="B28" s="7"/>
      <c r="C28" s="7"/>
      <c r="D28" s="8" t="s">
        <v>49</v>
      </c>
      <c r="E28" s="9">
        <v>14370</v>
      </c>
      <c r="F28" s="2"/>
      <c r="G28" s="25"/>
    </row>
    <row r="29" spans="1:7" x14ac:dyDescent="0.25">
      <c r="A29" s="18"/>
      <c r="B29" s="7"/>
      <c r="C29" s="7"/>
      <c r="D29" s="8" t="s">
        <v>50</v>
      </c>
      <c r="E29" s="9">
        <v>133879</v>
      </c>
      <c r="F29" s="2"/>
      <c r="G29" s="25"/>
    </row>
    <row r="30" spans="1:7" x14ac:dyDescent="0.25">
      <c r="A30" s="18"/>
      <c r="B30" s="7"/>
      <c r="C30" s="7"/>
      <c r="D30" s="8" t="s">
        <v>51</v>
      </c>
      <c r="E30" s="9">
        <v>445643.05</v>
      </c>
      <c r="F30" s="2"/>
      <c r="G30" s="25"/>
    </row>
    <row r="31" spans="1:7" x14ac:dyDescent="0.25">
      <c r="A31" s="18"/>
      <c r="B31" s="7"/>
      <c r="C31" s="7"/>
      <c r="D31" s="8" t="s">
        <v>52</v>
      </c>
      <c r="E31" s="9">
        <v>5720</v>
      </c>
      <c r="F31" s="2"/>
      <c r="G31" s="25"/>
    </row>
    <row r="32" spans="1:7" x14ac:dyDescent="0.25">
      <c r="A32" s="18"/>
      <c r="B32" s="7"/>
      <c r="C32" s="7"/>
      <c r="D32" s="8" t="s">
        <v>53</v>
      </c>
      <c r="E32" s="9">
        <v>573329.30000000005</v>
      </c>
      <c r="F32" s="2"/>
      <c r="G32" s="25"/>
    </row>
    <row r="33" spans="1:7" x14ac:dyDescent="0.25">
      <c r="A33" s="18"/>
      <c r="B33" s="7"/>
      <c r="C33" s="7"/>
      <c r="D33" s="8" t="s">
        <v>54</v>
      </c>
      <c r="E33" s="9">
        <v>90306.2</v>
      </c>
      <c r="F33" s="2"/>
      <c r="G33" s="25"/>
    </row>
    <row r="34" spans="1:7" x14ac:dyDescent="0.25">
      <c r="A34" s="18"/>
      <c r="B34" s="7"/>
      <c r="C34" s="7"/>
      <c r="D34" s="8" t="s">
        <v>55</v>
      </c>
      <c r="E34" s="9">
        <v>6274</v>
      </c>
      <c r="F34" s="2"/>
      <c r="G34" s="25"/>
    </row>
    <row r="35" spans="1:7" x14ac:dyDescent="0.25">
      <c r="A35" s="18"/>
      <c r="B35" s="7"/>
      <c r="C35" s="7"/>
      <c r="D35" s="8" t="s">
        <v>56</v>
      </c>
      <c r="E35" s="9">
        <v>36056</v>
      </c>
      <c r="F35" s="2"/>
      <c r="G35" s="25"/>
    </row>
    <row r="36" spans="1:7" x14ac:dyDescent="0.25">
      <c r="A36" s="18"/>
      <c r="B36" s="7"/>
      <c r="C36" s="7"/>
      <c r="D36" s="8" t="s">
        <v>57</v>
      </c>
      <c r="E36" s="9">
        <v>72604.5</v>
      </c>
      <c r="F36" s="2"/>
      <c r="G36" s="25"/>
    </row>
    <row r="37" spans="1:7" x14ac:dyDescent="0.25">
      <c r="A37" s="18"/>
      <c r="B37" s="7"/>
      <c r="C37" s="7"/>
      <c r="D37" s="8" t="s">
        <v>58</v>
      </c>
      <c r="E37" s="9">
        <v>1076351</v>
      </c>
      <c r="F37" s="2"/>
      <c r="G37" s="25"/>
    </row>
    <row r="38" spans="1:7" x14ac:dyDescent="0.25">
      <c r="A38" s="18"/>
      <c r="B38" s="7"/>
      <c r="C38" s="7"/>
      <c r="D38" s="8" t="s">
        <v>59</v>
      </c>
      <c r="E38" s="9">
        <v>480693.4</v>
      </c>
      <c r="F38" s="2"/>
      <c r="G38" s="25"/>
    </row>
    <row r="39" spans="1:7" x14ac:dyDescent="0.25">
      <c r="A39" s="18"/>
      <c r="B39" s="7"/>
      <c r="C39" s="7"/>
      <c r="D39" s="8" t="s">
        <v>60</v>
      </c>
      <c r="E39" s="9">
        <v>6822</v>
      </c>
      <c r="F39" s="2"/>
      <c r="G39" s="25"/>
    </row>
    <row r="40" spans="1:7" x14ac:dyDescent="0.25">
      <c r="A40" s="18"/>
      <c r="B40" s="7"/>
      <c r="C40" s="7"/>
      <c r="D40" s="8" t="s">
        <v>61</v>
      </c>
      <c r="E40" s="9">
        <v>50797</v>
      </c>
      <c r="F40" s="2"/>
      <c r="G40" s="25"/>
    </row>
    <row r="41" spans="1:7" x14ac:dyDescent="0.25">
      <c r="A41" s="18"/>
      <c r="B41" s="7"/>
      <c r="C41" s="7"/>
      <c r="D41" s="8" t="s">
        <v>62</v>
      </c>
      <c r="E41" s="9">
        <v>2655</v>
      </c>
      <c r="F41" s="2"/>
      <c r="G41" s="25"/>
    </row>
    <row r="42" spans="1:7" x14ac:dyDescent="0.25">
      <c r="A42" s="18"/>
      <c r="B42" s="7"/>
      <c r="C42" s="7"/>
      <c r="D42" s="8" t="s">
        <v>63</v>
      </c>
      <c r="E42" s="9">
        <v>31090</v>
      </c>
      <c r="F42" s="2"/>
      <c r="G42" s="25"/>
    </row>
    <row r="43" spans="1:7" ht="15.75" thickBot="1" x14ac:dyDescent="0.3">
      <c r="A43" s="19"/>
      <c r="B43" s="20"/>
      <c r="C43" s="20"/>
      <c r="D43" s="21" t="s">
        <v>64</v>
      </c>
      <c r="E43" s="22">
        <v>102289</v>
      </c>
      <c r="F43" s="23"/>
      <c r="G43" s="26"/>
    </row>
    <row r="44" spans="1:7" x14ac:dyDescent="0.25">
      <c r="A44" s="13" t="s">
        <v>65</v>
      </c>
      <c r="B44" s="14" t="s">
        <v>7</v>
      </c>
      <c r="C44" s="15" t="s">
        <v>10</v>
      </c>
      <c r="D44" s="15" t="s">
        <v>66</v>
      </c>
      <c r="E44" s="16">
        <v>1398768</v>
      </c>
      <c r="F44" s="17">
        <f>SUM(E44)</f>
        <v>1398768</v>
      </c>
      <c r="G44" s="24">
        <f>SUM(F44:F80)</f>
        <v>7496459.4400000004</v>
      </c>
    </row>
    <row r="45" spans="1:7" x14ac:dyDescent="0.25">
      <c r="A45" s="18"/>
      <c r="B45" s="7"/>
      <c r="C45" s="8" t="s">
        <v>67</v>
      </c>
      <c r="D45" s="8" t="s">
        <v>68</v>
      </c>
      <c r="E45" s="9">
        <v>120000</v>
      </c>
      <c r="F45" s="4">
        <f>SUM(E45)</f>
        <v>120000</v>
      </c>
      <c r="G45" s="27"/>
    </row>
    <row r="46" spans="1:7" x14ac:dyDescent="0.25">
      <c r="A46" s="18"/>
      <c r="B46" s="7"/>
      <c r="C46" s="7" t="s">
        <v>69</v>
      </c>
      <c r="D46" s="8" t="s">
        <v>70</v>
      </c>
      <c r="E46" s="9">
        <v>561510</v>
      </c>
      <c r="F46" s="2">
        <f>SUM(E46:E48)</f>
        <v>604449</v>
      </c>
      <c r="G46" s="27"/>
    </row>
    <row r="47" spans="1:7" x14ac:dyDescent="0.25">
      <c r="A47" s="18"/>
      <c r="B47" s="7"/>
      <c r="C47" s="7"/>
      <c r="D47" s="8" t="s">
        <v>71</v>
      </c>
      <c r="E47" s="9">
        <v>22000</v>
      </c>
      <c r="F47" s="2"/>
      <c r="G47" s="27"/>
    </row>
    <row r="48" spans="1:7" x14ac:dyDescent="0.25">
      <c r="A48" s="18"/>
      <c r="B48" s="7"/>
      <c r="C48" s="7"/>
      <c r="D48" s="8" t="s">
        <v>72</v>
      </c>
      <c r="E48" s="9">
        <v>20939</v>
      </c>
      <c r="F48" s="2"/>
      <c r="G48" s="27"/>
    </row>
    <row r="49" spans="1:7" x14ac:dyDescent="0.25">
      <c r="A49" s="18"/>
      <c r="B49" s="7"/>
      <c r="C49" s="8" t="s">
        <v>14</v>
      </c>
      <c r="D49" s="8" t="s">
        <v>73</v>
      </c>
      <c r="E49" s="9">
        <v>14400</v>
      </c>
      <c r="F49" s="4">
        <f>SUM(E49)</f>
        <v>14400</v>
      </c>
      <c r="G49" s="27"/>
    </row>
    <row r="50" spans="1:7" x14ac:dyDescent="0.25">
      <c r="A50" s="18"/>
      <c r="B50" s="7"/>
      <c r="C50" s="8" t="s">
        <v>74</v>
      </c>
      <c r="D50" s="8" t="s">
        <v>75</v>
      </c>
      <c r="E50" s="9">
        <v>15400</v>
      </c>
      <c r="F50" s="4">
        <f>SUM(E50)</f>
        <v>15400</v>
      </c>
      <c r="G50" s="27"/>
    </row>
    <row r="51" spans="1:7" x14ac:dyDescent="0.25">
      <c r="A51" s="18"/>
      <c r="B51" s="7"/>
      <c r="C51" s="7" t="s">
        <v>16</v>
      </c>
      <c r="D51" s="8" t="s">
        <v>76</v>
      </c>
      <c r="E51" s="9">
        <v>1066856</v>
      </c>
      <c r="F51" s="2">
        <f>SUM(E51:E52)</f>
        <v>1461649.87</v>
      </c>
      <c r="G51" s="27"/>
    </row>
    <row r="52" spans="1:7" x14ac:dyDescent="0.25">
      <c r="A52" s="18"/>
      <c r="B52" s="7"/>
      <c r="C52" s="7"/>
      <c r="D52" s="8" t="s">
        <v>77</v>
      </c>
      <c r="E52" s="9">
        <v>394793.87</v>
      </c>
      <c r="F52" s="2"/>
      <c r="G52" s="27"/>
    </row>
    <row r="53" spans="1:7" x14ac:dyDescent="0.25">
      <c r="A53" s="18"/>
      <c r="B53" s="7"/>
      <c r="C53" s="7" t="s">
        <v>78</v>
      </c>
      <c r="D53" s="8" t="s">
        <v>79</v>
      </c>
      <c r="E53" s="9">
        <v>702390.26</v>
      </c>
      <c r="F53" s="2">
        <f>SUM(E53:E62)</f>
        <v>1979573.8699999999</v>
      </c>
      <c r="G53" s="27"/>
    </row>
    <row r="54" spans="1:7" x14ac:dyDescent="0.25">
      <c r="A54" s="18"/>
      <c r="B54" s="7"/>
      <c r="C54" s="7"/>
      <c r="D54" s="8" t="s">
        <v>80</v>
      </c>
      <c r="E54" s="9">
        <v>74226.960000000006</v>
      </c>
      <c r="F54" s="2"/>
      <c r="G54" s="27"/>
    </row>
    <row r="55" spans="1:7" x14ac:dyDescent="0.25">
      <c r="A55" s="18"/>
      <c r="B55" s="7"/>
      <c r="C55" s="7"/>
      <c r="D55" s="8" t="s">
        <v>81</v>
      </c>
      <c r="E55" s="9">
        <v>173777.23</v>
      </c>
      <c r="F55" s="2"/>
      <c r="G55" s="27"/>
    </row>
    <row r="56" spans="1:7" x14ac:dyDescent="0.25">
      <c r="A56" s="18"/>
      <c r="B56" s="7"/>
      <c r="C56" s="7"/>
      <c r="D56" s="8" t="s">
        <v>82</v>
      </c>
      <c r="E56" s="9">
        <v>48475.62</v>
      </c>
      <c r="F56" s="2"/>
      <c r="G56" s="27"/>
    </row>
    <row r="57" spans="1:7" x14ac:dyDescent="0.25">
      <c r="A57" s="18"/>
      <c r="B57" s="7"/>
      <c r="C57" s="7"/>
      <c r="D57" s="8" t="s">
        <v>83</v>
      </c>
      <c r="E57" s="9">
        <v>12013.1</v>
      </c>
      <c r="F57" s="2"/>
      <c r="G57" s="27"/>
    </row>
    <row r="58" spans="1:7" x14ac:dyDescent="0.25">
      <c r="A58" s="18"/>
      <c r="B58" s="7"/>
      <c r="C58" s="7"/>
      <c r="D58" s="8" t="s">
        <v>84</v>
      </c>
      <c r="E58" s="9">
        <v>96362.75</v>
      </c>
      <c r="F58" s="2"/>
      <c r="G58" s="27"/>
    </row>
    <row r="59" spans="1:7" x14ac:dyDescent="0.25">
      <c r="A59" s="18"/>
      <c r="B59" s="7"/>
      <c r="C59" s="7"/>
      <c r="D59" s="8" t="s">
        <v>85</v>
      </c>
      <c r="E59" s="9">
        <v>336282.05</v>
      </c>
      <c r="F59" s="2"/>
      <c r="G59" s="27"/>
    </row>
    <row r="60" spans="1:7" x14ac:dyDescent="0.25">
      <c r="A60" s="18"/>
      <c r="B60" s="7"/>
      <c r="C60" s="7"/>
      <c r="D60" s="8" t="s">
        <v>86</v>
      </c>
      <c r="E60" s="9">
        <v>51859.01</v>
      </c>
      <c r="F60" s="2"/>
      <c r="G60" s="27"/>
    </row>
    <row r="61" spans="1:7" x14ac:dyDescent="0.25">
      <c r="A61" s="18"/>
      <c r="B61" s="7"/>
      <c r="C61" s="7"/>
      <c r="D61" s="8" t="s">
        <v>87</v>
      </c>
      <c r="E61" s="9">
        <v>114212.89</v>
      </c>
      <c r="F61" s="2"/>
      <c r="G61" s="27"/>
    </row>
    <row r="62" spans="1:7" x14ac:dyDescent="0.25">
      <c r="A62" s="18"/>
      <c r="B62" s="7"/>
      <c r="C62" s="7"/>
      <c r="D62" s="8" t="s">
        <v>88</v>
      </c>
      <c r="E62" s="9">
        <v>369974</v>
      </c>
      <c r="F62" s="2"/>
      <c r="G62" s="27"/>
    </row>
    <row r="63" spans="1:7" x14ac:dyDescent="0.25">
      <c r="A63" s="18"/>
      <c r="B63" s="7"/>
      <c r="C63" s="7" t="s">
        <v>89</v>
      </c>
      <c r="D63" s="8" t="s">
        <v>90</v>
      </c>
      <c r="E63" s="9">
        <v>35000</v>
      </c>
      <c r="F63" s="2">
        <f>SUM(E63:E64)</f>
        <v>40000</v>
      </c>
      <c r="G63" s="27"/>
    </row>
    <row r="64" spans="1:7" x14ac:dyDescent="0.25">
      <c r="A64" s="18"/>
      <c r="B64" s="7"/>
      <c r="C64" s="7"/>
      <c r="D64" s="8" t="s">
        <v>91</v>
      </c>
      <c r="E64" s="9">
        <v>5000</v>
      </c>
      <c r="F64" s="5"/>
      <c r="G64" s="27"/>
    </row>
    <row r="65" spans="1:7" x14ac:dyDescent="0.25">
      <c r="A65" s="18"/>
      <c r="B65" s="7"/>
      <c r="C65" s="8" t="s">
        <v>92</v>
      </c>
      <c r="D65" s="8" t="s">
        <v>93</v>
      </c>
      <c r="E65" s="9">
        <v>128553.25</v>
      </c>
      <c r="F65" s="4">
        <f>SUM(E65)</f>
        <v>128553.25</v>
      </c>
      <c r="G65" s="27"/>
    </row>
    <row r="66" spans="1:7" x14ac:dyDescent="0.25">
      <c r="A66" s="18"/>
      <c r="B66" s="7"/>
      <c r="C66" s="8" t="s">
        <v>94</v>
      </c>
      <c r="D66" s="8" t="s">
        <v>95</v>
      </c>
      <c r="E66" s="9">
        <v>15200</v>
      </c>
      <c r="F66" s="4">
        <f t="shared" ref="F66:F69" si="2">SUM(E66)</f>
        <v>15200</v>
      </c>
      <c r="G66" s="27"/>
    </row>
    <row r="67" spans="1:7" x14ac:dyDescent="0.25">
      <c r="A67" s="18"/>
      <c r="B67" s="7"/>
      <c r="C67" s="8" t="s">
        <v>96</v>
      </c>
      <c r="D67" s="8" t="s">
        <v>97</v>
      </c>
      <c r="E67" s="9">
        <v>4700</v>
      </c>
      <c r="F67" s="4">
        <f t="shared" si="2"/>
        <v>4700</v>
      </c>
      <c r="G67" s="27"/>
    </row>
    <row r="68" spans="1:7" x14ac:dyDescent="0.25">
      <c r="A68" s="18"/>
      <c r="B68" s="7"/>
      <c r="C68" s="8" t="s">
        <v>98</v>
      </c>
      <c r="D68" s="8" t="s">
        <v>99</v>
      </c>
      <c r="E68" s="9">
        <v>8240</v>
      </c>
      <c r="F68" s="4">
        <f t="shared" si="2"/>
        <v>8240</v>
      </c>
      <c r="G68" s="27"/>
    </row>
    <row r="69" spans="1:7" x14ac:dyDescent="0.25">
      <c r="A69" s="18"/>
      <c r="B69" s="7"/>
      <c r="C69" s="8" t="s">
        <v>40</v>
      </c>
      <c r="D69" s="8" t="s">
        <v>100</v>
      </c>
      <c r="E69" s="9">
        <v>20185</v>
      </c>
      <c r="F69" s="4">
        <f t="shared" si="2"/>
        <v>20185</v>
      </c>
      <c r="G69" s="27"/>
    </row>
    <row r="70" spans="1:7" x14ac:dyDescent="0.25">
      <c r="A70" s="18"/>
      <c r="B70" s="7"/>
      <c r="C70" s="7" t="s">
        <v>18</v>
      </c>
      <c r="D70" s="8" t="s">
        <v>101</v>
      </c>
      <c r="E70" s="9">
        <v>44076</v>
      </c>
      <c r="F70" s="2">
        <f>SUM(E70:E73)</f>
        <v>205174</v>
      </c>
      <c r="G70" s="27"/>
    </row>
    <row r="71" spans="1:7" x14ac:dyDescent="0.25">
      <c r="A71" s="18"/>
      <c r="B71" s="7"/>
      <c r="C71" s="7"/>
      <c r="D71" s="8" t="s">
        <v>102</v>
      </c>
      <c r="E71" s="9">
        <v>59870</v>
      </c>
      <c r="F71" s="2"/>
      <c r="G71" s="27"/>
    </row>
    <row r="72" spans="1:7" x14ac:dyDescent="0.25">
      <c r="A72" s="18"/>
      <c r="B72" s="7"/>
      <c r="C72" s="7"/>
      <c r="D72" s="8" t="s">
        <v>103</v>
      </c>
      <c r="E72" s="9">
        <v>91825</v>
      </c>
      <c r="F72" s="2"/>
      <c r="G72" s="27"/>
    </row>
    <row r="73" spans="1:7" x14ac:dyDescent="0.25">
      <c r="A73" s="18"/>
      <c r="B73" s="7"/>
      <c r="C73" s="7"/>
      <c r="D73" s="8" t="s">
        <v>104</v>
      </c>
      <c r="E73" s="9">
        <v>9403</v>
      </c>
      <c r="F73" s="2"/>
      <c r="G73" s="27"/>
    </row>
    <row r="74" spans="1:7" x14ac:dyDescent="0.25">
      <c r="A74" s="18"/>
      <c r="B74" s="7"/>
      <c r="C74" s="7" t="s">
        <v>22</v>
      </c>
      <c r="D74" s="8" t="s">
        <v>105</v>
      </c>
      <c r="E74" s="9">
        <v>7026.45</v>
      </c>
      <c r="F74" s="2">
        <f>SUM(E74)</f>
        <v>7026.45</v>
      </c>
      <c r="G74" s="27"/>
    </row>
    <row r="75" spans="1:7" x14ac:dyDescent="0.25">
      <c r="A75" s="18"/>
      <c r="B75" s="7"/>
      <c r="C75" s="7"/>
      <c r="D75" s="8" t="s">
        <v>106</v>
      </c>
      <c r="E75" s="9">
        <v>23874.5</v>
      </c>
      <c r="F75" s="2"/>
      <c r="G75" s="27"/>
    </row>
    <row r="76" spans="1:7" x14ac:dyDescent="0.25">
      <c r="A76" s="18"/>
      <c r="B76" s="7"/>
      <c r="C76" s="8" t="s">
        <v>107</v>
      </c>
      <c r="D76" s="8" t="s">
        <v>108</v>
      </c>
      <c r="E76" s="9">
        <v>1104000</v>
      </c>
      <c r="F76" s="4">
        <f>SUM(E76)</f>
        <v>1104000</v>
      </c>
      <c r="G76" s="27"/>
    </row>
    <row r="77" spans="1:7" x14ac:dyDescent="0.25">
      <c r="A77" s="18"/>
      <c r="B77" s="7"/>
      <c r="C77" s="8" t="s">
        <v>25</v>
      </c>
      <c r="D77" s="8" t="s">
        <v>109</v>
      </c>
      <c r="E77" s="9">
        <v>6938</v>
      </c>
      <c r="F77" s="4">
        <f>SUM(E77)</f>
        <v>6938</v>
      </c>
      <c r="G77" s="27"/>
    </row>
    <row r="78" spans="1:7" x14ac:dyDescent="0.25">
      <c r="A78" s="18"/>
      <c r="B78" s="7"/>
      <c r="C78" s="7" t="s">
        <v>110</v>
      </c>
      <c r="D78" s="8" t="s">
        <v>111</v>
      </c>
      <c r="E78" s="9">
        <v>128800</v>
      </c>
      <c r="F78" s="2">
        <f>SUM(E78:E80)</f>
        <v>362202</v>
      </c>
      <c r="G78" s="27"/>
    </row>
    <row r="79" spans="1:7" x14ac:dyDescent="0.25">
      <c r="A79" s="18"/>
      <c r="B79" s="7"/>
      <c r="C79" s="7"/>
      <c r="D79" s="8" t="s">
        <v>112</v>
      </c>
      <c r="E79" s="9">
        <v>158307</v>
      </c>
      <c r="F79" s="2"/>
      <c r="G79" s="27"/>
    </row>
    <row r="80" spans="1:7" x14ac:dyDescent="0.25">
      <c r="A80" s="18"/>
      <c r="B80" s="32"/>
      <c r="C80" s="32"/>
      <c r="D80" s="29" t="s">
        <v>113</v>
      </c>
      <c r="E80" s="30">
        <v>75095</v>
      </c>
      <c r="F80" s="34"/>
      <c r="G80" s="35"/>
    </row>
    <row r="81" spans="1:7" ht="22.5" x14ac:dyDescent="0.25">
      <c r="A81" s="18"/>
      <c r="B81" s="36" t="s">
        <v>114</v>
      </c>
      <c r="C81" s="36" t="s">
        <v>115</v>
      </c>
      <c r="D81" s="36" t="s">
        <v>116</v>
      </c>
      <c r="E81" s="37">
        <v>2535</v>
      </c>
      <c r="F81" s="38">
        <f>SUM(E81)</f>
        <v>2535</v>
      </c>
      <c r="G81" s="39">
        <f>SUM(F81)</f>
        <v>2535</v>
      </c>
    </row>
    <row r="82" spans="1:7" x14ac:dyDescent="0.25">
      <c r="A82" s="18"/>
      <c r="B82" s="10" t="s">
        <v>30</v>
      </c>
      <c r="C82" s="11" t="s">
        <v>33</v>
      </c>
      <c r="D82" s="11" t="s">
        <v>117</v>
      </c>
      <c r="E82" s="12">
        <v>45000</v>
      </c>
      <c r="F82" s="6">
        <f>SUM(E82)</f>
        <v>45000</v>
      </c>
      <c r="G82" s="27">
        <f>SUM(F82:F91)</f>
        <v>174615</v>
      </c>
    </row>
    <row r="83" spans="1:7" x14ac:dyDescent="0.25">
      <c r="A83" s="18"/>
      <c r="B83" s="7"/>
      <c r="C83" s="7" t="s">
        <v>35</v>
      </c>
      <c r="D83" s="8" t="s">
        <v>118</v>
      </c>
      <c r="E83" s="9">
        <v>28935</v>
      </c>
      <c r="F83" s="2">
        <f>SUM(E83:E86)</f>
        <v>31705</v>
      </c>
      <c r="G83" s="25"/>
    </row>
    <row r="84" spans="1:7" x14ac:dyDescent="0.25">
      <c r="A84" s="18"/>
      <c r="B84" s="7"/>
      <c r="C84" s="7"/>
      <c r="D84" s="8" t="s">
        <v>119</v>
      </c>
      <c r="E84" s="9">
        <v>350</v>
      </c>
      <c r="F84" s="2"/>
      <c r="G84" s="25"/>
    </row>
    <row r="85" spans="1:7" x14ac:dyDescent="0.25">
      <c r="A85" s="18"/>
      <c r="B85" s="7"/>
      <c r="C85" s="7"/>
      <c r="D85" s="8" t="s">
        <v>120</v>
      </c>
      <c r="E85" s="9">
        <v>1820</v>
      </c>
      <c r="F85" s="2"/>
      <c r="G85" s="25"/>
    </row>
    <row r="86" spans="1:7" x14ac:dyDescent="0.25">
      <c r="A86" s="18"/>
      <c r="B86" s="7"/>
      <c r="C86" s="7"/>
      <c r="D86" s="8" t="s">
        <v>121</v>
      </c>
      <c r="E86" s="9">
        <v>600</v>
      </c>
      <c r="F86" s="2"/>
      <c r="G86" s="25"/>
    </row>
    <row r="87" spans="1:7" x14ac:dyDescent="0.25">
      <c r="A87" s="18"/>
      <c r="B87" s="7"/>
      <c r="C87" s="7" t="s">
        <v>37</v>
      </c>
      <c r="D87" s="8" t="s">
        <v>122</v>
      </c>
      <c r="E87" s="9">
        <v>940</v>
      </c>
      <c r="F87" s="2">
        <f>SUM(E87:E88)</f>
        <v>4640</v>
      </c>
      <c r="G87" s="25"/>
    </row>
    <row r="88" spans="1:7" x14ac:dyDescent="0.25">
      <c r="A88" s="18"/>
      <c r="B88" s="7"/>
      <c r="C88" s="7"/>
      <c r="D88" s="8" t="s">
        <v>123</v>
      </c>
      <c r="E88" s="9">
        <v>3700</v>
      </c>
      <c r="F88" s="2"/>
      <c r="G88" s="25"/>
    </row>
    <row r="89" spans="1:7" x14ac:dyDescent="0.25">
      <c r="A89" s="18"/>
      <c r="B89" s="7"/>
      <c r="C89" s="7" t="s">
        <v>124</v>
      </c>
      <c r="D89" s="8" t="s">
        <v>125</v>
      </c>
      <c r="E89" s="9">
        <v>1500</v>
      </c>
      <c r="F89" s="2">
        <f>SUM(E89:E91)</f>
        <v>93270</v>
      </c>
      <c r="G89" s="25"/>
    </row>
    <row r="90" spans="1:7" x14ac:dyDescent="0.25">
      <c r="A90" s="18"/>
      <c r="B90" s="7"/>
      <c r="C90" s="7"/>
      <c r="D90" s="8" t="s">
        <v>126</v>
      </c>
      <c r="E90" s="9">
        <v>33110</v>
      </c>
      <c r="F90" s="2"/>
      <c r="G90" s="25"/>
    </row>
    <row r="91" spans="1:7" x14ac:dyDescent="0.25">
      <c r="A91" s="18"/>
      <c r="B91" s="32"/>
      <c r="C91" s="32"/>
      <c r="D91" s="29" t="s">
        <v>127</v>
      </c>
      <c r="E91" s="30">
        <v>58660</v>
      </c>
      <c r="F91" s="34"/>
      <c r="G91" s="28"/>
    </row>
    <row r="92" spans="1:7" x14ac:dyDescent="0.25">
      <c r="A92" s="18"/>
      <c r="B92" s="10" t="s">
        <v>128</v>
      </c>
      <c r="C92" s="11" t="s">
        <v>129</v>
      </c>
      <c r="D92" s="11" t="s">
        <v>130</v>
      </c>
      <c r="E92" s="12">
        <v>1000</v>
      </c>
      <c r="F92" s="6">
        <f t="shared" ref="F92:F95" si="3">SUM(E92)</f>
        <v>1000</v>
      </c>
      <c r="G92" s="27">
        <f>SUM(F92:F98)</f>
        <v>375824.25</v>
      </c>
    </row>
    <row r="93" spans="1:7" x14ac:dyDescent="0.25">
      <c r="A93" s="18"/>
      <c r="B93" s="7"/>
      <c r="C93" s="8" t="s">
        <v>74</v>
      </c>
      <c r="D93" s="8" t="s">
        <v>131</v>
      </c>
      <c r="E93" s="9">
        <v>2143</v>
      </c>
      <c r="F93" s="4">
        <f t="shared" si="3"/>
        <v>2143</v>
      </c>
      <c r="G93" s="25"/>
    </row>
    <row r="94" spans="1:7" x14ac:dyDescent="0.25">
      <c r="A94" s="18"/>
      <c r="B94" s="7"/>
      <c r="C94" s="8" t="s">
        <v>96</v>
      </c>
      <c r="D94" s="8" t="s">
        <v>132</v>
      </c>
      <c r="E94" s="9">
        <v>4700</v>
      </c>
      <c r="F94" s="4">
        <f t="shared" si="3"/>
        <v>4700</v>
      </c>
      <c r="G94" s="25"/>
    </row>
    <row r="95" spans="1:7" x14ac:dyDescent="0.25">
      <c r="A95" s="18"/>
      <c r="B95" s="7"/>
      <c r="C95" s="8" t="s">
        <v>133</v>
      </c>
      <c r="D95" s="8" t="s">
        <v>134</v>
      </c>
      <c r="E95" s="9">
        <v>9181.25</v>
      </c>
      <c r="F95" s="4">
        <f t="shared" si="3"/>
        <v>9181.25</v>
      </c>
      <c r="G95" s="25"/>
    </row>
    <row r="96" spans="1:7" x14ac:dyDescent="0.25">
      <c r="A96" s="18"/>
      <c r="B96" s="7"/>
      <c r="C96" s="7" t="s">
        <v>135</v>
      </c>
      <c r="D96" s="8" t="s">
        <v>136</v>
      </c>
      <c r="E96" s="9">
        <v>8400</v>
      </c>
      <c r="F96" s="2">
        <f>SUM(E96:E97)</f>
        <v>16800</v>
      </c>
      <c r="G96" s="25"/>
    </row>
    <row r="97" spans="1:7" x14ac:dyDescent="0.25">
      <c r="A97" s="18"/>
      <c r="B97" s="7"/>
      <c r="C97" s="7"/>
      <c r="D97" s="8" t="s">
        <v>137</v>
      </c>
      <c r="E97" s="9">
        <v>8400</v>
      </c>
      <c r="F97" s="2"/>
      <c r="G97" s="25"/>
    </row>
    <row r="98" spans="1:7" x14ac:dyDescent="0.25">
      <c r="A98" s="18"/>
      <c r="B98" s="32"/>
      <c r="C98" s="29" t="s">
        <v>107</v>
      </c>
      <c r="D98" s="29" t="s">
        <v>138</v>
      </c>
      <c r="E98" s="30">
        <v>342000</v>
      </c>
      <c r="F98" s="31">
        <f>SUM(E98)</f>
        <v>342000</v>
      </c>
      <c r="G98" s="28"/>
    </row>
    <row r="99" spans="1:7" x14ac:dyDescent="0.25">
      <c r="A99" s="18"/>
      <c r="B99" s="10" t="s">
        <v>39</v>
      </c>
      <c r="C99" s="11" t="s">
        <v>139</v>
      </c>
      <c r="D99" s="11" t="s">
        <v>140</v>
      </c>
      <c r="E99" s="12">
        <v>78373.2</v>
      </c>
      <c r="F99" s="6">
        <f t="shared" ref="F99:F100" si="4">SUM(E99)</f>
        <v>78373.2</v>
      </c>
      <c r="G99" s="27">
        <f>SUM(F99:F119)</f>
        <v>6071349.3327500001</v>
      </c>
    </row>
    <row r="100" spans="1:7" ht="22.5" x14ac:dyDescent="0.25">
      <c r="A100" s="18"/>
      <c r="B100" s="7"/>
      <c r="C100" s="8" t="s">
        <v>141</v>
      </c>
      <c r="D100" s="8" t="s">
        <v>142</v>
      </c>
      <c r="E100" s="9">
        <v>203355.7</v>
      </c>
      <c r="F100" s="4">
        <f t="shared" si="4"/>
        <v>203355.7</v>
      </c>
      <c r="G100" s="25"/>
    </row>
    <row r="101" spans="1:7" x14ac:dyDescent="0.25">
      <c r="A101" s="18"/>
      <c r="B101" s="7"/>
      <c r="C101" s="7" t="s">
        <v>40</v>
      </c>
      <c r="D101" s="8" t="s">
        <v>143</v>
      </c>
      <c r="E101" s="9">
        <v>36056</v>
      </c>
      <c r="F101" s="2">
        <f>SUM(E101:E119)</f>
        <v>5789620.4327499997</v>
      </c>
      <c r="G101" s="25"/>
    </row>
    <row r="102" spans="1:7" x14ac:dyDescent="0.25">
      <c r="A102" s="18"/>
      <c r="B102" s="7"/>
      <c r="C102" s="7"/>
      <c r="D102" s="8" t="s">
        <v>144</v>
      </c>
      <c r="E102" s="9">
        <v>71130.5</v>
      </c>
      <c r="F102" s="2"/>
      <c r="G102" s="25"/>
    </row>
    <row r="103" spans="1:7" x14ac:dyDescent="0.25">
      <c r="A103" s="18"/>
      <c r="B103" s="7"/>
      <c r="C103" s="7"/>
      <c r="D103" s="8" t="s">
        <v>145</v>
      </c>
      <c r="E103" s="9">
        <v>50797</v>
      </c>
      <c r="F103" s="2"/>
      <c r="G103" s="25"/>
    </row>
    <row r="104" spans="1:7" x14ac:dyDescent="0.25">
      <c r="A104" s="18"/>
      <c r="B104" s="7"/>
      <c r="C104" s="7"/>
      <c r="D104" s="8" t="s">
        <v>146</v>
      </c>
      <c r="E104" s="9">
        <v>2655</v>
      </c>
      <c r="F104" s="2"/>
      <c r="G104" s="25"/>
    </row>
    <row r="105" spans="1:7" x14ac:dyDescent="0.25">
      <c r="A105" s="18"/>
      <c r="B105" s="7"/>
      <c r="C105" s="7"/>
      <c r="D105" s="8" t="s">
        <v>147</v>
      </c>
      <c r="E105" s="9">
        <v>6822</v>
      </c>
      <c r="F105" s="2"/>
      <c r="G105" s="25"/>
    </row>
    <row r="106" spans="1:7" x14ac:dyDescent="0.25">
      <c r="A106" s="18"/>
      <c r="B106" s="7"/>
      <c r="C106" s="7"/>
      <c r="D106" s="8" t="s">
        <v>148</v>
      </c>
      <c r="E106" s="9">
        <v>102289</v>
      </c>
      <c r="F106" s="2"/>
      <c r="G106" s="25"/>
    </row>
    <row r="107" spans="1:7" x14ac:dyDescent="0.25">
      <c r="A107" s="18"/>
      <c r="B107" s="7"/>
      <c r="C107" s="7"/>
      <c r="D107" s="8" t="s">
        <v>149</v>
      </c>
      <c r="E107" s="9">
        <v>31090</v>
      </c>
      <c r="F107" s="2"/>
      <c r="G107" s="25"/>
    </row>
    <row r="108" spans="1:7" x14ac:dyDescent="0.25">
      <c r="A108" s="18"/>
      <c r="B108" s="7"/>
      <c r="C108" s="7"/>
      <c r="D108" s="8" t="s">
        <v>150</v>
      </c>
      <c r="E108" s="9">
        <v>1076351</v>
      </c>
      <c r="F108" s="2"/>
      <c r="G108" s="25"/>
    </row>
    <row r="109" spans="1:7" x14ac:dyDescent="0.25">
      <c r="A109" s="18"/>
      <c r="B109" s="7"/>
      <c r="C109" s="7"/>
      <c r="D109" s="8" t="s">
        <v>151</v>
      </c>
      <c r="E109" s="9">
        <v>480693.4</v>
      </c>
      <c r="F109" s="2"/>
      <c r="G109" s="25"/>
    </row>
    <row r="110" spans="1:7" x14ac:dyDescent="0.25">
      <c r="A110" s="18"/>
      <c r="B110" s="7"/>
      <c r="C110" s="7"/>
      <c r="D110" s="8" t="s">
        <v>152</v>
      </c>
      <c r="E110" s="9">
        <v>3529</v>
      </c>
      <c r="F110" s="2"/>
      <c r="G110" s="25"/>
    </row>
    <row r="111" spans="1:7" x14ac:dyDescent="0.25">
      <c r="A111" s="18"/>
      <c r="B111" s="7"/>
      <c r="C111" s="7"/>
      <c r="D111" s="8" t="s">
        <v>153</v>
      </c>
      <c r="E111" s="9">
        <v>84089</v>
      </c>
      <c r="F111" s="2"/>
      <c r="G111" s="25"/>
    </row>
    <row r="112" spans="1:7" x14ac:dyDescent="0.25">
      <c r="A112" s="18"/>
      <c r="B112" s="7"/>
      <c r="C112" s="7"/>
      <c r="D112" s="8" t="s">
        <v>154</v>
      </c>
      <c r="E112" s="9">
        <v>76413</v>
      </c>
      <c r="F112" s="2"/>
      <c r="G112" s="25"/>
    </row>
    <row r="113" spans="1:7" x14ac:dyDescent="0.25">
      <c r="A113" s="18"/>
      <c r="B113" s="7"/>
      <c r="C113" s="7"/>
      <c r="D113" s="8" t="s">
        <v>155</v>
      </c>
      <c r="E113" s="9">
        <v>41130</v>
      </c>
      <c r="F113" s="2"/>
      <c r="G113" s="25"/>
    </row>
    <row r="114" spans="1:7" x14ac:dyDescent="0.25">
      <c r="A114" s="18"/>
      <c r="B114" s="7"/>
      <c r="C114" s="7"/>
      <c r="D114" s="8" t="s">
        <v>156</v>
      </c>
      <c r="E114" s="9">
        <v>116146</v>
      </c>
      <c r="F114" s="2"/>
      <c r="G114" s="25"/>
    </row>
    <row r="115" spans="1:7" x14ac:dyDescent="0.25">
      <c r="A115" s="18"/>
      <c r="B115" s="7"/>
      <c r="C115" s="7"/>
      <c r="D115" s="8" t="s">
        <v>157</v>
      </c>
      <c r="E115" s="9">
        <v>64093.32</v>
      </c>
      <c r="F115" s="2"/>
      <c r="G115" s="25"/>
    </row>
    <row r="116" spans="1:7" x14ac:dyDescent="0.25">
      <c r="A116" s="18"/>
      <c r="B116" s="7"/>
      <c r="C116" s="7"/>
      <c r="D116" s="8" t="s">
        <v>158</v>
      </c>
      <c r="E116" s="9">
        <v>2503703.4900000002</v>
      </c>
      <c r="F116" s="2"/>
      <c r="G116" s="25"/>
    </row>
    <row r="117" spans="1:7" x14ac:dyDescent="0.25">
      <c r="A117" s="18"/>
      <c r="B117" s="7"/>
      <c r="C117" s="7"/>
      <c r="D117" s="8" t="s">
        <v>159</v>
      </c>
      <c r="E117" s="9">
        <v>108356.2522</v>
      </c>
      <c r="F117" s="2"/>
      <c r="G117" s="25"/>
    </row>
    <row r="118" spans="1:7" x14ac:dyDescent="0.25">
      <c r="A118" s="18"/>
      <c r="B118" s="7"/>
      <c r="C118" s="7"/>
      <c r="D118" s="8" t="s">
        <v>160</v>
      </c>
      <c r="E118" s="9">
        <v>126003.8</v>
      </c>
      <c r="F118" s="2"/>
      <c r="G118" s="25"/>
    </row>
    <row r="119" spans="1:7" ht="15.75" thickBot="1" x14ac:dyDescent="0.3">
      <c r="A119" s="19"/>
      <c r="B119" s="20"/>
      <c r="C119" s="20"/>
      <c r="D119" s="21" t="s">
        <v>161</v>
      </c>
      <c r="E119" s="22">
        <v>808272.67055000004</v>
      </c>
      <c r="F119" s="23"/>
      <c r="G119" s="26"/>
    </row>
    <row r="120" spans="1:7" x14ac:dyDescent="0.25">
      <c r="A120" s="13" t="s">
        <v>162</v>
      </c>
      <c r="B120" s="14" t="s">
        <v>163</v>
      </c>
      <c r="C120" s="15" t="s">
        <v>14</v>
      </c>
      <c r="D120" s="15" t="s">
        <v>164</v>
      </c>
      <c r="E120" s="16">
        <v>29600</v>
      </c>
      <c r="F120" s="17">
        <f>SUM(E120)</f>
        <v>29600</v>
      </c>
      <c r="G120" s="24">
        <f>SUM(F120:F127)</f>
        <v>1214832.92</v>
      </c>
    </row>
    <row r="121" spans="1:7" x14ac:dyDescent="0.25">
      <c r="A121" s="18"/>
      <c r="B121" s="7"/>
      <c r="C121" s="8" t="s">
        <v>78</v>
      </c>
      <c r="D121" s="8" t="s">
        <v>165</v>
      </c>
      <c r="E121" s="9">
        <v>239841.92000000001</v>
      </c>
      <c r="F121" s="4">
        <f>SUM(E121)</f>
        <v>239841.92000000001</v>
      </c>
      <c r="G121" s="25"/>
    </row>
    <row r="122" spans="1:7" x14ac:dyDescent="0.25">
      <c r="A122" s="18"/>
      <c r="B122" s="7"/>
      <c r="C122" s="7" t="s">
        <v>18</v>
      </c>
      <c r="D122" s="8" t="s">
        <v>166</v>
      </c>
      <c r="E122" s="9">
        <v>19136</v>
      </c>
      <c r="F122" s="2">
        <f>SUM(E122:E123)</f>
        <v>206459</v>
      </c>
      <c r="G122" s="25"/>
    </row>
    <row r="123" spans="1:7" x14ac:dyDescent="0.25">
      <c r="A123" s="18"/>
      <c r="B123" s="7"/>
      <c r="C123" s="7"/>
      <c r="D123" s="8" t="s">
        <v>167</v>
      </c>
      <c r="E123" s="9">
        <v>187323</v>
      </c>
      <c r="F123" s="2"/>
      <c r="G123" s="25"/>
    </row>
    <row r="124" spans="1:7" x14ac:dyDescent="0.25">
      <c r="A124" s="18"/>
      <c r="B124" s="7"/>
      <c r="C124" s="8" t="s">
        <v>22</v>
      </c>
      <c r="D124" s="8" t="s">
        <v>168</v>
      </c>
      <c r="E124" s="9">
        <v>13260</v>
      </c>
      <c r="F124" s="4">
        <f>SUM(E124)</f>
        <v>13260</v>
      </c>
      <c r="G124" s="25"/>
    </row>
    <row r="125" spans="1:7" x14ac:dyDescent="0.25">
      <c r="A125" s="18"/>
      <c r="B125" s="7"/>
      <c r="C125" s="7" t="s">
        <v>110</v>
      </c>
      <c r="D125" s="8" t="s">
        <v>169</v>
      </c>
      <c r="E125" s="9">
        <v>316614</v>
      </c>
      <c r="F125" s="2">
        <f>SUM(E125:E127)</f>
        <v>725672</v>
      </c>
      <c r="G125" s="25"/>
    </row>
    <row r="126" spans="1:7" x14ac:dyDescent="0.25">
      <c r="A126" s="18"/>
      <c r="B126" s="7"/>
      <c r="C126" s="7"/>
      <c r="D126" s="8" t="s">
        <v>170</v>
      </c>
      <c r="E126" s="9">
        <v>151458</v>
      </c>
      <c r="F126" s="2"/>
      <c r="G126" s="25"/>
    </row>
    <row r="127" spans="1:7" x14ac:dyDescent="0.25">
      <c r="A127" s="18"/>
      <c r="B127" s="32"/>
      <c r="C127" s="32"/>
      <c r="D127" s="29" t="s">
        <v>171</v>
      </c>
      <c r="E127" s="30">
        <v>257600</v>
      </c>
      <c r="F127" s="34"/>
      <c r="G127" s="28"/>
    </row>
    <row r="128" spans="1:7" x14ac:dyDescent="0.25">
      <c r="A128" s="18"/>
      <c r="B128" s="10" t="s">
        <v>7</v>
      </c>
      <c r="C128" s="11" t="s">
        <v>67</v>
      </c>
      <c r="D128" s="11" t="s">
        <v>68</v>
      </c>
      <c r="E128" s="12">
        <v>120000</v>
      </c>
      <c r="F128" s="6">
        <f>SUM(E128)</f>
        <v>120000</v>
      </c>
      <c r="G128" s="27">
        <f>SUM(F128:F130)</f>
        <v>263753.25</v>
      </c>
    </row>
    <row r="129" spans="1:7" x14ac:dyDescent="0.25">
      <c r="A129" s="18"/>
      <c r="B129" s="7"/>
      <c r="C129" s="8" t="s">
        <v>92</v>
      </c>
      <c r="D129" s="8" t="s">
        <v>93</v>
      </c>
      <c r="E129" s="9">
        <v>128553.25</v>
      </c>
      <c r="F129" s="4">
        <f t="shared" ref="F129:F130" si="5">SUM(E129)</f>
        <v>128553.25</v>
      </c>
      <c r="G129" s="25"/>
    </row>
    <row r="130" spans="1:7" x14ac:dyDescent="0.25">
      <c r="A130" s="18"/>
      <c r="B130" s="32"/>
      <c r="C130" s="29" t="s">
        <v>94</v>
      </c>
      <c r="D130" s="29" t="s">
        <v>95</v>
      </c>
      <c r="E130" s="30">
        <v>15200</v>
      </c>
      <c r="F130" s="31">
        <f t="shared" si="5"/>
        <v>15200</v>
      </c>
      <c r="G130" s="28"/>
    </row>
    <row r="131" spans="1:7" x14ac:dyDescent="0.25">
      <c r="A131" s="18"/>
      <c r="B131" s="10" t="s">
        <v>30</v>
      </c>
      <c r="C131" s="10" t="s">
        <v>35</v>
      </c>
      <c r="D131" s="11" t="s">
        <v>172</v>
      </c>
      <c r="E131" s="12">
        <v>1400</v>
      </c>
      <c r="F131" s="33">
        <f>SUM(E131:E133)</f>
        <v>65760</v>
      </c>
      <c r="G131" s="27">
        <f>SUM(F131:F138)</f>
        <v>155357</v>
      </c>
    </row>
    <row r="132" spans="1:7" x14ac:dyDescent="0.25">
      <c r="A132" s="18"/>
      <c r="B132" s="7"/>
      <c r="C132" s="7"/>
      <c r="D132" s="8" t="s">
        <v>173</v>
      </c>
      <c r="E132" s="9">
        <v>5910</v>
      </c>
      <c r="F132" s="2"/>
      <c r="G132" s="25"/>
    </row>
    <row r="133" spans="1:7" x14ac:dyDescent="0.25">
      <c r="A133" s="18"/>
      <c r="B133" s="7"/>
      <c r="C133" s="7"/>
      <c r="D133" s="8" t="s">
        <v>174</v>
      </c>
      <c r="E133" s="9">
        <v>58450</v>
      </c>
      <c r="F133" s="2"/>
      <c r="G133" s="25"/>
    </row>
    <row r="134" spans="1:7" x14ac:dyDescent="0.25">
      <c r="A134" s="18"/>
      <c r="B134" s="7"/>
      <c r="C134" s="8" t="s">
        <v>175</v>
      </c>
      <c r="D134" s="8" t="s">
        <v>176</v>
      </c>
      <c r="E134" s="9">
        <v>15800</v>
      </c>
      <c r="F134" s="4">
        <f>SUM(E134)</f>
        <v>15800</v>
      </c>
      <c r="G134" s="25"/>
    </row>
    <row r="135" spans="1:7" x14ac:dyDescent="0.25">
      <c r="A135" s="18"/>
      <c r="B135" s="7"/>
      <c r="C135" s="8" t="s">
        <v>177</v>
      </c>
      <c r="D135" s="8" t="s">
        <v>178</v>
      </c>
      <c r="E135" s="9">
        <v>3750</v>
      </c>
      <c r="F135" s="4">
        <f>SUM(E135)</f>
        <v>3750</v>
      </c>
      <c r="G135" s="25"/>
    </row>
    <row r="136" spans="1:7" ht="22.5" x14ac:dyDescent="0.25">
      <c r="A136" s="18"/>
      <c r="B136" s="7"/>
      <c r="C136" s="8" t="s">
        <v>179</v>
      </c>
      <c r="D136" s="8" t="s">
        <v>180</v>
      </c>
      <c r="E136" s="9">
        <v>4500</v>
      </c>
      <c r="F136" s="4">
        <f t="shared" ref="F136:F141" si="6">SUM(E136)</f>
        <v>4500</v>
      </c>
      <c r="G136" s="25"/>
    </row>
    <row r="137" spans="1:7" x14ac:dyDescent="0.25">
      <c r="A137" s="18"/>
      <c r="B137" s="7"/>
      <c r="C137" s="7" t="s">
        <v>124</v>
      </c>
      <c r="D137" s="8" t="s">
        <v>127</v>
      </c>
      <c r="E137" s="9">
        <v>58660</v>
      </c>
      <c r="F137" s="4">
        <f t="shared" si="6"/>
        <v>58660</v>
      </c>
      <c r="G137" s="25"/>
    </row>
    <row r="138" spans="1:7" x14ac:dyDescent="0.25">
      <c r="A138" s="18"/>
      <c r="B138" s="32"/>
      <c r="C138" s="32"/>
      <c r="D138" s="29" t="s">
        <v>181</v>
      </c>
      <c r="E138" s="30">
        <v>6887</v>
      </c>
      <c r="F138" s="31">
        <f t="shared" si="6"/>
        <v>6887</v>
      </c>
      <c r="G138" s="28"/>
    </row>
    <row r="139" spans="1:7" ht="22.5" x14ac:dyDescent="0.25">
      <c r="A139" s="18"/>
      <c r="B139" s="36" t="s">
        <v>128</v>
      </c>
      <c r="C139" s="36" t="s">
        <v>135</v>
      </c>
      <c r="D139" s="36" t="s">
        <v>136</v>
      </c>
      <c r="E139" s="37">
        <v>4200</v>
      </c>
      <c r="F139" s="38">
        <f t="shared" si="6"/>
        <v>4200</v>
      </c>
      <c r="G139" s="39">
        <f>SUM(F139)</f>
        <v>4200</v>
      </c>
    </row>
    <row r="140" spans="1:7" x14ac:dyDescent="0.25">
      <c r="A140" s="18"/>
      <c r="B140" s="10" t="s">
        <v>39</v>
      </c>
      <c r="C140" s="11" t="s">
        <v>182</v>
      </c>
      <c r="D140" s="11" t="s">
        <v>183</v>
      </c>
      <c r="E140" s="12">
        <v>16260</v>
      </c>
      <c r="F140" s="6">
        <f t="shared" si="6"/>
        <v>16260</v>
      </c>
      <c r="G140" s="27">
        <f>SUM(F140:F152)</f>
        <v>711902.36499999999</v>
      </c>
    </row>
    <row r="141" spans="1:7" x14ac:dyDescent="0.25">
      <c r="A141" s="18"/>
      <c r="B141" s="7"/>
      <c r="C141" s="8" t="s">
        <v>139</v>
      </c>
      <c r="D141" s="8" t="s">
        <v>140</v>
      </c>
      <c r="E141" s="9">
        <v>78373.2</v>
      </c>
      <c r="F141" s="4">
        <f t="shared" si="6"/>
        <v>78373.2</v>
      </c>
      <c r="G141" s="25"/>
    </row>
    <row r="142" spans="1:7" x14ac:dyDescent="0.25">
      <c r="A142" s="18"/>
      <c r="B142" s="7"/>
      <c r="C142" s="7" t="s">
        <v>40</v>
      </c>
      <c r="D142" s="8" t="s">
        <v>145</v>
      </c>
      <c r="E142" s="9">
        <v>23789</v>
      </c>
      <c r="F142" s="2">
        <f>SUM(E142:E152)</f>
        <v>617269.16500000004</v>
      </c>
      <c r="G142" s="25"/>
    </row>
    <row r="143" spans="1:7" x14ac:dyDescent="0.25">
      <c r="A143" s="18"/>
      <c r="B143" s="7"/>
      <c r="C143" s="7"/>
      <c r="D143" s="8" t="s">
        <v>146</v>
      </c>
      <c r="E143" s="9">
        <v>2065</v>
      </c>
      <c r="F143" s="2"/>
      <c r="G143" s="25"/>
    </row>
    <row r="144" spans="1:7" x14ac:dyDescent="0.25">
      <c r="A144" s="18"/>
      <c r="B144" s="7"/>
      <c r="C144" s="7"/>
      <c r="D144" s="8" t="s">
        <v>147</v>
      </c>
      <c r="E144" s="9">
        <v>2778</v>
      </c>
      <c r="F144" s="2"/>
      <c r="G144" s="25"/>
    </row>
    <row r="145" spans="1:7" x14ac:dyDescent="0.25">
      <c r="A145" s="18"/>
      <c r="B145" s="7"/>
      <c r="C145" s="7"/>
      <c r="D145" s="8" t="s">
        <v>148</v>
      </c>
      <c r="E145" s="9">
        <v>16375</v>
      </c>
      <c r="F145" s="2"/>
      <c r="G145" s="25"/>
    </row>
    <row r="146" spans="1:7" x14ac:dyDescent="0.25">
      <c r="A146" s="18"/>
      <c r="B146" s="7"/>
      <c r="C146" s="7"/>
      <c r="D146" s="8" t="s">
        <v>149</v>
      </c>
      <c r="E146" s="9">
        <v>20508</v>
      </c>
      <c r="F146" s="2"/>
      <c r="G146" s="25"/>
    </row>
    <row r="147" spans="1:7" x14ac:dyDescent="0.25">
      <c r="A147" s="18"/>
      <c r="B147" s="7"/>
      <c r="C147" s="7"/>
      <c r="D147" s="8" t="s">
        <v>150</v>
      </c>
      <c r="E147" s="9">
        <v>227808</v>
      </c>
      <c r="F147" s="2"/>
      <c r="G147" s="25"/>
    </row>
    <row r="148" spans="1:7" x14ac:dyDescent="0.25">
      <c r="A148" s="18"/>
      <c r="B148" s="7"/>
      <c r="C148" s="7"/>
      <c r="D148" s="8" t="s">
        <v>151</v>
      </c>
      <c r="E148" s="9">
        <v>81772.800000000003</v>
      </c>
      <c r="F148" s="2"/>
      <c r="G148" s="25"/>
    </row>
    <row r="149" spans="1:7" x14ac:dyDescent="0.25">
      <c r="A149" s="18"/>
      <c r="B149" s="7"/>
      <c r="C149" s="7"/>
      <c r="D149" s="8" t="s">
        <v>158</v>
      </c>
      <c r="E149" s="9">
        <v>71862.509999999995</v>
      </c>
      <c r="F149" s="2"/>
      <c r="G149" s="25"/>
    </row>
    <row r="150" spans="1:7" x14ac:dyDescent="0.25">
      <c r="A150" s="18"/>
      <c r="B150" s="7"/>
      <c r="C150" s="7"/>
      <c r="D150" s="8" t="s">
        <v>159</v>
      </c>
      <c r="E150" s="9">
        <v>1666.5</v>
      </c>
      <c r="F150" s="2"/>
      <c r="G150" s="25"/>
    </row>
    <row r="151" spans="1:7" x14ac:dyDescent="0.25">
      <c r="A151" s="18"/>
      <c r="B151" s="7"/>
      <c r="C151" s="7"/>
      <c r="D151" s="8" t="s">
        <v>161</v>
      </c>
      <c r="E151" s="9">
        <v>9957.4249999999993</v>
      </c>
      <c r="F151" s="2"/>
      <c r="G151" s="25"/>
    </row>
    <row r="152" spans="1:7" ht="15.75" thickBot="1" x14ac:dyDescent="0.3">
      <c r="A152" s="19"/>
      <c r="B152" s="20"/>
      <c r="C152" s="20"/>
      <c r="D152" s="21" t="s">
        <v>184</v>
      </c>
      <c r="E152" s="22">
        <v>158686.93</v>
      </c>
      <c r="F152" s="23"/>
      <c r="G152" s="26"/>
    </row>
    <row r="153" spans="1:7" x14ac:dyDescent="0.25">
      <c r="A153" s="1" t="s">
        <v>0</v>
      </c>
    </row>
  </sheetData>
  <mergeCells count="66">
    <mergeCell ref="G131:G138"/>
    <mergeCell ref="G140:G152"/>
    <mergeCell ref="G82:G91"/>
    <mergeCell ref="G92:G98"/>
    <mergeCell ref="G99:G119"/>
    <mergeCell ref="G120:G127"/>
    <mergeCell ref="G128:G130"/>
    <mergeCell ref="G3:G15"/>
    <mergeCell ref="G16:G19"/>
    <mergeCell ref="G20:G43"/>
    <mergeCell ref="G44:G80"/>
    <mergeCell ref="F101:F119"/>
    <mergeCell ref="F122:F123"/>
    <mergeCell ref="F125:F127"/>
    <mergeCell ref="F131:F133"/>
    <mergeCell ref="F142:F152"/>
    <mergeCell ref="F78:F80"/>
    <mergeCell ref="F83:F86"/>
    <mergeCell ref="F87:F88"/>
    <mergeCell ref="F89:F91"/>
    <mergeCell ref="F96:F97"/>
    <mergeCell ref="F51:F52"/>
    <mergeCell ref="F53:F62"/>
    <mergeCell ref="F63:F64"/>
    <mergeCell ref="F70:F73"/>
    <mergeCell ref="F74:F75"/>
    <mergeCell ref="F8:F10"/>
    <mergeCell ref="F11:F12"/>
    <mergeCell ref="F13:F14"/>
    <mergeCell ref="F20:F43"/>
    <mergeCell ref="F46:F48"/>
    <mergeCell ref="C101:C119"/>
    <mergeCell ref="A120:A152"/>
    <mergeCell ref="B120:B127"/>
    <mergeCell ref="C122:C123"/>
    <mergeCell ref="C125:C127"/>
    <mergeCell ref="B128:B130"/>
    <mergeCell ref="B131:B138"/>
    <mergeCell ref="C131:C133"/>
    <mergeCell ref="C137:C138"/>
    <mergeCell ref="B140:B152"/>
    <mergeCell ref="C142:C152"/>
    <mergeCell ref="A44:A119"/>
    <mergeCell ref="B44:B80"/>
    <mergeCell ref="C46:C48"/>
    <mergeCell ref="C51:C52"/>
    <mergeCell ref="C53:C62"/>
    <mergeCell ref="C63:C64"/>
    <mergeCell ref="C70:C73"/>
    <mergeCell ref="C74:C75"/>
    <mergeCell ref="C78:C80"/>
    <mergeCell ref="B82:B91"/>
    <mergeCell ref="C83:C86"/>
    <mergeCell ref="C87:C88"/>
    <mergeCell ref="C89:C91"/>
    <mergeCell ref="B92:B98"/>
    <mergeCell ref="C96:C97"/>
    <mergeCell ref="B99:B119"/>
    <mergeCell ref="A3:A43"/>
    <mergeCell ref="B3:B15"/>
    <mergeCell ref="C8:C10"/>
    <mergeCell ref="C11:C12"/>
    <mergeCell ref="C13:C14"/>
    <mergeCell ref="B16:B19"/>
    <mergeCell ref="B20:B43"/>
    <mergeCell ref="C20:C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2019-04-11T06:38:01Z</dcterms:created>
  <dcterms:modified xsi:type="dcterms:W3CDTF">2019-04-11T08:20:23Z</dcterms:modified>
</cp:coreProperties>
</file>