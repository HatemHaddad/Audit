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ple\OneDrive\Desktop\"/>
    </mc:Choice>
  </mc:AlternateContent>
  <bookViews>
    <workbookView xWindow="0" yWindow="0" windowWidth="23040" windowHeight="9372" activeTab="8"/>
  </bookViews>
  <sheets>
    <sheet name="UM SHAIF" sheetId="5" r:id="rId1"/>
    <sheet name="RUWAIS" sheetId="4" r:id="rId2"/>
    <sheet name="BU 'HASA" sheetId="6" r:id="rId3"/>
    <sheet name="ZARUKH" sheetId="9" r:id="rId4"/>
    <sheet name="ARZANAH" sheetId="7" r:id="rId5"/>
    <sheet name="S DOM" sheetId="11" r:id="rId6"/>
    <sheet name="UM LULU" sheetId="12" r:id="rId7"/>
    <sheet name="ADNOC" sheetId="13" r:id="rId8"/>
    <sheet name="TOTAL" sheetId="2" r:id="rId9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2" l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AI5" i="7"/>
  <c r="AI6" i="7"/>
  <c r="AI7" i="7"/>
  <c r="AI8" i="7"/>
  <c r="AI9" i="7"/>
  <c r="AI10" i="7"/>
  <c r="AI11" i="7"/>
  <c r="AI12" i="7"/>
  <c r="AI13" i="7"/>
  <c r="AI14" i="7"/>
  <c r="AI15" i="7"/>
  <c r="AI16" i="7"/>
  <c r="AI17" i="7"/>
  <c r="AI18" i="7"/>
  <c r="AI19" i="7"/>
  <c r="AI20" i="7"/>
  <c r="AI21" i="7"/>
  <c r="AI22" i="7"/>
  <c r="AI23" i="7"/>
  <c r="AI24" i="7"/>
  <c r="AI25" i="7"/>
  <c r="AI26" i="7"/>
  <c r="AI4" i="7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4" i="4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4" i="6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4" i="9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4" i="11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4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4" i="12"/>
  <c r="AG5" i="7"/>
  <c r="AG6" i="7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7" i="7"/>
  <c r="AG4" i="7"/>
  <c r="K5" i="2"/>
</calcChain>
</file>

<file path=xl/sharedStrings.xml><?xml version="1.0" encoding="utf-8"?>
<sst xmlns="http://schemas.openxmlformats.org/spreadsheetml/2006/main" count="265" uniqueCount="69">
  <si>
    <t>Product Description</t>
  </si>
  <si>
    <t>Contents list</t>
  </si>
  <si>
    <t>Disposable gloves,  LARGE</t>
  </si>
  <si>
    <t xml:space="preserve">Laerdal pocket mask </t>
  </si>
  <si>
    <t>Adhesive plasters, water resistant, low</t>
  </si>
  <si>
    <t>Medium sterile dressing   12*12</t>
  </si>
  <si>
    <t>Large sterile dressing     18*18</t>
  </si>
  <si>
    <t>Finger sterile dressing</t>
  </si>
  <si>
    <t>Triangular bandage</t>
  </si>
  <si>
    <t>Conforming  bandage</t>
  </si>
  <si>
    <t>Alcohol free moist cleansing wipes</t>
  </si>
  <si>
    <t>Safety pins</t>
  </si>
  <si>
    <t xml:space="preserve">Adhesive tape, </t>
  </si>
  <si>
    <t>First Aid scissors — Tough  cut</t>
  </si>
  <si>
    <t>Crape bandage 50mm</t>
  </si>
  <si>
    <t>Crape bandage 100mm</t>
  </si>
  <si>
    <t>Medical Waste disposal bag</t>
  </si>
  <si>
    <t>Skin disinfectant spray</t>
  </si>
  <si>
    <t>Disposable gloves,  SMALL</t>
  </si>
  <si>
    <t>Disposable gloves,  MEDIUM</t>
  </si>
  <si>
    <t>TOTAL</t>
  </si>
  <si>
    <t>3 RECEPTN</t>
  </si>
  <si>
    <t>RECEPTN</t>
  </si>
  <si>
    <t>RCPTN</t>
  </si>
  <si>
    <t>3-RUWAIS</t>
  </si>
  <si>
    <t>SATA GYM</t>
  </si>
  <si>
    <t>S DOM</t>
  </si>
  <si>
    <t xml:space="preserve">4  Umm shaif </t>
  </si>
  <si>
    <t>2 Bu'Hasa</t>
  </si>
  <si>
    <t>1 Zarukh</t>
  </si>
  <si>
    <t>Burns sterile dressing (preferably water gel)</t>
  </si>
  <si>
    <t>Pocket First Aid Guide</t>
  </si>
  <si>
    <t>Eye Pad sterile dressing</t>
  </si>
  <si>
    <t xml:space="preserve">Burns sterile dressing </t>
  </si>
  <si>
    <t xml:space="preserve">Adhesive plasters, </t>
  </si>
  <si>
    <t>Adhesive plasters,</t>
  </si>
  <si>
    <t xml:space="preserve">FIRST AID BOX </t>
  </si>
  <si>
    <t xml:space="preserve">3 RUWAIS BUILDING </t>
  </si>
  <si>
    <t>Burns sterile dressing (</t>
  </si>
  <si>
    <t xml:space="preserve">1ST ZARUKH </t>
  </si>
  <si>
    <t xml:space="preserve">STUDENTS DOM &amp; STUDENTS CENTER </t>
  </si>
  <si>
    <t>8013A</t>
  </si>
  <si>
    <t>Alcohol free moist cleansing</t>
  </si>
  <si>
    <t>8018C</t>
  </si>
  <si>
    <t>ARZANA</t>
  </si>
  <si>
    <t>8232B</t>
  </si>
  <si>
    <t>INSPECTION DATE</t>
  </si>
  <si>
    <t>UM LULU</t>
  </si>
  <si>
    <t>TOWER 1</t>
  </si>
  <si>
    <t>TOWER 2</t>
  </si>
  <si>
    <t>TOWER 3</t>
  </si>
  <si>
    <t>ADNOC</t>
  </si>
  <si>
    <t>BLOCK A</t>
  </si>
  <si>
    <t>BLOCK B</t>
  </si>
  <si>
    <t>BLOCK C</t>
  </si>
  <si>
    <t>BLOCK D</t>
  </si>
  <si>
    <t>8 ARZANAH</t>
  </si>
  <si>
    <t>3134B</t>
  </si>
  <si>
    <t>3225A</t>
  </si>
  <si>
    <t xml:space="preserve">4  UMM SHAIF </t>
  </si>
  <si>
    <t>1ST RECEPTION</t>
  </si>
  <si>
    <t>3034A</t>
  </si>
  <si>
    <t>TOWER 2 GYM</t>
  </si>
  <si>
    <t xml:space="preserve">2 BU 'HASA  </t>
  </si>
  <si>
    <t>PER BOX</t>
  </si>
  <si>
    <t>FOR 50 BOX</t>
  </si>
  <si>
    <t>FIRst Aid Box</t>
  </si>
  <si>
    <t>TOTAL CONSPTN SAN CAMPUS 17-02-2022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</si>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</sst>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Sitka Heading"/>
    </font>
    <font>
      <sz val="12"/>
      <color theme="1"/>
      <name val="Sitka Heading"/>
    </font>
    <font>
      <sz val="11"/>
      <color theme="1"/>
      <name val="HoloLens MDL2 Assets"/>
      <family val="1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4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1" applyNumberFormat="1" applyFont="1" applyFill="1" applyBorder="1"/>
    <xf numFmtId="0" fontId="4" fillId="2" borderId="1" xfId="0" applyNumberFormat="1" applyFont="1" applyFill="1" applyBorder="1"/>
    <xf numFmtId="0" fontId="4" fillId="2" borderId="1" xfId="0" quotePrefix="1" applyNumberFormat="1" applyFont="1" applyFill="1" applyBorder="1"/>
    <xf numFmtId="0" fontId="0" fillId="3" borderId="1" xfId="0" applyFill="1" applyBorder="1" applyAlignment="1">
      <alignment horizontal="center"/>
    </xf>
    <xf numFmtId="0" fontId="3" fillId="3" borderId="1" xfId="1" applyNumberFormat="1" applyFont="1" applyFill="1" applyBorder="1"/>
    <xf numFmtId="0" fontId="5" fillId="2" borderId="1" xfId="0" applyFont="1" applyFill="1" applyBorder="1"/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0" xfId="0" applyFont="1"/>
    <xf numFmtId="0" fontId="1" fillId="5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9" fillId="4" borderId="1" xfId="1" applyNumberFormat="1" applyFont="1" applyFill="1" applyBorder="1" applyAlignment="1">
      <alignment horizontal="center" vertical="center"/>
    </xf>
    <xf numFmtId="0" fontId="9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4" borderId="1" xfId="0" quotePrefix="1" applyNumberFormat="1" applyFont="1" applyFill="1" applyBorder="1" applyAlignment="1">
      <alignment horizontal="center" vertical="center"/>
    </xf>
    <xf numFmtId="0" fontId="8" fillId="4" borderId="1" xfId="1" applyNumberFormat="1" applyFont="1" applyFill="1" applyBorder="1" applyAlignment="1">
      <alignment horizontal="center" vertical="center"/>
    </xf>
    <xf numFmtId="15" fontId="0" fillId="4" borderId="1" xfId="0" applyNumberFormat="1" applyFill="1" applyBorder="1" applyAlignment="1">
      <alignment horizontal="center" vertical="center"/>
    </xf>
    <xf numFmtId="15" fontId="0" fillId="0" borderId="1" xfId="0" applyNumberForma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3" fillId="4" borderId="1" xfId="1" applyNumberFormat="1" applyFont="1" applyFill="1" applyBorder="1"/>
    <xf numFmtId="0" fontId="4" fillId="4" borderId="1" xfId="1" applyNumberFormat="1" applyFont="1" applyFill="1" applyBorder="1"/>
    <xf numFmtId="0" fontId="4" fillId="4" borderId="1" xfId="0" applyNumberFormat="1" applyFont="1" applyFill="1" applyBorder="1"/>
    <xf numFmtId="0" fontId="4" fillId="4" borderId="1" xfId="0" applyNumberFormat="1" applyFont="1" applyFill="1" applyBorder="1" applyAlignment="1">
      <alignment wrapText="1"/>
    </xf>
    <xf numFmtId="0" fontId="5" fillId="4" borderId="1" xfId="0" applyFont="1" applyFill="1" applyBorder="1"/>
    <xf numFmtId="0" fontId="4" fillId="4" borderId="1" xfId="0" quotePrefix="1" applyNumberFormat="1" applyFont="1" applyFill="1" applyBorder="1"/>
    <xf numFmtId="0" fontId="0" fillId="4" borderId="1" xfId="0" applyFill="1" applyBorder="1"/>
    <xf numFmtId="0" fontId="0" fillId="4" borderId="0" xfId="0" applyFill="1"/>
    <xf numFmtId="0" fontId="0" fillId="4" borderId="0" xfId="0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15" fontId="1" fillId="4" borderId="1" xfId="0" applyNumberFormat="1" applyFont="1" applyFill="1" applyBorder="1" applyAlignment="1">
      <alignment horizontal="center"/>
    </xf>
    <xf numFmtId="15" fontId="11" fillId="4" borderId="1" xfId="0" applyNumberFormat="1" applyFont="1" applyFill="1" applyBorder="1" applyAlignment="1">
      <alignment horizontal="center"/>
    </xf>
    <xf numFmtId="15" fontId="0" fillId="4" borderId="1" xfId="0" applyNumberForma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15" fontId="12" fillId="4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4" fillId="2" borderId="1" xfId="0" applyNumberFormat="1" applyFont="1" applyFill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/>
    </xf>
    <xf numFmtId="0" fontId="4" fillId="4" borderId="4" xfId="0" applyNumberFormat="1" applyFont="1" applyFill="1" applyBorder="1" applyAlignment="1">
      <alignment horizontal="center"/>
    </xf>
    <xf numFmtId="0" fontId="4" fillId="4" borderId="5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35719</xdr:colOff>
      <xdr:row>0</xdr:row>
      <xdr:rowOff>0</xdr:rowOff>
    </xdr:from>
    <xdr:to>
      <xdr:col>6</xdr:col>
      <xdr:colOff>428177</xdr:colOff>
      <xdr:row>1</xdr:row>
      <xdr:rowOff>162560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5719" y="0"/>
          <a:ext cx="2940396" cy="353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371275</xdr:colOff>
      <xdr:row>0</xdr:row>
      <xdr:rowOff>119591</xdr:rowOff>
    </xdr:from>
    <xdr:to>
      <xdr:col>10</xdr:col>
      <xdr:colOff>460708</xdr:colOff>
      <xdr:row>2</xdr:row>
      <xdr:rowOff>91651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9393" y="119591"/>
          <a:ext cx="3020891" cy="330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zoomScale="80" zoomScaleNormal="80" workbookViewId="0">
      <selection activeCell="C4" sqref="C4"/>
    </sheetView>
  </sheetViews>
  <sheetFormatPr defaultRowHeight="14.4" x14ac:dyDescent="0.3"/>
  <cols>
    <col min="1" max="1" width="8.88671875" customWidth="1"/>
    <col min="2" max="2" width="48.33203125" customWidth="1"/>
    <col min="3" max="3" width="10.88671875" style="1" customWidth="1"/>
  </cols>
  <sheetData>
    <row r="1" spans="1:3" x14ac:dyDescent="0.3">
      <c r="A1" s="57" t="s">
        <v>59</v>
      </c>
      <c r="B1" s="57"/>
    </row>
    <row r="2" spans="1:3" x14ac:dyDescent="0.3">
      <c r="A2" s="58"/>
      <c r="B2" s="58"/>
    </row>
    <row r="3" spans="1:3" ht="15.6" x14ac:dyDescent="0.3">
      <c r="A3" s="6"/>
      <c r="B3" s="7" t="s">
        <v>0</v>
      </c>
      <c r="C3" s="9" t="s">
        <v>22</v>
      </c>
    </row>
    <row r="4" spans="1:3" ht="19.8" x14ac:dyDescent="0.5">
      <c r="A4" s="2">
        <v>1</v>
      </c>
      <c r="B4" s="3" t="s">
        <v>31</v>
      </c>
      <c r="C4" s="13"/>
    </row>
    <row r="5" spans="1:3" ht="19.8" x14ac:dyDescent="0.5">
      <c r="A5" s="2">
        <v>2</v>
      </c>
      <c r="B5" s="3" t="s">
        <v>1</v>
      </c>
      <c r="C5" s="14"/>
    </row>
    <row r="6" spans="1:3" ht="19.8" x14ac:dyDescent="0.5">
      <c r="A6" s="2">
        <v>3</v>
      </c>
      <c r="B6" s="3" t="s">
        <v>18</v>
      </c>
      <c r="C6" s="13">
        <v>3</v>
      </c>
    </row>
    <row r="7" spans="1:3" ht="19.8" x14ac:dyDescent="0.5">
      <c r="A7" s="2">
        <v>4</v>
      </c>
      <c r="B7" s="3" t="s">
        <v>19</v>
      </c>
      <c r="C7" s="13"/>
    </row>
    <row r="8" spans="1:3" ht="19.8" x14ac:dyDescent="0.5">
      <c r="A8" s="2">
        <v>5</v>
      </c>
      <c r="B8" s="3" t="s">
        <v>2</v>
      </c>
      <c r="C8" s="13">
        <v>1</v>
      </c>
    </row>
    <row r="9" spans="1:3" ht="19.8" x14ac:dyDescent="0.5">
      <c r="A9" s="2">
        <v>6</v>
      </c>
      <c r="B9" s="3" t="s">
        <v>3</v>
      </c>
      <c r="C9" s="13"/>
    </row>
    <row r="10" spans="1:3" ht="19.8" x14ac:dyDescent="0.5">
      <c r="A10" s="2">
        <v>7</v>
      </c>
      <c r="B10" s="4" t="s">
        <v>4</v>
      </c>
      <c r="C10" s="13">
        <v>3</v>
      </c>
    </row>
    <row r="11" spans="1:3" ht="19.8" x14ac:dyDescent="0.5">
      <c r="A11" s="2">
        <v>8</v>
      </c>
      <c r="B11" s="4" t="s">
        <v>5</v>
      </c>
      <c r="C11" s="13">
        <v>1</v>
      </c>
    </row>
    <row r="12" spans="1:3" ht="19.8" x14ac:dyDescent="0.5">
      <c r="A12" s="2">
        <v>9</v>
      </c>
      <c r="B12" s="4" t="s">
        <v>6</v>
      </c>
      <c r="C12" s="13">
        <v>2</v>
      </c>
    </row>
    <row r="13" spans="1:3" ht="19.8" x14ac:dyDescent="0.5">
      <c r="A13" s="2">
        <v>10</v>
      </c>
      <c r="B13" s="4" t="s">
        <v>32</v>
      </c>
      <c r="C13" s="13">
        <v>2</v>
      </c>
    </row>
    <row r="14" spans="1:3" ht="19.8" x14ac:dyDescent="0.5">
      <c r="A14" s="2">
        <v>11</v>
      </c>
      <c r="B14" s="4" t="s">
        <v>7</v>
      </c>
      <c r="C14" s="13">
        <v>3</v>
      </c>
    </row>
    <row r="15" spans="1:3" ht="19.8" x14ac:dyDescent="0.5">
      <c r="A15" s="2">
        <v>12</v>
      </c>
      <c r="B15" s="4" t="s">
        <v>30</v>
      </c>
      <c r="C15" s="13"/>
    </row>
    <row r="16" spans="1:3" ht="19.8" x14ac:dyDescent="0.5">
      <c r="A16" s="2">
        <v>13</v>
      </c>
      <c r="B16" s="4" t="s">
        <v>8</v>
      </c>
      <c r="C16" s="13"/>
    </row>
    <row r="17" spans="1:3" ht="19.8" x14ac:dyDescent="0.5">
      <c r="A17" s="2">
        <v>14</v>
      </c>
      <c r="B17" s="4" t="s">
        <v>9</v>
      </c>
      <c r="C17" s="13"/>
    </row>
    <row r="18" spans="1:3" ht="19.8" x14ac:dyDescent="0.5">
      <c r="A18" s="2">
        <v>15</v>
      </c>
      <c r="B18" s="4" t="s">
        <v>10</v>
      </c>
      <c r="C18" s="13">
        <v>1</v>
      </c>
    </row>
    <row r="19" spans="1:3" ht="19.8" x14ac:dyDescent="0.5">
      <c r="A19" s="2">
        <v>16</v>
      </c>
      <c r="B19" s="8" t="s">
        <v>11</v>
      </c>
      <c r="C19" s="13"/>
    </row>
    <row r="20" spans="1:3" ht="19.8" x14ac:dyDescent="0.5">
      <c r="A20" s="2">
        <v>17</v>
      </c>
      <c r="B20" s="5" t="s">
        <v>12</v>
      </c>
      <c r="C20" s="13">
        <v>1</v>
      </c>
    </row>
    <row r="21" spans="1:3" ht="19.8" x14ac:dyDescent="0.5">
      <c r="A21" s="2">
        <v>19</v>
      </c>
      <c r="B21" s="4" t="s">
        <v>13</v>
      </c>
      <c r="C21" s="13"/>
    </row>
    <row r="22" spans="1:3" ht="19.8" x14ac:dyDescent="0.5">
      <c r="A22" s="2">
        <v>20</v>
      </c>
      <c r="B22" s="4" t="s">
        <v>14</v>
      </c>
      <c r="C22" s="13">
        <v>1</v>
      </c>
    </row>
    <row r="23" spans="1:3" ht="19.8" x14ac:dyDescent="0.5">
      <c r="A23" s="2">
        <v>21</v>
      </c>
      <c r="B23" s="4" t="s">
        <v>15</v>
      </c>
      <c r="C23" s="15"/>
    </row>
    <row r="24" spans="1:3" ht="19.8" x14ac:dyDescent="0.5">
      <c r="A24" s="2">
        <v>22</v>
      </c>
      <c r="B24" s="4" t="s">
        <v>17</v>
      </c>
      <c r="C24" s="9">
        <v>1</v>
      </c>
    </row>
    <row r="25" spans="1:3" ht="19.8" x14ac:dyDescent="0.5">
      <c r="A25" s="2">
        <v>23</v>
      </c>
      <c r="B25" s="4" t="s">
        <v>16</v>
      </c>
      <c r="C25" s="9"/>
    </row>
    <row r="26" spans="1:3" ht="19.8" x14ac:dyDescent="0.5">
      <c r="A26" s="56" t="s">
        <v>46</v>
      </c>
      <c r="B26" s="56"/>
      <c r="C26" s="33">
        <v>44606</v>
      </c>
    </row>
  </sheetData>
  <mergeCells count="2">
    <mergeCell ref="A26:B26"/>
    <mergeCell ref="A1:B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6"/>
  <sheetViews>
    <sheetView topLeftCell="B1" zoomScale="80" zoomScaleNormal="80" workbookViewId="0">
      <selection activeCell="AD4" sqref="AD4:AD25"/>
    </sheetView>
  </sheetViews>
  <sheetFormatPr defaultRowHeight="14.4" x14ac:dyDescent="0.3"/>
  <cols>
    <col min="1" max="1" width="7" customWidth="1"/>
    <col min="2" max="2" width="30.6640625" customWidth="1"/>
    <col min="3" max="3" width="10.88671875" style="1" customWidth="1"/>
    <col min="4" max="10" width="8" style="11" customWidth="1"/>
    <col min="11" max="11" width="8.77734375" style="11" customWidth="1"/>
    <col min="12" max="12" width="7.6640625" style="11" customWidth="1"/>
    <col min="13" max="13" width="7.88671875" style="11" customWidth="1"/>
    <col min="14" max="14" width="7.6640625" style="11" customWidth="1"/>
    <col min="15" max="23" width="8" style="11" customWidth="1"/>
    <col min="24" max="30" width="8" customWidth="1"/>
  </cols>
  <sheetData>
    <row r="1" spans="1:30" x14ac:dyDescent="0.3">
      <c r="A1" s="57" t="s">
        <v>37</v>
      </c>
      <c r="B1" s="57"/>
      <c r="C1" s="47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45"/>
      <c r="Y1" s="45"/>
      <c r="Z1" s="45"/>
      <c r="AA1" s="45"/>
      <c r="AB1" s="45"/>
      <c r="AC1" s="45"/>
      <c r="AD1" s="45"/>
    </row>
    <row r="2" spans="1:30" x14ac:dyDescent="0.3">
      <c r="A2" s="58"/>
      <c r="B2" s="58"/>
      <c r="C2" s="47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45"/>
      <c r="Y2" s="45"/>
      <c r="Z2" s="45"/>
      <c r="AA2" s="45"/>
      <c r="AB2" s="45"/>
      <c r="AC2" s="45"/>
      <c r="AD2" s="45"/>
    </row>
    <row r="3" spans="1:30" ht="15.6" x14ac:dyDescent="0.3">
      <c r="A3" s="10"/>
      <c r="B3" s="38" t="s">
        <v>0</v>
      </c>
      <c r="C3" s="9" t="s">
        <v>21</v>
      </c>
      <c r="D3" s="9">
        <v>3011</v>
      </c>
      <c r="E3" s="9">
        <v>3013</v>
      </c>
      <c r="F3" s="9">
        <v>3014</v>
      </c>
      <c r="G3" s="9">
        <v>3019</v>
      </c>
      <c r="H3" s="9">
        <v>3021</v>
      </c>
      <c r="I3" s="9">
        <v>3024</v>
      </c>
      <c r="J3" s="9">
        <v>3027</v>
      </c>
      <c r="K3" s="9">
        <v>3028</v>
      </c>
      <c r="L3" s="9">
        <v>3029</v>
      </c>
      <c r="M3" s="9">
        <v>3031</v>
      </c>
      <c r="N3" s="9" t="s">
        <v>61</v>
      </c>
      <c r="O3" s="9">
        <v>3123</v>
      </c>
      <c r="P3" s="9">
        <v>3131</v>
      </c>
      <c r="Q3" s="9">
        <v>3132</v>
      </c>
      <c r="R3" s="9">
        <v>3133</v>
      </c>
      <c r="S3" s="9">
        <v>3134</v>
      </c>
      <c r="T3" s="9" t="s">
        <v>57</v>
      </c>
      <c r="U3" s="9">
        <v>3136</v>
      </c>
      <c r="V3" s="9">
        <v>3220</v>
      </c>
      <c r="W3" s="9" t="s">
        <v>58</v>
      </c>
      <c r="X3" s="9">
        <v>3231</v>
      </c>
      <c r="Y3" s="9">
        <v>3233</v>
      </c>
      <c r="Z3" s="9">
        <v>3236</v>
      </c>
      <c r="AA3" s="9">
        <v>3237</v>
      </c>
      <c r="AB3" s="9">
        <v>3240</v>
      </c>
      <c r="AC3" s="9">
        <v>3242</v>
      </c>
      <c r="AD3" s="9" t="s">
        <v>20</v>
      </c>
    </row>
    <row r="4" spans="1:30" ht="19.8" x14ac:dyDescent="0.5">
      <c r="A4" s="10">
        <v>1</v>
      </c>
      <c r="B4" s="39" t="s">
        <v>31</v>
      </c>
      <c r="C4" s="13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9"/>
      <c r="V4" s="10"/>
      <c r="W4" s="9"/>
      <c r="X4" s="9"/>
      <c r="Y4" s="9"/>
      <c r="Z4" s="9"/>
      <c r="AA4" s="9"/>
      <c r="AB4" s="9"/>
      <c r="AC4" s="9"/>
      <c r="AD4" s="9">
        <f>SUM(C4:AC4)</f>
        <v>0</v>
      </c>
    </row>
    <row r="5" spans="1:30" ht="19.8" x14ac:dyDescent="0.5">
      <c r="A5" s="10">
        <v>2</v>
      </c>
      <c r="B5" s="39" t="s">
        <v>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9"/>
      <c r="V5" s="14"/>
      <c r="W5" s="9"/>
      <c r="X5" s="9"/>
      <c r="Y5" s="9"/>
      <c r="Z5" s="9"/>
      <c r="AA5" s="9"/>
      <c r="AB5" s="9"/>
      <c r="AC5" s="9"/>
      <c r="AD5" s="9">
        <f t="shared" ref="AD5:AD25" si="0">SUM(C5:AC5)</f>
        <v>0</v>
      </c>
    </row>
    <row r="6" spans="1:30" ht="19.8" x14ac:dyDescent="0.5">
      <c r="A6" s="10">
        <v>3</v>
      </c>
      <c r="B6" s="39" t="s">
        <v>18</v>
      </c>
      <c r="C6" s="13">
        <v>2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>
        <v>1</v>
      </c>
      <c r="T6" s="10"/>
      <c r="U6" s="9"/>
      <c r="V6" s="10"/>
      <c r="W6" s="9"/>
      <c r="X6" s="9">
        <v>1</v>
      </c>
      <c r="Y6" s="9">
        <v>3</v>
      </c>
      <c r="Z6" s="9"/>
      <c r="AA6" s="9"/>
      <c r="AB6" s="9"/>
      <c r="AC6" s="9"/>
      <c r="AD6" s="9">
        <f t="shared" si="0"/>
        <v>7</v>
      </c>
    </row>
    <row r="7" spans="1:30" ht="19.8" x14ac:dyDescent="0.5">
      <c r="A7" s="10">
        <v>4</v>
      </c>
      <c r="B7" s="39" t="s">
        <v>19</v>
      </c>
      <c r="C7" s="13">
        <v>3</v>
      </c>
      <c r="D7" s="10">
        <v>3</v>
      </c>
      <c r="E7" s="10">
        <v>3</v>
      </c>
      <c r="F7" s="10">
        <v>3</v>
      </c>
      <c r="G7" s="10">
        <v>3</v>
      </c>
      <c r="H7" s="10"/>
      <c r="I7" s="10"/>
      <c r="J7" s="10">
        <v>3</v>
      </c>
      <c r="K7" s="10">
        <v>3</v>
      </c>
      <c r="L7" s="10">
        <v>3</v>
      </c>
      <c r="M7" s="10">
        <v>3</v>
      </c>
      <c r="N7" s="10">
        <v>3</v>
      </c>
      <c r="O7" s="10">
        <v>3</v>
      </c>
      <c r="P7" s="10"/>
      <c r="Q7" s="10">
        <v>3</v>
      </c>
      <c r="R7" s="10"/>
      <c r="S7" s="10">
        <v>2</v>
      </c>
      <c r="T7" s="10"/>
      <c r="U7" s="9">
        <v>1</v>
      </c>
      <c r="V7" s="10">
        <v>3</v>
      </c>
      <c r="W7" s="9">
        <v>3</v>
      </c>
      <c r="X7" s="9">
        <v>3</v>
      </c>
      <c r="Y7" s="9">
        <v>3</v>
      </c>
      <c r="Z7" s="9"/>
      <c r="AA7" s="9">
        <v>3</v>
      </c>
      <c r="AB7" s="9">
        <v>3</v>
      </c>
      <c r="AC7" s="9">
        <v>3</v>
      </c>
      <c r="AD7" s="9">
        <f t="shared" si="0"/>
        <v>60</v>
      </c>
    </row>
    <row r="8" spans="1:30" ht="19.8" x14ac:dyDescent="0.5">
      <c r="A8" s="10">
        <v>5</v>
      </c>
      <c r="B8" s="39" t="s">
        <v>2</v>
      </c>
      <c r="C8" s="13"/>
      <c r="D8" s="10">
        <v>3</v>
      </c>
      <c r="E8" s="10">
        <v>3</v>
      </c>
      <c r="F8" s="10">
        <v>3</v>
      </c>
      <c r="G8" s="10">
        <v>3</v>
      </c>
      <c r="H8" s="10">
        <v>3</v>
      </c>
      <c r="I8" s="10">
        <v>3</v>
      </c>
      <c r="J8" s="10"/>
      <c r="K8" s="10">
        <v>3</v>
      </c>
      <c r="L8" s="10">
        <v>3</v>
      </c>
      <c r="M8" s="10">
        <v>3</v>
      </c>
      <c r="N8" s="10">
        <v>3</v>
      </c>
      <c r="O8" s="10">
        <v>3</v>
      </c>
      <c r="P8" s="10">
        <v>3</v>
      </c>
      <c r="Q8" s="10">
        <v>3</v>
      </c>
      <c r="R8" s="10">
        <v>3</v>
      </c>
      <c r="S8" s="10">
        <v>2</v>
      </c>
      <c r="T8" s="10"/>
      <c r="U8" s="9">
        <v>3</v>
      </c>
      <c r="V8" s="10">
        <v>3</v>
      </c>
      <c r="W8" s="9">
        <v>3</v>
      </c>
      <c r="X8" s="9">
        <v>3</v>
      </c>
      <c r="Y8" s="9"/>
      <c r="Z8" s="9"/>
      <c r="AA8" s="9">
        <v>3</v>
      </c>
      <c r="AB8" s="9">
        <v>3</v>
      </c>
      <c r="AC8" s="9">
        <v>3</v>
      </c>
      <c r="AD8" s="9">
        <f t="shared" si="0"/>
        <v>65</v>
      </c>
    </row>
    <row r="9" spans="1:30" ht="19.8" x14ac:dyDescent="0.5">
      <c r="A9" s="10">
        <v>6</v>
      </c>
      <c r="B9" s="39" t="s">
        <v>3</v>
      </c>
      <c r="C9" s="13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9"/>
      <c r="V9" s="10"/>
      <c r="W9" s="9"/>
      <c r="X9" s="9"/>
      <c r="Y9" s="9"/>
      <c r="Z9" s="9"/>
      <c r="AA9" s="9"/>
      <c r="AB9" s="9"/>
      <c r="AC9" s="9"/>
      <c r="AD9" s="9">
        <f t="shared" si="0"/>
        <v>0</v>
      </c>
    </row>
    <row r="10" spans="1:30" ht="19.8" x14ac:dyDescent="0.5">
      <c r="A10" s="10">
        <v>7</v>
      </c>
      <c r="B10" s="40" t="s">
        <v>34</v>
      </c>
      <c r="C10" s="13">
        <v>5</v>
      </c>
      <c r="D10" s="10">
        <v>1</v>
      </c>
      <c r="E10" s="10">
        <v>6</v>
      </c>
      <c r="F10" s="10"/>
      <c r="G10" s="10">
        <v>3</v>
      </c>
      <c r="H10" s="10">
        <v>1</v>
      </c>
      <c r="I10" s="10"/>
      <c r="J10" s="10">
        <v>4</v>
      </c>
      <c r="K10" s="10">
        <v>1</v>
      </c>
      <c r="L10" s="10">
        <v>1</v>
      </c>
      <c r="M10" s="10">
        <v>2</v>
      </c>
      <c r="N10" s="10">
        <v>2</v>
      </c>
      <c r="O10" s="10">
        <v>1</v>
      </c>
      <c r="P10" s="10">
        <v>1</v>
      </c>
      <c r="Q10" s="10"/>
      <c r="R10" s="10"/>
      <c r="S10" s="10"/>
      <c r="T10" s="10"/>
      <c r="U10" s="9">
        <v>2</v>
      </c>
      <c r="V10" s="10">
        <v>1</v>
      </c>
      <c r="W10" s="9"/>
      <c r="X10" s="9">
        <v>6</v>
      </c>
      <c r="Y10" s="9">
        <v>2</v>
      </c>
      <c r="Z10" s="9"/>
      <c r="AA10" s="9">
        <v>2</v>
      </c>
      <c r="AB10" s="9">
        <v>2</v>
      </c>
      <c r="AC10" s="9">
        <v>4</v>
      </c>
      <c r="AD10" s="9">
        <f t="shared" si="0"/>
        <v>47</v>
      </c>
    </row>
    <row r="11" spans="1:30" ht="19.8" x14ac:dyDescent="0.5">
      <c r="A11" s="10">
        <v>8</v>
      </c>
      <c r="B11" s="40" t="s">
        <v>5</v>
      </c>
      <c r="C11" s="13">
        <v>1</v>
      </c>
      <c r="D11" s="10"/>
      <c r="E11" s="10">
        <v>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9"/>
      <c r="V11" s="10"/>
      <c r="W11" s="9"/>
      <c r="X11" s="9"/>
      <c r="Y11" s="9">
        <v>2</v>
      </c>
      <c r="Z11" s="9"/>
      <c r="AA11" s="9">
        <v>3</v>
      </c>
      <c r="AB11" s="9">
        <v>3</v>
      </c>
      <c r="AC11" s="9"/>
      <c r="AD11" s="9">
        <f t="shared" si="0"/>
        <v>10</v>
      </c>
    </row>
    <row r="12" spans="1:30" ht="19.8" x14ac:dyDescent="0.5">
      <c r="A12" s="10">
        <v>9</v>
      </c>
      <c r="B12" s="40" t="s">
        <v>6</v>
      </c>
      <c r="C12" s="13"/>
      <c r="D12" s="10"/>
      <c r="E12" s="10">
        <v>2</v>
      </c>
      <c r="F12" s="10">
        <v>2</v>
      </c>
      <c r="G12" s="10">
        <v>2</v>
      </c>
      <c r="H12" s="10">
        <v>2</v>
      </c>
      <c r="I12" s="10">
        <v>2</v>
      </c>
      <c r="J12" s="10"/>
      <c r="K12" s="10">
        <v>2</v>
      </c>
      <c r="L12" s="10"/>
      <c r="M12" s="10">
        <v>2</v>
      </c>
      <c r="N12" s="10"/>
      <c r="O12" s="10">
        <v>2</v>
      </c>
      <c r="P12" s="10"/>
      <c r="Q12" s="10">
        <v>2</v>
      </c>
      <c r="R12" s="10"/>
      <c r="S12" s="10">
        <v>2</v>
      </c>
      <c r="T12" s="10"/>
      <c r="U12" s="9">
        <v>2</v>
      </c>
      <c r="V12" s="10">
        <v>2</v>
      </c>
      <c r="W12" s="9">
        <v>2</v>
      </c>
      <c r="X12" s="9">
        <v>2</v>
      </c>
      <c r="Y12" s="9">
        <v>2</v>
      </c>
      <c r="Z12" s="9"/>
      <c r="AA12" s="9">
        <v>2</v>
      </c>
      <c r="AB12" s="9">
        <v>1</v>
      </c>
      <c r="AC12" s="9"/>
      <c r="AD12" s="9">
        <f t="shared" si="0"/>
        <v>33</v>
      </c>
    </row>
    <row r="13" spans="1:30" ht="19.8" x14ac:dyDescent="0.5">
      <c r="A13" s="10">
        <v>10</v>
      </c>
      <c r="B13" s="40" t="s">
        <v>32</v>
      </c>
      <c r="C13" s="13">
        <v>3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9"/>
      <c r="V13" s="10"/>
      <c r="W13" s="9"/>
      <c r="X13" s="9"/>
      <c r="Y13" s="9"/>
      <c r="Z13" s="9"/>
      <c r="AA13" s="9"/>
      <c r="AB13" s="9">
        <v>1</v>
      </c>
      <c r="AC13" s="9"/>
      <c r="AD13" s="9">
        <f t="shared" si="0"/>
        <v>4</v>
      </c>
    </row>
    <row r="14" spans="1:30" ht="19.8" x14ac:dyDescent="0.5">
      <c r="A14" s="10">
        <v>11</v>
      </c>
      <c r="B14" s="40" t="s">
        <v>7</v>
      </c>
      <c r="C14" s="13">
        <v>3</v>
      </c>
      <c r="D14" s="10"/>
      <c r="E14" s="10">
        <v>3</v>
      </c>
      <c r="F14" s="10"/>
      <c r="G14" s="10"/>
      <c r="H14" s="10">
        <v>2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9"/>
      <c r="V14" s="10"/>
      <c r="W14" s="9"/>
      <c r="X14" s="9"/>
      <c r="Y14" s="9">
        <v>2</v>
      </c>
      <c r="Z14" s="9"/>
      <c r="AA14" s="9">
        <v>3</v>
      </c>
      <c r="AB14" s="9">
        <v>3</v>
      </c>
      <c r="AC14" s="9"/>
      <c r="AD14" s="9">
        <f t="shared" si="0"/>
        <v>16</v>
      </c>
    </row>
    <row r="15" spans="1:30" ht="19.8" x14ac:dyDescent="0.5">
      <c r="A15" s="10">
        <v>12</v>
      </c>
      <c r="B15" s="40" t="s">
        <v>33</v>
      </c>
      <c r="C15" s="13"/>
      <c r="D15" s="10"/>
      <c r="E15" s="10">
        <v>2</v>
      </c>
      <c r="F15" s="10"/>
      <c r="G15" s="10"/>
      <c r="H15" s="10"/>
      <c r="I15" s="10"/>
      <c r="J15" s="10">
        <v>1</v>
      </c>
      <c r="K15" s="10"/>
      <c r="L15" s="10"/>
      <c r="M15" s="10"/>
      <c r="N15" s="10"/>
      <c r="O15" s="10">
        <v>1</v>
      </c>
      <c r="P15" s="10"/>
      <c r="Q15" s="10"/>
      <c r="R15" s="10"/>
      <c r="S15" s="10"/>
      <c r="T15" s="10"/>
      <c r="U15" s="9"/>
      <c r="V15" s="10"/>
      <c r="W15" s="9"/>
      <c r="X15" s="9"/>
      <c r="Y15" s="9"/>
      <c r="Z15" s="9"/>
      <c r="AA15" s="9">
        <v>2</v>
      </c>
      <c r="AB15" s="9">
        <v>1</v>
      </c>
      <c r="AC15" s="9"/>
      <c r="AD15" s="9">
        <f t="shared" si="0"/>
        <v>7</v>
      </c>
    </row>
    <row r="16" spans="1:30" ht="19.8" x14ac:dyDescent="0.5">
      <c r="A16" s="10">
        <v>13</v>
      </c>
      <c r="B16" s="40" t="s">
        <v>8</v>
      </c>
      <c r="C16" s="13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9"/>
      <c r="V16" s="10"/>
      <c r="W16" s="9"/>
      <c r="X16" s="9"/>
      <c r="Y16" s="9"/>
      <c r="Z16" s="9"/>
      <c r="AA16" s="9"/>
      <c r="AB16" s="9"/>
      <c r="AC16" s="9"/>
      <c r="AD16" s="9">
        <f t="shared" si="0"/>
        <v>0</v>
      </c>
    </row>
    <row r="17" spans="1:30" ht="19.8" x14ac:dyDescent="0.5">
      <c r="A17" s="10">
        <v>14</v>
      </c>
      <c r="B17" s="40" t="s">
        <v>9</v>
      </c>
      <c r="C17" s="13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"/>
      <c r="V17" s="10"/>
      <c r="W17" s="9"/>
      <c r="X17" s="9"/>
      <c r="Y17" s="9"/>
      <c r="Z17" s="9"/>
      <c r="AA17" s="9"/>
      <c r="AB17" s="9"/>
      <c r="AC17" s="9"/>
      <c r="AD17" s="9">
        <f t="shared" si="0"/>
        <v>0</v>
      </c>
    </row>
    <row r="18" spans="1:30" ht="19.8" x14ac:dyDescent="0.5">
      <c r="A18" s="10">
        <v>15</v>
      </c>
      <c r="B18" s="40" t="s">
        <v>10</v>
      </c>
      <c r="C18" s="13">
        <v>2</v>
      </c>
      <c r="D18" s="10"/>
      <c r="E18" s="10">
        <v>2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9">
        <v>2</v>
      </c>
      <c r="V18" s="10"/>
      <c r="W18" s="9"/>
      <c r="X18" s="9"/>
      <c r="Y18" s="9">
        <v>2</v>
      </c>
      <c r="Z18" s="9"/>
      <c r="AA18" s="9">
        <v>1</v>
      </c>
      <c r="AB18" s="9">
        <v>3</v>
      </c>
      <c r="AC18" s="9"/>
      <c r="AD18" s="9">
        <f t="shared" si="0"/>
        <v>12</v>
      </c>
    </row>
    <row r="19" spans="1:30" ht="19.8" x14ac:dyDescent="0.5">
      <c r="A19" s="10">
        <v>16</v>
      </c>
      <c r="B19" s="42" t="s">
        <v>11</v>
      </c>
      <c r="C19" s="13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/>
      <c r="V19" s="10"/>
      <c r="W19" s="9"/>
      <c r="X19" s="9"/>
      <c r="Y19" s="9"/>
      <c r="Z19" s="9"/>
      <c r="AA19" s="9"/>
      <c r="AB19" s="9"/>
      <c r="AC19" s="9"/>
      <c r="AD19" s="9">
        <f t="shared" si="0"/>
        <v>0</v>
      </c>
    </row>
    <row r="20" spans="1:30" ht="19.8" x14ac:dyDescent="0.5">
      <c r="A20" s="10">
        <v>17</v>
      </c>
      <c r="B20" s="43" t="s">
        <v>12</v>
      </c>
      <c r="C20" s="13">
        <v>1</v>
      </c>
      <c r="D20" s="10"/>
      <c r="E20" s="10">
        <v>1</v>
      </c>
      <c r="F20" s="10"/>
      <c r="G20" s="10"/>
      <c r="H20" s="10"/>
      <c r="I20" s="10"/>
      <c r="J20" s="10">
        <v>1</v>
      </c>
      <c r="K20" s="10"/>
      <c r="L20" s="10"/>
      <c r="M20" s="10"/>
      <c r="N20" s="10"/>
      <c r="O20" s="10">
        <v>1</v>
      </c>
      <c r="P20" s="10"/>
      <c r="Q20" s="10"/>
      <c r="R20" s="10"/>
      <c r="S20" s="10"/>
      <c r="T20" s="10"/>
      <c r="U20" s="9">
        <v>1</v>
      </c>
      <c r="V20" s="10"/>
      <c r="W20" s="9"/>
      <c r="X20" s="9"/>
      <c r="Y20" s="9">
        <v>1</v>
      </c>
      <c r="Z20" s="9"/>
      <c r="AA20" s="9"/>
      <c r="AB20" s="9">
        <v>1</v>
      </c>
      <c r="AC20" s="9"/>
      <c r="AD20" s="9">
        <f t="shared" si="0"/>
        <v>7</v>
      </c>
    </row>
    <row r="21" spans="1:30" ht="19.8" x14ac:dyDescent="0.5">
      <c r="A21" s="10">
        <v>19</v>
      </c>
      <c r="B21" s="40" t="s">
        <v>13</v>
      </c>
      <c r="C21" s="13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/>
      <c r="V21" s="10"/>
      <c r="W21" s="9"/>
      <c r="X21" s="9"/>
      <c r="Y21" s="9"/>
      <c r="Z21" s="9"/>
      <c r="AA21" s="9"/>
      <c r="AB21" s="9"/>
      <c r="AC21" s="9"/>
      <c r="AD21" s="9">
        <f t="shared" si="0"/>
        <v>0</v>
      </c>
    </row>
    <row r="22" spans="1:30" ht="19.8" x14ac:dyDescent="0.5">
      <c r="A22" s="10">
        <v>20</v>
      </c>
      <c r="B22" s="40" t="s">
        <v>14</v>
      </c>
      <c r="C22" s="13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9"/>
      <c r="V22" s="10"/>
      <c r="W22" s="9"/>
      <c r="X22" s="9"/>
      <c r="Y22" s="9"/>
      <c r="Z22" s="9"/>
      <c r="AA22" s="9"/>
      <c r="AB22" s="9">
        <v>1</v>
      </c>
      <c r="AC22" s="9"/>
      <c r="AD22" s="9">
        <f t="shared" si="0"/>
        <v>1</v>
      </c>
    </row>
    <row r="23" spans="1:30" ht="19.8" x14ac:dyDescent="0.5">
      <c r="A23" s="10">
        <v>21</v>
      </c>
      <c r="B23" s="40" t="s">
        <v>15</v>
      </c>
      <c r="C23" s="15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9"/>
      <c r="V23" s="10"/>
      <c r="W23" s="9"/>
      <c r="X23" s="9"/>
      <c r="Y23" s="9"/>
      <c r="Z23" s="9"/>
      <c r="AA23" s="9"/>
      <c r="AB23" s="9"/>
      <c r="AC23" s="9"/>
      <c r="AD23" s="9">
        <f t="shared" si="0"/>
        <v>0</v>
      </c>
    </row>
    <row r="24" spans="1:30" ht="19.8" x14ac:dyDescent="0.5">
      <c r="A24" s="10">
        <v>22</v>
      </c>
      <c r="B24" s="40" t="s">
        <v>17</v>
      </c>
      <c r="C24" s="9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9"/>
      <c r="V24" s="10"/>
      <c r="W24" s="9"/>
      <c r="X24" s="9"/>
      <c r="Y24" s="9"/>
      <c r="Z24" s="9"/>
      <c r="AA24" s="9"/>
      <c r="AB24" s="9"/>
      <c r="AC24" s="9"/>
      <c r="AD24" s="9">
        <f t="shared" si="0"/>
        <v>0</v>
      </c>
    </row>
    <row r="25" spans="1:30" ht="19.8" x14ac:dyDescent="0.5">
      <c r="A25" s="10">
        <v>23</v>
      </c>
      <c r="B25" s="40" t="s">
        <v>16</v>
      </c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9"/>
      <c r="V25" s="10"/>
      <c r="W25" s="9"/>
      <c r="X25" s="9"/>
      <c r="Y25" s="9"/>
      <c r="Z25" s="9"/>
      <c r="AA25" s="9"/>
      <c r="AB25" s="9"/>
      <c r="AC25" s="9"/>
      <c r="AD25" s="9">
        <f t="shared" si="0"/>
        <v>0</v>
      </c>
    </row>
    <row r="26" spans="1:30" ht="19.8" x14ac:dyDescent="0.5">
      <c r="A26" s="59" t="s">
        <v>46</v>
      </c>
      <c r="B26" s="59"/>
      <c r="C26" s="49">
        <v>44606</v>
      </c>
      <c r="D26" s="53">
        <v>44606</v>
      </c>
      <c r="E26" s="53">
        <v>44606</v>
      </c>
      <c r="F26" s="53">
        <v>44606</v>
      </c>
      <c r="G26" s="53">
        <v>44606</v>
      </c>
      <c r="H26" s="53">
        <v>44606</v>
      </c>
      <c r="I26" s="53">
        <v>44606</v>
      </c>
      <c r="J26" s="53">
        <v>44606</v>
      </c>
      <c r="K26" s="53">
        <v>44606</v>
      </c>
      <c r="L26" s="53">
        <v>44606</v>
      </c>
      <c r="M26" s="53">
        <v>44606</v>
      </c>
      <c r="N26" s="53">
        <v>44606</v>
      </c>
      <c r="O26" s="53">
        <v>44606</v>
      </c>
      <c r="P26" s="53">
        <v>44606</v>
      </c>
      <c r="Q26" s="53">
        <v>44606</v>
      </c>
      <c r="R26" s="53">
        <v>44606</v>
      </c>
      <c r="S26" s="53">
        <v>44606</v>
      </c>
      <c r="T26" s="53">
        <v>44606</v>
      </c>
      <c r="U26" s="53">
        <v>44606</v>
      </c>
      <c r="V26" s="53">
        <v>44606</v>
      </c>
      <c r="W26" s="53">
        <v>44606</v>
      </c>
      <c r="X26" s="53">
        <v>44606</v>
      </c>
      <c r="Y26" s="53">
        <v>44606</v>
      </c>
      <c r="Z26" s="53">
        <v>44606</v>
      </c>
      <c r="AA26" s="53">
        <v>44606</v>
      </c>
      <c r="AB26" s="53">
        <v>44606</v>
      </c>
      <c r="AC26" s="53">
        <v>44606</v>
      </c>
      <c r="AD26" s="9"/>
    </row>
  </sheetData>
  <mergeCells count="2">
    <mergeCell ref="A26:B26"/>
    <mergeCell ref="A1:B2"/>
  </mergeCells>
  <pageMargins left="0.19" right="0.17" top="0.75" bottom="0.42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zoomScale="80" zoomScaleNormal="80" workbookViewId="0">
      <selection activeCell="K4" sqref="K4:K25"/>
    </sheetView>
  </sheetViews>
  <sheetFormatPr defaultRowHeight="14.4" x14ac:dyDescent="0.3"/>
  <cols>
    <col min="1" max="1" width="6.5546875" customWidth="1"/>
    <col min="2" max="2" width="35.5546875" customWidth="1"/>
    <col min="3" max="3" width="10.33203125" style="11" customWidth="1"/>
    <col min="4" max="4" width="12.6640625" style="1" customWidth="1"/>
    <col min="5" max="6" width="10.33203125" style="11" customWidth="1"/>
    <col min="7" max="7" width="9.6640625" style="11" customWidth="1"/>
    <col min="8" max="9" width="10" customWidth="1"/>
    <col min="10" max="10" width="10.6640625" customWidth="1"/>
  </cols>
  <sheetData>
    <row r="1" spans="1:11" x14ac:dyDescent="0.3">
      <c r="A1" s="57" t="s">
        <v>63</v>
      </c>
      <c r="B1" s="57"/>
      <c r="C1" s="35"/>
      <c r="D1" s="47"/>
      <c r="E1" s="35"/>
      <c r="F1" s="35"/>
      <c r="G1" s="35"/>
      <c r="H1" s="45"/>
      <c r="I1" s="45"/>
      <c r="J1" s="45"/>
      <c r="K1" s="45"/>
    </row>
    <row r="2" spans="1:11" x14ac:dyDescent="0.3">
      <c r="A2" s="58"/>
      <c r="B2" s="58"/>
      <c r="C2" s="35"/>
      <c r="D2" s="47"/>
      <c r="E2" s="35"/>
      <c r="F2" s="35"/>
      <c r="G2" s="35"/>
      <c r="H2" s="45"/>
      <c r="I2" s="45"/>
      <c r="J2" s="45"/>
      <c r="K2" s="45"/>
    </row>
    <row r="3" spans="1:11" ht="15.6" x14ac:dyDescent="0.3">
      <c r="A3" s="10"/>
      <c r="B3" s="38" t="s">
        <v>0</v>
      </c>
      <c r="C3" s="9" t="s">
        <v>23</v>
      </c>
      <c r="D3" s="9">
        <v>2023</v>
      </c>
      <c r="E3" s="9">
        <v>2025</v>
      </c>
      <c r="F3" s="52">
        <v>2034</v>
      </c>
      <c r="G3" s="52">
        <v>2035</v>
      </c>
      <c r="H3" s="9">
        <v>2133</v>
      </c>
      <c r="I3" s="9">
        <v>2140</v>
      </c>
      <c r="J3" s="9">
        <v>2141</v>
      </c>
      <c r="K3" s="9" t="s">
        <v>20</v>
      </c>
    </row>
    <row r="4" spans="1:11" ht="19.8" x14ac:dyDescent="0.5">
      <c r="A4" s="10">
        <v>1</v>
      </c>
      <c r="B4" s="39" t="s">
        <v>31</v>
      </c>
      <c r="C4" s="10"/>
      <c r="D4" s="13"/>
      <c r="E4" s="10"/>
      <c r="F4" s="10"/>
      <c r="G4" s="9"/>
      <c r="H4" s="9"/>
      <c r="I4" s="9"/>
      <c r="J4" s="9"/>
      <c r="K4" s="9">
        <f>SUM(C4:J4)</f>
        <v>0</v>
      </c>
    </row>
    <row r="5" spans="1:11" ht="19.8" x14ac:dyDescent="0.5">
      <c r="A5" s="10">
        <v>2</v>
      </c>
      <c r="B5" s="39" t="s">
        <v>1</v>
      </c>
      <c r="C5" s="14"/>
      <c r="D5" s="14"/>
      <c r="E5" s="14"/>
      <c r="F5" s="14"/>
      <c r="G5" s="9"/>
      <c r="H5" s="9"/>
      <c r="I5" s="9"/>
      <c r="J5" s="9"/>
      <c r="K5" s="9">
        <f t="shared" ref="K5:K25" si="0">SUM(C5:J5)</f>
        <v>0</v>
      </c>
    </row>
    <row r="6" spans="1:11" ht="19.8" x14ac:dyDescent="0.5">
      <c r="A6" s="10">
        <v>3</v>
      </c>
      <c r="B6" s="39" t="s">
        <v>18</v>
      </c>
      <c r="C6" s="10"/>
      <c r="D6" s="13"/>
      <c r="E6" s="10"/>
      <c r="F6" s="10"/>
      <c r="G6" s="9"/>
      <c r="H6" s="9"/>
      <c r="I6" s="9"/>
      <c r="J6" s="9"/>
      <c r="K6" s="9">
        <f t="shared" si="0"/>
        <v>0</v>
      </c>
    </row>
    <row r="7" spans="1:11" ht="19.8" x14ac:dyDescent="0.5">
      <c r="A7" s="10">
        <v>4</v>
      </c>
      <c r="B7" s="39" t="s">
        <v>19</v>
      </c>
      <c r="C7" s="10"/>
      <c r="D7" s="13"/>
      <c r="E7" s="10"/>
      <c r="F7" s="10"/>
      <c r="G7" s="9"/>
      <c r="H7" s="9"/>
      <c r="I7" s="9"/>
      <c r="J7" s="9"/>
      <c r="K7" s="9">
        <f t="shared" si="0"/>
        <v>0</v>
      </c>
    </row>
    <row r="8" spans="1:11" ht="19.8" x14ac:dyDescent="0.5">
      <c r="A8" s="10">
        <v>5</v>
      </c>
      <c r="B8" s="39" t="s">
        <v>2</v>
      </c>
      <c r="C8" s="10"/>
      <c r="D8" s="13"/>
      <c r="E8" s="10"/>
      <c r="F8" s="10"/>
      <c r="G8" s="9"/>
      <c r="H8" s="9"/>
      <c r="I8" s="9"/>
      <c r="J8" s="9"/>
      <c r="K8" s="9">
        <f t="shared" si="0"/>
        <v>0</v>
      </c>
    </row>
    <row r="9" spans="1:11" ht="19.8" x14ac:dyDescent="0.5">
      <c r="A9" s="10">
        <v>6</v>
      </c>
      <c r="B9" s="39" t="s">
        <v>3</v>
      </c>
      <c r="C9" s="10"/>
      <c r="D9" s="13"/>
      <c r="E9" s="10"/>
      <c r="F9" s="10"/>
      <c r="G9" s="9"/>
      <c r="H9" s="9"/>
      <c r="I9" s="9"/>
      <c r="J9" s="9"/>
      <c r="K9" s="9">
        <f t="shared" si="0"/>
        <v>0</v>
      </c>
    </row>
    <row r="10" spans="1:11" ht="19.8" x14ac:dyDescent="0.5">
      <c r="A10" s="10">
        <v>7</v>
      </c>
      <c r="B10" s="40" t="s">
        <v>4</v>
      </c>
      <c r="C10" s="10">
        <v>6</v>
      </c>
      <c r="D10" s="13"/>
      <c r="E10" s="10"/>
      <c r="F10" s="10"/>
      <c r="G10" s="9"/>
      <c r="H10" s="9"/>
      <c r="I10" s="9"/>
      <c r="J10" s="9"/>
      <c r="K10" s="9">
        <f t="shared" si="0"/>
        <v>6</v>
      </c>
    </row>
    <row r="11" spans="1:11" ht="19.8" x14ac:dyDescent="0.5">
      <c r="A11" s="10">
        <v>8</v>
      </c>
      <c r="B11" s="40" t="s">
        <v>5</v>
      </c>
      <c r="C11" s="10"/>
      <c r="D11" s="13"/>
      <c r="E11" s="10">
        <v>3</v>
      </c>
      <c r="F11" s="10"/>
      <c r="G11" s="9"/>
      <c r="H11" s="9"/>
      <c r="I11" s="9"/>
      <c r="J11" s="9"/>
      <c r="K11" s="9">
        <f t="shared" si="0"/>
        <v>3</v>
      </c>
    </row>
    <row r="12" spans="1:11" ht="19.8" x14ac:dyDescent="0.5">
      <c r="A12" s="10">
        <v>9</v>
      </c>
      <c r="B12" s="40" t="s">
        <v>6</v>
      </c>
      <c r="C12" s="10">
        <v>1</v>
      </c>
      <c r="D12" s="13"/>
      <c r="E12" s="10"/>
      <c r="F12" s="10"/>
      <c r="G12" s="9"/>
      <c r="H12" s="9">
        <v>2</v>
      </c>
      <c r="I12" s="9">
        <v>2</v>
      </c>
      <c r="J12" s="9"/>
      <c r="K12" s="9">
        <f t="shared" si="0"/>
        <v>5</v>
      </c>
    </row>
    <row r="13" spans="1:11" ht="19.8" x14ac:dyDescent="0.5">
      <c r="A13" s="10">
        <v>10</v>
      </c>
      <c r="B13" s="40" t="s">
        <v>32</v>
      </c>
      <c r="C13" s="10"/>
      <c r="D13" s="13"/>
      <c r="E13" s="10"/>
      <c r="F13" s="10"/>
      <c r="G13" s="9"/>
      <c r="H13" s="9"/>
      <c r="I13" s="9"/>
      <c r="J13" s="9"/>
      <c r="K13" s="9">
        <f t="shared" si="0"/>
        <v>0</v>
      </c>
    </row>
    <row r="14" spans="1:11" ht="19.8" x14ac:dyDescent="0.5">
      <c r="A14" s="10">
        <v>11</v>
      </c>
      <c r="B14" s="40" t="s">
        <v>7</v>
      </c>
      <c r="C14" s="10"/>
      <c r="D14" s="13"/>
      <c r="E14" s="10"/>
      <c r="F14" s="10"/>
      <c r="G14" s="9"/>
      <c r="H14" s="9"/>
      <c r="I14" s="9"/>
      <c r="J14" s="9"/>
      <c r="K14" s="9">
        <f t="shared" si="0"/>
        <v>0</v>
      </c>
    </row>
    <row r="15" spans="1:11" ht="19.8" x14ac:dyDescent="0.5">
      <c r="A15" s="10">
        <v>12</v>
      </c>
      <c r="B15" s="40" t="s">
        <v>38</v>
      </c>
      <c r="C15" s="10"/>
      <c r="D15" s="13"/>
      <c r="E15" s="10">
        <v>1</v>
      </c>
      <c r="F15" s="10"/>
      <c r="G15" s="9"/>
      <c r="H15" s="9"/>
      <c r="I15" s="9"/>
      <c r="J15" s="9"/>
      <c r="K15" s="9">
        <f t="shared" si="0"/>
        <v>1</v>
      </c>
    </row>
    <row r="16" spans="1:11" ht="19.8" x14ac:dyDescent="0.5">
      <c r="A16" s="10">
        <v>13</v>
      </c>
      <c r="B16" s="40" t="s">
        <v>8</v>
      </c>
      <c r="C16" s="10"/>
      <c r="D16" s="13"/>
      <c r="E16" s="10"/>
      <c r="F16" s="10"/>
      <c r="G16" s="9"/>
      <c r="H16" s="9"/>
      <c r="I16" s="9"/>
      <c r="J16" s="9"/>
      <c r="K16" s="9">
        <f t="shared" si="0"/>
        <v>0</v>
      </c>
    </row>
    <row r="17" spans="1:11" ht="19.8" x14ac:dyDescent="0.5">
      <c r="A17" s="10">
        <v>14</v>
      </c>
      <c r="B17" s="40" t="s">
        <v>9</v>
      </c>
      <c r="C17" s="10"/>
      <c r="D17" s="13"/>
      <c r="E17" s="10"/>
      <c r="F17" s="10"/>
      <c r="G17" s="9"/>
      <c r="H17" s="9"/>
      <c r="I17" s="9"/>
      <c r="J17" s="9"/>
      <c r="K17" s="9">
        <f t="shared" si="0"/>
        <v>0</v>
      </c>
    </row>
    <row r="18" spans="1:11" ht="19.8" x14ac:dyDescent="0.5">
      <c r="A18" s="10">
        <v>15</v>
      </c>
      <c r="B18" s="40" t="s">
        <v>10</v>
      </c>
      <c r="C18" s="10">
        <v>2</v>
      </c>
      <c r="D18" s="13"/>
      <c r="E18" s="10"/>
      <c r="F18" s="10"/>
      <c r="G18" s="9"/>
      <c r="H18" s="9"/>
      <c r="I18" s="9"/>
      <c r="J18" s="9"/>
      <c r="K18" s="9">
        <f t="shared" si="0"/>
        <v>2</v>
      </c>
    </row>
    <row r="19" spans="1:11" ht="19.8" x14ac:dyDescent="0.5">
      <c r="A19" s="10">
        <v>16</v>
      </c>
      <c r="B19" s="42" t="s">
        <v>11</v>
      </c>
      <c r="C19" s="10"/>
      <c r="D19" s="13"/>
      <c r="E19" s="10"/>
      <c r="F19" s="10"/>
      <c r="G19" s="9"/>
      <c r="H19" s="9"/>
      <c r="I19" s="9"/>
      <c r="J19" s="9"/>
      <c r="K19" s="9">
        <f t="shared" si="0"/>
        <v>0</v>
      </c>
    </row>
    <row r="20" spans="1:11" ht="19.8" x14ac:dyDescent="0.5">
      <c r="A20" s="10">
        <v>17</v>
      </c>
      <c r="B20" s="43" t="s">
        <v>12</v>
      </c>
      <c r="C20" s="10"/>
      <c r="D20" s="13"/>
      <c r="E20" s="10"/>
      <c r="F20" s="10"/>
      <c r="G20" s="9"/>
      <c r="H20" s="9"/>
      <c r="I20" s="9"/>
      <c r="J20" s="9"/>
      <c r="K20" s="9">
        <f t="shared" si="0"/>
        <v>0</v>
      </c>
    </row>
    <row r="21" spans="1:11" ht="19.8" x14ac:dyDescent="0.5">
      <c r="A21" s="10">
        <v>19</v>
      </c>
      <c r="B21" s="40" t="s">
        <v>13</v>
      </c>
      <c r="C21" s="10"/>
      <c r="D21" s="13"/>
      <c r="E21" s="10"/>
      <c r="F21" s="10"/>
      <c r="G21" s="9"/>
      <c r="H21" s="9"/>
      <c r="I21" s="9"/>
      <c r="J21" s="9"/>
      <c r="K21" s="9">
        <f t="shared" si="0"/>
        <v>0</v>
      </c>
    </row>
    <row r="22" spans="1:11" ht="19.8" x14ac:dyDescent="0.5">
      <c r="A22" s="10">
        <v>20</v>
      </c>
      <c r="B22" s="40" t="s">
        <v>14</v>
      </c>
      <c r="C22" s="10"/>
      <c r="D22" s="13"/>
      <c r="E22" s="10"/>
      <c r="F22" s="10"/>
      <c r="G22" s="9"/>
      <c r="H22" s="9"/>
      <c r="I22" s="9"/>
      <c r="J22" s="9"/>
      <c r="K22" s="9">
        <f t="shared" si="0"/>
        <v>0</v>
      </c>
    </row>
    <row r="23" spans="1:11" ht="19.8" x14ac:dyDescent="0.5">
      <c r="A23" s="10">
        <v>21</v>
      </c>
      <c r="B23" s="40" t="s">
        <v>15</v>
      </c>
      <c r="C23" s="10"/>
      <c r="D23" s="15"/>
      <c r="E23" s="10"/>
      <c r="F23" s="10"/>
      <c r="G23" s="9"/>
      <c r="H23" s="9"/>
      <c r="I23" s="9"/>
      <c r="J23" s="9"/>
      <c r="K23" s="9">
        <f t="shared" si="0"/>
        <v>0</v>
      </c>
    </row>
    <row r="24" spans="1:11" ht="19.8" x14ac:dyDescent="0.5">
      <c r="A24" s="10">
        <v>22</v>
      </c>
      <c r="B24" s="40" t="s">
        <v>17</v>
      </c>
      <c r="C24" s="10"/>
      <c r="D24" s="13"/>
      <c r="E24" s="10"/>
      <c r="F24" s="10"/>
      <c r="G24" s="9"/>
      <c r="H24" s="9"/>
      <c r="I24" s="9"/>
      <c r="J24" s="9"/>
      <c r="K24" s="9">
        <f t="shared" si="0"/>
        <v>0</v>
      </c>
    </row>
    <row r="25" spans="1:11" ht="19.8" x14ac:dyDescent="0.5">
      <c r="A25" s="10">
        <v>23</v>
      </c>
      <c r="B25" s="40" t="s">
        <v>16</v>
      </c>
      <c r="C25" s="10"/>
      <c r="D25" s="13"/>
      <c r="E25" s="10"/>
      <c r="F25" s="10"/>
      <c r="G25" s="9"/>
      <c r="H25" s="44"/>
      <c r="I25" s="44"/>
      <c r="J25" s="44"/>
      <c r="K25" s="9">
        <f t="shared" si="0"/>
        <v>0</v>
      </c>
    </row>
    <row r="26" spans="1:11" ht="19.8" x14ac:dyDescent="0.5">
      <c r="A26" s="59" t="s">
        <v>46</v>
      </c>
      <c r="B26" s="59"/>
      <c r="C26" s="48">
        <v>44606</v>
      </c>
      <c r="D26" s="48">
        <v>44606</v>
      </c>
      <c r="E26" s="48">
        <v>44606</v>
      </c>
      <c r="F26" s="48">
        <v>44606</v>
      </c>
      <c r="G26" s="48">
        <v>44606</v>
      </c>
      <c r="H26" s="48">
        <v>44606</v>
      </c>
      <c r="I26" s="48">
        <v>44606</v>
      </c>
      <c r="J26" s="48">
        <v>44606</v>
      </c>
      <c r="K26" s="9"/>
    </row>
  </sheetData>
  <mergeCells count="2">
    <mergeCell ref="A26:B26"/>
    <mergeCell ref="A1:B2"/>
  </mergeCells>
  <pageMargins left="0.38" right="0.1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zoomScale="80" zoomScaleNormal="80" workbookViewId="0">
      <selection activeCell="H4" sqref="H4:H25"/>
    </sheetView>
  </sheetViews>
  <sheetFormatPr defaultRowHeight="14.4" x14ac:dyDescent="0.3"/>
  <cols>
    <col min="1" max="1" width="7.6640625" customWidth="1"/>
    <col min="2" max="2" width="35.88671875" customWidth="1"/>
    <col min="3" max="3" width="10.109375" customWidth="1"/>
    <col min="4" max="4" width="14.5546875" customWidth="1"/>
    <col min="5" max="5" width="10" style="17" customWidth="1"/>
    <col min="6" max="7" width="10" customWidth="1"/>
  </cols>
  <sheetData>
    <row r="1" spans="1:8" x14ac:dyDescent="0.3">
      <c r="A1" s="57" t="s">
        <v>39</v>
      </c>
      <c r="B1" s="57"/>
      <c r="C1" s="35"/>
      <c r="D1" s="47"/>
      <c r="E1" s="47"/>
      <c r="F1" s="45"/>
      <c r="G1" s="45"/>
      <c r="H1" s="45"/>
    </row>
    <row r="2" spans="1:8" x14ac:dyDescent="0.3">
      <c r="A2" s="58"/>
      <c r="B2" s="58"/>
      <c r="C2" s="35"/>
      <c r="D2" s="47"/>
      <c r="E2" s="47"/>
      <c r="F2" s="45"/>
      <c r="G2" s="45"/>
      <c r="H2" s="45"/>
    </row>
    <row r="3" spans="1:8" ht="15.6" x14ac:dyDescent="0.3">
      <c r="A3" s="10"/>
      <c r="B3" s="38" t="s">
        <v>0</v>
      </c>
      <c r="C3" s="9" t="s">
        <v>23</v>
      </c>
      <c r="D3" s="9" t="s">
        <v>60</v>
      </c>
      <c r="E3" s="9">
        <v>112</v>
      </c>
      <c r="F3" s="9">
        <v>113</v>
      </c>
      <c r="G3" s="9">
        <v>117</v>
      </c>
      <c r="H3" s="9" t="s">
        <v>20</v>
      </c>
    </row>
    <row r="4" spans="1:8" ht="19.8" x14ac:dyDescent="0.5">
      <c r="A4" s="10">
        <v>1</v>
      </c>
      <c r="B4" s="39" t="s">
        <v>31</v>
      </c>
      <c r="C4" s="10"/>
      <c r="D4" s="13"/>
      <c r="E4" s="9"/>
      <c r="F4" s="9"/>
      <c r="G4" s="9"/>
      <c r="H4" s="9">
        <f>SUM(C4:G4)</f>
        <v>0</v>
      </c>
    </row>
    <row r="5" spans="1:8" ht="19.8" x14ac:dyDescent="0.5">
      <c r="A5" s="10">
        <v>2</v>
      </c>
      <c r="B5" s="39" t="s">
        <v>1</v>
      </c>
      <c r="C5" s="14"/>
      <c r="D5" s="14"/>
      <c r="E5" s="9"/>
      <c r="F5" s="9"/>
      <c r="G5" s="9"/>
      <c r="H5" s="9">
        <f t="shared" ref="H5:H25" si="0">SUM(C5:G5)</f>
        <v>0</v>
      </c>
    </row>
    <row r="6" spans="1:8" ht="19.8" x14ac:dyDescent="0.5">
      <c r="A6" s="10">
        <v>3</v>
      </c>
      <c r="B6" s="39" t="s">
        <v>18</v>
      </c>
      <c r="C6" s="10">
        <v>3</v>
      </c>
      <c r="D6" s="13"/>
      <c r="E6" s="9"/>
      <c r="F6" s="9"/>
      <c r="G6" s="9"/>
      <c r="H6" s="9">
        <f t="shared" si="0"/>
        <v>3</v>
      </c>
    </row>
    <row r="7" spans="1:8" ht="19.8" x14ac:dyDescent="0.5">
      <c r="A7" s="10">
        <v>4</v>
      </c>
      <c r="B7" s="39" t="s">
        <v>19</v>
      </c>
      <c r="C7" s="10">
        <v>1</v>
      </c>
      <c r="D7" s="13"/>
      <c r="E7" s="9"/>
      <c r="F7" s="9"/>
      <c r="G7" s="9"/>
      <c r="H7" s="9">
        <f t="shared" si="0"/>
        <v>1</v>
      </c>
    </row>
    <row r="8" spans="1:8" ht="19.8" x14ac:dyDescent="0.5">
      <c r="A8" s="10">
        <v>5</v>
      </c>
      <c r="B8" s="39" t="s">
        <v>2</v>
      </c>
      <c r="C8" s="10">
        <v>1</v>
      </c>
      <c r="D8" s="13"/>
      <c r="E8" s="9">
        <v>1</v>
      </c>
      <c r="F8" s="9">
        <v>3</v>
      </c>
      <c r="G8" s="9"/>
      <c r="H8" s="9">
        <f t="shared" si="0"/>
        <v>5</v>
      </c>
    </row>
    <row r="9" spans="1:8" ht="19.8" x14ac:dyDescent="0.5">
      <c r="A9" s="10">
        <v>6</v>
      </c>
      <c r="B9" s="39" t="s">
        <v>3</v>
      </c>
      <c r="C9" s="10"/>
      <c r="D9" s="13"/>
      <c r="E9" s="9"/>
      <c r="F9" s="9"/>
      <c r="G9" s="9"/>
      <c r="H9" s="9">
        <f t="shared" si="0"/>
        <v>0</v>
      </c>
    </row>
    <row r="10" spans="1:8" ht="19.8" x14ac:dyDescent="0.5">
      <c r="A10" s="10">
        <v>7</v>
      </c>
      <c r="B10" s="40" t="s">
        <v>35</v>
      </c>
      <c r="C10" s="10">
        <v>3</v>
      </c>
      <c r="D10" s="13">
        <v>5</v>
      </c>
      <c r="E10" s="9"/>
      <c r="F10" s="9"/>
      <c r="G10" s="9"/>
      <c r="H10" s="9">
        <f t="shared" si="0"/>
        <v>8</v>
      </c>
    </row>
    <row r="11" spans="1:8" ht="19.8" x14ac:dyDescent="0.5">
      <c r="A11" s="10">
        <v>8</v>
      </c>
      <c r="B11" s="40" t="s">
        <v>5</v>
      </c>
      <c r="C11" s="10"/>
      <c r="D11" s="13"/>
      <c r="E11" s="9"/>
      <c r="F11" s="9"/>
      <c r="G11" s="9"/>
      <c r="H11" s="9">
        <f t="shared" si="0"/>
        <v>0</v>
      </c>
    </row>
    <row r="12" spans="1:8" ht="19.8" x14ac:dyDescent="0.5">
      <c r="A12" s="10">
        <v>9</v>
      </c>
      <c r="B12" s="40" t="s">
        <v>6</v>
      </c>
      <c r="C12" s="10">
        <v>2</v>
      </c>
      <c r="D12" s="13">
        <v>1</v>
      </c>
      <c r="E12" s="9">
        <v>2</v>
      </c>
      <c r="F12" s="9">
        <v>2</v>
      </c>
      <c r="G12" s="9"/>
      <c r="H12" s="9">
        <f t="shared" si="0"/>
        <v>7</v>
      </c>
    </row>
    <row r="13" spans="1:8" ht="19.8" x14ac:dyDescent="0.5">
      <c r="A13" s="10">
        <v>10</v>
      </c>
      <c r="B13" s="40" t="s">
        <v>32</v>
      </c>
      <c r="C13" s="10">
        <v>2</v>
      </c>
      <c r="D13" s="13">
        <v>2</v>
      </c>
      <c r="E13" s="9"/>
      <c r="F13" s="9"/>
      <c r="G13" s="9"/>
      <c r="H13" s="9">
        <f t="shared" si="0"/>
        <v>4</v>
      </c>
    </row>
    <row r="14" spans="1:8" ht="19.8" x14ac:dyDescent="0.5">
      <c r="A14" s="10">
        <v>11</v>
      </c>
      <c r="B14" s="40" t="s">
        <v>7</v>
      </c>
      <c r="C14" s="10">
        <v>2</v>
      </c>
      <c r="D14" s="13"/>
      <c r="E14" s="9"/>
      <c r="F14" s="9"/>
      <c r="G14" s="9"/>
      <c r="H14" s="9">
        <f t="shared" si="0"/>
        <v>2</v>
      </c>
    </row>
    <row r="15" spans="1:8" ht="19.8" x14ac:dyDescent="0.5">
      <c r="A15" s="10">
        <v>12</v>
      </c>
      <c r="B15" s="40" t="s">
        <v>33</v>
      </c>
      <c r="C15" s="10"/>
      <c r="D15" s="13"/>
      <c r="E15" s="9"/>
      <c r="F15" s="9"/>
      <c r="G15" s="9"/>
      <c r="H15" s="9">
        <f t="shared" si="0"/>
        <v>0</v>
      </c>
    </row>
    <row r="16" spans="1:8" ht="19.8" x14ac:dyDescent="0.5">
      <c r="A16" s="10">
        <v>13</v>
      </c>
      <c r="B16" s="40" t="s">
        <v>8</v>
      </c>
      <c r="C16" s="10"/>
      <c r="D16" s="13"/>
      <c r="E16" s="9"/>
      <c r="F16" s="9"/>
      <c r="G16" s="9"/>
      <c r="H16" s="9">
        <f t="shared" si="0"/>
        <v>0</v>
      </c>
    </row>
    <row r="17" spans="1:8" ht="19.8" x14ac:dyDescent="0.5">
      <c r="A17" s="10">
        <v>14</v>
      </c>
      <c r="B17" s="40" t="s">
        <v>9</v>
      </c>
      <c r="C17" s="10"/>
      <c r="D17" s="13"/>
      <c r="E17" s="9"/>
      <c r="F17" s="9"/>
      <c r="G17" s="9"/>
      <c r="H17" s="9">
        <f t="shared" si="0"/>
        <v>0</v>
      </c>
    </row>
    <row r="18" spans="1:8" ht="19.8" x14ac:dyDescent="0.5">
      <c r="A18" s="10">
        <v>15</v>
      </c>
      <c r="B18" s="40" t="s">
        <v>10</v>
      </c>
      <c r="C18" s="10"/>
      <c r="D18" s="13"/>
      <c r="E18" s="9"/>
      <c r="F18" s="9"/>
      <c r="G18" s="9"/>
      <c r="H18" s="9">
        <f t="shared" si="0"/>
        <v>0</v>
      </c>
    </row>
    <row r="19" spans="1:8" ht="19.8" x14ac:dyDescent="0.5">
      <c r="A19" s="10">
        <v>16</v>
      </c>
      <c r="B19" s="42" t="s">
        <v>11</v>
      </c>
      <c r="C19" s="10"/>
      <c r="D19" s="13"/>
      <c r="E19" s="9"/>
      <c r="F19" s="9"/>
      <c r="G19" s="9"/>
      <c r="H19" s="9">
        <f t="shared" si="0"/>
        <v>0</v>
      </c>
    </row>
    <row r="20" spans="1:8" ht="19.8" x14ac:dyDescent="0.5">
      <c r="A20" s="10">
        <v>17</v>
      </c>
      <c r="B20" s="43" t="s">
        <v>12</v>
      </c>
      <c r="C20" s="10">
        <v>1</v>
      </c>
      <c r="D20" s="13"/>
      <c r="E20" s="9"/>
      <c r="F20" s="9"/>
      <c r="G20" s="9"/>
      <c r="H20" s="9">
        <f t="shared" si="0"/>
        <v>1</v>
      </c>
    </row>
    <row r="21" spans="1:8" ht="19.8" x14ac:dyDescent="0.5">
      <c r="A21" s="10">
        <v>19</v>
      </c>
      <c r="B21" s="40" t="s">
        <v>13</v>
      </c>
      <c r="C21" s="10"/>
      <c r="D21" s="13"/>
      <c r="E21" s="9"/>
      <c r="F21" s="9"/>
      <c r="G21" s="9"/>
      <c r="H21" s="9">
        <f t="shared" si="0"/>
        <v>0</v>
      </c>
    </row>
    <row r="22" spans="1:8" ht="19.8" x14ac:dyDescent="0.5">
      <c r="A22" s="10">
        <v>20</v>
      </c>
      <c r="B22" s="40" t="s">
        <v>14</v>
      </c>
      <c r="C22" s="10"/>
      <c r="D22" s="13">
        <v>2</v>
      </c>
      <c r="E22" s="9"/>
      <c r="F22" s="9"/>
      <c r="G22" s="9"/>
      <c r="H22" s="9">
        <f t="shared" si="0"/>
        <v>2</v>
      </c>
    </row>
    <row r="23" spans="1:8" ht="19.8" x14ac:dyDescent="0.5">
      <c r="A23" s="10">
        <v>21</v>
      </c>
      <c r="B23" s="40" t="s">
        <v>15</v>
      </c>
      <c r="C23" s="10">
        <v>1</v>
      </c>
      <c r="D23" s="15"/>
      <c r="E23" s="9"/>
      <c r="F23" s="9"/>
      <c r="G23" s="9"/>
      <c r="H23" s="9">
        <f t="shared" si="0"/>
        <v>1</v>
      </c>
    </row>
    <row r="24" spans="1:8" ht="19.8" x14ac:dyDescent="0.5">
      <c r="A24" s="10">
        <v>22</v>
      </c>
      <c r="B24" s="40" t="s">
        <v>17</v>
      </c>
      <c r="C24" s="10">
        <v>1</v>
      </c>
      <c r="D24" s="13">
        <v>1</v>
      </c>
      <c r="E24" s="9">
        <v>1</v>
      </c>
      <c r="F24" s="9">
        <v>1</v>
      </c>
      <c r="G24" s="9"/>
      <c r="H24" s="9">
        <f t="shared" si="0"/>
        <v>4</v>
      </c>
    </row>
    <row r="25" spans="1:8" ht="19.8" x14ac:dyDescent="0.5">
      <c r="A25" s="10">
        <v>23</v>
      </c>
      <c r="B25" s="40" t="s">
        <v>16</v>
      </c>
      <c r="C25" s="10"/>
      <c r="D25" s="13"/>
      <c r="E25" s="9"/>
      <c r="F25" s="9"/>
      <c r="G25" s="9"/>
      <c r="H25" s="9">
        <f t="shared" si="0"/>
        <v>0</v>
      </c>
    </row>
    <row r="26" spans="1:8" ht="19.8" x14ac:dyDescent="0.5">
      <c r="A26" s="59" t="s">
        <v>46</v>
      </c>
      <c r="B26" s="59"/>
      <c r="C26" s="48">
        <v>44607</v>
      </c>
      <c r="D26" s="48">
        <v>44607</v>
      </c>
      <c r="E26" s="48">
        <v>44607</v>
      </c>
      <c r="F26" s="48">
        <v>44607</v>
      </c>
      <c r="G26" s="48">
        <v>44607</v>
      </c>
      <c r="H26" s="9"/>
    </row>
  </sheetData>
  <mergeCells count="2">
    <mergeCell ref="A26:B26"/>
    <mergeCell ref="A1:B2"/>
  </mergeCells>
  <pageMargins left="0.17" right="0.1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7"/>
  <sheetViews>
    <sheetView zoomScale="80" zoomScaleNormal="80" workbookViewId="0">
      <selection activeCell="AI4" sqref="AI4:AI26"/>
    </sheetView>
  </sheetViews>
  <sheetFormatPr defaultRowHeight="14.4" x14ac:dyDescent="0.3"/>
  <cols>
    <col min="1" max="1" width="6.109375" style="45" customWidth="1"/>
    <col min="2" max="2" width="32.109375" style="45" customWidth="1"/>
    <col min="3" max="5" width="10.88671875" style="21" hidden="1" customWidth="1"/>
    <col min="6" max="6" width="10.88671875" style="11" hidden="1" customWidth="1"/>
    <col min="7" max="12" width="10.88671875" style="1" hidden="1" customWidth="1"/>
    <col min="13" max="13" width="10.88671875" style="11" hidden="1" customWidth="1"/>
    <col min="14" max="32" width="10.88671875" hidden="1" customWidth="1"/>
    <col min="33" max="33" width="0" hidden="1" customWidth="1"/>
    <col min="34" max="34" width="12.109375" style="11" customWidth="1"/>
    <col min="35" max="35" width="12.33203125" style="11" customWidth="1"/>
  </cols>
  <sheetData>
    <row r="1" spans="1:35" x14ac:dyDescent="0.3">
      <c r="A1" s="57" t="s">
        <v>44</v>
      </c>
      <c r="B1" s="57"/>
      <c r="C1" s="19"/>
      <c r="D1" s="19"/>
      <c r="E1" s="19"/>
    </row>
    <row r="2" spans="1:35" x14ac:dyDescent="0.3">
      <c r="A2" s="58"/>
      <c r="B2" s="58"/>
      <c r="C2" s="20"/>
      <c r="D2" s="20"/>
      <c r="E2" s="20"/>
    </row>
    <row r="3" spans="1:35" ht="15.6" x14ac:dyDescent="0.3">
      <c r="A3" s="10"/>
      <c r="B3" s="38" t="s">
        <v>0</v>
      </c>
      <c r="C3" s="30" t="s">
        <v>41</v>
      </c>
      <c r="D3" s="30">
        <v>8018</v>
      </c>
      <c r="E3" s="30" t="s">
        <v>43</v>
      </c>
      <c r="F3" s="9">
        <v>8020</v>
      </c>
      <c r="G3" s="9">
        <v>8030</v>
      </c>
      <c r="H3" s="9">
        <v>8032</v>
      </c>
      <c r="I3" s="9">
        <v>8036</v>
      </c>
      <c r="J3" s="9">
        <v>8038</v>
      </c>
      <c r="K3" s="9">
        <v>8040</v>
      </c>
      <c r="L3" s="9">
        <v>8048</v>
      </c>
      <c r="M3" s="9">
        <v>8114</v>
      </c>
      <c r="N3" s="9">
        <v>8116</v>
      </c>
      <c r="O3" s="9">
        <v>8130</v>
      </c>
      <c r="P3" s="9">
        <v>8132</v>
      </c>
      <c r="Q3" s="9">
        <v>8212</v>
      </c>
      <c r="R3" s="9">
        <v>8214</v>
      </c>
      <c r="S3" s="9">
        <v>8216</v>
      </c>
      <c r="T3" s="9">
        <v>8222</v>
      </c>
      <c r="U3" s="9">
        <v>8224</v>
      </c>
      <c r="V3" s="9">
        <v>8226</v>
      </c>
      <c r="W3" s="9">
        <v>8228</v>
      </c>
      <c r="X3" s="9">
        <v>8230</v>
      </c>
      <c r="Y3" s="9">
        <v>8232</v>
      </c>
      <c r="Z3" s="9" t="s">
        <v>45</v>
      </c>
      <c r="AA3" s="9">
        <v>8240</v>
      </c>
      <c r="AB3" s="9">
        <v>8242</v>
      </c>
      <c r="AC3" s="9">
        <v>8326</v>
      </c>
      <c r="AD3" s="9">
        <v>8328</v>
      </c>
      <c r="AE3" s="9">
        <v>8336</v>
      </c>
      <c r="AF3" s="9">
        <v>8338</v>
      </c>
      <c r="AG3" s="9" t="s">
        <v>20</v>
      </c>
      <c r="AH3" s="54" t="s">
        <v>64</v>
      </c>
      <c r="AI3" s="54" t="s">
        <v>65</v>
      </c>
    </row>
    <row r="4" spans="1:35" ht="19.8" x14ac:dyDescent="0.5">
      <c r="A4" s="10">
        <v>1</v>
      </c>
      <c r="B4" s="39" t="s">
        <v>31</v>
      </c>
      <c r="C4" s="26"/>
      <c r="D4" s="26"/>
      <c r="E4" s="26"/>
      <c r="F4" s="23"/>
      <c r="G4" s="23"/>
      <c r="H4" s="23"/>
      <c r="I4" s="23"/>
      <c r="J4" s="23"/>
      <c r="K4" s="23"/>
      <c r="L4" s="23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34">
        <f>SUM(C4:AF4)</f>
        <v>0</v>
      </c>
      <c r="AH4" s="54">
        <v>1</v>
      </c>
      <c r="AI4" s="54">
        <f>AH4*50</f>
        <v>50</v>
      </c>
    </row>
    <row r="5" spans="1:35" ht="19.8" x14ac:dyDescent="0.5">
      <c r="A5" s="10">
        <v>2</v>
      </c>
      <c r="B5" s="39" t="s">
        <v>1</v>
      </c>
      <c r="C5" s="26"/>
      <c r="D5" s="26"/>
      <c r="E5" s="26"/>
      <c r="F5" s="23"/>
      <c r="G5" s="23"/>
      <c r="H5" s="23"/>
      <c r="I5" s="23"/>
      <c r="J5" s="23"/>
      <c r="K5" s="23"/>
      <c r="L5" s="23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34">
        <f t="shared" ref="AG5:AG25" si="0">SUM(C5:AF5)</f>
        <v>0</v>
      </c>
      <c r="AH5" s="54">
        <v>1</v>
      </c>
      <c r="AI5" s="54">
        <f t="shared" ref="AI5:AI26" si="1">AH5*50</f>
        <v>50</v>
      </c>
    </row>
    <row r="6" spans="1:35" ht="19.8" x14ac:dyDescent="0.5">
      <c r="A6" s="10">
        <v>3</v>
      </c>
      <c r="B6" s="39" t="s">
        <v>18</v>
      </c>
      <c r="C6" s="26"/>
      <c r="D6" s="26"/>
      <c r="E6" s="26"/>
      <c r="F6" s="23"/>
      <c r="G6" s="23"/>
      <c r="H6" s="23"/>
      <c r="I6" s="23"/>
      <c r="J6" s="23"/>
      <c r="K6" s="23"/>
      <c r="L6" s="23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34">
        <f t="shared" si="0"/>
        <v>0</v>
      </c>
      <c r="AH6" s="54">
        <v>3</v>
      </c>
      <c r="AI6" s="54">
        <f t="shared" si="1"/>
        <v>150</v>
      </c>
    </row>
    <row r="7" spans="1:35" ht="19.8" x14ac:dyDescent="0.5">
      <c r="A7" s="10">
        <v>4</v>
      </c>
      <c r="B7" s="39" t="s">
        <v>19</v>
      </c>
      <c r="C7" s="26"/>
      <c r="D7" s="26"/>
      <c r="E7" s="26"/>
      <c r="F7" s="23"/>
      <c r="G7" s="23"/>
      <c r="H7" s="23"/>
      <c r="I7" s="23"/>
      <c r="J7" s="23"/>
      <c r="K7" s="23"/>
      <c r="L7" s="23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34">
        <f t="shared" si="0"/>
        <v>0</v>
      </c>
      <c r="AH7" s="54">
        <v>3</v>
      </c>
      <c r="AI7" s="54">
        <f t="shared" si="1"/>
        <v>150</v>
      </c>
    </row>
    <row r="8" spans="1:35" ht="19.8" x14ac:dyDescent="0.5">
      <c r="A8" s="10">
        <v>5</v>
      </c>
      <c r="B8" s="39" t="s">
        <v>2</v>
      </c>
      <c r="C8" s="26"/>
      <c r="D8" s="26"/>
      <c r="E8" s="26"/>
      <c r="F8" s="23"/>
      <c r="G8" s="23"/>
      <c r="H8" s="23"/>
      <c r="I8" s="23"/>
      <c r="J8" s="23"/>
      <c r="K8" s="23"/>
      <c r="L8" s="23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34">
        <f t="shared" si="0"/>
        <v>0</v>
      </c>
      <c r="AH8" s="54">
        <v>3</v>
      </c>
      <c r="AI8" s="54">
        <f t="shared" si="1"/>
        <v>150</v>
      </c>
    </row>
    <row r="9" spans="1:35" ht="19.8" x14ac:dyDescent="0.5">
      <c r="A9" s="10">
        <v>6</v>
      </c>
      <c r="B9" s="39" t="s">
        <v>3</v>
      </c>
      <c r="C9" s="26"/>
      <c r="D9" s="26"/>
      <c r="E9" s="26"/>
      <c r="F9" s="23"/>
      <c r="G9" s="23"/>
      <c r="H9" s="23"/>
      <c r="I9" s="23"/>
      <c r="J9" s="23"/>
      <c r="K9" s="23"/>
      <c r="L9" s="23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34">
        <f t="shared" si="0"/>
        <v>0</v>
      </c>
      <c r="AH9" s="54">
        <v>1</v>
      </c>
      <c r="AI9" s="54">
        <f t="shared" si="1"/>
        <v>50</v>
      </c>
    </row>
    <row r="10" spans="1:35" ht="19.8" x14ac:dyDescent="0.5">
      <c r="A10" s="10">
        <v>7</v>
      </c>
      <c r="B10" s="40" t="s">
        <v>34</v>
      </c>
      <c r="C10" s="27"/>
      <c r="D10" s="27"/>
      <c r="E10" s="27"/>
      <c r="F10" s="23"/>
      <c r="G10" s="23"/>
      <c r="H10" s="23"/>
      <c r="I10" s="23"/>
      <c r="J10" s="23"/>
      <c r="K10" s="23"/>
      <c r="L10" s="23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34">
        <f t="shared" si="0"/>
        <v>0</v>
      </c>
      <c r="AH10" s="54">
        <v>6</v>
      </c>
      <c r="AI10" s="54">
        <f t="shared" si="1"/>
        <v>300</v>
      </c>
    </row>
    <row r="11" spans="1:35" ht="19.8" x14ac:dyDescent="0.5">
      <c r="A11" s="10">
        <v>8</v>
      </c>
      <c r="B11" s="40" t="s">
        <v>5</v>
      </c>
      <c r="C11" s="27"/>
      <c r="D11" s="27"/>
      <c r="E11" s="27"/>
      <c r="F11" s="23"/>
      <c r="G11" s="23"/>
      <c r="H11" s="23"/>
      <c r="I11" s="23"/>
      <c r="J11" s="23"/>
      <c r="K11" s="23"/>
      <c r="L11" s="23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34">
        <f t="shared" si="0"/>
        <v>0</v>
      </c>
      <c r="AH11" s="54">
        <v>6</v>
      </c>
      <c r="AI11" s="54">
        <f t="shared" si="1"/>
        <v>300</v>
      </c>
    </row>
    <row r="12" spans="1:35" ht="19.8" x14ac:dyDescent="0.5">
      <c r="A12" s="10">
        <v>9</v>
      </c>
      <c r="B12" s="40" t="s">
        <v>6</v>
      </c>
      <c r="C12" s="27"/>
      <c r="D12" s="27"/>
      <c r="E12" s="27"/>
      <c r="F12" s="23"/>
      <c r="G12" s="23"/>
      <c r="H12" s="23"/>
      <c r="I12" s="23"/>
      <c r="J12" s="23"/>
      <c r="K12" s="23"/>
      <c r="L12" s="23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34">
        <f t="shared" si="0"/>
        <v>0</v>
      </c>
      <c r="AH12" s="54">
        <v>2</v>
      </c>
      <c r="AI12" s="54">
        <f t="shared" si="1"/>
        <v>100</v>
      </c>
    </row>
    <row r="13" spans="1:35" ht="19.8" x14ac:dyDescent="0.5">
      <c r="A13" s="10">
        <v>10</v>
      </c>
      <c r="B13" s="40" t="s">
        <v>32</v>
      </c>
      <c r="C13" s="27"/>
      <c r="D13" s="27"/>
      <c r="E13" s="27"/>
      <c r="F13" s="23"/>
      <c r="G13" s="23"/>
      <c r="H13" s="23"/>
      <c r="I13" s="23"/>
      <c r="J13" s="23"/>
      <c r="K13" s="23"/>
      <c r="L13" s="23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34">
        <f t="shared" si="0"/>
        <v>0</v>
      </c>
      <c r="AH13" s="54">
        <v>3</v>
      </c>
      <c r="AI13" s="54">
        <f t="shared" si="1"/>
        <v>150</v>
      </c>
    </row>
    <row r="14" spans="1:35" ht="19.8" x14ac:dyDescent="0.5">
      <c r="A14" s="10">
        <v>11</v>
      </c>
      <c r="B14" s="40" t="s">
        <v>7</v>
      </c>
      <c r="C14" s="27"/>
      <c r="D14" s="27"/>
      <c r="E14" s="27"/>
      <c r="F14" s="23"/>
      <c r="G14" s="23"/>
      <c r="H14" s="23"/>
      <c r="I14" s="23"/>
      <c r="J14" s="23"/>
      <c r="K14" s="23"/>
      <c r="L14" s="23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34">
        <f t="shared" si="0"/>
        <v>0</v>
      </c>
      <c r="AH14" s="54">
        <v>3</v>
      </c>
      <c r="AI14" s="54">
        <f t="shared" si="1"/>
        <v>150</v>
      </c>
    </row>
    <row r="15" spans="1:35" ht="19.8" x14ac:dyDescent="0.5">
      <c r="A15" s="10">
        <v>12</v>
      </c>
      <c r="B15" s="41" t="s">
        <v>33</v>
      </c>
      <c r="C15" s="27"/>
      <c r="D15" s="27"/>
      <c r="E15" s="27"/>
      <c r="F15" s="23"/>
      <c r="G15" s="23"/>
      <c r="H15" s="23"/>
      <c r="I15" s="23"/>
      <c r="J15" s="23"/>
      <c r="K15" s="23"/>
      <c r="L15" s="23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34">
        <f t="shared" si="0"/>
        <v>0</v>
      </c>
      <c r="AH15" s="54">
        <v>2</v>
      </c>
      <c r="AI15" s="54">
        <f t="shared" si="1"/>
        <v>100</v>
      </c>
    </row>
    <row r="16" spans="1:35" ht="19.8" x14ac:dyDescent="0.5">
      <c r="A16" s="10">
        <v>13</v>
      </c>
      <c r="B16" s="40" t="s">
        <v>8</v>
      </c>
      <c r="C16" s="27"/>
      <c r="D16" s="27"/>
      <c r="E16" s="27"/>
      <c r="F16" s="23"/>
      <c r="G16" s="23"/>
      <c r="H16" s="23"/>
      <c r="I16" s="23"/>
      <c r="J16" s="23"/>
      <c r="K16" s="23"/>
      <c r="L16" s="23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34">
        <f t="shared" si="0"/>
        <v>0</v>
      </c>
      <c r="AH16" s="54">
        <v>3</v>
      </c>
      <c r="AI16" s="54">
        <f t="shared" si="1"/>
        <v>150</v>
      </c>
    </row>
    <row r="17" spans="1:35" ht="19.8" x14ac:dyDescent="0.5">
      <c r="A17" s="10">
        <v>14</v>
      </c>
      <c r="B17" s="40" t="s">
        <v>9</v>
      </c>
      <c r="C17" s="27"/>
      <c r="D17" s="27"/>
      <c r="E17" s="27"/>
      <c r="F17" s="23"/>
      <c r="G17" s="23"/>
      <c r="H17" s="23"/>
      <c r="I17" s="23"/>
      <c r="J17" s="23"/>
      <c r="K17" s="23"/>
      <c r="L17" s="23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34">
        <f t="shared" si="0"/>
        <v>0</v>
      </c>
      <c r="AH17" s="54">
        <v>2</v>
      </c>
      <c r="AI17" s="54">
        <f t="shared" si="1"/>
        <v>100</v>
      </c>
    </row>
    <row r="18" spans="1:35" ht="19.8" x14ac:dyDescent="0.5">
      <c r="A18" s="10">
        <v>15</v>
      </c>
      <c r="B18" s="40" t="s">
        <v>42</v>
      </c>
      <c r="C18" s="27"/>
      <c r="D18" s="27"/>
      <c r="E18" s="27"/>
      <c r="F18" s="23"/>
      <c r="G18" s="23"/>
      <c r="H18" s="23"/>
      <c r="I18" s="23"/>
      <c r="J18" s="23"/>
      <c r="K18" s="23"/>
      <c r="L18" s="23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34">
        <f t="shared" si="0"/>
        <v>0</v>
      </c>
      <c r="AH18" s="54">
        <v>3</v>
      </c>
      <c r="AI18" s="54">
        <f t="shared" si="1"/>
        <v>150</v>
      </c>
    </row>
    <row r="19" spans="1:35" ht="19.8" x14ac:dyDescent="0.5">
      <c r="A19" s="10">
        <v>16</v>
      </c>
      <c r="B19" s="42" t="s">
        <v>11</v>
      </c>
      <c r="C19" s="28"/>
      <c r="D19" s="28"/>
      <c r="E19" s="28"/>
      <c r="F19" s="23"/>
      <c r="G19" s="23"/>
      <c r="H19" s="23"/>
      <c r="I19" s="23"/>
      <c r="J19" s="23"/>
      <c r="K19" s="23"/>
      <c r="L19" s="2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34">
        <f t="shared" si="0"/>
        <v>0</v>
      </c>
      <c r="AH19" s="54">
        <v>1</v>
      </c>
      <c r="AI19" s="54">
        <f t="shared" si="1"/>
        <v>50</v>
      </c>
    </row>
    <row r="20" spans="1:35" ht="19.8" x14ac:dyDescent="0.5">
      <c r="A20" s="10">
        <v>17</v>
      </c>
      <c r="B20" s="43" t="s">
        <v>12</v>
      </c>
      <c r="C20" s="29"/>
      <c r="D20" s="29"/>
      <c r="E20" s="29"/>
      <c r="F20" s="23"/>
      <c r="G20" s="23"/>
      <c r="H20" s="23"/>
      <c r="I20" s="23"/>
      <c r="J20" s="23"/>
      <c r="K20" s="23"/>
      <c r="L20" s="23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34">
        <f t="shared" si="0"/>
        <v>0</v>
      </c>
      <c r="AH20" s="54">
        <v>1</v>
      </c>
      <c r="AI20" s="54">
        <f t="shared" si="1"/>
        <v>50</v>
      </c>
    </row>
    <row r="21" spans="1:35" ht="19.8" x14ac:dyDescent="0.5">
      <c r="A21" s="10">
        <v>19</v>
      </c>
      <c r="B21" s="40" t="s">
        <v>13</v>
      </c>
      <c r="C21" s="27"/>
      <c r="D21" s="27"/>
      <c r="E21" s="27"/>
      <c r="F21" s="23"/>
      <c r="G21" s="23"/>
      <c r="H21" s="23"/>
      <c r="I21" s="23"/>
      <c r="J21" s="23"/>
      <c r="K21" s="23"/>
      <c r="L21" s="2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34">
        <f t="shared" si="0"/>
        <v>0</v>
      </c>
      <c r="AH21" s="54">
        <v>1</v>
      </c>
      <c r="AI21" s="54">
        <f t="shared" si="1"/>
        <v>50</v>
      </c>
    </row>
    <row r="22" spans="1:35" ht="19.8" x14ac:dyDescent="0.5">
      <c r="A22" s="10">
        <v>20</v>
      </c>
      <c r="B22" s="40" t="s">
        <v>14</v>
      </c>
      <c r="C22" s="27"/>
      <c r="D22" s="27"/>
      <c r="E22" s="27"/>
      <c r="F22" s="23"/>
      <c r="G22" s="23"/>
      <c r="H22" s="23"/>
      <c r="I22" s="23"/>
      <c r="J22" s="23"/>
      <c r="K22" s="23"/>
      <c r="L22" s="23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34">
        <f t="shared" si="0"/>
        <v>0</v>
      </c>
      <c r="AH22" s="54">
        <v>4</v>
      </c>
      <c r="AI22" s="54">
        <f t="shared" si="1"/>
        <v>200</v>
      </c>
    </row>
    <row r="23" spans="1:35" ht="19.8" x14ac:dyDescent="0.5">
      <c r="A23" s="10">
        <v>21</v>
      </c>
      <c r="B23" s="40" t="s">
        <v>15</v>
      </c>
      <c r="C23" s="27"/>
      <c r="D23" s="27"/>
      <c r="E23" s="27"/>
      <c r="F23" s="24"/>
      <c r="G23" s="25"/>
      <c r="H23" s="25"/>
      <c r="I23" s="25"/>
      <c r="J23" s="25"/>
      <c r="K23" s="25"/>
      <c r="L23" s="25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34">
        <f t="shared" si="0"/>
        <v>0</v>
      </c>
      <c r="AH23" s="54">
        <v>4</v>
      </c>
      <c r="AI23" s="54">
        <f t="shared" si="1"/>
        <v>200</v>
      </c>
    </row>
    <row r="24" spans="1:35" ht="19.8" x14ac:dyDescent="0.5">
      <c r="A24" s="10">
        <v>22</v>
      </c>
      <c r="B24" s="40" t="s">
        <v>17</v>
      </c>
      <c r="C24" s="27"/>
      <c r="D24" s="27"/>
      <c r="E24" s="27"/>
      <c r="F24" s="24"/>
      <c r="G24" s="23"/>
      <c r="H24" s="23"/>
      <c r="I24" s="23"/>
      <c r="J24" s="23"/>
      <c r="K24" s="23"/>
      <c r="L24" s="23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34">
        <f t="shared" si="0"/>
        <v>0</v>
      </c>
      <c r="AH24" s="54">
        <v>1</v>
      </c>
      <c r="AI24" s="54">
        <f t="shared" si="1"/>
        <v>50</v>
      </c>
    </row>
    <row r="25" spans="1:35" ht="19.8" x14ac:dyDescent="0.5">
      <c r="A25" s="10">
        <v>23</v>
      </c>
      <c r="B25" s="40" t="s">
        <v>16</v>
      </c>
      <c r="C25" s="27"/>
      <c r="D25" s="27"/>
      <c r="E25" s="27"/>
      <c r="F25" s="24"/>
      <c r="G25" s="23"/>
      <c r="H25" s="23"/>
      <c r="I25" s="23"/>
      <c r="J25" s="23"/>
      <c r="K25" s="23"/>
      <c r="L25" s="23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34">
        <f t="shared" si="0"/>
        <v>0</v>
      </c>
      <c r="AH25" s="54">
        <v>2</v>
      </c>
      <c r="AI25" s="54">
        <f t="shared" si="1"/>
        <v>100</v>
      </c>
    </row>
    <row r="26" spans="1:35" ht="19.8" x14ac:dyDescent="0.5">
      <c r="A26" s="46"/>
      <c r="B26" s="40" t="s">
        <v>66</v>
      </c>
      <c r="C26" s="27"/>
      <c r="D26" s="27"/>
      <c r="E26" s="27"/>
      <c r="F26" s="24"/>
      <c r="G26" s="23"/>
      <c r="H26" s="23"/>
      <c r="I26" s="23"/>
      <c r="J26" s="23"/>
      <c r="K26" s="23"/>
      <c r="L26" s="23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34"/>
      <c r="AH26" s="54">
        <v>1</v>
      </c>
      <c r="AI26" s="54">
        <f t="shared" si="1"/>
        <v>50</v>
      </c>
    </row>
    <row r="27" spans="1:35" x14ac:dyDescent="0.3">
      <c r="A27" s="46"/>
      <c r="B27" s="44" t="s">
        <v>46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4">
        <f t="shared" ref="AG27" si="2">SUM(C27:AF27)</f>
        <v>0</v>
      </c>
      <c r="AH27" s="55">
        <v>44606</v>
      </c>
      <c r="AI27" s="54"/>
    </row>
  </sheetData>
  <mergeCells count="1">
    <mergeCell ref="A1:B2"/>
  </mergeCells>
  <pageMargins left="0.17" right="0.1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zoomScale="80" zoomScaleNormal="80" workbookViewId="0">
      <selection activeCell="L4" sqref="L4:L25"/>
    </sheetView>
  </sheetViews>
  <sheetFormatPr defaultRowHeight="14.4" x14ac:dyDescent="0.3"/>
  <cols>
    <col min="1" max="1" width="6" customWidth="1"/>
    <col min="2" max="2" width="33.109375" customWidth="1"/>
    <col min="3" max="11" width="10.6640625" customWidth="1"/>
    <col min="12" max="12" width="8.109375" customWidth="1"/>
  </cols>
  <sheetData>
    <row r="1" spans="1:12" x14ac:dyDescent="0.3">
      <c r="A1" s="57" t="s">
        <v>40</v>
      </c>
      <c r="B1" s="57"/>
      <c r="C1" s="19"/>
      <c r="D1" s="19"/>
      <c r="E1" s="19"/>
      <c r="F1" s="19"/>
      <c r="G1" s="11"/>
      <c r="H1" s="1"/>
      <c r="I1" s="1"/>
      <c r="J1" s="1"/>
      <c r="K1" s="1"/>
      <c r="L1" s="1"/>
    </row>
    <row r="2" spans="1:12" x14ac:dyDescent="0.3">
      <c r="A2" s="58"/>
      <c r="B2" s="58"/>
      <c r="C2" s="20"/>
      <c r="D2" s="20"/>
      <c r="E2" s="20"/>
      <c r="F2" s="20"/>
      <c r="G2" s="11"/>
      <c r="H2" s="1"/>
      <c r="I2" s="1"/>
      <c r="J2" s="1"/>
      <c r="K2" s="1"/>
      <c r="L2" s="1"/>
    </row>
    <row r="3" spans="1:12" ht="15.6" x14ac:dyDescent="0.3">
      <c r="A3" s="10"/>
      <c r="B3" s="38" t="s">
        <v>0</v>
      </c>
      <c r="C3" s="30" t="s">
        <v>25</v>
      </c>
      <c r="D3" s="30">
        <v>11</v>
      </c>
      <c r="E3" s="30">
        <v>21</v>
      </c>
      <c r="F3" s="30">
        <v>22</v>
      </c>
      <c r="G3" s="30">
        <v>23</v>
      </c>
      <c r="H3" s="30">
        <v>24</v>
      </c>
      <c r="I3" s="9">
        <v>26</v>
      </c>
      <c r="J3" s="9">
        <v>31</v>
      </c>
      <c r="K3" s="9">
        <v>32</v>
      </c>
      <c r="L3" s="9" t="s">
        <v>20</v>
      </c>
    </row>
    <row r="4" spans="1:12" ht="19.8" x14ac:dyDescent="0.5">
      <c r="A4" s="10">
        <v>1</v>
      </c>
      <c r="B4" s="39" t="s">
        <v>31</v>
      </c>
      <c r="C4" s="26"/>
      <c r="D4" s="26"/>
      <c r="E4" s="26"/>
      <c r="F4" s="26"/>
      <c r="G4" s="23"/>
      <c r="H4" s="23"/>
      <c r="I4" s="23"/>
      <c r="J4" s="23"/>
      <c r="K4" s="23"/>
      <c r="L4" s="36">
        <f>SUM(C4:K4)</f>
        <v>0</v>
      </c>
    </row>
    <row r="5" spans="1:12" ht="19.8" x14ac:dyDescent="0.5">
      <c r="A5" s="10">
        <v>2</v>
      </c>
      <c r="B5" s="39" t="s">
        <v>1</v>
      </c>
      <c r="C5" s="26"/>
      <c r="D5" s="26"/>
      <c r="E5" s="26"/>
      <c r="F5" s="26"/>
      <c r="G5" s="23"/>
      <c r="H5" s="23"/>
      <c r="I5" s="23"/>
      <c r="J5" s="23"/>
      <c r="K5" s="23"/>
      <c r="L5" s="36">
        <f t="shared" ref="L5:L25" si="0">SUM(C5:K5)</f>
        <v>0</v>
      </c>
    </row>
    <row r="6" spans="1:12" ht="19.8" x14ac:dyDescent="0.5">
      <c r="A6" s="10">
        <v>3</v>
      </c>
      <c r="B6" s="39" t="s">
        <v>18</v>
      </c>
      <c r="C6" s="26"/>
      <c r="D6" s="26">
        <v>3</v>
      </c>
      <c r="E6" s="26"/>
      <c r="F6" s="26"/>
      <c r="G6" s="23"/>
      <c r="H6" s="23"/>
      <c r="I6" s="23">
        <v>3</v>
      </c>
      <c r="J6" s="23"/>
      <c r="K6" s="23"/>
      <c r="L6" s="36">
        <f t="shared" si="0"/>
        <v>6</v>
      </c>
    </row>
    <row r="7" spans="1:12" ht="19.8" x14ac:dyDescent="0.5">
      <c r="A7" s="10">
        <v>4</v>
      </c>
      <c r="B7" s="39" t="s">
        <v>19</v>
      </c>
      <c r="C7" s="26"/>
      <c r="D7" s="26">
        <v>3</v>
      </c>
      <c r="E7" s="26">
        <v>3</v>
      </c>
      <c r="F7" s="26">
        <v>3</v>
      </c>
      <c r="G7" s="23">
        <v>3</v>
      </c>
      <c r="H7" s="23"/>
      <c r="I7" s="23">
        <v>2</v>
      </c>
      <c r="J7" s="23"/>
      <c r="K7" s="23"/>
      <c r="L7" s="36">
        <f t="shared" si="0"/>
        <v>14</v>
      </c>
    </row>
    <row r="8" spans="1:12" ht="19.8" x14ac:dyDescent="0.5">
      <c r="A8" s="10">
        <v>5</v>
      </c>
      <c r="B8" s="39" t="s">
        <v>2</v>
      </c>
      <c r="C8" s="26">
        <v>3</v>
      </c>
      <c r="D8" s="26">
        <v>3</v>
      </c>
      <c r="E8" s="26">
        <v>3</v>
      </c>
      <c r="F8" s="26">
        <v>3</v>
      </c>
      <c r="G8" s="23">
        <v>3</v>
      </c>
      <c r="H8" s="23">
        <v>3</v>
      </c>
      <c r="I8" s="23">
        <v>2</v>
      </c>
      <c r="J8" s="23"/>
      <c r="K8" s="23"/>
      <c r="L8" s="36">
        <f t="shared" si="0"/>
        <v>20</v>
      </c>
    </row>
    <row r="9" spans="1:12" ht="19.8" x14ac:dyDescent="0.5">
      <c r="A9" s="10">
        <v>6</v>
      </c>
      <c r="B9" s="39" t="s">
        <v>3</v>
      </c>
      <c r="C9" s="26"/>
      <c r="D9" s="26"/>
      <c r="E9" s="26"/>
      <c r="F9" s="26"/>
      <c r="G9" s="23"/>
      <c r="H9" s="23"/>
      <c r="I9" s="23"/>
      <c r="J9" s="23"/>
      <c r="K9" s="23"/>
      <c r="L9" s="36">
        <f t="shared" si="0"/>
        <v>0</v>
      </c>
    </row>
    <row r="10" spans="1:12" ht="19.8" x14ac:dyDescent="0.5">
      <c r="A10" s="10">
        <v>7</v>
      </c>
      <c r="B10" s="40" t="s">
        <v>34</v>
      </c>
      <c r="C10" s="27">
        <v>2</v>
      </c>
      <c r="D10" s="27">
        <v>6</v>
      </c>
      <c r="E10" s="27">
        <v>6</v>
      </c>
      <c r="F10" s="27">
        <v>5</v>
      </c>
      <c r="G10" s="23">
        <v>4</v>
      </c>
      <c r="H10" s="23">
        <v>2</v>
      </c>
      <c r="I10" s="23">
        <v>2</v>
      </c>
      <c r="J10" s="23">
        <v>4</v>
      </c>
      <c r="K10" s="23">
        <v>4</v>
      </c>
      <c r="L10" s="36">
        <f t="shared" si="0"/>
        <v>35</v>
      </c>
    </row>
    <row r="11" spans="1:12" ht="19.8" x14ac:dyDescent="0.5">
      <c r="A11" s="10">
        <v>8</v>
      </c>
      <c r="B11" s="40" t="s">
        <v>5</v>
      </c>
      <c r="C11" s="27"/>
      <c r="D11" s="27"/>
      <c r="E11" s="27"/>
      <c r="F11" s="27"/>
      <c r="G11" s="23">
        <v>2</v>
      </c>
      <c r="H11" s="23"/>
      <c r="I11" s="23"/>
      <c r="J11" s="23"/>
      <c r="K11" s="23"/>
      <c r="L11" s="36">
        <f t="shared" si="0"/>
        <v>2</v>
      </c>
    </row>
    <row r="12" spans="1:12" ht="19.8" x14ac:dyDescent="0.5">
      <c r="A12" s="10">
        <v>9</v>
      </c>
      <c r="B12" s="40" t="s">
        <v>6</v>
      </c>
      <c r="C12" s="27">
        <v>2</v>
      </c>
      <c r="D12" s="27">
        <v>2</v>
      </c>
      <c r="E12" s="27">
        <v>2</v>
      </c>
      <c r="F12" s="27">
        <v>2</v>
      </c>
      <c r="G12" s="23">
        <v>2</v>
      </c>
      <c r="H12" s="23">
        <v>2</v>
      </c>
      <c r="I12" s="23">
        <v>2</v>
      </c>
      <c r="J12" s="23">
        <v>2</v>
      </c>
      <c r="K12" s="23">
        <v>1</v>
      </c>
      <c r="L12" s="36">
        <f t="shared" si="0"/>
        <v>17</v>
      </c>
    </row>
    <row r="13" spans="1:12" ht="19.8" x14ac:dyDescent="0.5">
      <c r="A13" s="10">
        <v>10</v>
      </c>
      <c r="B13" s="40" t="s">
        <v>32</v>
      </c>
      <c r="C13" s="27"/>
      <c r="D13" s="27"/>
      <c r="E13" s="27">
        <v>3</v>
      </c>
      <c r="F13" s="27"/>
      <c r="G13" s="23"/>
      <c r="H13" s="23">
        <v>2</v>
      </c>
      <c r="I13" s="23"/>
      <c r="J13" s="23"/>
      <c r="K13" s="23"/>
      <c r="L13" s="36">
        <f t="shared" si="0"/>
        <v>5</v>
      </c>
    </row>
    <row r="14" spans="1:12" ht="19.8" x14ac:dyDescent="0.5">
      <c r="A14" s="10">
        <v>11</v>
      </c>
      <c r="B14" s="40" t="s">
        <v>7</v>
      </c>
      <c r="C14" s="27"/>
      <c r="D14" s="27"/>
      <c r="E14" s="27">
        <v>3</v>
      </c>
      <c r="F14" s="27"/>
      <c r="G14" s="23"/>
      <c r="H14" s="23">
        <v>3</v>
      </c>
      <c r="I14" s="23"/>
      <c r="J14" s="23"/>
      <c r="K14" s="23"/>
      <c r="L14" s="36">
        <f t="shared" si="0"/>
        <v>6</v>
      </c>
    </row>
    <row r="15" spans="1:12" ht="19.8" x14ac:dyDescent="0.5">
      <c r="A15" s="10">
        <v>12</v>
      </c>
      <c r="B15" s="40" t="s">
        <v>33</v>
      </c>
      <c r="C15" s="27"/>
      <c r="D15" s="27"/>
      <c r="E15" s="27"/>
      <c r="F15" s="27"/>
      <c r="G15" s="23"/>
      <c r="H15" s="23"/>
      <c r="I15" s="23"/>
      <c r="J15" s="23"/>
      <c r="K15" s="23"/>
      <c r="L15" s="36">
        <f t="shared" si="0"/>
        <v>0</v>
      </c>
    </row>
    <row r="16" spans="1:12" ht="19.8" x14ac:dyDescent="0.5">
      <c r="A16" s="10">
        <v>13</v>
      </c>
      <c r="B16" s="40" t="s">
        <v>8</v>
      </c>
      <c r="C16" s="27"/>
      <c r="D16" s="27"/>
      <c r="E16" s="27"/>
      <c r="F16" s="27"/>
      <c r="G16" s="23"/>
      <c r="H16" s="23"/>
      <c r="I16" s="23"/>
      <c r="J16" s="23"/>
      <c r="K16" s="23"/>
      <c r="L16" s="36">
        <f t="shared" si="0"/>
        <v>0</v>
      </c>
    </row>
    <row r="17" spans="1:12" ht="19.8" x14ac:dyDescent="0.5">
      <c r="A17" s="10">
        <v>14</v>
      </c>
      <c r="B17" s="40" t="s">
        <v>9</v>
      </c>
      <c r="C17" s="27">
        <v>1</v>
      </c>
      <c r="D17" s="27"/>
      <c r="E17" s="27"/>
      <c r="F17" s="27"/>
      <c r="G17" s="23">
        <v>1</v>
      </c>
      <c r="H17" s="23"/>
      <c r="I17" s="23"/>
      <c r="J17" s="23"/>
      <c r="K17" s="23"/>
      <c r="L17" s="36">
        <f t="shared" si="0"/>
        <v>2</v>
      </c>
    </row>
    <row r="18" spans="1:12" ht="19.8" x14ac:dyDescent="0.5">
      <c r="A18" s="10">
        <v>15</v>
      </c>
      <c r="B18" s="40" t="s">
        <v>10</v>
      </c>
      <c r="C18" s="27"/>
      <c r="D18" s="27"/>
      <c r="E18" s="27">
        <v>2</v>
      </c>
      <c r="F18" s="27"/>
      <c r="G18" s="23"/>
      <c r="H18" s="23"/>
      <c r="I18" s="23"/>
      <c r="J18" s="23"/>
      <c r="K18" s="23"/>
      <c r="L18" s="36">
        <f t="shared" si="0"/>
        <v>2</v>
      </c>
    </row>
    <row r="19" spans="1:12" ht="19.8" x14ac:dyDescent="0.5">
      <c r="A19" s="10">
        <v>16</v>
      </c>
      <c r="B19" s="42" t="s">
        <v>11</v>
      </c>
      <c r="C19" s="28">
        <v>1</v>
      </c>
      <c r="D19" s="28"/>
      <c r="E19" s="28"/>
      <c r="F19" s="28"/>
      <c r="G19" s="23"/>
      <c r="H19" s="23"/>
      <c r="I19" s="23"/>
      <c r="J19" s="23"/>
      <c r="K19" s="13" t="s">
        <v>68</v>
      </c>
      <c r="L19" s="36">
        <f t="shared" si="0"/>
        <v>1</v>
      </c>
    </row>
    <row r="20" spans="1:12" ht="19.8" x14ac:dyDescent="0.5">
      <c r="A20" s="10">
        <v>17</v>
      </c>
      <c r="B20" s="43" t="s">
        <v>12</v>
      </c>
      <c r="C20" s="29">
        <v>1</v>
      </c>
      <c r="D20" s="29">
        <v>1</v>
      </c>
      <c r="E20" s="29">
        <v>1</v>
      </c>
      <c r="F20" s="29"/>
      <c r="G20" s="23">
        <v>1</v>
      </c>
      <c r="H20" s="23">
        <v>1</v>
      </c>
      <c r="I20" s="23">
        <v>1</v>
      </c>
      <c r="J20" s="23">
        <v>1</v>
      </c>
      <c r="K20" s="23">
        <v>1</v>
      </c>
      <c r="L20" s="36">
        <f t="shared" si="0"/>
        <v>8</v>
      </c>
    </row>
    <row r="21" spans="1:12" ht="19.8" x14ac:dyDescent="0.5">
      <c r="A21" s="10">
        <v>19</v>
      </c>
      <c r="B21" s="40" t="s">
        <v>13</v>
      </c>
      <c r="C21" s="27">
        <v>1</v>
      </c>
      <c r="D21" s="27"/>
      <c r="E21" s="27"/>
      <c r="F21" s="27"/>
      <c r="G21" s="23"/>
      <c r="H21" s="23">
        <v>1</v>
      </c>
      <c r="I21" s="23"/>
      <c r="J21" s="23"/>
      <c r="K21" s="23"/>
      <c r="L21" s="36">
        <f t="shared" si="0"/>
        <v>2</v>
      </c>
    </row>
    <row r="22" spans="1:12" ht="19.8" x14ac:dyDescent="0.5">
      <c r="A22" s="10">
        <v>20</v>
      </c>
      <c r="B22" s="40" t="s">
        <v>14</v>
      </c>
      <c r="C22" s="27"/>
      <c r="D22" s="27"/>
      <c r="E22" s="27"/>
      <c r="F22" s="27"/>
      <c r="G22" s="23"/>
      <c r="H22" s="23"/>
      <c r="I22" s="23"/>
      <c r="J22" s="23"/>
      <c r="K22" s="23"/>
      <c r="L22" s="36">
        <f t="shared" si="0"/>
        <v>0</v>
      </c>
    </row>
    <row r="23" spans="1:12" ht="19.8" x14ac:dyDescent="0.5">
      <c r="A23" s="10">
        <v>21</v>
      </c>
      <c r="B23" s="40" t="s">
        <v>15</v>
      </c>
      <c r="C23" s="27">
        <v>1</v>
      </c>
      <c r="D23" s="27">
        <v>1</v>
      </c>
      <c r="E23" s="27">
        <v>1</v>
      </c>
      <c r="F23" s="27"/>
      <c r="G23" s="24">
        <v>1</v>
      </c>
      <c r="H23" s="25"/>
      <c r="I23" s="25"/>
      <c r="J23" s="25"/>
      <c r="K23" s="25"/>
      <c r="L23" s="36">
        <f t="shared" si="0"/>
        <v>4</v>
      </c>
    </row>
    <row r="24" spans="1:12" ht="19.8" x14ac:dyDescent="0.5">
      <c r="A24" s="10">
        <v>22</v>
      </c>
      <c r="B24" s="40" t="s">
        <v>17</v>
      </c>
      <c r="C24" s="27">
        <v>1</v>
      </c>
      <c r="D24" s="27">
        <v>1</v>
      </c>
      <c r="E24" s="27">
        <v>1</v>
      </c>
      <c r="F24" s="27">
        <v>1</v>
      </c>
      <c r="G24" s="24">
        <v>1</v>
      </c>
      <c r="H24" s="23">
        <v>1</v>
      </c>
      <c r="I24" s="23">
        <v>1</v>
      </c>
      <c r="J24" s="23"/>
      <c r="K24" s="23"/>
      <c r="L24" s="36">
        <f t="shared" si="0"/>
        <v>7</v>
      </c>
    </row>
    <row r="25" spans="1:12" ht="19.8" x14ac:dyDescent="0.5">
      <c r="A25" s="10">
        <v>23</v>
      </c>
      <c r="B25" s="40" t="s">
        <v>16</v>
      </c>
      <c r="C25" s="27"/>
      <c r="D25" s="27"/>
      <c r="E25" s="27"/>
      <c r="F25" s="27"/>
      <c r="G25" s="24"/>
      <c r="H25" s="23"/>
      <c r="I25" s="23"/>
      <c r="J25" s="23"/>
      <c r="K25" s="23"/>
      <c r="L25" s="36">
        <f t="shared" si="0"/>
        <v>0</v>
      </c>
    </row>
    <row r="26" spans="1:12" ht="19.8" x14ac:dyDescent="0.5">
      <c r="A26" s="59" t="s">
        <v>46</v>
      </c>
      <c r="B26" s="59"/>
      <c r="C26" s="33">
        <v>44606</v>
      </c>
      <c r="D26" s="33">
        <v>44606</v>
      </c>
      <c r="E26" s="33">
        <v>44606</v>
      </c>
      <c r="F26" s="33">
        <v>44606</v>
      </c>
      <c r="G26" s="33">
        <v>44606</v>
      </c>
      <c r="H26" s="33">
        <v>44606</v>
      </c>
      <c r="I26" s="33">
        <v>44606</v>
      </c>
      <c r="J26" s="33">
        <v>44606</v>
      </c>
      <c r="K26" s="33">
        <v>44606</v>
      </c>
      <c r="L26" s="36"/>
    </row>
  </sheetData>
  <mergeCells count="2">
    <mergeCell ref="A26:B26"/>
    <mergeCell ref="A1:B2"/>
  </mergeCells>
  <pageMargins left="0.2" right="0.1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zoomScale="80" zoomScaleNormal="80" workbookViewId="0">
      <selection activeCell="G4" sqref="G4:G25"/>
    </sheetView>
  </sheetViews>
  <sheetFormatPr defaultRowHeight="14.4" x14ac:dyDescent="0.3"/>
  <cols>
    <col min="1" max="1" width="6.5546875" customWidth="1"/>
    <col min="2" max="2" width="39.109375" customWidth="1"/>
    <col min="3" max="3" width="10.33203125" style="11" customWidth="1"/>
    <col min="4" max="4" width="12.6640625" style="1" customWidth="1"/>
    <col min="5" max="5" width="14.21875" style="1" customWidth="1"/>
    <col min="6" max="7" width="10.33203125" style="11" customWidth="1"/>
  </cols>
  <sheetData>
    <row r="1" spans="1:7" x14ac:dyDescent="0.3">
      <c r="A1" s="57" t="s">
        <v>47</v>
      </c>
      <c r="B1" s="57"/>
    </row>
    <row r="2" spans="1:7" x14ac:dyDescent="0.3">
      <c r="A2" s="58"/>
      <c r="B2" s="58"/>
    </row>
    <row r="3" spans="1:7" ht="15.6" x14ac:dyDescent="0.3">
      <c r="A3" s="10"/>
      <c r="B3" s="38" t="s">
        <v>0</v>
      </c>
      <c r="C3" s="9" t="s">
        <v>48</v>
      </c>
      <c r="D3" s="9" t="s">
        <v>49</v>
      </c>
      <c r="E3" s="9" t="s">
        <v>62</v>
      </c>
      <c r="F3" s="9" t="s">
        <v>50</v>
      </c>
      <c r="G3" s="9" t="s">
        <v>20</v>
      </c>
    </row>
    <row r="4" spans="1:7" ht="19.8" x14ac:dyDescent="0.5">
      <c r="A4" s="10">
        <v>1</v>
      </c>
      <c r="B4" s="39" t="s">
        <v>31</v>
      </c>
      <c r="C4" s="10"/>
      <c r="D4" s="13"/>
      <c r="E4" s="13"/>
      <c r="F4" s="10"/>
      <c r="G4" s="10">
        <f>SUM(C4:F4)</f>
        <v>0</v>
      </c>
    </row>
    <row r="5" spans="1:7" ht="19.8" x14ac:dyDescent="0.5">
      <c r="A5" s="10">
        <v>2</v>
      </c>
      <c r="B5" s="39" t="s">
        <v>1</v>
      </c>
      <c r="C5" s="14"/>
      <c r="D5" s="14"/>
      <c r="E5" s="14"/>
      <c r="F5" s="14"/>
      <c r="G5" s="10">
        <f t="shared" ref="G5:G25" si="0">SUM(C5:F5)</f>
        <v>0</v>
      </c>
    </row>
    <row r="6" spans="1:7" ht="19.8" x14ac:dyDescent="0.5">
      <c r="A6" s="10">
        <v>3</v>
      </c>
      <c r="B6" s="39" t="s">
        <v>18</v>
      </c>
      <c r="C6" s="10">
        <v>3</v>
      </c>
      <c r="D6" s="13">
        <v>2</v>
      </c>
      <c r="E6" s="13"/>
      <c r="F6" s="13">
        <v>3</v>
      </c>
      <c r="G6" s="10">
        <f t="shared" si="0"/>
        <v>8</v>
      </c>
    </row>
    <row r="7" spans="1:7" ht="19.8" x14ac:dyDescent="0.5">
      <c r="A7" s="10">
        <v>4</v>
      </c>
      <c r="B7" s="39" t="s">
        <v>19</v>
      </c>
      <c r="C7" s="10">
        <v>3</v>
      </c>
      <c r="D7" s="13"/>
      <c r="E7" s="13">
        <v>3</v>
      </c>
      <c r="F7" s="13">
        <v>1</v>
      </c>
      <c r="G7" s="10">
        <f t="shared" si="0"/>
        <v>7</v>
      </c>
    </row>
    <row r="8" spans="1:7" ht="19.8" x14ac:dyDescent="0.5">
      <c r="A8" s="10">
        <v>5</v>
      </c>
      <c r="B8" s="39" t="s">
        <v>2</v>
      </c>
      <c r="C8" s="10">
        <v>3</v>
      </c>
      <c r="D8" s="13">
        <v>2</v>
      </c>
      <c r="E8" s="13">
        <v>3</v>
      </c>
      <c r="F8" s="13">
        <v>3</v>
      </c>
      <c r="G8" s="10">
        <f t="shared" si="0"/>
        <v>11</v>
      </c>
    </row>
    <row r="9" spans="1:7" ht="19.8" x14ac:dyDescent="0.5">
      <c r="A9" s="10">
        <v>6</v>
      </c>
      <c r="B9" s="39" t="s">
        <v>3</v>
      </c>
      <c r="C9" s="10"/>
      <c r="D9" s="13"/>
      <c r="E9" s="13"/>
      <c r="F9" s="13"/>
      <c r="G9" s="10">
        <f t="shared" si="0"/>
        <v>0</v>
      </c>
    </row>
    <row r="10" spans="1:7" ht="19.8" x14ac:dyDescent="0.5">
      <c r="A10" s="10">
        <v>7</v>
      </c>
      <c r="B10" s="40" t="s">
        <v>4</v>
      </c>
      <c r="C10" s="10">
        <v>6</v>
      </c>
      <c r="D10" s="13"/>
      <c r="E10" s="13">
        <v>3</v>
      </c>
      <c r="F10" s="13">
        <v>6</v>
      </c>
      <c r="G10" s="10">
        <f t="shared" si="0"/>
        <v>15</v>
      </c>
    </row>
    <row r="11" spans="1:7" ht="19.8" x14ac:dyDescent="0.5">
      <c r="A11" s="10">
        <v>8</v>
      </c>
      <c r="B11" s="40" t="s">
        <v>5</v>
      </c>
      <c r="C11" s="10">
        <v>2</v>
      </c>
      <c r="D11" s="13">
        <v>1</v>
      </c>
      <c r="E11" s="13"/>
      <c r="F11" s="13"/>
      <c r="G11" s="10">
        <f t="shared" si="0"/>
        <v>3</v>
      </c>
    </row>
    <row r="12" spans="1:7" ht="19.8" x14ac:dyDescent="0.5">
      <c r="A12" s="10">
        <v>9</v>
      </c>
      <c r="B12" s="40" t="s">
        <v>6</v>
      </c>
      <c r="C12" s="10">
        <v>2</v>
      </c>
      <c r="D12" s="13">
        <v>2</v>
      </c>
      <c r="E12" s="13">
        <v>2</v>
      </c>
      <c r="F12" s="13">
        <v>2</v>
      </c>
      <c r="G12" s="10">
        <f t="shared" si="0"/>
        <v>8</v>
      </c>
    </row>
    <row r="13" spans="1:7" ht="19.8" x14ac:dyDescent="0.5">
      <c r="A13" s="10">
        <v>10</v>
      </c>
      <c r="B13" s="40" t="s">
        <v>32</v>
      </c>
      <c r="C13" s="10">
        <v>2</v>
      </c>
      <c r="D13" s="13"/>
      <c r="E13" s="13"/>
      <c r="F13" s="13"/>
      <c r="G13" s="10">
        <f t="shared" si="0"/>
        <v>2</v>
      </c>
    </row>
    <row r="14" spans="1:7" ht="19.8" x14ac:dyDescent="0.5">
      <c r="A14" s="10">
        <v>11</v>
      </c>
      <c r="B14" s="40" t="s">
        <v>7</v>
      </c>
      <c r="C14" s="10">
        <v>1</v>
      </c>
      <c r="D14" s="13">
        <v>2</v>
      </c>
      <c r="E14" s="13"/>
      <c r="F14" s="13"/>
      <c r="G14" s="10">
        <f t="shared" si="0"/>
        <v>3</v>
      </c>
    </row>
    <row r="15" spans="1:7" ht="19.8" x14ac:dyDescent="0.5">
      <c r="A15" s="10">
        <v>12</v>
      </c>
      <c r="B15" s="40" t="s">
        <v>38</v>
      </c>
      <c r="C15" s="10"/>
      <c r="D15" s="13"/>
      <c r="E15" s="13"/>
      <c r="F15" s="13">
        <v>1</v>
      </c>
      <c r="G15" s="10">
        <f t="shared" si="0"/>
        <v>1</v>
      </c>
    </row>
    <row r="16" spans="1:7" ht="19.8" x14ac:dyDescent="0.5">
      <c r="A16" s="10">
        <v>13</v>
      </c>
      <c r="B16" s="40" t="s">
        <v>8</v>
      </c>
      <c r="C16" s="10"/>
      <c r="D16" s="13"/>
      <c r="E16" s="13"/>
      <c r="F16" s="13"/>
      <c r="G16" s="10">
        <f t="shared" si="0"/>
        <v>0</v>
      </c>
    </row>
    <row r="17" spans="1:7" ht="19.8" x14ac:dyDescent="0.5">
      <c r="A17" s="10">
        <v>14</v>
      </c>
      <c r="B17" s="40" t="s">
        <v>9</v>
      </c>
      <c r="C17" s="10"/>
      <c r="D17" s="13"/>
      <c r="E17" s="13"/>
      <c r="F17" s="13"/>
      <c r="G17" s="10">
        <f t="shared" si="0"/>
        <v>0</v>
      </c>
    </row>
    <row r="18" spans="1:7" ht="19.8" x14ac:dyDescent="0.5">
      <c r="A18" s="10">
        <v>15</v>
      </c>
      <c r="B18" s="40" t="s">
        <v>10</v>
      </c>
      <c r="C18" s="10"/>
      <c r="D18" s="13"/>
      <c r="E18" s="13"/>
      <c r="F18" s="13"/>
      <c r="G18" s="10">
        <f t="shared" si="0"/>
        <v>0</v>
      </c>
    </row>
    <row r="19" spans="1:7" ht="19.8" x14ac:dyDescent="0.5">
      <c r="A19" s="10">
        <v>16</v>
      </c>
      <c r="B19" s="42" t="s">
        <v>11</v>
      </c>
      <c r="C19" s="10"/>
      <c r="D19" s="13"/>
      <c r="E19" s="13"/>
      <c r="F19" s="13"/>
      <c r="G19" s="10">
        <f t="shared" si="0"/>
        <v>0</v>
      </c>
    </row>
    <row r="20" spans="1:7" ht="19.8" x14ac:dyDescent="0.5">
      <c r="A20" s="10">
        <v>17</v>
      </c>
      <c r="B20" s="43" t="s">
        <v>12</v>
      </c>
      <c r="C20" s="10">
        <v>1</v>
      </c>
      <c r="D20" s="13">
        <v>1</v>
      </c>
      <c r="E20" s="13">
        <v>1</v>
      </c>
      <c r="F20" s="13">
        <v>1</v>
      </c>
      <c r="G20" s="10">
        <f t="shared" si="0"/>
        <v>4</v>
      </c>
    </row>
    <row r="21" spans="1:7" ht="19.8" x14ac:dyDescent="0.5">
      <c r="A21" s="10">
        <v>19</v>
      </c>
      <c r="B21" s="40" t="s">
        <v>13</v>
      </c>
      <c r="C21" s="10"/>
      <c r="D21" s="13"/>
      <c r="E21" s="13"/>
      <c r="F21" s="13"/>
      <c r="G21" s="10">
        <f t="shared" si="0"/>
        <v>0</v>
      </c>
    </row>
    <row r="22" spans="1:7" ht="19.8" x14ac:dyDescent="0.5">
      <c r="A22" s="10">
        <v>20</v>
      </c>
      <c r="B22" s="40" t="s">
        <v>14</v>
      </c>
      <c r="C22" s="10"/>
      <c r="D22" s="13"/>
      <c r="E22" s="13"/>
      <c r="F22" s="13"/>
      <c r="G22" s="10">
        <f t="shared" si="0"/>
        <v>0</v>
      </c>
    </row>
    <row r="23" spans="1:7" ht="19.8" x14ac:dyDescent="0.5">
      <c r="A23" s="10">
        <v>21</v>
      </c>
      <c r="B23" s="40" t="s">
        <v>15</v>
      </c>
      <c r="C23" s="10">
        <v>3</v>
      </c>
      <c r="D23" s="15"/>
      <c r="E23" s="15">
        <v>3</v>
      </c>
      <c r="F23" s="15">
        <v>3</v>
      </c>
      <c r="G23" s="10">
        <f t="shared" si="0"/>
        <v>9</v>
      </c>
    </row>
    <row r="24" spans="1:7" ht="19.8" x14ac:dyDescent="0.5">
      <c r="A24" s="10">
        <v>22</v>
      </c>
      <c r="B24" s="40" t="s">
        <v>17</v>
      </c>
      <c r="C24" s="10">
        <v>1</v>
      </c>
      <c r="D24" s="13"/>
      <c r="E24" s="13">
        <v>1</v>
      </c>
      <c r="F24" s="10"/>
      <c r="G24" s="10">
        <f t="shared" si="0"/>
        <v>2</v>
      </c>
    </row>
    <row r="25" spans="1:7" ht="19.8" x14ac:dyDescent="0.5">
      <c r="A25" s="10">
        <v>23</v>
      </c>
      <c r="B25" s="40" t="s">
        <v>16</v>
      </c>
      <c r="C25" s="10"/>
      <c r="D25" s="13"/>
      <c r="E25" s="13"/>
      <c r="F25" s="10"/>
      <c r="G25" s="10">
        <f t="shared" si="0"/>
        <v>0</v>
      </c>
    </row>
    <row r="26" spans="1:7" ht="19.8" x14ac:dyDescent="0.5">
      <c r="A26" s="60" t="s">
        <v>46</v>
      </c>
      <c r="B26" s="61"/>
      <c r="C26" s="32">
        <v>44608</v>
      </c>
      <c r="D26" s="32">
        <v>44608</v>
      </c>
      <c r="E26" s="32">
        <v>44608</v>
      </c>
      <c r="F26" s="32">
        <v>44608</v>
      </c>
      <c r="G26" s="10"/>
    </row>
  </sheetData>
  <mergeCells count="2">
    <mergeCell ref="A26:B26"/>
    <mergeCell ref="A1:B2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zoomScale="80" zoomScaleNormal="80" workbookViewId="0">
      <selection activeCell="G4" sqref="G4:G25"/>
    </sheetView>
  </sheetViews>
  <sheetFormatPr defaultRowHeight="14.4" x14ac:dyDescent="0.3"/>
  <cols>
    <col min="1" max="1" width="6.5546875" customWidth="1"/>
    <col min="2" max="2" width="39.109375" customWidth="1"/>
    <col min="3" max="3" width="10.33203125" style="11" customWidth="1"/>
    <col min="4" max="4" width="12.6640625" style="1" customWidth="1"/>
    <col min="5" max="6" width="10.33203125" style="11" customWidth="1"/>
    <col min="7" max="7" width="9.6640625" style="11" customWidth="1"/>
  </cols>
  <sheetData>
    <row r="1" spans="1:7" x14ac:dyDescent="0.3">
      <c r="A1" s="57" t="s">
        <v>51</v>
      </c>
      <c r="B1" s="57"/>
      <c r="C1" s="35"/>
      <c r="D1" s="47"/>
      <c r="E1" s="35"/>
      <c r="F1" s="35"/>
      <c r="G1" s="35"/>
    </row>
    <row r="2" spans="1:7" x14ac:dyDescent="0.3">
      <c r="A2" s="58"/>
      <c r="B2" s="58"/>
      <c r="C2" s="35"/>
      <c r="D2" s="47"/>
      <c r="E2" s="35"/>
      <c r="F2" s="35"/>
      <c r="G2" s="35"/>
    </row>
    <row r="3" spans="1:7" ht="15.6" x14ac:dyDescent="0.3">
      <c r="A3" s="10"/>
      <c r="B3" s="38" t="s">
        <v>0</v>
      </c>
      <c r="C3" s="9" t="s">
        <v>52</v>
      </c>
      <c r="D3" s="9" t="s">
        <v>53</v>
      </c>
      <c r="E3" s="9" t="s">
        <v>54</v>
      </c>
      <c r="F3" s="9" t="s">
        <v>55</v>
      </c>
      <c r="G3" s="51" t="s">
        <v>20</v>
      </c>
    </row>
    <row r="4" spans="1:7" ht="19.8" x14ac:dyDescent="0.5">
      <c r="A4" s="10">
        <v>1</v>
      </c>
      <c r="B4" s="39" t="s">
        <v>31</v>
      </c>
      <c r="C4" s="10"/>
      <c r="D4" s="13"/>
      <c r="E4" s="10"/>
      <c r="F4" s="10"/>
      <c r="G4" s="51">
        <f>SUM(C4:F4)</f>
        <v>0</v>
      </c>
    </row>
    <row r="5" spans="1:7" ht="19.8" x14ac:dyDescent="0.5">
      <c r="A5" s="10">
        <v>2</v>
      </c>
      <c r="B5" s="39" t="s">
        <v>1</v>
      </c>
      <c r="C5" s="14"/>
      <c r="D5" s="14"/>
      <c r="E5" s="14"/>
      <c r="F5" s="14"/>
      <c r="G5" s="51">
        <f t="shared" ref="G5:G25" si="0">SUM(C5:F5)</f>
        <v>0</v>
      </c>
    </row>
    <row r="6" spans="1:7" ht="19.8" x14ac:dyDescent="0.5">
      <c r="A6" s="10">
        <v>3</v>
      </c>
      <c r="B6" s="39" t="s">
        <v>18</v>
      </c>
      <c r="C6" s="10">
        <v>3</v>
      </c>
      <c r="D6" s="13">
        <v>3</v>
      </c>
      <c r="E6" s="10">
        <v>1</v>
      </c>
      <c r="F6" s="10">
        <v>3</v>
      </c>
      <c r="G6" s="51">
        <f t="shared" si="0"/>
        <v>10</v>
      </c>
    </row>
    <row r="7" spans="1:7" ht="19.8" x14ac:dyDescent="0.5">
      <c r="A7" s="10">
        <v>4</v>
      </c>
      <c r="B7" s="39" t="s">
        <v>19</v>
      </c>
      <c r="C7" s="10">
        <v>3</v>
      </c>
      <c r="D7" s="13">
        <v>1</v>
      </c>
      <c r="E7" s="10">
        <v>1</v>
      </c>
      <c r="F7" s="10">
        <v>2</v>
      </c>
      <c r="G7" s="51">
        <f t="shared" si="0"/>
        <v>7</v>
      </c>
    </row>
    <row r="8" spans="1:7" ht="19.8" x14ac:dyDescent="0.5">
      <c r="A8" s="10">
        <v>5</v>
      </c>
      <c r="B8" s="39" t="s">
        <v>2</v>
      </c>
      <c r="C8" s="10">
        <v>3</v>
      </c>
      <c r="D8" s="13">
        <v>2</v>
      </c>
      <c r="E8" s="10">
        <v>1</v>
      </c>
      <c r="F8" s="10">
        <v>1</v>
      </c>
      <c r="G8" s="51">
        <f t="shared" si="0"/>
        <v>7</v>
      </c>
    </row>
    <row r="9" spans="1:7" ht="19.8" x14ac:dyDescent="0.5">
      <c r="A9" s="10">
        <v>6</v>
      </c>
      <c r="B9" s="39" t="s">
        <v>3</v>
      </c>
      <c r="C9" s="10"/>
      <c r="D9" s="13"/>
      <c r="E9" s="10"/>
      <c r="F9" s="10"/>
      <c r="G9" s="51">
        <f t="shared" si="0"/>
        <v>0</v>
      </c>
    </row>
    <row r="10" spans="1:7" ht="19.8" x14ac:dyDescent="0.5">
      <c r="A10" s="10">
        <v>7</v>
      </c>
      <c r="B10" s="40" t="s">
        <v>4</v>
      </c>
      <c r="C10" s="10">
        <v>6</v>
      </c>
      <c r="D10" s="13">
        <v>6</v>
      </c>
      <c r="E10" s="10">
        <v>6</v>
      </c>
      <c r="F10" s="10">
        <v>4</v>
      </c>
      <c r="G10" s="51">
        <f t="shared" si="0"/>
        <v>22</v>
      </c>
    </row>
    <row r="11" spans="1:7" ht="19.8" x14ac:dyDescent="0.5">
      <c r="A11" s="10">
        <v>8</v>
      </c>
      <c r="B11" s="40" t="s">
        <v>5</v>
      </c>
      <c r="C11" s="10"/>
      <c r="D11" s="13">
        <v>2</v>
      </c>
      <c r="E11" s="10"/>
      <c r="F11" s="10"/>
      <c r="G11" s="51">
        <f t="shared" si="0"/>
        <v>2</v>
      </c>
    </row>
    <row r="12" spans="1:7" ht="19.8" x14ac:dyDescent="0.5">
      <c r="A12" s="10">
        <v>9</v>
      </c>
      <c r="B12" s="40" t="s">
        <v>6</v>
      </c>
      <c r="C12" s="10">
        <v>2</v>
      </c>
      <c r="D12" s="13">
        <v>2</v>
      </c>
      <c r="E12" s="10">
        <v>2</v>
      </c>
      <c r="F12" s="10">
        <v>2</v>
      </c>
      <c r="G12" s="51">
        <f t="shared" si="0"/>
        <v>8</v>
      </c>
    </row>
    <row r="13" spans="1:7" ht="19.8" x14ac:dyDescent="0.5">
      <c r="A13" s="10">
        <v>10</v>
      </c>
      <c r="B13" s="40" t="s">
        <v>32</v>
      </c>
      <c r="C13" s="10">
        <v>1</v>
      </c>
      <c r="D13" s="13"/>
      <c r="E13" s="10"/>
      <c r="F13" s="10"/>
      <c r="G13" s="51">
        <f t="shared" si="0"/>
        <v>1</v>
      </c>
    </row>
    <row r="14" spans="1:7" ht="19.8" x14ac:dyDescent="0.5">
      <c r="A14" s="10">
        <v>11</v>
      </c>
      <c r="B14" s="40" t="s">
        <v>7</v>
      </c>
      <c r="C14" s="10">
        <v>1</v>
      </c>
      <c r="D14" s="13">
        <v>1</v>
      </c>
      <c r="E14" s="10">
        <v>1</v>
      </c>
      <c r="F14" s="10"/>
      <c r="G14" s="51">
        <f t="shared" si="0"/>
        <v>3</v>
      </c>
    </row>
    <row r="15" spans="1:7" ht="19.8" x14ac:dyDescent="0.5">
      <c r="A15" s="10">
        <v>12</v>
      </c>
      <c r="B15" s="40" t="s">
        <v>38</v>
      </c>
      <c r="C15" s="10">
        <v>2</v>
      </c>
      <c r="D15" s="13">
        <v>1</v>
      </c>
      <c r="E15" s="10"/>
      <c r="F15" s="10"/>
      <c r="G15" s="51">
        <f t="shared" si="0"/>
        <v>3</v>
      </c>
    </row>
    <row r="16" spans="1:7" ht="19.8" x14ac:dyDescent="0.5">
      <c r="A16" s="10">
        <v>13</v>
      </c>
      <c r="B16" s="40" t="s">
        <v>8</v>
      </c>
      <c r="C16" s="10"/>
      <c r="D16" s="13"/>
      <c r="E16" s="10"/>
      <c r="F16" s="10"/>
      <c r="G16" s="51">
        <f t="shared" si="0"/>
        <v>0</v>
      </c>
    </row>
    <row r="17" spans="1:7" ht="19.8" x14ac:dyDescent="0.5">
      <c r="A17" s="10">
        <v>14</v>
      </c>
      <c r="B17" s="40" t="s">
        <v>9</v>
      </c>
      <c r="C17" s="10">
        <v>1</v>
      </c>
      <c r="D17" s="13">
        <v>1</v>
      </c>
      <c r="E17" s="10">
        <v>1</v>
      </c>
      <c r="F17" s="10"/>
      <c r="G17" s="51">
        <f t="shared" si="0"/>
        <v>3</v>
      </c>
    </row>
    <row r="18" spans="1:7" ht="19.8" x14ac:dyDescent="0.5">
      <c r="A18" s="10">
        <v>15</v>
      </c>
      <c r="B18" s="40" t="s">
        <v>10</v>
      </c>
      <c r="C18" s="10">
        <v>2</v>
      </c>
      <c r="D18" s="13"/>
      <c r="E18" s="10">
        <v>2</v>
      </c>
      <c r="F18" s="10"/>
      <c r="G18" s="51">
        <f t="shared" si="0"/>
        <v>4</v>
      </c>
    </row>
    <row r="19" spans="1:7" ht="19.8" x14ac:dyDescent="0.5">
      <c r="A19" s="10">
        <v>16</v>
      </c>
      <c r="B19" s="42" t="s">
        <v>11</v>
      </c>
      <c r="C19" s="10"/>
      <c r="D19" s="13"/>
      <c r="E19" s="10"/>
      <c r="F19" s="10"/>
      <c r="G19" s="51">
        <f t="shared" si="0"/>
        <v>0</v>
      </c>
    </row>
    <row r="20" spans="1:7" ht="19.8" x14ac:dyDescent="0.5">
      <c r="A20" s="10">
        <v>17</v>
      </c>
      <c r="B20" s="43" t="s">
        <v>12</v>
      </c>
      <c r="C20" s="10">
        <v>1</v>
      </c>
      <c r="D20" s="13">
        <v>1</v>
      </c>
      <c r="E20" s="10">
        <v>1</v>
      </c>
      <c r="F20" s="10">
        <v>1</v>
      </c>
      <c r="G20" s="51">
        <f t="shared" si="0"/>
        <v>4</v>
      </c>
    </row>
    <row r="21" spans="1:7" ht="19.8" x14ac:dyDescent="0.5">
      <c r="A21" s="10">
        <v>19</v>
      </c>
      <c r="B21" s="40" t="s">
        <v>13</v>
      </c>
      <c r="C21" s="10"/>
      <c r="D21" s="13"/>
      <c r="E21" s="10"/>
      <c r="F21" s="10"/>
      <c r="G21" s="51">
        <f t="shared" si="0"/>
        <v>0</v>
      </c>
    </row>
    <row r="22" spans="1:7" ht="19.8" x14ac:dyDescent="0.5">
      <c r="A22" s="10">
        <v>20</v>
      </c>
      <c r="B22" s="40" t="s">
        <v>14</v>
      </c>
      <c r="C22" s="10">
        <v>1</v>
      </c>
      <c r="D22" s="13"/>
      <c r="E22" s="10"/>
      <c r="F22" s="10"/>
      <c r="G22" s="51">
        <f t="shared" si="0"/>
        <v>1</v>
      </c>
    </row>
    <row r="23" spans="1:7" ht="19.8" x14ac:dyDescent="0.5">
      <c r="A23" s="10">
        <v>21</v>
      </c>
      <c r="B23" s="40" t="s">
        <v>15</v>
      </c>
      <c r="C23" s="10">
        <v>3</v>
      </c>
      <c r="D23" s="15">
        <v>3</v>
      </c>
      <c r="E23" s="10">
        <v>3</v>
      </c>
      <c r="F23" s="10">
        <v>3</v>
      </c>
      <c r="G23" s="51">
        <f t="shared" si="0"/>
        <v>12</v>
      </c>
    </row>
    <row r="24" spans="1:7" ht="19.8" x14ac:dyDescent="0.5">
      <c r="A24" s="10">
        <v>22</v>
      </c>
      <c r="B24" s="40" t="s">
        <v>17</v>
      </c>
      <c r="C24" s="10"/>
      <c r="D24" s="13">
        <v>1</v>
      </c>
      <c r="E24" s="10"/>
      <c r="F24" s="10"/>
      <c r="G24" s="51">
        <f t="shared" si="0"/>
        <v>1</v>
      </c>
    </row>
    <row r="25" spans="1:7" ht="19.8" x14ac:dyDescent="0.5">
      <c r="A25" s="10">
        <v>23</v>
      </c>
      <c r="B25" s="40" t="s">
        <v>16</v>
      </c>
      <c r="C25" s="10"/>
      <c r="D25" s="13"/>
      <c r="E25" s="10"/>
      <c r="F25" s="10"/>
      <c r="G25" s="51">
        <f t="shared" si="0"/>
        <v>0</v>
      </c>
    </row>
    <row r="26" spans="1:7" ht="19.8" x14ac:dyDescent="0.5">
      <c r="A26" s="60" t="s">
        <v>46</v>
      </c>
      <c r="B26" s="61"/>
      <c r="C26" s="50">
        <v>44608</v>
      </c>
      <c r="D26" s="50">
        <v>44608</v>
      </c>
      <c r="E26" s="50">
        <v>44608</v>
      </c>
      <c r="F26" s="50">
        <v>44608</v>
      </c>
      <c r="G26" s="51"/>
    </row>
    <row r="27" spans="1:7" x14ac:dyDescent="0.3">
      <c r="A27" s="45"/>
      <c r="B27" s="45"/>
      <c r="C27" s="35"/>
      <c r="D27" s="47"/>
      <c r="E27" s="35"/>
      <c r="F27" s="35"/>
      <c r="G27" s="35"/>
    </row>
  </sheetData>
  <mergeCells count="2">
    <mergeCell ref="A26:B26"/>
    <mergeCell ref="A1:B2"/>
  </mergeCells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7"/>
  <sheetViews>
    <sheetView tabSelected="1" topLeftCell="A4" zoomScale="85" zoomScaleNormal="80" workbookViewId="0">
      <selection activeCell="K5" sqref="K5:K27"/>
    </sheetView>
  </sheetViews>
  <sheetFormatPr defaultRowHeight="14.4" x14ac:dyDescent="0.3"/>
  <cols>
    <col min="1" max="1" width="5.33203125" customWidth="1"/>
    <col min="2" max="2" width="32.109375" customWidth="1"/>
    <col min="3" max="3" width="12.109375" customWidth="1"/>
    <col min="4" max="4" width="10" customWidth="1"/>
    <col min="5" max="5" width="10.6640625" customWidth="1"/>
    <col min="6" max="6" width="10.5546875" customWidth="1"/>
    <col min="7" max="7" width="12.5546875" customWidth="1"/>
    <col min="8" max="8" width="9.5546875" customWidth="1"/>
    <col min="9" max="9" width="11.33203125" customWidth="1"/>
    <col min="10" max="10" width="9.33203125" customWidth="1"/>
    <col min="11" max="11" width="9.77734375" style="17" customWidth="1"/>
  </cols>
  <sheetData>
    <row r="2" spans="1:11" x14ac:dyDescent="0.3">
      <c r="B2" s="62" t="s">
        <v>67</v>
      </c>
      <c r="J2" s="11"/>
    </row>
    <row r="3" spans="1:11" x14ac:dyDescent="0.3">
      <c r="B3" s="63"/>
      <c r="J3" s="11"/>
    </row>
    <row r="4" spans="1:11" ht="33.75" customHeight="1" x14ac:dyDescent="0.3">
      <c r="A4" s="6"/>
      <c r="B4" s="7" t="s">
        <v>0</v>
      </c>
      <c r="C4" s="37" t="s">
        <v>27</v>
      </c>
      <c r="D4" s="37" t="s">
        <v>24</v>
      </c>
      <c r="E4" s="37" t="s">
        <v>28</v>
      </c>
      <c r="F4" s="37" t="s">
        <v>29</v>
      </c>
      <c r="G4" s="37" t="s">
        <v>56</v>
      </c>
      <c r="H4" s="37" t="s">
        <v>47</v>
      </c>
      <c r="I4" s="37" t="s">
        <v>51</v>
      </c>
      <c r="J4" s="37" t="s">
        <v>26</v>
      </c>
      <c r="K4" s="12" t="s">
        <v>20</v>
      </c>
    </row>
    <row r="5" spans="1:11" ht="19.8" x14ac:dyDescent="0.5">
      <c r="A5" s="2">
        <v>1</v>
      </c>
      <c r="B5" s="3" t="s">
        <v>31</v>
      </c>
      <c r="C5" s="13">
        <v>0</v>
      </c>
      <c r="D5" s="13">
        <v>0</v>
      </c>
      <c r="E5" s="13">
        <v>0</v>
      </c>
      <c r="F5" s="22">
        <v>0</v>
      </c>
      <c r="G5" s="13">
        <v>50</v>
      </c>
      <c r="H5" s="13">
        <v>0</v>
      </c>
      <c r="I5" s="13">
        <v>0</v>
      </c>
      <c r="J5" s="36">
        <v>0</v>
      </c>
      <c r="K5" s="18">
        <f>SUM(C5:J5)</f>
        <v>50</v>
      </c>
    </row>
    <row r="6" spans="1:11" ht="19.8" x14ac:dyDescent="0.5">
      <c r="A6" s="2">
        <v>2</v>
      </c>
      <c r="B6" s="3" t="s">
        <v>1</v>
      </c>
      <c r="C6" s="14">
        <v>0</v>
      </c>
      <c r="D6" s="14">
        <v>0</v>
      </c>
      <c r="E6" s="14">
        <v>0</v>
      </c>
      <c r="F6" s="22">
        <v>0</v>
      </c>
      <c r="G6" s="14">
        <v>50</v>
      </c>
      <c r="H6" s="14">
        <v>0</v>
      </c>
      <c r="I6" s="14">
        <v>0</v>
      </c>
      <c r="J6" s="36">
        <v>0</v>
      </c>
      <c r="K6" s="18">
        <f t="shared" ref="K6:K27" si="0">SUM(C6:J6)</f>
        <v>50</v>
      </c>
    </row>
    <row r="7" spans="1:11" ht="19.8" x14ac:dyDescent="0.5">
      <c r="A7" s="2">
        <v>3</v>
      </c>
      <c r="B7" s="3" t="s">
        <v>18</v>
      </c>
      <c r="C7" s="13">
        <v>3</v>
      </c>
      <c r="D7" s="13">
        <v>7</v>
      </c>
      <c r="E7" s="13">
        <v>0</v>
      </c>
      <c r="F7" s="22">
        <v>3</v>
      </c>
      <c r="G7" s="13">
        <v>150</v>
      </c>
      <c r="H7" s="13">
        <v>8</v>
      </c>
      <c r="I7" s="13">
        <v>10</v>
      </c>
      <c r="J7" s="36">
        <v>6</v>
      </c>
      <c r="K7" s="18">
        <f t="shared" si="0"/>
        <v>187</v>
      </c>
    </row>
    <row r="8" spans="1:11" ht="19.8" x14ac:dyDescent="0.5">
      <c r="A8" s="2">
        <v>4</v>
      </c>
      <c r="B8" s="3" t="s">
        <v>19</v>
      </c>
      <c r="C8" s="13">
        <v>0</v>
      </c>
      <c r="D8" s="13">
        <v>60</v>
      </c>
      <c r="E8" s="13">
        <v>0</v>
      </c>
      <c r="F8" s="22">
        <v>1</v>
      </c>
      <c r="G8" s="13">
        <v>150</v>
      </c>
      <c r="H8" s="13">
        <v>7</v>
      </c>
      <c r="I8" s="13">
        <v>7</v>
      </c>
      <c r="J8" s="36">
        <v>14</v>
      </c>
      <c r="K8" s="18">
        <f t="shared" si="0"/>
        <v>239</v>
      </c>
    </row>
    <row r="9" spans="1:11" ht="19.8" x14ac:dyDescent="0.5">
      <c r="A9" s="2">
        <v>5</v>
      </c>
      <c r="B9" s="3" t="s">
        <v>2</v>
      </c>
      <c r="C9" s="13">
        <v>1</v>
      </c>
      <c r="D9" s="13">
        <v>65</v>
      </c>
      <c r="E9" s="13">
        <v>0</v>
      </c>
      <c r="F9" s="22">
        <v>5</v>
      </c>
      <c r="G9" s="13">
        <v>150</v>
      </c>
      <c r="H9" s="13">
        <v>11</v>
      </c>
      <c r="I9" s="13">
        <v>7</v>
      </c>
      <c r="J9" s="36">
        <v>20</v>
      </c>
      <c r="K9" s="18">
        <f t="shared" si="0"/>
        <v>259</v>
      </c>
    </row>
    <row r="10" spans="1:11" ht="19.8" x14ac:dyDescent="0.5">
      <c r="A10" s="2">
        <v>6</v>
      </c>
      <c r="B10" s="3" t="s">
        <v>3</v>
      </c>
      <c r="C10" s="13">
        <v>0</v>
      </c>
      <c r="D10" s="13">
        <v>0</v>
      </c>
      <c r="E10" s="13">
        <v>0</v>
      </c>
      <c r="F10" s="22">
        <v>0</v>
      </c>
      <c r="G10" s="13">
        <v>50</v>
      </c>
      <c r="H10" s="13">
        <v>0</v>
      </c>
      <c r="I10" s="13">
        <v>0</v>
      </c>
      <c r="J10" s="36">
        <v>0</v>
      </c>
      <c r="K10" s="18">
        <f t="shared" si="0"/>
        <v>50</v>
      </c>
    </row>
    <row r="11" spans="1:11" ht="19.8" x14ac:dyDescent="0.5">
      <c r="A11" s="2">
        <v>7</v>
      </c>
      <c r="B11" s="4" t="s">
        <v>34</v>
      </c>
      <c r="C11" s="13">
        <v>3</v>
      </c>
      <c r="D11" s="13">
        <v>47</v>
      </c>
      <c r="E11" s="13">
        <v>6</v>
      </c>
      <c r="F11" s="22">
        <v>8</v>
      </c>
      <c r="G11" s="13">
        <v>300</v>
      </c>
      <c r="H11" s="13">
        <v>15</v>
      </c>
      <c r="I11" s="13">
        <v>22</v>
      </c>
      <c r="J11" s="36">
        <v>35</v>
      </c>
      <c r="K11" s="18">
        <f t="shared" si="0"/>
        <v>436</v>
      </c>
    </row>
    <row r="12" spans="1:11" ht="19.8" x14ac:dyDescent="0.5">
      <c r="A12" s="2">
        <v>8</v>
      </c>
      <c r="B12" s="4" t="s">
        <v>5</v>
      </c>
      <c r="C12" s="13">
        <v>1</v>
      </c>
      <c r="D12" s="13">
        <v>10</v>
      </c>
      <c r="E12" s="13">
        <v>3</v>
      </c>
      <c r="F12" s="22">
        <v>0</v>
      </c>
      <c r="G12" s="13">
        <v>300</v>
      </c>
      <c r="H12" s="13">
        <v>3</v>
      </c>
      <c r="I12" s="13">
        <v>2</v>
      </c>
      <c r="J12" s="36">
        <v>2</v>
      </c>
      <c r="K12" s="18">
        <f t="shared" si="0"/>
        <v>321</v>
      </c>
    </row>
    <row r="13" spans="1:11" ht="19.8" x14ac:dyDescent="0.5">
      <c r="A13" s="2">
        <v>9</v>
      </c>
      <c r="B13" s="4" t="s">
        <v>6</v>
      </c>
      <c r="C13" s="13">
        <v>2</v>
      </c>
      <c r="D13" s="13">
        <v>33</v>
      </c>
      <c r="E13" s="13">
        <v>5</v>
      </c>
      <c r="F13" s="22">
        <v>7</v>
      </c>
      <c r="G13" s="13">
        <v>100</v>
      </c>
      <c r="H13" s="13">
        <v>8</v>
      </c>
      <c r="I13" s="13">
        <v>8</v>
      </c>
      <c r="J13" s="36">
        <v>17</v>
      </c>
      <c r="K13" s="18">
        <f t="shared" si="0"/>
        <v>180</v>
      </c>
    </row>
    <row r="14" spans="1:11" ht="19.8" x14ac:dyDescent="0.5">
      <c r="A14" s="2">
        <v>10</v>
      </c>
      <c r="B14" s="4" t="s">
        <v>32</v>
      </c>
      <c r="C14" s="13">
        <v>2</v>
      </c>
      <c r="D14" s="13">
        <v>4</v>
      </c>
      <c r="E14" s="13">
        <v>0</v>
      </c>
      <c r="F14" s="22">
        <v>4</v>
      </c>
      <c r="G14" s="13">
        <v>150</v>
      </c>
      <c r="H14" s="13">
        <v>2</v>
      </c>
      <c r="I14" s="13">
        <v>1</v>
      </c>
      <c r="J14" s="36">
        <v>5</v>
      </c>
      <c r="K14" s="18">
        <f t="shared" si="0"/>
        <v>168</v>
      </c>
    </row>
    <row r="15" spans="1:11" ht="19.8" x14ac:dyDescent="0.5">
      <c r="A15" s="2">
        <v>11</v>
      </c>
      <c r="B15" s="4" t="s">
        <v>7</v>
      </c>
      <c r="C15" s="13">
        <v>3</v>
      </c>
      <c r="D15" s="13">
        <v>16</v>
      </c>
      <c r="E15" s="13">
        <v>0</v>
      </c>
      <c r="F15" s="22">
        <v>2</v>
      </c>
      <c r="G15" s="13">
        <v>150</v>
      </c>
      <c r="H15" s="13">
        <v>3</v>
      </c>
      <c r="I15" s="13">
        <v>3</v>
      </c>
      <c r="J15" s="36">
        <v>6</v>
      </c>
      <c r="K15" s="18">
        <f t="shared" si="0"/>
        <v>183</v>
      </c>
    </row>
    <row r="16" spans="1:11" ht="19.8" x14ac:dyDescent="0.5">
      <c r="A16" s="2">
        <v>12</v>
      </c>
      <c r="B16" s="4" t="s">
        <v>33</v>
      </c>
      <c r="C16" s="13">
        <v>0</v>
      </c>
      <c r="D16" s="13">
        <v>7</v>
      </c>
      <c r="E16" s="13">
        <v>1</v>
      </c>
      <c r="F16" s="22">
        <v>0</v>
      </c>
      <c r="G16" s="13">
        <v>100</v>
      </c>
      <c r="H16" s="13">
        <v>1</v>
      </c>
      <c r="I16" s="13">
        <v>3</v>
      </c>
      <c r="J16" s="36">
        <v>0</v>
      </c>
      <c r="K16" s="18">
        <f t="shared" si="0"/>
        <v>112</v>
      </c>
    </row>
    <row r="17" spans="1:11" ht="19.8" x14ac:dyDescent="0.5">
      <c r="A17" s="2">
        <v>13</v>
      </c>
      <c r="B17" s="4" t="s">
        <v>8</v>
      </c>
      <c r="C17" s="13">
        <v>0</v>
      </c>
      <c r="D17" s="13">
        <v>0</v>
      </c>
      <c r="E17" s="13">
        <v>0</v>
      </c>
      <c r="F17" s="22">
        <v>0</v>
      </c>
      <c r="G17" s="13">
        <v>150</v>
      </c>
      <c r="H17" s="13">
        <v>0</v>
      </c>
      <c r="I17" s="13">
        <v>0</v>
      </c>
      <c r="J17" s="36">
        <v>0</v>
      </c>
      <c r="K17" s="18">
        <f t="shared" si="0"/>
        <v>150</v>
      </c>
    </row>
    <row r="18" spans="1:11" ht="19.8" x14ac:dyDescent="0.5">
      <c r="A18" s="2">
        <v>14</v>
      </c>
      <c r="B18" s="4" t="s">
        <v>9</v>
      </c>
      <c r="C18" s="13">
        <v>0</v>
      </c>
      <c r="D18" s="13">
        <v>0</v>
      </c>
      <c r="E18" s="13">
        <v>0</v>
      </c>
      <c r="F18" s="22">
        <v>0</v>
      </c>
      <c r="G18" s="13">
        <v>100</v>
      </c>
      <c r="H18" s="13">
        <v>0</v>
      </c>
      <c r="I18" s="13">
        <v>3</v>
      </c>
      <c r="J18" s="36">
        <v>2</v>
      </c>
      <c r="K18" s="18">
        <f t="shared" si="0"/>
        <v>105</v>
      </c>
    </row>
    <row r="19" spans="1:11" ht="19.8" x14ac:dyDescent="0.5">
      <c r="A19" s="2">
        <v>15</v>
      </c>
      <c r="B19" s="4" t="s">
        <v>10</v>
      </c>
      <c r="C19" s="13">
        <v>1</v>
      </c>
      <c r="D19" s="13">
        <v>12</v>
      </c>
      <c r="E19" s="13">
        <v>2</v>
      </c>
      <c r="F19" s="22">
        <v>0</v>
      </c>
      <c r="G19" s="13">
        <v>150</v>
      </c>
      <c r="H19" s="13">
        <v>0</v>
      </c>
      <c r="I19" s="13">
        <v>4</v>
      </c>
      <c r="J19" s="36">
        <v>2</v>
      </c>
      <c r="K19" s="18">
        <f t="shared" si="0"/>
        <v>171</v>
      </c>
    </row>
    <row r="20" spans="1:11" ht="19.8" x14ac:dyDescent="0.5">
      <c r="A20" s="2">
        <v>16</v>
      </c>
      <c r="B20" s="8" t="s">
        <v>11</v>
      </c>
      <c r="C20" s="13">
        <v>0</v>
      </c>
      <c r="D20" s="13">
        <v>0</v>
      </c>
      <c r="E20" s="13">
        <v>0</v>
      </c>
      <c r="F20" s="22">
        <v>0</v>
      </c>
      <c r="G20" s="13">
        <v>50</v>
      </c>
      <c r="H20" s="13">
        <v>0</v>
      </c>
      <c r="I20" s="13">
        <v>0</v>
      </c>
      <c r="J20" s="36">
        <v>1</v>
      </c>
      <c r="K20" s="18">
        <f t="shared" si="0"/>
        <v>51</v>
      </c>
    </row>
    <row r="21" spans="1:11" ht="19.8" x14ac:dyDescent="0.5">
      <c r="A21" s="2">
        <v>17</v>
      </c>
      <c r="B21" s="5" t="s">
        <v>12</v>
      </c>
      <c r="C21" s="13">
        <v>1</v>
      </c>
      <c r="D21" s="13">
        <v>7</v>
      </c>
      <c r="E21" s="13">
        <v>0</v>
      </c>
      <c r="F21" s="22">
        <v>1</v>
      </c>
      <c r="G21" s="13">
        <v>50</v>
      </c>
      <c r="H21" s="13">
        <v>4</v>
      </c>
      <c r="I21" s="13">
        <v>4</v>
      </c>
      <c r="J21" s="36">
        <v>8</v>
      </c>
      <c r="K21" s="18">
        <f t="shared" si="0"/>
        <v>75</v>
      </c>
    </row>
    <row r="22" spans="1:11" ht="19.8" x14ac:dyDescent="0.5">
      <c r="A22" s="2">
        <v>19</v>
      </c>
      <c r="B22" s="4" t="s">
        <v>13</v>
      </c>
      <c r="C22" s="13">
        <v>0</v>
      </c>
      <c r="D22" s="13">
        <v>0</v>
      </c>
      <c r="E22" s="13">
        <v>0</v>
      </c>
      <c r="F22" s="22">
        <v>0</v>
      </c>
      <c r="G22" s="13">
        <v>50</v>
      </c>
      <c r="H22" s="13">
        <v>0</v>
      </c>
      <c r="I22" s="13">
        <v>0</v>
      </c>
      <c r="J22" s="36">
        <v>2</v>
      </c>
      <c r="K22" s="18">
        <f t="shared" si="0"/>
        <v>52</v>
      </c>
    </row>
    <row r="23" spans="1:11" ht="19.8" x14ac:dyDescent="0.5">
      <c r="A23" s="2">
        <v>20</v>
      </c>
      <c r="B23" s="4" t="s">
        <v>14</v>
      </c>
      <c r="C23" s="13">
        <v>1</v>
      </c>
      <c r="D23" s="13">
        <v>1</v>
      </c>
      <c r="E23" s="13">
        <v>0</v>
      </c>
      <c r="F23" s="22">
        <v>2</v>
      </c>
      <c r="G23" s="13">
        <v>200</v>
      </c>
      <c r="H23" s="13">
        <v>0</v>
      </c>
      <c r="I23" s="13">
        <v>1</v>
      </c>
      <c r="J23" s="36">
        <v>0</v>
      </c>
      <c r="K23" s="18">
        <f t="shared" si="0"/>
        <v>205</v>
      </c>
    </row>
    <row r="24" spans="1:11" ht="19.8" x14ac:dyDescent="0.5">
      <c r="A24" s="2">
        <v>21</v>
      </c>
      <c r="B24" s="4" t="s">
        <v>15</v>
      </c>
      <c r="C24" s="15">
        <v>0</v>
      </c>
      <c r="D24" s="15">
        <v>0</v>
      </c>
      <c r="E24" s="15">
        <v>0</v>
      </c>
      <c r="F24" s="22">
        <v>1</v>
      </c>
      <c r="G24" s="15">
        <v>200</v>
      </c>
      <c r="H24" s="15">
        <v>9</v>
      </c>
      <c r="I24" s="15">
        <v>12</v>
      </c>
      <c r="J24" s="36">
        <v>4</v>
      </c>
      <c r="K24" s="18">
        <f t="shared" si="0"/>
        <v>226</v>
      </c>
    </row>
    <row r="25" spans="1:11" ht="19.8" x14ac:dyDescent="0.5">
      <c r="A25" s="2">
        <v>22</v>
      </c>
      <c r="B25" s="4" t="s">
        <v>17</v>
      </c>
      <c r="C25" s="9">
        <v>1</v>
      </c>
      <c r="D25" s="13">
        <v>0</v>
      </c>
      <c r="E25" s="13">
        <v>0</v>
      </c>
      <c r="F25" s="22">
        <v>4</v>
      </c>
      <c r="G25" s="13">
        <v>50</v>
      </c>
      <c r="H25" s="13">
        <v>2</v>
      </c>
      <c r="I25" s="13">
        <v>1</v>
      </c>
      <c r="J25" s="36">
        <v>7</v>
      </c>
      <c r="K25" s="18">
        <f t="shared" si="0"/>
        <v>65</v>
      </c>
    </row>
    <row r="26" spans="1:11" ht="19.8" x14ac:dyDescent="0.5">
      <c r="A26" s="2">
        <v>23</v>
      </c>
      <c r="B26" s="4" t="s">
        <v>16</v>
      </c>
      <c r="C26" s="9">
        <v>0</v>
      </c>
      <c r="D26" s="13">
        <v>0</v>
      </c>
      <c r="E26" s="13">
        <v>0</v>
      </c>
      <c r="F26" s="22">
        <v>0</v>
      </c>
      <c r="G26" s="13">
        <v>100</v>
      </c>
      <c r="H26" s="13">
        <v>0</v>
      </c>
      <c r="I26" s="13">
        <v>0</v>
      </c>
      <c r="J26" s="36">
        <v>0</v>
      </c>
      <c r="K26" s="18">
        <f t="shared" si="0"/>
        <v>100</v>
      </c>
    </row>
    <row r="27" spans="1:11" ht="19.8" x14ac:dyDescent="0.5">
      <c r="A27" s="2">
        <v>23</v>
      </c>
      <c r="B27" s="4" t="s">
        <v>36</v>
      </c>
      <c r="C27" s="13">
        <v>0</v>
      </c>
      <c r="D27" s="16">
        <v>0</v>
      </c>
      <c r="E27" s="16">
        <v>0</v>
      </c>
      <c r="F27" s="16">
        <v>0</v>
      </c>
      <c r="G27" s="16">
        <v>50</v>
      </c>
      <c r="H27" s="16">
        <v>0</v>
      </c>
      <c r="I27" s="16">
        <v>0</v>
      </c>
      <c r="J27" s="36">
        <v>0</v>
      </c>
      <c r="K27" s="18">
        <f t="shared" si="0"/>
        <v>50</v>
      </c>
    </row>
  </sheetData>
  <mergeCells count="1">
    <mergeCell ref="B2:B3"/>
  </mergeCells>
  <pageMargins left="0.17" right="0.3" top="0.17" bottom="0.17" header="0.3" footer="0.17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UM SHAIF</vt:lpstr>
      <vt:lpstr>RUWAIS</vt:lpstr>
      <vt:lpstr>BU 'HASA</vt:lpstr>
      <vt:lpstr>ZARUKH</vt:lpstr>
      <vt:lpstr>ARZANAH</vt:lpstr>
      <vt:lpstr>S DOM</vt:lpstr>
      <vt:lpstr>UM LULU</vt:lpstr>
      <vt:lpstr>ADNOC</vt:lpstr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maplemedme@gmail.com</cp:lastModifiedBy>
  <cp:lastPrinted>2022-02-17T06:22:20Z</cp:lastPrinted>
  <dcterms:created xsi:type="dcterms:W3CDTF">2019-09-21T10:38:05Z</dcterms:created>
  <dcterms:modified xsi:type="dcterms:W3CDTF">2022-02-17T09:02:14Z</dcterms:modified>
</cp:coreProperties>
</file>