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hidePivotFieldList="1"/>
  <mc:AlternateContent xmlns:mc="http://schemas.openxmlformats.org/markup-compatibility/2006">
    <mc:Choice Requires="x15">
      <x15ac:absPath xmlns:x15ac="http://schemas.microsoft.com/office/spreadsheetml/2010/11/ac" url="https://kpmgare-my.sharepoint.com/personal/aeldeeb_kpmg_com/Documents/Documents/Projects/Khalifa Uni/Docs received 09.05.2023/"/>
    </mc:Choice>
  </mc:AlternateContent>
  <xr:revisionPtr revIDLastSave="21" documentId="11_0AFE31CBB0B447374F7D7B2A7893DDB6153A369B" xr6:coauthVersionLast="47" xr6:coauthVersionMax="47" xr10:uidLastSave="{65F137B7-E2E8-4D30-B7D9-AC730D309D28}"/>
  <bookViews>
    <workbookView xWindow="-110" yWindow="-110" windowWidth="19420" windowHeight="10420" xr2:uid="{00000000-000D-0000-FFFF-FFFF00000000}"/>
  </bookViews>
  <sheets>
    <sheet name="Findings" sheetId="1" r:id="rId1"/>
    <sheet name="Positive points  " sheetId="2" r:id="rId2"/>
    <sheet name="Graphs" sheetId="3" r:id="rId3"/>
  </sheets>
  <definedNames>
    <definedName name="_xlnm._FilterDatabase" localSheetId="0" hidden="1">Findings!$A$3:$J$98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2" l="1"/>
  <c r="I97" i="1" l="1"/>
  <c r="J97" i="1"/>
  <c r="H97" i="1"/>
</calcChain>
</file>

<file path=xl/sharedStrings.xml><?xml version="1.0" encoding="utf-8"?>
<sst xmlns="http://schemas.openxmlformats.org/spreadsheetml/2006/main" count="576" uniqueCount="314">
  <si>
    <t>No</t>
  </si>
  <si>
    <t>Finding</t>
  </si>
  <si>
    <t>Major</t>
  </si>
  <si>
    <t>Minor</t>
  </si>
  <si>
    <t>Area of improvement</t>
  </si>
  <si>
    <t>Observation</t>
  </si>
  <si>
    <t>The Emergency shower was not founded inspected last month. Last inspection done in August-22.</t>
  </si>
  <si>
    <t>ISO 45001 8.2</t>
  </si>
  <si>
    <t xml:space="preserve">The list of carcinogen, mutagens &amp; teratogens used in lab not identified ( Eg., Benzyl Chloride) &amp; to be  kept separately / used in lab as per SOP for carcinogens. </t>
  </si>
  <si>
    <t>Specific lab risk assessment available, but not updated.</t>
  </si>
  <si>
    <t>OSHAD COP#01 3.1.1.f</t>
  </si>
  <si>
    <t>ISO 45001-6.1</t>
  </si>
  <si>
    <t>List of authorized lab users not available during the audit.</t>
  </si>
  <si>
    <t>OSHAD COP#01 3.1.1.g</t>
  </si>
  <si>
    <t>EHS Auditing   Plan of Sub contractor not available.</t>
  </si>
  <si>
    <t>List of critical activities  under Imdaad that affect OH&amp;SMS not available</t>
  </si>
  <si>
    <t>Subcontractor Audit plan not found</t>
  </si>
  <si>
    <t xml:space="preserve">ISO 45001 6.1.2.2 </t>
  </si>
  <si>
    <t>Action item tracking Register not found.</t>
  </si>
  <si>
    <t>ISO 14001 9.2.2</t>
  </si>
  <si>
    <t>ISO 45001 7.2.d</t>
  </si>
  <si>
    <t xml:space="preserve"> Fire extinguisher &amp; Power shut-off Safety signage not adequately pasted in the lab. The lab door signage not updated.</t>
  </si>
  <si>
    <t>The  awareness document of responding to different emergency- student fainting, Electrical shock, water leakage, fire in near-by labs-etc.,) scenarios by students not found.</t>
  </si>
  <si>
    <t xml:space="preserve"> Earthing continuity test report for lab not available.</t>
  </si>
  <si>
    <t>ISO 50001  9.1.1.a.3</t>
  </si>
  <si>
    <t>Real Time Energy Performance Monitoring of Significant Energy Use Equipment ( Chillers, Cooling Tower &amp; package units) not available</t>
  </si>
  <si>
    <t xml:space="preserve">ISO 14001 8.1 </t>
  </si>
  <si>
    <t>Action plan to phase out HCFC refrigerant not available in file</t>
  </si>
  <si>
    <t>IAQ test done but recent report not available in file.</t>
  </si>
  <si>
    <t xml:space="preserve"> Specialized gas technician for replacement of cylinder in both campuses not available.</t>
  </si>
  <si>
    <t>ISO 45001 7.4.2.a</t>
  </si>
  <si>
    <t>Departmental meeting, as part of internal communication, to have EHS issues /concerns discussed as an agenda. ( Opportunities for Improvement)</t>
  </si>
  <si>
    <t xml:space="preserve">ISO 45001 7.2. </t>
  </si>
  <si>
    <t>Technicians working in Management store not aware of lifting techniques, spillage response &amp; first Aid.</t>
  </si>
  <si>
    <t xml:space="preserve">ISO 14001 7.4.3 </t>
  </si>
  <si>
    <t>Communication regarding the safety guidelines for chemical ,Gas cylinder or equipment  suppliers not available</t>
  </si>
  <si>
    <t>Distribution Gas Cylinder / tracking mechanism not available in the campus .</t>
  </si>
  <si>
    <t xml:space="preserve">ISO 45001 7.2.b </t>
  </si>
  <si>
    <t>Teaching assistants have not undertaken additional external First Aid Training. ( Minor Non Conformity)</t>
  </si>
  <si>
    <t xml:space="preserve">ISO 45001 7.2.d </t>
  </si>
  <si>
    <t>The training records of EHS online mandatory training courses not available in file ( Minor Non Conformity)</t>
  </si>
  <si>
    <t>Task specific risk assessment prepared for equipment  not reviewed by  EHS dept.</t>
  </si>
  <si>
    <t xml:space="preserve"> RACE Safety  signage not found in the lab</t>
  </si>
  <si>
    <t xml:space="preserve">ISO 45001 6.1.2 </t>
  </si>
  <si>
    <t>The lab door was found kept wedged open allowing unauthorized entry inside labs.</t>
  </si>
  <si>
    <t>UAE life safety code</t>
  </si>
  <si>
    <t>The smoke detectors were found to be masked</t>
  </si>
  <si>
    <t>The exit route was found to be blocked with materials</t>
  </si>
  <si>
    <t>Lab Safety Manual  5.2</t>
  </si>
  <si>
    <t xml:space="preserve"> Housekeeping was found to be poor in Control Room &amp;  Plant room</t>
  </si>
  <si>
    <t>Lab Safety Manual  5.9.4</t>
  </si>
  <si>
    <t>Unauthorized extension cords were found to be used in Control room.</t>
  </si>
  <si>
    <t>First Aider list not available &amp; refresher training if required for all lab representatives.</t>
  </si>
  <si>
    <t>Lab user is not aware on KU Risk Management Procedure for categorizing the risk of lab activities. (Opportunity for improvement)</t>
  </si>
  <si>
    <t>OSHAD CoP #15 3.4.C</t>
  </si>
  <si>
    <t>First Aider Training not received.</t>
  </si>
  <si>
    <t>Lab Safety Manual  4.1</t>
  </si>
  <si>
    <t>Clause</t>
  </si>
  <si>
    <t xml:space="preserve">Servicing / PPM / calibration record for Autoclave not available. </t>
  </si>
  <si>
    <t xml:space="preserve">The chemical inventory list not found updated (last done on Sep 2021). </t>
  </si>
  <si>
    <t>ISO 45001 7.3</t>
  </si>
  <si>
    <t>ISO 45001 8.2.1</t>
  </si>
  <si>
    <t>Safety Data Sheets not available for Gas cylinders.</t>
  </si>
  <si>
    <t xml:space="preserve">Lab staff is not aware on KU Risk Management Procedure for categorizing the risk of lab activities. </t>
  </si>
  <si>
    <t xml:space="preserve">Lack of awareness regarding accessing EHS resources from KU portal. </t>
  </si>
  <si>
    <t>Secondary containment not observed for liquid chemicals storage.</t>
  </si>
  <si>
    <t xml:space="preserve">Solid chemicals segregation is poor.  </t>
  </si>
  <si>
    <t xml:space="preserve">Fire alarm hooter is not available inside the lab. Lab team has concern on hearing the fire alarm from corridor during the operation of lab equipment. Lab team has notified the concern to the FM.  </t>
  </si>
  <si>
    <t xml:space="preserve">The lab door was found not locked and it will create unauthorized entry inside labs. </t>
  </si>
  <si>
    <t xml:space="preserve">Updated soft copy of reviewed Risk Assessment available. Outdated RA hardcopy filed. </t>
  </si>
  <si>
    <t xml:space="preserve">The  awareness document of responding to different emergency- student fainting, Electrical shock, water leakage, fire in near-by labs-etc.,) scenarios by students not found. </t>
  </si>
  <si>
    <t xml:space="preserve">“Undertaking from students” that they will comply with lab safety procedures not found. </t>
  </si>
  <si>
    <t>Display GHS Pictogram signage to create awareness among students.</t>
  </si>
  <si>
    <t xml:space="preserve">Exhaust Ventilation for chemical cabinets not provided. </t>
  </si>
  <si>
    <t xml:space="preserve">Task Specific risk Assessment for some experiments not available. </t>
  </si>
  <si>
    <t xml:space="preserve">Secondary containment not observed for liquid chemicals. </t>
  </si>
  <si>
    <t xml:space="preserve">Liquid chemicals stored in normal fume hood cabinet. </t>
  </si>
  <si>
    <t>Fume hood #3 alarm issue, inspection and maintenance to be ensured.</t>
  </si>
  <si>
    <t xml:space="preserve">PPE is improperly placed. </t>
  </si>
  <si>
    <t xml:space="preserve">Emergency exit signage is not available. </t>
  </si>
  <si>
    <t>Lack of awareness regarding accessing EHS resources from KU portal.</t>
  </si>
  <si>
    <t xml:space="preserve">The lab door was found kept open allowing unauthorized entry inside labs. </t>
  </si>
  <si>
    <t>Unsuitable adaptor used for equipment electrical connection.</t>
  </si>
  <si>
    <t>ISO 45001 8.1.2</t>
  </si>
  <si>
    <t>ISO 45001 7.5.1</t>
  </si>
  <si>
    <t>ISO 45001 7.5.2</t>
  </si>
  <si>
    <t>Evidence of violation record is not provided.</t>
  </si>
  <si>
    <t>Student Code of Conduct is not updated.</t>
  </si>
  <si>
    <t xml:space="preserve">Employees are not aware of the incident reporting system in KU. </t>
  </si>
  <si>
    <r>
      <t xml:space="preserve">There is no evidence of closing the EHS Inspection findings in regards to the </t>
    </r>
    <r>
      <rPr>
        <sz val="9"/>
        <color theme="1"/>
        <rFont val="Arial"/>
        <family val="2"/>
      </rPr>
      <t>Accommodation.</t>
    </r>
  </si>
  <si>
    <t>Employees are not aware of the incident reporting system in KU. (Observation)</t>
  </si>
  <si>
    <t>Evidence of violation record is not provided. (observation)</t>
  </si>
  <si>
    <t xml:space="preserve">Lack of awareness for Emergency call number (3999) </t>
  </si>
  <si>
    <t xml:space="preserve">Unavailability of Lab General Risk Assessment </t>
  </si>
  <si>
    <t xml:space="preserve">Unavailability of first aid training for lab engineers </t>
  </si>
  <si>
    <t xml:space="preserve">General risk assessment is missing and task specific risk assessment is outdated </t>
  </si>
  <si>
    <t xml:space="preserve">Lab safety sign is outdated. </t>
  </si>
  <si>
    <t xml:space="preserve">Inability to illustrate  EHS roles and responsibilities of lab engineers/lab custodian  </t>
  </si>
  <si>
    <t xml:space="preserve">Measurement of EHS  general and specific competencies is missing </t>
  </si>
  <si>
    <t xml:space="preserve">Measure employee conformance against EHS roles and responsibilities is missing </t>
  </si>
  <si>
    <t xml:space="preserve">Medical surveillance records for food handlers and drivers are not available </t>
  </si>
  <si>
    <t xml:space="preserve">Training records for drivers , food handlers are not available </t>
  </si>
  <si>
    <t xml:space="preserve">Inspection records for transportation, food retailers and catering are not available </t>
  </si>
  <si>
    <t>Total</t>
  </si>
  <si>
    <t>Location</t>
  </si>
  <si>
    <t xml:space="preserve">Main Campus </t>
  </si>
  <si>
    <t xml:space="preserve">SAN Campus </t>
  </si>
  <si>
    <t xml:space="preserve">Department </t>
  </si>
  <si>
    <t>Administration</t>
  </si>
  <si>
    <t>HR</t>
  </si>
  <si>
    <t xml:space="preserve">Petroleum Geoscience </t>
  </si>
  <si>
    <t>Physics Lab</t>
  </si>
  <si>
    <t xml:space="preserve">Student Service
Accommodation </t>
  </si>
  <si>
    <t>Chemical Engineering</t>
  </si>
  <si>
    <t>Petroleum Engineering</t>
  </si>
  <si>
    <t>Core Labs</t>
  </si>
  <si>
    <t>Chemistry</t>
  </si>
  <si>
    <t>Chemical Engineering/ CMAT</t>
  </si>
  <si>
    <t xml:space="preserve">First Aider certificate is expired. Refresher training required. </t>
  </si>
  <si>
    <t xml:space="preserve">Emergency evacuation map is not displayed </t>
  </si>
  <si>
    <t xml:space="preserve">Auditees are not sure about documentation on departmental activities. </t>
  </si>
  <si>
    <t>ISO 45001 7.1</t>
  </si>
  <si>
    <t xml:space="preserve">Fire extinguisher hose nozzle damaged. </t>
  </si>
  <si>
    <t>There is no evidence of closing the EHS Inspection findings in regards to the accommodation.</t>
  </si>
  <si>
    <t>ISO 45001 7.3                          OSHAD   E 02 3.1 (a)</t>
  </si>
  <si>
    <t xml:space="preserve">ISO 45001  6.1.2 </t>
  </si>
  <si>
    <t>ISO 45001  7.3</t>
  </si>
  <si>
    <t>ISO 45001 9.1</t>
  </si>
  <si>
    <t>ISO 45001 6.1.2.2</t>
  </si>
  <si>
    <t>ISO 45001 6.1.2.1</t>
  </si>
  <si>
    <t>ISO 45001 6.1.1</t>
  </si>
  <si>
    <r>
      <t xml:space="preserve">ISO 45001 </t>
    </r>
    <r>
      <rPr>
        <b/>
        <sz val="11"/>
        <color theme="1"/>
        <rFont val="Calibri"/>
        <family val="2"/>
        <scheme val="minor"/>
      </rPr>
      <t>7.5.3</t>
    </r>
  </si>
  <si>
    <t>ISO 45001  6.1.2</t>
  </si>
  <si>
    <t>ISO 45001 7.4.1</t>
  </si>
  <si>
    <t xml:space="preserve">Protective measures i.e. emergency push button found blocked/inaccessible. Fire extinguisher placed inappropriate area on floor. </t>
  </si>
  <si>
    <t>Reference No</t>
  </si>
  <si>
    <t>AFEHS-EHS /REP S_01-17/OCT/2022</t>
  </si>
  <si>
    <t>Student Service Accommodation</t>
  </si>
  <si>
    <t>OSHAD Element 3 – 3.1.1 (f)</t>
  </si>
  <si>
    <r>
      <t>OSHAD CoP 19- 3.1.1 (c)</t>
    </r>
    <r>
      <rPr>
        <sz val="11"/>
        <color theme="1"/>
        <rFont val="Times New Roman"/>
        <family val="1"/>
      </rPr>
      <t xml:space="preserve"> </t>
    </r>
  </si>
  <si>
    <t>AFEHS-EHS /REP S_02-17/OCT/2022</t>
  </si>
  <si>
    <t>AFEHS-EHS /REP S_03-17/OCT/2022</t>
  </si>
  <si>
    <t>AFEHS-EHS /REP S_04-17/OCT/2022</t>
  </si>
  <si>
    <t>AFEHS-EHS /REP S_05-17/OCT/2022</t>
  </si>
  <si>
    <t>AFEHS-EHS /REP S_06-18/OCT/2022</t>
  </si>
  <si>
    <t>AFEHS-EHS /REP S_07-18/OCT/2022</t>
  </si>
  <si>
    <t>AFEHS-EHS /REP S_08-18/OCT/2022</t>
  </si>
  <si>
    <t>AFEHS-EHS /REP S_09-18/OCT/2022</t>
  </si>
  <si>
    <t>AFEHS-EHS /REP S_10-18/OCT/2022</t>
  </si>
  <si>
    <t>AFEHS-EHS /REP S_11-18/OCT/2022</t>
  </si>
  <si>
    <t>AFEHS-EHS /REP S_12-18/OCT/2022</t>
  </si>
  <si>
    <t>AFEHS-EHS /REP S_13-18/OCT/2022</t>
  </si>
  <si>
    <t>AFEHS-EHS /REP S_14-18/OCT/2022</t>
  </si>
  <si>
    <t>AFEHS-EHS /REP S_15-18/OCT/2022</t>
  </si>
  <si>
    <t>AFEHS-EHS /REP S_16-18/OCT/2022</t>
  </si>
  <si>
    <t>AFEHS-EHS /REP S_17-18/OCT/2022</t>
  </si>
  <si>
    <t>AFEHS-EHS /REP S_18-18/OCT/2022</t>
  </si>
  <si>
    <t>AFEHS-EHS /REP S_19-18/OCT/2022</t>
  </si>
  <si>
    <t>AFEHS-EHS /REP S_20-18/OCT/2022</t>
  </si>
  <si>
    <t>AFEHS-EHS /REP S_21-18/OCT/2022</t>
  </si>
  <si>
    <t>AFEHS-EHS /REP S_22-18/OCT/2022</t>
  </si>
  <si>
    <t>AFEHS-EHS /REP S_23-18/OCT/2022</t>
  </si>
  <si>
    <t>AFEHS-EHS /REP S_24-18/OCT/2022</t>
  </si>
  <si>
    <t>AFEHS-EHS /REP S_25-19/OCT/2022</t>
  </si>
  <si>
    <t>AFEHS-EHS /REP S_26-19/OCT/2022</t>
  </si>
  <si>
    <t>AFEHS-EHS /REP S_27-19/OCT/2022</t>
  </si>
  <si>
    <t>AFEHS-EHS /REP S_28-19/OCT/2022</t>
  </si>
  <si>
    <t>AFEHS-EHS /REP S_29-19/OCT/2022</t>
  </si>
  <si>
    <t>AFEHS-EHS /REP S_30-19/OCT/2022</t>
  </si>
  <si>
    <t>AFEHS-EHS /REP S_31-19/OCT/2022</t>
  </si>
  <si>
    <t>AFEHS-EHS /REP S_32-19/OCT/2022</t>
  </si>
  <si>
    <t>AFEHS-EHS /REP S_33-19/OCT/2022</t>
  </si>
  <si>
    <t>AFEHS-EHS /REP S_34-19/OCT/2022</t>
  </si>
  <si>
    <t>AFEHS-EHS /REP S_35-19/OCT/2022</t>
  </si>
  <si>
    <t>AFEHS-EHS /REP S_36-19/OCT/2022</t>
  </si>
  <si>
    <t>AFEHS-EHS /REP S_37-19/OCT/2022</t>
  </si>
  <si>
    <t>AFEHS-EHS /REP S_38-19/OCT/2022</t>
  </si>
  <si>
    <t>AFEHS-EHS /REP S_39-19/OCT/2022</t>
  </si>
  <si>
    <t>AFEHS-EHS /REP S_40-19/OCT/2022</t>
  </si>
  <si>
    <t>AFEHS-EHS /REP S_41-19/OCT/2022</t>
  </si>
  <si>
    <t>AFEHS-EHS /REP S_42-19/OCT/2022</t>
  </si>
  <si>
    <t>AFEHS-EHS /REP S_43-20/OCT/2022</t>
  </si>
  <si>
    <t>AFEHS-EHS /REP S_44-20/OCT/2022</t>
  </si>
  <si>
    <t>AFEHS-EHS /REP S_45-20/OCT/2022</t>
  </si>
  <si>
    <t>AFEHS-EHS /REP S_46-20/OCT/2022</t>
  </si>
  <si>
    <t>AFEHS-EHS /REP S_47-20/OCT/2022</t>
  </si>
  <si>
    <t>AFEHS-EHS /REP S_48-18/OCT/2022</t>
  </si>
  <si>
    <t>AFEHS-EHS /REP S_49-18/OCT/2022</t>
  </si>
  <si>
    <t>AFEHS-EHS /REP S_50-18/OCT/2022</t>
  </si>
  <si>
    <t>AFEHS-EHS /REP S_51-18/OCT/2022</t>
  </si>
  <si>
    <t>AFEHS-EHS /REP S_52-18/OCT/2022</t>
  </si>
  <si>
    <t>AFEHS-EHS /REP S_53-18/OCT/2022</t>
  </si>
  <si>
    <t>AFEHS-EHS /REP S_54-20/OCT/2022</t>
  </si>
  <si>
    <t>AFEHS-EHS /REP S_55-20/OCT/2022</t>
  </si>
  <si>
    <t>AFEHS-EHS /REP S_56-20/OCT/2022</t>
  </si>
  <si>
    <t>OSHAD 3.1 Element 1 – Clause 3.1</t>
  </si>
  <si>
    <t>OSHAD 3.1 Element 5- 3.2 (a)</t>
  </si>
  <si>
    <t>ISO 45001-8.2</t>
  </si>
  <si>
    <t>OSHAD Cop #17 3.4.b</t>
  </si>
  <si>
    <t>ISO 45001 6.1</t>
  </si>
  <si>
    <t>EHS</t>
  </si>
  <si>
    <t>AFEHS-EHS/REP M01 -17/Oct/2022</t>
  </si>
  <si>
    <t>AFEHS-EHS/REP M02-17/Oct/2022</t>
  </si>
  <si>
    <t>AFEHS-EHS/REP M03-17/Oct/2022</t>
  </si>
  <si>
    <t>Civil Engineering</t>
  </si>
  <si>
    <r>
      <t xml:space="preserve">AFEHS-EHS /REP </t>
    </r>
    <r>
      <rPr>
        <sz val="11"/>
        <color theme="1"/>
        <rFont val="Arial"/>
        <family val="2"/>
      </rPr>
      <t xml:space="preserve"> M04</t>
    </r>
    <r>
      <rPr>
        <sz val="11"/>
        <color theme="1"/>
        <rFont val="Calibri"/>
        <family val="2"/>
        <scheme val="minor"/>
      </rPr>
      <t>-18/OCT/2022</t>
    </r>
  </si>
  <si>
    <t xml:space="preserve">ISO 45001 8.1, OSHAD COP#36 3.1.1.b.x </t>
  </si>
  <si>
    <t>AFEHS-EHS /REP  M04-18/OCT/2022</t>
  </si>
  <si>
    <r>
      <t xml:space="preserve">Mechanical Engineering </t>
    </r>
    <r>
      <rPr>
        <sz val="9"/>
        <color theme="1"/>
        <rFont val="Arial"/>
        <family val="2"/>
      </rPr>
      <t xml:space="preserve"> </t>
    </r>
  </si>
  <si>
    <r>
      <t xml:space="preserve">AFEHS-EHS /REP </t>
    </r>
    <r>
      <rPr>
        <sz val="11"/>
        <color theme="1"/>
        <rFont val="Arial"/>
        <family val="2"/>
      </rPr>
      <t xml:space="preserve"> M05</t>
    </r>
    <r>
      <rPr>
        <sz val="11"/>
        <color theme="1"/>
        <rFont val="Calibri"/>
        <family val="2"/>
        <scheme val="minor"/>
      </rPr>
      <t>-18/OCT/2022</t>
    </r>
  </si>
  <si>
    <t xml:space="preserve">Industrial Systems Engineering </t>
  </si>
  <si>
    <r>
      <t xml:space="preserve">AFEHS-EHS /REP </t>
    </r>
    <r>
      <rPr>
        <sz val="11"/>
        <color theme="1"/>
        <rFont val="Arial"/>
        <family val="2"/>
      </rPr>
      <t xml:space="preserve"> M06</t>
    </r>
    <r>
      <rPr>
        <sz val="11"/>
        <color theme="1"/>
        <rFont val="Calibri"/>
        <family val="2"/>
        <scheme val="minor"/>
      </rPr>
      <t>-18/OCT/2022</t>
    </r>
  </si>
  <si>
    <t>Proper grounding to be provided such as Schuko adapters for equipment.</t>
  </si>
  <si>
    <t>Task Specific Lab risk assessment in labs to be reviewed /approved.</t>
  </si>
  <si>
    <r>
      <t>Earthing continuity test report from Imdaad to be obtained.</t>
    </r>
    <r>
      <rPr>
        <sz val="12"/>
        <color theme="1"/>
        <rFont val="Times New Roman"/>
        <family val="1"/>
      </rPr>
      <t xml:space="preserve"> </t>
    </r>
    <r>
      <rPr>
        <sz val="11"/>
        <color theme="1"/>
        <rFont val="Calibri"/>
        <family val="2"/>
        <scheme val="minor"/>
      </rPr>
      <t>The path to earth from circuits, equipment, and enclosures shall be permanent, continuous, and effective.</t>
    </r>
  </si>
  <si>
    <r>
      <t xml:space="preserve">Electrical  &amp; Computer Engineering </t>
    </r>
    <r>
      <rPr>
        <sz val="9"/>
        <color theme="1"/>
        <rFont val="Arial"/>
        <family val="2"/>
      </rPr>
      <t xml:space="preserve"> </t>
    </r>
  </si>
  <si>
    <r>
      <t xml:space="preserve">AFEHS-EHS /REP </t>
    </r>
    <r>
      <rPr>
        <sz val="11"/>
        <color theme="1"/>
        <rFont val="Arial"/>
        <family val="2"/>
      </rPr>
      <t xml:space="preserve"> M07</t>
    </r>
    <r>
      <rPr>
        <sz val="11"/>
        <color theme="1"/>
        <rFont val="Calibri"/>
        <family val="2"/>
        <scheme val="minor"/>
      </rPr>
      <t>-19/OCT/2022</t>
    </r>
  </si>
  <si>
    <t>OSHAD Cop #15 3.4.C</t>
  </si>
  <si>
    <t xml:space="preserve">Biomedical Engineering </t>
  </si>
  <si>
    <r>
      <t xml:space="preserve">AFEHS-EHS /REP </t>
    </r>
    <r>
      <rPr>
        <sz val="11"/>
        <color theme="1"/>
        <rFont val="Arial"/>
        <family val="2"/>
      </rPr>
      <t xml:space="preserve"> M08</t>
    </r>
    <r>
      <rPr>
        <sz val="11"/>
        <color theme="1"/>
        <rFont val="Calibri"/>
        <family val="2"/>
        <scheme val="minor"/>
      </rPr>
      <t>-18/OCT/2022</t>
    </r>
  </si>
  <si>
    <t>ISO 45001- 8.1</t>
  </si>
  <si>
    <t xml:space="preserve">Biology Lab  </t>
  </si>
  <si>
    <r>
      <t xml:space="preserve">AFEHS-EHS /REP </t>
    </r>
    <r>
      <rPr>
        <sz val="11"/>
        <color theme="1"/>
        <rFont val="Arial"/>
        <family val="2"/>
      </rPr>
      <t xml:space="preserve"> M09</t>
    </r>
    <r>
      <rPr>
        <sz val="11"/>
        <color theme="1"/>
        <rFont val="Calibri"/>
        <family val="2"/>
        <scheme val="minor"/>
      </rPr>
      <t>-18/OCT/2022</t>
    </r>
  </si>
  <si>
    <t>Robotics</t>
  </si>
  <si>
    <r>
      <t xml:space="preserve">AFEHS-EHS /REP </t>
    </r>
    <r>
      <rPr>
        <sz val="11"/>
        <color theme="1"/>
        <rFont val="Arial"/>
        <family val="2"/>
      </rPr>
      <t xml:space="preserve"> M010</t>
    </r>
    <r>
      <rPr>
        <sz val="11"/>
        <color theme="1"/>
        <rFont val="Calibri"/>
        <family val="2"/>
        <scheme val="minor"/>
      </rPr>
      <t>-19/OCT/2022</t>
    </r>
  </si>
  <si>
    <t>Procurement-Management Store</t>
  </si>
  <si>
    <r>
      <t xml:space="preserve">AFEHS-EHS /REP </t>
    </r>
    <r>
      <rPr>
        <sz val="11"/>
        <color theme="1"/>
        <rFont val="Arial"/>
        <family val="2"/>
      </rPr>
      <t xml:space="preserve"> M011</t>
    </r>
    <r>
      <rPr>
        <sz val="11"/>
        <color theme="1"/>
        <rFont val="Calibri"/>
        <family val="2"/>
        <scheme val="minor"/>
      </rPr>
      <t>-20/OCT/2022</t>
    </r>
  </si>
  <si>
    <t>ISO 14001-8.2</t>
  </si>
  <si>
    <t>Imdaad</t>
  </si>
  <si>
    <t>AFEHS-EHS /REP  M012-20/OCT/2022</t>
  </si>
  <si>
    <t>AFEHS-EHS /REP  M013-20/OCT/2022</t>
  </si>
  <si>
    <t>Westcoast</t>
  </si>
  <si>
    <t>AFEHS-EHS /REP  M014-20/OCT/2022</t>
  </si>
  <si>
    <t>FM Department</t>
  </si>
  <si>
    <r>
      <t xml:space="preserve">AFEHS-EHS /REP </t>
    </r>
    <r>
      <rPr>
        <sz val="11"/>
        <color theme="1"/>
        <rFont val="Arial"/>
        <family val="2"/>
      </rPr>
      <t xml:space="preserve"> M015</t>
    </r>
    <r>
      <rPr>
        <sz val="11"/>
        <color theme="1"/>
        <rFont val="Calibri"/>
        <family val="2"/>
        <scheme val="minor"/>
      </rPr>
      <t>-20/OCT/2022</t>
    </r>
  </si>
  <si>
    <t>ISO 14001-9.1</t>
  </si>
  <si>
    <t>ISO 45001-7.2</t>
  </si>
  <si>
    <t>The latest protocol procedure of COVID from MOE found not included in the EHS legal register.</t>
  </si>
  <si>
    <t>ISO45001:2018
6.1.1</t>
  </si>
  <si>
    <t>ISO14001:2015
8.2.d</t>
  </si>
  <si>
    <t>The competency record of EHS team involved in EnMS not retained ( EnMS lead implementation Certificates)</t>
  </si>
  <si>
    <t xml:space="preserve">ISO 50001:2018
7.2.d
</t>
  </si>
  <si>
    <r>
      <rPr>
        <sz val="11"/>
        <color theme="1"/>
        <rFont val="Times New Roman"/>
        <family val="1"/>
      </rPr>
      <t>A</t>
    </r>
    <r>
      <rPr>
        <sz val="11"/>
        <color theme="1"/>
        <rFont val="Arial"/>
        <family val="2"/>
      </rPr>
      <t>FEHS/REPM03A-17/Oct/2022</t>
    </r>
  </si>
  <si>
    <t xml:space="preserve">OSHAD Cop #15 3.4.b </t>
  </si>
  <si>
    <t xml:space="preserve">ISO 45001 9.1.1 </t>
  </si>
  <si>
    <t>The performance evaluation on third quarter of EHSMS not carried.</t>
  </si>
  <si>
    <t>The mock drill plan for different scenarios ( such as Chemical spill ) for 2022 is not uniformly spread on the first half of the year 2022</t>
  </si>
  <si>
    <t>ISO 14001 
9.2.1</t>
  </si>
  <si>
    <t>Lab</t>
  </si>
  <si>
    <t>Residence life office</t>
  </si>
  <si>
    <t xml:space="preserve">Training Department </t>
  </si>
  <si>
    <t xml:space="preserve">Academic Laboratories </t>
  </si>
  <si>
    <t>Contractor</t>
  </si>
  <si>
    <t xml:space="preserve">AFEHS </t>
  </si>
  <si>
    <t>AFEHS</t>
  </si>
  <si>
    <t>Procurement &amp; Contracts</t>
  </si>
  <si>
    <t>C00061</t>
  </si>
  <si>
    <t>C00062</t>
  </si>
  <si>
    <t>C00063</t>
  </si>
  <si>
    <t>C00064</t>
  </si>
  <si>
    <t>B01087</t>
  </si>
  <si>
    <t>B04042</t>
  </si>
  <si>
    <t>L01026</t>
  </si>
  <si>
    <t xml:space="preserve"> L01026</t>
  </si>
  <si>
    <t>G02017</t>
  </si>
  <si>
    <t>C-02009</t>
  </si>
  <si>
    <t xml:space="preserve">Positive points  </t>
  </si>
  <si>
    <t>Lab Safety</t>
  </si>
  <si>
    <t xml:space="preserve">Lab door signage updated with lab engineer details. </t>
  </si>
  <si>
    <t>Site Specific business continuity was evident during the audit</t>
  </si>
  <si>
    <t>Site specific ERP was available during the Audit</t>
  </si>
  <si>
    <t xml:space="preserve">The different emergency scenarios along with response procedure explained to all students on the first class of the lab. </t>
  </si>
  <si>
    <t xml:space="preserve">Spill kit &amp; First aid box available </t>
  </si>
  <si>
    <t xml:space="preserve">Student participant acknowledgement form signed and documented. </t>
  </si>
  <si>
    <t xml:space="preserve">Competent Fire warden and First aider were evident during the audit </t>
  </si>
  <si>
    <t>Operational planning and control General</t>
  </si>
  <si>
    <t>Plumbers’ Hepatitis-B Vaccination details are available with the site team during the audit</t>
  </si>
  <si>
    <t xml:space="preserve">Portable Appliance Test (PAT) for office equipment’s was found out during the audit. </t>
  </si>
  <si>
    <t>Inspection</t>
  </si>
  <si>
    <t xml:space="preserve">Self-Inspection are conducted by lab engineer regularly </t>
  </si>
  <si>
    <t>Half-yearly  self-inspection by lab engineers carried out</t>
  </si>
  <si>
    <t xml:space="preserve">Full cooperation from Lab Custodian Dr. Banu; Lab Engineer &amp; researchers working in the lab. </t>
  </si>
  <si>
    <t>Risk assessment – General, specific &amp; task specific risk assessment were all filed in a folder</t>
  </si>
  <si>
    <t xml:space="preserve">The PPM/Validation/servicing records of all lab equipment carried out as per manufacturers guidelines. </t>
  </si>
  <si>
    <t>Measurement control</t>
  </si>
  <si>
    <t xml:space="preserve"> Monitoring &amp; Measurement equipment’s calibration data are available.</t>
  </si>
  <si>
    <t>Internal audit</t>
  </si>
  <si>
    <t xml:space="preserve"> Internal audit report and closed out was available during the audit.</t>
  </si>
  <si>
    <t xml:space="preserve"> PTW system is maintained and supporting documents was available during the audit.</t>
  </si>
  <si>
    <t>Document control</t>
  </si>
  <si>
    <r>
      <rPr>
        <sz val="7"/>
        <color theme="1"/>
        <rFont val="Times New Roman"/>
        <family val="1"/>
      </rPr>
      <t xml:space="preserve">  </t>
    </r>
    <r>
      <rPr>
        <sz val="11"/>
        <color theme="1"/>
        <rFont val="Calibri"/>
        <family val="2"/>
        <scheme val="minor"/>
      </rPr>
      <t xml:space="preserve">EHS documents all filed up with dividers and easily retrievable. </t>
    </r>
  </si>
  <si>
    <t xml:space="preserve">Energy efficient lab equipment / accessories procured for labs. </t>
  </si>
  <si>
    <t xml:space="preserve">Waste disposed as per KU waste disposal procedure. </t>
  </si>
  <si>
    <r>
      <rPr>
        <sz val="7"/>
        <color theme="1"/>
        <rFont val="Times New Roman"/>
        <family val="1"/>
      </rPr>
      <t xml:space="preserve"> </t>
    </r>
    <r>
      <rPr>
        <sz val="11"/>
        <color theme="1"/>
        <rFont val="Calibri"/>
        <family val="2"/>
        <scheme val="minor"/>
      </rPr>
      <t xml:space="preserve">Monthly meeting organized with contractors to monitor EHS issues </t>
    </r>
  </si>
  <si>
    <t xml:space="preserve">Subcontractor audit carried out for major contractors </t>
  </si>
  <si>
    <t xml:space="preserve">All lab engineers were available during the internal audit showing their commitment. </t>
  </si>
  <si>
    <t xml:space="preserve">Internal communication about OH&amp;S is well organized and documented. </t>
  </si>
  <si>
    <t xml:space="preserve">New lab is being set up in compliance to EHS standards. </t>
  </si>
  <si>
    <t xml:space="preserve">The fume hoods and Biological safety cabinets were calibrated. </t>
  </si>
  <si>
    <t xml:space="preserve">PPE’s required for lab activities are available </t>
  </si>
  <si>
    <t xml:space="preserve">Emergency contact number posted on the lab. </t>
  </si>
  <si>
    <t>Training records of all lab users are available</t>
  </si>
  <si>
    <t>Waste Management</t>
  </si>
  <si>
    <t>Communication</t>
  </si>
  <si>
    <t>Contractor Management</t>
  </si>
  <si>
    <t>Roles and Responsibilities</t>
  </si>
  <si>
    <t>Subcontractors MSRA was available during the audit</t>
  </si>
  <si>
    <t>Training, Awareness and Competency</t>
  </si>
  <si>
    <t xml:space="preserve">EHS Internal Audit Findings </t>
  </si>
  <si>
    <t xml:space="preserve">Emergency Management  </t>
  </si>
  <si>
    <t>Risk Management</t>
  </si>
  <si>
    <t xml:space="preserve">Area of improvement </t>
  </si>
  <si>
    <t xml:space="preserve">Non-confrmity </t>
  </si>
  <si>
    <t>Postive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</si>
</sst>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sz val="11"/>
      <color rgb="FF000000"/>
      <name val="Calibri"/>
      <family val="2"/>
    </font>
    <font>
      <b/>
      <sz val="11"/>
      <color rgb="FF000000"/>
      <name val="Calibri"/>
      <family val="2"/>
    </font>
    <font>
      <b/>
      <sz val="11"/>
      <color rgb="FF000000"/>
      <name val="Calibri"/>
      <family val="2"/>
      <scheme val="minor"/>
    </font>
    <font>
      <b/>
      <sz val="14"/>
      <color theme="1"/>
      <name val="Calibri"/>
      <family val="2"/>
      <scheme val="minor"/>
    </font>
    <font>
      <sz val="11"/>
      <color theme="1"/>
      <name val="Symbol"/>
      <family val="1"/>
      <charset val="2"/>
    </font>
    <font>
      <sz val="9"/>
      <color theme="1"/>
      <name val="Arial"/>
      <family val="2"/>
    </font>
    <font>
      <sz val="11"/>
      <color theme="1"/>
      <name val="Times New Roman"/>
      <family val="1"/>
    </font>
    <font>
      <b/>
      <sz val="11"/>
      <color rgb="FF242424"/>
      <name val="Segoe UI"/>
      <family val="2"/>
    </font>
    <font>
      <sz val="11"/>
      <color theme="1"/>
      <name val="Arial"/>
      <family val="2"/>
    </font>
    <font>
      <sz val="12"/>
      <color theme="1"/>
      <name val="Times New Roman"/>
      <family val="1"/>
    </font>
    <font>
      <b/>
      <sz val="16"/>
      <color theme="1"/>
      <name val="Calibri"/>
      <family val="2"/>
      <scheme val="minor"/>
    </font>
    <font>
      <sz val="12"/>
      <color theme="1"/>
      <name val="Calibri"/>
      <family val="2"/>
      <scheme val="minor"/>
    </font>
    <font>
      <sz val="7"/>
      <color theme="1"/>
      <name val="Times New Roman"/>
      <family val="1"/>
    </font>
    <font>
      <b/>
      <sz val="22"/>
      <color theme="1"/>
      <name val="Calibri"/>
      <family val="2"/>
      <scheme val="minor"/>
    </font>
    <font>
      <b/>
      <sz val="30"/>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9">
    <xf numFmtId="0" fontId="0" fillId="0" borderId="0" xfId="0"/>
    <xf numFmtId="0" fontId="0" fillId="0" borderId="0" xfId="0" applyAlignment="1"/>
    <xf numFmtId="0" fontId="1" fillId="0" borderId="0" xfId="0" applyFont="1" applyAlignment="1">
      <alignment horizontal="center" vertical="center"/>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0" fillId="0" borderId="1" xfId="0" applyFont="1" applyBorder="1" applyAlignment="1">
      <alignment horizontal="left" vertical="center" wrapText="1"/>
    </xf>
    <xf numFmtId="0" fontId="8" fillId="0" borderId="1" xfId="0"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center" vertical="center" wrapText="1"/>
    </xf>
    <xf numFmtId="0" fontId="2" fillId="0" borderId="4" xfId="0" applyFont="1" applyBorder="1" applyAlignment="1">
      <alignment horizontal="left" vertical="center" wrapText="1"/>
    </xf>
    <xf numFmtId="0" fontId="4" fillId="0" borderId="4" xfId="0" applyFont="1" applyBorder="1" applyAlignment="1">
      <alignment horizontal="left" vertical="center" wrapText="1"/>
    </xf>
    <xf numFmtId="0" fontId="0" fillId="0" borderId="4" xfId="0" applyFont="1" applyBorder="1" applyAlignment="1">
      <alignment horizontal="left" vertical="center" wrapText="1"/>
    </xf>
    <xf numFmtId="0" fontId="0" fillId="0" borderId="4" xfId="0" applyBorder="1" applyAlignment="1">
      <alignment vertical="center" wrapText="1"/>
    </xf>
    <xf numFmtId="0" fontId="2" fillId="0" borderId="4" xfId="0" applyFont="1" applyBorder="1" applyAlignment="1">
      <alignment vertical="center" wrapText="1"/>
    </xf>
    <xf numFmtId="0" fontId="0" fillId="0" borderId="1" xfId="0" applyBorder="1"/>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wrapText="1"/>
    </xf>
    <xf numFmtId="0" fontId="2" fillId="0" borderId="1" xfId="0" applyFont="1" applyBorder="1" applyAlignment="1">
      <alignment horizontal="center" vertical="center" wrapText="1"/>
    </xf>
    <xf numFmtId="0" fontId="2" fillId="0" borderId="5" xfId="0" applyFont="1" applyBorder="1" applyAlignment="1">
      <alignment vertical="center" wrapText="1"/>
    </xf>
    <xf numFmtId="0" fontId="0" fillId="0" borderId="0" xfId="0" applyBorder="1"/>
    <xf numFmtId="0" fontId="0" fillId="0" borderId="4" xfId="0" applyBorder="1"/>
    <xf numFmtId="0" fontId="0" fillId="0" borderId="4" xfId="0"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horizont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1" fillId="0" borderId="0" xfId="0" applyFont="1" applyAlignment="1">
      <alignment horizontal="center" vertical="center" wrapText="1"/>
    </xf>
    <xf numFmtId="0" fontId="15" fillId="0" borderId="9" xfId="0" applyFont="1" applyBorder="1" applyAlignment="1">
      <alignment horizontal="left" vertical="center" wrapText="1"/>
    </xf>
    <xf numFmtId="0" fontId="15" fillId="0" borderId="11" xfId="0" applyFont="1" applyBorder="1" applyAlignment="1">
      <alignment horizontal="left" vertical="center" wrapText="1"/>
    </xf>
    <xf numFmtId="0" fontId="0" fillId="0" borderId="9" xfId="0" applyBorder="1" applyAlignment="1">
      <alignment horizontal="left" vertical="center" wrapText="1"/>
    </xf>
    <xf numFmtId="0" fontId="0" fillId="0" borderId="11" xfId="0" applyBorder="1" applyAlignment="1">
      <alignment horizontal="left" vertical="center" wrapText="1"/>
    </xf>
    <xf numFmtId="0" fontId="0" fillId="0" borderId="15" xfId="0" applyBorder="1" applyAlignment="1">
      <alignment horizontal="left" vertical="center" wrapText="1"/>
    </xf>
    <xf numFmtId="0" fontId="0" fillId="0" borderId="17" xfId="0" applyBorder="1" applyAlignment="1">
      <alignment horizontal="left" vertical="center" wrapText="1"/>
    </xf>
    <xf numFmtId="0" fontId="14" fillId="0" borderId="19" xfId="0" applyFont="1" applyFill="1" applyBorder="1" applyAlignment="1">
      <alignment horizontal="center" vertical="center" wrapText="1"/>
    </xf>
    <xf numFmtId="0" fontId="0" fillId="0" borderId="19" xfId="0"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0" xfId="0" applyAlignment="1">
      <alignment horizontal="center" wrapText="1"/>
    </xf>
    <xf numFmtId="0" fontId="1" fillId="5" borderId="22"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2" fillId="0" borderId="0" xfId="0" applyFont="1" applyBorder="1" applyAlignment="1">
      <alignment horizontal="justify" vertical="center" wrapText="1"/>
    </xf>
    <xf numFmtId="0" fontId="2" fillId="0" borderId="0" xfId="0" applyFont="1" applyBorder="1" applyAlignment="1">
      <alignment horizontal="left" vertical="center" wrapText="1" indent="1"/>
    </xf>
    <xf numFmtId="0" fontId="8" fillId="0" borderId="22" xfId="0" applyFont="1" applyBorder="1" applyAlignment="1">
      <alignment horizontal="center" vertical="center"/>
    </xf>
    <xf numFmtId="0" fontId="1" fillId="0" borderId="0" xfId="0" applyFont="1" applyBorder="1" applyAlignment="1">
      <alignment horizontal="center" vertical="center"/>
    </xf>
    <xf numFmtId="0" fontId="2" fillId="0" borderId="0" xfId="0" applyFont="1" applyBorder="1" applyAlignment="1">
      <alignment horizontal="justify" vertical="center"/>
    </xf>
    <xf numFmtId="0" fontId="0" fillId="0" borderId="0" xfId="0" applyBorder="1" applyAlignment="1">
      <alignment wrapText="1"/>
    </xf>
    <xf numFmtId="0" fontId="2" fillId="0" borderId="0"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8" fillId="0" borderId="8" xfId="0" applyFont="1" applyBorder="1" applyAlignment="1">
      <alignment horizontal="center" vertical="center"/>
    </xf>
    <xf numFmtId="0" fontId="18" fillId="0" borderId="16" xfId="0" applyFont="1" applyBorder="1" applyAlignment="1">
      <alignment horizontal="center" vertical="center"/>
    </xf>
    <xf numFmtId="0" fontId="18" fillId="0" borderId="20" xfId="0" applyFont="1" applyBorder="1" applyAlignment="1">
      <alignment horizontal="center" vertical="center"/>
    </xf>
    <xf numFmtId="0" fontId="7" fillId="2" borderId="1" xfId="0" applyFont="1" applyFill="1" applyBorder="1" applyAlignment="1">
      <alignment horizontal="center" vertical="center" wrapText="1"/>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14" fillId="0" borderId="13" xfId="0" applyFont="1" applyFill="1" applyBorder="1" applyAlignment="1">
      <alignment horizontal="center" vertical="center" wrapText="1"/>
    </xf>
    <xf numFmtId="0" fontId="14" fillId="0" borderId="0" xfId="0" applyFont="1" applyFill="1" applyAlignment="1">
      <alignment horizontal="center" vertical="center" wrapText="1"/>
    </xf>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14" fillId="0" borderId="1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Audit Findings </a:t>
            </a:r>
          </a:p>
        </c:rich>
      </c:tx>
      <c:layout>
        <c:manualLayout>
          <c:xMode val="edge"/>
          <c:yMode val="edge"/>
          <c:x val="0.34618044619422572"/>
          <c:y val="3.703703703703703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DFD-4B15-9990-6D9B5358F46E}"/>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D0C9-4809-8E7D-11F14AFE10FF}"/>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0C9-4809-8E7D-11F14AFE10FF}"/>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0C9-4809-8E7D-11F14AFE10FF}"/>
              </c:ext>
            </c:extLst>
          </c:dPt>
          <c:dPt>
            <c:idx val="4"/>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D0C9-4809-8E7D-11F14AFE10FF}"/>
              </c:ext>
            </c:extLst>
          </c:dPt>
          <c:dLbls>
            <c:dLbl>
              <c:idx val="1"/>
              <c:tx>
                <c:rich>
                  <a:bodyPr/>
                  <a:lstStyle/>
                  <a:p>
                    <a:fld id="{F01A8102-445F-4060-928F-D2B8F3A63F0D}" type="VALUE">
                      <a:rPr lang="en-US"/>
                      <a:pPr/>
                      <a:t>[VALUE]</a:t>
                    </a:fld>
                    <a:r>
                      <a:rPr lang="en-US" baseline="0"/>
                      <a:t> </a:t>
                    </a:r>
                  </a:p>
                  <a:p>
                    <a:fld id="{E9C8AF7D-F800-4530-8FC9-CF5151C5604F}" type="PERCENTAGE">
                      <a:rPr lang="en-US" baseline="0"/>
                      <a:pPr/>
                      <a:t>[PERCENTAGE]</a:t>
                    </a:fld>
                    <a:endParaRPr lang="en-US"/>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0C9-4809-8E7D-11F14AFE10FF}"/>
                </c:ext>
              </c:extLst>
            </c:dLbl>
            <c:dLbl>
              <c:idx val="2"/>
              <c:tx>
                <c:rich>
                  <a:bodyPr/>
                  <a:lstStyle/>
                  <a:p>
                    <a:fld id="{5A5D4BCA-2C5D-4A07-A99B-8BA4F7DB56F5}" type="VALUE">
                      <a:rPr lang="en-US"/>
                      <a:pPr/>
                      <a:t>[VALUE]</a:t>
                    </a:fld>
                    <a:r>
                      <a:rPr lang="en-US" baseline="0"/>
                      <a:t> </a:t>
                    </a:r>
                  </a:p>
                  <a:p>
                    <a:fld id="{1AC485BC-38F0-435B-8C80-D3D0611C26A9}" type="PERCENTAGE">
                      <a:rPr lang="en-US" baseline="0"/>
                      <a:pPr/>
                      <a:t>[PERCENTAGE]</a:t>
                    </a:fld>
                    <a:endParaRPr lang="en-US"/>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0C9-4809-8E7D-11F14AFE10FF}"/>
                </c:ext>
              </c:extLst>
            </c:dLbl>
            <c:dLbl>
              <c:idx val="3"/>
              <c:tx>
                <c:rich>
                  <a:bodyPr/>
                  <a:lstStyle/>
                  <a:p>
                    <a:fld id="{BF7F9025-37AE-4299-BC6B-1A157E14452A}" type="VALUE">
                      <a:rPr lang="en-US"/>
                      <a:pPr/>
                      <a:t>[VALUE]</a:t>
                    </a:fld>
                    <a:endParaRPr lang="en-US"/>
                  </a:p>
                  <a:p>
                    <a:r>
                      <a:rPr lang="en-US" baseline="0"/>
                      <a:t> </a:t>
                    </a:r>
                    <a:fld id="{E2F67DF1-398B-4BDC-8F78-E4968E378C97}"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0C9-4809-8E7D-11F14AFE10FF}"/>
                </c:ext>
              </c:extLst>
            </c:dLbl>
            <c:dLbl>
              <c:idx val="4"/>
              <c:tx>
                <c:rich>
                  <a:bodyPr/>
                  <a:lstStyle/>
                  <a:p>
                    <a:fld id="{62183665-24DE-4EB4-B013-537BDA2BD4B9}" type="VALUE">
                      <a:rPr lang="en-US"/>
                      <a:pPr/>
                      <a:t>[VALUE]</a:t>
                    </a:fld>
                    <a:r>
                      <a:rPr lang="en-US" baseline="0"/>
                      <a:t>, </a:t>
                    </a:r>
                  </a:p>
                  <a:p>
                    <a:fld id="{8FF2A2BA-8A26-4B82-98C3-ACF7A90737F4}" type="PERCENTAGE">
                      <a:rPr lang="en-US" baseline="0"/>
                      <a:pPr/>
                      <a:t>[PERCENTAGE]</a:t>
                    </a:fld>
                    <a:endParaRPr lang="en-US"/>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0C9-4809-8E7D-11F14AFE10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Graphs!$C$4:$C$8</c:f>
              <c:strCache>
                <c:ptCount val="5"/>
                <c:pt idx="0">
                  <c:v>Non-confrmity </c:v>
                </c:pt>
                <c:pt idx="1">
                  <c:v>Major</c:v>
                </c:pt>
                <c:pt idx="2">
                  <c:v>Minor</c:v>
                </c:pt>
                <c:pt idx="3">
                  <c:v>Area of improvement </c:v>
                </c:pt>
                <c:pt idx="4">
                  <c:v>Postive points</c:v>
                </c:pt>
              </c:strCache>
            </c:strRef>
          </c:cat>
          <c:val>
            <c:numRef>
              <c:f>Graphs!$D$4:$D$8</c:f>
              <c:numCache>
                <c:formatCode>General</c:formatCode>
                <c:ptCount val="5"/>
                <c:pt idx="1">
                  <c:v>0</c:v>
                </c:pt>
                <c:pt idx="2">
                  <c:v>64</c:v>
                </c:pt>
                <c:pt idx="3">
                  <c:v>29</c:v>
                </c:pt>
                <c:pt idx="4">
                  <c:v>30</c:v>
                </c:pt>
              </c:numCache>
            </c:numRef>
          </c:val>
          <c:extLst>
            <c:ext xmlns:c16="http://schemas.microsoft.com/office/drawing/2014/chart" uri="{C3380CC4-5D6E-409C-BE32-E72D297353CC}">
              <c16:uniqueId val="{00000000-D0C9-4809-8E7D-11F14AFE10F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212725</xdr:colOff>
      <xdr:row>0</xdr:row>
      <xdr:rowOff>15875</xdr:rowOff>
    </xdr:from>
    <xdr:to>
      <xdr:col>12</xdr:col>
      <xdr:colOff>517525</xdr:colOff>
      <xdr:row>12</xdr:row>
      <xdr:rowOff>180975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
  <sheetViews>
    <sheetView tabSelected="1" zoomScale="50" zoomScaleNormal="50" workbookViewId="0">
      <pane ySplit="3" topLeftCell="A4" activePane="bottomLeft" state="frozen"/>
      <selection pane="bottomLeft" activeCell="G6" sqref="G6"/>
    </sheetView>
  </sheetViews>
  <sheetFormatPr defaultColWidth="14.81640625" defaultRowHeight="60.75" customHeight="1" x14ac:dyDescent="0.35"/>
  <cols>
    <col min="1" max="2" width="10.7265625" customWidth="1"/>
    <col min="3" max="3" width="19.54296875" style="28" customWidth="1"/>
    <col min="4" max="4" width="17.26953125" customWidth="1"/>
    <col min="5" max="5" width="32.453125" customWidth="1"/>
    <col min="6" max="6" width="20.54296875" style="2" customWidth="1"/>
    <col min="7" max="7" width="53.54296875" style="1" customWidth="1"/>
    <col min="8" max="8" width="17.453125" customWidth="1"/>
    <col min="9" max="9" width="17.453125" style="8" customWidth="1"/>
    <col min="10" max="10" width="20.54296875" customWidth="1"/>
    <col min="11" max="15" width="14.81640625" style="23"/>
  </cols>
  <sheetData>
    <row r="1" spans="1:16" ht="52" customHeight="1" x14ac:dyDescent="0.35">
      <c r="A1" s="57" t="s">
        <v>308</v>
      </c>
      <c r="B1" s="58"/>
      <c r="C1" s="58"/>
      <c r="D1" s="58"/>
      <c r="E1" s="58"/>
      <c r="F1" s="58"/>
      <c r="G1" s="58"/>
      <c r="H1" s="58"/>
      <c r="I1" s="58"/>
      <c r="J1" s="59"/>
    </row>
    <row r="2" spans="1:16" ht="24.65" customHeight="1" x14ac:dyDescent="0.35">
      <c r="A2" s="64" t="s">
        <v>0</v>
      </c>
      <c r="B2" s="60" t="s">
        <v>104</v>
      </c>
      <c r="C2" s="60" t="s">
        <v>107</v>
      </c>
      <c r="D2" s="66" t="s">
        <v>248</v>
      </c>
      <c r="E2" s="66" t="s">
        <v>135</v>
      </c>
      <c r="F2" s="63" t="s">
        <v>57</v>
      </c>
      <c r="G2" s="63" t="s">
        <v>5</v>
      </c>
      <c r="H2" s="63" t="s">
        <v>1</v>
      </c>
      <c r="I2" s="63"/>
      <c r="J2" s="65"/>
    </row>
    <row r="3" spans="1:16" ht="31" customHeight="1" thickBot="1" x14ac:dyDescent="0.4">
      <c r="A3" s="64"/>
      <c r="B3" s="60"/>
      <c r="C3" s="60"/>
      <c r="D3" s="67"/>
      <c r="E3" s="67"/>
      <c r="F3" s="63"/>
      <c r="G3" s="63"/>
      <c r="H3" s="9" t="s">
        <v>2</v>
      </c>
      <c r="I3" s="10" t="s">
        <v>3</v>
      </c>
      <c r="J3" s="45" t="s">
        <v>4</v>
      </c>
    </row>
    <row r="4" spans="1:16" s="17" customFormat="1" ht="60.75" customHeight="1" thickBot="1" x14ac:dyDescent="0.4">
      <c r="A4" s="46">
        <v>1</v>
      </c>
      <c r="B4" s="11" t="s">
        <v>105</v>
      </c>
      <c r="C4" s="11" t="s">
        <v>200</v>
      </c>
      <c r="D4" s="25" t="s">
        <v>254</v>
      </c>
      <c r="E4" s="15" t="s">
        <v>201</v>
      </c>
      <c r="F4" s="18" t="s">
        <v>238</v>
      </c>
      <c r="G4" s="22" t="s">
        <v>237</v>
      </c>
      <c r="H4" s="4">
        <v>0</v>
      </c>
      <c r="I4" s="6">
        <v>1</v>
      </c>
      <c r="J4" s="47">
        <v>0</v>
      </c>
      <c r="K4" s="23"/>
      <c r="L4" s="23"/>
      <c r="M4" s="23"/>
      <c r="N4" s="23"/>
      <c r="O4" s="23"/>
      <c r="P4" s="24"/>
    </row>
    <row r="5" spans="1:16" s="17" customFormat="1" ht="60.75" customHeight="1" x14ac:dyDescent="0.35">
      <c r="A5" s="46">
        <v>3</v>
      </c>
      <c r="B5" s="11" t="s">
        <v>105</v>
      </c>
      <c r="C5" s="11" t="s">
        <v>200</v>
      </c>
      <c r="D5" s="25" t="s">
        <v>254</v>
      </c>
      <c r="E5" s="15" t="s">
        <v>202</v>
      </c>
      <c r="F5" s="42" t="s">
        <v>239</v>
      </c>
      <c r="G5" s="48" t="s">
        <v>246</v>
      </c>
      <c r="H5" s="4">
        <v>0</v>
      </c>
      <c r="I5" s="6">
        <v>1</v>
      </c>
      <c r="J5" s="47">
        <v>0</v>
      </c>
      <c r="K5" s="23"/>
      <c r="L5" s="23"/>
      <c r="M5" s="23"/>
      <c r="N5" s="23"/>
      <c r="O5" s="23"/>
    </row>
    <row r="6" spans="1:16" s="17" customFormat="1" ht="60.75" customHeight="1" x14ac:dyDescent="0.35">
      <c r="A6" s="46">
        <v>5</v>
      </c>
      <c r="B6" s="11" t="s">
        <v>105</v>
      </c>
      <c r="C6" s="11" t="s">
        <v>200</v>
      </c>
      <c r="D6" s="25" t="s">
        <v>254</v>
      </c>
      <c r="E6" s="15" t="s">
        <v>203</v>
      </c>
      <c r="F6" s="18" t="s">
        <v>241</v>
      </c>
      <c r="G6" s="21" t="s">
        <v>240</v>
      </c>
      <c r="H6" s="4">
        <v>0</v>
      </c>
      <c r="I6" s="6">
        <v>1</v>
      </c>
      <c r="J6" s="47">
        <v>0</v>
      </c>
      <c r="K6" s="23"/>
      <c r="L6" s="23"/>
      <c r="M6" s="23"/>
      <c r="N6" s="23"/>
      <c r="O6" s="23"/>
    </row>
    <row r="7" spans="1:16" s="17" customFormat="1" ht="60.75" customHeight="1" x14ac:dyDescent="0.35">
      <c r="A7" s="46">
        <v>7</v>
      </c>
      <c r="B7" s="11" t="s">
        <v>105</v>
      </c>
      <c r="C7" s="11" t="s">
        <v>200</v>
      </c>
      <c r="D7" s="25" t="s">
        <v>254</v>
      </c>
      <c r="E7" s="16" t="s">
        <v>242</v>
      </c>
      <c r="F7" s="43" t="s">
        <v>244</v>
      </c>
      <c r="G7" s="49" t="s">
        <v>245</v>
      </c>
      <c r="H7" s="4">
        <v>0</v>
      </c>
      <c r="I7" s="6">
        <v>0</v>
      </c>
      <c r="J7" s="47">
        <v>1</v>
      </c>
      <c r="K7" s="23"/>
      <c r="L7" s="23"/>
      <c r="M7" s="23"/>
      <c r="N7" s="23"/>
      <c r="O7" s="23"/>
    </row>
    <row r="8" spans="1:16" s="17" customFormat="1" ht="60.75" customHeight="1" x14ac:dyDescent="0.35">
      <c r="A8" s="46">
        <v>8</v>
      </c>
      <c r="B8" s="11" t="s">
        <v>105</v>
      </c>
      <c r="C8" s="11" t="s">
        <v>204</v>
      </c>
      <c r="D8" s="25" t="s">
        <v>264</v>
      </c>
      <c r="E8" s="15" t="s">
        <v>205</v>
      </c>
      <c r="F8" s="19" t="s">
        <v>206</v>
      </c>
      <c r="G8" s="5" t="s">
        <v>58</v>
      </c>
      <c r="H8" s="4">
        <v>0</v>
      </c>
      <c r="I8" s="6">
        <v>1</v>
      </c>
      <c r="J8" s="47">
        <v>0</v>
      </c>
      <c r="K8" s="23"/>
      <c r="L8" s="23"/>
      <c r="M8" s="23"/>
      <c r="N8" s="23"/>
      <c r="O8" s="23"/>
    </row>
    <row r="9" spans="1:16" s="17" customFormat="1" ht="60.75" customHeight="1" x14ac:dyDescent="0.35">
      <c r="A9" s="46">
        <v>9</v>
      </c>
      <c r="B9" s="11" t="s">
        <v>105</v>
      </c>
      <c r="C9" s="11" t="s">
        <v>204</v>
      </c>
      <c r="D9" s="25" t="s">
        <v>264</v>
      </c>
      <c r="E9" s="15" t="s">
        <v>207</v>
      </c>
      <c r="F9" s="19" t="s">
        <v>13</v>
      </c>
      <c r="G9" s="3" t="s">
        <v>59</v>
      </c>
      <c r="H9" s="4">
        <v>0</v>
      </c>
      <c r="I9" s="6">
        <v>1</v>
      </c>
      <c r="J9" s="47">
        <v>0</v>
      </c>
      <c r="K9" s="23"/>
      <c r="L9" s="23"/>
      <c r="M9" s="23"/>
      <c r="N9" s="23"/>
      <c r="O9" s="23"/>
    </row>
    <row r="10" spans="1:16" s="17" customFormat="1" ht="60.75" customHeight="1" x14ac:dyDescent="0.35">
      <c r="A10" s="46">
        <v>10</v>
      </c>
      <c r="B10" s="11" t="s">
        <v>105</v>
      </c>
      <c r="C10" s="11" t="s">
        <v>208</v>
      </c>
      <c r="D10" s="25" t="s">
        <v>256</v>
      </c>
      <c r="E10" s="15" t="s">
        <v>209</v>
      </c>
      <c r="F10" s="19" t="s">
        <v>37</v>
      </c>
      <c r="G10" s="3" t="s">
        <v>38</v>
      </c>
      <c r="H10" s="4">
        <v>0</v>
      </c>
      <c r="I10" s="6">
        <v>1</v>
      </c>
      <c r="J10" s="47">
        <v>0</v>
      </c>
      <c r="K10" s="23"/>
      <c r="L10" s="23"/>
      <c r="M10" s="23"/>
      <c r="N10" s="23"/>
      <c r="O10" s="23"/>
    </row>
    <row r="11" spans="1:16" s="17" customFormat="1" ht="60.75" customHeight="1" x14ac:dyDescent="0.35">
      <c r="A11" s="46">
        <v>11</v>
      </c>
      <c r="B11" s="11" t="s">
        <v>105</v>
      </c>
      <c r="C11" s="11" t="s">
        <v>208</v>
      </c>
      <c r="D11" s="25" t="s">
        <v>257</v>
      </c>
      <c r="E11" s="15" t="s">
        <v>209</v>
      </c>
      <c r="F11" s="19" t="s">
        <v>39</v>
      </c>
      <c r="G11" s="3" t="s">
        <v>40</v>
      </c>
      <c r="H11" s="4">
        <v>0</v>
      </c>
      <c r="I11" s="6">
        <v>1</v>
      </c>
      <c r="J11" s="47">
        <v>0</v>
      </c>
      <c r="K11" s="23"/>
      <c r="L11" s="23"/>
      <c r="M11" s="23"/>
      <c r="N11" s="23"/>
      <c r="O11" s="23"/>
    </row>
    <row r="12" spans="1:16" s="17" customFormat="1" ht="60.75" customHeight="1" x14ac:dyDescent="0.35">
      <c r="A12" s="46">
        <v>12</v>
      </c>
      <c r="B12" s="11" t="s">
        <v>105</v>
      </c>
      <c r="C12" s="11" t="s">
        <v>208</v>
      </c>
      <c r="D12" s="25" t="s">
        <v>258</v>
      </c>
      <c r="E12" s="15" t="s">
        <v>209</v>
      </c>
      <c r="F12" s="7" t="s">
        <v>11</v>
      </c>
      <c r="G12" s="3" t="s">
        <v>41</v>
      </c>
      <c r="H12" s="4">
        <v>0</v>
      </c>
      <c r="I12" s="6">
        <v>1</v>
      </c>
      <c r="J12" s="47">
        <v>0</v>
      </c>
      <c r="K12" s="23"/>
      <c r="L12" s="23"/>
      <c r="M12" s="23"/>
      <c r="N12" s="23"/>
      <c r="O12" s="23"/>
    </row>
    <row r="13" spans="1:16" s="17" customFormat="1" ht="60.75" customHeight="1" x14ac:dyDescent="0.35">
      <c r="A13" s="46">
        <v>13</v>
      </c>
      <c r="B13" s="11" t="s">
        <v>105</v>
      </c>
      <c r="C13" s="11" t="s">
        <v>208</v>
      </c>
      <c r="D13" s="25" t="s">
        <v>259</v>
      </c>
      <c r="E13" s="15" t="s">
        <v>209</v>
      </c>
      <c r="F13" s="19" t="s">
        <v>198</v>
      </c>
      <c r="G13" s="3" t="s">
        <v>42</v>
      </c>
      <c r="H13" s="4">
        <v>0</v>
      </c>
      <c r="I13" s="4">
        <v>0</v>
      </c>
      <c r="J13" s="50">
        <v>1</v>
      </c>
      <c r="K13" s="23"/>
      <c r="L13" s="23"/>
      <c r="M13" s="23"/>
      <c r="N13" s="23"/>
      <c r="O13" s="23"/>
    </row>
    <row r="14" spans="1:16" s="17" customFormat="1" ht="60.75" customHeight="1" x14ac:dyDescent="0.35">
      <c r="A14" s="46">
        <v>14</v>
      </c>
      <c r="B14" s="11" t="s">
        <v>105</v>
      </c>
      <c r="C14" s="11" t="s">
        <v>210</v>
      </c>
      <c r="D14" s="25" t="s">
        <v>251</v>
      </c>
      <c r="E14" s="15" t="s">
        <v>211</v>
      </c>
      <c r="F14" s="19" t="s">
        <v>30</v>
      </c>
      <c r="G14" s="3" t="s">
        <v>31</v>
      </c>
      <c r="H14" s="4">
        <v>0</v>
      </c>
      <c r="I14" s="4">
        <v>0</v>
      </c>
      <c r="J14" s="50">
        <v>1</v>
      </c>
      <c r="K14" s="23"/>
      <c r="L14" s="23"/>
      <c r="M14" s="23"/>
      <c r="N14" s="23"/>
      <c r="O14" s="23"/>
    </row>
    <row r="15" spans="1:16" s="17" customFormat="1" ht="60.75" customHeight="1" x14ac:dyDescent="0.35">
      <c r="A15" s="46">
        <v>15</v>
      </c>
      <c r="B15" s="11" t="s">
        <v>105</v>
      </c>
      <c r="C15" s="11" t="s">
        <v>210</v>
      </c>
      <c r="D15" s="25" t="s">
        <v>251</v>
      </c>
      <c r="E15" s="15" t="s">
        <v>211</v>
      </c>
      <c r="F15" s="51" t="s">
        <v>243</v>
      </c>
      <c r="G15" s="52" t="s">
        <v>212</v>
      </c>
      <c r="H15" s="4">
        <v>0</v>
      </c>
      <c r="I15" s="6">
        <v>1</v>
      </c>
      <c r="J15" s="47">
        <v>0</v>
      </c>
      <c r="K15" s="23"/>
      <c r="L15" s="23"/>
      <c r="M15" s="23"/>
      <c r="N15" s="23"/>
      <c r="O15" s="23"/>
    </row>
    <row r="16" spans="1:16" s="17" customFormat="1" ht="60.75" customHeight="1" x14ac:dyDescent="0.35">
      <c r="A16" s="46">
        <v>16</v>
      </c>
      <c r="B16" s="11" t="s">
        <v>105</v>
      </c>
      <c r="C16" s="11" t="s">
        <v>210</v>
      </c>
      <c r="D16" s="25" t="s">
        <v>251</v>
      </c>
      <c r="E16" s="15" t="s">
        <v>211</v>
      </c>
      <c r="F16" s="51" t="s">
        <v>11</v>
      </c>
      <c r="G16" s="52" t="s">
        <v>213</v>
      </c>
      <c r="H16" s="4">
        <v>0</v>
      </c>
      <c r="I16" s="6">
        <v>1</v>
      </c>
      <c r="J16" s="47">
        <v>0</v>
      </c>
      <c r="K16" s="23"/>
      <c r="L16" s="23"/>
      <c r="M16" s="23"/>
      <c r="N16" s="23"/>
      <c r="O16" s="23"/>
    </row>
    <row r="17" spans="1:15" s="17" customFormat="1" ht="60.75" customHeight="1" x14ac:dyDescent="0.35">
      <c r="A17" s="46">
        <v>17</v>
      </c>
      <c r="B17" s="11" t="s">
        <v>105</v>
      </c>
      <c r="C17" s="11" t="s">
        <v>210</v>
      </c>
      <c r="D17" s="25" t="s">
        <v>251</v>
      </c>
      <c r="E17" s="15" t="s">
        <v>211</v>
      </c>
      <c r="F17" s="51" t="s">
        <v>217</v>
      </c>
      <c r="G17" s="53" t="s">
        <v>214</v>
      </c>
      <c r="H17" s="4">
        <v>0</v>
      </c>
      <c r="I17" s="6">
        <v>1</v>
      </c>
      <c r="J17" s="47">
        <v>0</v>
      </c>
      <c r="K17" s="23"/>
      <c r="L17" s="23"/>
      <c r="M17" s="23"/>
      <c r="N17" s="23"/>
      <c r="O17" s="23"/>
    </row>
    <row r="18" spans="1:15" s="17" customFormat="1" ht="60.75" customHeight="1" x14ac:dyDescent="0.35">
      <c r="A18" s="46">
        <v>18</v>
      </c>
      <c r="B18" s="11" t="s">
        <v>105</v>
      </c>
      <c r="C18" s="21" t="s">
        <v>215</v>
      </c>
      <c r="D18" s="26" t="s">
        <v>265</v>
      </c>
      <c r="E18" s="15" t="s">
        <v>216</v>
      </c>
      <c r="F18" s="19" t="s">
        <v>198</v>
      </c>
      <c r="G18" s="3" t="s">
        <v>21</v>
      </c>
      <c r="H18" s="4">
        <v>0</v>
      </c>
      <c r="I18" s="4">
        <v>0</v>
      </c>
      <c r="J18" s="50">
        <v>1</v>
      </c>
      <c r="K18" s="23"/>
      <c r="L18" s="23"/>
      <c r="M18" s="23"/>
      <c r="N18" s="23"/>
      <c r="O18" s="23"/>
    </row>
    <row r="19" spans="1:15" s="17" customFormat="1" ht="60.75" customHeight="1" x14ac:dyDescent="0.35">
      <c r="A19" s="46">
        <v>19</v>
      </c>
      <c r="B19" s="11" t="s">
        <v>105</v>
      </c>
      <c r="C19" s="21" t="s">
        <v>215</v>
      </c>
      <c r="D19" s="26" t="s">
        <v>265</v>
      </c>
      <c r="E19" s="15" t="s">
        <v>216</v>
      </c>
      <c r="F19" s="19" t="s">
        <v>197</v>
      </c>
      <c r="G19" s="3" t="s">
        <v>22</v>
      </c>
      <c r="H19" s="4">
        <v>0</v>
      </c>
      <c r="I19" s="6">
        <v>1</v>
      </c>
      <c r="J19" s="47">
        <v>0</v>
      </c>
      <c r="K19" s="23"/>
      <c r="L19" s="23"/>
      <c r="M19" s="23"/>
      <c r="N19" s="23"/>
      <c r="O19" s="23"/>
    </row>
    <row r="20" spans="1:15" s="17" customFormat="1" ht="60.75" customHeight="1" x14ac:dyDescent="0.35">
      <c r="A20" s="46">
        <v>20</v>
      </c>
      <c r="B20" s="11" t="s">
        <v>105</v>
      </c>
      <c r="C20" s="21" t="s">
        <v>215</v>
      </c>
      <c r="D20" s="26" t="s">
        <v>265</v>
      </c>
      <c r="E20" s="15" t="s">
        <v>216</v>
      </c>
      <c r="F20" s="19" t="s">
        <v>217</v>
      </c>
      <c r="G20" s="3" t="s">
        <v>23</v>
      </c>
      <c r="H20" s="4">
        <v>0</v>
      </c>
      <c r="I20" s="6">
        <v>1</v>
      </c>
      <c r="J20" s="47">
        <v>0</v>
      </c>
      <c r="K20" s="23"/>
      <c r="L20" s="23"/>
      <c r="M20" s="23"/>
      <c r="N20" s="23"/>
      <c r="O20" s="23"/>
    </row>
    <row r="21" spans="1:15" s="17" customFormat="1" ht="60.75" customHeight="1" x14ac:dyDescent="0.35">
      <c r="A21" s="46">
        <v>21</v>
      </c>
      <c r="B21" s="11" t="s">
        <v>105</v>
      </c>
      <c r="C21" s="11" t="s">
        <v>218</v>
      </c>
      <c r="D21" s="25" t="s">
        <v>263</v>
      </c>
      <c r="E21" s="15" t="s">
        <v>219</v>
      </c>
      <c r="F21" s="18" t="s">
        <v>10</v>
      </c>
      <c r="G21" s="5" t="s">
        <v>8</v>
      </c>
      <c r="H21" s="4">
        <v>0</v>
      </c>
      <c r="I21" s="6">
        <v>1</v>
      </c>
      <c r="J21" s="47">
        <v>0</v>
      </c>
      <c r="K21" s="23"/>
      <c r="L21" s="23"/>
      <c r="M21" s="23"/>
      <c r="N21" s="23"/>
      <c r="O21" s="23"/>
    </row>
    <row r="22" spans="1:15" s="17" customFormat="1" ht="60.75" customHeight="1" x14ac:dyDescent="0.35">
      <c r="A22" s="46">
        <v>22</v>
      </c>
      <c r="B22" s="11" t="s">
        <v>105</v>
      </c>
      <c r="C22" s="11" t="s">
        <v>218</v>
      </c>
      <c r="D22" s="25" t="s">
        <v>262</v>
      </c>
      <c r="E22" s="15" t="s">
        <v>219</v>
      </c>
      <c r="F22" s="19" t="s">
        <v>11</v>
      </c>
      <c r="G22" s="3" t="s">
        <v>9</v>
      </c>
      <c r="H22" s="4">
        <v>0</v>
      </c>
      <c r="I22" s="6">
        <v>1</v>
      </c>
      <c r="J22" s="47">
        <v>0</v>
      </c>
      <c r="K22" s="23"/>
      <c r="L22" s="23"/>
      <c r="M22" s="23"/>
      <c r="N22" s="23"/>
      <c r="O22" s="23"/>
    </row>
    <row r="23" spans="1:15" s="17" customFormat="1" ht="60.75" customHeight="1" x14ac:dyDescent="0.35">
      <c r="A23" s="46">
        <v>23</v>
      </c>
      <c r="B23" s="11" t="s">
        <v>105</v>
      </c>
      <c r="C23" s="11" t="s">
        <v>218</v>
      </c>
      <c r="D23" s="25" t="s">
        <v>262</v>
      </c>
      <c r="E23" s="15" t="s">
        <v>219</v>
      </c>
      <c r="F23" s="19" t="s">
        <v>220</v>
      </c>
      <c r="G23" s="5" t="s">
        <v>12</v>
      </c>
      <c r="H23" s="4">
        <v>0</v>
      </c>
      <c r="I23" s="4">
        <v>0</v>
      </c>
      <c r="J23" s="50">
        <v>1</v>
      </c>
      <c r="K23" s="23"/>
      <c r="L23" s="23"/>
      <c r="M23" s="23"/>
      <c r="N23" s="23"/>
      <c r="O23" s="23"/>
    </row>
    <row r="24" spans="1:15" s="17" customFormat="1" ht="60.75" customHeight="1" x14ac:dyDescent="0.35">
      <c r="A24" s="46">
        <v>24</v>
      </c>
      <c r="B24" s="11" t="s">
        <v>105</v>
      </c>
      <c r="C24" s="11" t="s">
        <v>221</v>
      </c>
      <c r="D24" s="25" t="s">
        <v>260</v>
      </c>
      <c r="E24" s="15" t="s">
        <v>222</v>
      </c>
      <c r="F24" s="7" t="s">
        <v>7</v>
      </c>
      <c r="G24" s="3" t="s">
        <v>6</v>
      </c>
      <c r="H24" s="4">
        <v>0</v>
      </c>
      <c r="I24" s="6">
        <v>1</v>
      </c>
      <c r="J24" s="47">
        <v>0</v>
      </c>
      <c r="K24" s="23"/>
      <c r="L24" s="23"/>
      <c r="M24" s="23"/>
      <c r="N24" s="23"/>
      <c r="O24" s="23"/>
    </row>
    <row r="25" spans="1:15" s="17" customFormat="1" ht="60.75" customHeight="1" x14ac:dyDescent="0.35">
      <c r="A25" s="46">
        <v>25</v>
      </c>
      <c r="B25" s="11" t="s">
        <v>105</v>
      </c>
      <c r="C25" s="4" t="s">
        <v>223</v>
      </c>
      <c r="D25" s="25" t="s">
        <v>261</v>
      </c>
      <c r="E25" s="15" t="s">
        <v>224</v>
      </c>
      <c r="F25" s="19" t="s">
        <v>43</v>
      </c>
      <c r="G25" s="3" t="s">
        <v>44</v>
      </c>
      <c r="H25" s="4">
        <v>0</v>
      </c>
      <c r="I25" s="4">
        <v>0</v>
      </c>
      <c r="J25" s="50">
        <v>1</v>
      </c>
      <c r="K25" s="23"/>
      <c r="L25" s="23"/>
      <c r="M25" s="23"/>
      <c r="N25" s="23"/>
      <c r="O25" s="23"/>
    </row>
    <row r="26" spans="1:15" s="17" customFormat="1" ht="60.75" customHeight="1" x14ac:dyDescent="0.35">
      <c r="A26" s="46">
        <v>26</v>
      </c>
      <c r="B26" s="11" t="s">
        <v>105</v>
      </c>
      <c r="C26" s="4" t="s">
        <v>223</v>
      </c>
      <c r="D26" s="25" t="s">
        <v>261</v>
      </c>
      <c r="E26" s="15" t="s">
        <v>224</v>
      </c>
      <c r="F26" s="19" t="s">
        <v>45</v>
      </c>
      <c r="G26" s="3" t="s">
        <v>46</v>
      </c>
      <c r="H26" s="4">
        <v>0</v>
      </c>
      <c r="I26" s="6">
        <v>1</v>
      </c>
      <c r="J26" s="47">
        <v>0</v>
      </c>
      <c r="K26" s="23"/>
      <c r="L26" s="23"/>
      <c r="M26" s="23"/>
      <c r="N26" s="23"/>
      <c r="O26" s="23"/>
    </row>
    <row r="27" spans="1:15" s="17" customFormat="1" ht="60.75" customHeight="1" x14ac:dyDescent="0.35">
      <c r="A27" s="46">
        <v>27</v>
      </c>
      <c r="B27" s="11" t="s">
        <v>105</v>
      </c>
      <c r="C27" s="4" t="s">
        <v>223</v>
      </c>
      <c r="D27" s="25" t="s">
        <v>261</v>
      </c>
      <c r="E27" s="15" t="s">
        <v>224</v>
      </c>
      <c r="F27" s="19" t="s">
        <v>197</v>
      </c>
      <c r="G27" s="3" t="s">
        <v>47</v>
      </c>
      <c r="H27" s="4">
        <v>0</v>
      </c>
      <c r="I27" s="6">
        <v>1</v>
      </c>
      <c r="J27" s="47">
        <v>0</v>
      </c>
      <c r="K27" s="23"/>
      <c r="L27" s="23"/>
      <c r="M27" s="23"/>
      <c r="N27" s="23"/>
      <c r="O27" s="23"/>
    </row>
    <row r="28" spans="1:15" s="17" customFormat="1" ht="60.75" customHeight="1" x14ac:dyDescent="0.35">
      <c r="A28" s="46">
        <v>28</v>
      </c>
      <c r="B28" s="11" t="s">
        <v>105</v>
      </c>
      <c r="C28" s="4" t="s">
        <v>223</v>
      </c>
      <c r="D28" s="25" t="s">
        <v>261</v>
      </c>
      <c r="E28" s="15" t="s">
        <v>224</v>
      </c>
      <c r="F28" s="19" t="s">
        <v>48</v>
      </c>
      <c r="G28" s="3" t="s">
        <v>49</v>
      </c>
      <c r="H28" s="4">
        <v>0</v>
      </c>
      <c r="I28" s="4">
        <v>0</v>
      </c>
      <c r="J28" s="50">
        <v>1</v>
      </c>
      <c r="K28" s="23"/>
      <c r="L28" s="23"/>
      <c r="M28" s="23"/>
      <c r="N28" s="23"/>
      <c r="O28" s="23"/>
    </row>
    <row r="29" spans="1:15" s="17" customFormat="1" ht="60.75" customHeight="1" x14ac:dyDescent="0.35">
      <c r="A29" s="46">
        <v>29</v>
      </c>
      <c r="B29" s="11" t="s">
        <v>105</v>
      </c>
      <c r="C29" s="4" t="s">
        <v>223</v>
      </c>
      <c r="D29" s="25" t="s">
        <v>261</v>
      </c>
      <c r="E29" s="15" t="s">
        <v>224</v>
      </c>
      <c r="F29" s="19" t="s">
        <v>50</v>
      </c>
      <c r="G29" s="3" t="s">
        <v>51</v>
      </c>
      <c r="H29" s="4">
        <v>0</v>
      </c>
      <c r="I29" s="4">
        <v>0</v>
      </c>
      <c r="J29" s="50">
        <v>1</v>
      </c>
      <c r="K29" s="23"/>
      <c r="L29" s="23"/>
      <c r="M29" s="23"/>
      <c r="N29" s="23"/>
      <c r="O29" s="23"/>
    </row>
    <row r="30" spans="1:15" s="17" customFormat="1" ht="60.75" customHeight="1" x14ac:dyDescent="0.35">
      <c r="A30" s="46">
        <v>30</v>
      </c>
      <c r="B30" s="11" t="s">
        <v>105</v>
      </c>
      <c r="C30" s="21" t="s">
        <v>225</v>
      </c>
      <c r="D30" s="26" t="s">
        <v>255</v>
      </c>
      <c r="E30" s="15" t="s">
        <v>226</v>
      </c>
      <c r="F30" s="19" t="s">
        <v>32</v>
      </c>
      <c r="G30" s="3" t="s">
        <v>33</v>
      </c>
      <c r="H30" s="4">
        <v>0</v>
      </c>
      <c r="I30" s="6">
        <v>1</v>
      </c>
      <c r="J30" s="47">
        <v>0</v>
      </c>
      <c r="K30" s="23"/>
      <c r="L30" s="23"/>
      <c r="M30" s="23"/>
      <c r="N30" s="23"/>
      <c r="O30" s="23"/>
    </row>
    <row r="31" spans="1:15" s="17" customFormat="1" ht="60.75" customHeight="1" x14ac:dyDescent="0.35">
      <c r="A31" s="46">
        <v>31</v>
      </c>
      <c r="B31" s="11" t="s">
        <v>105</v>
      </c>
      <c r="C31" s="21" t="s">
        <v>225</v>
      </c>
      <c r="D31" s="26" t="s">
        <v>255</v>
      </c>
      <c r="E31" s="15" t="s">
        <v>226</v>
      </c>
      <c r="F31" s="19" t="s">
        <v>34</v>
      </c>
      <c r="G31" s="3" t="s">
        <v>35</v>
      </c>
      <c r="H31" s="4">
        <v>0</v>
      </c>
      <c r="I31" s="4">
        <v>0</v>
      </c>
      <c r="J31" s="50">
        <v>1</v>
      </c>
      <c r="K31" s="23"/>
      <c r="L31" s="23"/>
      <c r="M31" s="23"/>
      <c r="N31" s="23"/>
      <c r="O31" s="23"/>
    </row>
    <row r="32" spans="1:15" s="17" customFormat="1" ht="60.75" customHeight="1" x14ac:dyDescent="0.35">
      <c r="A32" s="46">
        <v>32</v>
      </c>
      <c r="B32" s="11" t="s">
        <v>105</v>
      </c>
      <c r="C32" s="21" t="s">
        <v>225</v>
      </c>
      <c r="D32" s="26" t="s">
        <v>255</v>
      </c>
      <c r="E32" s="15" t="s">
        <v>226</v>
      </c>
      <c r="F32" s="19" t="s">
        <v>227</v>
      </c>
      <c r="G32" s="3" t="s">
        <v>36</v>
      </c>
      <c r="H32" s="4">
        <v>0</v>
      </c>
      <c r="I32" s="4">
        <v>0</v>
      </c>
      <c r="J32" s="50">
        <v>1</v>
      </c>
      <c r="K32" s="23"/>
      <c r="L32" s="23"/>
      <c r="M32" s="23"/>
      <c r="N32" s="23"/>
      <c r="O32" s="23"/>
    </row>
    <row r="33" spans="1:15" s="17" customFormat="1" ht="60.75" customHeight="1" x14ac:dyDescent="0.35">
      <c r="A33" s="46">
        <v>33</v>
      </c>
      <c r="B33" s="11" t="s">
        <v>105</v>
      </c>
      <c r="C33" s="11" t="s">
        <v>228</v>
      </c>
      <c r="D33" s="54" t="s">
        <v>252</v>
      </c>
      <c r="E33" s="15" t="s">
        <v>229</v>
      </c>
      <c r="F33" s="19" t="s">
        <v>10</v>
      </c>
      <c r="G33" s="3" t="s">
        <v>14</v>
      </c>
      <c r="H33" s="4">
        <v>0</v>
      </c>
      <c r="I33" s="4">
        <v>0</v>
      </c>
      <c r="J33" s="50">
        <v>1</v>
      </c>
      <c r="K33" s="23"/>
      <c r="L33" s="23"/>
      <c r="M33" s="23"/>
      <c r="N33" s="23"/>
      <c r="O33" s="23"/>
    </row>
    <row r="34" spans="1:15" s="17" customFormat="1" ht="60.75" customHeight="1" x14ac:dyDescent="0.35">
      <c r="A34" s="46">
        <v>34</v>
      </c>
      <c r="B34" s="11" t="s">
        <v>105</v>
      </c>
      <c r="C34" s="11" t="s">
        <v>228</v>
      </c>
      <c r="D34" s="54" t="s">
        <v>252</v>
      </c>
      <c r="E34" s="15" t="s">
        <v>230</v>
      </c>
      <c r="F34" s="19" t="s">
        <v>17</v>
      </c>
      <c r="G34" s="3" t="s">
        <v>15</v>
      </c>
      <c r="H34" s="4">
        <v>0</v>
      </c>
      <c r="I34" s="4">
        <v>0</v>
      </c>
      <c r="J34" s="50">
        <v>1</v>
      </c>
      <c r="K34" s="23"/>
      <c r="L34" s="23"/>
      <c r="M34" s="23"/>
      <c r="N34" s="23"/>
      <c r="O34" s="23"/>
    </row>
    <row r="35" spans="1:15" s="17" customFormat="1" ht="60.75" customHeight="1" x14ac:dyDescent="0.35">
      <c r="A35" s="46">
        <v>35</v>
      </c>
      <c r="B35" s="11" t="s">
        <v>105</v>
      </c>
      <c r="C35" s="4" t="s">
        <v>231</v>
      </c>
      <c r="D35" s="25" t="s">
        <v>253</v>
      </c>
      <c r="E35" s="15" t="s">
        <v>232</v>
      </c>
      <c r="F35" s="19" t="s">
        <v>247</v>
      </c>
      <c r="G35" s="3" t="s">
        <v>16</v>
      </c>
      <c r="H35" s="4">
        <v>0</v>
      </c>
      <c r="I35" s="4">
        <v>0</v>
      </c>
      <c r="J35" s="50">
        <v>1</v>
      </c>
      <c r="K35" s="23"/>
      <c r="L35" s="23"/>
      <c r="M35" s="23"/>
      <c r="N35" s="23"/>
      <c r="O35" s="23"/>
    </row>
    <row r="36" spans="1:15" s="17" customFormat="1" ht="60.75" customHeight="1" x14ac:dyDescent="0.35">
      <c r="A36" s="46">
        <v>36</v>
      </c>
      <c r="B36" s="11" t="s">
        <v>105</v>
      </c>
      <c r="C36" s="4" t="s">
        <v>231</v>
      </c>
      <c r="D36" s="25" t="s">
        <v>253</v>
      </c>
      <c r="E36" s="15" t="s">
        <v>232</v>
      </c>
      <c r="F36" s="19" t="s">
        <v>19</v>
      </c>
      <c r="G36" s="3" t="s">
        <v>18</v>
      </c>
      <c r="H36" s="4">
        <v>0</v>
      </c>
      <c r="I36" s="6">
        <v>1</v>
      </c>
      <c r="J36" s="47">
        <v>0</v>
      </c>
      <c r="K36" s="23"/>
      <c r="L36" s="23"/>
      <c r="M36" s="23"/>
      <c r="N36" s="23"/>
      <c r="O36" s="23"/>
    </row>
    <row r="37" spans="1:15" s="17" customFormat="1" ht="60.75" customHeight="1" x14ac:dyDescent="0.35">
      <c r="A37" s="46">
        <v>37</v>
      </c>
      <c r="B37" s="11" t="s">
        <v>105</v>
      </c>
      <c r="C37" s="27" t="s">
        <v>233</v>
      </c>
      <c r="D37" s="25" t="s">
        <v>253</v>
      </c>
      <c r="E37" s="15" t="s">
        <v>234</v>
      </c>
      <c r="F37" s="19" t="s">
        <v>24</v>
      </c>
      <c r="G37" s="3" t="s">
        <v>25</v>
      </c>
      <c r="H37" s="4">
        <v>0</v>
      </c>
      <c r="I37" s="6">
        <v>1</v>
      </c>
      <c r="J37" s="47">
        <v>0</v>
      </c>
      <c r="K37" s="23"/>
      <c r="L37" s="23"/>
      <c r="M37" s="23"/>
      <c r="N37" s="23"/>
      <c r="O37" s="23"/>
    </row>
    <row r="38" spans="1:15" s="17" customFormat="1" ht="60.75" customHeight="1" x14ac:dyDescent="0.35">
      <c r="A38" s="46">
        <v>38</v>
      </c>
      <c r="B38" s="11" t="s">
        <v>105</v>
      </c>
      <c r="C38" s="27" t="s">
        <v>233</v>
      </c>
      <c r="D38" s="25" t="s">
        <v>253</v>
      </c>
      <c r="E38" s="15" t="s">
        <v>234</v>
      </c>
      <c r="F38" s="19" t="s">
        <v>26</v>
      </c>
      <c r="G38" s="3" t="s">
        <v>27</v>
      </c>
      <c r="H38" s="4">
        <v>0</v>
      </c>
      <c r="I38" s="4">
        <v>0</v>
      </c>
      <c r="J38" s="50">
        <v>1</v>
      </c>
      <c r="K38" s="23"/>
      <c r="L38" s="23"/>
      <c r="M38" s="23"/>
      <c r="N38" s="23"/>
      <c r="O38" s="23"/>
    </row>
    <row r="39" spans="1:15" s="17" customFormat="1" ht="60.75" customHeight="1" x14ac:dyDescent="0.35">
      <c r="A39" s="46">
        <v>39</v>
      </c>
      <c r="B39" s="11" t="s">
        <v>105</v>
      </c>
      <c r="C39" s="27" t="s">
        <v>233</v>
      </c>
      <c r="D39" s="25" t="s">
        <v>253</v>
      </c>
      <c r="E39" s="15" t="s">
        <v>234</v>
      </c>
      <c r="F39" s="19" t="s">
        <v>235</v>
      </c>
      <c r="G39" s="3" t="s">
        <v>28</v>
      </c>
      <c r="H39" s="4">
        <v>0</v>
      </c>
      <c r="I39" s="4">
        <v>0</v>
      </c>
      <c r="J39" s="50">
        <v>1</v>
      </c>
      <c r="K39" s="23"/>
      <c r="L39" s="23"/>
      <c r="M39" s="23"/>
      <c r="N39" s="23"/>
      <c r="O39" s="23"/>
    </row>
    <row r="40" spans="1:15" s="17" customFormat="1" ht="60.75" customHeight="1" x14ac:dyDescent="0.35">
      <c r="A40" s="46">
        <v>40</v>
      </c>
      <c r="B40" s="11" t="s">
        <v>105</v>
      </c>
      <c r="C40" s="27" t="s">
        <v>233</v>
      </c>
      <c r="D40" s="25" t="s">
        <v>253</v>
      </c>
      <c r="E40" s="15" t="s">
        <v>234</v>
      </c>
      <c r="F40" s="19" t="s">
        <v>236</v>
      </c>
      <c r="G40" s="3" t="s">
        <v>29</v>
      </c>
      <c r="H40" s="4">
        <v>0</v>
      </c>
      <c r="I40" s="6">
        <v>1</v>
      </c>
      <c r="J40" s="47">
        <v>0</v>
      </c>
      <c r="K40" s="23"/>
      <c r="L40" s="23"/>
      <c r="M40" s="23"/>
      <c r="N40" s="23"/>
      <c r="O40" s="23"/>
    </row>
    <row r="41" spans="1:15" ht="41.5" customHeight="1" x14ac:dyDescent="0.35">
      <c r="A41" s="46">
        <v>41</v>
      </c>
      <c r="B41" s="11" t="s">
        <v>106</v>
      </c>
      <c r="C41" s="11" t="s">
        <v>113</v>
      </c>
      <c r="D41" s="25">
        <v>3021</v>
      </c>
      <c r="E41" s="15" t="s">
        <v>136</v>
      </c>
      <c r="F41" s="7" t="s">
        <v>60</v>
      </c>
      <c r="G41" s="12" t="s">
        <v>52</v>
      </c>
      <c r="H41" s="4">
        <v>0</v>
      </c>
      <c r="I41" s="6">
        <v>1</v>
      </c>
      <c r="J41" s="47">
        <v>0</v>
      </c>
    </row>
    <row r="42" spans="1:15" ht="41.5" customHeight="1" x14ac:dyDescent="0.35">
      <c r="A42" s="46">
        <v>42</v>
      </c>
      <c r="B42" s="11" t="s">
        <v>106</v>
      </c>
      <c r="C42" s="11" t="s">
        <v>113</v>
      </c>
      <c r="D42" s="25">
        <v>3021</v>
      </c>
      <c r="E42" s="15" t="s">
        <v>140</v>
      </c>
      <c r="F42" s="7" t="s">
        <v>61</v>
      </c>
      <c r="G42" s="12" t="s">
        <v>134</v>
      </c>
      <c r="H42" s="4">
        <v>0</v>
      </c>
      <c r="I42" s="6">
        <v>1</v>
      </c>
      <c r="J42" s="47">
        <v>0</v>
      </c>
    </row>
    <row r="43" spans="1:15" ht="41.5" customHeight="1" x14ac:dyDescent="0.35">
      <c r="A43" s="46">
        <v>43</v>
      </c>
      <c r="B43" s="11" t="s">
        <v>106</v>
      </c>
      <c r="C43" s="11" t="s">
        <v>113</v>
      </c>
      <c r="D43" s="25">
        <v>3021</v>
      </c>
      <c r="E43" s="15" t="s">
        <v>141</v>
      </c>
      <c r="F43" s="7" t="s">
        <v>61</v>
      </c>
      <c r="G43" s="12" t="s">
        <v>62</v>
      </c>
      <c r="H43" s="4">
        <v>0</v>
      </c>
      <c r="I43" s="6">
        <v>1</v>
      </c>
      <c r="J43" s="47">
        <v>0</v>
      </c>
    </row>
    <row r="44" spans="1:15" ht="41.5" customHeight="1" x14ac:dyDescent="0.35">
      <c r="A44" s="46">
        <v>44</v>
      </c>
      <c r="B44" s="11" t="s">
        <v>106</v>
      </c>
      <c r="C44" s="11" t="s">
        <v>113</v>
      </c>
      <c r="D44" s="25">
        <v>3021</v>
      </c>
      <c r="E44" s="15" t="s">
        <v>142</v>
      </c>
      <c r="F44" s="7" t="s">
        <v>60</v>
      </c>
      <c r="G44" s="12" t="s">
        <v>53</v>
      </c>
      <c r="H44" s="4">
        <v>0</v>
      </c>
      <c r="I44" s="6">
        <v>1</v>
      </c>
      <c r="J44" s="47">
        <v>0</v>
      </c>
    </row>
    <row r="45" spans="1:15" ht="41.5" customHeight="1" x14ac:dyDescent="0.35">
      <c r="A45" s="46">
        <v>45</v>
      </c>
      <c r="B45" s="11" t="s">
        <v>106</v>
      </c>
      <c r="C45" s="11" t="s">
        <v>113</v>
      </c>
      <c r="D45" s="25">
        <v>3021</v>
      </c>
      <c r="E45" s="15" t="s">
        <v>143</v>
      </c>
      <c r="F45" s="29" t="s">
        <v>54</v>
      </c>
      <c r="G45" s="13" t="s">
        <v>23</v>
      </c>
      <c r="H45" s="4">
        <v>0</v>
      </c>
      <c r="I45" s="6">
        <v>1</v>
      </c>
      <c r="J45" s="47">
        <v>0</v>
      </c>
    </row>
    <row r="46" spans="1:15" ht="41.5" customHeight="1" x14ac:dyDescent="0.35">
      <c r="A46" s="46">
        <v>46</v>
      </c>
      <c r="B46" s="11" t="s">
        <v>106</v>
      </c>
      <c r="C46" s="11" t="s">
        <v>115</v>
      </c>
      <c r="D46" s="25">
        <v>8017</v>
      </c>
      <c r="E46" s="15" t="s">
        <v>144</v>
      </c>
      <c r="F46" s="19" t="s">
        <v>124</v>
      </c>
      <c r="G46" s="14" t="s">
        <v>63</v>
      </c>
      <c r="H46" s="4">
        <v>0</v>
      </c>
      <c r="I46" s="6">
        <v>1</v>
      </c>
      <c r="J46" s="47">
        <v>0</v>
      </c>
    </row>
    <row r="47" spans="1:15" ht="41.5" customHeight="1" x14ac:dyDescent="0.35">
      <c r="A47" s="46">
        <v>47</v>
      </c>
      <c r="B47" s="11" t="s">
        <v>106</v>
      </c>
      <c r="C47" s="11" t="s">
        <v>115</v>
      </c>
      <c r="D47" s="25">
        <v>8017</v>
      </c>
      <c r="E47" s="15" t="s">
        <v>145</v>
      </c>
      <c r="F47" s="19" t="s">
        <v>124</v>
      </c>
      <c r="G47" s="12" t="s">
        <v>64</v>
      </c>
      <c r="H47" s="4">
        <v>0</v>
      </c>
      <c r="I47" s="6">
        <v>1</v>
      </c>
      <c r="J47" s="47">
        <v>0</v>
      </c>
    </row>
    <row r="48" spans="1:15" ht="41.5" customHeight="1" x14ac:dyDescent="0.35">
      <c r="A48" s="46">
        <v>48</v>
      </c>
      <c r="B48" s="11" t="s">
        <v>106</v>
      </c>
      <c r="C48" s="11" t="s">
        <v>115</v>
      </c>
      <c r="D48" s="25">
        <v>8017</v>
      </c>
      <c r="E48" s="15" t="s">
        <v>146</v>
      </c>
      <c r="F48" s="7" t="s">
        <v>83</v>
      </c>
      <c r="G48" s="12" t="s">
        <v>82</v>
      </c>
      <c r="H48" s="4">
        <v>0</v>
      </c>
      <c r="I48" s="6">
        <v>1</v>
      </c>
      <c r="J48" s="47">
        <v>0</v>
      </c>
    </row>
    <row r="49" spans="1:10" ht="41.5" customHeight="1" x14ac:dyDescent="0.35">
      <c r="A49" s="46">
        <v>49</v>
      </c>
      <c r="B49" s="11" t="s">
        <v>106</v>
      </c>
      <c r="C49" s="11" t="s">
        <v>115</v>
      </c>
      <c r="D49" s="25">
        <v>8017</v>
      </c>
      <c r="E49" s="15" t="s">
        <v>147</v>
      </c>
      <c r="F49" s="29" t="s">
        <v>54</v>
      </c>
      <c r="G49" s="13" t="s">
        <v>23</v>
      </c>
      <c r="H49" s="4">
        <v>0</v>
      </c>
      <c r="I49" s="6">
        <v>1</v>
      </c>
      <c r="J49" s="47">
        <v>0</v>
      </c>
    </row>
    <row r="50" spans="1:10" ht="41.5" customHeight="1" x14ac:dyDescent="0.35">
      <c r="A50" s="46">
        <v>50</v>
      </c>
      <c r="B50" s="11" t="s">
        <v>106</v>
      </c>
      <c r="C50" s="11" t="s">
        <v>116</v>
      </c>
      <c r="D50" s="25">
        <v>8018</v>
      </c>
      <c r="E50" s="15" t="s">
        <v>148</v>
      </c>
      <c r="F50" s="19" t="s">
        <v>124</v>
      </c>
      <c r="G50" s="12" t="s">
        <v>63</v>
      </c>
      <c r="H50" s="4">
        <v>0</v>
      </c>
      <c r="I50" s="6">
        <v>1</v>
      </c>
      <c r="J50" s="47">
        <v>0</v>
      </c>
    </row>
    <row r="51" spans="1:10" ht="41.5" customHeight="1" x14ac:dyDescent="0.35">
      <c r="A51" s="46">
        <v>51</v>
      </c>
      <c r="B51" s="11" t="s">
        <v>106</v>
      </c>
      <c r="C51" s="11" t="s">
        <v>116</v>
      </c>
      <c r="D51" s="25">
        <v>8018</v>
      </c>
      <c r="E51" s="15" t="s">
        <v>149</v>
      </c>
      <c r="F51" s="29" t="s">
        <v>125</v>
      </c>
      <c r="G51" s="13" t="s">
        <v>81</v>
      </c>
      <c r="H51" s="4">
        <v>0</v>
      </c>
      <c r="I51" s="6">
        <v>1</v>
      </c>
      <c r="J51" s="47">
        <v>0</v>
      </c>
    </row>
    <row r="52" spans="1:10" ht="41.5" customHeight="1" x14ac:dyDescent="0.35">
      <c r="A52" s="46">
        <v>52</v>
      </c>
      <c r="B52" s="11" t="s">
        <v>106</v>
      </c>
      <c r="C52" s="11" t="s">
        <v>116</v>
      </c>
      <c r="D52" s="25">
        <v>8018</v>
      </c>
      <c r="E52" s="15" t="s">
        <v>150</v>
      </c>
      <c r="F52" s="19" t="s">
        <v>126</v>
      </c>
      <c r="G52" s="12" t="s">
        <v>80</v>
      </c>
      <c r="H52" s="4">
        <v>0</v>
      </c>
      <c r="I52" s="6">
        <v>1</v>
      </c>
      <c r="J52" s="47">
        <v>0</v>
      </c>
    </row>
    <row r="53" spans="1:10" ht="41.5" customHeight="1" x14ac:dyDescent="0.35">
      <c r="A53" s="46">
        <v>53</v>
      </c>
      <c r="B53" s="11" t="s">
        <v>106</v>
      </c>
      <c r="C53" s="11" t="s">
        <v>116</v>
      </c>
      <c r="D53" s="25">
        <v>8018</v>
      </c>
      <c r="E53" s="15" t="s">
        <v>151</v>
      </c>
      <c r="F53" s="19" t="s">
        <v>7</v>
      </c>
      <c r="G53" s="12" t="s">
        <v>79</v>
      </c>
      <c r="H53" s="4">
        <v>0</v>
      </c>
      <c r="I53" s="6">
        <v>1</v>
      </c>
      <c r="J53" s="47">
        <v>0</v>
      </c>
    </row>
    <row r="54" spans="1:10" ht="41.5" customHeight="1" x14ac:dyDescent="0.35">
      <c r="A54" s="46">
        <v>54</v>
      </c>
      <c r="B54" s="11" t="s">
        <v>106</v>
      </c>
      <c r="C54" s="11" t="s">
        <v>116</v>
      </c>
      <c r="D54" s="25">
        <v>8018</v>
      </c>
      <c r="E54" s="15" t="s">
        <v>152</v>
      </c>
      <c r="F54" s="19" t="s">
        <v>83</v>
      </c>
      <c r="G54" s="12" t="s">
        <v>78</v>
      </c>
      <c r="H54" s="4">
        <v>0</v>
      </c>
      <c r="I54" s="6">
        <v>1</v>
      </c>
      <c r="J54" s="47">
        <v>0</v>
      </c>
    </row>
    <row r="55" spans="1:10" ht="41.5" customHeight="1" x14ac:dyDescent="0.35">
      <c r="A55" s="46">
        <v>55</v>
      </c>
      <c r="B55" s="11" t="s">
        <v>106</v>
      </c>
      <c r="C55" s="11" t="s">
        <v>116</v>
      </c>
      <c r="D55" s="25">
        <v>8018</v>
      </c>
      <c r="E55" s="15" t="s">
        <v>153</v>
      </c>
      <c r="F55" s="19" t="s">
        <v>60</v>
      </c>
      <c r="G55" s="12" t="s">
        <v>55</v>
      </c>
      <c r="H55" s="4">
        <v>0</v>
      </c>
      <c r="I55" s="6">
        <v>1</v>
      </c>
      <c r="J55" s="47">
        <v>0</v>
      </c>
    </row>
    <row r="56" spans="1:10" ht="41.5" customHeight="1" x14ac:dyDescent="0.35">
      <c r="A56" s="46">
        <v>56</v>
      </c>
      <c r="B56" s="11" t="s">
        <v>106</v>
      </c>
      <c r="C56" s="11" t="s">
        <v>116</v>
      </c>
      <c r="D56" s="25">
        <v>8018</v>
      </c>
      <c r="E56" s="15" t="s">
        <v>154</v>
      </c>
      <c r="F56" s="19" t="s">
        <v>127</v>
      </c>
      <c r="G56" s="12" t="s">
        <v>77</v>
      </c>
      <c r="H56" s="4">
        <v>0</v>
      </c>
      <c r="I56" s="6">
        <v>1</v>
      </c>
      <c r="J56" s="47">
        <v>0</v>
      </c>
    </row>
    <row r="57" spans="1:10" ht="41.5" customHeight="1" x14ac:dyDescent="0.35">
      <c r="A57" s="46">
        <v>57</v>
      </c>
      <c r="B57" s="11" t="s">
        <v>106</v>
      </c>
      <c r="C57" s="11" t="s">
        <v>116</v>
      </c>
      <c r="D57" s="25">
        <v>8018</v>
      </c>
      <c r="E57" s="15" t="s">
        <v>155</v>
      </c>
      <c r="F57" s="19" t="s">
        <v>128</v>
      </c>
      <c r="G57" s="12" t="s">
        <v>76</v>
      </c>
      <c r="H57" s="4">
        <v>0</v>
      </c>
      <c r="I57" s="6">
        <v>1</v>
      </c>
      <c r="J57" s="47">
        <v>0</v>
      </c>
    </row>
    <row r="58" spans="1:10" ht="41.5" customHeight="1" x14ac:dyDescent="0.35">
      <c r="A58" s="46">
        <v>58</v>
      </c>
      <c r="B58" s="11" t="s">
        <v>106</v>
      </c>
      <c r="C58" s="11" t="s">
        <v>116</v>
      </c>
      <c r="D58" s="25">
        <v>8018</v>
      </c>
      <c r="E58" s="15" t="s">
        <v>156</v>
      </c>
      <c r="F58" s="19" t="s">
        <v>129</v>
      </c>
      <c r="G58" s="12" t="s">
        <v>75</v>
      </c>
      <c r="H58" s="4">
        <v>0</v>
      </c>
      <c r="I58" s="6">
        <v>1</v>
      </c>
      <c r="J58" s="47">
        <v>0</v>
      </c>
    </row>
    <row r="59" spans="1:10" ht="41.5" customHeight="1" x14ac:dyDescent="0.35">
      <c r="A59" s="46">
        <v>59</v>
      </c>
      <c r="B59" s="11" t="s">
        <v>106</v>
      </c>
      <c r="C59" s="11" t="s">
        <v>116</v>
      </c>
      <c r="D59" s="25">
        <v>8018</v>
      </c>
      <c r="E59" s="15" t="s">
        <v>157</v>
      </c>
      <c r="F59" s="19" t="s">
        <v>130</v>
      </c>
      <c r="G59" s="12" t="s">
        <v>74</v>
      </c>
      <c r="H59" s="4">
        <v>0</v>
      </c>
      <c r="I59" s="6">
        <v>1</v>
      </c>
      <c r="J59" s="47">
        <v>0</v>
      </c>
    </row>
    <row r="60" spans="1:10" ht="41.5" customHeight="1" x14ac:dyDescent="0.35">
      <c r="A60" s="46">
        <v>60</v>
      </c>
      <c r="B60" s="11" t="s">
        <v>106</v>
      </c>
      <c r="C60" s="11" t="s">
        <v>116</v>
      </c>
      <c r="D60" s="25">
        <v>8018</v>
      </c>
      <c r="E60" s="15" t="s">
        <v>158</v>
      </c>
      <c r="F60" s="19" t="s">
        <v>127</v>
      </c>
      <c r="G60" s="12" t="s">
        <v>73</v>
      </c>
      <c r="H60" s="4">
        <v>0</v>
      </c>
      <c r="I60" s="6">
        <v>1</v>
      </c>
      <c r="J60" s="47">
        <v>0</v>
      </c>
    </row>
    <row r="61" spans="1:10" ht="41.5" customHeight="1" x14ac:dyDescent="0.35">
      <c r="A61" s="46">
        <v>61</v>
      </c>
      <c r="B61" s="11" t="s">
        <v>106</v>
      </c>
      <c r="C61" s="11" t="s">
        <v>116</v>
      </c>
      <c r="D61" s="25">
        <v>8018</v>
      </c>
      <c r="E61" s="15" t="s">
        <v>159</v>
      </c>
      <c r="F61" s="19" t="s">
        <v>83</v>
      </c>
      <c r="G61" s="12" t="s">
        <v>72</v>
      </c>
      <c r="H61" s="4">
        <v>0</v>
      </c>
      <c r="I61" s="4">
        <v>0</v>
      </c>
      <c r="J61" s="50">
        <v>1</v>
      </c>
    </row>
    <row r="62" spans="1:10" ht="41.5" customHeight="1" x14ac:dyDescent="0.35">
      <c r="A62" s="46">
        <v>62</v>
      </c>
      <c r="B62" s="11" t="s">
        <v>106</v>
      </c>
      <c r="C62" s="11" t="s">
        <v>116</v>
      </c>
      <c r="D62" s="25">
        <v>8018</v>
      </c>
      <c r="E62" s="15" t="s">
        <v>160</v>
      </c>
      <c r="F62" s="29" t="s">
        <v>56</v>
      </c>
      <c r="G62" s="13" t="s">
        <v>71</v>
      </c>
      <c r="H62" s="4">
        <v>0</v>
      </c>
      <c r="I62" s="6">
        <v>1</v>
      </c>
      <c r="J62" s="47">
        <v>0</v>
      </c>
    </row>
    <row r="63" spans="1:10" ht="41.5" customHeight="1" x14ac:dyDescent="0.35">
      <c r="A63" s="46">
        <v>63</v>
      </c>
      <c r="B63" s="11" t="s">
        <v>106</v>
      </c>
      <c r="C63" s="11" t="s">
        <v>116</v>
      </c>
      <c r="D63" s="25">
        <v>8018</v>
      </c>
      <c r="E63" s="15" t="s">
        <v>161</v>
      </c>
      <c r="F63" s="19" t="s">
        <v>7</v>
      </c>
      <c r="G63" s="13" t="s">
        <v>70</v>
      </c>
      <c r="H63" s="4">
        <v>0</v>
      </c>
      <c r="I63" s="6">
        <v>1</v>
      </c>
      <c r="J63" s="47">
        <v>0</v>
      </c>
    </row>
    <row r="64" spans="1:10" ht="41.5" customHeight="1" x14ac:dyDescent="0.35">
      <c r="A64" s="46">
        <v>64</v>
      </c>
      <c r="B64" s="11" t="s">
        <v>106</v>
      </c>
      <c r="C64" s="11" t="s">
        <v>116</v>
      </c>
      <c r="D64" s="25">
        <v>8018</v>
      </c>
      <c r="E64" s="15" t="s">
        <v>162</v>
      </c>
      <c r="F64" s="29" t="s">
        <v>54</v>
      </c>
      <c r="G64" s="13" t="s">
        <v>23</v>
      </c>
      <c r="H64" s="4">
        <v>0</v>
      </c>
      <c r="I64" s="6">
        <v>1</v>
      </c>
      <c r="J64" s="47">
        <v>0</v>
      </c>
    </row>
    <row r="65" spans="1:10" ht="41.5" customHeight="1" x14ac:dyDescent="0.35">
      <c r="A65" s="46">
        <v>65</v>
      </c>
      <c r="B65" s="11" t="s">
        <v>106</v>
      </c>
      <c r="C65" s="11" t="s">
        <v>115</v>
      </c>
      <c r="D65" s="25">
        <v>8025</v>
      </c>
      <c r="E65" s="15" t="s">
        <v>163</v>
      </c>
      <c r="F65" s="19" t="s">
        <v>60</v>
      </c>
      <c r="G65" s="12" t="s">
        <v>63</v>
      </c>
      <c r="H65" s="4">
        <v>0</v>
      </c>
      <c r="I65" s="6">
        <v>1</v>
      </c>
      <c r="J65" s="47">
        <v>0</v>
      </c>
    </row>
    <row r="66" spans="1:10" ht="41.5" customHeight="1" x14ac:dyDescent="0.35">
      <c r="A66" s="46">
        <v>66</v>
      </c>
      <c r="B66" s="11" t="s">
        <v>106</v>
      </c>
      <c r="C66" s="11" t="s">
        <v>115</v>
      </c>
      <c r="D66" s="25">
        <v>8025</v>
      </c>
      <c r="E66" s="15" t="s">
        <v>164</v>
      </c>
      <c r="F66" s="30" t="s">
        <v>131</v>
      </c>
      <c r="G66" s="12" t="s">
        <v>69</v>
      </c>
      <c r="H66" s="4">
        <v>0</v>
      </c>
      <c r="I66" s="6">
        <v>1</v>
      </c>
      <c r="J66" s="47">
        <v>0</v>
      </c>
    </row>
    <row r="67" spans="1:10" ht="41.5" customHeight="1" x14ac:dyDescent="0.35">
      <c r="A67" s="46">
        <v>67</v>
      </c>
      <c r="B67" s="11" t="s">
        <v>106</v>
      </c>
      <c r="C67" s="11" t="s">
        <v>115</v>
      </c>
      <c r="D67" s="25">
        <v>8025</v>
      </c>
      <c r="E67" s="15" t="s">
        <v>165</v>
      </c>
      <c r="F67" s="19" t="s">
        <v>132</v>
      </c>
      <c r="G67" s="13" t="s">
        <v>68</v>
      </c>
      <c r="H67" s="4">
        <v>0</v>
      </c>
      <c r="I67" s="6">
        <v>1</v>
      </c>
      <c r="J67" s="47">
        <v>0</v>
      </c>
    </row>
    <row r="68" spans="1:10" ht="41.5" customHeight="1" x14ac:dyDescent="0.35">
      <c r="A68" s="46">
        <v>68</v>
      </c>
      <c r="B68" s="11" t="s">
        <v>106</v>
      </c>
      <c r="C68" s="11" t="s">
        <v>115</v>
      </c>
      <c r="D68" s="25">
        <v>8025</v>
      </c>
      <c r="E68" s="15" t="s">
        <v>166</v>
      </c>
      <c r="F68" s="19" t="s">
        <v>7</v>
      </c>
      <c r="G68" s="12" t="s">
        <v>67</v>
      </c>
      <c r="H68" s="4">
        <v>0</v>
      </c>
      <c r="I68" s="4">
        <v>0</v>
      </c>
      <c r="J68" s="50">
        <v>1</v>
      </c>
    </row>
    <row r="69" spans="1:10" ht="41.5" customHeight="1" x14ac:dyDescent="0.35">
      <c r="A69" s="46">
        <v>69</v>
      </c>
      <c r="B69" s="11" t="s">
        <v>106</v>
      </c>
      <c r="C69" s="11" t="s">
        <v>117</v>
      </c>
      <c r="D69" s="25">
        <v>8130</v>
      </c>
      <c r="E69" s="15" t="s">
        <v>167</v>
      </c>
      <c r="F69" s="19" t="s">
        <v>60</v>
      </c>
      <c r="G69" s="12" t="s">
        <v>63</v>
      </c>
      <c r="H69" s="4">
        <v>0</v>
      </c>
      <c r="I69" s="6">
        <v>1</v>
      </c>
      <c r="J69" s="47">
        <v>0</v>
      </c>
    </row>
    <row r="70" spans="1:10" ht="41.5" customHeight="1" x14ac:dyDescent="0.35">
      <c r="A70" s="46">
        <v>70</v>
      </c>
      <c r="B70" s="11" t="s">
        <v>106</v>
      </c>
      <c r="C70" s="11" t="s">
        <v>117</v>
      </c>
      <c r="D70" s="25">
        <v>8130</v>
      </c>
      <c r="E70" s="15" t="s">
        <v>168</v>
      </c>
      <c r="F70" s="7" t="s">
        <v>83</v>
      </c>
      <c r="G70" s="12" t="s">
        <v>66</v>
      </c>
      <c r="H70" s="4">
        <v>0</v>
      </c>
      <c r="I70" s="6">
        <v>1</v>
      </c>
      <c r="J70" s="47">
        <v>0</v>
      </c>
    </row>
    <row r="71" spans="1:10" ht="41.5" customHeight="1" x14ac:dyDescent="0.35">
      <c r="A71" s="46">
        <v>71</v>
      </c>
      <c r="B71" s="11" t="s">
        <v>106</v>
      </c>
      <c r="C71" s="11" t="s">
        <v>117</v>
      </c>
      <c r="D71" s="25">
        <v>8130</v>
      </c>
      <c r="E71" s="15" t="s">
        <v>169</v>
      </c>
      <c r="F71" s="29" t="s">
        <v>50</v>
      </c>
      <c r="G71" s="13" t="s">
        <v>51</v>
      </c>
      <c r="H71" s="4">
        <v>0</v>
      </c>
      <c r="I71" s="6">
        <v>1</v>
      </c>
      <c r="J71" s="47">
        <v>0</v>
      </c>
    </row>
    <row r="72" spans="1:10" ht="41.5" customHeight="1" x14ac:dyDescent="0.35">
      <c r="A72" s="46">
        <v>72</v>
      </c>
      <c r="B72" s="11" t="s">
        <v>106</v>
      </c>
      <c r="C72" s="11" t="s">
        <v>117</v>
      </c>
      <c r="D72" s="25">
        <v>8130</v>
      </c>
      <c r="E72" s="15" t="s">
        <v>170</v>
      </c>
      <c r="F72" s="7" t="s">
        <v>60</v>
      </c>
      <c r="G72" s="12" t="s">
        <v>55</v>
      </c>
      <c r="H72" s="4">
        <v>0</v>
      </c>
      <c r="I72" s="6">
        <v>1</v>
      </c>
      <c r="J72" s="47">
        <v>0</v>
      </c>
    </row>
    <row r="73" spans="1:10" ht="41.5" customHeight="1" x14ac:dyDescent="0.35">
      <c r="A73" s="46">
        <v>73</v>
      </c>
      <c r="B73" s="11" t="s">
        <v>106</v>
      </c>
      <c r="C73" s="11" t="s">
        <v>117</v>
      </c>
      <c r="D73" s="25">
        <v>8130</v>
      </c>
      <c r="E73" s="15" t="s">
        <v>171</v>
      </c>
      <c r="F73" s="7" t="s">
        <v>129</v>
      </c>
      <c r="G73" s="12" t="s">
        <v>65</v>
      </c>
      <c r="H73" s="4">
        <v>0</v>
      </c>
      <c r="I73" s="6">
        <v>1</v>
      </c>
      <c r="J73" s="47">
        <v>0</v>
      </c>
    </row>
    <row r="74" spans="1:10" ht="41.5" customHeight="1" x14ac:dyDescent="0.35">
      <c r="A74" s="46">
        <v>74</v>
      </c>
      <c r="B74" s="11" t="s">
        <v>106</v>
      </c>
      <c r="C74" s="11" t="s">
        <v>117</v>
      </c>
      <c r="D74" s="25">
        <v>8130</v>
      </c>
      <c r="E74" s="15" t="s">
        <v>172</v>
      </c>
      <c r="F74" s="29" t="s">
        <v>54</v>
      </c>
      <c r="G74" s="13" t="s">
        <v>23</v>
      </c>
      <c r="H74" s="4">
        <v>0</v>
      </c>
      <c r="I74" s="6">
        <v>1</v>
      </c>
      <c r="J74" s="47">
        <v>0</v>
      </c>
    </row>
    <row r="75" spans="1:10" ht="41.5" customHeight="1" x14ac:dyDescent="0.35">
      <c r="A75" s="46">
        <v>75</v>
      </c>
      <c r="B75" s="11" t="s">
        <v>106</v>
      </c>
      <c r="C75" s="11" t="s">
        <v>114</v>
      </c>
      <c r="D75" s="25">
        <v>3137</v>
      </c>
      <c r="E75" s="15" t="s">
        <v>173</v>
      </c>
      <c r="F75" s="19" t="s">
        <v>60</v>
      </c>
      <c r="G75" s="12" t="s">
        <v>118</v>
      </c>
      <c r="H75" s="4">
        <v>0</v>
      </c>
      <c r="I75" s="6">
        <v>1</v>
      </c>
      <c r="J75" s="47">
        <v>0</v>
      </c>
    </row>
    <row r="76" spans="1:10" ht="41.5" customHeight="1" x14ac:dyDescent="0.35">
      <c r="A76" s="46">
        <v>76</v>
      </c>
      <c r="B76" s="11" t="s">
        <v>106</v>
      </c>
      <c r="C76" s="11" t="s">
        <v>114</v>
      </c>
      <c r="D76" s="25">
        <v>3137</v>
      </c>
      <c r="E76" s="15" t="s">
        <v>174</v>
      </c>
      <c r="F76" s="19" t="s">
        <v>60</v>
      </c>
      <c r="G76" s="12" t="s">
        <v>119</v>
      </c>
      <c r="H76" s="4">
        <v>0</v>
      </c>
      <c r="I76" s="6">
        <v>0</v>
      </c>
      <c r="J76" s="47">
        <v>1</v>
      </c>
    </row>
    <row r="77" spans="1:10" ht="41.5" customHeight="1" x14ac:dyDescent="0.35">
      <c r="A77" s="46">
        <v>77</v>
      </c>
      <c r="B77" s="11" t="s">
        <v>106</v>
      </c>
      <c r="C77" s="11" t="s">
        <v>114</v>
      </c>
      <c r="D77" s="25">
        <v>3137</v>
      </c>
      <c r="E77" s="15" t="s">
        <v>175</v>
      </c>
      <c r="F77" s="19" t="s">
        <v>133</v>
      </c>
      <c r="G77" s="13" t="s">
        <v>120</v>
      </c>
      <c r="H77" s="4">
        <v>0</v>
      </c>
      <c r="I77" s="6">
        <v>0</v>
      </c>
      <c r="J77" s="47">
        <v>1</v>
      </c>
    </row>
    <row r="78" spans="1:10" ht="41.5" customHeight="1" x14ac:dyDescent="0.35">
      <c r="A78" s="46">
        <v>78</v>
      </c>
      <c r="B78" s="11" t="s">
        <v>106</v>
      </c>
      <c r="C78" s="11" t="s">
        <v>114</v>
      </c>
      <c r="D78" s="25">
        <v>3137</v>
      </c>
      <c r="E78" s="15" t="s">
        <v>176</v>
      </c>
      <c r="F78" s="7" t="s">
        <v>121</v>
      </c>
      <c r="G78" s="12" t="s">
        <v>122</v>
      </c>
      <c r="H78" s="4">
        <v>0</v>
      </c>
      <c r="I78" s="6">
        <v>1</v>
      </c>
      <c r="J78" s="47">
        <v>0</v>
      </c>
    </row>
    <row r="79" spans="1:10" ht="41.5" customHeight="1" x14ac:dyDescent="0.35">
      <c r="A79" s="46">
        <v>79</v>
      </c>
      <c r="B79" s="11" t="s">
        <v>106</v>
      </c>
      <c r="C79" s="11" t="s">
        <v>137</v>
      </c>
      <c r="D79" s="25" t="s">
        <v>249</v>
      </c>
      <c r="E79" s="15" t="s">
        <v>177</v>
      </c>
      <c r="F79" s="7" t="s">
        <v>83</v>
      </c>
      <c r="G79" s="12" t="s">
        <v>123</v>
      </c>
      <c r="H79" s="4">
        <v>0</v>
      </c>
      <c r="I79" s="6">
        <v>1</v>
      </c>
      <c r="J79" s="47">
        <v>0</v>
      </c>
    </row>
    <row r="80" spans="1:10" ht="41.5" customHeight="1" x14ac:dyDescent="0.35">
      <c r="A80" s="46">
        <v>80</v>
      </c>
      <c r="B80" s="11" t="s">
        <v>106</v>
      </c>
      <c r="C80" s="11" t="s">
        <v>137</v>
      </c>
      <c r="D80" s="25" t="s">
        <v>249</v>
      </c>
      <c r="E80" s="15" t="s">
        <v>178</v>
      </c>
      <c r="F80" s="7" t="s">
        <v>60</v>
      </c>
      <c r="G80" s="12" t="s">
        <v>88</v>
      </c>
      <c r="H80" s="4">
        <v>0</v>
      </c>
      <c r="I80" s="4">
        <v>0</v>
      </c>
      <c r="J80" s="50">
        <v>1</v>
      </c>
    </row>
    <row r="81" spans="1:10" ht="41.5" customHeight="1" x14ac:dyDescent="0.35">
      <c r="A81" s="46">
        <v>81</v>
      </c>
      <c r="B81" s="11" t="s">
        <v>106</v>
      </c>
      <c r="C81" s="11" t="s">
        <v>137</v>
      </c>
      <c r="D81" s="25" t="s">
        <v>249</v>
      </c>
      <c r="E81" s="15" t="s">
        <v>179</v>
      </c>
      <c r="F81" s="7" t="s">
        <v>85</v>
      </c>
      <c r="G81" s="12" t="s">
        <v>87</v>
      </c>
      <c r="H81" s="4">
        <v>0</v>
      </c>
      <c r="I81" s="6">
        <v>1</v>
      </c>
      <c r="J81" s="47">
        <v>0</v>
      </c>
    </row>
    <row r="82" spans="1:10" ht="41.5" customHeight="1" x14ac:dyDescent="0.35">
      <c r="A82" s="46">
        <v>82</v>
      </c>
      <c r="B82" s="11" t="s">
        <v>106</v>
      </c>
      <c r="C82" s="11" t="s">
        <v>137</v>
      </c>
      <c r="D82" s="25" t="s">
        <v>249</v>
      </c>
      <c r="E82" s="15" t="s">
        <v>180</v>
      </c>
      <c r="F82" s="19" t="s">
        <v>84</v>
      </c>
      <c r="G82" s="12" t="s">
        <v>86</v>
      </c>
      <c r="H82" s="4">
        <v>0</v>
      </c>
      <c r="I82" s="4">
        <v>0</v>
      </c>
      <c r="J82" s="50">
        <v>1</v>
      </c>
    </row>
    <row r="83" spans="1:10" ht="41.5" customHeight="1" x14ac:dyDescent="0.35">
      <c r="A83" s="46">
        <v>83</v>
      </c>
      <c r="B83" s="11" t="s">
        <v>106</v>
      </c>
      <c r="C83" s="11" t="s">
        <v>108</v>
      </c>
      <c r="D83" s="25" t="s">
        <v>108</v>
      </c>
      <c r="E83" s="15" t="s">
        <v>181</v>
      </c>
      <c r="F83" s="19" t="s">
        <v>138</v>
      </c>
      <c r="G83" s="12" t="s">
        <v>102</v>
      </c>
      <c r="H83" s="4">
        <v>0</v>
      </c>
      <c r="I83" s="4">
        <v>0</v>
      </c>
      <c r="J83" s="50">
        <v>1</v>
      </c>
    </row>
    <row r="84" spans="1:10" ht="41.5" customHeight="1" x14ac:dyDescent="0.35">
      <c r="A84" s="46">
        <v>84</v>
      </c>
      <c r="B84" s="11" t="s">
        <v>106</v>
      </c>
      <c r="C84" s="11" t="s">
        <v>108</v>
      </c>
      <c r="D84" s="25" t="s">
        <v>108</v>
      </c>
      <c r="E84" s="15" t="s">
        <v>182</v>
      </c>
      <c r="F84" s="19" t="s">
        <v>138</v>
      </c>
      <c r="G84" s="12" t="s">
        <v>101</v>
      </c>
      <c r="H84" s="4">
        <v>0</v>
      </c>
      <c r="I84" s="4">
        <v>0</v>
      </c>
      <c r="J84" s="50">
        <v>1</v>
      </c>
    </row>
    <row r="85" spans="1:10" ht="41.5" customHeight="1" x14ac:dyDescent="0.35">
      <c r="A85" s="46">
        <v>85</v>
      </c>
      <c r="B85" s="11" t="s">
        <v>106</v>
      </c>
      <c r="C85" s="11" t="s">
        <v>108</v>
      </c>
      <c r="D85" s="25" t="s">
        <v>108</v>
      </c>
      <c r="E85" s="15" t="s">
        <v>183</v>
      </c>
      <c r="F85" s="19" t="s">
        <v>139</v>
      </c>
      <c r="G85" s="12" t="s">
        <v>100</v>
      </c>
      <c r="H85" s="4">
        <v>0</v>
      </c>
      <c r="I85" s="4">
        <v>0</v>
      </c>
      <c r="J85" s="50">
        <v>1</v>
      </c>
    </row>
    <row r="86" spans="1:10" ht="41.5" customHeight="1" x14ac:dyDescent="0.35">
      <c r="A86" s="46">
        <v>86</v>
      </c>
      <c r="B86" s="11" t="s">
        <v>106</v>
      </c>
      <c r="C86" s="11" t="s">
        <v>109</v>
      </c>
      <c r="D86" s="25" t="s">
        <v>250</v>
      </c>
      <c r="E86" s="15" t="s">
        <v>184</v>
      </c>
      <c r="F86" s="19" t="s">
        <v>195</v>
      </c>
      <c r="G86" s="12" t="s">
        <v>99</v>
      </c>
      <c r="H86" s="4">
        <v>0</v>
      </c>
      <c r="I86" s="6">
        <v>1</v>
      </c>
      <c r="J86" s="47">
        <v>0</v>
      </c>
    </row>
    <row r="87" spans="1:10" ht="41.5" customHeight="1" x14ac:dyDescent="0.35">
      <c r="A87" s="46">
        <v>87</v>
      </c>
      <c r="B87" s="11" t="s">
        <v>106</v>
      </c>
      <c r="C87" s="11" t="s">
        <v>109</v>
      </c>
      <c r="D87" s="25" t="s">
        <v>250</v>
      </c>
      <c r="E87" s="15" t="s">
        <v>185</v>
      </c>
      <c r="F87" s="19" t="s">
        <v>196</v>
      </c>
      <c r="G87" s="12" t="s">
        <v>98</v>
      </c>
      <c r="H87" s="4">
        <v>0</v>
      </c>
      <c r="I87" s="6">
        <v>1</v>
      </c>
      <c r="J87" s="47">
        <v>0</v>
      </c>
    </row>
    <row r="88" spans="1:10" ht="41.5" customHeight="1" x14ac:dyDescent="0.35">
      <c r="A88" s="46">
        <v>88</v>
      </c>
      <c r="B88" s="11" t="s">
        <v>106</v>
      </c>
      <c r="C88" s="11" t="s">
        <v>110</v>
      </c>
      <c r="D88" s="25">
        <v>3220</v>
      </c>
      <c r="E88" s="15" t="s">
        <v>186</v>
      </c>
      <c r="F88" s="19" t="s">
        <v>197</v>
      </c>
      <c r="G88" s="12" t="s">
        <v>97</v>
      </c>
      <c r="H88" s="4">
        <v>0</v>
      </c>
      <c r="I88" s="4">
        <v>0</v>
      </c>
      <c r="J88" s="50">
        <v>1</v>
      </c>
    </row>
    <row r="89" spans="1:10" ht="41.5" customHeight="1" x14ac:dyDescent="0.35">
      <c r="A89" s="46">
        <v>89</v>
      </c>
      <c r="B89" s="11" t="s">
        <v>106</v>
      </c>
      <c r="C89" s="11" t="s">
        <v>110</v>
      </c>
      <c r="D89" s="25">
        <v>3220</v>
      </c>
      <c r="E89" s="15" t="s">
        <v>187</v>
      </c>
      <c r="F89" s="19" t="s">
        <v>198</v>
      </c>
      <c r="G89" s="12" t="s">
        <v>96</v>
      </c>
      <c r="H89" s="4">
        <v>0</v>
      </c>
      <c r="I89" s="6">
        <v>1</v>
      </c>
      <c r="J89" s="47">
        <v>0</v>
      </c>
    </row>
    <row r="90" spans="1:10" ht="41.5" customHeight="1" x14ac:dyDescent="0.35">
      <c r="A90" s="46">
        <v>90</v>
      </c>
      <c r="B90" s="11" t="s">
        <v>106</v>
      </c>
      <c r="C90" s="11" t="s">
        <v>110</v>
      </c>
      <c r="D90" s="25">
        <v>3220</v>
      </c>
      <c r="E90" s="15" t="s">
        <v>188</v>
      </c>
      <c r="F90" s="19" t="s">
        <v>11</v>
      </c>
      <c r="G90" s="12" t="s">
        <v>95</v>
      </c>
      <c r="H90" s="4">
        <v>0</v>
      </c>
      <c r="I90" s="6">
        <v>1</v>
      </c>
      <c r="J90" s="47">
        <v>0</v>
      </c>
    </row>
    <row r="91" spans="1:10" ht="41.5" customHeight="1" x14ac:dyDescent="0.35">
      <c r="A91" s="46">
        <v>91</v>
      </c>
      <c r="B91" s="11" t="s">
        <v>106</v>
      </c>
      <c r="C91" s="11" t="s">
        <v>110</v>
      </c>
      <c r="D91" s="25">
        <v>3220</v>
      </c>
      <c r="E91" s="15" t="s">
        <v>189</v>
      </c>
      <c r="F91" s="19" t="s">
        <v>20</v>
      </c>
      <c r="G91" s="12" t="s">
        <v>94</v>
      </c>
      <c r="H91" s="4">
        <v>0</v>
      </c>
      <c r="I91" s="4">
        <v>0</v>
      </c>
      <c r="J91" s="50">
        <v>1</v>
      </c>
    </row>
    <row r="92" spans="1:10" ht="41.5" customHeight="1" x14ac:dyDescent="0.35">
      <c r="A92" s="46">
        <v>92</v>
      </c>
      <c r="B92" s="11" t="s">
        <v>106</v>
      </c>
      <c r="C92" s="11" t="s">
        <v>111</v>
      </c>
      <c r="D92" s="25">
        <v>2141</v>
      </c>
      <c r="E92" s="15" t="s">
        <v>190</v>
      </c>
      <c r="F92" s="7" t="s">
        <v>199</v>
      </c>
      <c r="G92" s="12" t="s">
        <v>93</v>
      </c>
      <c r="H92" s="4">
        <v>0</v>
      </c>
      <c r="I92" s="6">
        <v>1</v>
      </c>
      <c r="J92" s="47">
        <v>0</v>
      </c>
    </row>
    <row r="93" spans="1:10" ht="41.5" customHeight="1" x14ac:dyDescent="0.35">
      <c r="A93" s="46">
        <v>93</v>
      </c>
      <c r="B93" s="11" t="s">
        <v>106</v>
      </c>
      <c r="C93" s="11" t="s">
        <v>111</v>
      </c>
      <c r="D93" s="25">
        <v>2141</v>
      </c>
      <c r="E93" s="15" t="s">
        <v>191</v>
      </c>
      <c r="F93" s="7" t="s">
        <v>60</v>
      </c>
      <c r="G93" s="12" t="s">
        <v>92</v>
      </c>
      <c r="H93" s="4">
        <v>0</v>
      </c>
      <c r="I93" s="4">
        <v>0</v>
      </c>
      <c r="J93" s="50">
        <v>1</v>
      </c>
    </row>
    <row r="94" spans="1:10" ht="41.5" customHeight="1" x14ac:dyDescent="0.35">
      <c r="A94" s="46">
        <v>94</v>
      </c>
      <c r="B94" s="11" t="s">
        <v>106</v>
      </c>
      <c r="C94" s="11" t="s">
        <v>112</v>
      </c>
      <c r="D94" s="25" t="s">
        <v>249</v>
      </c>
      <c r="E94" s="15" t="s">
        <v>192</v>
      </c>
      <c r="F94" s="7" t="s">
        <v>83</v>
      </c>
      <c r="G94" s="15" t="s">
        <v>89</v>
      </c>
      <c r="H94" s="4">
        <v>0</v>
      </c>
      <c r="I94" s="6">
        <v>1</v>
      </c>
      <c r="J94" s="47">
        <v>0</v>
      </c>
    </row>
    <row r="95" spans="1:10" ht="41.5" customHeight="1" x14ac:dyDescent="0.35">
      <c r="A95" s="46">
        <v>95</v>
      </c>
      <c r="B95" s="11" t="s">
        <v>106</v>
      </c>
      <c r="C95" s="11" t="s">
        <v>112</v>
      </c>
      <c r="D95" s="25" t="s">
        <v>249</v>
      </c>
      <c r="E95" s="15" t="s">
        <v>193</v>
      </c>
      <c r="F95" s="7" t="s">
        <v>60</v>
      </c>
      <c r="G95" s="16" t="s">
        <v>90</v>
      </c>
      <c r="H95" s="4">
        <v>0</v>
      </c>
      <c r="I95" s="4">
        <v>0</v>
      </c>
      <c r="J95" s="50">
        <v>1</v>
      </c>
    </row>
    <row r="96" spans="1:10" ht="41.5" customHeight="1" x14ac:dyDescent="0.35">
      <c r="A96" s="46">
        <v>96</v>
      </c>
      <c r="B96" s="11" t="s">
        <v>106</v>
      </c>
      <c r="C96" s="11" t="s">
        <v>112</v>
      </c>
      <c r="D96" s="25" t="s">
        <v>249</v>
      </c>
      <c r="E96" s="15" t="s">
        <v>194</v>
      </c>
      <c r="F96" s="7" t="s">
        <v>84</v>
      </c>
      <c r="G96" s="15" t="s">
        <v>91</v>
      </c>
      <c r="H96" s="4">
        <v>0</v>
      </c>
      <c r="I96" s="4">
        <v>0</v>
      </c>
      <c r="J96" s="50">
        <v>1</v>
      </c>
    </row>
    <row r="97" spans="1:10" ht="38.15" customHeight="1" thickBot="1" x14ac:dyDescent="0.4">
      <c r="A97" s="61" t="s">
        <v>103</v>
      </c>
      <c r="B97" s="62"/>
      <c r="C97" s="62"/>
      <c r="D97" s="62"/>
      <c r="E97" s="62"/>
      <c r="F97" s="62"/>
      <c r="G97" s="62"/>
      <c r="H97" s="55">
        <f>SUM(H4:H96)</f>
        <v>0</v>
      </c>
      <c r="I97" s="55">
        <f t="shared" ref="I97:J97" si="0">SUM(I4:I96)</f>
        <v>64</v>
      </c>
      <c r="J97" s="56">
        <f t="shared" si="0"/>
        <v>29</v>
      </c>
    </row>
    <row r="99" spans="1:10" ht="60.75" customHeight="1" x14ac:dyDescent="0.35">
      <c r="F99" s="31"/>
    </row>
    <row r="100" spans="1:10" ht="60.75" customHeight="1" x14ac:dyDescent="0.35">
      <c r="F100" s="31"/>
    </row>
  </sheetData>
  <autoFilter ref="A3:J98" xr:uid="{00000000-0009-0000-0000-000000000000}"/>
  <mergeCells count="10">
    <mergeCell ref="A1:J1"/>
    <mergeCell ref="B2:B3"/>
    <mergeCell ref="C2:C3"/>
    <mergeCell ref="A97:G97"/>
    <mergeCell ref="G2:G3"/>
    <mergeCell ref="F2:F3"/>
    <mergeCell ref="A2:A3"/>
    <mergeCell ref="H2:J2"/>
    <mergeCell ref="E2:E3"/>
    <mergeCell ref="D2:D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topLeftCell="A14" zoomScale="70" zoomScaleNormal="70" workbookViewId="0">
      <selection activeCell="B22" sqref="B22"/>
    </sheetView>
  </sheetViews>
  <sheetFormatPr defaultColWidth="50" defaultRowHeight="41.25" customHeight="1" x14ac:dyDescent="0.35"/>
  <cols>
    <col min="1" max="1" width="50" style="40"/>
    <col min="2" max="2" width="50" style="41"/>
    <col min="3" max="16384" width="50" style="8"/>
  </cols>
  <sheetData>
    <row r="1" spans="1:3" ht="41.25" customHeight="1" thickBot="1" x14ac:dyDescent="0.4">
      <c r="A1" s="72" t="s">
        <v>266</v>
      </c>
      <c r="B1" s="73"/>
    </row>
    <row r="2" spans="1:3" ht="41.25" customHeight="1" x14ac:dyDescent="0.35">
      <c r="A2" s="74" t="s">
        <v>267</v>
      </c>
      <c r="B2" s="32" t="s">
        <v>297</v>
      </c>
      <c r="C2" s="8">
        <v>1</v>
      </c>
    </row>
    <row r="3" spans="1:3" ht="41.25" customHeight="1" x14ac:dyDescent="0.35">
      <c r="A3" s="75"/>
      <c r="B3" s="33" t="s">
        <v>268</v>
      </c>
      <c r="C3" s="8">
        <v>1</v>
      </c>
    </row>
    <row r="4" spans="1:3" ht="41.25" customHeight="1" x14ac:dyDescent="0.35">
      <c r="A4" s="75"/>
      <c r="B4" s="33" t="s">
        <v>298</v>
      </c>
      <c r="C4" s="8">
        <v>1</v>
      </c>
    </row>
    <row r="5" spans="1:3" ht="41.25" customHeight="1" thickBot="1" x14ac:dyDescent="0.4">
      <c r="A5" s="75"/>
      <c r="B5" s="33" t="s">
        <v>299</v>
      </c>
      <c r="C5" s="8">
        <v>1</v>
      </c>
    </row>
    <row r="6" spans="1:3" ht="41.25" customHeight="1" x14ac:dyDescent="0.35">
      <c r="A6" s="68" t="s">
        <v>309</v>
      </c>
      <c r="B6" s="34" t="s">
        <v>300</v>
      </c>
      <c r="C6" s="8">
        <v>1</v>
      </c>
    </row>
    <row r="7" spans="1:3" ht="41.25" customHeight="1" x14ac:dyDescent="0.35">
      <c r="A7" s="70"/>
      <c r="B7" s="35" t="s">
        <v>269</v>
      </c>
      <c r="C7" s="8">
        <v>1</v>
      </c>
    </row>
    <row r="8" spans="1:3" ht="41.25" customHeight="1" x14ac:dyDescent="0.35">
      <c r="A8" s="70"/>
      <c r="B8" s="35" t="s">
        <v>270</v>
      </c>
      <c r="C8" s="8">
        <v>1</v>
      </c>
    </row>
    <row r="9" spans="1:3" ht="41.25" customHeight="1" x14ac:dyDescent="0.35">
      <c r="A9" s="70"/>
      <c r="B9" s="35" t="s">
        <v>271</v>
      </c>
      <c r="C9" s="8">
        <v>1</v>
      </c>
    </row>
    <row r="10" spans="1:3" ht="41.25" customHeight="1" x14ac:dyDescent="0.35">
      <c r="A10" s="70"/>
      <c r="B10" s="35" t="s">
        <v>272</v>
      </c>
      <c r="C10" s="8">
        <v>1</v>
      </c>
    </row>
    <row r="11" spans="1:3" ht="41.25" customHeight="1" thickBot="1" x14ac:dyDescent="0.4">
      <c r="A11" s="70"/>
      <c r="B11" s="37" t="s">
        <v>291</v>
      </c>
      <c r="C11" s="8">
        <v>1</v>
      </c>
    </row>
    <row r="12" spans="1:3" ht="41.25" customHeight="1" x14ac:dyDescent="0.35">
      <c r="A12" s="76" t="s">
        <v>307</v>
      </c>
      <c r="B12" s="34" t="s">
        <v>273</v>
      </c>
      <c r="C12" s="8">
        <v>1</v>
      </c>
    </row>
    <row r="13" spans="1:3" ht="41.25" customHeight="1" x14ac:dyDescent="0.35">
      <c r="A13" s="77"/>
      <c r="B13" s="35" t="s">
        <v>301</v>
      </c>
      <c r="C13" s="8">
        <v>1</v>
      </c>
    </row>
    <row r="14" spans="1:3" ht="41.25" customHeight="1" thickBot="1" x14ac:dyDescent="0.4">
      <c r="A14" s="77"/>
      <c r="B14" s="35" t="s">
        <v>274</v>
      </c>
      <c r="C14" s="8">
        <v>1</v>
      </c>
    </row>
    <row r="15" spans="1:3" ht="41.25" customHeight="1" x14ac:dyDescent="0.35">
      <c r="A15" s="74" t="s">
        <v>275</v>
      </c>
      <c r="B15" s="34" t="s">
        <v>276</v>
      </c>
      <c r="C15" s="8">
        <v>1</v>
      </c>
    </row>
    <row r="16" spans="1:3" ht="41.25" customHeight="1" thickBot="1" x14ac:dyDescent="0.4">
      <c r="A16" s="78"/>
      <c r="B16" s="36" t="s">
        <v>277</v>
      </c>
      <c r="C16" s="8">
        <v>1</v>
      </c>
    </row>
    <row r="17" spans="1:3" ht="41.25" customHeight="1" x14ac:dyDescent="0.35">
      <c r="A17" s="71" t="s">
        <v>278</v>
      </c>
      <c r="B17" s="34" t="s">
        <v>279</v>
      </c>
      <c r="C17" s="8">
        <v>1</v>
      </c>
    </row>
    <row r="18" spans="1:3" ht="41.25" customHeight="1" thickBot="1" x14ac:dyDescent="0.4">
      <c r="A18" s="71"/>
      <c r="B18" s="36" t="s">
        <v>280</v>
      </c>
      <c r="C18" s="8">
        <v>1</v>
      </c>
    </row>
    <row r="19" spans="1:3" ht="41.25" customHeight="1" thickBot="1" x14ac:dyDescent="0.4">
      <c r="A19" s="38" t="s">
        <v>310</v>
      </c>
      <c r="B19" s="39" t="s">
        <v>282</v>
      </c>
      <c r="C19" s="8">
        <v>1</v>
      </c>
    </row>
    <row r="20" spans="1:3" ht="41.25" customHeight="1" thickBot="1" x14ac:dyDescent="0.4">
      <c r="A20" s="68" t="s">
        <v>284</v>
      </c>
      <c r="B20" s="39" t="s">
        <v>283</v>
      </c>
      <c r="C20" s="8">
        <v>1</v>
      </c>
    </row>
    <row r="21" spans="1:3" ht="41.25" customHeight="1" thickBot="1" x14ac:dyDescent="0.4">
      <c r="A21" s="70"/>
      <c r="B21" s="39" t="s">
        <v>285</v>
      </c>
      <c r="C21" s="8">
        <v>1</v>
      </c>
    </row>
    <row r="22" spans="1:3" ht="41.25" customHeight="1" thickBot="1" x14ac:dyDescent="0.4">
      <c r="A22" s="70"/>
      <c r="B22" s="39" t="s">
        <v>288</v>
      </c>
      <c r="C22" s="8">
        <v>1</v>
      </c>
    </row>
    <row r="23" spans="1:3" ht="41.25" customHeight="1" thickBot="1" x14ac:dyDescent="0.4">
      <c r="A23" s="69"/>
      <c r="B23" s="39" t="s">
        <v>306</v>
      </c>
      <c r="C23" s="8">
        <v>1</v>
      </c>
    </row>
    <row r="24" spans="1:3" ht="41.25" customHeight="1" thickBot="1" x14ac:dyDescent="0.4">
      <c r="A24" s="38" t="s">
        <v>286</v>
      </c>
      <c r="B24" s="39" t="s">
        <v>287</v>
      </c>
      <c r="C24" s="8">
        <v>1</v>
      </c>
    </row>
    <row r="25" spans="1:3" ht="41.25" customHeight="1" thickBot="1" x14ac:dyDescent="0.4">
      <c r="A25" s="38" t="s">
        <v>289</v>
      </c>
      <c r="B25" s="39" t="s">
        <v>290</v>
      </c>
      <c r="C25" s="8">
        <v>1</v>
      </c>
    </row>
    <row r="26" spans="1:3" ht="41.25" customHeight="1" thickBot="1" x14ac:dyDescent="0.4">
      <c r="A26" s="38" t="s">
        <v>302</v>
      </c>
      <c r="B26" s="39" t="s">
        <v>292</v>
      </c>
      <c r="C26" s="8">
        <v>1</v>
      </c>
    </row>
    <row r="27" spans="1:3" ht="41.25" customHeight="1" thickBot="1" x14ac:dyDescent="0.4">
      <c r="A27" s="68" t="s">
        <v>303</v>
      </c>
      <c r="B27" s="39" t="s">
        <v>293</v>
      </c>
      <c r="C27" s="8">
        <v>1</v>
      </c>
    </row>
    <row r="28" spans="1:3" ht="41.25" customHeight="1" thickBot="1" x14ac:dyDescent="0.4">
      <c r="A28" s="69"/>
      <c r="B28" s="39" t="s">
        <v>296</v>
      </c>
      <c r="C28" s="8">
        <v>1</v>
      </c>
    </row>
    <row r="29" spans="1:3" ht="41.25" customHeight="1" thickBot="1" x14ac:dyDescent="0.4">
      <c r="A29" s="38" t="s">
        <v>304</v>
      </c>
      <c r="B29" s="39" t="s">
        <v>294</v>
      </c>
      <c r="C29" s="8">
        <v>1</v>
      </c>
    </row>
    <row r="30" spans="1:3" ht="41.25" customHeight="1" thickBot="1" x14ac:dyDescent="0.4">
      <c r="A30" s="68" t="s">
        <v>305</v>
      </c>
      <c r="B30" s="39" t="s">
        <v>295</v>
      </c>
      <c r="C30" s="8">
        <v>1</v>
      </c>
    </row>
    <row r="31" spans="1:3" ht="41.25" customHeight="1" thickBot="1" x14ac:dyDescent="0.4">
      <c r="A31" s="69"/>
      <c r="B31" s="39" t="s">
        <v>281</v>
      </c>
      <c r="C31" s="8">
        <v>1</v>
      </c>
    </row>
    <row r="32" spans="1:3" ht="41.25" customHeight="1" x14ac:dyDescent="0.35">
      <c r="C32" s="8">
        <f>SUM(C2:C31)</f>
        <v>30</v>
      </c>
    </row>
  </sheetData>
  <mergeCells count="9">
    <mergeCell ref="A30:A31"/>
    <mergeCell ref="A27:A28"/>
    <mergeCell ref="A20:A23"/>
    <mergeCell ref="A17:A18"/>
    <mergeCell ref="A1:B1"/>
    <mergeCell ref="A2:A5"/>
    <mergeCell ref="A6:A11"/>
    <mergeCell ref="A12:A14"/>
    <mergeCell ref="A15:A1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4:D8"/>
  <sheetViews>
    <sheetView workbookViewId="0">
      <selection activeCell="H16" sqref="H16"/>
    </sheetView>
  </sheetViews>
  <sheetFormatPr defaultRowHeight="14.5" x14ac:dyDescent="0.35"/>
  <sheetData>
    <row r="4" spans="3:4" x14ac:dyDescent="0.35">
      <c r="C4" t="s">
        <v>312</v>
      </c>
    </row>
    <row r="5" spans="3:4" x14ac:dyDescent="0.35">
      <c r="C5" t="s">
        <v>2</v>
      </c>
      <c r="D5">
        <v>0</v>
      </c>
    </row>
    <row r="6" spans="3:4" x14ac:dyDescent="0.35">
      <c r="C6" t="s">
        <v>3</v>
      </c>
      <c r="D6">
        <v>64</v>
      </c>
    </row>
    <row r="7" spans="3:4" ht="43.5" x14ac:dyDescent="0.35">
      <c r="C7" s="44" t="s">
        <v>311</v>
      </c>
      <c r="D7">
        <v>29</v>
      </c>
    </row>
    <row r="8" spans="3:4" ht="29" x14ac:dyDescent="0.35">
      <c r="C8" s="20" t="s">
        <v>313</v>
      </c>
      <c r="D8">
        <v>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Findings</vt:lpstr>
      <vt:lpstr>Positive points  </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Aisha Abdulla Sulaiman Al Zaabi</dc:creator>
  <cp:lastModifiedBy>Eldeeb, Ahmed</cp:lastModifiedBy>
  <cp:lastPrinted>2023-05-24T08:01:20Z</cp:lastPrinted>
  <dcterms:created xsi:type="dcterms:W3CDTF">2022-10-25T05:23:09Z</dcterms:created>
  <dcterms:modified xsi:type="dcterms:W3CDTF">2023-05-24T08:20:57Z</dcterms:modified>
</cp:coreProperties>
</file>