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8. Docs received 12.06.2023/Clinic Records/"/>
    </mc:Choice>
  </mc:AlternateContent>
  <xr:revisionPtr revIDLastSave="54" documentId="11_227CF6546098125D16B26A33065E1D7EFF14F273" xr6:coauthVersionLast="47" xr6:coauthVersionMax="47" xr10:uidLastSave="{E3D968C6-4DE9-40E1-9C0D-02D5EB280085}"/>
  <bookViews>
    <workbookView xWindow="19090" yWindow="-110" windowWidth="19420" windowHeight="10420" activeTab="1" xr2:uid="{00000000-000D-0000-FFFF-FFFF00000000}"/>
  </bookViews>
  <sheets>
    <sheet name="2022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4" i="2" l="1"/>
  <c r="G65" i="2"/>
  <c r="AG64" i="2"/>
  <c r="AF64" i="2"/>
  <c r="AE64" i="2"/>
  <c r="AD64" i="2"/>
  <c r="AC64" i="2"/>
  <c r="Z64" i="2"/>
  <c r="V64" i="2"/>
  <c r="S64" i="2"/>
  <c r="O64" i="2"/>
  <c r="N64" i="2"/>
  <c r="F64" i="2"/>
  <c r="E64" i="2"/>
  <c r="D64" i="2"/>
  <c r="C64" i="2"/>
  <c r="B64" i="2"/>
  <c r="AH63" i="2"/>
  <c r="G63" i="2"/>
  <c r="AH62" i="2"/>
  <c r="AA62" i="2"/>
  <c r="G62" i="2"/>
  <c r="AH61" i="2"/>
  <c r="AA61" i="2"/>
  <c r="T61" i="2"/>
  <c r="N61" i="2"/>
  <c r="G61" i="2"/>
  <c r="AA60" i="2"/>
  <c r="T60" i="2"/>
  <c r="G60" i="2"/>
  <c r="AA59" i="2"/>
  <c r="T59" i="2"/>
  <c r="G59" i="2"/>
  <c r="T58" i="2"/>
  <c r="G58" i="2"/>
  <c r="AH57" i="2"/>
  <c r="AA57" i="2"/>
  <c r="T57" i="2"/>
  <c r="G57" i="2"/>
  <c r="AH56" i="2"/>
  <c r="AA56" i="2"/>
  <c r="T56" i="2"/>
  <c r="G56" i="2"/>
  <c r="AH55" i="2"/>
  <c r="AA55" i="2"/>
  <c r="T55" i="2"/>
  <c r="G55" i="2"/>
  <c r="AH54" i="2"/>
  <c r="AA54" i="2"/>
  <c r="T54" i="2"/>
  <c r="G54" i="2"/>
  <c r="AH53" i="2"/>
  <c r="AA53" i="2"/>
  <c r="T53" i="2"/>
  <c r="G53" i="2"/>
  <c r="AH52" i="2"/>
  <c r="AA52" i="2"/>
  <c r="T52" i="2"/>
  <c r="G52" i="2"/>
  <c r="AH51" i="2"/>
  <c r="AA51" i="2"/>
  <c r="T51" i="2"/>
  <c r="G51" i="2"/>
  <c r="AH50" i="2"/>
  <c r="AA50" i="2"/>
  <c r="V50" i="2"/>
  <c r="T50" i="2"/>
  <c r="G50" i="2"/>
  <c r="AH49" i="2"/>
  <c r="AA49" i="2"/>
  <c r="T49" i="2"/>
  <c r="G49" i="2"/>
  <c r="AH43" i="2"/>
  <c r="AA43" i="2"/>
  <c r="T43" i="2"/>
  <c r="N43" i="2"/>
  <c r="G43" i="2"/>
  <c r="AH42" i="2"/>
  <c r="AA42" i="2"/>
  <c r="T42" i="2"/>
  <c r="N42" i="2"/>
  <c r="G42" i="2"/>
  <c r="AH41" i="2"/>
  <c r="AA41" i="2"/>
  <c r="T41" i="2"/>
  <c r="G41" i="2"/>
  <c r="AH39" i="2"/>
  <c r="AA39" i="2"/>
  <c r="T39" i="2"/>
  <c r="G39" i="2"/>
  <c r="AH32" i="2"/>
  <c r="AA32" i="2"/>
  <c r="T32" i="2"/>
  <c r="N32" i="2"/>
  <c r="G32" i="2"/>
  <c r="AH31" i="2"/>
  <c r="AA31" i="2"/>
  <c r="T31" i="2"/>
  <c r="G31" i="2"/>
  <c r="AH30" i="2"/>
  <c r="AA30" i="2"/>
  <c r="T30" i="2"/>
  <c r="G30" i="2"/>
  <c r="AH29" i="2"/>
  <c r="AA29" i="2"/>
  <c r="T29" i="2"/>
  <c r="G29" i="2"/>
  <c r="AH27" i="2"/>
  <c r="AA27" i="2"/>
  <c r="T27" i="2"/>
  <c r="G27" i="2"/>
  <c r="AH26" i="2"/>
  <c r="AA26" i="2"/>
  <c r="T26" i="2"/>
  <c r="G26" i="2"/>
  <c r="AH25" i="2"/>
  <c r="AA25" i="2"/>
  <c r="T25" i="2"/>
  <c r="N25" i="2"/>
  <c r="G25" i="2"/>
  <c r="AH23" i="2"/>
  <c r="AA23" i="2"/>
  <c r="T23" i="2"/>
  <c r="G23" i="2"/>
  <c r="AH21" i="2"/>
  <c r="AA21" i="2"/>
  <c r="T21" i="2"/>
  <c r="G21" i="2"/>
  <c r="AH20" i="2"/>
  <c r="AA20" i="2"/>
  <c r="T20" i="2"/>
  <c r="G20" i="2"/>
  <c r="AH19" i="2"/>
  <c r="AA19" i="2"/>
  <c r="T19" i="2"/>
  <c r="G19" i="2"/>
  <c r="AH18" i="2"/>
  <c r="AA18" i="2"/>
  <c r="T18" i="2"/>
  <c r="N18" i="2"/>
  <c r="G18" i="2"/>
  <c r="AH17" i="2"/>
  <c r="AA17" i="2"/>
  <c r="T17" i="2"/>
  <c r="N17" i="2"/>
  <c r="G17" i="2"/>
  <c r="AH16" i="2"/>
  <c r="AA16" i="2"/>
  <c r="T16" i="2"/>
  <c r="N16" i="2"/>
  <c r="G16" i="2"/>
  <c r="AH14" i="2"/>
  <c r="AA14" i="2"/>
  <c r="T14" i="2"/>
  <c r="G14" i="2"/>
  <c r="AH13" i="2"/>
  <c r="AA13" i="2"/>
  <c r="T13" i="2"/>
  <c r="G13" i="2"/>
  <c r="AH12" i="2"/>
  <c r="AA12" i="2"/>
  <c r="T12" i="2"/>
  <c r="N12" i="2"/>
  <c r="G12" i="2"/>
  <c r="AH10" i="2"/>
  <c r="AA10" i="2"/>
  <c r="T10" i="2"/>
  <c r="G10" i="2"/>
  <c r="AH9" i="2"/>
  <c r="AA9" i="2"/>
  <c r="T9" i="2"/>
  <c r="N9" i="2"/>
  <c r="G9" i="2"/>
  <c r="AA8" i="2"/>
  <c r="T8" i="2"/>
  <c r="G8" i="2"/>
  <c r="AH7" i="2"/>
  <c r="AA7" i="2"/>
  <c r="T7" i="2"/>
  <c r="G7" i="2"/>
  <c r="AH6" i="2"/>
  <c r="AA6" i="2"/>
  <c r="T6" i="2"/>
  <c r="G6" i="2"/>
  <c r="AH5" i="2"/>
  <c r="AA5" i="2"/>
  <c r="T5" i="2"/>
  <c r="N5" i="2"/>
  <c r="G5" i="2"/>
  <c r="G39" i="1"/>
  <c r="T39" i="1"/>
  <c r="AA39" i="1"/>
  <c r="AH39" i="1"/>
  <c r="G41" i="1"/>
  <c r="T41" i="1"/>
  <c r="AA41" i="1"/>
  <c r="AH41" i="1"/>
  <c r="T64" i="2" l="1"/>
  <c r="AA64" i="2"/>
  <c r="AH64" i="2"/>
  <c r="G64" i="2"/>
  <c r="G65" i="1"/>
  <c r="AH12" i="1"/>
  <c r="AH9" i="1"/>
  <c r="AH6" i="1"/>
  <c r="AG64" i="1"/>
  <c r="AE64" i="1"/>
  <c r="AD64" i="1"/>
  <c r="AC64" i="1"/>
  <c r="AH7" i="1"/>
  <c r="N64" i="1" l="1"/>
  <c r="N61" i="1" l="1"/>
  <c r="N43" i="1"/>
  <c r="N42" i="1"/>
  <c r="N32" i="1"/>
  <c r="N25" i="1"/>
  <c r="N18" i="1"/>
  <c r="N17" i="1"/>
  <c r="N16" i="1"/>
  <c r="N12" i="1"/>
  <c r="N9" i="1"/>
  <c r="N5" i="1"/>
  <c r="AH57" i="1" l="1"/>
  <c r="AA27" i="1"/>
  <c r="AA62" i="1"/>
  <c r="AA61" i="1"/>
  <c r="AA60" i="1"/>
  <c r="AA59" i="1"/>
  <c r="AA57" i="1"/>
  <c r="AA56" i="1"/>
  <c r="AA55" i="1"/>
  <c r="AA54" i="1"/>
  <c r="AA53" i="1"/>
  <c r="AA52" i="1"/>
  <c r="AA51" i="1"/>
  <c r="V50" i="1"/>
  <c r="V64" i="1" s="1"/>
  <c r="AA49" i="1"/>
  <c r="AA43" i="1"/>
  <c r="AA42" i="1"/>
  <c r="AA32" i="1"/>
  <c r="AA31" i="1"/>
  <c r="AA30" i="1"/>
  <c r="AA29" i="1"/>
  <c r="AA26" i="1"/>
  <c r="AA25" i="1"/>
  <c r="AA23" i="1"/>
  <c r="AA21" i="1"/>
  <c r="AA20" i="1"/>
  <c r="AA19" i="1"/>
  <c r="AA18" i="1"/>
  <c r="AA17" i="1"/>
  <c r="AA16" i="1"/>
  <c r="AA14" i="1"/>
  <c r="AA13" i="1"/>
  <c r="AA12" i="1"/>
  <c r="AA10" i="1"/>
  <c r="AA9" i="1"/>
  <c r="AA8" i="1"/>
  <c r="AA7" i="1"/>
  <c r="AA6" i="1"/>
  <c r="AA5" i="1"/>
  <c r="T8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3" i="1"/>
  <c r="T42" i="1"/>
  <c r="T32" i="1"/>
  <c r="T31" i="1"/>
  <c r="T30" i="1"/>
  <c r="T29" i="1"/>
  <c r="T27" i="1"/>
  <c r="T26" i="1"/>
  <c r="T25" i="1"/>
  <c r="T23" i="1"/>
  <c r="T21" i="1"/>
  <c r="T19" i="1"/>
  <c r="T20" i="1"/>
  <c r="T18" i="1"/>
  <c r="T17" i="1"/>
  <c r="T16" i="1"/>
  <c r="T14" i="1"/>
  <c r="T13" i="1"/>
  <c r="T12" i="1"/>
  <c r="T10" i="1"/>
  <c r="T9" i="1"/>
  <c r="T7" i="1"/>
  <c r="T6" i="1"/>
  <c r="T5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3" i="1"/>
  <c r="G31" i="1"/>
  <c r="G30" i="1"/>
  <c r="G29" i="1"/>
  <c r="G27" i="1"/>
  <c r="G26" i="1"/>
  <c r="G25" i="1"/>
  <c r="G21" i="1"/>
  <c r="G19" i="1"/>
  <c r="G16" i="1"/>
  <c r="G14" i="1"/>
  <c r="G10" i="1"/>
  <c r="G9" i="1"/>
  <c r="G8" i="1"/>
  <c r="G7" i="1"/>
  <c r="G6" i="1"/>
  <c r="G5" i="1"/>
  <c r="D64" i="1"/>
  <c r="AF64" i="1"/>
  <c r="AH63" i="1"/>
  <c r="AH62" i="1"/>
  <c r="AH61" i="1"/>
  <c r="AH56" i="1"/>
  <c r="AH54" i="1"/>
  <c r="AH55" i="1"/>
  <c r="AH53" i="1"/>
  <c r="AH52" i="1"/>
  <c r="AH51" i="1"/>
  <c r="AH50" i="1"/>
  <c r="AH49" i="1"/>
  <c r="AH43" i="1"/>
  <c r="AH42" i="1"/>
  <c r="AH31" i="1"/>
  <c r="AH32" i="1"/>
  <c r="AH30" i="1"/>
  <c r="AH29" i="1"/>
  <c r="AH27" i="1"/>
  <c r="AH26" i="1"/>
  <c r="AH25" i="1"/>
  <c r="AH23" i="1"/>
  <c r="AH21" i="1"/>
  <c r="AH19" i="1"/>
  <c r="AH20" i="1"/>
  <c r="AH18" i="1"/>
  <c r="AH17" i="1"/>
  <c r="AH16" i="1"/>
  <c r="AH14" i="1"/>
  <c r="AH13" i="1"/>
  <c r="AH10" i="1"/>
  <c r="AH5" i="1"/>
  <c r="Z64" i="1"/>
  <c r="T64" i="1" l="1"/>
  <c r="AA50" i="1"/>
  <c r="AA64" i="1" s="1"/>
  <c r="AH64" i="1"/>
  <c r="O64" i="1" l="1"/>
  <c r="S64" i="1"/>
  <c r="F64" i="1" l="1"/>
  <c r="E64" i="1"/>
  <c r="C64" i="1"/>
  <c r="B64" i="1"/>
  <c r="G42" i="1"/>
  <c r="G32" i="1"/>
  <c r="G23" i="1"/>
  <c r="G20" i="1"/>
  <c r="G18" i="1"/>
  <c r="G17" i="1"/>
  <c r="G13" i="1"/>
  <c r="G12" i="1"/>
  <c r="G64" i="1" l="1"/>
</calcChain>
</file>

<file path=xl/sharedStrings.xml><?xml version="1.0" encoding="utf-8"?>
<sst xmlns="http://schemas.openxmlformats.org/spreadsheetml/2006/main" count="199" uniqueCount="68">
  <si>
    <t>CHIEF COMPLAINTS</t>
  </si>
  <si>
    <t>Main Campus</t>
  </si>
  <si>
    <t>SAN Campus</t>
  </si>
  <si>
    <t>Umm Lulu</t>
  </si>
  <si>
    <t>Student</t>
  </si>
  <si>
    <t>Staff/Faculty</t>
  </si>
  <si>
    <t>S.Personnel</t>
  </si>
  <si>
    <t>Others</t>
  </si>
  <si>
    <t>Emergency*</t>
  </si>
  <si>
    <t>Total per CC</t>
  </si>
  <si>
    <t>Respiratory Problems</t>
  </si>
  <si>
    <t>Colds/Flu</t>
  </si>
  <si>
    <t>Cough</t>
  </si>
  <si>
    <t>Difficulty of Breathing</t>
  </si>
  <si>
    <t>Hyperventilation</t>
  </si>
  <si>
    <t>Sore throat</t>
  </si>
  <si>
    <t>Shortness of Breathing</t>
  </si>
  <si>
    <t>Gastrointestinal, Genitourinary Problems</t>
  </si>
  <si>
    <t>Abdominal Pain (Constipation, Gas, LBM, Hyperacidity)</t>
  </si>
  <si>
    <t>Abdominal Pain (Period related)</t>
  </si>
  <si>
    <t>Nausea, Vomiting</t>
  </si>
  <si>
    <t>System Problems</t>
  </si>
  <si>
    <t>Fever</t>
  </si>
  <si>
    <t>Headache</t>
  </si>
  <si>
    <t>Dizziness</t>
  </si>
  <si>
    <t>Tachycardia</t>
  </si>
  <si>
    <t>Vital Sign check (BP,T,PR,RR) /Blood sugar check / monitoring</t>
  </si>
  <si>
    <t>Weakness and Giddiness</t>
  </si>
  <si>
    <t>EENT (Eyes, Ears, Nose, Mouth,  Throat)</t>
  </si>
  <si>
    <t>Eye,Ear, Nose, Mouth Pain/Irritation/Foreign Body</t>
  </si>
  <si>
    <t>Dermatologic Problems</t>
  </si>
  <si>
    <t xml:space="preserve">Insect bite/Animal bite </t>
  </si>
  <si>
    <t>Skin Irritation (allergies/rashes)</t>
  </si>
  <si>
    <t>Other allergy manifestation</t>
  </si>
  <si>
    <t>Burn/Scald</t>
  </si>
  <si>
    <t>Chemical Burn</t>
  </si>
  <si>
    <t>Hematoma/Contusion/Inflammation</t>
  </si>
  <si>
    <r>
      <t>Wound</t>
    </r>
    <r>
      <rPr>
        <sz val="7"/>
        <color theme="1"/>
        <rFont val="Calibri"/>
        <family val="2"/>
        <scheme val="minor"/>
      </rPr>
      <t xml:space="preserve"> (Laceration, Cut, Skin/Nail Avulsion,Abrasion,Punctured,Incised)</t>
    </r>
  </si>
  <si>
    <t>Dental Health Issues</t>
  </si>
  <si>
    <t>Toothache, Gum pain</t>
  </si>
  <si>
    <t>Muscle pain (Back, Leg, Arms, etc)</t>
  </si>
  <si>
    <t>Sprain and Strain (NWR/WR)</t>
  </si>
  <si>
    <t xml:space="preserve">Others  </t>
  </si>
  <si>
    <t>Panic attack</t>
  </si>
  <si>
    <t>Seizures</t>
  </si>
  <si>
    <t>Syncope (Fainting)</t>
  </si>
  <si>
    <t>Asthma Attack</t>
  </si>
  <si>
    <t>Epistaxis (Nose bleeding)</t>
  </si>
  <si>
    <t>HTN, Hyperglycemia</t>
  </si>
  <si>
    <t>Allergic Rhinitis</t>
  </si>
  <si>
    <t>Hemorrhoids Pain</t>
  </si>
  <si>
    <t>Carbuncle</t>
  </si>
  <si>
    <t>Sciatic Pain</t>
  </si>
  <si>
    <t>Ingrown Nail</t>
  </si>
  <si>
    <t>Skin Ulcer</t>
  </si>
  <si>
    <t>Chest Discomfort</t>
  </si>
  <si>
    <t>Numbness</t>
  </si>
  <si>
    <t>Sick leaves/Medical document check</t>
  </si>
  <si>
    <t>Assistance(medication, special needs)/Appointment/Medical record update</t>
  </si>
  <si>
    <t>GRAND TOTAL 2022</t>
  </si>
  <si>
    <t>ADNOC Resident Hall</t>
  </si>
  <si>
    <t xml:space="preserve">Total Census per category </t>
  </si>
  <si>
    <t>CLINICS 2022 REPORT</t>
  </si>
  <si>
    <t>Disclocation/Fracture (NWR)</t>
  </si>
  <si>
    <t>Wounds/First Aid Cases (NWR)</t>
  </si>
  <si>
    <t>Wounds/First Aid Cases (WR)</t>
  </si>
  <si>
    <t>Musculoskeletal Problems (NWR)</t>
  </si>
  <si>
    <t>Musculoskeletal Problems (WR)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</si>
</sst>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2" fillId="12" borderId="9" applyNumberFormat="0" applyFont="0" applyAlignment="0" applyProtection="0"/>
  </cellStyleXfs>
  <cellXfs count="8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7" xfId="0" applyBorder="1"/>
    <xf numFmtId="0" fontId="0" fillId="4" borderId="7" xfId="0" applyFill="1" applyBorder="1"/>
    <xf numFmtId="0" fontId="2" fillId="5" borderId="7" xfId="0" applyFont="1" applyFill="1" applyBorder="1"/>
    <xf numFmtId="0" fontId="0" fillId="3" borderId="7" xfId="0" applyFill="1" applyBorder="1"/>
    <xf numFmtId="0" fontId="2" fillId="3" borderId="7" xfId="0" applyFont="1" applyFill="1" applyBorder="1"/>
    <xf numFmtId="0" fontId="1" fillId="4" borderId="0" xfId="0" applyFont="1" applyFill="1"/>
    <xf numFmtId="0" fontId="0" fillId="4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8" xfId="0" applyBorder="1"/>
    <xf numFmtId="0" fontId="1" fillId="4" borderId="8" xfId="0" applyFont="1" applyFill="1" applyBorder="1"/>
    <xf numFmtId="0" fontId="1" fillId="4" borderId="7" xfId="0" applyFont="1" applyFill="1" applyBorder="1"/>
    <xf numFmtId="0" fontId="0" fillId="0" borderId="7" xfId="0" applyFont="1" applyFill="1" applyBorder="1"/>
    <xf numFmtId="0" fontId="0" fillId="0" borderId="7" xfId="0" applyFill="1" applyBorder="1"/>
    <xf numFmtId="0" fontId="6" fillId="0" borderId="0" xfId="0" applyFont="1"/>
    <xf numFmtId="0" fontId="0" fillId="6" borderId="7" xfId="0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7" borderId="7" xfId="0" applyFill="1" applyBorder="1"/>
    <xf numFmtId="0" fontId="2" fillId="7" borderId="7" xfId="0" applyFont="1" applyFill="1" applyBorder="1"/>
    <xf numFmtId="0" fontId="0" fillId="2" borderId="7" xfId="0" applyFill="1" applyBorder="1"/>
    <xf numFmtId="0" fontId="0" fillId="8" borderId="7" xfId="0" applyFill="1" applyBorder="1"/>
    <xf numFmtId="0" fontId="2" fillId="8" borderId="7" xfId="0" applyFont="1" applyFill="1" applyBorder="1"/>
    <xf numFmtId="0" fontId="0" fillId="9" borderId="7" xfId="0" applyFill="1" applyBorder="1"/>
    <xf numFmtId="0" fontId="2" fillId="9" borderId="7" xfId="0" applyFont="1" applyFill="1" applyBorder="1"/>
    <xf numFmtId="0" fontId="0" fillId="10" borderId="7" xfId="0" applyFill="1" applyBorder="1"/>
    <xf numFmtId="0" fontId="2" fillId="10" borderId="7" xfId="0" applyFont="1" applyFill="1" applyBorder="1"/>
    <xf numFmtId="0" fontId="1" fillId="5" borderId="2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4" fillId="6" borderId="7" xfId="0" applyFont="1" applyFill="1" applyBorder="1" applyAlignment="1">
      <alignment wrapText="1"/>
    </xf>
    <xf numFmtId="0" fontId="7" fillId="4" borderId="7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7" fillId="4" borderId="7" xfId="0" applyFont="1" applyFill="1" applyBorder="1"/>
    <xf numFmtId="0" fontId="1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12" borderId="9" xfId="1" applyFont="1"/>
    <xf numFmtId="0" fontId="0" fillId="0" borderId="9" xfId="1" applyFont="1" applyFill="1"/>
    <xf numFmtId="0" fontId="0" fillId="0" borderId="0" xfId="0" applyFill="1"/>
    <xf numFmtId="0" fontId="0" fillId="0" borderId="10" xfId="1" applyFont="1" applyFill="1" applyBorder="1"/>
    <xf numFmtId="0" fontId="1" fillId="4" borderId="11" xfId="0" applyFont="1" applyFill="1" applyBorder="1"/>
    <xf numFmtId="0" fontId="0" fillId="4" borderId="11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12" borderId="7" xfId="1" applyFont="1" applyBorder="1"/>
    <xf numFmtId="0" fontId="0" fillId="12" borderId="7" xfId="1" applyFont="1" applyBorder="1" applyAlignment="1">
      <alignment horizontal="center"/>
    </xf>
    <xf numFmtId="0" fontId="1" fillId="12" borderId="7" xfId="1" applyFont="1" applyBorder="1" applyAlignment="1">
      <alignment horizontal="center"/>
    </xf>
    <xf numFmtId="0" fontId="0" fillId="12" borderId="7" xfId="1" applyFont="1" applyBorder="1"/>
    <xf numFmtId="0" fontId="8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T68"/>
  <sheetViews>
    <sheetView workbookViewId="0">
      <pane xSplit="1" topLeftCell="Z1" activePane="topRight" state="frozen"/>
      <selection pane="topRight" activeCell="N30" sqref="N30"/>
    </sheetView>
  </sheetViews>
  <sheetFormatPr defaultRowHeight="14.5" x14ac:dyDescent="0.35"/>
  <cols>
    <col min="1" max="1" width="56" customWidth="1"/>
    <col min="7" max="7" width="10.26953125" customWidth="1"/>
    <col min="8" max="8" width="2.26953125" hidden="1" customWidth="1"/>
    <col min="20" max="20" width="9.26953125" customWidth="1"/>
    <col min="21" max="21" width="2.54296875" customWidth="1"/>
    <col min="28" max="28" width="2.81640625" customWidth="1"/>
    <col min="33" max="33" width="7.81640625" customWidth="1"/>
    <col min="34" max="34" width="10.1796875" customWidth="1"/>
  </cols>
  <sheetData>
    <row r="1" spans="1:34" ht="21" x14ac:dyDescent="0.5">
      <c r="A1" s="1" t="s">
        <v>0</v>
      </c>
      <c r="B1" s="60" t="s">
        <v>62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</row>
    <row r="2" spans="1:34" ht="21" x14ac:dyDescent="0.5">
      <c r="B2" s="62" t="s">
        <v>1</v>
      </c>
      <c r="C2" s="63"/>
      <c r="D2" s="63"/>
      <c r="E2" s="63"/>
      <c r="F2" s="63"/>
      <c r="G2" s="64"/>
      <c r="H2" s="31"/>
      <c r="I2" s="65" t="s">
        <v>2</v>
      </c>
      <c r="J2" s="66"/>
      <c r="K2" s="66"/>
      <c r="L2" s="66"/>
      <c r="M2" s="66"/>
      <c r="N2" s="67"/>
      <c r="O2" s="68" t="s">
        <v>3</v>
      </c>
      <c r="P2" s="69"/>
      <c r="Q2" s="69"/>
      <c r="R2" s="69"/>
      <c r="S2" s="69"/>
      <c r="T2" s="70"/>
      <c r="U2" s="33"/>
      <c r="V2" s="71" t="s">
        <v>60</v>
      </c>
      <c r="W2" s="72"/>
      <c r="X2" s="72"/>
      <c r="Y2" s="72"/>
      <c r="Z2" s="72"/>
      <c r="AA2" s="73"/>
      <c r="AB2" s="33"/>
      <c r="AC2" s="74" t="s">
        <v>59</v>
      </c>
      <c r="AD2" s="75"/>
      <c r="AE2" s="75"/>
      <c r="AF2" s="75"/>
      <c r="AG2" s="75"/>
      <c r="AH2" s="76"/>
    </row>
    <row r="3" spans="1:34" x14ac:dyDescent="0.35">
      <c r="A3" s="2"/>
      <c r="B3" s="22" t="s">
        <v>4</v>
      </c>
      <c r="C3" s="23" t="s">
        <v>5</v>
      </c>
      <c r="D3" s="23" t="s">
        <v>6</v>
      </c>
      <c r="E3" s="22" t="s">
        <v>7</v>
      </c>
      <c r="F3" s="23" t="s">
        <v>8</v>
      </c>
      <c r="G3" s="23" t="s">
        <v>9</v>
      </c>
      <c r="H3" s="4"/>
      <c r="I3" s="29" t="s">
        <v>4</v>
      </c>
      <c r="J3" s="30" t="s">
        <v>5</v>
      </c>
      <c r="K3" s="30" t="s">
        <v>6</v>
      </c>
      <c r="L3" s="29" t="s">
        <v>7</v>
      </c>
      <c r="M3" s="30" t="s">
        <v>8</v>
      </c>
      <c r="N3" s="30" t="s">
        <v>9</v>
      </c>
      <c r="O3" s="25" t="s">
        <v>4</v>
      </c>
      <c r="P3" s="26" t="s">
        <v>5</v>
      </c>
      <c r="Q3" s="26" t="s">
        <v>6</v>
      </c>
      <c r="R3" s="25" t="s">
        <v>7</v>
      </c>
      <c r="S3" s="26" t="s">
        <v>8</v>
      </c>
      <c r="T3" s="26" t="s">
        <v>9</v>
      </c>
      <c r="U3" s="4"/>
      <c r="V3" s="27" t="s">
        <v>4</v>
      </c>
      <c r="W3" s="28" t="s">
        <v>5</v>
      </c>
      <c r="X3" s="28" t="s">
        <v>6</v>
      </c>
      <c r="Y3" s="27" t="s">
        <v>7</v>
      </c>
      <c r="Z3" s="28" t="s">
        <v>8</v>
      </c>
      <c r="AA3" s="28" t="s">
        <v>9</v>
      </c>
      <c r="AB3" s="4"/>
      <c r="AC3" s="5" t="s">
        <v>4</v>
      </c>
      <c r="AD3" s="6" t="s">
        <v>5</v>
      </c>
      <c r="AE3" s="6" t="s">
        <v>6</v>
      </c>
      <c r="AF3" s="5" t="s">
        <v>7</v>
      </c>
      <c r="AG3" s="6" t="s">
        <v>8</v>
      </c>
      <c r="AH3" s="6" t="s">
        <v>9</v>
      </c>
    </row>
    <row r="4" spans="1:34" x14ac:dyDescent="0.35">
      <c r="A4" s="7" t="s">
        <v>10</v>
      </c>
      <c r="B4" s="8"/>
      <c r="C4" s="8"/>
      <c r="D4" s="8"/>
      <c r="E4" s="8"/>
      <c r="F4" s="8"/>
      <c r="G4" s="8"/>
      <c r="H4" s="9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  <c r="V4" s="8"/>
      <c r="W4" s="8"/>
      <c r="X4" s="8"/>
      <c r="Y4" s="8"/>
      <c r="Z4" s="8"/>
      <c r="AA4" s="8"/>
      <c r="AB4" s="9"/>
      <c r="AC4" s="8"/>
      <c r="AD4" s="8"/>
      <c r="AE4" s="8"/>
      <c r="AF4" s="8"/>
      <c r="AG4" s="8"/>
      <c r="AH4" s="8"/>
    </row>
    <row r="5" spans="1:34" x14ac:dyDescent="0.35">
      <c r="A5" s="2" t="s">
        <v>11</v>
      </c>
      <c r="B5" s="17">
        <v>62</v>
      </c>
      <c r="C5" s="17">
        <v>14</v>
      </c>
      <c r="D5" s="17">
        <v>16</v>
      </c>
      <c r="E5" s="17">
        <v>0</v>
      </c>
      <c r="F5" s="17">
        <v>0</v>
      </c>
      <c r="G5" s="8">
        <f t="shared" ref="G5:G10" si="0">SUM(B5:F5)</f>
        <v>92</v>
      </c>
      <c r="H5" s="9"/>
      <c r="I5" s="41">
        <v>32</v>
      </c>
      <c r="J5" s="41">
        <v>6</v>
      </c>
      <c r="K5" s="41">
        <v>18</v>
      </c>
      <c r="L5" s="41">
        <v>0</v>
      </c>
      <c r="M5" s="41">
        <v>0</v>
      </c>
      <c r="N5" s="8">
        <f>SUM(I5:M5)</f>
        <v>56</v>
      </c>
      <c r="O5" s="17">
        <v>34</v>
      </c>
      <c r="P5" s="17">
        <v>0</v>
      </c>
      <c r="Q5" s="17">
        <v>0</v>
      </c>
      <c r="R5" s="17">
        <v>0</v>
      </c>
      <c r="S5" s="17">
        <v>0</v>
      </c>
      <c r="T5" s="8">
        <f t="shared" ref="T5:T10" si="1">SUM(O5:S5)</f>
        <v>34</v>
      </c>
      <c r="U5" s="9"/>
      <c r="V5" s="17">
        <v>57</v>
      </c>
      <c r="W5" s="17">
        <v>0</v>
      </c>
      <c r="X5" s="17">
        <v>0</v>
      </c>
      <c r="Y5" s="17">
        <v>0</v>
      </c>
      <c r="Z5" s="17">
        <v>0</v>
      </c>
      <c r="AA5" s="8">
        <f t="shared" ref="AA5:AA10" si="2">SUM(V5:Z5)</f>
        <v>57</v>
      </c>
      <c r="AB5" s="9"/>
      <c r="AC5" s="10">
        <v>185</v>
      </c>
      <c r="AD5" s="10">
        <v>20</v>
      </c>
      <c r="AE5" s="10">
        <v>34</v>
      </c>
      <c r="AF5" s="10">
        <v>0</v>
      </c>
      <c r="AG5" s="10">
        <v>0</v>
      </c>
      <c r="AH5" s="39">
        <f>SUM(AC5:AG5)</f>
        <v>239</v>
      </c>
    </row>
    <row r="6" spans="1:34" x14ac:dyDescent="0.35">
      <c r="A6" s="2" t="s">
        <v>12</v>
      </c>
      <c r="B6" s="17">
        <v>11</v>
      </c>
      <c r="C6" s="17">
        <v>2</v>
      </c>
      <c r="D6" s="17">
        <v>0</v>
      </c>
      <c r="E6" s="17">
        <v>0</v>
      </c>
      <c r="F6" s="17">
        <v>0</v>
      </c>
      <c r="G6" s="8">
        <f t="shared" si="0"/>
        <v>13</v>
      </c>
      <c r="H6" s="9"/>
      <c r="I6" s="41">
        <v>17</v>
      </c>
      <c r="J6" s="41">
        <v>1</v>
      </c>
      <c r="K6" s="41">
        <v>1</v>
      </c>
      <c r="L6" s="41">
        <v>0</v>
      </c>
      <c r="M6" s="41">
        <v>0</v>
      </c>
      <c r="N6" s="8">
        <v>19</v>
      </c>
      <c r="O6" s="17">
        <v>12</v>
      </c>
      <c r="P6" s="17">
        <v>0</v>
      </c>
      <c r="Q6" s="17">
        <v>0</v>
      </c>
      <c r="R6" s="17">
        <v>0</v>
      </c>
      <c r="S6" s="17">
        <v>0</v>
      </c>
      <c r="T6" s="8">
        <f t="shared" si="1"/>
        <v>12</v>
      </c>
      <c r="U6" s="9"/>
      <c r="V6" s="17">
        <v>38</v>
      </c>
      <c r="W6" s="17">
        <v>0</v>
      </c>
      <c r="X6" s="17">
        <v>0</v>
      </c>
      <c r="Y6" s="17">
        <v>0</v>
      </c>
      <c r="Z6" s="17">
        <v>0</v>
      </c>
      <c r="AA6" s="8">
        <f t="shared" si="2"/>
        <v>38</v>
      </c>
      <c r="AB6" s="9"/>
      <c r="AC6" s="10">
        <v>78</v>
      </c>
      <c r="AD6" s="10">
        <v>3</v>
      </c>
      <c r="AE6" s="10">
        <v>1</v>
      </c>
      <c r="AF6" s="10">
        <v>0</v>
      </c>
      <c r="AG6" s="10">
        <v>0</v>
      </c>
      <c r="AH6" s="39">
        <f>SUM(AC6:AG6)</f>
        <v>82</v>
      </c>
    </row>
    <row r="7" spans="1:34" x14ac:dyDescent="0.35">
      <c r="A7" s="2" t="s">
        <v>13</v>
      </c>
      <c r="B7" s="17">
        <v>2</v>
      </c>
      <c r="C7" s="17">
        <v>0</v>
      </c>
      <c r="D7" s="17">
        <v>0</v>
      </c>
      <c r="E7" s="17">
        <v>0</v>
      </c>
      <c r="F7" s="17">
        <v>0</v>
      </c>
      <c r="G7" s="8">
        <f t="shared" si="0"/>
        <v>2</v>
      </c>
      <c r="H7" s="9"/>
      <c r="I7" s="41">
        <v>4</v>
      </c>
      <c r="J7" s="41">
        <v>1</v>
      </c>
      <c r="K7" s="41">
        <v>2</v>
      </c>
      <c r="L7" s="41">
        <v>0</v>
      </c>
      <c r="M7" s="41">
        <v>1</v>
      </c>
      <c r="N7" s="8">
        <v>8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8">
        <f t="shared" si="1"/>
        <v>0</v>
      </c>
      <c r="U7" s="9"/>
      <c r="V7" s="17">
        <v>2</v>
      </c>
      <c r="W7" s="17">
        <v>0</v>
      </c>
      <c r="X7" s="17">
        <v>0</v>
      </c>
      <c r="Y7" s="17">
        <v>0</v>
      </c>
      <c r="Z7" s="17">
        <v>0</v>
      </c>
      <c r="AA7" s="8">
        <f t="shared" si="2"/>
        <v>2</v>
      </c>
      <c r="AB7" s="9"/>
      <c r="AC7" s="10">
        <v>8</v>
      </c>
      <c r="AD7" s="10">
        <v>1</v>
      </c>
      <c r="AE7" s="10">
        <v>2</v>
      </c>
      <c r="AF7" s="10">
        <v>0</v>
      </c>
      <c r="AG7" s="10">
        <v>1</v>
      </c>
      <c r="AH7" s="39">
        <f>SUM(AC7:AG7)</f>
        <v>12</v>
      </c>
    </row>
    <row r="8" spans="1:34" x14ac:dyDescent="0.35">
      <c r="A8" s="2" t="s">
        <v>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8">
        <f t="shared" si="0"/>
        <v>0</v>
      </c>
      <c r="H8" s="9"/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8"/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8">
        <f t="shared" si="1"/>
        <v>0</v>
      </c>
      <c r="U8" s="9"/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8">
        <f t="shared" si="2"/>
        <v>0</v>
      </c>
      <c r="AB8" s="9"/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39">
        <v>0</v>
      </c>
    </row>
    <row r="9" spans="1:34" x14ac:dyDescent="0.35">
      <c r="A9" s="2" t="s">
        <v>15</v>
      </c>
      <c r="B9" s="17">
        <v>35</v>
      </c>
      <c r="C9" s="17">
        <v>10</v>
      </c>
      <c r="D9" s="17">
        <v>1</v>
      </c>
      <c r="E9" s="17">
        <v>0</v>
      </c>
      <c r="F9" s="17">
        <v>0</v>
      </c>
      <c r="G9" s="8">
        <f t="shared" si="0"/>
        <v>46</v>
      </c>
      <c r="H9" s="9"/>
      <c r="I9" s="41">
        <v>37</v>
      </c>
      <c r="J9" s="41">
        <v>7</v>
      </c>
      <c r="K9" s="41">
        <v>7</v>
      </c>
      <c r="L9" s="41">
        <v>0</v>
      </c>
      <c r="M9" s="41">
        <v>0</v>
      </c>
      <c r="N9" s="8">
        <f>SUM(I9:M9)</f>
        <v>51</v>
      </c>
      <c r="O9" s="17">
        <v>30</v>
      </c>
      <c r="P9" s="17">
        <v>0</v>
      </c>
      <c r="Q9" s="17">
        <v>0</v>
      </c>
      <c r="R9" s="17">
        <v>0</v>
      </c>
      <c r="S9" s="17">
        <v>0</v>
      </c>
      <c r="T9" s="8">
        <f t="shared" si="1"/>
        <v>30</v>
      </c>
      <c r="U9" s="9"/>
      <c r="V9" s="17">
        <v>66</v>
      </c>
      <c r="W9" s="17">
        <v>0</v>
      </c>
      <c r="X9" s="17">
        <v>0</v>
      </c>
      <c r="Y9" s="17">
        <v>0</v>
      </c>
      <c r="Z9" s="17">
        <v>0</v>
      </c>
      <c r="AA9" s="8">
        <f t="shared" si="2"/>
        <v>66</v>
      </c>
      <c r="AB9" s="9"/>
      <c r="AC9" s="10">
        <v>168</v>
      </c>
      <c r="AD9" s="10">
        <v>17</v>
      </c>
      <c r="AE9" s="10">
        <v>8</v>
      </c>
      <c r="AF9" s="10">
        <v>0</v>
      </c>
      <c r="AG9" s="10">
        <v>0</v>
      </c>
      <c r="AH9" s="39">
        <f>SUM(AC9:AG9)</f>
        <v>193</v>
      </c>
    </row>
    <row r="10" spans="1:34" x14ac:dyDescent="0.35">
      <c r="A10" s="11" t="s">
        <v>16</v>
      </c>
      <c r="B10" s="17">
        <v>14</v>
      </c>
      <c r="C10" s="17">
        <v>2</v>
      </c>
      <c r="D10" s="17">
        <v>0</v>
      </c>
      <c r="E10" s="17">
        <v>0</v>
      </c>
      <c r="F10" s="17">
        <v>0</v>
      </c>
      <c r="G10" s="8">
        <f t="shared" si="0"/>
        <v>16</v>
      </c>
      <c r="H10" s="9"/>
      <c r="I10" s="41">
        <v>2</v>
      </c>
      <c r="J10" s="41">
        <v>1</v>
      </c>
      <c r="K10" s="41">
        <v>1</v>
      </c>
      <c r="L10" s="41">
        <v>0</v>
      </c>
      <c r="M10" s="41">
        <v>0</v>
      </c>
      <c r="N10" s="8">
        <v>4</v>
      </c>
      <c r="O10" s="17">
        <v>2</v>
      </c>
      <c r="P10" s="17">
        <v>0</v>
      </c>
      <c r="Q10" s="17">
        <v>0</v>
      </c>
      <c r="R10" s="17">
        <v>0</v>
      </c>
      <c r="S10" s="17">
        <v>0</v>
      </c>
      <c r="T10" s="8">
        <f t="shared" si="1"/>
        <v>2</v>
      </c>
      <c r="U10" s="9"/>
      <c r="V10" s="17">
        <v>1</v>
      </c>
      <c r="W10" s="17">
        <v>0</v>
      </c>
      <c r="X10" s="17">
        <v>0</v>
      </c>
      <c r="Y10" s="17">
        <v>0</v>
      </c>
      <c r="Z10" s="17">
        <v>0</v>
      </c>
      <c r="AA10" s="8">
        <f t="shared" si="2"/>
        <v>1</v>
      </c>
      <c r="AB10" s="9"/>
      <c r="AC10" s="10">
        <v>19</v>
      </c>
      <c r="AD10" s="10">
        <v>3</v>
      </c>
      <c r="AE10" s="10">
        <v>1</v>
      </c>
      <c r="AF10" s="10">
        <v>0</v>
      </c>
      <c r="AG10" s="10">
        <v>0</v>
      </c>
      <c r="AH10" s="39">
        <f>SUM(AC10:AG10)</f>
        <v>23</v>
      </c>
    </row>
    <row r="11" spans="1:34" x14ac:dyDescent="0.35">
      <c r="A11" s="13" t="s">
        <v>17</v>
      </c>
      <c r="B11" s="8"/>
      <c r="C11" s="8"/>
      <c r="D11" s="8"/>
      <c r="E11" s="8"/>
      <c r="F11" s="8"/>
      <c r="G11" s="8"/>
      <c r="H11" s="9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/>
      <c r="V11" s="8"/>
      <c r="W11" s="8"/>
      <c r="X11" s="8"/>
      <c r="Y11" s="8"/>
      <c r="Z11" s="8"/>
      <c r="AA11" s="8"/>
      <c r="AB11" s="9"/>
      <c r="AC11" s="8"/>
      <c r="AD11" s="8"/>
      <c r="AE11" s="8"/>
      <c r="AF11" s="8"/>
      <c r="AG11" s="8"/>
      <c r="AH11" s="20"/>
    </row>
    <row r="12" spans="1:34" x14ac:dyDescent="0.35">
      <c r="A12" s="2" t="s">
        <v>18</v>
      </c>
      <c r="B12" s="17">
        <v>39</v>
      </c>
      <c r="C12" s="17">
        <v>6</v>
      </c>
      <c r="D12" s="17">
        <v>5</v>
      </c>
      <c r="E12" s="17">
        <v>0</v>
      </c>
      <c r="F12" s="17">
        <v>1</v>
      </c>
      <c r="G12" s="8">
        <f>SUM(B12:F12)</f>
        <v>51</v>
      </c>
      <c r="H12" s="9"/>
      <c r="I12" s="41">
        <v>47</v>
      </c>
      <c r="J12" s="41">
        <v>1</v>
      </c>
      <c r="K12" s="41">
        <v>10</v>
      </c>
      <c r="L12" s="41">
        <v>0</v>
      </c>
      <c r="M12" s="41">
        <v>0</v>
      </c>
      <c r="N12" s="8">
        <f>SUM(I12:M12)</f>
        <v>58</v>
      </c>
      <c r="O12" s="17">
        <v>17</v>
      </c>
      <c r="P12" s="17">
        <v>0</v>
      </c>
      <c r="Q12" s="17">
        <v>0</v>
      </c>
      <c r="R12" s="17">
        <v>0</v>
      </c>
      <c r="S12" s="17">
        <v>0</v>
      </c>
      <c r="T12" s="8">
        <f>SUM(O12:S12)</f>
        <v>17</v>
      </c>
      <c r="U12" s="9"/>
      <c r="V12" s="17">
        <v>9</v>
      </c>
      <c r="W12" s="17">
        <v>0</v>
      </c>
      <c r="X12" s="17">
        <v>0</v>
      </c>
      <c r="Y12" s="17">
        <v>0</v>
      </c>
      <c r="Z12" s="17">
        <v>1</v>
      </c>
      <c r="AA12" s="8">
        <f>SUM(V12:Z12)</f>
        <v>10</v>
      </c>
      <c r="AB12" s="9"/>
      <c r="AC12" s="10">
        <v>112</v>
      </c>
      <c r="AD12" s="10">
        <v>7</v>
      </c>
      <c r="AE12" s="10">
        <v>15</v>
      </c>
      <c r="AF12" s="10">
        <v>0</v>
      </c>
      <c r="AG12" s="10">
        <v>2</v>
      </c>
      <c r="AH12" s="39">
        <f>SUM(AC12:AG12)</f>
        <v>136</v>
      </c>
    </row>
    <row r="13" spans="1:34" x14ac:dyDescent="0.35">
      <c r="A13" s="2" t="s">
        <v>19</v>
      </c>
      <c r="B13" s="17">
        <v>56</v>
      </c>
      <c r="C13" s="17">
        <v>12</v>
      </c>
      <c r="D13" s="17">
        <v>3</v>
      </c>
      <c r="E13" s="17">
        <v>1</v>
      </c>
      <c r="F13" s="18">
        <v>0</v>
      </c>
      <c r="G13" s="8">
        <f>SUM(B13:F13)</f>
        <v>72</v>
      </c>
      <c r="H13" s="9"/>
      <c r="I13" s="41">
        <v>17</v>
      </c>
      <c r="J13" s="41">
        <v>1</v>
      </c>
      <c r="K13" s="41">
        <v>0</v>
      </c>
      <c r="L13" s="41">
        <v>0</v>
      </c>
      <c r="M13" s="42"/>
      <c r="N13" s="8">
        <v>18</v>
      </c>
      <c r="O13" s="17">
        <v>12</v>
      </c>
      <c r="P13" s="17">
        <v>0</v>
      </c>
      <c r="Q13" s="17">
        <v>0</v>
      </c>
      <c r="R13" s="17">
        <v>0</v>
      </c>
      <c r="S13" s="18">
        <v>0</v>
      </c>
      <c r="T13" s="8">
        <f>SUM(O13:S13)</f>
        <v>12</v>
      </c>
      <c r="U13" s="9"/>
      <c r="V13" s="17">
        <v>36</v>
      </c>
      <c r="W13" s="17">
        <v>0</v>
      </c>
      <c r="X13" s="17">
        <v>0</v>
      </c>
      <c r="Y13" s="17">
        <v>0</v>
      </c>
      <c r="Z13" s="18">
        <v>1</v>
      </c>
      <c r="AA13" s="8">
        <f>SUM(V13:Z13)</f>
        <v>37</v>
      </c>
      <c r="AB13" s="9"/>
      <c r="AC13" s="10">
        <v>121</v>
      </c>
      <c r="AD13" s="10">
        <v>13</v>
      </c>
      <c r="AE13" s="10">
        <v>3</v>
      </c>
      <c r="AF13" s="10">
        <v>1</v>
      </c>
      <c r="AG13" s="10">
        <v>1</v>
      </c>
      <c r="AH13" s="39">
        <f>SUM(AC13:AG13)</f>
        <v>139</v>
      </c>
    </row>
    <row r="14" spans="1:34" x14ac:dyDescent="0.35">
      <c r="A14" s="2" t="s">
        <v>20</v>
      </c>
      <c r="B14" s="17">
        <v>21</v>
      </c>
      <c r="C14" s="17">
        <v>1</v>
      </c>
      <c r="D14" s="17">
        <v>1</v>
      </c>
      <c r="E14" s="17">
        <v>0</v>
      </c>
      <c r="F14" s="18">
        <v>0</v>
      </c>
      <c r="G14" s="8">
        <f>SUM(B14:F14)</f>
        <v>23</v>
      </c>
      <c r="H14" s="9"/>
      <c r="I14" s="41">
        <v>22</v>
      </c>
      <c r="J14" s="41">
        <v>0</v>
      </c>
      <c r="K14" s="41">
        <v>1</v>
      </c>
      <c r="L14" s="41">
        <v>0</v>
      </c>
      <c r="M14" s="42">
        <v>1</v>
      </c>
      <c r="N14" s="8">
        <v>24</v>
      </c>
      <c r="O14" s="17">
        <v>7</v>
      </c>
      <c r="P14" s="17">
        <v>0</v>
      </c>
      <c r="Q14" s="17">
        <v>0</v>
      </c>
      <c r="R14" s="17">
        <v>0</v>
      </c>
      <c r="S14" s="18">
        <v>2</v>
      </c>
      <c r="T14" s="8">
        <f>SUM(O14:S14)</f>
        <v>9</v>
      </c>
      <c r="U14" s="9"/>
      <c r="V14" s="17">
        <v>34</v>
      </c>
      <c r="W14" s="17">
        <v>0</v>
      </c>
      <c r="X14" s="17">
        <v>0</v>
      </c>
      <c r="Y14" s="17">
        <v>0</v>
      </c>
      <c r="Z14" s="18">
        <v>0</v>
      </c>
      <c r="AA14" s="8">
        <f>SUM(V14:Z14)</f>
        <v>34</v>
      </c>
      <c r="AB14" s="9"/>
      <c r="AC14" s="10">
        <v>84</v>
      </c>
      <c r="AD14" s="10">
        <v>1</v>
      </c>
      <c r="AE14" s="10">
        <v>2</v>
      </c>
      <c r="AF14" s="10">
        <v>0</v>
      </c>
      <c r="AG14" s="10">
        <v>3</v>
      </c>
      <c r="AH14" s="39">
        <f>SUM(AC14:AG14)</f>
        <v>90</v>
      </c>
    </row>
    <row r="15" spans="1:34" x14ac:dyDescent="0.35">
      <c r="A15" s="12" t="s">
        <v>21</v>
      </c>
      <c r="B15" s="8"/>
      <c r="C15" s="8"/>
      <c r="D15" s="8"/>
      <c r="E15" s="8"/>
      <c r="F15" s="20"/>
      <c r="G15" s="8"/>
      <c r="H15" s="9"/>
      <c r="I15" s="8"/>
      <c r="J15" s="8"/>
      <c r="K15" s="8"/>
      <c r="L15" s="8"/>
      <c r="M15" s="20"/>
      <c r="N15" s="8"/>
      <c r="O15" s="8"/>
      <c r="P15" s="8"/>
      <c r="Q15" s="8"/>
      <c r="R15" s="8"/>
      <c r="S15" s="8"/>
      <c r="T15" s="8"/>
      <c r="U15" s="9"/>
      <c r="V15" s="8"/>
      <c r="W15" s="8"/>
      <c r="X15" s="8"/>
      <c r="Y15" s="8"/>
      <c r="Z15" s="20"/>
      <c r="AA15" s="8"/>
      <c r="AB15" s="9"/>
      <c r="AC15" s="8"/>
      <c r="AD15" s="8"/>
      <c r="AE15" s="8"/>
      <c r="AF15" s="8"/>
      <c r="AG15" s="8"/>
      <c r="AH15" s="39"/>
    </row>
    <row r="16" spans="1:34" x14ac:dyDescent="0.35">
      <c r="A16" s="2" t="s">
        <v>22</v>
      </c>
      <c r="B16" s="17">
        <v>18</v>
      </c>
      <c r="C16" s="17">
        <v>2</v>
      </c>
      <c r="D16" s="17">
        <v>3</v>
      </c>
      <c r="E16" s="17">
        <v>0</v>
      </c>
      <c r="F16" s="17">
        <v>0</v>
      </c>
      <c r="G16" s="8">
        <f t="shared" ref="G16:G21" si="3">SUM(B16:F16)</f>
        <v>23</v>
      </c>
      <c r="H16" s="9"/>
      <c r="I16" s="41">
        <v>46</v>
      </c>
      <c r="J16" s="41">
        <v>2</v>
      </c>
      <c r="K16" s="41">
        <v>7</v>
      </c>
      <c r="L16" s="41">
        <v>1</v>
      </c>
      <c r="M16" s="41">
        <v>0</v>
      </c>
      <c r="N16" s="8">
        <f>SUM(I16:M16)</f>
        <v>56</v>
      </c>
      <c r="O16" s="17">
        <v>15</v>
      </c>
      <c r="P16" s="17">
        <v>0</v>
      </c>
      <c r="Q16" s="17">
        <v>0</v>
      </c>
      <c r="R16" s="17">
        <v>0</v>
      </c>
      <c r="S16" s="17">
        <v>3</v>
      </c>
      <c r="T16" s="8">
        <f t="shared" ref="T16:T21" si="4">SUM(O16:S16)</f>
        <v>18</v>
      </c>
      <c r="U16" s="9"/>
      <c r="V16" s="17">
        <v>40</v>
      </c>
      <c r="W16" s="17">
        <v>0</v>
      </c>
      <c r="X16" s="17">
        <v>0</v>
      </c>
      <c r="Y16" s="17">
        <v>0</v>
      </c>
      <c r="Z16" s="17">
        <v>0</v>
      </c>
      <c r="AA16" s="8">
        <f t="shared" ref="AA16:AA21" si="5">SUM(V16:Z16)</f>
        <v>40</v>
      </c>
      <c r="AB16" s="9"/>
      <c r="AC16" s="10">
        <v>119</v>
      </c>
      <c r="AD16" s="10">
        <v>4</v>
      </c>
      <c r="AE16" s="10">
        <v>10</v>
      </c>
      <c r="AF16" s="10">
        <v>1</v>
      </c>
      <c r="AG16" s="10">
        <v>3</v>
      </c>
      <c r="AH16" s="39">
        <f t="shared" ref="AH16:AH21" si="6">SUM(AC16:AG16)</f>
        <v>137</v>
      </c>
    </row>
    <row r="17" spans="1:34" x14ac:dyDescent="0.35">
      <c r="A17" s="2" t="s">
        <v>23</v>
      </c>
      <c r="B17" s="17">
        <v>137</v>
      </c>
      <c r="C17" s="17">
        <v>50</v>
      </c>
      <c r="D17" s="17">
        <v>37</v>
      </c>
      <c r="E17" s="17">
        <v>1</v>
      </c>
      <c r="F17" s="17">
        <v>0</v>
      </c>
      <c r="G17" s="8">
        <f t="shared" si="3"/>
        <v>225</v>
      </c>
      <c r="H17" s="9"/>
      <c r="I17" s="41">
        <v>45</v>
      </c>
      <c r="J17" s="41">
        <v>13</v>
      </c>
      <c r="K17" s="41">
        <v>21</v>
      </c>
      <c r="L17" s="41">
        <v>0</v>
      </c>
      <c r="M17" s="41">
        <v>0</v>
      </c>
      <c r="N17" s="8">
        <f>SUM(I17:M17)</f>
        <v>79</v>
      </c>
      <c r="O17" s="17">
        <v>36</v>
      </c>
      <c r="P17" s="17">
        <v>0</v>
      </c>
      <c r="Q17" s="17">
        <v>1</v>
      </c>
      <c r="R17" s="17">
        <v>0</v>
      </c>
      <c r="S17" s="17">
        <v>0</v>
      </c>
      <c r="T17" s="8">
        <f t="shared" si="4"/>
        <v>37</v>
      </c>
      <c r="U17" s="9"/>
      <c r="V17" s="17">
        <v>73</v>
      </c>
      <c r="W17" s="17">
        <v>0</v>
      </c>
      <c r="X17" s="17">
        <v>0</v>
      </c>
      <c r="Y17" s="17">
        <v>0</v>
      </c>
      <c r="Z17" s="17">
        <v>0</v>
      </c>
      <c r="AA17" s="8">
        <f t="shared" si="5"/>
        <v>73</v>
      </c>
      <c r="AB17" s="9"/>
      <c r="AC17" s="10">
        <v>291</v>
      </c>
      <c r="AD17" s="10">
        <v>63</v>
      </c>
      <c r="AE17" s="10">
        <v>59</v>
      </c>
      <c r="AF17" s="10">
        <v>1</v>
      </c>
      <c r="AG17" s="10">
        <v>0</v>
      </c>
      <c r="AH17" s="39">
        <f t="shared" si="6"/>
        <v>414</v>
      </c>
    </row>
    <row r="18" spans="1:34" x14ac:dyDescent="0.35">
      <c r="A18" s="2" t="s">
        <v>24</v>
      </c>
      <c r="B18" s="17">
        <v>20</v>
      </c>
      <c r="C18" s="17">
        <v>7</v>
      </c>
      <c r="D18" s="17">
        <v>9</v>
      </c>
      <c r="E18" s="17">
        <v>0</v>
      </c>
      <c r="F18" s="17">
        <v>2</v>
      </c>
      <c r="G18" s="8">
        <f t="shared" si="3"/>
        <v>38</v>
      </c>
      <c r="H18" s="9"/>
      <c r="I18" s="41">
        <v>7</v>
      </c>
      <c r="J18" s="41">
        <v>2</v>
      </c>
      <c r="K18" s="41">
        <v>0</v>
      </c>
      <c r="L18" s="41">
        <v>0</v>
      </c>
      <c r="M18" s="41">
        <v>1</v>
      </c>
      <c r="N18" s="8">
        <f>SUM(I18:M18)</f>
        <v>10</v>
      </c>
      <c r="O18" s="17">
        <v>10</v>
      </c>
      <c r="P18" s="17">
        <v>0</v>
      </c>
      <c r="Q18" s="17">
        <v>0</v>
      </c>
      <c r="R18" s="17">
        <v>0</v>
      </c>
      <c r="S18" s="17">
        <v>0</v>
      </c>
      <c r="T18" s="8">
        <f t="shared" si="4"/>
        <v>10</v>
      </c>
      <c r="U18" s="9"/>
      <c r="V18" s="17">
        <v>25</v>
      </c>
      <c r="W18" s="17">
        <v>0</v>
      </c>
      <c r="X18" s="17">
        <v>0</v>
      </c>
      <c r="Y18" s="17">
        <v>0</v>
      </c>
      <c r="Z18" s="17">
        <v>0</v>
      </c>
      <c r="AA18" s="8">
        <f t="shared" si="5"/>
        <v>25</v>
      </c>
      <c r="AB18" s="9"/>
      <c r="AC18" s="10">
        <v>62</v>
      </c>
      <c r="AD18" s="10">
        <v>9</v>
      </c>
      <c r="AE18" s="10">
        <v>9</v>
      </c>
      <c r="AF18" s="10">
        <v>0</v>
      </c>
      <c r="AG18" s="10">
        <v>3</v>
      </c>
      <c r="AH18" s="39">
        <f t="shared" si="6"/>
        <v>83</v>
      </c>
    </row>
    <row r="19" spans="1:34" x14ac:dyDescent="0.35">
      <c r="A19" s="2" t="s">
        <v>25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8">
        <f t="shared" si="3"/>
        <v>0</v>
      </c>
      <c r="H19" s="9"/>
      <c r="I19" s="41">
        <v>2</v>
      </c>
      <c r="J19" s="41">
        <v>0</v>
      </c>
      <c r="K19" s="41">
        <v>0</v>
      </c>
      <c r="L19" s="41">
        <v>0</v>
      </c>
      <c r="M19" s="41">
        <v>0</v>
      </c>
      <c r="N19" s="8">
        <v>2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8">
        <f t="shared" si="4"/>
        <v>0</v>
      </c>
      <c r="U19" s="9"/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8">
        <f t="shared" si="5"/>
        <v>0</v>
      </c>
      <c r="AB19" s="9"/>
      <c r="AC19" s="10">
        <v>2</v>
      </c>
      <c r="AD19" s="10">
        <v>0</v>
      </c>
      <c r="AE19" s="10">
        <v>0</v>
      </c>
      <c r="AF19" s="10">
        <v>0</v>
      </c>
      <c r="AG19" s="10">
        <v>0</v>
      </c>
      <c r="AH19" s="39">
        <f t="shared" si="6"/>
        <v>2</v>
      </c>
    </row>
    <row r="20" spans="1:34" x14ac:dyDescent="0.35">
      <c r="A20" s="2" t="s">
        <v>26</v>
      </c>
      <c r="B20" s="17">
        <v>14</v>
      </c>
      <c r="C20" s="17">
        <v>38</v>
      </c>
      <c r="D20" s="17">
        <v>28</v>
      </c>
      <c r="E20" s="17">
        <v>0</v>
      </c>
      <c r="F20" s="17">
        <v>0</v>
      </c>
      <c r="G20" s="8">
        <f t="shared" si="3"/>
        <v>80</v>
      </c>
      <c r="H20" s="9"/>
      <c r="I20" s="41">
        <v>8</v>
      </c>
      <c r="J20" s="41">
        <v>4</v>
      </c>
      <c r="K20" s="41">
        <v>7</v>
      </c>
      <c r="L20" s="41">
        <v>0</v>
      </c>
      <c r="M20" s="41">
        <v>0</v>
      </c>
      <c r="N20" s="8">
        <v>19</v>
      </c>
      <c r="O20" s="17">
        <v>4</v>
      </c>
      <c r="P20" s="17">
        <v>0</v>
      </c>
      <c r="Q20" s="17">
        <v>0</v>
      </c>
      <c r="R20" s="17">
        <v>0</v>
      </c>
      <c r="S20" s="17">
        <v>0</v>
      </c>
      <c r="T20" s="8">
        <f t="shared" si="4"/>
        <v>4</v>
      </c>
      <c r="U20" s="9"/>
      <c r="V20" s="17">
        <v>58</v>
      </c>
      <c r="W20" s="17">
        <v>0</v>
      </c>
      <c r="X20" s="17">
        <v>0</v>
      </c>
      <c r="Y20" s="17">
        <v>0</v>
      </c>
      <c r="Z20" s="17">
        <v>0</v>
      </c>
      <c r="AA20" s="8">
        <f t="shared" si="5"/>
        <v>58</v>
      </c>
      <c r="AB20" s="9"/>
      <c r="AC20" s="10">
        <v>84</v>
      </c>
      <c r="AD20" s="10">
        <v>42</v>
      </c>
      <c r="AE20" s="10">
        <v>35</v>
      </c>
      <c r="AF20" s="10">
        <v>0</v>
      </c>
      <c r="AG20" s="10">
        <v>0</v>
      </c>
      <c r="AH20" s="39">
        <f t="shared" si="6"/>
        <v>161</v>
      </c>
    </row>
    <row r="21" spans="1:34" x14ac:dyDescent="0.35">
      <c r="A21" s="2" t="s">
        <v>27</v>
      </c>
      <c r="B21" s="17">
        <v>8</v>
      </c>
      <c r="C21" s="17">
        <v>4</v>
      </c>
      <c r="D21" s="17">
        <v>0</v>
      </c>
      <c r="E21" s="17">
        <v>0</v>
      </c>
      <c r="F21" s="17">
        <v>0</v>
      </c>
      <c r="G21" s="8">
        <f t="shared" si="3"/>
        <v>12</v>
      </c>
      <c r="H21" s="9"/>
      <c r="I21" s="41">
        <v>11</v>
      </c>
      <c r="J21" s="41">
        <v>0</v>
      </c>
      <c r="K21" s="41">
        <v>6</v>
      </c>
      <c r="L21" s="41">
        <v>0</v>
      </c>
      <c r="M21" s="41">
        <v>1</v>
      </c>
      <c r="N21" s="8">
        <v>18</v>
      </c>
      <c r="O21" s="17">
        <v>1</v>
      </c>
      <c r="P21" s="17">
        <v>0</v>
      </c>
      <c r="Q21" s="17">
        <v>0</v>
      </c>
      <c r="R21" s="17">
        <v>0</v>
      </c>
      <c r="S21" s="17">
        <v>0</v>
      </c>
      <c r="T21" s="8">
        <f t="shared" si="4"/>
        <v>1</v>
      </c>
      <c r="U21" s="9"/>
      <c r="V21" s="17">
        <v>23</v>
      </c>
      <c r="W21" s="17">
        <v>0</v>
      </c>
      <c r="X21" s="17">
        <v>0</v>
      </c>
      <c r="Y21" s="17">
        <v>0</v>
      </c>
      <c r="Z21" s="17">
        <v>0</v>
      </c>
      <c r="AA21" s="8">
        <f t="shared" si="5"/>
        <v>23</v>
      </c>
      <c r="AB21" s="9"/>
      <c r="AC21" s="10">
        <v>43</v>
      </c>
      <c r="AD21" s="10">
        <v>4</v>
      </c>
      <c r="AE21" s="10">
        <v>6</v>
      </c>
      <c r="AF21" s="10">
        <v>0</v>
      </c>
      <c r="AG21" s="10">
        <v>1</v>
      </c>
      <c r="AH21" s="39">
        <f t="shared" si="6"/>
        <v>54</v>
      </c>
    </row>
    <row r="22" spans="1:34" x14ac:dyDescent="0.35">
      <c r="A22" s="12" t="s">
        <v>28</v>
      </c>
      <c r="B22" s="8"/>
      <c r="C22" s="8"/>
      <c r="D22" s="8"/>
      <c r="E22" s="8"/>
      <c r="F22" s="8"/>
      <c r="G22" s="8"/>
      <c r="H22" s="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9"/>
      <c r="V22" s="8"/>
      <c r="W22" s="8"/>
      <c r="X22" s="8"/>
      <c r="Y22" s="8"/>
      <c r="Z22" s="8"/>
      <c r="AA22" s="8"/>
      <c r="AB22" s="9"/>
      <c r="AC22" s="8"/>
      <c r="AD22" s="8"/>
      <c r="AE22" s="8"/>
      <c r="AF22" s="8"/>
      <c r="AG22" s="8"/>
      <c r="AH22" s="20"/>
    </row>
    <row r="23" spans="1:34" x14ac:dyDescent="0.35">
      <c r="A23" s="2" t="s">
        <v>29</v>
      </c>
      <c r="B23" s="17">
        <v>25</v>
      </c>
      <c r="C23" s="17">
        <v>6</v>
      </c>
      <c r="D23" s="17">
        <v>5</v>
      </c>
      <c r="E23" s="17">
        <v>0</v>
      </c>
      <c r="F23" s="17">
        <v>0</v>
      </c>
      <c r="G23" s="8">
        <f>SUM(B23:F23)</f>
        <v>36</v>
      </c>
      <c r="H23" s="9"/>
      <c r="I23" s="41">
        <v>15</v>
      </c>
      <c r="J23" s="41">
        <v>1</v>
      </c>
      <c r="K23" s="41">
        <v>7</v>
      </c>
      <c r="L23" s="41">
        <v>0</v>
      </c>
      <c r="M23" s="41">
        <v>0</v>
      </c>
      <c r="N23" s="8">
        <v>23</v>
      </c>
      <c r="O23" s="17">
        <v>12</v>
      </c>
      <c r="P23" s="17">
        <v>0</v>
      </c>
      <c r="Q23" s="17">
        <v>0</v>
      </c>
      <c r="R23" s="17">
        <v>0</v>
      </c>
      <c r="S23" s="17">
        <v>0</v>
      </c>
      <c r="T23" s="8">
        <f>SUM(O23:S23)</f>
        <v>12</v>
      </c>
      <c r="U23" s="9"/>
      <c r="V23" s="17">
        <v>18</v>
      </c>
      <c r="W23" s="17">
        <v>0</v>
      </c>
      <c r="X23" s="17">
        <v>0</v>
      </c>
      <c r="Y23" s="17">
        <v>0</v>
      </c>
      <c r="Z23" s="17">
        <v>0</v>
      </c>
      <c r="AA23" s="8">
        <f>SUM(V23:Z23)</f>
        <v>18</v>
      </c>
      <c r="AB23" s="9"/>
      <c r="AC23" s="10">
        <v>70</v>
      </c>
      <c r="AD23" s="10">
        <v>7</v>
      </c>
      <c r="AE23" s="10">
        <v>12</v>
      </c>
      <c r="AF23" s="10">
        <v>0</v>
      </c>
      <c r="AG23" s="10">
        <v>0</v>
      </c>
      <c r="AH23" s="39">
        <f>SUM(AC23:AG23)</f>
        <v>89</v>
      </c>
    </row>
    <row r="24" spans="1:34" x14ac:dyDescent="0.35">
      <c r="A24" s="12" t="s">
        <v>30</v>
      </c>
      <c r="B24" s="8"/>
      <c r="C24" s="8"/>
      <c r="D24" s="8"/>
      <c r="E24" s="8"/>
      <c r="F24" s="8"/>
      <c r="G24" s="8"/>
      <c r="H24" s="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/>
      <c r="V24" s="8"/>
      <c r="W24" s="8"/>
      <c r="X24" s="8"/>
      <c r="Y24" s="8"/>
      <c r="Z24" s="8"/>
      <c r="AA24" s="8"/>
      <c r="AB24" s="9"/>
      <c r="AC24" s="8"/>
      <c r="AD24" s="8"/>
      <c r="AE24" s="8"/>
      <c r="AF24" s="8"/>
      <c r="AG24" s="8"/>
      <c r="AH24" s="20"/>
    </row>
    <row r="25" spans="1:34" x14ac:dyDescent="0.35">
      <c r="A25" s="2" t="s">
        <v>31</v>
      </c>
      <c r="B25" s="17">
        <v>14</v>
      </c>
      <c r="C25" s="17">
        <v>2</v>
      </c>
      <c r="D25" s="17">
        <v>0</v>
      </c>
      <c r="E25" s="17">
        <v>0</v>
      </c>
      <c r="F25" s="17">
        <v>0</v>
      </c>
      <c r="G25" s="8">
        <f>SUM(B25:F25)</f>
        <v>16</v>
      </c>
      <c r="H25" s="9"/>
      <c r="I25" s="41">
        <v>2</v>
      </c>
      <c r="J25" s="41">
        <v>4</v>
      </c>
      <c r="K25" s="41">
        <v>1</v>
      </c>
      <c r="L25" s="41">
        <v>0</v>
      </c>
      <c r="M25" s="41">
        <v>1</v>
      </c>
      <c r="N25" s="8">
        <f>SUM(I25:M25)</f>
        <v>8</v>
      </c>
      <c r="O25" s="17">
        <v>6</v>
      </c>
      <c r="P25" s="17">
        <v>0</v>
      </c>
      <c r="Q25" s="17">
        <v>0</v>
      </c>
      <c r="R25" s="17">
        <v>0</v>
      </c>
      <c r="S25" s="17">
        <v>0</v>
      </c>
      <c r="T25" s="8">
        <f>SUM(O25:S25)</f>
        <v>6</v>
      </c>
      <c r="U25" s="9"/>
      <c r="V25" s="17">
        <v>4</v>
      </c>
      <c r="W25" s="17">
        <v>0</v>
      </c>
      <c r="X25" s="17">
        <v>0</v>
      </c>
      <c r="Y25" s="17">
        <v>0</v>
      </c>
      <c r="Z25" s="17">
        <v>0</v>
      </c>
      <c r="AA25" s="8">
        <f>SUM(V25:Z25)</f>
        <v>4</v>
      </c>
      <c r="AB25" s="9"/>
      <c r="AC25" s="10">
        <v>26</v>
      </c>
      <c r="AD25" s="10">
        <v>6</v>
      </c>
      <c r="AE25" s="10">
        <v>1</v>
      </c>
      <c r="AF25" s="10">
        <v>0</v>
      </c>
      <c r="AG25" s="10">
        <v>1</v>
      </c>
      <c r="AH25" s="39">
        <f>SUM(AC25:AG25)</f>
        <v>34</v>
      </c>
    </row>
    <row r="26" spans="1:34" x14ac:dyDescent="0.35">
      <c r="A26" s="2" t="s">
        <v>32</v>
      </c>
      <c r="B26" s="17">
        <v>7</v>
      </c>
      <c r="C26" s="17">
        <v>4</v>
      </c>
      <c r="D26" s="17">
        <v>0</v>
      </c>
      <c r="E26" s="17">
        <v>0</v>
      </c>
      <c r="F26" s="17">
        <v>0</v>
      </c>
      <c r="G26" s="8">
        <f>SUM(B26:F26)</f>
        <v>11</v>
      </c>
      <c r="H26" s="9"/>
      <c r="I26" s="41">
        <v>6</v>
      </c>
      <c r="J26" s="41">
        <v>1</v>
      </c>
      <c r="K26" s="41">
        <v>0</v>
      </c>
      <c r="L26" s="41">
        <v>0</v>
      </c>
      <c r="M26" s="41">
        <v>0</v>
      </c>
      <c r="N26" s="8">
        <v>7</v>
      </c>
      <c r="O26" s="17">
        <v>8</v>
      </c>
      <c r="P26" s="17">
        <v>0</v>
      </c>
      <c r="Q26" s="17">
        <v>0</v>
      </c>
      <c r="R26" s="17">
        <v>0</v>
      </c>
      <c r="S26" s="17">
        <v>0</v>
      </c>
      <c r="T26" s="8">
        <f>SUM(O26:S26)</f>
        <v>8</v>
      </c>
      <c r="U26" s="9"/>
      <c r="V26" s="17">
        <v>3</v>
      </c>
      <c r="W26" s="17">
        <v>0</v>
      </c>
      <c r="X26" s="17">
        <v>0</v>
      </c>
      <c r="Y26" s="17">
        <v>0</v>
      </c>
      <c r="Z26" s="17">
        <v>0</v>
      </c>
      <c r="AA26" s="8">
        <f>SUM(V26:Z26)</f>
        <v>3</v>
      </c>
      <c r="AB26" s="9"/>
      <c r="AC26" s="10">
        <v>24</v>
      </c>
      <c r="AD26" s="10">
        <v>5</v>
      </c>
      <c r="AE26" s="10">
        <v>0</v>
      </c>
      <c r="AF26" s="10">
        <v>0</v>
      </c>
      <c r="AG26" s="10">
        <v>0</v>
      </c>
      <c r="AH26" s="39">
        <f>SUM(AC26:AG26)</f>
        <v>29</v>
      </c>
    </row>
    <row r="27" spans="1:34" x14ac:dyDescent="0.35">
      <c r="A27" s="2" t="s">
        <v>33</v>
      </c>
      <c r="B27" s="17">
        <v>1</v>
      </c>
      <c r="C27" s="17">
        <v>2</v>
      </c>
      <c r="D27" s="17">
        <v>0</v>
      </c>
      <c r="E27" s="17">
        <v>0</v>
      </c>
      <c r="F27" s="17">
        <v>0</v>
      </c>
      <c r="G27" s="8">
        <f>SUM(B27:F27)</f>
        <v>3</v>
      </c>
      <c r="H27" s="9"/>
      <c r="I27" s="41">
        <v>2</v>
      </c>
      <c r="J27" s="41">
        <v>0</v>
      </c>
      <c r="K27" s="41">
        <v>0</v>
      </c>
      <c r="L27" s="41">
        <v>0</v>
      </c>
      <c r="M27" s="41">
        <v>0</v>
      </c>
      <c r="N27" s="8">
        <v>2</v>
      </c>
      <c r="O27" s="17">
        <v>2</v>
      </c>
      <c r="P27" s="17">
        <v>0</v>
      </c>
      <c r="Q27" s="17">
        <v>0</v>
      </c>
      <c r="R27" s="17">
        <v>0</v>
      </c>
      <c r="S27" s="17">
        <v>0</v>
      </c>
      <c r="T27" s="8">
        <f>SUM(O27:S27)</f>
        <v>2</v>
      </c>
      <c r="U27" s="9"/>
      <c r="V27" s="17">
        <v>0</v>
      </c>
      <c r="W27" s="17"/>
      <c r="X27" s="17"/>
      <c r="Y27" s="17"/>
      <c r="Z27" s="17"/>
      <c r="AA27" s="8">
        <f>SUM(V27:Z27)</f>
        <v>0</v>
      </c>
      <c r="AB27" s="9"/>
      <c r="AC27" s="10">
        <v>5</v>
      </c>
      <c r="AD27" s="10">
        <v>2</v>
      </c>
      <c r="AE27" s="10">
        <v>0</v>
      </c>
      <c r="AF27" s="10">
        <v>0</v>
      </c>
      <c r="AG27" s="10">
        <v>0</v>
      </c>
      <c r="AH27" s="39">
        <f>SUM(AC27:AG27)</f>
        <v>7</v>
      </c>
    </row>
    <row r="28" spans="1:34" x14ac:dyDescent="0.35">
      <c r="A28" s="13" t="s">
        <v>64</v>
      </c>
      <c r="B28" s="8"/>
      <c r="C28" s="8"/>
      <c r="D28" s="8"/>
      <c r="E28" s="8"/>
      <c r="F28" s="8"/>
      <c r="G28" s="8"/>
      <c r="H28" s="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9"/>
      <c r="V28" s="8"/>
      <c r="W28" s="8"/>
      <c r="X28" s="8"/>
      <c r="Y28" s="8"/>
      <c r="Z28" s="8"/>
      <c r="AA28" s="8"/>
      <c r="AB28" s="9"/>
      <c r="AC28" s="8"/>
      <c r="AD28" s="8"/>
      <c r="AE28" s="8"/>
      <c r="AF28" s="8"/>
      <c r="AG28" s="8"/>
      <c r="AH28" s="20"/>
    </row>
    <row r="29" spans="1:34" x14ac:dyDescent="0.35">
      <c r="A29" s="2" t="s">
        <v>34</v>
      </c>
      <c r="B29" s="17">
        <v>6</v>
      </c>
      <c r="C29" s="17">
        <v>1</v>
      </c>
      <c r="D29" s="17">
        <v>0</v>
      </c>
      <c r="E29" s="17">
        <v>0</v>
      </c>
      <c r="F29" s="17">
        <v>0</v>
      </c>
      <c r="G29" s="8">
        <f>SUM(B29:F29)</f>
        <v>7</v>
      </c>
      <c r="H29" s="9"/>
      <c r="I29" s="41">
        <v>11</v>
      </c>
      <c r="J29" s="41">
        <v>0</v>
      </c>
      <c r="K29" s="41">
        <v>1</v>
      </c>
      <c r="L29" s="41">
        <v>0</v>
      </c>
      <c r="M29" s="41">
        <v>0</v>
      </c>
      <c r="N29" s="8">
        <v>12</v>
      </c>
      <c r="O29" s="17">
        <v>4</v>
      </c>
      <c r="P29" s="17">
        <v>0</v>
      </c>
      <c r="Q29" s="17">
        <v>0</v>
      </c>
      <c r="R29" s="17">
        <v>0</v>
      </c>
      <c r="S29" s="17">
        <v>0</v>
      </c>
      <c r="T29" s="8">
        <f>SUM(O29:S29)</f>
        <v>4</v>
      </c>
      <c r="U29" s="9"/>
      <c r="V29" s="17">
        <v>15</v>
      </c>
      <c r="W29" s="17">
        <v>0</v>
      </c>
      <c r="X29" s="17">
        <v>0</v>
      </c>
      <c r="Y29" s="17">
        <v>0</v>
      </c>
      <c r="Z29" s="17">
        <v>0</v>
      </c>
      <c r="AA29" s="8">
        <f>SUM(V29:Z29)</f>
        <v>15</v>
      </c>
      <c r="AB29" s="9"/>
      <c r="AC29" s="10">
        <v>36</v>
      </c>
      <c r="AD29" s="10">
        <v>1</v>
      </c>
      <c r="AE29" s="10">
        <v>1</v>
      </c>
      <c r="AF29" s="10">
        <v>0</v>
      </c>
      <c r="AG29" s="10">
        <v>0</v>
      </c>
      <c r="AH29" s="39">
        <f>SUM(AC29:AG29)</f>
        <v>38</v>
      </c>
    </row>
    <row r="30" spans="1:34" x14ac:dyDescent="0.35">
      <c r="A30" s="2" t="s">
        <v>35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8">
        <f>SUM(B30:F30)</f>
        <v>0</v>
      </c>
      <c r="H30" s="9"/>
      <c r="I30" s="41">
        <v>0</v>
      </c>
      <c r="J30" s="41">
        <v>1</v>
      </c>
      <c r="K30" s="41">
        <v>0</v>
      </c>
      <c r="L30" s="41">
        <v>0</v>
      </c>
      <c r="M30" s="41">
        <v>0</v>
      </c>
      <c r="N30" s="8">
        <v>1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8">
        <f>SUM(O30:S30)</f>
        <v>0</v>
      </c>
      <c r="U30" s="9"/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8">
        <f>SUM(V30:Z30)</f>
        <v>0</v>
      </c>
      <c r="AB30" s="9"/>
      <c r="AC30" s="10">
        <v>0</v>
      </c>
      <c r="AD30" s="10">
        <v>1</v>
      </c>
      <c r="AE30" s="10">
        <v>0</v>
      </c>
      <c r="AF30" s="10">
        <v>0</v>
      </c>
      <c r="AG30" s="10">
        <v>0</v>
      </c>
      <c r="AH30" s="39">
        <f>SUM(AC30:AG30)</f>
        <v>1</v>
      </c>
    </row>
    <row r="31" spans="1:34" x14ac:dyDescent="0.35">
      <c r="A31" s="2" t="s">
        <v>36</v>
      </c>
      <c r="B31" s="17">
        <v>1</v>
      </c>
      <c r="C31" s="17">
        <v>0</v>
      </c>
      <c r="D31" s="17">
        <v>1</v>
      </c>
      <c r="E31" s="17">
        <v>0</v>
      </c>
      <c r="F31" s="17">
        <v>0</v>
      </c>
      <c r="G31" s="8">
        <f>SUM(B31:F31)</f>
        <v>2</v>
      </c>
      <c r="H31" s="9"/>
      <c r="I31" s="41">
        <v>0</v>
      </c>
      <c r="J31" s="41">
        <v>0</v>
      </c>
      <c r="K31" s="41">
        <v>1</v>
      </c>
      <c r="L31" s="41">
        <v>0</v>
      </c>
      <c r="M31" s="41">
        <v>0</v>
      </c>
      <c r="N31" s="8">
        <v>1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8">
        <f>SUM(O31:S31)</f>
        <v>0</v>
      </c>
      <c r="U31" s="9"/>
      <c r="V31" s="17">
        <v>0</v>
      </c>
      <c r="W31" s="17"/>
      <c r="X31" s="17">
        <v>0</v>
      </c>
      <c r="Y31" s="17">
        <v>0</v>
      </c>
      <c r="Z31" s="17">
        <v>0</v>
      </c>
      <c r="AA31" s="8">
        <f>SUM(V31:Z31)</f>
        <v>0</v>
      </c>
      <c r="AB31" s="9"/>
      <c r="AC31" s="10">
        <v>1</v>
      </c>
      <c r="AD31" s="10">
        <v>0</v>
      </c>
      <c r="AE31" s="10">
        <v>2</v>
      </c>
      <c r="AF31" s="10">
        <v>0</v>
      </c>
      <c r="AG31" s="10">
        <v>0</v>
      </c>
      <c r="AH31" s="39">
        <f>SUM(AC31:AG31)</f>
        <v>3</v>
      </c>
    </row>
    <row r="32" spans="1:34" x14ac:dyDescent="0.35">
      <c r="A32" s="2" t="s">
        <v>37</v>
      </c>
      <c r="B32" s="17">
        <v>36</v>
      </c>
      <c r="C32" s="17">
        <v>11</v>
      </c>
      <c r="D32" s="17">
        <v>2</v>
      </c>
      <c r="E32" s="17">
        <v>0</v>
      </c>
      <c r="F32" s="17">
        <v>0</v>
      </c>
      <c r="G32" s="8">
        <f>SUM(B32:F32)</f>
        <v>49</v>
      </c>
      <c r="H32" s="9"/>
      <c r="I32" s="41">
        <v>46</v>
      </c>
      <c r="J32" s="41">
        <v>10</v>
      </c>
      <c r="K32" s="41">
        <v>12</v>
      </c>
      <c r="L32" s="41">
        <v>0</v>
      </c>
      <c r="M32" s="41">
        <v>0</v>
      </c>
      <c r="N32" s="8">
        <f>SUM(I32:M32)</f>
        <v>68</v>
      </c>
      <c r="O32" s="17">
        <v>22</v>
      </c>
      <c r="P32" s="17">
        <v>0</v>
      </c>
      <c r="Q32" s="17">
        <v>0</v>
      </c>
      <c r="R32" s="17">
        <v>0</v>
      </c>
      <c r="S32" s="17">
        <v>0</v>
      </c>
      <c r="T32" s="8">
        <f>SUM(O32:S32)</f>
        <v>22</v>
      </c>
      <c r="U32" s="9"/>
      <c r="V32" s="17">
        <v>19</v>
      </c>
      <c r="W32" s="17">
        <v>0</v>
      </c>
      <c r="X32" s="17">
        <v>0</v>
      </c>
      <c r="Y32" s="17">
        <v>0</v>
      </c>
      <c r="Z32" s="17"/>
      <c r="AA32" s="8">
        <f>SUM(V32:Z32)</f>
        <v>19</v>
      </c>
      <c r="AB32" s="9"/>
      <c r="AC32" s="10">
        <v>123</v>
      </c>
      <c r="AD32" s="10">
        <v>21</v>
      </c>
      <c r="AE32" s="10">
        <v>14</v>
      </c>
      <c r="AF32" s="10">
        <v>0</v>
      </c>
      <c r="AG32" s="10">
        <v>0</v>
      </c>
      <c r="AH32" s="39">
        <f>SUM(AC32:AG32)</f>
        <v>158</v>
      </c>
    </row>
    <row r="33" spans="1:358" s="48" customFormat="1" x14ac:dyDescent="0.35">
      <c r="A33" s="56" t="s">
        <v>65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8"/>
      <c r="AI33" s="51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  <c r="II33" s="49"/>
      <c r="IJ33" s="49"/>
      <c r="IK33" s="49"/>
      <c r="IL33" s="49"/>
      <c r="IM33" s="49"/>
      <c r="IN33" s="49"/>
      <c r="IO33" s="49"/>
      <c r="IP33" s="49"/>
      <c r="IQ33" s="49"/>
      <c r="IR33" s="49"/>
      <c r="IS33" s="49"/>
      <c r="IT33" s="49"/>
      <c r="IU33" s="49"/>
      <c r="IV33" s="49"/>
      <c r="IW33" s="49"/>
      <c r="IX33" s="49"/>
      <c r="IY33" s="49"/>
      <c r="IZ33" s="49"/>
      <c r="JA33" s="49"/>
      <c r="JB33" s="49"/>
      <c r="JC33" s="49"/>
      <c r="JD33" s="49"/>
      <c r="JE33" s="49"/>
      <c r="JF33" s="49"/>
      <c r="JG33" s="49"/>
      <c r="JH33" s="49"/>
      <c r="JI33" s="49"/>
      <c r="JJ33" s="49"/>
      <c r="JK33" s="49"/>
      <c r="JL33" s="49"/>
      <c r="JM33" s="49"/>
      <c r="JN33" s="49"/>
      <c r="JO33" s="49"/>
      <c r="JP33" s="49"/>
      <c r="JQ33" s="49"/>
      <c r="JR33" s="49"/>
      <c r="JS33" s="49"/>
      <c r="JT33" s="49"/>
      <c r="JU33" s="49"/>
      <c r="JV33" s="49"/>
      <c r="JW33" s="49"/>
      <c r="JX33" s="49"/>
      <c r="JY33" s="49"/>
      <c r="JZ33" s="49"/>
      <c r="KA33" s="49"/>
      <c r="KB33" s="49"/>
      <c r="KC33" s="49"/>
      <c r="KD33" s="49"/>
      <c r="KE33" s="49"/>
      <c r="KF33" s="49"/>
      <c r="KG33" s="49"/>
      <c r="KH33" s="49"/>
      <c r="KI33" s="49"/>
      <c r="KJ33" s="49"/>
      <c r="KK33" s="49"/>
      <c r="KL33" s="49"/>
      <c r="KM33" s="49"/>
      <c r="KN33" s="49"/>
      <c r="KO33" s="49"/>
      <c r="KP33" s="49"/>
      <c r="KQ33" s="49"/>
      <c r="KR33" s="49"/>
      <c r="KS33" s="49"/>
      <c r="KT33" s="49"/>
      <c r="KU33" s="49"/>
      <c r="KV33" s="49"/>
      <c r="KW33" s="49"/>
      <c r="KX33" s="49"/>
      <c r="KY33" s="49"/>
      <c r="KZ33" s="49"/>
      <c r="LA33" s="49"/>
      <c r="LB33" s="49"/>
      <c r="LC33" s="49"/>
      <c r="LD33" s="49"/>
      <c r="LE33" s="49"/>
      <c r="LF33" s="49"/>
      <c r="LG33" s="49"/>
      <c r="LH33" s="49"/>
      <c r="LI33" s="49"/>
      <c r="LJ33" s="49"/>
      <c r="LK33" s="49"/>
      <c r="LL33" s="49"/>
      <c r="LM33" s="49"/>
      <c r="LN33" s="49"/>
      <c r="LO33" s="49"/>
      <c r="LP33" s="49"/>
      <c r="LQ33" s="49"/>
      <c r="LR33" s="49"/>
      <c r="LS33" s="49"/>
      <c r="LT33" s="49"/>
      <c r="LU33" s="49"/>
      <c r="LV33" s="49"/>
      <c r="LW33" s="49"/>
      <c r="LX33" s="49"/>
      <c r="LY33" s="49"/>
      <c r="LZ33" s="49"/>
      <c r="MA33" s="49"/>
      <c r="MB33" s="49"/>
      <c r="MC33" s="49"/>
      <c r="MD33" s="49"/>
      <c r="ME33" s="49"/>
      <c r="MF33" s="49"/>
      <c r="MG33" s="49"/>
      <c r="MH33" s="49"/>
      <c r="MI33" s="49"/>
      <c r="MJ33" s="49"/>
      <c r="MK33" s="49"/>
      <c r="ML33" s="49"/>
      <c r="MM33" s="49"/>
      <c r="MN33" s="49"/>
      <c r="MO33" s="49"/>
      <c r="MP33" s="49"/>
      <c r="MQ33" s="49"/>
      <c r="MR33" s="49"/>
      <c r="MS33" s="49"/>
      <c r="MT33" s="49"/>
    </row>
    <row r="34" spans="1:358" s="48" customFormat="1" x14ac:dyDescent="0.35">
      <c r="A34" s="59" t="s">
        <v>34</v>
      </c>
      <c r="B34" s="57">
        <v>0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57">
        <v>0</v>
      </c>
      <c r="Q34" s="57">
        <v>0</v>
      </c>
      <c r="R34" s="57">
        <v>0</v>
      </c>
      <c r="S34" s="57">
        <v>0</v>
      </c>
      <c r="T34" s="57">
        <v>0</v>
      </c>
      <c r="U34" s="57">
        <v>0</v>
      </c>
      <c r="V34" s="57">
        <v>0</v>
      </c>
      <c r="W34" s="57">
        <v>0</v>
      </c>
      <c r="X34" s="57">
        <v>0</v>
      </c>
      <c r="Y34" s="57">
        <v>0</v>
      </c>
      <c r="Z34" s="57">
        <v>0</v>
      </c>
      <c r="AA34" s="57">
        <v>0</v>
      </c>
      <c r="AB34" s="57">
        <v>0</v>
      </c>
      <c r="AC34" s="57">
        <v>0</v>
      </c>
      <c r="AD34" s="57">
        <v>0</v>
      </c>
      <c r="AE34" s="57">
        <v>0</v>
      </c>
      <c r="AF34" s="57">
        <v>0</v>
      </c>
      <c r="AG34" s="57">
        <v>0</v>
      </c>
      <c r="AH34" s="57">
        <v>0</v>
      </c>
      <c r="AI34" s="51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  <c r="II34" s="49"/>
      <c r="IJ34" s="49"/>
      <c r="IK34" s="49"/>
      <c r="IL34" s="49"/>
      <c r="IM34" s="49"/>
      <c r="IN34" s="49"/>
      <c r="IO34" s="49"/>
      <c r="IP34" s="49"/>
      <c r="IQ34" s="49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49"/>
      <c r="JC34" s="49"/>
      <c r="JD34" s="49"/>
      <c r="JE34" s="49"/>
      <c r="JF34" s="49"/>
      <c r="JG34" s="49"/>
      <c r="JH34" s="49"/>
      <c r="JI34" s="49"/>
      <c r="JJ34" s="49"/>
      <c r="JK34" s="49"/>
      <c r="JL34" s="49"/>
      <c r="JM34" s="49"/>
      <c r="JN34" s="49"/>
      <c r="JO34" s="49"/>
      <c r="JP34" s="49"/>
      <c r="JQ34" s="49"/>
      <c r="JR34" s="49"/>
      <c r="JS34" s="49"/>
      <c r="JT34" s="49"/>
      <c r="JU34" s="49"/>
      <c r="JV34" s="49"/>
      <c r="JW34" s="49"/>
      <c r="JX34" s="49"/>
      <c r="JY34" s="49"/>
      <c r="JZ34" s="49"/>
      <c r="KA34" s="49"/>
      <c r="KB34" s="49"/>
      <c r="KC34" s="49"/>
      <c r="KD34" s="49"/>
      <c r="KE34" s="49"/>
      <c r="KF34" s="49"/>
      <c r="KG34" s="49"/>
      <c r="KH34" s="49"/>
      <c r="KI34" s="49"/>
      <c r="KJ34" s="49"/>
      <c r="KK34" s="49"/>
      <c r="KL34" s="49"/>
      <c r="KM34" s="49"/>
      <c r="KN34" s="49"/>
      <c r="KO34" s="49"/>
      <c r="KP34" s="49"/>
      <c r="KQ34" s="49"/>
      <c r="KR34" s="49"/>
      <c r="KS34" s="49"/>
      <c r="KT34" s="49"/>
      <c r="KU34" s="49"/>
      <c r="KV34" s="49"/>
      <c r="KW34" s="49"/>
      <c r="KX34" s="49"/>
      <c r="KY34" s="49"/>
      <c r="KZ34" s="49"/>
      <c r="LA34" s="49"/>
      <c r="LB34" s="49"/>
      <c r="LC34" s="49"/>
      <c r="LD34" s="49"/>
      <c r="LE34" s="49"/>
      <c r="LF34" s="49"/>
      <c r="LG34" s="49"/>
      <c r="LH34" s="49"/>
      <c r="LI34" s="49"/>
      <c r="LJ34" s="49"/>
      <c r="LK34" s="49"/>
      <c r="LL34" s="49"/>
      <c r="LM34" s="49"/>
      <c r="LN34" s="49"/>
      <c r="LO34" s="49"/>
      <c r="LP34" s="49"/>
      <c r="LQ34" s="49"/>
      <c r="LR34" s="49"/>
      <c r="LS34" s="49"/>
      <c r="LT34" s="49"/>
      <c r="LU34" s="49"/>
      <c r="LV34" s="49"/>
      <c r="LW34" s="49"/>
      <c r="LX34" s="49"/>
      <c r="LY34" s="49"/>
      <c r="LZ34" s="49"/>
      <c r="MA34" s="49"/>
      <c r="MB34" s="49"/>
      <c r="MC34" s="49"/>
      <c r="MD34" s="49"/>
      <c r="ME34" s="49"/>
      <c r="MF34" s="49"/>
      <c r="MG34" s="49"/>
      <c r="MH34" s="49"/>
      <c r="MI34" s="49"/>
      <c r="MJ34" s="49"/>
      <c r="MK34" s="49"/>
      <c r="ML34" s="49"/>
      <c r="MM34" s="49"/>
      <c r="MN34" s="49"/>
      <c r="MO34" s="49"/>
      <c r="MP34" s="49"/>
      <c r="MQ34" s="49"/>
      <c r="MR34" s="49"/>
      <c r="MS34" s="49"/>
      <c r="MT34" s="49"/>
    </row>
    <row r="35" spans="1:358" s="48" customFormat="1" x14ac:dyDescent="0.35">
      <c r="A35" s="59" t="s">
        <v>35</v>
      </c>
      <c r="B35" s="57">
        <v>0</v>
      </c>
      <c r="C35" s="57">
        <v>0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57">
        <v>0</v>
      </c>
      <c r="Q35" s="57">
        <v>0</v>
      </c>
      <c r="R35" s="57">
        <v>0</v>
      </c>
      <c r="S35" s="57">
        <v>0</v>
      </c>
      <c r="T35" s="57">
        <v>0</v>
      </c>
      <c r="U35" s="57">
        <v>0</v>
      </c>
      <c r="V35" s="57">
        <v>0</v>
      </c>
      <c r="W35" s="57">
        <v>0</v>
      </c>
      <c r="X35" s="57">
        <v>0</v>
      </c>
      <c r="Y35" s="57">
        <v>0</v>
      </c>
      <c r="Z35" s="57">
        <v>0</v>
      </c>
      <c r="AA35" s="57">
        <v>0</v>
      </c>
      <c r="AB35" s="57">
        <v>0</v>
      </c>
      <c r="AC35" s="57">
        <v>0</v>
      </c>
      <c r="AD35" s="57">
        <v>0</v>
      </c>
      <c r="AE35" s="57">
        <v>0</v>
      </c>
      <c r="AF35" s="57">
        <v>0</v>
      </c>
      <c r="AG35" s="57">
        <v>0</v>
      </c>
      <c r="AH35" s="57">
        <v>0</v>
      </c>
      <c r="AI35" s="51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49"/>
      <c r="HO35" s="49"/>
      <c r="HP35" s="49"/>
      <c r="HQ35" s="49"/>
      <c r="HR35" s="49"/>
      <c r="HS35" s="49"/>
      <c r="HT35" s="49"/>
      <c r="HU35" s="49"/>
      <c r="HV35" s="49"/>
      <c r="HW35" s="49"/>
      <c r="HX35" s="49"/>
      <c r="HY35" s="49"/>
      <c r="HZ35" s="49"/>
      <c r="IA35" s="49"/>
      <c r="IB35" s="49"/>
      <c r="IC35" s="49"/>
      <c r="ID35" s="49"/>
      <c r="IE35" s="49"/>
      <c r="IF35" s="49"/>
      <c r="IG35" s="49"/>
      <c r="IH35" s="49"/>
      <c r="II35" s="49"/>
      <c r="IJ35" s="49"/>
      <c r="IK35" s="49"/>
      <c r="IL35" s="49"/>
      <c r="IM35" s="49"/>
      <c r="IN35" s="49"/>
      <c r="IO35" s="49"/>
      <c r="IP35" s="49"/>
      <c r="IQ35" s="49"/>
      <c r="IR35" s="49"/>
      <c r="IS35" s="49"/>
      <c r="IT35" s="49"/>
      <c r="IU35" s="49"/>
      <c r="IV35" s="49"/>
      <c r="IW35" s="49"/>
      <c r="IX35" s="49"/>
      <c r="IY35" s="49"/>
      <c r="IZ35" s="49"/>
      <c r="JA35" s="49"/>
      <c r="JB35" s="49"/>
      <c r="JC35" s="49"/>
      <c r="JD35" s="49"/>
      <c r="JE35" s="49"/>
      <c r="JF35" s="49"/>
      <c r="JG35" s="49"/>
      <c r="JH35" s="49"/>
      <c r="JI35" s="49"/>
      <c r="JJ35" s="49"/>
      <c r="JK35" s="49"/>
      <c r="JL35" s="49"/>
      <c r="JM35" s="49"/>
      <c r="JN35" s="49"/>
      <c r="JO35" s="49"/>
      <c r="JP35" s="49"/>
      <c r="JQ35" s="49"/>
      <c r="JR35" s="49"/>
      <c r="JS35" s="49"/>
      <c r="JT35" s="49"/>
      <c r="JU35" s="49"/>
      <c r="JV35" s="49"/>
      <c r="JW35" s="49"/>
      <c r="JX35" s="49"/>
      <c r="JY35" s="49"/>
      <c r="JZ35" s="49"/>
      <c r="KA35" s="49"/>
      <c r="KB35" s="49"/>
      <c r="KC35" s="49"/>
      <c r="KD35" s="49"/>
      <c r="KE35" s="49"/>
      <c r="KF35" s="49"/>
      <c r="KG35" s="49"/>
      <c r="KH35" s="49"/>
      <c r="KI35" s="49"/>
      <c r="KJ35" s="49"/>
      <c r="KK35" s="49"/>
      <c r="KL35" s="49"/>
      <c r="KM35" s="49"/>
      <c r="KN35" s="49"/>
      <c r="KO35" s="49"/>
      <c r="KP35" s="49"/>
      <c r="KQ35" s="49"/>
      <c r="KR35" s="49"/>
      <c r="KS35" s="49"/>
      <c r="KT35" s="49"/>
      <c r="KU35" s="49"/>
      <c r="KV35" s="49"/>
      <c r="KW35" s="49"/>
      <c r="KX35" s="49"/>
      <c r="KY35" s="49"/>
      <c r="KZ35" s="49"/>
      <c r="LA35" s="49"/>
      <c r="LB35" s="49"/>
      <c r="LC35" s="49"/>
      <c r="LD35" s="49"/>
      <c r="LE35" s="49"/>
      <c r="LF35" s="49"/>
      <c r="LG35" s="49"/>
      <c r="LH35" s="49"/>
      <c r="LI35" s="49"/>
      <c r="LJ35" s="49"/>
      <c r="LK35" s="49"/>
      <c r="LL35" s="49"/>
      <c r="LM35" s="49"/>
      <c r="LN35" s="49"/>
      <c r="LO35" s="49"/>
      <c r="LP35" s="49"/>
      <c r="LQ35" s="49"/>
      <c r="LR35" s="49"/>
      <c r="LS35" s="49"/>
      <c r="LT35" s="49"/>
      <c r="LU35" s="49"/>
      <c r="LV35" s="49"/>
      <c r="LW35" s="49"/>
      <c r="LX35" s="49"/>
      <c r="LY35" s="49"/>
      <c r="LZ35" s="49"/>
      <c r="MA35" s="49"/>
      <c r="MB35" s="49"/>
      <c r="MC35" s="49"/>
      <c r="MD35" s="49"/>
      <c r="ME35" s="49"/>
      <c r="MF35" s="49"/>
      <c r="MG35" s="49"/>
      <c r="MH35" s="49"/>
      <c r="MI35" s="49"/>
      <c r="MJ35" s="49"/>
      <c r="MK35" s="49"/>
      <c r="ML35" s="49"/>
      <c r="MM35" s="49"/>
      <c r="MN35" s="49"/>
      <c r="MO35" s="49"/>
      <c r="MP35" s="49"/>
      <c r="MQ35" s="49"/>
      <c r="MR35" s="49"/>
      <c r="MS35" s="49"/>
      <c r="MT35" s="49"/>
    </row>
    <row r="36" spans="1:358" s="48" customFormat="1" x14ac:dyDescent="0.35">
      <c r="A36" s="59" t="s">
        <v>36</v>
      </c>
      <c r="B36" s="57">
        <v>0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57">
        <v>0</v>
      </c>
      <c r="Q36" s="57">
        <v>0</v>
      </c>
      <c r="R36" s="57">
        <v>0</v>
      </c>
      <c r="S36" s="57">
        <v>0</v>
      </c>
      <c r="T36" s="57">
        <v>0</v>
      </c>
      <c r="U36" s="57">
        <v>0</v>
      </c>
      <c r="V36" s="57">
        <v>0</v>
      </c>
      <c r="W36" s="57">
        <v>0</v>
      </c>
      <c r="X36" s="57">
        <v>0</v>
      </c>
      <c r="Y36" s="57">
        <v>0</v>
      </c>
      <c r="Z36" s="57">
        <v>0</v>
      </c>
      <c r="AA36" s="57">
        <v>0</v>
      </c>
      <c r="AB36" s="57">
        <v>0</v>
      </c>
      <c r="AC36" s="57">
        <v>0</v>
      </c>
      <c r="AD36" s="57">
        <v>0</v>
      </c>
      <c r="AE36" s="57">
        <v>0</v>
      </c>
      <c r="AF36" s="57">
        <v>0</v>
      </c>
      <c r="AG36" s="57">
        <v>0</v>
      </c>
      <c r="AH36" s="57">
        <v>0</v>
      </c>
      <c r="AI36" s="51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  <c r="HI36" s="49"/>
      <c r="HJ36" s="49"/>
      <c r="HK36" s="49"/>
      <c r="HL36" s="49"/>
      <c r="HM36" s="49"/>
      <c r="HN36" s="49"/>
      <c r="HO36" s="49"/>
      <c r="HP36" s="49"/>
      <c r="HQ36" s="49"/>
      <c r="HR36" s="49"/>
      <c r="HS36" s="49"/>
      <c r="HT36" s="49"/>
      <c r="HU36" s="49"/>
      <c r="HV36" s="49"/>
      <c r="HW36" s="49"/>
      <c r="HX36" s="49"/>
      <c r="HY36" s="49"/>
      <c r="HZ36" s="49"/>
      <c r="IA36" s="49"/>
      <c r="IB36" s="49"/>
      <c r="IC36" s="49"/>
      <c r="ID36" s="49"/>
      <c r="IE36" s="49"/>
      <c r="IF36" s="49"/>
      <c r="IG36" s="49"/>
      <c r="IH36" s="49"/>
      <c r="II36" s="49"/>
      <c r="IJ36" s="49"/>
      <c r="IK36" s="49"/>
      <c r="IL36" s="49"/>
      <c r="IM36" s="49"/>
      <c r="IN36" s="49"/>
      <c r="IO36" s="49"/>
      <c r="IP36" s="49"/>
      <c r="IQ36" s="49"/>
      <c r="IR36" s="49"/>
      <c r="IS36" s="49"/>
      <c r="IT36" s="49"/>
      <c r="IU36" s="49"/>
      <c r="IV36" s="49"/>
      <c r="IW36" s="49"/>
      <c r="IX36" s="49"/>
      <c r="IY36" s="49"/>
      <c r="IZ36" s="49"/>
      <c r="JA36" s="49"/>
      <c r="JB36" s="49"/>
      <c r="JC36" s="49"/>
      <c r="JD36" s="49"/>
      <c r="JE36" s="49"/>
      <c r="JF36" s="49"/>
      <c r="JG36" s="49"/>
      <c r="JH36" s="49"/>
      <c r="JI36" s="49"/>
      <c r="JJ36" s="49"/>
      <c r="JK36" s="49"/>
      <c r="JL36" s="49"/>
      <c r="JM36" s="49"/>
      <c r="JN36" s="49"/>
      <c r="JO36" s="49"/>
      <c r="JP36" s="49"/>
      <c r="JQ36" s="49"/>
      <c r="JR36" s="49"/>
      <c r="JS36" s="49"/>
      <c r="JT36" s="49"/>
      <c r="JU36" s="49"/>
      <c r="JV36" s="49"/>
      <c r="JW36" s="49"/>
      <c r="JX36" s="49"/>
      <c r="JY36" s="49"/>
      <c r="JZ36" s="49"/>
      <c r="KA36" s="49"/>
      <c r="KB36" s="49"/>
      <c r="KC36" s="49"/>
      <c r="KD36" s="49"/>
      <c r="KE36" s="49"/>
      <c r="KF36" s="49"/>
      <c r="KG36" s="49"/>
      <c r="KH36" s="49"/>
      <c r="KI36" s="49"/>
      <c r="KJ36" s="49"/>
      <c r="KK36" s="49"/>
      <c r="KL36" s="49"/>
      <c r="KM36" s="49"/>
      <c r="KN36" s="49"/>
      <c r="KO36" s="49"/>
      <c r="KP36" s="49"/>
      <c r="KQ36" s="49"/>
      <c r="KR36" s="49"/>
      <c r="KS36" s="49"/>
      <c r="KT36" s="49"/>
      <c r="KU36" s="49"/>
      <c r="KV36" s="49"/>
      <c r="KW36" s="49"/>
      <c r="KX36" s="49"/>
      <c r="KY36" s="49"/>
      <c r="KZ36" s="49"/>
      <c r="LA36" s="49"/>
      <c r="LB36" s="49"/>
      <c r="LC36" s="49"/>
      <c r="LD36" s="49"/>
      <c r="LE36" s="49"/>
      <c r="LF36" s="49"/>
      <c r="LG36" s="49"/>
      <c r="LH36" s="49"/>
      <c r="LI36" s="49"/>
      <c r="LJ36" s="49"/>
      <c r="LK36" s="49"/>
      <c r="LL36" s="49"/>
      <c r="LM36" s="49"/>
      <c r="LN36" s="49"/>
      <c r="LO36" s="49"/>
      <c r="LP36" s="49"/>
      <c r="LQ36" s="49"/>
      <c r="LR36" s="49"/>
      <c r="LS36" s="49"/>
      <c r="LT36" s="49"/>
      <c r="LU36" s="49"/>
      <c r="LV36" s="49"/>
      <c r="LW36" s="49"/>
      <c r="LX36" s="49"/>
      <c r="LY36" s="49"/>
      <c r="LZ36" s="49"/>
      <c r="MA36" s="49"/>
      <c r="MB36" s="49"/>
      <c r="MC36" s="49"/>
      <c r="MD36" s="49"/>
      <c r="ME36" s="49"/>
      <c r="MF36" s="49"/>
      <c r="MG36" s="49"/>
      <c r="MH36" s="49"/>
      <c r="MI36" s="49"/>
      <c r="MJ36" s="49"/>
      <c r="MK36" s="49"/>
      <c r="ML36" s="49"/>
      <c r="MM36" s="49"/>
      <c r="MN36" s="49"/>
      <c r="MO36" s="49"/>
      <c r="MP36" s="49"/>
      <c r="MQ36" s="49"/>
      <c r="MR36" s="49"/>
      <c r="MS36" s="49"/>
      <c r="MT36" s="49"/>
    </row>
    <row r="37" spans="1:358" s="48" customFormat="1" x14ac:dyDescent="0.35">
      <c r="A37" s="59" t="s">
        <v>37</v>
      </c>
      <c r="B37" s="57">
        <v>0</v>
      </c>
      <c r="C37" s="57">
        <v>0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57">
        <v>0</v>
      </c>
      <c r="Q37" s="57">
        <v>0</v>
      </c>
      <c r="R37" s="57">
        <v>0</v>
      </c>
      <c r="S37" s="57">
        <v>0</v>
      </c>
      <c r="T37" s="57">
        <v>0</v>
      </c>
      <c r="U37" s="57">
        <v>0</v>
      </c>
      <c r="V37" s="57">
        <v>0</v>
      </c>
      <c r="W37" s="57">
        <v>0</v>
      </c>
      <c r="X37" s="57">
        <v>0</v>
      </c>
      <c r="Y37" s="57">
        <v>0</v>
      </c>
      <c r="Z37" s="57">
        <v>0</v>
      </c>
      <c r="AA37" s="57">
        <v>0</v>
      </c>
      <c r="AB37" s="57">
        <v>0</v>
      </c>
      <c r="AC37" s="57">
        <v>0</v>
      </c>
      <c r="AD37" s="57">
        <v>0</v>
      </c>
      <c r="AE37" s="57">
        <v>0</v>
      </c>
      <c r="AF37" s="57">
        <v>0</v>
      </c>
      <c r="AG37" s="57">
        <v>0</v>
      </c>
      <c r="AH37" s="57">
        <v>0</v>
      </c>
      <c r="AI37" s="51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G37" s="49"/>
      <c r="HH37" s="49"/>
      <c r="HI37" s="49"/>
      <c r="HJ37" s="49"/>
      <c r="HK37" s="49"/>
      <c r="HL37" s="49"/>
      <c r="HM37" s="49"/>
      <c r="HN37" s="49"/>
      <c r="HO37" s="49"/>
      <c r="HP37" s="49"/>
      <c r="HQ37" s="49"/>
      <c r="HR37" s="49"/>
      <c r="HS37" s="49"/>
      <c r="HT37" s="49"/>
      <c r="HU37" s="49"/>
      <c r="HV37" s="49"/>
      <c r="HW37" s="49"/>
      <c r="HX37" s="49"/>
      <c r="HY37" s="49"/>
      <c r="HZ37" s="49"/>
      <c r="IA37" s="49"/>
      <c r="IB37" s="49"/>
      <c r="IC37" s="49"/>
      <c r="ID37" s="49"/>
      <c r="IE37" s="49"/>
      <c r="IF37" s="49"/>
      <c r="IG37" s="49"/>
      <c r="IH37" s="49"/>
      <c r="II37" s="49"/>
      <c r="IJ37" s="49"/>
      <c r="IK37" s="49"/>
      <c r="IL37" s="49"/>
      <c r="IM37" s="49"/>
      <c r="IN37" s="49"/>
      <c r="IO37" s="49"/>
      <c r="IP37" s="49"/>
      <c r="IQ37" s="49"/>
      <c r="IR37" s="49"/>
      <c r="IS37" s="49"/>
      <c r="IT37" s="49"/>
      <c r="IU37" s="49"/>
      <c r="IV37" s="49"/>
      <c r="IW37" s="49"/>
      <c r="IX37" s="49"/>
      <c r="IY37" s="49"/>
      <c r="IZ37" s="49"/>
      <c r="JA37" s="49"/>
      <c r="JB37" s="49"/>
      <c r="JC37" s="49"/>
      <c r="JD37" s="49"/>
      <c r="JE37" s="49"/>
      <c r="JF37" s="49"/>
      <c r="JG37" s="49"/>
      <c r="JH37" s="49"/>
      <c r="JI37" s="49"/>
      <c r="JJ37" s="49"/>
      <c r="JK37" s="49"/>
      <c r="JL37" s="49"/>
      <c r="JM37" s="49"/>
      <c r="JN37" s="49"/>
      <c r="JO37" s="49"/>
      <c r="JP37" s="49"/>
      <c r="JQ37" s="49"/>
      <c r="JR37" s="49"/>
      <c r="JS37" s="49"/>
      <c r="JT37" s="49"/>
      <c r="JU37" s="49"/>
      <c r="JV37" s="49"/>
      <c r="JW37" s="49"/>
      <c r="JX37" s="49"/>
      <c r="JY37" s="49"/>
      <c r="JZ37" s="49"/>
      <c r="KA37" s="49"/>
      <c r="KB37" s="49"/>
      <c r="KC37" s="49"/>
      <c r="KD37" s="49"/>
      <c r="KE37" s="49"/>
      <c r="KF37" s="49"/>
      <c r="KG37" s="49"/>
      <c r="KH37" s="49"/>
      <c r="KI37" s="49"/>
      <c r="KJ37" s="49"/>
      <c r="KK37" s="49"/>
      <c r="KL37" s="49"/>
      <c r="KM37" s="49"/>
      <c r="KN37" s="49"/>
      <c r="KO37" s="49"/>
      <c r="KP37" s="49"/>
      <c r="KQ37" s="49"/>
      <c r="KR37" s="49"/>
      <c r="KS37" s="49"/>
      <c r="KT37" s="49"/>
      <c r="KU37" s="49"/>
      <c r="KV37" s="49"/>
      <c r="KW37" s="49"/>
      <c r="KX37" s="49"/>
      <c r="KY37" s="49"/>
      <c r="KZ37" s="49"/>
      <c r="LA37" s="49"/>
      <c r="LB37" s="49"/>
      <c r="LC37" s="49"/>
      <c r="LD37" s="49"/>
      <c r="LE37" s="49"/>
      <c r="LF37" s="49"/>
      <c r="LG37" s="49"/>
      <c r="LH37" s="49"/>
      <c r="LI37" s="49"/>
      <c r="LJ37" s="49"/>
      <c r="LK37" s="49"/>
      <c r="LL37" s="49"/>
      <c r="LM37" s="49"/>
      <c r="LN37" s="49"/>
      <c r="LO37" s="49"/>
      <c r="LP37" s="49"/>
      <c r="LQ37" s="49"/>
      <c r="LR37" s="49"/>
      <c r="LS37" s="49"/>
      <c r="LT37" s="49"/>
      <c r="LU37" s="49"/>
      <c r="LV37" s="49"/>
      <c r="LW37" s="49"/>
      <c r="LX37" s="49"/>
      <c r="LY37" s="49"/>
      <c r="LZ37" s="49"/>
      <c r="MA37" s="49"/>
      <c r="MB37" s="49"/>
      <c r="MC37" s="49"/>
      <c r="MD37" s="49"/>
      <c r="ME37" s="49"/>
      <c r="MF37" s="49"/>
      <c r="MG37" s="49"/>
      <c r="MH37" s="49"/>
      <c r="MI37" s="49"/>
      <c r="MJ37" s="49"/>
      <c r="MK37" s="49"/>
      <c r="ML37" s="49"/>
      <c r="MM37" s="49"/>
      <c r="MN37" s="49"/>
      <c r="MO37" s="49"/>
      <c r="MP37" s="49"/>
      <c r="MQ37" s="49"/>
      <c r="MR37" s="49"/>
      <c r="MS37" s="49"/>
      <c r="MT37" s="49"/>
    </row>
    <row r="38" spans="1:358" x14ac:dyDescent="0.35">
      <c r="A38" s="13" t="s">
        <v>38</v>
      </c>
      <c r="B38" s="8"/>
      <c r="C38" s="8"/>
      <c r="D38" s="8"/>
      <c r="E38" s="8"/>
      <c r="F38" s="8"/>
      <c r="G38" s="8"/>
      <c r="H38" s="9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9"/>
      <c r="V38" s="8"/>
      <c r="W38" s="8"/>
      <c r="X38" s="8"/>
      <c r="Y38" s="8"/>
      <c r="Z38" s="8"/>
      <c r="AA38" s="8"/>
      <c r="AB38" s="9"/>
      <c r="AC38" s="8"/>
      <c r="AD38" s="8"/>
      <c r="AE38" s="8"/>
      <c r="AF38" s="8"/>
      <c r="AG38" s="8"/>
      <c r="AH38" s="2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</row>
    <row r="39" spans="1:358" x14ac:dyDescent="0.35">
      <c r="A39" s="2" t="s">
        <v>39</v>
      </c>
      <c r="B39" s="17">
        <v>14</v>
      </c>
      <c r="C39" s="17">
        <v>2</v>
      </c>
      <c r="D39" s="17">
        <v>1</v>
      </c>
      <c r="E39" s="17">
        <v>0</v>
      </c>
      <c r="F39" s="17">
        <v>0</v>
      </c>
      <c r="G39" s="8">
        <f>SUM(B39:F39)</f>
        <v>17</v>
      </c>
      <c r="H39" s="9"/>
      <c r="I39" s="41">
        <v>14</v>
      </c>
      <c r="J39" s="41">
        <v>1</v>
      </c>
      <c r="K39" s="41">
        <v>3</v>
      </c>
      <c r="L39" s="41">
        <v>0</v>
      </c>
      <c r="M39" s="41">
        <v>0</v>
      </c>
      <c r="N39" s="17">
        <v>18</v>
      </c>
      <c r="O39" s="17">
        <v>4</v>
      </c>
      <c r="P39" s="17">
        <v>0</v>
      </c>
      <c r="Q39" s="17">
        <v>0</v>
      </c>
      <c r="R39" s="17">
        <v>0</v>
      </c>
      <c r="S39" s="17">
        <v>0</v>
      </c>
      <c r="T39" s="8">
        <f>SUM(O39:S39)</f>
        <v>4</v>
      </c>
      <c r="U39" s="9"/>
      <c r="V39" s="17">
        <v>6</v>
      </c>
      <c r="W39" s="17">
        <v>0</v>
      </c>
      <c r="X39" s="17">
        <v>0</v>
      </c>
      <c r="Y39" s="17">
        <v>0</v>
      </c>
      <c r="Z39" s="17">
        <v>0</v>
      </c>
      <c r="AA39" s="8">
        <f>SUM(V39:Z39)</f>
        <v>6</v>
      </c>
      <c r="AB39" s="9"/>
      <c r="AC39" s="10">
        <v>38</v>
      </c>
      <c r="AD39" s="10">
        <v>3</v>
      </c>
      <c r="AE39" s="10">
        <v>4</v>
      </c>
      <c r="AF39" s="10">
        <v>0</v>
      </c>
      <c r="AG39" s="10">
        <v>0</v>
      </c>
      <c r="AH39" s="39">
        <f>SUM(AC39:AG39)</f>
        <v>45</v>
      </c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</row>
    <row r="40" spans="1:358" x14ac:dyDescent="0.35">
      <c r="A40" s="13" t="s">
        <v>66</v>
      </c>
      <c r="B40" s="8"/>
      <c r="C40" s="8"/>
      <c r="D40" s="8"/>
      <c r="E40" s="8"/>
      <c r="F40" s="8"/>
      <c r="G40" s="8"/>
      <c r="H40" s="9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9"/>
      <c r="V40" s="8"/>
      <c r="W40" s="8"/>
      <c r="X40" s="8"/>
      <c r="Y40" s="8"/>
      <c r="Z40" s="8"/>
      <c r="AA40" s="8"/>
      <c r="AB40" s="9"/>
      <c r="AC40" s="8"/>
      <c r="AD40" s="8"/>
      <c r="AE40" s="8"/>
      <c r="AF40" s="8"/>
      <c r="AG40" s="8"/>
      <c r="AH40" s="2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</row>
    <row r="41" spans="1:358" x14ac:dyDescent="0.35">
      <c r="A41" s="2" t="s">
        <v>63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8">
        <f>SUM(B41:F41)</f>
        <v>0</v>
      </c>
      <c r="H41" s="9"/>
      <c r="I41" s="41">
        <v>0</v>
      </c>
      <c r="J41" s="41">
        <v>1</v>
      </c>
      <c r="K41" s="41">
        <v>0</v>
      </c>
      <c r="L41" s="41">
        <v>0</v>
      </c>
      <c r="M41" s="41">
        <v>0</v>
      </c>
      <c r="N41" s="8">
        <v>1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8">
        <f>SUM(O41:S41)</f>
        <v>0</v>
      </c>
      <c r="U41" s="9"/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8">
        <f>SUM(V41:Z41)</f>
        <v>0</v>
      </c>
      <c r="AB41" s="9"/>
      <c r="AC41" s="10">
        <v>0</v>
      </c>
      <c r="AD41" s="10">
        <v>1</v>
      </c>
      <c r="AE41" s="10">
        <v>0</v>
      </c>
      <c r="AF41" s="10">
        <v>0</v>
      </c>
      <c r="AG41" s="10">
        <v>0</v>
      </c>
      <c r="AH41" s="39">
        <f>SUM(AC41:AG41)</f>
        <v>1</v>
      </c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</row>
    <row r="42" spans="1:358" x14ac:dyDescent="0.35">
      <c r="A42" s="2" t="s">
        <v>40</v>
      </c>
      <c r="B42" s="17">
        <v>39</v>
      </c>
      <c r="C42" s="17">
        <v>17</v>
      </c>
      <c r="D42" s="17">
        <v>9</v>
      </c>
      <c r="E42" s="17">
        <v>0</v>
      </c>
      <c r="F42" s="17">
        <v>0</v>
      </c>
      <c r="G42" s="8">
        <f>SUM(B42:F42)</f>
        <v>65</v>
      </c>
      <c r="H42" s="9"/>
      <c r="I42" s="41">
        <v>46</v>
      </c>
      <c r="J42" s="41">
        <v>10</v>
      </c>
      <c r="K42" s="41">
        <v>17</v>
      </c>
      <c r="L42" s="41">
        <v>0</v>
      </c>
      <c r="M42" s="41">
        <v>0</v>
      </c>
      <c r="N42" s="8">
        <f>SUM(I42:M42)</f>
        <v>73</v>
      </c>
      <c r="O42" s="17">
        <v>16</v>
      </c>
      <c r="P42" s="17">
        <v>0</v>
      </c>
      <c r="Q42" s="17">
        <v>0</v>
      </c>
      <c r="R42" s="17">
        <v>0</v>
      </c>
      <c r="S42" s="17">
        <v>0</v>
      </c>
      <c r="T42" s="8">
        <f>SUM(O42:S42)</f>
        <v>16</v>
      </c>
      <c r="U42" s="9"/>
      <c r="V42" s="17">
        <v>26</v>
      </c>
      <c r="W42" s="17">
        <v>0</v>
      </c>
      <c r="X42" s="17">
        <v>0</v>
      </c>
      <c r="Y42" s="17">
        <v>0</v>
      </c>
      <c r="Z42" s="17">
        <v>0</v>
      </c>
      <c r="AA42" s="8">
        <f>SUM(V42:Z42)</f>
        <v>26</v>
      </c>
      <c r="AB42" s="9"/>
      <c r="AC42" s="10">
        <v>127</v>
      </c>
      <c r="AD42" s="10">
        <v>27</v>
      </c>
      <c r="AE42" s="10">
        <v>26</v>
      </c>
      <c r="AF42" s="10">
        <v>0</v>
      </c>
      <c r="AG42" s="10">
        <v>0</v>
      </c>
      <c r="AH42" s="39">
        <f>SUM(AC42:AG42)</f>
        <v>180</v>
      </c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</row>
    <row r="43" spans="1:358" x14ac:dyDescent="0.35">
      <c r="A43" s="2" t="s">
        <v>41</v>
      </c>
      <c r="B43" s="17">
        <v>14</v>
      </c>
      <c r="C43" s="17">
        <v>12</v>
      </c>
      <c r="D43" s="17">
        <v>0</v>
      </c>
      <c r="E43" s="17">
        <v>0</v>
      </c>
      <c r="F43" s="17">
        <v>0</v>
      </c>
      <c r="G43" s="8">
        <f>SUM(B43:F43)</f>
        <v>26</v>
      </c>
      <c r="H43" s="9"/>
      <c r="I43" s="41">
        <v>34</v>
      </c>
      <c r="J43" s="41">
        <v>1</v>
      </c>
      <c r="K43" s="41">
        <v>7</v>
      </c>
      <c r="L43" s="41">
        <v>0</v>
      </c>
      <c r="M43" s="41">
        <v>2</v>
      </c>
      <c r="N43" s="8">
        <f>SUM(I43:M43)</f>
        <v>44</v>
      </c>
      <c r="O43" s="17">
        <v>3</v>
      </c>
      <c r="P43" s="17">
        <v>0</v>
      </c>
      <c r="Q43" s="17">
        <v>0</v>
      </c>
      <c r="R43" s="17">
        <v>0</v>
      </c>
      <c r="S43" s="17">
        <v>0</v>
      </c>
      <c r="T43" s="8">
        <f>SUM(O43:S43)</f>
        <v>3</v>
      </c>
      <c r="U43" s="9"/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8">
        <f>SUM(V43:Z43)</f>
        <v>0</v>
      </c>
      <c r="AB43" s="9"/>
      <c r="AC43" s="10">
        <v>51</v>
      </c>
      <c r="AD43" s="10">
        <v>13</v>
      </c>
      <c r="AE43" s="10">
        <v>7</v>
      </c>
      <c r="AF43" s="10">
        <v>0</v>
      </c>
      <c r="AG43" s="10">
        <v>2</v>
      </c>
      <c r="AH43" s="39">
        <f>SUM(AC43:AG43)</f>
        <v>73</v>
      </c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0"/>
      <c r="JR43" s="50"/>
      <c r="JS43" s="50"/>
      <c r="JT43" s="50"/>
      <c r="JU43" s="50"/>
      <c r="JV43" s="50"/>
      <c r="JW43" s="50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0"/>
      <c r="KK43" s="50"/>
      <c r="KL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  <c r="KW43" s="50"/>
      <c r="KX43" s="50"/>
      <c r="KY43" s="50"/>
      <c r="KZ43" s="50"/>
      <c r="LA43" s="50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0"/>
      <c r="LO43" s="50"/>
      <c r="LP43" s="50"/>
      <c r="LQ43" s="50"/>
      <c r="LR43" s="50"/>
      <c r="LS43" s="50"/>
      <c r="LT43" s="50"/>
      <c r="LU43" s="50"/>
      <c r="LV43" s="50"/>
      <c r="LW43" s="50"/>
      <c r="LX43" s="50"/>
      <c r="LY43" s="50"/>
      <c r="LZ43" s="50"/>
      <c r="MA43" s="50"/>
      <c r="MB43" s="50"/>
      <c r="MC43" s="50"/>
      <c r="MD43" s="50"/>
      <c r="ME43" s="50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0"/>
      <c r="MS43" s="50"/>
      <c r="MT43" s="50"/>
    </row>
    <row r="44" spans="1:358" s="48" customFormat="1" x14ac:dyDescent="0.35">
      <c r="A44" s="56" t="s">
        <v>67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8"/>
      <c r="AI44" s="51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  <c r="HI44" s="49"/>
      <c r="HJ44" s="49"/>
      <c r="HK44" s="49"/>
      <c r="HL44" s="49"/>
      <c r="HM44" s="49"/>
      <c r="HN44" s="49"/>
      <c r="HO44" s="49"/>
      <c r="HP44" s="49"/>
      <c r="HQ44" s="49"/>
      <c r="HR44" s="49"/>
      <c r="HS44" s="49"/>
      <c r="HT44" s="49"/>
      <c r="HU44" s="49"/>
      <c r="HV44" s="49"/>
      <c r="HW44" s="49"/>
      <c r="HX44" s="49"/>
      <c r="HY44" s="49"/>
      <c r="HZ44" s="49"/>
      <c r="IA44" s="49"/>
      <c r="IB44" s="49"/>
      <c r="IC44" s="49"/>
      <c r="ID44" s="49"/>
      <c r="IE44" s="49"/>
      <c r="IF44" s="49"/>
      <c r="IG44" s="49"/>
      <c r="IH44" s="49"/>
      <c r="II44" s="49"/>
      <c r="IJ44" s="49"/>
      <c r="IK44" s="49"/>
      <c r="IL44" s="49"/>
      <c r="IM44" s="49"/>
      <c r="IN44" s="49"/>
      <c r="IO44" s="49"/>
      <c r="IP44" s="49"/>
      <c r="IQ44" s="49"/>
      <c r="IR44" s="49"/>
      <c r="IS44" s="49"/>
      <c r="IT44" s="49"/>
      <c r="IU44" s="49"/>
      <c r="IV44" s="49"/>
      <c r="IW44" s="49"/>
      <c r="IX44" s="49"/>
      <c r="IY44" s="49"/>
      <c r="IZ44" s="49"/>
      <c r="JA44" s="49"/>
      <c r="JB44" s="49"/>
      <c r="JC44" s="49"/>
      <c r="JD44" s="49"/>
      <c r="JE44" s="49"/>
      <c r="JF44" s="49"/>
      <c r="JG44" s="49"/>
      <c r="JH44" s="49"/>
      <c r="JI44" s="49"/>
      <c r="JJ44" s="49"/>
      <c r="JK44" s="49"/>
      <c r="JL44" s="49"/>
      <c r="JM44" s="49"/>
      <c r="JN44" s="49"/>
      <c r="JO44" s="49"/>
      <c r="JP44" s="49"/>
      <c r="JQ44" s="49"/>
      <c r="JR44" s="49"/>
      <c r="JS44" s="49"/>
      <c r="JT44" s="49"/>
      <c r="JU44" s="49"/>
      <c r="JV44" s="49"/>
      <c r="JW44" s="49"/>
      <c r="JX44" s="49"/>
      <c r="JY44" s="49"/>
      <c r="JZ44" s="49"/>
      <c r="KA44" s="49"/>
      <c r="KB44" s="49"/>
      <c r="KC44" s="49"/>
      <c r="KD44" s="49"/>
      <c r="KE44" s="49"/>
      <c r="KF44" s="49"/>
      <c r="KG44" s="49"/>
      <c r="KH44" s="49"/>
      <c r="KI44" s="49"/>
      <c r="KJ44" s="49"/>
      <c r="KK44" s="49"/>
      <c r="KL44" s="49"/>
      <c r="KM44" s="49"/>
      <c r="KN44" s="49"/>
      <c r="KO44" s="49"/>
      <c r="KP44" s="49"/>
      <c r="KQ44" s="49"/>
      <c r="KR44" s="49"/>
      <c r="KS44" s="49"/>
      <c r="KT44" s="49"/>
      <c r="KU44" s="49"/>
      <c r="KV44" s="49"/>
      <c r="KW44" s="49"/>
      <c r="KX44" s="49"/>
      <c r="KY44" s="49"/>
      <c r="KZ44" s="49"/>
      <c r="LA44" s="49"/>
      <c r="LB44" s="49"/>
      <c r="LC44" s="49"/>
      <c r="LD44" s="49"/>
      <c r="LE44" s="49"/>
      <c r="LF44" s="49"/>
      <c r="LG44" s="49"/>
      <c r="LH44" s="49"/>
      <c r="LI44" s="49"/>
      <c r="LJ44" s="49"/>
      <c r="LK44" s="49"/>
      <c r="LL44" s="49"/>
      <c r="LM44" s="49"/>
      <c r="LN44" s="49"/>
      <c r="LO44" s="49"/>
      <c r="LP44" s="49"/>
      <c r="LQ44" s="49"/>
      <c r="LR44" s="49"/>
      <c r="LS44" s="49"/>
      <c r="LT44" s="49"/>
      <c r="LU44" s="49"/>
      <c r="LV44" s="49"/>
      <c r="LW44" s="49"/>
      <c r="LX44" s="49"/>
      <c r="LY44" s="49"/>
      <c r="LZ44" s="49"/>
      <c r="MA44" s="49"/>
      <c r="MB44" s="49"/>
      <c r="MC44" s="49"/>
      <c r="MD44" s="49"/>
      <c r="ME44" s="49"/>
      <c r="MF44" s="49"/>
      <c r="MG44" s="49"/>
      <c r="MH44" s="49"/>
      <c r="MI44" s="49"/>
      <c r="MJ44" s="49"/>
      <c r="MK44" s="49"/>
      <c r="ML44" s="49"/>
      <c r="MM44" s="49"/>
      <c r="MN44" s="49"/>
      <c r="MO44" s="49"/>
      <c r="MP44" s="49"/>
      <c r="MQ44" s="49"/>
      <c r="MR44" s="49"/>
      <c r="MS44" s="49"/>
      <c r="MT44" s="49"/>
    </row>
    <row r="45" spans="1:358" s="48" customFormat="1" x14ac:dyDescent="0.35">
      <c r="A45" s="59" t="s">
        <v>63</v>
      </c>
      <c r="B45" s="57">
        <v>0</v>
      </c>
      <c r="C45" s="57">
        <v>0</v>
      </c>
      <c r="D45" s="57">
        <v>0</v>
      </c>
      <c r="E45" s="57">
        <v>0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7">
        <v>0</v>
      </c>
      <c r="M45" s="57">
        <v>0</v>
      </c>
      <c r="N45" s="57">
        <v>0</v>
      </c>
      <c r="O45" s="57">
        <v>0</v>
      </c>
      <c r="P45" s="57">
        <v>0</v>
      </c>
      <c r="Q45" s="57">
        <v>0</v>
      </c>
      <c r="R45" s="57">
        <v>0</v>
      </c>
      <c r="S45" s="57">
        <v>0</v>
      </c>
      <c r="T45" s="57">
        <v>0</v>
      </c>
      <c r="U45" s="57">
        <v>0</v>
      </c>
      <c r="V45" s="57">
        <v>0</v>
      </c>
      <c r="W45" s="57">
        <v>0</v>
      </c>
      <c r="X45" s="57">
        <v>0</v>
      </c>
      <c r="Y45" s="57">
        <v>0</v>
      </c>
      <c r="Z45" s="57">
        <v>0</v>
      </c>
      <c r="AA45" s="57">
        <v>0</v>
      </c>
      <c r="AB45" s="57">
        <v>0</v>
      </c>
      <c r="AC45" s="57">
        <v>0</v>
      </c>
      <c r="AD45" s="57">
        <v>0</v>
      </c>
      <c r="AE45" s="57">
        <v>0</v>
      </c>
      <c r="AF45" s="57">
        <v>0</v>
      </c>
      <c r="AG45" s="57">
        <v>0</v>
      </c>
      <c r="AH45" s="57">
        <v>0</v>
      </c>
      <c r="AI45" s="51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  <c r="FZ45" s="49"/>
      <c r="GA45" s="49"/>
      <c r="GB45" s="49"/>
      <c r="GC45" s="49"/>
      <c r="GD45" s="49"/>
      <c r="GE45" s="49"/>
      <c r="GF45" s="49"/>
      <c r="GG45" s="49"/>
      <c r="GH45" s="49"/>
      <c r="GI45" s="49"/>
      <c r="GJ45" s="49"/>
      <c r="GK45" s="49"/>
      <c r="GL45" s="49"/>
      <c r="GM45" s="49"/>
      <c r="GN45" s="49"/>
      <c r="GO45" s="49"/>
      <c r="GP45" s="49"/>
      <c r="GQ45" s="49"/>
      <c r="GR45" s="49"/>
      <c r="GS45" s="49"/>
      <c r="GT45" s="49"/>
      <c r="GU45" s="49"/>
      <c r="GV45" s="49"/>
      <c r="GW45" s="49"/>
      <c r="GX45" s="49"/>
      <c r="GY45" s="49"/>
      <c r="GZ45" s="49"/>
      <c r="HA45" s="49"/>
      <c r="HB45" s="49"/>
      <c r="HC45" s="49"/>
      <c r="HD45" s="49"/>
      <c r="HE45" s="49"/>
      <c r="HF45" s="49"/>
      <c r="HG45" s="49"/>
      <c r="HH45" s="49"/>
      <c r="HI45" s="49"/>
      <c r="HJ45" s="49"/>
      <c r="HK45" s="49"/>
      <c r="HL45" s="49"/>
      <c r="HM45" s="49"/>
      <c r="HN45" s="49"/>
      <c r="HO45" s="49"/>
      <c r="HP45" s="49"/>
      <c r="HQ45" s="49"/>
      <c r="HR45" s="49"/>
      <c r="HS45" s="49"/>
      <c r="HT45" s="49"/>
      <c r="HU45" s="49"/>
      <c r="HV45" s="49"/>
      <c r="HW45" s="49"/>
      <c r="HX45" s="49"/>
      <c r="HY45" s="49"/>
      <c r="HZ45" s="49"/>
      <c r="IA45" s="49"/>
      <c r="IB45" s="49"/>
      <c r="IC45" s="49"/>
      <c r="ID45" s="49"/>
      <c r="IE45" s="49"/>
      <c r="IF45" s="49"/>
      <c r="IG45" s="49"/>
      <c r="IH45" s="49"/>
      <c r="II45" s="49"/>
      <c r="IJ45" s="49"/>
      <c r="IK45" s="49"/>
      <c r="IL45" s="49"/>
      <c r="IM45" s="49"/>
      <c r="IN45" s="49"/>
      <c r="IO45" s="49"/>
      <c r="IP45" s="49"/>
      <c r="IQ45" s="49"/>
      <c r="IR45" s="49"/>
      <c r="IS45" s="49"/>
      <c r="IT45" s="49"/>
      <c r="IU45" s="49"/>
      <c r="IV45" s="49"/>
      <c r="IW45" s="49"/>
      <c r="IX45" s="49"/>
      <c r="IY45" s="49"/>
      <c r="IZ45" s="49"/>
      <c r="JA45" s="49"/>
      <c r="JB45" s="49"/>
      <c r="JC45" s="49"/>
      <c r="JD45" s="49"/>
      <c r="JE45" s="49"/>
      <c r="JF45" s="49"/>
      <c r="JG45" s="49"/>
      <c r="JH45" s="49"/>
      <c r="JI45" s="49"/>
      <c r="JJ45" s="49"/>
      <c r="JK45" s="49"/>
      <c r="JL45" s="49"/>
      <c r="JM45" s="49"/>
      <c r="JN45" s="49"/>
      <c r="JO45" s="49"/>
      <c r="JP45" s="49"/>
      <c r="JQ45" s="49"/>
      <c r="JR45" s="49"/>
      <c r="JS45" s="49"/>
      <c r="JT45" s="49"/>
      <c r="JU45" s="49"/>
      <c r="JV45" s="49"/>
      <c r="JW45" s="49"/>
      <c r="JX45" s="49"/>
      <c r="JY45" s="49"/>
      <c r="JZ45" s="49"/>
      <c r="KA45" s="49"/>
      <c r="KB45" s="49"/>
      <c r="KC45" s="49"/>
      <c r="KD45" s="49"/>
      <c r="KE45" s="49"/>
      <c r="KF45" s="49"/>
      <c r="KG45" s="49"/>
      <c r="KH45" s="49"/>
      <c r="KI45" s="49"/>
      <c r="KJ45" s="49"/>
      <c r="KK45" s="49"/>
      <c r="KL45" s="49"/>
      <c r="KM45" s="49"/>
      <c r="KN45" s="49"/>
      <c r="KO45" s="49"/>
      <c r="KP45" s="49"/>
      <c r="KQ45" s="49"/>
      <c r="KR45" s="49"/>
      <c r="KS45" s="49"/>
      <c r="KT45" s="49"/>
      <c r="KU45" s="49"/>
      <c r="KV45" s="49"/>
      <c r="KW45" s="49"/>
      <c r="KX45" s="49"/>
      <c r="KY45" s="49"/>
      <c r="KZ45" s="49"/>
      <c r="LA45" s="49"/>
      <c r="LB45" s="49"/>
      <c r="LC45" s="49"/>
      <c r="LD45" s="49"/>
      <c r="LE45" s="49"/>
      <c r="LF45" s="49"/>
      <c r="LG45" s="49"/>
      <c r="LH45" s="49"/>
      <c r="LI45" s="49"/>
      <c r="LJ45" s="49"/>
      <c r="LK45" s="49"/>
      <c r="LL45" s="49"/>
      <c r="LM45" s="49"/>
      <c r="LN45" s="49"/>
      <c r="LO45" s="49"/>
      <c r="LP45" s="49"/>
      <c r="LQ45" s="49"/>
      <c r="LR45" s="49"/>
      <c r="LS45" s="49"/>
      <c r="LT45" s="49"/>
      <c r="LU45" s="49"/>
      <c r="LV45" s="49"/>
      <c r="LW45" s="49"/>
      <c r="LX45" s="49"/>
      <c r="LY45" s="49"/>
      <c r="LZ45" s="49"/>
      <c r="MA45" s="49"/>
      <c r="MB45" s="49"/>
      <c r="MC45" s="49"/>
      <c r="MD45" s="49"/>
      <c r="ME45" s="49"/>
      <c r="MF45" s="49"/>
      <c r="MG45" s="49"/>
      <c r="MH45" s="49"/>
      <c r="MI45" s="49"/>
      <c r="MJ45" s="49"/>
      <c r="MK45" s="49"/>
      <c r="ML45" s="49"/>
      <c r="MM45" s="49"/>
      <c r="MN45" s="49"/>
      <c r="MO45" s="49"/>
      <c r="MP45" s="49"/>
      <c r="MQ45" s="49"/>
      <c r="MR45" s="49"/>
      <c r="MS45" s="49"/>
      <c r="MT45" s="49"/>
    </row>
    <row r="46" spans="1:358" s="48" customFormat="1" x14ac:dyDescent="0.35">
      <c r="A46" s="59" t="s">
        <v>40</v>
      </c>
      <c r="B46" s="57">
        <v>0</v>
      </c>
      <c r="C46" s="57">
        <v>0</v>
      </c>
      <c r="D46" s="57">
        <v>0</v>
      </c>
      <c r="E46" s="57">
        <v>0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57">
        <v>0</v>
      </c>
      <c r="Q46" s="57">
        <v>0</v>
      </c>
      <c r="R46" s="57">
        <v>0</v>
      </c>
      <c r="S46" s="57">
        <v>0</v>
      </c>
      <c r="T46" s="57">
        <v>0</v>
      </c>
      <c r="U46" s="57">
        <v>0</v>
      </c>
      <c r="V46" s="57">
        <v>0</v>
      </c>
      <c r="W46" s="57">
        <v>0</v>
      </c>
      <c r="X46" s="57">
        <v>0</v>
      </c>
      <c r="Y46" s="57">
        <v>0</v>
      </c>
      <c r="Z46" s="57">
        <v>0</v>
      </c>
      <c r="AA46" s="57">
        <v>0</v>
      </c>
      <c r="AB46" s="57">
        <v>0</v>
      </c>
      <c r="AC46" s="57">
        <v>0</v>
      </c>
      <c r="AD46" s="57">
        <v>0</v>
      </c>
      <c r="AE46" s="57">
        <v>0</v>
      </c>
      <c r="AF46" s="57">
        <v>0</v>
      </c>
      <c r="AG46" s="57">
        <v>0</v>
      </c>
      <c r="AH46" s="57">
        <v>0</v>
      </c>
      <c r="AI46" s="51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49"/>
      <c r="GA46" s="49"/>
      <c r="GB46" s="49"/>
      <c r="GC46" s="49"/>
      <c r="GD46" s="49"/>
      <c r="GE46" s="49"/>
      <c r="GF46" s="49"/>
      <c r="GG46" s="49"/>
      <c r="GH46" s="49"/>
      <c r="GI46" s="49"/>
      <c r="GJ46" s="49"/>
      <c r="GK46" s="49"/>
      <c r="GL46" s="49"/>
      <c r="GM46" s="49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9"/>
      <c r="GZ46" s="49"/>
      <c r="HA46" s="49"/>
      <c r="HB46" s="49"/>
      <c r="HC46" s="49"/>
      <c r="HD46" s="49"/>
      <c r="HE46" s="49"/>
      <c r="HF46" s="49"/>
      <c r="HG46" s="49"/>
      <c r="HH46" s="49"/>
      <c r="HI46" s="49"/>
      <c r="HJ46" s="49"/>
      <c r="HK46" s="49"/>
      <c r="HL46" s="49"/>
      <c r="HM46" s="49"/>
      <c r="HN46" s="49"/>
      <c r="HO46" s="49"/>
      <c r="HP46" s="49"/>
      <c r="HQ46" s="49"/>
      <c r="HR46" s="49"/>
      <c r="HS46" s="49"/>
      <c r="HT46" s="49"/>
      <c r="HU46" s="49"/>
      <c r="HV46" s="49"/>
      <c r="HW46" s="49"/>
      <c r="HX46" s="49"/>
      <c r="HY46" s="49"/>
      <c r="HZ46" s="49"/>
      <c r="IA46" s="49"/>
      <c r="IB46" s="49"/>
      <c r="IC46" s="49"/>
      <c r="ID46" s="49"/>
      <c r="IE46" s="49"/>
      <c r="IF46" s="49"/>
      <c r="IG46" s="49"/>
      <c r="IH46" s="49"/>
      <c r="II46" s="49"/>
      <c r="IJ46" s="49"/>
      <c r="IK46" s="49"/>
      <c r="IL46" s="49"/>
      <c r="IM46" s="49"/>
      <c r="IN46" s="49"/>
      <c r="IO46" s="49"/>
      <c r="IP46" s="49"/>
      <c r="IQ46" s="49"/>
      <c r="IR46" s="49"/>
      <c r="IS46" s="49"/>
      <c r="IT46" s="49"/>
      <c r="IU46" s="49"/>
      <c r="IV46" s="49"/>
      <c r="IW46" s="49"/>
      <c r="IX46" s="49"/>
      <c r="IY46" s="49"/>
      <c r="IZ46" s="49"/>
      <c r="JA46" s="49"/>
      <c r="JB46" s="49"/>
      <c r="JC46" s="49"/>
      <c r="JD46" s="49"/>
      <c r="JE46" s="49"/>
      <c r="JF46" s="49"/>
      <c r="JG46" s="49"/>
      <c r="JH46" s="49"/>
      <c r="JI46" s="49"/>
      <c r="JJ46" s="49"/>
      <c r="JK46" s="49"/>
      <c r="JL46" s="49"/>
      <c r="JM46" s="49"/>
      <c r="JN46" s="49"/>
      <c r="JO46" s="49"/>
      <c r="JP46" s="49"/>
      <c r="JQ46" s="49"/>
      <c r="JR46" s="49"/>
      <c r="JS46" s="49"/>
      <c r="JT46" s="49"/>
      <c r="JU46" s="49"/>
      <c r="JV46" s="49"/>
      <c r="JW46" s="49"/>
      <c r="JX46" s="49"/>
      <c r="JY46" s="49"/>
      <c r="JZ46" s="49"/>
      <c r="KA46" s="49"/>
      <c r="KB46" s="49"/>
      <c r="KC46" s="49"/>
      <c r="KD46" s="49"/>
      <c r="KE46" s="49"/>
      <c r="KF46" s="49"/>
      <c r="KG46" s="49"/>
      <c r="KH46" s="49"/>
      <c r="KI46" s="49"/>
      <c r="KJ46" s="49"/>
      <c r="KK46" s="49"/>
      <c r="KL46" s="49"/>
      <c r="KM46" s="49"/>
      <c r="KN46" s="49"/>
      <c r="KO46" s="49"/>
      <c r="KP46" s="49"/>
      <c r="KQ46" s="49"/>
      <c r="KR46" s="49"/>
      <c r="KS46" s="49"/>
      <c r="KT46" s="49"/>
      <c r="KU46" s="49"/>
      <c r="KV46" s="49"/>
      <c r="KW46" s="49"/>
      <c r="KX46" s="49"/>
      <c r="KY46" s="49"/>
      <c r="KZ46" s="49"/>
      <c r="LA46" s="49"/>
      <c r="LB46" s="49"/>
      <c r="LC46" s="49"/>
      <c r="LD46" s="49"/>
      <c r="LE46" s="49"/>
      <c r="LF46" s="49"/>
      <c r="LG46" s="49"/>
      <c r="LH46" s="49"/>
      <c r="LI46" s="49"/>
      <c r="LJ46" s="49"/>
      <c r="LK46" s="49"/>
      <c r="LL46" s="49"/>
      <c r="LM46" s="49"/>
      <c r="LN46" s="49"/>
      <c r="LO46" s="49"/>
      <c r="LP46" s="49"/>
      <c r="LQ46" s="49"/>
      <c r="LR46" s="49"/>
      <c r="LS46" s="49"/>
      <c r="LT46" s="49"/>
      <c r="LU46" s="49"/>
      <c r="LV46" s="49"/>
      <c r="LW46" s="49"/>
      <c r="LX46" s="49"/>
      <c r="LY46" s="49"/>
      <c r="LZ46" s="49"/>
      <c r="MA46" s="49"/>
      <c r="MB46" s="49"/>
      <c r="MC46" s="49"/>
      <c r="MD46" s="49"/>
      <c r="ME46" s="49"/>
      <c r="MF46" s="49"/>
      <c r="MG46" s="49"/>
      <c r="MH46" s="49"/>
      <c r="MI46" s="49"/>
      <c r="MJ46" s="49"/>
      <c r="MK46" s="49"/>
      <c r="ML46" s="49"/>
      <c r="MM46" s="49"/>
      <c r="MN46" s="49"/>
      <c r="MO46" s="49"/>
      <c r="MP46" s="49"/>
      <c r="MQ46" s="49"/>
      <c r="MR46" s="49"/>
      <c r="MS46" s="49"/>
      <c r="MT46" s="49"/>
    </row>
    <row r="47" spans="1:358" s="48" customFormat="1" x14ac:dyDescent="0.35">
      <c r="A47" s="59" t="s">
        <v>41</v>
      </c>
      <c r="B47" s="57">
        <v>0</v>
      </c>
      <c r="C47" s="57">
        <v>0</v>
      </c>
      <c r="D47" s="57">
        <v>0</v>
      </c>
      <c r="E47" s="57">
        <v>0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7">
        <v>0</v>
      </c>
      <c r="P47" s="57">
        <v>0</v>
      </c>
      <c r="Q47" s="57">
        <v>0</v>
      </c>
      <c r="R47" s="57">
        <v>0</v>
      </c>
      <c r="S47" s="57">
        <v>0</v>
      </c>
      <c r="T47" s="57">
        <v>0</v>
      </c>
      <c r="U47" s="57">
        <v>0</v>
      </c>
      <c r="V47" s="57">
        <v>0</v>
      </c>
      <c r="W47" s="57">
        <v>0</v>
      </c>
      <c r="X47" s="57">
        <v>0</v>
      </c>
      <c r="Y47" s="57">
        <v>0</v>
      </c>
      <c r="Z47" s="57">
        <v>0</v>
      </c>
      <c r="AA47" s="57">
        <v>0</v>
      </c>
      <c r="AB47" s="57">
        <v>0</v>
      </c>
      <c r="AC47" s="57">
        <v>0</v>
      </c>
      <c r="AD47" s="57">
        <v>0</v>
      </c>
      <c r="AE47" s="57">
        <v>0</v>
      </c>
      <c r="AF47" s="57">
        <v>0</v>
      </c>
      <c r="AG47" s="57">
        <v>0</v>
      </c>
      <c r="AH47" s="57">
        <v>0</v>
      </c>
      <c r="AI47" s="51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  <c r="FZ47" s="49"/>
      <c r="GA47" s="49"/>
      <c r="GB47" s="49"/>
      <c r="GC47" s="49"/>
      <c r="GD47" s="49"/>
      <c r="GE47" s="49"/>
      <c r="GF47" s="49"/>
      <c r="GG47" s="49"/>
      <c r="GH47" s="49"/>
      <c r="GI47" s="49"/>
      <c r="GJ47" s="49"/>
      <c r="GK47" s="49"/>
      <c r="GL47" s="49"/>
      <c r="GM47" s="49"/>
      <c r="GN47" s="49"/>
      <c r="GO47" s="49"/>
      <c r="GP47" s="49"/>
      <c r="GQ47" s="49"/>
      <c r="GR47" s="49"/>
      <c r="GS47" s="49"/>
      <c r="GT47" s="49"/>
      <c r="GU47" s="49"/>
      <c r="GV47" s="49"/>
      <c r="GW47" s="49"/>
      <c r="GX47" s="49"/>
      <c r="GY47" s="49"/>
      <c r="GZ47" s="49"/>
      <c r="HA47" s="49"/>
      <c r="HB47" s="49"/>
      <c r="HC47" s="49"/>
      <c r="HD47" s="49"/>
      <c r="HE47" s="49"/>
      <c r="HF47" s="49"/>
      <c r="HG47" s="49"/>
      <c r="HH47" s="49"/>
      <c r="HI47" s="49"/>
      <c r="HJ47" s="49"/>
      <c r="HK47" s="49"/>
      <c r="HL47" s="49"/>
      <c r="HM47" s="49"/>
      <c r="HN47" s="49"/>
      <c r="HO47" s="49"/>
      <c r="HP47" s="49"/>
      <c r="HQ47" s="49"/>
      <c r="HR47" s="49"/>
      <c r="HS47" s="49"/>
      <c r="HT47" s="49"/>
      <c r="HU47" s="49"/>
      <c r="HV47" s="49"/>
      <c r="HW47" s="49"/>
      <c r="HX47" s="49"/>
      <c r="HY47" s="49"/>
      <c r="HZ47" s="49"/>
      <c r="IA47" s="49"/>
      <c r="IB47" s="49"/>
      <c r="IC47" s="49"/>
      <c r="ID47" s="49"/>
      <c r="IE47" s="49"/>
      <c r="IF47" s="49"/>
      <c r="IG47" s="49"/>
      <c r="IH47" s="49"/>
      <c r="II47" s="49"/>
      <c r="IJ47" s="49"/>
      <c r="IK47" s="49"/>
      <c r="IL47" s="49"/>
      <c r="IM47" s="49"/>
      <c r="IN47" s="49"/>
      <c r="IO47" s="49"/>
      <c r="IP47" s="49"/>
      <c r="IQ47" s="49"/>
      <c r="IR47" s="49"/>
      <c r="IS47" s="49"/>
      <c r="IT47" s="49"/>
      <c r="IU47" s="49"/>
      <c r="IV47" s="49"/>
      <c r="IW47" s="49"/>
      <c r="IX47" s="49"/>
      <c r="IY47" s="49"/>
      <c r="IZ47" s="49"/>
      <c r="JA47" s="49"/>
      <c r="JB47" s="49"/>
      <c r="JC47" s="49"/>
      <c r="JD47" s="49"/>
      <c r="JE47" s="49"/>
      <c r="JF47" s="49"/>
      <c r="JG47" s="49"/>
      <c r="JH47" s="49"/>
      <c r="JI47" s="49"/>
      <c r="JJ47" s="49"/>
      <c r="JK47" s="49"/>
      <c r="JL47" s="49"/>
      <c r="JM47" s="49"/>
      <c r="JN47" s="49"/>
      <c r="JO47" s="49"/>
      <c r="JP47" s="49"/>
      <c r="JQ47" s="49"/>
      <c r="JR47" s="49"/>
      <c r="JS47" s="49"/>
      <c r="JT47" s="49"/>
      <c r="JU47" s="49"/>
      <c r="JV47" s="49"/>
      <c r="JW47" s="49"/>
      <c r="JX47" s="49"/>
      <c r="JY47" s="49"/>
      <c r="JZ47" s="49"/>
      <c r="KA47" s="49"/>
      <c r="KB47" s="49"/>
      <c r="KC47" s="49"/>
      <c r="KD47" s="49"/>
      <c r="KE47" s="49"/>
      <c r="KF47" s="49"/>
      <c r="KG47" s="49"/>
      <c r="KH47" s="49"/>
      <c r="KI47" s="49"/>
      <c r="KJ47" s="49"/>
      <c r="KK47" s="49"/>
      <c r="KL47" s="49"/>
      <c r="KM47" s="49"/>
      <c r="KN47" s="49"/>
      <c r="KO47" s="49"/>
      <c r="KP47" s="49"/>
      <c r="KQ47" s="49"/>
      <c r="KR47" s="49"/>
      <c r="KS47" s="49"/>
      <c r="KT47" s="49"/>
      <c r="KU47" s="49"/>
      <c r="KV47" s="49"/>
      <c r="KW47" s="49"/>
      <c r="KX47" s="49"/>
      <c r="KY47" s="49"/>
      <c r="KZ47" s="49"/>
      <c r="LA47" s="49"/>
      <c r="LB47" s="49"/>
      <c r="LC47" s="49"/>
      <c r="LD47" s="49"/>
      <c r="LE47" s="49"/>
      <c r="LF47" s="49"/>
      <c r="LG47" s="49"/>
      <c r="LH47" s="49"/>
      <c r="LI47" s="49"/>
      <c r="LJ47" s="49"/>
      <c r="LK47" s="49"/>
      <c r="LL47" s="49"/>
      <c r="LM47" s="49"/>
      <c r="LN47" s="49"/>
      <c r="LO47" s="49"/>
      <c r="LP47" s="49"/>
      <c r="LQ47" s="49"/>
      <c r="LR47" s="49"/>
      <c r="LS47" s="49"/>
      <c r="LT47" s="49"/>
      <c r="LU47" s="49"/>
      <c r="LV47" s="49"/>
      <c r="LW47" s="49"/>
      <c r="LX47" s="49"/>
      <c r="LY47" s="49"/>
      <c r="LZ47" s="49"/>
      <c r="MA47" s="49"/>
      <c r="MB47" s="49"/>
      <c r="MC47" s="49"/>
      <c r="MD47" s="49"/>
      <c r="ME47" s="49"/>
      <c r="MF47" s="49"/>
      <c r="MG47" s="49"/>
      <c r="MH47" s="49"/>
      <c r="MI47" s="49"/>
      <c r="MJ47" s="49"/>
      <c r="MK47" s="49"/>
      <c r="ML47" s="49"/>
      <c r="MM47" s="49"/>
      <c r="MN47" s="49"/>
      <c r="MO47" s="49"/>
      <c r="MP47" s="49"/>
      <c r="MQ47" s="49"/>
      <c r="MR47" s="49"/>
      <c r="MS47" s="49"/>
      <c r="MT47" s="49"/>
    </row>
    <row r="48" spans="1:358" x14ac:dyDescent="0.35">
      <c r="A48" s="52" t="s">
        <v>42</v>
      </c>
      <c r="B48" s="53"/>
      <c r="C48" s="53"/>
      <c r="D48" s="53"/>
      <c r="E48" s="53"/>
      <c r="F48" s="53"/>
      <c r="G48" s="53"/>
      <c r="H48" s="54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4"/>
      <c r="V48" s="53"/>
      <c r="W48" s="53"/>
      <c r="X48" s="53"/>
      <c r="Y48" s="53"/>
      <c r="Z48" s="21"/>
      <c r="AA48" s="53"/>
      <c r="AB48" s="54"/>
      <c r="AC48" s="53"/>
      <c r="AD48" s="53"/>
      <c r="AE48" s="53"/>
      <c r="AF48" s="53"/>
      <c r="AG48" s="53"/>
      <c r="AH48" s="55"/>
    </row>
    <row r="49" spans="1:34" x14ac:dyDescent="0.35">
      <c r="A49" s="14" t="s">
        <v>43</v>
      </c>
      <c r="B49" s="17">
        <v>1</v>
      </c>
      <c r="C49" s="17">
        <v>0</v>
      </c>
      <c r="D49" s="17">
        <v>0</v>
      </c>
      <c r="E49" s="17">
        <v>0</v>
      </c>
      <c r="F49" s="17">
        <v>0</v>
      </c>
      <c r="G49" s="8">
        <f t="shared" ref="G49:G63" si="7">SUM(B49:F49)</f>
        <v>1</v>
      </c>
      <c r="H49" s="9"/>
      <c r="I49" s="41">
        <v>1</v>
      </c>
      <c r="J49" s="41">
        <v>0</v>
      </c>
      <c r="K49" s="41">
        <v>0</v>
      </c>
      <c r="L49" s="41">
        <v>0</v>
      </c>
      <c r="M49" s="41">
        <v>0</v>
      </c>
      <c r="N49" s="8">
        <v>1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8">
        <f t="shared" ref="T49:T61" si="8">SUM(O49:S49)</f>
        <v>0</v>
      </c>
      <c r="U49" s="9"/>
      <c r="V49" s="17">
        <v>0</v>
      </c>
      <c r="W49" s="17">
        <v>0</v>
      </c>
      <c r="X49" s="17">
        <v>0</v>
      </c>
      <c r="Y49" s="17">
        <v>0</v>
      </c>
      <c r="Z49" s="19">
        <v>0</v>
      </c>
      <c r="AA49" s="8">
        <f t="shared" ref="AA49:AA57" si="9">SUM(V49:Z49)</f>
        <v>0</v>
      </c>
      <c r="AB49" s="9"/>
      <c r="AC49" s="10">
        <v>2</v>
      </c>
      <c r="AD49" s="10">
        <v>0</v>
      </c>
      <c r="AE49" s="10">
        <v>0</v>
      </c>
      <c r="AF49" s="10">
        <v>0</v>
      </c>
      <c r="AG49" s="10">
        <v>0</v>
      </c>
      <c r="AH49" s="39">
        <f t="shared" ref="AH49:AH57" si="10">SUM(AC49:AG49)</f>
        <v>2</v>
      </c>
    </row>
    <row r="50" spans="1:34" x14ac:dyDescent="0.35">
      <c r="A50" s="15" t="s">
        <v>44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8">
        <f t="shared" si="7"/>
        <v>0</v>
      </c>
      <c r="H50" s="9"/>
      <c r="I50" s="41">
        <v>0</v>
      </c>
      <c r="J50" s="41">
        <v>0</v>
      </c>
      <c r="K50" s="41">
        <v>0</v>
      </c>
      <c r="L50" s="41">
        <v>0</v>
      </c>
      <c r="M50" s="41">
        <v>1</v>
      </c>
      <c r="N50" s="8">
        <v>1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8">
        <f t="shared" si="8"/>
        <v>0</v>
      </c>
      <c r="U50" s="9"/>
      <c r="V50" s="17">
        <f>SUM(U55)</f>
        <v>0</v>
      </c>
      <c r="W50" s="17">
        <v>0</v>
      </c>
      <c r="X50" s="17">
        <v>0</v>
      </c>
      <c r="Y50" s="17">
        <v>0</v>
      </c>
      <c r="Z50" s="19">
        <v>0</v>
      </c>
      <c r="AA50" s="8">
        <f t="shared" si="9"/>
        <v>0</v>
      </c>
      <c r="AB50" s="9"/>
      <c r="AC50" s="10">
        <v>0</v>
      </c>
      <c r="AD50" s="10">
        <v>0</v>
      </c>
      <c r="AE50" s="10">
        <v>0</v>
      </c>
      <c r="AF50" s="10">
        <v>0</v>
      </c>
      <c r="AG50" s="10">
        <v>1</v>
      </c>
      <c r="AH50" s="39">
        <f t="shared" si="10"/>
        <v>1</v>
      </c>
    </row>
    <row r="51" spans="1:34" x14ac:dyDescent="0.35">
      <c r="A51" s="15" t="s">
        <v>45</v>
      </c>
      <c r="B51" s="17">
        <v>0</v>
      </c>
      <c r="C51" s="17">
        <v>0</v>
      </c>
      <c r="D51" s="17">
        <v>0</v>
      </c>
      <c r="E51" s="17">
        <v>0</v>
      </c>
      <c r="F51" s="17">
        <v>2</v>
      </c>
      <c r="G51" s="8">
        <f t="shared" si="7"/>
        <v>2</v>
      </c>
      <c r="H51" s="9"/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8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8">
        <f t="shared" si="8"/>
        <v>0</v>
      </c>
      <c r="U51" s="9"/>
      <c r="V51" s="17">
        <v>0</v>
      </c>
      <c r="W51" s="17">
        <v>0</v>
      </c>
      <c r="X51" s="17">
        <v>0</v>
      </c>
      <c r="Y51" s="17">
        <v>0</v>
      </c>
      <c r="Z51" s="19">
        <v>0</v>
      </c>
      <c r="AA51" s="8">
        <f t="shared" si="9"/>
        <v>0</v>
      </c>
      <c r="AB51" s="9"/>
      <c r="AC51" s="10">
        <v>0</v>
      </c>
      <c r="AD51" s="10">
        <v>0</v>
      </c>
      <c r="AE51" s="10">
        <v>0</v>
      </c>
      <c r="AF51" s="10">
        <v>0</v>
      </c>
      <c r="AG51" s="10">
        <v>2</v>
      </c>
      <c r="AH51" s="39">
        <f t="shared" si="10"/>
        <v>2</v>
      </c>
    </row>
    <row r="52" spans="1:34" x14ac:dyDescent="0.35">
      <c r="A52" s="15" t="s">
        <v>46</v>
      </c>
      <c r="B52" s="17">
        <v>2</v>
      </c>
      <c r="C52" s="17">
        <v>0</v>
      </c>
      <c r="D52" s="17">
        <v>0</v>
      </c>
      <c r="E52" s="17">
        <v>0</v>
      </c>
      <c r="F52" s="17">
        <v>0</v>
      </c>
      <c r="G52" s="8">
        <f t="shared" si="7"/>
        <v>2</v>
      </c>
      <c r="H52" s="9"/>
      <c r="I52" s="41">
        <v>3</v>
      </c>
      <c r="J52" s="41">
        <v>0</v>
      </c>
      <c r="K52" s="41">
        <v>1</v>
      </c>
      <c r="L52" s="41">
        <v>0</v>
      </c>
      <c r="M52" s="41">
        <v>0</v>
      </c>
      <c r="N52" s="8">
        <v>4</v>
      </c>
      <c r="O52" s="17">
        <v>1</v>
      </c>
      <c r="P52" s="17">
        <v>0</v>
      </c>
      <c r="Q52" s="17">
        <v>0</v>
      </c>
      <c r="R52" s="17">
        <v>0</v>
      </c>
      <c r="S52" s="17">
        <v>0</v>
      </c>
      <c r="T52" s="8">
        <f t="shared" si="8"/>
        <v>1</v>
      </c>
      <c r="U52" s="9"/>
      <c r="V52" s="17">
        <v>0</v>
      </c>
      <c r="W52" s="17">
        <v>0</v>
      </c>
      <c r="X52" s="17">
        <v>0</v>
      </c>
      <c r="Y52" s="17">
        <v>0</v>
      </c>
      <c r="Z52" s="19">
        <v>0</v>
      </c>
      <c r="AA52" s="8">
        <f t="shared" si="9"/>
        <v>0</v>
      </c>
      <c r="AB52" s="9"/>
      <c r="AC52" s="10">
        <v>6</v>
      </c>
      <c r="AD52" s="10">
        <v>0</v>
      </c>
      <c r="AE52" s="10">
        <v>1</v>
      </c>
      <c r="AF52" s="10">
        <v>0</v>
      </c>
      <c r="AG52" s="10">
        <v>0</v>
      </c>
      <c r="AH52" s="39">
        <f t="shared" si="10"/>
        <v>7</v>
      </c>
    </row>
    <row r="53" spans="1:34" x14ac:dyDescent="0.35">
      <c r="A53" s="15" t="s">
        <v>47</v>
      </c>
      <c r="B53" s="17">
        <v>2</v>
      </c>
      <c r="C53" s="17">
        <v>0</v>
      </c>
      <c r="D53" s="17">
        <v>0</v>
      </c>
      <c r="E53" s="17">
        <v>1</v>
      </c>
      <c r="F53" s="17">
        <v>1</v>
      </c>
      <c r="G53" s="8">
        <f t="shared" si="7"/>
        <v>4</v>
      </c>
      <c r="H53" s="9"/>
      <c r="I53" s="41">
        <v>4</v>
      </c>
      <c r="J53" s="41">
        <v>1</v>
      </c>
      <c r="K53" s="41">
        <v>0</v>
      </c>
      <c r="L53" s="41">
        <v>0</v>
      </c>
      <c r="M53" s="41">
        <v>2</v>
      </c>
      <c r="N53" s="8">
        <v>7</v>
      </c>
      <c r="O53" s="17">
        <v>1</v>
      </c>
      <c r="P53" s="17">
        <v>0</v>
      </c>
      <c r="Q53" s="17">
        <v>0</v>
      </c>
      <c r="R53" s="17">
        <v>0</v>
      </c>
      <c r="S53" s="17">
        <v>0</v>
      </c>
      <c r="T53" s="8">
        <f t="shared" si="8"/>
        <v>1</v>
      </c>
      <c r="U53" s="9"/>
      <c r="V53" s="17">
        <v>0</v>
      </c>
      <c r="W53" s="17">
        <v>0</v>
      </c>
      <c r="X53" s="17">
        <v>0</v>
      </c>
      <c r="Y53" s="17">
        <v>0</v>
      </c>
      <c r="Z53" s="19">
        <v>0</v>
      </c>
      <c r="AA53" s="8">
        <f t="shared" si="9"/>
        <v>0</v>
      </c>
      <c r="AB53" s="9"/>
      <c r="AC53" s="45">
        <v>7</v>
      </c>
      <c r="AD53" s="10">
        <v>1</v>
      </c>
      <c r="AE53" s="10">
        <v>0</v>
      </c>
      <c r="AF53" s="10">
        <v>1</v>
      </c>
      <c r="AG53" s="10">
        <v>3</v>
      </c>
      <c r="AH53" s="39">
        <f t="shared" si="10"/>
        <v>12</v>
      </c>
    </row>
    <row r="54" spans="1:34" x14ac:dyDescent="0.35">
      <c r="A54" s="15" t="s">
        <v>48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8">
        <f t="shared" si="7"/>
        <v>0</v>
      </c>
      <c r="H54" s="9"/>
      <c r="I54" s="41">
        <v>0</v>
      </c>
      <c r="J54" s="41">
        <v>0</v>
      </c>
      <c r="K54" s="41">
        <v>0</v>
      </c>
      <c r="L54" s="41">
        <v>0</v>
      </c>
      <c r="M54" s="41">
        <v>0</v>
      </c>
      <c r="N54" s="8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8">
        <f t="shared" si="8"/>
        <v>0</v>
      </c>
      <c r="U54" s="9"/>
      <c r="V54" s="17">
        <v>0</v>
      </c>
      <c r="W54" s="17">
        <v>0</v>
      </c>
      <c r="X54" s="17">
        <v>0</v>
      </c>
      <c r="Y54" s="17">
        <v>0</v>
      </c>
      <c r="Z54" s="19">
        <v>0</v>
      </c>
      <c r="AA54" s="8">
        <f t="shared" si="9"/>
        <v>0</v>
      </c>
      <c r="AB54" s="9"/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39">
        <f t="shared" si="10"/>
        <v>0</v>
      </c>
    </row>
    <row r="55" spans="1:34" x14ac:dyDescent="0.35">
      <c r="A55" s="15" t="s">
        <v>49</v>
      </c>
      <c r="B55" s="17">
        <v>15</v>
      </c>
      <c r="C55" s="17">
        <v>5</v>
      </c>
      <c r="D55" s="17">
        <v>2</v>
      </c>
      <c r="E55" s="17">
        <v>0</v>
      </c>
      <c r="F55" s="17">
        <v>0</v>
      </c>
      <c r="G55" s="8">
        <f t="shared" si="7"/>
        <v>22</v>
      </c>
      <c r="H55" s="9"/>
      <c r="I55" s="41">
        <v>9</v>
      </c>
      <c r="J55" s="41">
        <v>2</v>
      </c>
      <c r="K55" s="41">
        <v>0</v>
      </c>
      <c r="L55" s="41">
        <v>0</v>
      </c>
      <c r="M55" s="41">
        <v>0</v>
      </c>
      <c r="N55" s="8">
        <v>11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8">
        <f t="shared" si="8"/>
        <v>0</v>
      </c>
      <c r="U55" s="9"/>
      <c r="V55" s="17">
        <v>0</v>
      </c>
      <c r="W55" s="17">
        <v>0</v>
      </c>
      <c r="X55" s="17">
        <v>0</v>
      </c>
      <c r="Y55" s="17">
        <v>0</v>
      </c>
      <c r="Z55" s="19">
        <v>0</v>
      </c>
      <c r="AA55" s="8">
        <f t="shared" si="9"/>
        <v>0</v>
      </c>
      <c r="AB55" s="9"/>
      <c r="AC55" s="10">
        <v>24</v>
      </c>
      <c r="AD55" s="10">
        <v>7</v>
      </c>
      <c r="AE55" s="10">
        <v>2</v>
      </c>
      <c r="AF55" s="10">
        <v>0</v>
      </c>
      <c r="AG55" s="10">
        <v>0</v>
      </c>
      <c r="AH55" s="39">
        <f t="shared" si="10"/>
        <v>33</v>
      </c>
    </row>
    <row r="56" spans="1:34" x14ac:dyDescent="0.35">
      <c r="A56" s="15" t="s">
        <v>50</v>
      </c>
      <c r="B56" s="17">
        <v>1</v>
      </c>
      <c r="C56" s="17">
        <v>0</v>
      </c>
      <c r="D56" s="17">
        <v>0</v>
      </c>
      <c r="E56" s="17">
        <v>0</v>
      </c>
      <c r="F56" s="17">
        <v>0</v>
      </c>
      <c r="G56" s="8">
        <f t="shared" si="7"/>
        <v>1</v>
      </c>
      <c r="H56" s="9"/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8">
        <v>0</v>
      </c>
      <c r="O56" s="17">
        <v>1</v>
      </c>
      <c r="P56" s="17">
        <v>0</v>
      </c>
      <c r="Q56" s="17">
        <v>0</v>
      </c>
      <c r="R56" s="17">
        <v>0</v>
      </c>
      <c r="S56" s="17">
        <v>0</v>
      </c>
      <c r="T56" s="8">
        <f t="shared" si="8"/>
        <v>1</v>
      </c>
      <c r="U56" s="9"/>
      <c r="V56" s="17">
        <v>0</v>
      </c>
      <c r="W56" s="17">
        <v>0</v>
      </c>
      <c r="X56" s="17">
        <v>0</v>
      </c>
      <c r="Y56" s="17">
        <v>0</v>
      </c>
      <c r="Z56" s="19">
        <v>0</v>
      </c>
      <c r="AA56" s="8">
        <f t="shared" si="9"/>
        <v>0</v>
      </c>
      <c r="AB56" s="9"/>
      <c r="AC56" s="10">
        <v>2</v>
      </c>
      <c r="AD56" s="10">
        <v>0</v>
      </c>
      <c r="AE56" s="10">
        <v>0</v>
      </c>
      <c r="AF56" s="10">
        <v>0</v>
      </c>
      <c r="AG56" s="10">
        <v>0</v>
      </c>
      <c r="AH56" s="39">
        <f t="shared" si="10"/>
        <v>2</v>
      </c>
    </row>
    <row r="57" spans="1:34" x14ac:dyDescent="0.35">
      <c r="A57" s="15" t="s">
        <v>51</v>
      </c>
      <c r="B57" s="17">
        <v>0</v>
      </c>
      <c r="C57" s="17">
        <v>0</v>
      </c>
      <c r="D57" s="17">
        <v>0</v>
      </c>
      <c r="E57" s="17">
        <v>0</v>
      </c>
      <c r="F57" s="17">
        <v>0</v>
      </c>
      <c r="G57" s="8">
        <f t="shared" si="7"/>
        <v>0</v>
      </c>
      <c r="H57" s="9"/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8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8">
        <f t="shared" si="8"/>
        <v>0</v>
      </c>
      <c r="U57" s="9"/>
      <c r="V57" s="17">
        <v>0</v>
      </c>
      <c r="W57" s="17">
        <v>0</v>
      </c>
      <c r="X57" s="17">
        <v>0</v>
      </c>
      <c r="Y57" s="17">
        <v>0</v>
      </c>
      <c r="Z57" s="19">
        <v>0</v>
      </c>
      <c r="AA57" s="8">
        <f t="shared" si="9"/>
        <v>0</v>
      </c>
      <c r="AB57" s="9"/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39">
        <f t="shared" si="10"/>
        <v>0</v>
      </c>
    </row>
    <row r="58" spans="1:34" x14ac:dyDescent="0.35">
      <c r="A58" s="15" t="s">
        <v>52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8">
        <f t="shared" si="7"/>
        <v>0</v>
      </c>
      <c r="H58" s="9"/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8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8">
        <f t="shared" si="8"/>
        <v>0</v>
      </c>
      <c r="U58" s="9"/>
      <c r="V58" s="17">
        <v>0</v>
      </c>
      <c r="W58" s="17">
        <v>0</v>
      </c>
      <c r="X58" s="17">
        <v>0</v>
      </c>
      <c r="Y58" s="17">
        <v>0</v>
      </c>
      <c r="Z58" s="19">
        <v>0</v>
      </c>
      <c r="AA58" s="8">
        <v>0</v>
      </c>
      <c r="AB58" s="9"/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39">
        <v>0</v>
      </c>
    </row>
    <row r="59" spans="1:34" x14ac:dyDescent="0.35">
      <c r="A59" s="15" t="s">
        <v>53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8">
        <f t="shared" si="7"/>
        <v>0</v>
      </c>
      <c r="H59" s="9"/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8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8">
        <f t="shared" si="8"/>
        <v>0</v>
      </c>
      <c r="U59" s="9"/>
      <c r="V59" s="17">
        <v>0</v>
      </c>
      <c r="W59" s="17">
        <v>0</v>
      </c>
      <c r="X59" s="17">
        <v>0</v>
      </c>
      <c r="Y59" s="17">
        <v>0</v>
      </c>
      <c r="Z59" s="19">
        <v>0</v>
      </c>
      <c r="AA59" s="8">
        <f>SUM(V59:Z59)</f>
        <v>0</v>
      </c>
      <c r="AB59" s="9"/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39">
        <v>0</v>
      </c>
    </row>
    <row r="60" spans="1:34" x14ac:dyDescent="0.35">
      <c r="A60" s="15" t="s">
        <v>54</v>
      </c>
      <c r="B60" s="17">
        <v>0</v>
      </c>
      <c r="C60" s="17">
        <v>0</v>
      </c>
      <c r="D60" s="17">
        <v>0</v>
      </c>
      <c r="E60" s="17">
        <v>0</v>
      </c>
      <c r="F60" s="17">
        <v>0</v>
      </c>
      <c r="G60" s="8">
        <f t="shared" si="7"/>
        <v>0</v>
      </c>
      <c r="H60" s="9"/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8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8">
        <f t="shared" si="8"/>
        <v>0</v>
      </c>
      <c r="U60" s="9"/>
      <c r="V60" s="17">
        <v>0</v>
      </c>
      <c r="W60" s="17">
        <v>0</v>
      </c>
      <c r="X60" s="17">
        <v>0</v>
      </c>
      <c r="Y60" s="17">
        <v>0</v>
      </c>
      <c r="Z60" s="19">
        <v>0</v>
      </c>
      <c r="AA60" s="8">
        <f>SUM(V60:Z60)</f>
        <v>0</v>
      </c>
      <c r="AB60" s="9"/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39">
        <v>0</v>
      </c>
    </row>
    <row r="61" spans="1:34" x14ac:dyDescent="0.35">
      <c r="A61" s="15" t="s">
        <v>55</v>
      </c>
      <c r="B61" s="17">
        <v>5</v>
      </c>
      <c r="C61" s="17">
        <v>2</v>
      </c>
      <c r="D61" s="17">
        <v>2</v>
      </c>
      <c r="E61" s="17">
        <v>0</v>
      </c>
      <c r="F61" s="17">
        <v>0</v>
      </c>
      <c r="G61" s="8">
        <f t="shared" si="7"/>
        <v>9</v>
      </c>
      <c r="H61" s="9"/>
      <c r="I61" s="41">
        <v>4</v>
      </c>
      <c r="J61" s="41">
        <v>0</v>
      </c>
      <c r="K61" s="41">
        <v>4</v>
      </c>
      <c r="L61" s="41">
        <v>0</v>
      </c>
      <c r="M61" s="41">
        <v>2</v>
      </c>
      <c r="N61" s="8">
        <f>SUM(I61:M61)</f>
        <v>10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8">
        <f t="shared" si="8"/>
        <v>0</v>
      </c>
      <c r="U61" s="9"/>
      <c r="V61" s="17">
        <v>0</v>
      </c>
      <c r="W61" s="17">
        <v>0</v>
      </c>
      <c r="X61" s="17">
        <v>0</v>
      </c>
      <c r="Y61" s="17">
        <v>0</v>
      </c>
      <c r="Z61" s="19">
        <v>0</v>
      </c>
      <c r="AA61" s="8">
        <f>SUM(V61:Z61)</f>
        <v>0</v>
      </c>
      <c r="AB61" s="9"/>
      <c r="AC61" s="10">
        <v>9</v>
      </c>
      <c r="AD61" s="10">
        <v>2</v>
      </c>
      <c r="AE61" s="10">
        <v>6</v>
      </c>
      <c r="AF61" s="10">
        <v>0</v>
      </c>
      <c r="AG61" s="10">
        <v>2</v>
      </c>
      <c r="AH61" s="39">
        <f>SUM(AC61:AG61)</f>
        <v>19</v>
      </c>
    </row>
    <row r="62" spans="1:34" x14ac:dyDescent="0.35">
      <c r="A62" s="15" t="s">
        <v>56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8">
        <f t="shared" si="7"/>
        <v>0</v>
      </c>
      <c r="H62" s="9"/>
      <c r="I62" s="41">
        <v>3</v>
      </c>
      <c r="J62" s="41">
        <v>0</v>
      </c>
      <c r="K62" s="41">
        <v>0</v>
      </c>
      <c r="L62" s="41">
        <v>0</v>
      </c>
      <c r="M62" s="41"/>
      <c r="N62" s="8">
        <v>3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8">
        <v>0</v>
      </c>
      <c r="U62" s="9"/>
      <c r="V62" s="17">
        <v>0</v>
      </c>
      <c r="W62" s="17">
        <v>0</v>
      </c>
      <c r="X62" s="17">
        <v>0</v>
      </c>
      <c r="Y62" s="17">
        <v>0</v>
      </c>
      <c r="Z62" s="19">
        <v>0</v>
      </c>
      <c r="AA62" s="8">
        <f>SUM(V62:Z62)</f>
        <v>0</v>
      </c>
      <c r="AB62" s="9"/>
      <c r="AC62" s="10">
        <v>3</v>
      </c>
      <c r="AD62" s="10">
        <v>0</v>
      </c>
      <c r="AE62" s="10">
        <v>0</v>
      </c>
      <c r="AF62" s="10">
        <v>0</v>
      </c>
      <c r="AG62" s="10">
        <v>0</v>
      </c>
      <c r="AH62" s="39">
        <f>SUM(AC62:AG62)</f>
        <v>3</v>
      </c>
    </row>
    <row r="63" spans="1:34" x14ac:dyDescent="0.35">
      <c r="A63" s="34" t="s">
        <v>58</v>
      </c>
      <c r="B63" s="17">
        <v>2</v>
      </c>
      <c r="C63" s="17">
        <v>4</v>
      </c>
      <c r="D63" s="17">
        <v>2</v>
      </c>
      <c r="E63" s="17">
        <v>1</v>
      </c>
      <c r="F63" s="17">
        <v>0</v>
      </c>
      <c r="G63" s="8">
        <f t="shared" si="7"/>
        <v>9</v>
      </c>
      <c r="H63" s="9"/>
      <c r="I63" s="41">
        <v>1</v>
      </c>
      <c r="J63" s="41">
        <v>0</v>
      </c>
      <c r="K63" s="41">
        <v>0</v>
      </c>
      <c r="L63" s="41">
        <v>0</v>
      </c>
      <c r="M63" s="41">
        <v>0</v>
      </c>
      <c r="N63" s="8">
        <v>1</v>
      </c>
      <c r="O63" s="17">
        <v>5</v>
      </c>
      <c r="P63" s="17">
        <v>0</v>
      </c>
      <c r="Q63" s="17">
        <v>0</v>
      </c>
      <c r="R63" s="17">
        <v>0</v>
      </c>
      <c r="S63" s="17">
        <v>0</v>
      </c>
      <c r="T63" s="8">
        <v>5</v>
      </c>
      <c r="U63" s="9"/>
      <c r="V63" s="17">
        <v>0</v>
      </c>
      <c r="W63" s="17">
        <v>0</v>
      </c>
      <c r="X63" s="17">
        <v>0</v>
      </c>
      <c r="Y63" s="17">
        <v>0</v>
      </c>
      <c r="Z63" s="17">
        <v>1</v>
      </c>
      <c r="AA63" s="8">
        <v>1</v>
      </c>
      <c r="AB63" s="9"/>
      <c r="AC63" s="10">
        <v>8</v>
      </c>
      <c r="AD63" s="10">
        <v>4</v>
      </c>
      <c r="AE63" s="10">
        <v>2</v>
      </c>
      <c r="AF63" s="10">
        <v>1</v>
      </c>
      <c r="AG63" s="10">
        <v>1</v>
      </c>
      <c r="AH63" s="39">
        <f>SUM(AC63:AG63)</f>
        <v>16</v>
      </c>
    </row>
    <row r="64" spans="1:34" ht="20.25" customHeight="1" x14ac:dyDescent="0.5">
      <c r="A64" s="3" t="s">
        <v>61</v>
      </c>
      <c r="B64" s="35">
        <f>SUM(B5:B63)</f>
        <v>622</v>
      </c>
      <c r="C64" s="35">
        <f>SUM(C5:C63)</f>
        <v>216</v>
      </c>
      <c r="D64" s="35">
        <f>SUM(D5:D63)</f>
        <v>127</v>
      </c>
      <c r="E64" s="35">
        <f>SUM(E12:E63)</f>
        <v>4</v>
      </c>
      <c r="F64" s="35">
        <f>SUM(F12:F63)</f>
        <v>6</v>
      </c>
      <c r="G64" s="44">
        <f>SUM(G5:G63)</f>
        <v>975</v>
      </c>
      <c r="H64" s="36"/>
      <c r="I64" s="46">
        <v>498</v>
      </c>
      <c r="J64" s="46">
        <v>72</v>
      </c>
      <c r="K64" s="46">
        <v>135</v>
      </c>
      <c r="L64" s="46">
        <v>1</v>
      </c>
      <c r="M64" s="46">
        <v>12</v>
      </c>
      <c r="N64" s="44">
        <f>SUM(I64:M64)</f>
        <v>718</v>
      </c>
      <c r="O64" s="35">
        <f>SUM(O5:O63)</f>
        <v>265</v>
      </c>
      <c r="P64" s="35">
        <v>0</v>
      </c>
      <c r="Q64" s="35">
        <v>1</v>
      </c>
      <c r="R64" s="35">
        <v>0</v>
      </c>
      <c r="S64" s="35">
        <f>SUM(S5:S63)</f>
        <v>5</v>
      </c>
      <c r="T64" s="44">
        <f>SUM(T5:T63)</f>
        <v>271</v>
      </c>
      <c r="U64" s="37"/>
      <c r="V64" s="35">
        <f>SUM(V5:V63)</f>
        <v>553</v>
      </c>
      <c r="W64" s="35">
        <v>0</v>
      </c>
      <c r="X64" s="35">
        <v>0</v>
      </c>
      <c r="Y64" s="35">
        <v>0</v>
      </c>
      <c r="Z64" s="35">
        <f>SUM(Z5:Z63)</f>
        <v>3</v>
      </c>
      <c r="AA64" s="44">
        <f>SUM(AA5:AA63)</f>
        <v>556</v>
      </c>
      <c r="AB64" s="36"/>
      <c r="AC64" s="38">
        <f>SUM(AC5:AC63)</f>
        <v>1938</v>
      </c>
      <c r="AD64" s="38">
        <f>SUM(AD5:AD63)</f>
        <v>288</v>
      </c>
      <c r="AE64" s="38">
        <f>SUM(AE5:AE63)</f>
        <v>263</v>
      </c>
      <c r="AF64" s="38">
        <f t="shared" ref="AF64:AH64" si="11">SUM(AF5:AF63)</f>
        <v>5</v>
      </c>
      <c r="AG64" s="38">
        <f>SUM(AG5:AG63)</f>
        <v>26</v>
      </c>
      <c r="AH64" s="40">
        <f t="shared" si="11"/>
        <v>2520</v>
      </c>
    </row>
    <row r="65" spans="1:34" ht="20.25" customHeight="1" x14ac:dyDescent="0.35">
      <c r="A65" s="13" t="s">
        <v>57</v>
      </c>
      <c r="B65" s="8">
        <v>1671</v>
      </c>
      <c r="C65" s="8">
        <v>0</v>
      </c>
      <c r="D65" s="8">
        <v>0</v>
      </c>
      <c r="E65" s="8">
        <v>0</v>
      </c>
      <c r="F65" s="8">
        <v>0</v>
      </c>
      <c r="G65" s="44">
        <f>SUM(B65:F65)</f>
        <v>1671</v>
      </c>
      <c r="H65" s="32"/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3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9"/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9"/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24">
        <v>0</v>
      </c>
    </row>
    <row r="68" spans="1:34" x14ac:dyDescent="0.35">
      <c r="A68" s="16"/>
    </row>
  </sheetData>
  <mergeCells count="6">
    <mergeCell ref="B1:AF1"/>
    <mergeCell ref="B2:G2"/>
    <mergeCell ref="I2:N2"/>
    <mergeCell ref="O2:T2"/>
    <mergeCell ref="V2:AA2"/>
    <mergeCell ref="AC2:A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4399-1A92-435E-9028-DF6F1F569583}">
  <dimension ref="A1:MT68"/>
  <sheetViews>
    <sheetView tabSelected="1" workbookViewId="0">
      <pane xSplit="1" topLeftCell="G1" activePane="topRight" state="frozen"/>
      <selection pane="topRight" activeCell="AI29" sqref="AI29:AI64"/>
    </sheetView>
  </sheetViews>
  <sheetFormatPr defaultRowHeight="14.5" x14ac:dyDescent="0.35"/>
  <cols>
    <col min="1" max="1" width="56" customWidth="1"/>
    <col min="2" max="6" width="0" hidden="1" customWidth="1"/>
    <col min="7" max="7" width="17.54296875" hidden="1" customWidth="1"/>
    <col min="8" max="8" width="2.26953125" hidden="1" customWidth="1"/>
    <col min="9" max="13" width="0" hidden="1" customWidth="1"/>
    <col min="14" max="14" width="15.90625" hidden="1" customWidth="1"/>
    <col min="15" max="19" width="0" hidden="1" customWidth="1"/>
    <col min="20" max="20" width="13.7265625" hidden="1" customWidth="1"/>
    <col min="21" max="21" width="2.54296875" hidden="1" customWidth="1"/>
    <col min="22" max="26" width="0" hidden="1" customWidth="1"/>
    <col min="27" max="27" width="27.81640625" hidden="1" customWidth="1"/>
    <col min="28" max="28" width="2.81640625" hidden="1" customWidth="1"/>
    <col min="29" max="32" width="0" hidden="1" customWidth="1"/>
    <col min="33" max="33" width="7.81640625" hidden="1" customWidth="1"/>
    <col min="34" max="34" width="28.453125" customWidth="1"/>
  </cols>
  <sheetData>
    <row r="1" spans="1:34" ht="21" x14ac:dyDescent="0.5">
      <c r="A1" s="47" t="s">
        <v>0</v>
      </c>
      <c r="B1" s="60" t="s">
        <v>62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H1" s="47" t="s">
        <v>62</v>
      </c>
    </row>
    <row r="2" spans="1:34" ht="21" x14ac:dyDescent="0.5">
      <c r="B2" s="62" t="s">
        <v>1</v>
      </c>
      <c r="C2" s="63"/>
      <c r="D2" s="63"/>
      <c r="E2" s="63"/>
      <c r="F2" s="63"/>
      <c r="G2" s="64"/>
      <c r="H2" s="31"/>
      <c r="I2" s="65" t="s">
        <v>2</v>
      </c>
      <c r="J2" s="66"/>
      <c r="K2" s="66"/>
      <c r="L2" s="66"/>
      <c r="M2" s="66"/>
      <c r="N2" s="67"/>
      <c r="O2" s="68" t="s">
        <v>3</v>
      </c>
      <c r="P2" s="69"/>
      <c r="Q2" s="69"/>
      <c r="R2" s="69"/>
      <c r="S2" s="69"/>
      <c r="T2" s="70"/>
      <c r="U2" s="33"/>
      <c r="V2" s="71" t="s">
        <v>60</v>
      </c>
      <c r="W2" s="72"/>
      <c r="X2" s="72"/>
      <c r="Y2" s="72"/>
      <c r="Z2" s="72"/>
      <c r="AA2" s="73"/>
      <c r="AB2" s="33"/>
      <c r="AC2" s="74" t="s">
        <v>59</v>
      </c>
      <c r="AD2" s="75"/>
      <c r="AE2" s="75"/>
      <c r="AF2" s="75"/>
      <c r="AG2" s="75"/>
      <c r="AH2" s="76"/>
    </row>
    <row r="3" spans="1:34" x14ac:dyDescent="0.35">
      <c r="A3" s="2"/>
      <c r="B3" s="22" t="s">
        <v>4</v>
      </c>
      <c r="C3" s="23" t="s">
        <v>5</v>
      </c>
      <c r="D3" s="23" t="s">
        <v>6</v>
      </c>
      <c r="E3" s="22" t="s">
        <v>7</v>
      </c>
      <c r="F3" s="23" t="s">
        <v>8</v>
      </c>
      <c r="G3" s="23" t="s">
        <v>9</v>
      </c>
      <c r="H3" s="4"/>
      <c r="I3" s="29" t="s">
        <v>4</v>
      </c>
      <c r="J3" s="30" t="s">
        <v>5</v>
      </c>
      <c r="K3" s="30" t="s">
        <v>6</v>
      </c>
      <c r="L3" s="29" t="s">
        <v>7</v>
      </c>
      <c r="M3" s="30" t="s">
        <v>8</v>
      </c>
      <c r="N3" s="30" t="s">
        <v>9</v>
      </c>
      <c r="O3" s="25" t="s">
        <v>4</v>
      </c>
      <c r="P3" s="26" t="s">
        <v>5</v>
      </c>
      <c r="Q3" s="26" t="s">
        <v>6</v>
      </c>
      <c r="R3" s="25" t="s">
        <v>7</v>
      </c>
      <c r="S3" s="26" t="s">
        <v>8</v>
      </c>
      <c r="T3" s="26" t="s">
        <v>9</v>
      </c>
      <c r="U3" s="4"/>
      <c r="V3" s="27" t="s">
        <v>4</v>
      </c>
      <c r="W3" s="28" t="s">
        <v>5</v>
      </c>
      <c r="X3" s="28" t="s">
        <v>6</v>
      </c>
      <c r="Y3" s="27" t="s">
        <v>7</v>
      </c>
      <c r="Z3" s="28" t="s">
        <v>8</v>
      </c>
      <c r="AA3" s="28" t="s">
        <v>9</v>
      </c>
      <c r="AB3" s="4"/>
      <c r="AC3" s="5" t="s">
        <v>4</v>
      </c>
      <c r="AD3" s="6" t="s">
        <v>5</v>
      </c>
      <c r="AE3" s="6" t="s">
        <v>6</v>
      </c>
      <c r="AF3" s="5" t="s">
        <v>7</v>
      </c>
      <c r="AG3" s="6" t="s">
        <v>8</v>
      </c>
      <c r="AH3" s="6" t="s">
        <v>9</v>
      </c>
    </row>
    <row r="4" spans="1:34" hidden="1" x14ac:dyDescent="0.35">
      <c r="A4" s="7" t="s">
        <v>10</v>
      </c>
      <c r="B4" s="8"/>
      <c r="C4" s="8"/>
      <c r="D4" s="8"/>
      <c r="E4" s="8"/>
      <c r="F4" s="8"/>
      <c r="G4" s="8"/>
      <c r="H4" s="9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  <c r="V4" s="8"/>
      <c r="W4" s="8"/>
      <c r="X4" s="8"/>
      <c r="Y4" s="8"/>
      <c r="Z4" s="8"/>
      <c r="AA4" s="8"/>
      <c r="AB4" s="9"/>
      <c r="AC4" s="8"/>
      <c r="AD4" s="8"/>
      <c r="AE4" s="8"/>
      <c r="AF4" s="8"/>
      <c r="AG4" s="8"/>
      <c r="AH4" s="8"/>
    </row>
    <row r="5" spans="1:34" hidden="1" x14ac:dyDescent="0.35">
      <c r="A5" s="2" t="s">
        <v>11</v>
      </c>
      <c r="B5" s="17">
        <v>62</v>
      </c>
      <c r="C5" s="17">
        <v>14</v>
      </c>
      <c r="D5" s="17">
        <v>16</v>
      </c>
      <c r="E5" s="17">
        <v>0</v>
      </c>
      <c r="F5" s="17">
        <v>0</v>
      </c>
      <c r="G5" s="8">
        <f t="shared" ref="G5:G10" si="0">SUM(B5:F5)</f>
        <v>92</v>
      </c>
      <c r="H5" s="9"/>
      <c r="I5" s="41">
        <v>32</v>
      </c>
      <c r="J5" s="41">
        <v>6</v>
      </c>
      <c r="K5" s="41">
        <v>18</v>
      </c>
      <c r="L5" s="41">
        <v>0</v>
      </c>
      <c r="M5" s="41">
        <v>0</v>
      </c>
      <c r="N5" s="8">
        <f>SUM(I5:M5)</f>
        <v>56</v>
      </c>
      <c r="O5" s="17">
        <v>34</v>
      </c>
      <c r="P5" s="17">
        <v>0</v>
      </c>
      <c r="Q5" s="17">
        <v>0</v>
      </c>
      <c r="R5" s="17">
        <v>0</v>
      </c>
      <c r="S5" s="17">
        <v>0</v>
      </c>
      <c r="T5" s="8">
        <f t="shared" ref="T5:T10" si="1">SUM(O5:S5)</f>
        <v>34</v>
      </c>
      <c r="U5" s="9"/>
      <c r="V5" s="17">
        <v>57</v>
      </c>
      <c r="W5" s="17">
        <v>0</v>
      </c>
      <c r="X5" s="17">
        <v>0</v>
      </c>
      <c r="Y5" s="17">
        <v>0</v>
      </c>
      <c r="Z5" s="17">
        <v>0</v>
      </c>
      <c r="AA5" s="8">
        <f t="shared" ref="AA5:AA10" si="2">SUM(V5:Z5)</f>
        <v>57</v>
      </c>
      <c r="AB5" s="9"/>
      <c r="AC5" s="10">
        <v>185</v>
      </c>
      <c r="AD5" s="10">
        <v>20</v>
      </c>
      <c r="AE5" s="10">
        <v>34</v>
      </c>
      <c r="AF5" s="10">
        <v>0</v>
      </c>
      <c r="AG5" s="10">
        <v>0</v>
      </c>
      <c r="AH5" s="39">
        <f>SUM(AC5:AG5)</f>
        <v>239</v>
      </c>
    </row>
    <row r="6" spans="1:34" hidden="1" x14ac:dyDescent="0.35">
      <c r="A6" s="2" t="s">
        <v>12</v>
      </c>
      <c r="B6" s="17">
        <v>11</v>
      </c>
      <c r="C6" s="17">
        <v>2</v>
      </c>
      <c r="D6" s="17">
        <v>0</v>
      </c>
      <c r="E6" s="17">
        <v>0</v>
      </c>
      <c r="F6" s="17">
        <v>0</v>
      </c>
      <c r="G6" s="8">
        <f t="shared" si="0"/>
        <v>13</v>
      </c>
      <c r="H6" s="9"/>
      <c r="I6" s="41">
        <v>17</v>
      </c>
      <c r="J6" s="41">
        <v>1</v>
      </c>
      <c r="K6" s="41">
        <v>1</v>
      </c>
      <c r="L6" s="41">
        <v>0</v>
      </c>
      <c r="M6" s="41">
        <v>0</v>
      </c>
      <c r="N6" s="8">
        <v>19</v>
      </c>
      <c r="O6" s="17">
        <v>12</v>
      </c>
      <c r="P6" s="17">
        <v>0</v>
      </c>
      <c r="Q6" s="17">
        <v>0</v>
      </c>
      <c r="R6" s="17">
        <v>0</v>
      </c>
      <c r="S6" s="17">
        <v>0</v>
      </c>
      <c r="T6" s="8">
        <f t="shared" si="1"/>
        <v>12</v>
      </c>
      <c r="U6" s="9"/>
      <c r="V6" s="17">
        <v>38</v>
      </c>
      <c r="W6" s="17">
        <v>0</v>
      </c>
      <c r="X6" s="17">
        <v>0</v>
      </c>
      <c r="Y6" s="17">
        <v>0</v>
      </c>
      <c r="Z6" s="17">
        <v>0</v>
      </c>
      <c r="AA6" s="8">
        <f t="shared" si="2"/>
        <v>38</v>
      </c>
      <c r="AB6" s="9"/>
      <c r="AC6" s="10">
        <v>78</v>
      </c>
      <c r="AD6" s="10">
        <v>3</v>
      </c>
      <c r="AE6" s="10">
        <v>1</v>
      </c>
      <c r="AF6" s="10">
        <v>0</v>
      </c>
      <c r="AG6" s="10">
        <v>0</v>
      </c>
      <c r="AH6" s="39">
        <f>SUM(AC6:AG6)</f>
        <v>82</v>
      </c>
    </row>
    <row r="7" spans="1:34" hidden="1" x14ac:dyDescent="0.35">
      <c r="A7" s="2" t="s">
        <v>13</v>
      </c>
      <c r="B7" s="17">
        <v>2</v>
      </c>
      <c r="C7" s="17">
        <v>0</v>
      </c>
      <c r="D7" s="17">
        <v>0</v>
      </c>
      <c r="E7" s="17">
        <v>0</v>
      </c>
      <c r="F7" s="17">
        <v>0</v>
      </c>
      <c r="G7" s="8">
        <f t="shared" si="0"/>
        <v>2</v>
      </c>
      <c r="H7" s="9"/>
      <c r="I7" s="41">
        <v>4</v>
      </c>
      <c r="J7" s="41">
        <v>1</v>
      </c>
      <c r="K7" s="41">
        <v>2</v>
      </c>
      <c r="L7" s="41">
        <v>0</v>
      </c>
      <c r="M7" s="41">
        <v>1</v>
      </c>
      <c r="N7" s="8">
        <v>8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8">
        <f t="shared" si="1"/>
        <v>0</v>
      </c>
      <c r="U7" s="9"/>
      <c r="V7" s="17">
        <v>2</v>
      </c>
      <c r="W7" s="17">
        <v>0</v>
      </c>
      <c r="X7" s="17">
        <v>0</v>
      </c>
      <c r="Y7" s="17">
        <v>0</v>
      </c>
      <c r="Z7" s="17">
        <v>0</v>
      </c>
      <c r="AA7" s="8">
        <f t="shared" si="2"/>
        <v>2</v>
      </c>
      <c r="AB7" s="9"/>
      <c r="AC7" s="10">
        <v>8</v>
      </c>
      <c r="AD7" s="10">
        <v>1</v>
      </c>
      <c r="AE7" s="10">
        <v>2</v>
      </c>
      <c r="AF7" s="10">
        <v>0</v>
      </c>
      <c r="AG7" s="10">
        <v>1</v>
      </c>
      <c r="AH7" s="39">
        <f>SUM(AC7:AG7)</f>
        <v>12</v>
      </c>
    </row>
    <row r="8" spans="1:34" hidden="1" x14ac:dyDescent="0.35">
      <c r="A8" s="2" t="s">
        <v>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8">
        <f t="shared" si="0"/>
        <v>0</v>
      </c>
      <c r="H8" s="9"/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8"/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8">
        <f t="shared" si="1"/>
        <v>0</v>
      </c>
      <c r="U8" s="9"/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8">
        <f t="shared" si="2"/>
        <v>0</v>
      </c>
      <c r="AB8" s="9"/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39">
        <v>0</v>
      </c>
    </row>
    <row r="9" spans="1:34" hidden="1" x14ac:dyDescent="0.35">
      <c r="A9" s="2" t="s">
        <v>15</v>
      </c>
      <c r="B9" s="17">
        <v>35</v>
      </c>
      <c r="C9" s="17">
        <v>10</v>
      </c>
      <c r="D9" s="17">
        <v>1</v>
      </c>
      <c r="E9" s="17">
        <v>0</v>
      </c>
      <c r="F9" s="17">
        <v>0</v>
      </c>
      <c r="G9" s="8">
        <f t="shared" si="0"/>
        <v>46</v>
      </c>
      <c r="H9" s="9"/>
      <c r="I9" s="41">
        <v>37</v>
      </c>
      <c r="J9" s="41">
        <v>7</v>
      </c>
      <c r="K9" s="41">
        <v>7</v>
      </c>
      <c r="L9" s="41">
        <v>0</v>
      </c>
      <c r="M9" s="41">
        <v>0</v>
      </c>
      <c r="N9" s="8">
        <f>SUM(I9:M9)</f>
        <v>51</v>
      </c>
      <c r="O9" s="17">
        <v>30</v>
      </c>
      <c r="P9" s="17">
        <v>0</v>
      </c>
      <c r="Q9" s="17">
        <v>0</v>
      </c>
      <c r="R9" s="17">
        <v>0</v>
      </c>
      <c r="S9" s="17">
        <v>0</v>
      </c>
      <c r="T9" s="8">
        <f t="shared" si="1"/>
        <v>30</v>
      </c>
      <c r="U9" s="9"/>
      <c r="V9" s="17">
        <v>66</v>
      </c>
      <c r="W9" s="17">
        <v>0</v>
      </c>
      <c r="X9" s="17">
        <v>0</v>
      </c>
      <c r="Y9" s="17">
        <v>0</v>
      </c>
      <c r="Z9" s="17">
        <v>0</v>
      </c>
      <c r="AA9" s="8">
        <f t="shared" si="2"/>
        <v>66</v>
      </c>
      <c r="AB9" s="9"/>
      <c r="AC9" s="10">
        <v>168</v>
      </c>
      <c r="AD9" s="10">
        <v>17</v>
      </c>
      <c r="AE9" s="10">
        <v>8</v>
      </c>
      <c r="AF9" s="10">
        <v>0</v>
      </c>
      <c r="AG9" s="10">
        <v>0</v>
      </c>
      <c r="AH9" s="39">
        <f>SUM(AC9:AG9)</f>
        <v>193</v>
      </c>
    </row>
    <row r="10" spans="1:34" hidden="1" x14ac:dyDescent="0.35">
      <c r="A10" s="11" t="s">
        <v>16</v>
      </c>
      <c r="B10" s="17">
        <v>14</v>
      </c>
      <c r="C10" s="17">
        <v>2</v>
      </c>
      <c r="D10" s="17">
        <v>0</v>
      </c>
      <c r="E10" s="17">
        <v>0</v>
      </c>
      <c r="F10" s="17">
        <v>0</v>
      </c>
      <c r="G10" s="8">
        <f t="shared" si="0"/>
        <v>16</v>
      </c>
      <c r="H10" s="9"/>
      <c r="I10" s="41">
        <v>2</v>
      </c>
      <c r="J10" s="41">
        <v>1</v>
      </c>
      <c r="K10" s="41">
        <v>1</v>
      </c>
      <c r="L10" s="41">
        <v>0</v>
      </c>
      <c r="M10" s="41">
        <v>0</v>
      </c>
      <c r="N10" s="8">
        <v>4</v>
      </c>
      <c r="O10" s="17">
        <v>2</v>
      </c>
      <c r="P10" s="17">
        <v>0</v>
      </c>
      <c r="Q10" s="17">
        <v>0</v>
      </c>
      <c r="R10" s="17">
        <v>0</v>
      </c>
      <c r="S10" s="17">
        <v>0</v>
      </c>
      <c r="T10" s="8">
        <f t="shared" si="1"/>
        <v>2</v>
      </c>
      <c r="U10" s="9"/>
      <c r="V10" s="17">
        <v>1</v>
      </c>
      <c r="W10" s="17">
        <v>0</v>
      </c>
      <c r="X10" s="17">
        <v>0</v>
      </c>
      <c r="Y10" s="17">
        <v>0</v>
      </c>
      <c r="Z10" s="17">
        <v>0</v>
      </c>
      <c r="AA10" s="8">
        <f t="shared" si="2"/>
        <v>1</v>
      </c>
      <c r="AB10" s="9"/>
      <c r="AC10" s="10">
        <v>19</v>
      </c>
      <c r="AD10" s="10">
        <v>3</v>
      </c>
      <c r="AE10" s="10">
        <v>1</v>
      </c>
      <c r="AF10" s="10">
        <v>0</v>
      </c>
      <c r="AG10" s="10">
        <v>0</v>
      </c>
      <c r="AH10" s="39">
        <f>SUM(AC10:AG10)</f>
        <v>23</v>
      </c>
    </row>
    <row r="11" spans="1:34" hidden="1" x14ac:dyDescent="0.35">
      <c r="A11" s="13" t="s">
        <v>17</v>
      </c>
      <c r="B11" s="8"/>
      <c r="C11" s="8"/>
      <c r="D11" s="8"/>
      <c r="E11" s="8"/>
      <c r="F11" s="8"/>
      <c r="G11" s="8"/>
      <c r="H11" s="9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/>
      <c r="V11" s="8"/>
      <c r="W11" s="8"/>
      <c r="X11" s="8"/>
      <c r="Y11" s="8"/>
      <c r="Z11" s="8"/>
      <c r="AA11" s="8"/>
      <c r="AB11" s="9"/>
      <c r="AC11" s="8"/>
      <c r="AD11" s="8"/>
      <c r="AE11" s="8"/>
      <c r="AF11" s="8"/>
      <c r="AG11" s="8"/>
      <c r="AH11" s="20"/>
    </row>
    <row r="12" spans="1:34" hidden="1" x14ac:dyDescent="0.35">
      <c r="A12" s="2" t="s">
        <v>18</v>
      </c>
      <c r="B12" s="17">
        <v>39</v>
      </c>
      <c r="C12" s="17">
        <v>6</v>
      </c>
      <c r="D12" s="17">
        <v>5</v>
      </c>
      <c r="E12" s="17">
        <v>0</v>
      </c>
      <c r="F12" s="17">
        <v>1</v>
      </c>
      <c r="G12" s="8">
        <f>SUM(B12:F12)</f>
        <v>51</v>
      </c>
      <c r="H12" s="9"/>
      <c r="I12" s="41">
        <v>47</v>
      </c>
      <c r="J12" s="41">
        <v>1</v>
      </c>
      <c r="K12" s="41">
        <v>10</v>
      </c>
      <c r="L12" s="41">
        <v>0</v>
      </c>
      <c r="M12" s="41">
        <v>0</v>
      </c>
      <c r="N12" s="8">
        <f>SUM(I12:M12)</f>
        <v>58</v>
      </c>
      <c r="O12" s="17">
        <v>17</v>
      </c>
      <c r="P12" s="17">
        <v>0</v>
      </c>
      <c r="Q12" s="17">
        <v>0</v>
      </c>
      <c r="R12" s="17">
        <v>0</v>
      </c>
      <c r="S12" s="17">
        <v>0</v>
      </c>
      <c r="T12" s="8">
        <f>SUM(O12:S12)</f>
        <v>17</v>
      </c>
      <c r="U12" s="9"/>
      <c r="V12" s="17">
        <v>9</v>
      </c>
      <c r="W12" s="17">
        <v>0</v>
      </c>
      <c r="X12" s="17">
        <v>0</v>
      </c>
      <c r="Y12" s="17">
        <v>0</v>
      </c>
      <c r="Z12" s="17">
        <v>1</v>
      </c>
      <c r="AA12" s="8">
        <f>SUM(V12:Z12)</f>
        <v>10</v>
      </c>
      <c r="AB12" s="9"/>
      <c r="AC12" s="10">
        <v>112</v>
      </c>
      <c r="AD12" s="10">
        <v>7</v>
      </c>
      <c r="AE12" s="10">
        <v>15</v>
      </c>
      <c r="AF12" s="10">
        <v>0</v>
      </c>
      <c r="AG12" s="10">
        <v>2</v>
      </c>
      <c r="AH12" s="39">
        <f>SUM(AC12:AG12)</f>
        <v>136</v>
      </c>
    </row>
    <row r="13" spans="1:34" hidden="1" x14ac:dyDescent="0.35">
      <c r="A13" s="2" t="s">
        <v>19</v>
      </c>
      <c r="B13" s="17">
        <v>56</v>
      </c>
      <c r="C13" s="17">
        <v>12</v>
      </c>
      <c r="D13" s="17">
        <v>3</v>
      </c>
      <c r="E13" s="17">
        <v>1</v>
      </c>
      <c r="F13" s="18">
        <v>0</v>
      </c>
      <c r="G13" s="8">
        <f>SUM(B13:F13)</f>
        <v>72</v>
      </c>
      <c r="H13" s="9"/>
      <c r="I13" s="41">
        <v>17</v>
      </c>
      <c r="J13" s="41">
        <v>1</v>
      </c>
      <c r="K13" s="41">
        <v>0</v>
      </c>
      <c r="L13" s="41">
        <v>0</v>
      </c>
      <c r="M13" s="42"/>
      <c r="N13" s="8">
        <v>18</v>
      </c>
      <c r="O13" s="17">
        <v>12</v>
      </c>
      <c r="P13" s="17">
        <v>0</v>
      </c>
      <c r="Q13" s="17">
        <v>0</v>
      </c>
      <c r="R13" s="17">
        <v>0</v>
      </c>
      <c r="S13" s="18">
        <v>0</v>
      </c>
      <c r="T13" s="8">
        <f>SUM(O13:S13)</f>
        <v>12</v>
      </c>
      <c r="U13" s="9"/>
      <c r="V13" s="17">
        <v>36</v>
      </c>
      <c r="W13" s="17">
        <v>0</v>
      </c>
      <c r="X13" s="17">
        <v>0</v>
      </c>
      <c r="Y13" s="17">
        <v>0</v>
      </c>
      <c r="Z13" s="18">
        <v>1</v>
      </c>
      <c r="AA13" s="8">
        <f>SUM(V13:Z13)</f>
        <v>37</v>
      </c>
      <c r="AB13" s="9"/>
      <c r="AC13" s="10">
        <v>121</v>
      </c>
      <c r="AD13" s="10">
        <v>13</v>
      </c>
      <c r="AE13" s="10">
        <v>3</v>
      </c>
      <c r="AF13" s="10">
        <v>1</v>
      </c>
      <c r="AG13" s="10">
        <v>1</v>
      </c>
      <c r="AH13" s="39">
        <f>SUM(AC13:AG13)</f>
        <v>139</v>
      </c>
    </row>
    <row r="14" spans="1:34" hidden="1" x14ac:dyDescent="0.35">
      <c r="A14" s="2" t="s">
        <v>20</v>
      </c>
      <c r="B14" s="17">
        <v>21</v>
      </c>
      <c r="C14" s="17">
        <v>1</v>
      </c>
      <c r="D14" s="17">
        <v>1</v>
      </c>
      <c r="E14" s="17">
        <v>0</v>
      </c>
      <c r="F14" s="18">
        <v>0</v>
      </c>
      <c r="G14" s="8">
        <f>SUM(B14:F14)</f>
        <v>23</v>
      </c>
      <c r="H14" s="9"/>
      <c r="I14" s="41">
        <v>22</v>
      </c>
      <c r="J14" s="41">
        <v>0</v>
      </c>
      <c r="K14" s="41">
        <v>1</v>
      </c>
      <c r="L14" s="41">
        <v>0</v>
      </c>
      <c r="M14" s="42">
        <v>1</v>
      </c>
      <c r="N14" s="8">
        <v>24</v>
      </c>
      <c r="O14" s="17">
        <v>7</v>
      </c>
      <c r="P14" s="17">
        <v>0</v>
      </c>
      <c r="Q14" s="17">
        <v>0</v>
      </c>
      <c r="R14" s="17">
        <v>0</v>
      </c>
      <c r="S14" s="18">
        <v>2</v>
      </c>
      <c r="T14" s="8">
        <f>SUM(O14:S14)</f>
        <v>9</v>
      </c>
      <c r="U14" s="9"/>
      <c r="V14" s="17">
        <v>34</v>
      </c>
      <c r="W14" s="17">
        <v>0</v>
      </c>
      <c r="X14" s="17">
        <v>0</v>
      </c>
      <c r="Y14" s="17">
        <v>0</v>
      </c>
      <c r="Z14" s="18">
        <v>0</v>
      </c>
      <c r="AA14" s="8">
        <f>SUM(V14:Z14)</f>
        <v>34</v>
      </c>
      <c r="AB14" s="9"/>
      <c r="AC14" s="10">
        <v>84</v>
      </c>
      <c r="AD14" s="10">
        <v>1</v>
      </c>
      <c r="AE14" s="10">
        <v>2</v>
      </c>
      <c r="AF14" s="10">
        <v>0</v>
      </c>
      <c r="AG14" s="10">
        <v>3</v>
      </c>
      <c r="AH14" s="39">
        <f>SUM(AC14:AG14)</f>
        <v>90</v>
      </c>
    </row>
    <row r="15" spans="1:34" hidden="1" x14ac:dyDescent="0.35">
      <c r="A15" s="12" t="s">
        <v>21</v>
      </c>
      <c r="B15" s="8"/>
      <c r="C15" s="8"/>
      <c r="D15" s="8"/>
      <c r="E15" s="8"/>
      <c r="F15" s="20"/>
      <c r="G15" s="8"/>
      <c r="H15" s="9"/>
      <c r="I15" s="8"/>
      <c r="J15" s="8"/>
      <c r="K15" s="8"/>
      <c r="L15" s="8"/>
      <c r="M15" s="20"/>
      <c r="N15" s="8"/>
      <c r="O15" s="8"/>
      <c r="P15" s="8"/>
      <c r="Q15" s="8"/>
      <c r="R15" s="8"/>
      <c r="S15" s="8"/>
      <c r="T15" s="8"/>
      <c r="U15" s="9"/>
      <c r="V15" s="8"/>
      <c r="W15" s="8"/>
      <c r="X15" s="8"/>
      <c r="Y15" s="8"/>
      <c r="Z15" s="20"/>
      <c r="AA15" s="8"/>
      <c r="AB15" s="9"/>
      <c r="AC15" s="8"/>
      <c r="AD15" s="8"/>
      <c r="AE15" s="8"/>
      <c r="AF15" s="8"/>
      <c r="AG15" s="8"/>
      <c r="AH15" s="39"/>
    </row>
    <row r="16" spans="1:34" hidden="1" x14ac:dyDescent="0.35">
      <c r="A16" s="2" t="s">
        <v>22</v>
      </c>
      <c r="B16" s="17">
        <v>18</v>
      </c>
      <c r="C16" s="17">
        <v>2</v>
      </c>
      <c r="D16" s="17">
        <v>3</v>
      </c>
      <c r="E16" s="17">
        <v>0</v>
      </c>
      <c r="F16" s="17">
        <v>0</v>
      </c>
      <c r="G16" s="8">
        <f t="shared" ref="G16:G21" si="3">SUM(B16:F16)</f>
        <v>23</v>
      </c>
      <c r="H16" s="9"/>
      <c r="I16" s="41">
        <v>46</v>
      </c>
      <c r="J16" s="41">
        <v>2</v>
      </c>
      <c r="K16" s="41">
        <v>7</v>
      </c>
      <c r="L16" s="41">
        <v>1</v>
      </c>
      <c r="M16" s="41">
        <v>0</v>
      </c>
      <c r="N16" s="8">
        <f>SUM(I16:M16)</f>
        <v>56</v>
      </c>
      <c r="O16" s="17">
        <v>15</v>
      </c>
      <c r="P16" s="17">
        <v>0</v>
      </c>
      <c r="Q16" s="17">
        <v>0</v>
      </c>
      <c r="R16" s="17">
        <v>0</v>
      </c>
      <c r="S16" s="17">
        <v>3</v>
      </c>
      <c r="T16" s="8">
        <f t="shared" ref="T16:T21" si="4">SUM(O16:S16)</f>
        <v>18</v>
      </c>
      <c r="U16" s="9"/>
      <c r="V16" s="17">
        <v>40</v>
      </c>
      <c r="W16" s="17">
        <v>0</v>
      </c>
      <c r="X16" s="17">
        <v>0</v>
      </c>
      <c r="Y16" s="17">
        <v>0</v>
      </c>
      <c r="Z16" s="17">
        <v>0</v>
      </c>
      <c r="AA16" s="8">
        <f t="shared" ref="AA16:AA21" si="5">SUM(V16:Z16)</f>
        <v>40</v>
      </c>
      <c r="AB16" s="9"/>
      <c r="AC16" s="10">
        <v>119</v>
      </c>
      <c r="AD16" s="10">
        <v>4</v>
      </c>
      <c r="AE16" s="10">
        <v>10</v>
      </c>
      <c r="AF16" s="10">
        <v>1</v>
      </c>
      <c r="AG16" s="10">
        <v>3</v>
      </c>
      <c r="AH16" s="39">
        <f t="shared" ref="AH16:AH21" si="6">SUM(AC16:AG16)</f>
        <v>137</v>
      </c>
    </row>
    <row r="17" spans="1:35" hidden="1" x14ac:dyDescent="0.35">
      <c r="A17" s="2" t="s">
        <v>23</v>
      </c>
      <c r="B17" s="17">
        <v>137</v>
      </c>
      <c r="C17" s="17">
        <v>50</v>
      </c>
      <c r="D17" s="17">
        <v>37</v>
      </c>
      <c r="E17" s="17">
        <v>1</v>
      </c>
      <c r="F17" s="17">
        <v>0</v>
      </c>
      <c r="G17" s="8">
        <f t="shared" si="3"/>
        <v>225</v>
      </c>
      <c r="H17" s="9"/>
      <c r="I17" s="41">
        <v>45</v>
      </c>
      <c r="J17" s="41">
        <v>13</v>
      </c>
      <c r="K17" s="41">
        <v>21</v>
      </c>
      <c r="L17" s="41">
        <v>0</v>
      </c>
      <c r="M17" s="41">
        <v>0</v>
      </c>
      <c r="N17" s="8">
        <f>SUM(I17:M17)</f>
        <v>79</v>
      </c>
      <c r="O17" s="17">
        <v>36</v>
      </c>
      <c r="P17" s="17">
        <v>0</v>
      </c>
      <c r="Q17" s="17">
        <v>1</v>
      </c>
      <c r="R17" s="17">
        <v>0</v>
      </c>
      <c r="S17" s="17">
        <v>0</v>
      </c>
      <c r="T17" s="8">
        <f t="shared" si="4"/>
        <v>37</v>
      </c>
      <c r="U17" s="9"/>
      <c r="V17" s="17">
        <v>73</v>
      </c>
      <c r="W17" s="17">
        <v>0</v>
      </c>
      <c r="X17" s="17">
        <v>0</v>
      </c>
      <c r="Y17" s="17">
        <v>0</v>
      </c>
      <c r="Z17" s="17">
        <v>0</v>
      </c>
      <c r="AA17" s="8">
        <f t="shared" si="5"/>
        <v>73</v>
      </c>
      <c r="AB17" s="9"/>
      <c r="AC17" s="10">
        <v>291</v>
      </c>
      <c r="AD17" s="10">
        <v>63</v>
      </c>
      <c r="AE17" s="10">
        <v>59</v>
      </c>
      <c r="AF17" s="10">
        <v>1</v>
      </c>
      <c r="AG17" s="10">
        <v>0</v>
      </c>
      <c r="AH17" s="39">
        <f t="shared" si="6"/>
        <v>414</v>
      </c>
    </row>
    <row r="18" spans="1:35" hidden="1" x14ac:dyDescent="0.35">
      <c r="A18" s="2" t="s">
        <v>24</v>
      </c>
      <c r="B18" s="17">
        <v>20</v>
      </c>
      <c r="C18" s="17">
        <v>7</v>
      </c>
      <c r="D18" s="17">
        <v>9</v>
      </c>
      <c r="E18" s="17">
        <v>0</v>
      </c>
      <c r="F18" s="17">
        <v>2</v>
      </c>
      <c r="G18" s="8">
        <f t="shared" si="3"/>
        <v>38</v>
      </c>
      <c r="H18" s="9"/>
      <c r="I18" s="41">
        <v>7</v>
      </c>
      <c r="J18" s="41">
        <v>2</v>
      </c>
      <c r="K18" s="41">
        <v>0</v>
      </c>
      <c r="L18" s="41">
        <v>0</v>
      </c>
      <c r="M18" s="41">
        <v>1</v>
      </c>
      <c r="N18" s="8">
        <f>SUM(I18:M18)</f>
        <v>10</v>
      </c>
      <c r="O18" s="17">
        <v>10</v>
      </c>
      <c r="P18" s="17">
        <v>0</v>
      </c>
      <c r="Q18" s="17">
        <v>0</v>
      </c>
      <c r="R18" s="17">
        <v>0</v>
      </c>
      <c r="S18" s="17">
        <v>0</v>
      </c>
      <c r="T18" s="8">
        <f t="shared" si="4"/>
        <v>10</v>
      </c>
      <c r="U18" s="9"/>
      <c r="V18" s="17">
        <v>25</v>
      </c>
      <c r="W18" s="17">
        <v>0</v>
      </c>
      <c r="X18" s="17">
        <v>0</v>
      </c>
      <c r="Y18" s="17">
        <v>0</v>
      </c>
      <c r="Z18" s="17">
        <v>0</v>
      </c>
      <c r="AA18" s="8">
        <f t="shared" si="5"/>
        <v>25</v>
      </c>
      <c r="AB18" s="9"/>
      <c r="AC18" s="10">
        <v>62</v>
      </c>
      <c r="AD18" s="10">
        <v>9</v>
      </c>
      <c r="AE18" s="10">
        <v>9</v>
      </c>
      <c r="AF18" s="10">
        <v>0</v>
      </c>
      <c r="AG18" s="10">
        <v>3</v>
      </c>
      <c r="AH18" s="39">
        <f t="shared" si="6"/>
        <v>83</v>
      </c>
    </row>
    <row r="19" spans="1:35" hidden="1" x14ac:dyDescent="0.35">
      <c r="A19" s="2" t="s">
        <v>25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8">
        <f t="shared" si="3"/>
        <v>0</v>
      </c>
      <c r="H19" s="9"/>
      <c r="I19" s="41">
        <v>2</v>
      </c>
      <c r="J19" s="41">
        <v>0</v>
      </c>
      <c r="K19" s="41">
        <v>0</v>
      </c>
      <c r="L19" s="41">
        <v>0</v>
      </c>
      <c r="M19" s="41">
        <v>0</v>
      </c>
      <c r="N19" s="8">
        <v>2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8">
        <f t="shared" si="4"/>
        <v>0</v>
      </c>
      <c r="U19" s="9"/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8">
        <f t="shared" si="5"/>
        <v>0</v>
      </c>
      <c r="AB19" s="9"/>
      <c r="AC19" s="10">
        <v>2</v>
      </c>
      <c r="AD19" s="10">
        <v>0</v>
      </c>
      <c r="AE19" s="10">
        <v>0</v>
      </c>
      <c r="AF19" s="10">
        <v>0</v>
      </c>
      <c r="AG19" s="10">
        <v>0</v>
      </c>
      <c r="AH19" s="39">
        <f t="shared" si="6"/>
        <v>2</v>
      </c>
    </row>
    <row r="20" spans="1:35" hidden="1" x14ac:dyDescent="0.35">
      <c r="A20" s="2" t="s">
        <v>26</v>
      </c>
      <c r="B20" s="17">
        <v>14</v>
      </c>
      <c r="C20" s="17">
        <v>38</v>
      </c>
      <c r="D20" s="17">
        <v>28</v>
      </c>
      <c r="E20" s="17">
        <v>0</v>
      </c>
      <c r="F20" s="17">
        <v>0</v>
      </c>
      <c r="G20" s="8">
        <f t="shared" si="3"/>
        <v>80</v>
      </c>
      <c r="H20" s="9"/>
      <c r="I20" s="41">
        <v>8</v>
      </c>
      <c r="J20" s="41">
        <v>4</v>
      </c>
      <c r="K20" s="41">
        <v>7</v>
      </c>
      <c r="L20" s="41">
        <v>0</v>
      </c>
      <c r="M20" s="41">
        <v>0</v>
      </c>
      <c r="N20" s="8">
        <v>19</v>
      </c>
      <c r="O20" s="17">
        <v>4</v>
      </c>
      <c r="P20" s="17">
        <v>0</v>
      </c>
      <c r="Q20" s="17">
        <v>0</v>
      </c>
      <c r="R20" s="17">
        <v>0</v>
      </c>
      <c r="S20" s="17">
        <v>0</v>
      </c>
      <c r="T20" s="8">
        <f t="shared" si="4"/>
        <v>4</v>
      </c>
      <c r="U20" s="9"/>
      <c r="V20" s="17">
        <v>58</v>
      </c>
      <c r="W20" s="17">
        <v>0</v>
      </c>
      <c r="X20" s="17">
        <v>0</v>
      </c>
      <c r="Y20" s="17">
        <v>0</v>
      </c>
      <c r="Z20" s="17">
        <v>0</v>
      </c>
      <c r="AA20" s="8">
        <f t="shared" si="5"/>
        <v>58</v>
      </c>
      <c r="AB20" s="9"/>
      <c r="AC20" s="10">
        <v>84</v>
      </c>
      <c r="AD20" s="10">
        <v>42</v>
      </c>
      <c r="AE20" s="10">
        <v>35</v>
      </c>
      <c r="AF20" s="10">
        <v>0</v>
      </c>
      <c r="AG20" s="10">
        <v>0</v>
      </c>
      <c r="AH20" s="39">
        <f t="shared" si="6"/>
        <v>161</v>
      </c>
    </row>
    <row r="21" spans="1:35" hidden="1" x14ac:dyDescent="0.35">
      <c r="A21" s="2" t="s">
        <v>27</v>
      </c>
      <c r="B21" s="17">
        <v>8</v>
      </c>
      <c r="C21" s="17">
        <v>4</v>
      </c>
      <c r="D21" s="17">
        <v>0</v>
      </c>
      <c r="E21" s="17">
        <v>0</v>
      </c>
      <c r="F21" s="17">
        <v>0</v>
      </c>
      <c r="G21" s="8">
        <f t="shared" si="3"/>
        <v>12</v>
      </c>
      <c r="H21" s="9"/>
      <c r="I21" s="41">
        <v>11</v>
      </c>
      <c r="J21" s="41">
        <v>0</v>
      </c>
      <c r="K21" s="41">
        <v>6</v>
      </c>
      <c r="L21" s="41">
        <v>0</v>
      </c>
      <c r="M21" s="41">
        <v>1</v>
      </c>
      <c r="N21" s="8">
        <v>18</v>
      </c>
      <c r="O21" s="17">
        <v>1</v>
      </c>
      <c r="P21" s="17">
        <v>0</v>
      </c>
      <c r="Q21" s="17">
        <v>0</v>
      </c>
      <c r="R21" s="17">
        <v>0</v>
      </c>
      <c r="S21" s="17">
        <v>0</v>
      </c>
      <c r="T21" s="8">
        <f t="shared" si="4"/>
        <v>1</v>
      </c>
      <c r="U21" s="9"/>
      <c r="V21" s="17">
        <v>23</v>
      </c>
      <c r="W21" s="17">
        <v>0</v>
      </c>
      <c r="X21" s="17">
        <v>0</v>
      </c>
      <c r="Y21" s="17">
        <v>0</v>
      </c>
      <c r="Z21" s="17">
        <v>0</v>
      </c>
      <c r="AA21" s="8">
        <f t="shared" si="5"/>
        <v>23</v>
      </c>
      <c r="AB21" s="9"/>
      <c r="AC21" s="10">
        <v>43</v>
      </c>
      <c r="AD21" s="10">
        <v>4</v>
      </c>
      <c r="AE21" s="10">
        <v>6</v>
      </c>
      <c r="AF21" s="10">
        <v>0</v>
      </c>
      <c r="AG21" s="10">
        <v>1</v>
      </c>
      <c r="AH21" s="39">
        <f t="shared" si="6"/>
        <v>54</v>
      </c>
    </row>
    <row r="22" spans="1:35" hidden="1" x14ac:dyDescent="0.35">
      <c r="A22" s="12" t="s">
        <v>28</v>
      </c>
      <c r="B22" s="8"/>
      <c r="C22" s="8"/>
      <c r="D22" s="8"/>
      <c r="E22" s="8"/>
      <c r="F22" s="8"/>
      <c r="G22" s="8"/>
      <c r="H22" s="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9"/>
      <c r="V22" s="8"/>
      <c r="W22" s="8"/>
      <c r="X22" s="8"/>
      <c r="Y22" s="8"/>
      <c r="Z22" s="8"/>
      <c r="AA22" s="8"/>
      <c r="AB22" s="9"/>
      <c r="AC22" s="8"/>
      <c r="AD22" s="8"/>
      <c r="AE22" s="8"/>
      <c r="AF22" s="8"/>
      <c r="AG22" s="8"/>
      <c r="AH22" s="20"/>
    </row>
    <row r="23" spans="1:35" hidden="1" x14ac:dyDescent="0.35">
      <c r="A23" s="2" t="s">
        <v>29</v>
      </c>
      <c r="B23" s="17">
        <v>25</v>
      </c>
      <c r="C23" s="17">
        <v>6</v>
      </c>
      <c r="D23" s="17">
        <v>5</v>
      </c>
      <c r="E23" s="17">
        <v>0</v>
      </c>
      <c r="F23" s="17">
        <v>0</v>
      </c>
      <c r="G23" s="8">
        <f>SUM(B23:F23)</f>
        <v>36</v>
      </c>
      <c r="H23" s="9"/>
      <c r="I23" s="41">
        <v>15</v>
      </c>
      <c r="J23" s="41">
        <v>1</v>
      </c>
      <c r="K23" s="41">
        <v>7</v>
      </c>
      <c r="L23" s="41">
        <v>0</v>
      </c>
      <c r="M23" s="41">
        <v>0</v>
      </c>
      <c r="N23" s="8">
        <v>23</v>
      </c>
      <c r="O23" s="17">
        <v>12</v>
      </c>
      <c r="P23" s="17">
        <v>0</v>
      </c>
      <c r="Q23" s="17">
        <v>0</v>
      </c>
      <c r="R23" s="17">
        <v>0</v>
      </c>
      <c r="S23" s="17">
        <v>0</v>
      </c>
      <c r="T23" s="8">
        <f>SUM(O23:S23)</f>
        <v>12</v>
      </c>
      <c r="U23" s="9"/>
      <c r="V23" s="17">
        <v>18</v>
      </c>
      <c r="W23" s="17">
        <v>0</v>
      </c>
      <c r="X23" s="17">
        <v>0</v>
      </c>
      <c r="Y23" s="17">
        <v>0</v>
      </c>
      <c r="Z23" s="17">
        <v>0</v>
      </c>
      <c r="AA23" s="8">
        <f>SUM(V23:Z23)</f>
        <v>18</v>
      </c>
      <c r="AB23" s="9"/>
      <c r="AC23" s="10">
        <v>70</v>
      </c>
      <c r="AD23" s="10">
        <v>7</v>
      </c>
      <c r="AE23" s="10">
        <v>12</v>
      </c>
      <c r="AF23" s="10">
        <v>0</v>
      </c>
      <c r="AG23" s="10">
        <v>0</v>
      </c>
      <c r="AH23" s="39">
        <f>SUM(AC23:AG23)</f>
        <v>89</v>
      </c>
    </row>
    <row r="24" spans="1:35" hidden="1" x14ac:dyDescent="0.35">
      <c r="A24" s="12" t="s">
        <v>30</v>
      </c>
      <c r="B24" s="8"/>
      <c r="C24" s="8"/>
      <c r="D24" s="8"/>
      <c r="E24" s="8"/>
      <c r="F24" s="8"/>
      <c r="G24" s="8"/>
      <c r="H24" s="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/>
      <c r="V24" s="8"/>
      <c r="W24" s="8"/>
      <c r="X24" s="8"/>
      <c r="Y24" s="8"/>
      <c r="Z24" s="8"/>
      <c r="AA24" s="8"/>
      <c r="AB24" s="9"/>
      <c r="AC24" s="8"/>
      <c r="AD24" s="8"/>
      <c r="AE24" s="8"/>
      <c r="AF24" s="8"/>
      <c r="AG24" s="8"/>
      <c r="AH24" s="20"/>
    </row>
    <row r="25" spans="1:35" hidden="1" x14ac:dyDescent="0.35">
      <c r="A25" s="2" t="s">
        <v>31</v>
      </c>
      <c r="B25" s="17">
        <v>14</v>
      </c>
      <c r="C25" s="17">
        <v>2</v>
      </c>
      <c r="D25" s="17">
        <v>0</v>
      </c>
      <c r="E25" s="17">
        <v>0</v>
      </c>
      <c r="F25" s="17">
        <v>0</v>
      </c>
      <c r="G25" s="8">
        <f>SUM(B25:F25)</f>
        <v>16</v>
      </c>
      <c r="H25" s="9"/>
      <c r="I25" s="41">
        <v>2</v>
      </c>
      <c r="J25" s="41">
        <v>4</v>
      </c>
      <c r="K25" s="41">
        <v>1</v>
      </c>
      <c r="L25" s="41">
        <v>0</v>
      </c>
      <c r="M25" s="41">
        <v>1</v>
      </c>
      <c r="N25" s="8">
        <f>SUM(I25:M25)</f>
        <v>8</v>
      </c>
      <c r="O25" s="17">
        <v>6</v>
      </c>
      <c r="P25" s="17">
        <v>0</v>
      </c>
      <c r="Q25" s="17">
        <v>0</v>
      </c>
      <c r="R25" s="17">
        <v>0</v>
      </c>
      <c r="S25" s="17">
        <v>0</v>
      </c>
      <c r="T25" s="8">
        <f>SUM(O25:S25)</f>
        <v>6</v>
      </c>
      <c r="U25" s="9"/>
      <c r="V25" s="17">
        <v>4</v>
      </c>
      <c r="W25" s="17">
        <v>0</v>
      </c>
      <c r="X25" s="17">
        <v>0</v>
      </c>
      <c r="Y25" s="17">
        <v>0</v>
      </c>
      <c r="Z25" s="17">
        <v>0</v>
      </c>
      <c r="AA25" s="8">
        <f>SUM(V25:Z25)</f>
        <v>4</v>
      </c>
      <c r="AB25" s="9"/>
      <c r="AC25" s="10">
        <v>26</v>
      </c>
      <c r="AD25" s="10">
        <v>6</v>
      </c>
      <c r="AE25" s="10">
        <v>1</v>
      </c>
      <c r="AF25" s="10">
        <v>0</v>
      </c>
      <c r="AG25" s="10">
        <v>1</v>
      </c>
      <c r="AH25" s="39">
        <f>SUM(AC25:AG25)</f>
        <v>34</v>
      </c>
    </row>
    <row r="26" spans="1:35" hidden="1" x14ac:dyDescent="0.35">
      <c r="A26" s="2" t="s">
        <v>32</v>
      </c>
      <c r="B26" s="17">
        <v>7</v>
      </c>
      <c r="C26" s="17">
        <v>4</v>
      </c>
      <c r="D26" s="17">
        <v>0</v>
      </c>
      <c r="E26" s="17">
        <v>0</v>
      </c>
      <c r="F26" s="17">
        <v>0</v>
      </c>
      <c r="G26" s="8">
        <f>SUM(B26:F26)</f>
        <v>11</v>
      </c>
      <c r="H26" s="9"/>
      <c r="I26" s="41">
        <v>6</v>
      </c>
      <c r="J26" s="41">
        <v>1</v>
      </c>
      <c r="K26" s="41">
        <v>0</v>
      </c>
      <c r="L26" s="41">
        <v>0</v>
      </c>
      <c r="M26" s="41">
        <v>0</v>
      </c>
      <c r="N26" s="8">
        <v>7</v>
      </c>
      <c r="O26" s="17">
        <v>8</v>
      </c>
      <c r="P26" s="17">
        <v>0</v>
      </c>
      <c r="Q26" s="17">
        <v>0</v>
      </c>
      <c r="R26" s="17">
        <v>0</v>
      </c>
      <c r="S26" s="17">
        <v>0</v>
      </c>
      <c r="T26" s="8">
        <f>SUM(O26:S26)</f>
        <v>8</v>
      </c>
      <c r="U26" s="9"/>
      <c r="V26" s="17">
        <v>3</v>
      </c>
      <c r="W26" s="17">
        <v>0</v>
      </c>
      <c r="X26" s="17">
        <v>0</v>
      </c>
      <c r="Y26" s="17">
        <v>0</v>
      </c>
      <c r="Z26" s="17">
        <v>0</v>
      </c>
      <c r="AA26" s="8">
        <f>SUM(V26:Z26)</f>
        <v>3</v>
      </c>
      <c r="AB26" s="9"/>
      <c r="AC26" s="10">
        <v>24</v>
      </c>
      <c r="AD26" s="10">
        <v>5</v>
      </c>
      <c r="AE26" s="10">
        <v>0</v>
      </c>
      <c r="AF26" s="10">
        <v>0</v>
      </c>
      <c r="AG26" s="10">
        <v>0</v>
      </c>
      <c r="AH26" s="39">
        <f>SUM(AC26:AG26)</f>
        <v>29</v>
      </c>
    </row>
    <row r="27" spans="1:35" hidden="1" x14ac:dyDescent="0.35">
      <c r="A27" s="2" t="s">
        <v>33</v>
      </c>
      <c r="B27" s="17">
        <v>1</v>
      </c>
      <c r="C27" s="17">
        <v>2</v>
      </c>
      <c r="D27" s="17">
        <v>0</v>
      </c>
      <c r="E27" s="17">
        <v>0</v>
      </c>
      <c r="F27" s="17">
        <v>0</v>
      </c>
      <c r="G27" s="8">
        <f>SUM(B27:F27)</f>
        <v>3</v>
      </c>
      <c r="H27" s="9"/>
      <c r="I27" s="41">
        <v>2</v>
      </c>
      <c r="J27" s="41">
        <v>0</v>
      </c>
      <c r="K27" s="41">
        <v>0</v>
      </c>
      <c r="L27" s="41">
        <v>0</v>
      </c>
      <c r="M27" s="41">
        <v>0</v>
      </c>
      <c r="N27" s="8">
        <v>2</v>
      </c>
      <c r="O27" s="17">
        <v>2</v>
      </c>
      <c r="P27" s="17">
        <v>0</v>
      </c>
      <c r="Q27" s="17">
        <v>0</v>
      </c>
      <c r="R27" s="17">
        <v>0</v>
      </c>
      <c r="S27" s="17">
        <v>0</v>
      </c>
      <c r="T27" s="8">
        <f>SUM(O27:S27)</f>
        <v>2</v>
      </c>
      <c r="U27" s="9"/>
      <c r="V27" s="17">
        <v>0</v>
      </c>
      <c r="W27" s="17"/>
      <c r="X27" s="17"/>
      <c r="Y27" s="17"/>
      <c r="Z27" s="17"/>
      <c r="AA27" s="8">
        <f>SUM(V27:Z27)</f>
        <v>0</v>
      </c>
      <c r="AB27" s="9"/>
      <c r="AC27" s="10">
        <v>5</v>
      </c>
      <c r="AD27" s="10">
        <v>2</v>
      </c>
      <c r="AE27" s="10">
        <v>0</v>
      </c>
      <c r="AF27" s="10">
        <v>0</v>
      </c>
      <c r="AG27" s="10">
        <v>0</v>
      </c>
      <c r="AH27" s="39">
        <f>SUM(AC27:AG27)</f>
        <v>7</v>
      </c>
    </row>
    <row r="28" spans="1:35" x14ac:dyDescent="0.35">
      <c r="A28" s="13" t="s">
        <v>64</v>
      </c>
      <c r="B28" s="8"/>
      <c r="C28" s="8"/>
      <c r="D28" s="8"/>
      <c r="E28" s="8"/>
      <c r="F28" s="8"/>
      <c r="G28" s="8"/>
      <c r="H28" s="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9"/>
      <c r="V28" s="8"/>
      <c r="W28" s="8"/>
      <c r="X28" s="8"/>
      <c r="Y28" s="8"/>
      <c r="Z28" s="8"/>
      <c r="AA28" s="8"/>
      <c r="AB28" s="9"/>
      <c r="AC28" s="8"/>
      <c r="AD28" s="8"/>
      <c r="AE28" s="8"/>
      <c r="AF28" s="8"/>
      <c r="AG28" s="8"/>
      <c r="AH28" s="20"/>
    </row>
    <row r="29" spans="1:35" x14ac:dyDescent="0.35">
      <c r="A29" s="2" t="s">
        <v>34</v>
      </c>
      <c r="B29" s="17">
        <v>6</v>
      </c>
      <c r="C29" s="17">
        <v>1</v>
      </c>
      <c r="D29" s="17">
        <v>0</v>
      </c>
      <c r="E29" s="17">
        <v>0</v>
      </c>
      <c r="F29" s="17">
        <v>0</v>
      </c>
      <c r="G29" s="8">
        <f>SUM(B29:F29)</f>
        <v>7</v>
      </c>
      <c r="H29" s="9"/>
      <c r="I29" s="41">
        <v>11</v>
      </c>
      <c r="J29" s="41">
        <v>0</v>
      </c>
      <c r="K29" s="41">
        <v>1</v>
      </c>
      <c r="L29" s="41">
        <v>0</v>
      </c>
      <c r="M29" s="41">
        <v>0</v>
      </c>
      <c r="N29" s="8">
        <v>12</v>
      </c>
      <c r="O29" s="17">
        <v>4</v>
      </c>
      <c r="P29" s="17">
        <v>0</v>
      </c>
      <c r="Q29" s="17">
        <v>0</v>
      </c>
      <c r="R29" s="17">
        <v>0</v>
      </c>
      <c r="S29" s="17">
        <v>0</v>
      </c>
      <c r="T29" s="8">
        <f>SUM(O29:S29)</f>
        <v>4</v>
      </c>
      <c r="U29" s="9"/>
      <c r="V29" s="17">
        <v>15</v>
      </c>
      <c r="W29" s="17">
        <v>0</v>
      </c>
      <c r="X29" s="17">
        <v>0</v>
      </c>
      <c r="Y29" s="17">
        <v>0</v>
      </c>
      <c r="Z29" s="17">
        <v>0</v>
      </c>
      <c r="AA29" s="8">
        <f>SUM(V29:Z29)</f>
        <v>15</v>
      </c>
      <c r="AB29" s="9"/>
      <c r="AC29" s="10">
        <v>36</v>
      </c>
      <c r="AD29" s="10">
        <v>1</v>
      </c>
      <c r="AE29" s="10">
        <v>1</v>
      </c>
      <c r="AF29" s="10">
        <v>0</v>
      </c>
      <c r="AG29" s="10">
        <v>0</v>
      </c>
      <c r="AH29" s="39">
        <f>SUM(AC29:AG29)</f>
        <v>38</v>
      </c>
      <c r="AI29" s="77">
        <v>38</v>
      </c>
    </row>
    <row r="30" spans="1:35" x14ac:dyDescent="0.35">
      <c r="A30" s="2" t="s">
        <v>35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8">
        <f>SUM(B30:F30)</f>
        <v>0</v>
      </c>
      <c r="H30" s="9"/>
      <c r="I30" s="41">
        <v>0</v>
      </c>
      <c r="J30" s="41">
        <v>1</v>
      </c>
      <c r="K30" s="41">
        <v>0</v>
      </c>
      <c r="L30" s="41">
        <v>0</v>
      </c>
      <c r="M30" s="41">
        <v>0</v>
      </c>
      <c r="N30" s="8">
        <v>1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8">
        <f>SUM(O30:S30)</f>
        <v>0</v>
      </c>
      <c r="U30" s="9"/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8">
        <f>SUM(V30:Z30)</f>
        <v>0</v>
      </c>
      <c r="AB30" s="9"/>
      <c r="AC30" s="10">
        <v>0</v>
      </c>
      <c r="AD30" s="10">
        <v>1</v>
      </c>
      <c r="AE30" s="10">
        <v>0</v>
      </c>
      <c r="AF30" s="10">
        <v>0</v>
      </c>
      <c r="AG30" s="10">
        <v>0</v>
      </c>
      <c r="AH30" s="39">
        <f>SUM(AC30:AG30)</f>
        <v>1</v>
      </c>
      <c r="AI30" s="77">
        <v>1</v>
      </c>
    </row>
    <row r="31" spans="1:35" x14ac:dyDescent="0.35">
      <c r="A31" s="2" t="s">
        <v>36</v>
      </c>
      <c r="B31" s="17">
        <v>1</v>
      </c>
      <c r="C31" s="17">
        <v>0</v>
      </c>
      <c r="D31" s="17">
        <v>1</v>
      </c>
      <c r="E31" s="17">
        <v>0</v>
      </c>
      <c r="F31" s="17">
        <v>0</v>
      </c>
      <c r="G31" s="8">
        <f>SUM(B31:F31)</f>
        <v>2</v>
      </c>
      <c r="H31" s="9"/>
      <c r="I31" s="41">
        <v>0</v>
      </c>
      <c r="J31" s="41">
        <v>0</v>
      </c>
      <c r="K31" s="41">
        <v>1</v>
      </c>
      <c r="L31" s="41">
        <v>0</v>
      </c>
      <c r="M31" s="41">
        <v>0</v>
      </c>
      <c r="N31" s="8">
        <v>1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8">
        <f>SUM(O31:S31)</f>
        <v>0</v>
      </c>
      <c r="U31" s="9"/>
      <c r="V31" s="17">
        <v>0</v>
      </c>
      <c r="W31" s="17"/>
      <c r="X31" s="17">
        <v>0</v>
      </c>
      <c r="Y31" s="17">
        <v>0</v>
      </c>
      <c r="Z31" s="17">
        <v>0</v>
      </c>
      <c r="AA31" s="8">
        <f>SUM(V31:Z31)</f>
        <v>0</v>
      </c>
      <c r="AB31" s="9"/>
      <c r="AC31" s="10">
        <v>1</v>
      </c>
      <c r="AD31" s="10">
        <v>0</v>
      </c>
      <c r="AE31" s="10">
        <v>2</v>
      </c>
      <c r="AF31" s="10">
        <v>0</v>
      </c>
      <c r="AG31" s="10">
        <v>0</v>
      </c>
      <c r="AH31" s="39">
        <f>SUM(AC31:AG31)</f>
        <v>3</v>
      </c>
      <c r="AI31" s="77">
        <v>3</v>
      </c>
    </row>
    <row r="32" spans="1:35" x14ac:dyDescent="0.35">
      <c r="A32" s="2" t="s">
        <v>37</v>
      </c>
      <c r="B32" s="17">
        <v>36</v>
      </c>
      <c r="C32" s="17">
        <v>11</v>
      </c>
      <c r="D32" s="17">
        <v>2</v>
      </c>
      <c r="E32" s="17">
        <v>0</v>
      </c>
      <c r="F32" s="17">
        <v>0</v>
      </c>
      <c r="G32" s="8">
        <f>SUM(B32:F32)</f>
        <v>49</v>
      </c>
      <c r="H32" s="9"/>
      <c r="I32" s="41">
        <v>46</v>
      </c>
      <c r="J32" s="41">
        <v>10</v>
      </c>
      <c r="K32" s="41">
        <v>12</v>
      </c>
      <c r="L32" s="41">
        <v>0</v>
      </c>
      <c r="M32" s="41">
        <v>0</v>
      </c>
      <c r="N32" s="8">
        <f>SUM(I32:M32)</f>
        <v>68</v>
      </c>
      <c r="O32" s="17">
        <v>22</v>
      </c>
      <c r="P32" s="17">
        <v>0</v>
      </c>
      <c r="Q32" s="17">
        <v>0</v>
      </c>
      <c r="R32" s="17">
        <v>0</v>
      </c>
      <c r="S32" s="17">
        <v>0</v>
      </c>
      <c r="T32" s="8">
        <f>SUM(O32:S32)</f>
        <v>22</v>
      </c>
      <c r="U32" s="9"/>
      <c r="V32" s="17">
        <v>19</v>
      </c>
      <c r="W32" s="17">
        <v>0</v>
      </c>
      <c r="X32" s="17">
        <v>0</v>
      </c>
      <c r="Y32" s="17">
        <v>0</v>
      </c>
      <c r="Z32" s="17"/>
      <c r="AA32" s="8">
        <f>SUM(V32:Z32)</f>
        <v>19</v>
      </c>
      <c r="AB32" s="9"/>
      <c r="AC32" s="10">
        <v>123</v>
      </c>
      <c r="AD32" s="10">
        <v>21</v>
      </c>
      <c r="AE32" s="10">
        <v>14</v>
      </c>
      <c r="AF32" s="10">
        <v>0</v>
      </c>
      <c r="AG32" s="10">
        <v>0</v>
      </c>
      <c r="AH32" s="39">
        <f>SUM(AC32:AG32)</f>
        <v>158</v>
      </c>
      <c r="AI32" s="78">
        <v>158</v>
      </c>
    </row>
    <row r="33" spans="1:358" s="48" customFormat="1" hidden="1" x14ac:dyDescent="0.35">
      <c r="A33" s="56" t="s">
        <v>65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8"/>
      <c r="AI33" s="51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  <c r="II33" s="49"/>
      <c r="IJ33" s="49"/>
      <c r="IK33" s="49"/>
      <c r="IL33" s="49"/>
      <c r="IM33" s="49"/>
      <c r="IN33" s="49"/>
      <c r="IO33" s="49"/>
      <c r="IP33" s="49"/>
      <c r="IQ33" s="49"/>
      <c r="IR33" s="49"/>
      <c r="IS33" s="49"/>
      <c r="IT33" s="49"/>
      <c r="IU33" s="49"/>
      <c r="IV33" s="49"/>
      <c r="IW33" s="49"/>
      <c r="IX33" s="49"/>
      <c r="IY33" s="49"/>
      <c r="IZ33" s="49"/>
      <c r="JA33" s="49"/>
      <c r="JB33" s="49"/>
      <c r="JC33" s="49"/>
      <c r="JD33" s="49"/>
      <c r="JE33" s="49"/>
      <c r="JF33" s="49"/>
      <c r="JG33" s="49"/>
      <c r="JH33" s="49"/>
      <c r="JI33" s="49"/>
      <c r="JJ33" s="49"/>
      <c r="JK33" s="49"/>
      <c r="JL33" s="49"/>
      <c r="JM33" s="49"/>
      <c r="JN33" s="49"/>
      <c r="JO33" s="49"/>
      <c r="JP33" s="49"/>
      <c r="JQ33" s="49"/>
      <c r="JR33" s="49"/>
      <c r="JS33" s="49"/>
      <c r="JT33" s="49"/>
      <c r="JU33" s="49"/>
      <c r="JV33" s="49"/>
      <c r="JW33" s="49"/>
      <c r="JX33" s="49"/>
      <c r="JY33" s="49"/>
      <c r="JZ33" s="49"/>
      <c r="KA33" s="49"/>
      <c r="KB33" s="49"/>
      <c r="KC33" s="49"/>
      <c r="KD33" s="49"/>
      <c r="KE33" s="49"/>
      <c r="KF33" s="49"/>
      <c r="KG33" s="49"/>
      <c r="KH33" s="49"/>
      <c r="KI33" s="49"/>
      <c r="KJ33" s="49"/>
      <c r="KK33" s="49"/>
      <c r="KL33" s="49"/>
      <c r="KM33" s="49"/>
      <c r="KN33" s="49"/>
      <c r="KO33" s="49"/>
      <c r="KP33" s="49"/>
      <c r="KQ33" s="49"/>
      <c r="KR33" s="49"/>
      <c r="KS33" s="49"/>
      <c r="KT33" s="49"/>
      <c r="KU33" s="49"/>
      <c r="KV33" s="49"/>
      <c r="KW33" s="49"/>
      <c r="KX33" s="49"/>
      <c r="KY33" s="49"/>
      <c r="KZ33" s="49"/>
      <c r="LA33" s="49"/>
      <c r="LB33" s="49"/>
      <c r="LC33" s="49"/>
      <c r="LD33" s="49"/>
      <c r="LE33" s="49"/>
      <c r="LF33" s="49"/>
      <c r="LG33" s="49"/>
      <c r="LH33" s="49"/>
      <c r="LI33" s="49"/>
      <c r="LJ33" s="49"/>
      <c r="LK33" s="49"/>
      <c r="LL33" s="49"/>
      <c r="LM33" s="49"/>
      <c r="LN33" s="49"/>
      <c r="LO33" s="49"/>
      <c r="LP33" s="49"/>
      <c r="LQ33" s="49"/>
      <c r="LR33" s="49"/>
      <c r="LS33" s="49"/>
      <c r="LT33" s="49"/>
      <c r="LU33" s="49"/>
      <c r="LV33" s="49"/>
      <c r="LW33" s="49"/>
      <c r="LX33" s="49"/>
      <c r="LY33" s="49"/>
      <c r="LZ33" s="49"/>
      <c r="MA33" s="49"/>
      <c r="MB33" s="49"/>
      <c r="MC33" s="49"/>
      <c r="MD33" s="49"/>
      <c r="ME33" s="49"/>
      <c r="MF33" s="49"/>
      <c r="MG33" s="49"/>
      <c r="MH33" s="49"/>
      <c r="MI33" s="49"/>
      <c r="MJ33" s="49"/>
      <c r="MK33" s="49"/>
      <c r="ML33" s="49"/>
      <c r="MM33" s="49"/>
      <c r="MN33" s="49"/>
      <c r="MO33" s="49"/>
      <c r="MP33" s="49"/>
      <c r="MQ33" s="49"/>
      <c r="MR33" s="49"/>
      <c r="MS33" s="49"/>
      <c r="MT33" s="49"/>
    </row>
    <row r="34" spans="1:358" s="48" customFormat="1" hidden="1" x14ac:dyDescent="0.35">
      <c r="A34" s="59" t="s">
        <v>34</v>
      </c>
      <c r="B34" s="57">
        <v>0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57">
        <v>0</v>
      </c>
      <c r="O34" s="57">
        <v>0</v>
      </c>
      <c r="P34" s="57">
        <v>0</v>
      </c>
      <c r="Q34" s="57">
        <v>0</v>
      </c>
      <c r="R34" s="57">
        <v>0</v>
      </c>
      <c r="S34" s="57">
        <v>0</v>
      </c>
      <c r="T34" s="57">
        <v>0</v>
      </c>
      <c r="U34" s="57">
        <v>0</v>
      </c>
      <c r="V34" s="57">
        <v>0</v>
      </c>
      <c r="W34" s="57">
        <v>0</v>
      </c>
      <c r="X34" s="57">
        <v>0</v>
      </c>
      <c r="Y34" s="57">
        <v>0</v>
      </c>
      <c r="Z34" s="57">
        <v>0</v>
      </c>
      <c r="AA34" s="57">
        <v>0</v>
      </c>
      <c r="AB34" s="57">
        <v>0</v>
      </c>
      <c r="AC34" s="57">
        <v>0</v>
      </c>
      <c r="AD34" s="57">
        <v>0</v>
      </c>
      <c r="AE34" s="57">
        <v>0</v>
      </c>
      <c r="AF34" s="57">
        <v>0</v>
      </c>
      <c r="AG34" s="57">
        <v>0</v>
      </c>
      <c r="AH34" s="57">
        <v>0</v>
      </c>
      <c r="AI34" s="51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  <c r="II34" s="49"/>
      <c r="IJ34" s="49"/>
      <c r="IK34" s="49"/>
      <c r="IL34" s="49"/>
      <c r="IM34" s="49"/>
      <c r="IN34" s="49"/>
      <c r="IO34" s="49"/>
      <c r="IP34" s="49"/>
      <c r="IQ34" s="49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49"/>
      <c r="JC34" s="49"/>
      <c r="JD34" s="49"/>
      <c r="JE34" s="49"/>
      <c r="JF34" s="49"/>
      <c r="JG34" s="49"/>
      <c r="JH34" s="49"/>
      <c r="JI34" s="49"/>
      <c r="JJ34" s="49"/>
      <c r="JK34" s="49"/>
      <c r="JL34" s="49"/>
      <c r="JM34" s="49"/>
      <c r="JN34" s="49"/>
      <c r="JO34" s="49"/>
      <c r="JP34" s="49"/>
      <c r="JQ34" s="49"/>
      <c r="JR34" s="49"/>
      <c r="JS34" s="49"/>
      <c r="JT34" s="49"/>
      <c r="JU34" s="49"/>
      <c r="JV34" s="49"/>
      <c r="JW34" s="49"/>
      <c r="JX34" s="49"/>
      <c r="JY34" s="49"/>
      <c r="JZ34" s="49"/>
      <c r="KA34" s="49"/>
      <c r="KB34" s="49"/>
      <c r="KC34" s="49"/>
      <c r="KD34" s="49"/>
      <c r="KE34" s="49"/>
      <c r="KF34" s="49"/>
      <c r="KG34" s="49"/>
      <c r="KH34" s="49"/>
      <c r="KI34" s="49"/>
      <c r="KJ34" s="49"/>
      <c r="KK34" s="49"/>
      <c r="KL34" s="49"/>
      <c r="KM34" s="49"/>
      <c r="KN34" s="49"/>
      <c r="KO34" s="49"/>
      <c r="KP34" s="49"/>
      <c r="KQ34" s="49"/>
      <c r="KR34" s="49"/>
      <c r="KS34" s="49"/>
      <c r="KT34" s="49"/>
      <c r="KU34" s="49"/>
      <c r="KV34" s="49"/>
      <c r="KW34" s="49"/>
      <c r="KX34" s="49"/>
      <c r="KY34" s="49"/>
      <c r="KZ34" s="49"/>
      <c r="LA34" s="49"/>
      <c r="LB34" s="49"/>
      <c r="LC34" s="49"/>
      <c r="LD34" s="49"/>
      <c r="LE34" s="49"/>
      <c r="LF34" s="49"/>
      <c r="LG34" s="49"/>
      <c r="LH34" s="49"/>
      <c r="LI34" s="49"/>
      <c r="LJ34" s="49"/>
      <c r="LK34" s="49"/>
      <c r="LL34" s="49"/>
      <c r="LM34" s="49"/>
      <c r="LN34" s="49"/>
      <c r="LO34" s="49"/>
      <c r="LP34" s="49"/>
      <c r="LQ34" s="49"/>
      <c r="LR34" s="49"/>
      <c r="LS34" s="49"/>
      <c r="LT34" s="49"/>
      <c r="LU34" s="49"/>
      <c r="LV34" s="49"/>
      <c r="LW34" s="49"/>
      <c r="LX34" s="49"/>
      <c r="LY34" s="49"/>
      <c r="LZ34" s="49"/>
      <c r="MA34" s="49"/>
      <c r="MB34" s="49"/>
      <c r="MC34" s="49"/>
      <c r="MD34" s="49"/>
      <c r="ME34" s="49"/>
      <c r="MF34" s="49"/>
      <c r="MG34" s="49"/>
      <c r="MH34" s="49"/>
      <c r="MI34" s="49"/>
      <c r="MJ34" s="49"/>
      <c r="MK34" s="49"/>
      <c r="ML34" s="49"/>
      <c r="MM34" s="49"/>
      <c r="MN34" s="49"/>
      <c r="MO34" s="49"/>
      <c r="MP34" s="49"/>
      <c r="MQ34" s="49"/>
      <c r="MR34" s="49"/>
      <c r="MS34" s="49"/>
      <c r="MT34" s="49"/>
    </row>
    <row r="35" spans="1:358" s="48" customFormat="1" hidden="1" x14ac:dyDescent="0.35">
      <c r="A35" s="59" t="s">
        <v>35</v>
      </c>
      <c r="B35" s="57">
        <v>0</v>
      </c>
      <c r="C35" s="57">
        <v>0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57">
        <v>0</v>
      </c>
      <c r="Q35" s="57">
        <v>0</v>
      </c>
      <c r="R35" s="57">
        <v>0</v>
      </c>
      <c r="S35" s="57">
        <v>0</v>
      </c>
      <c r="T35" s="57">
        <v>0</v>
      </c>
      <c r="U35" s="57">
        <v>0</v>
      </c>
      <c r="V35" s="57">
        <v>0</v>
      </c>
      <c r="W35" s="57">
        <v>0</v>
      </c>
      <c r="X35" s="57">
        <v>0</v>
      </c>
      <c r="Y35" s="57">
        <v>0</v>
      </c>
      <c r="Z35" s="57">
        <v>0</v>
      </c>
      <c r="AA35" s="57">
        <v>0</v>
      </c>
      <c r="AB35" s="57">
        <v>0</v>
      </c>
      <c r="AC35" s="57">
        <v>0</v>
      </c>
      <c r="AD35" s="57">
        <v>0</v>
      </c>
      <c r="AE35" s="57">
        <v>0</v>
      </c>
      <c r="AF35" s="57">
        <v>0</v>
      </c>
      <c r="AG35" s="57">
        <v>0</v>
      </c>
      <c r="AH35" s="57">
        <v>0</v>
      </c>
      <c r="AI35" s="51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49"/>
      <c r="HO35" s="49"/>
      <c r="HP35" s="49"/>
      <c r="HQ35" s="49"/>
      <c r="HR35" s="49"/>
      <c r="HS35" s="49"/>
      <c r="HT35" s="49"/>
      <c r="HU35" s="49"/>
      <c r="HV35" s="49"/>
      <c r="HW35" s="49"/>
      <c r="HX35" s="49"/>
      <c r="HY35" s="49"/>
      <c r="HZ35" s="49"/>
      <c r="IA35" s="49"/>
      <c r="IB35" s="49"/>
      <c r="IC35" s="49"/>
      <c r="ID35" s="49"/>
      <c r="IE35" s="49"/>
      <c r="IF35" s="49"/>
      <c r="IG35" s="49"/>
      <c r="IH35" s="49"/>
      <c r="II35" s="49"/>
      <c r="IJ35" s="49"/>
      <c r="IK35" s="49"/>
      <c r="IL35" s="49"/>
      <c r="IM35" s="49"/>
      <c r="IN35" s="49"/>
      <c r="IO35" s="49"/>
      <c r="IP35" s="49"/>
      <c r="IQ35" s="49"/>
      <c r="IR35" s="49"/>
      <c r="IS35" s="49"/>
      <c r="IT35" s="49"/>
      <c r="IU35" s="49"/>
      <c r="IV35" s="49"/>
      <c r="IW35" s="49"/>
      <c r="IX35" s="49"/>
      <c r="IY35" s="49"/>
      <c r="IZ35" s="49"/>
      <c r="JA35" s="49"/>
      <c r="JB35" s="49"/>
      <c r="JC35" s="49"/>
      <c r="JD35" s="49"/>
      <c r="JE35" s="49"/>
      <c r="JF35" s="49"/>
      <c r="JG35" s="49"/>
      <c r="JH35" s="49"/>
      <c r="JI35" s="49"/>
      <c r="JJ35" s="49"/>
      <c r="JK35" s="49"/>
      <c r="JL35" s="49"/>
      <c r="JM35" s="49"/>
      <c r="JN35" s="49"/>
      <c r="JO35" s="49"/>
      <c r="JP35" s="49"/>
      <c r="JQ35" s="49"/>
      <c r="JR35" s="49"/>
      <c r="JS35" s="49"/>
      <c r="JT35" s="49"/>
      <c r="JU35" s="49"/>
      <c r="JV35" s="49"/>
      <c r="JW35" s="49"/>
      <c r="JX35" s="49"/>
      <c r="JY35" s="49"/>
      <c r="JZ35" s="49"/>
      <c r="KA35" s="49"/>
      <c r="KB35" s="49"/>
      <c r="KC35" s="49"/>
      <c r="KD35" s="49"/>
      <c r="KE35" s="49"/>
      <c r="KF35" s="49"/>
      <c r="KG35" s="49"/>
      <c r="KH35" s="49"/>
      <c r="KI35" s="49"/>
      <c r="KJ35" s="49"/>
      <c r="KK35" s="49"/>
      <c r="KL35" s="49"/>
      <c r="KM35" s="49"/>
      <c r="KN35" s="49"/>
      <c r="KO35" s="49"/>
      <c r="KP35" s="49"/>
      <c r="KQ35" s="49"/>
      <c r="KR35" s="49"/>
      <c r="KS35" s="49"/>
      <c r="KT35" s="49"/>
      <c r="KU35" s="49"/>
      <c r="KV35" s="49"/>
      <c r="KW35" s="49"/>
      <c r="KX35" s="49"/>
      <c r="KY35" s="49"/>
      <c r="KZ35" s="49"/>
      <c r="LA35" s="49"/>
      <c r="LB35" s="49"/>
      <c r="LC35" s="49"/>
      <c r="LD35" s="49"/>
      <c r="LE35" s="49"/>
      <c r="LF35" s="49"/>
      <c r="LG35" s="49"/>
      <c r="LH35" s="49"/>
      <c r="LI35" s="49"/>
      <c r="LJ35" s="49"/>
      <c r="LK35" s="49"/>
      <c r="LL35" s="49"/>
      <c r="LM35" s="49"/>
      <c r="LN35" s="49"/>
      <c r="LO35" s="49"/>
      <c r="LP35" s="49"/>
      <c r="LQ35" s="49"/>
      <c r="LR35" s="49"/>
      <c r="LS35" s="49"/>
      <c r="LT35" s="49"/>
      <c r="LU35" s="49"/>
      <c r="LV35" s="49"/>
      <c r="LW35" s="49"/>
      <c r="LX35" s="49"/>
      <c r="LY35" s="49"/>
      <c r="LZ35" s="49"/>
      <c r="MA35" s="49"/>
      <c r="MB35" s="49"/>
      <c r="MC35" s="49"/>
      <c r="MD35" s="49"/>
      <c r="ME35" s="49"/>
      <c r="MF35" s="49"/>
      <c r="MG35" s="49"/>
      <c r="MH35" s="49"/>
      <c r="MI35" s="49"/>
      <c r="MJ35" s="49"/>
      <c r="MK35" s="49"/>
      <c r="ML35" s="49"/>
      <c r="MM35" s="49"/>
      <c r="MN35" s="49"/>
      <c r="MO35" s="49"/>
      <c r="MP35" s="49"/>
      <c r="MQ35" s="49"/>
      <c r="MR35" s="49"/>
      <c r="MS35" s="49"/>
      <c r="MT35" s="49"/>
    </row>
    <row r="36" spans="1:358" s="48" customFormat="1" hidden="1" x14ac:dyDescent="0.35">
      <c r="A36" s="59" t="s">
        <v>36</v>
      </c>
      <c r="B36" s="57">
        <v>0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57">
        <v>0</v>
      </c>
      <c r="Q36" s="57">
        <v>0</v>
      </c>
      <c r="R36" s="57">
        <v>0</v>
      </c>
      <c r="S36" s="57">
        <v>0</v>
      </c>
      <c r="T36" s="57">
        <v>0</v>
      </c>
      <c r="U36" s="57">
        <v>0</v>
      </c>
      <c r="V36" s="57">
        <v>0</v>
      </c>
      <c r="W36" s="57">
        <v>0</v>
      </c>
      <c r="X36" s="57">
        <v>0</v>
      </c>
      <c r="Y36" s="57">
        <v>0</v>
      </c>
      <c r="Z36" s="57">
        <v>0</v>
      </c>
      <c r="AA36" s="57">
        <v>0</v>
      </c>
      <c r="AB36" s="57">
        <v>0</v>
      </c>
      <c r="AC36" s="57">
        <v>0</v>
      </c>
      <c r="AD36" s="57">
        <v>0</v>
      </c>
      <c r="AE36" s="57">
        <v>0</v>
      </c>
      <c r="AF36" s="57">
        <v>0</v>
      </c>
      <c r="AG36" s="57">
        <v>0</v>
      </c>
      <c r="AH36" s="57">
        <v>0</v>
      </c>
      <c r="AI36" s="51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  <c r="HI36" s="49"/>
      <c r="HJ36" s="49"/>
      <c r="HK36" s="49"/>
      <c r="HL36" s="49"/>
      <c r="HM36" s="49"/>
      <c r="HN36" s="49"/>
      <c r="HO36" s="49"/>
      <c r="HP36" s="49"/>
      <c r="HQ36" s="49"/>
      <c r="HR36" s="49"/>
      <c r="HS36" s="49"/>
      <c r="HT36" s="49"/>
      <c r="HU36" s="49"/>
      <c r="HV36" s="49"/>
      <c r="HW36" s="49"/>
      <c r="HX36" s="49"/>
      <c r="HY36" s="49"/>
      <c r="HZ36" s="49"/>
      <c r="IA36" s="49"/>
      <c r="IB36" s="49"/>
      <c r="IC36" s="49"/>
      <c r="ID36" s="49"/>
      <c r="IE36" s="49"/>
      <c r="IF36" s="49"/>
      <c r="IG36" s="49"/>
      <c r="IH36" s="49"/>
      <c r="II36" s="49"/>
      <c r="IJ36" s="49"/>
      <c r="IK36" s="49"/>
      <c r="IL36" s="49"/>
      <c r="IM36" s="49"/>
      <c r="IN36" s="49"/>
      <c r="IO36" s="49"/>
      <c r="IP36" s="49"/>
      <c r="IQ36" s="49"/>
      <c r="IR36" s="49"/>
      <c r="IS36" s="49"/>
      <c r="IT36" s="49"/>
      <c r="IU36" s="49"/>
      <c r="IV36" s="49"/>
      <c r="IW36" s="49"/>
      <c r="IX36" s="49"/>
      <c r="IY36" s="49"/>
      <c r="IZ36" s="49"/>
      <c r="JA36" s="49"/>
      <c r="JB36" s="49"/>
      <c r="JC36" s="49"/>
      <c r="JD36" s="49"/>
      <c r="JE36" s="49"/>
      <c r="JF36" s="49"/>
      <c r="JG36" s="49"/>
      <c r="JH36" s="49"/>
      <c r="JI36" s="49"/>
      <c r="JJ36" s="49"/>
      <c r="JK36" s="49"/>
      <c r="JL36" s="49"/>
      <c r="JM36" s="49"/>
      <c r="JN36" s="49"/>
      <c r="JO36" s="49"/>
      <c r="JP36" s="49"/>
      <c r="JQ36" s="49"/>
      <c r="JR36" s="49"/>
      <c r="JS36" s="49"/>
      <c r="JT36" s="49"/>
      <c r="JU36" s="49"/>
      <c r="JV36" s="49"/>
      <c r="JW36" s="49"/>
      <c r="JX36" s="49"/>
      <c r="JY36" s="49"/>
      <c r="JZ36" s="49"/>
      <c r="KA36" s="49"/>
      <c r="KB36" s="49"/>
      <c r="KC36" s="49"/>
      <c r="KD36" s="49"/>
      <c r="KE36" s="49"/>
      <c r="KF36" s="49"/>
      <c r="KG36" s="49"/>
      <c r="KH36" s="49"/>
      <c r="KI36" s="49"/>
      <c r="KJ36" s="49"/>
      <c r="KK36" s="49"/>
      <c r="KL36" s="49"/>
      <c r="KM36" s="49"/>
      <c r="KN36" s="49"/>
      <c r="KO36" s="49"/>
      <c r="KP36" s="49"/>
      <c r="KQ36" s="49"/>
      <c r="KR36" s="49"/>
      <c r="KS36" s="49"/>
      <c r="KT36" s="49"/>
      <c r="KU36" s="49"/>
      <c r="KV36" s="49"/>
      <c r="KW36" s="49"/>
      <c r="KX36" s="49"/>
      <c r="KY36" s="49"/>
      <c r="KZ36" s="49"/>
      <c r="LA36" s="49"/>
      <c r="LB36" s="49"/>
      <c r="LC36" s="49"/>
      <c r="LD36" s="49"/>
      <c r="LE36" s="49"/>
      <c r="LF36" s="49"/>
      <c r="LG36" s="49"/>
      <c r="LH36" s="49"/>
      <c r="LI36" s="49"/>
      <c r="LJ36" s="49"/>
      <c r="LK36" s="49"/>
      <c r="LL36" s="49"/>
      <c r="LM36" s="49"/>
      <c r="LN36" s="49"/>
      <c r="LO36" s="49"/>
      <c r="LP36" s="49"/>
      <c r="LQ36" s="49"/>
      <c r="LR36" s="49"/>
      <c r="LS36" s="49"/>
      <c r="LT36" s="49"/>
      <c r="LU36" s="49"/>
      <c r="LV36" s="49"/>
      <c r="LW36" s="49"/>
      <c r="LX36" s="49"/>
      <c r="LY36" s="49"/>
      <c r="LZ36" s="49"/>
      <c r="MA36" s="49"/>
      <c r="MB36" s="49"/>
      <c r="MC36" s="49"/>
      <c r="MD36" s="49"/>
      <c r="ME36" s="49"/>
      <c r="MF36" s="49"/>
      <c r="MG36" s="49"/>
      <c r="MH36" s="49"/>
      <c r="MI36" s="49"/>
      <c r="MJ36" s="49"/>
      <c r="MK36" s="49"/>
      <c r="ML36" s="49"/>
      <c r="MM36" s="49"/>
      <c r="MN36" s="49"/>
      <c r="MO36" s="49"/>
      <c r="MP36" s="49"/>
      <c r="MQ36" s="49"/>
      <c r="MR36" s="49"/>
      <c r="MS36" s="49"/>
      <c r="MT36" s="49"/>
    </row>
    <row r="37" spans="1:358" s="48" customFormat="1" hidden="1" x14ac:dyDescent="0.35">
      <c r="A37" s="59" t="s">
        <v>37</v>
      </c>
      <c r="B37" s="57">
        <v>0</v>
      </c>
      <c r="C37" s="57">
        <v>0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57">
        <v>0</v>
      </c>
      <c r="Q37" s="57">
        <v>0</v>
      </c>
      <c r="R37" s="57">
        <v>0</v>
      </c>
      <c r="S37" s="57">
        <v>0</v>
      </c>
      <c r="T37" s="57">
        <v>0</v>
      </c>
      <c r="U37" s="57">
        <v>0</v>
      </c>
      <c r="V37" s="57">
        <v>0</v>
      </c>
      <c r="W37" s="57">
        <v>0</v>
      </c>
      <c r="X37" s="57">
        <v>0</v>
      </c>
      <c r="Y37" s="57">
        <v>0</v>
      </c>
      <c r="Z37" s="57">
        <v>0</v>
      </c>
      <c r="AA37" s="57">
        <v>0</v>
      </c>
      <c r="AB37" s="57">
        <v>0</v>
      </c>
      <c r="AC37" s="57">
        <v>0</v>
      </c>
      <c r="AD37" s="57">
        <v>0</v>
      </c>
      <c r="AE37" s="57">
        <v>0</v>
      </c>
      <c r="AF37" s="57">
        <v>0</v>
      </c>
      <c r="AG37" s="57">
        <v>0</v>
      </c>
      <c r="AH37" s="57">
        <v>0</v>
      </c>
      <c r="AI37" s="51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G37" s="49"/>
      <c r="HH37" s="49"/>
      <c r="HI37" s="49"/>
      <c r="HJ37" s="49"/>
      <c r="HK37" s="49"/>
      <c r="HL37" s="49"/>
      <c r="HM37" s="49"/>
      <c r="HN37" s="49"/>
      <c r="HO37" s="49"/>
      <c r="HP37" s="49"/>
      <c r="HQ37" s="49"/>
      <c r="HR37" s="49"/>
      <c r="HS37" s="49"/>
      <c r="HT37" s="49"/>
      <c r="HU37" s="49"/>
      <c r="HV37" s="49"/>
      <c r="HW37" s="49"/>
      <c r="HX37" s="49"/>
      <c r="HY37" s="49"/>
      <c r="HZ37" s="49"/>
      <c r="IA37" s="49"/>
      <c r="IB37" s="49"/>
      <c r="IC37" s="49"/>
      <c r="ID37" s="49"/>
      <c r="IE37" s="49"/>
      <c r="IF37" s="49"/>
      <c r="IG37" s="49"/>
      <c r="IH37" s="49"/>
      <c r="II37" s="49"/>
      <c r="IJ37" s="49"/>
      <c r="IK37" s="49"/>
      <c r="IL37" s="49"/>
      <c r="IM37" s="49"/>
      <c r="IN37" s="49"/>
      <c r="IO37" s="49"/>
      <c r="IP37" s="49"/>
      <c r="IQ37" s="49"/>
      <c r="IR37" s="49"/>
      <c r="IS37" s="49"/>
      <c r="IT37" s="49"/>
      <c r="IU37" s="49"/>
      <c r="IV37" s="49"/>
      <c r="IW37" s="49"/>
      <c r="IX37" s="49"/>
      <c r="IY37" s="49"/>
      <c r="IZ37" s="49"/>
      <c r="JA37" s="49"/>
      <c r="JB37" s="49"/>
      <c r="JC37" s="49"/>
      <c r="JD37" s="49"/>
      <c r="JE37" s="49"/>
      <c r="JF37" s="49"/>
      <c r="JG37" s="49"/>
      <c r="JH37" s="49"/>
      <c r="JI37" s="49"/>
      <c r="JJ37" s="49"/>
      <c r="JK37" s="49"/>
      <c r="JL37" s="49"/>
      <c r="JM37" s="49"/>
      <c r="JN37" s="49"/>
      <c r="JO37" s="49"/>
      <c r="JP37" s="49"/>
      <c r="JQ37" s="49"/>
      <c r="JR37" s="49"/>
      <c r="JS37" s="49"/>
      <c r="JT37" s="49"/>
      <c r="JU37" s="49"/>
      <c r="JV37" s="49"/>
      <c r="JW37" s="49"/>
      <c r="JX37" s="49"/>
      <c r="JY37" s="49"/>
      <c r="JZ37" s="49"/>
      <c r="KA37" s="49"/>
      <c r="KB37" s="49"/>
      <c r="KC37" s="49"/>
      <c r="KD37" s="49"/>
      <c r="KE37" s="49"/>
      <c r="KF37" s="49"/>
      <c r="KG37" s="49"/>
      <c r="KH37" s="49"/>
      <c r="KI37" s="49"/>
      <c r="KJ37" s="49"/>
      <c r="KK37" s="49"/>
      <c r="KL37" s="49"/>
      <c r="KM37" s="49"/>
      <c r="KN37" s="49"/>
      <c r="KO37" s="49"/>
      <c r="KP37" s="49"/>
      <c r="KQ37" s="49"/>
      <c r="KR37" s="49"/>
      <c r="KS37" s="49"/>
      <c r="KT37" s="49"/>
      <c r="KU37" s="49"/>
      <c r="KV37" s="49"/>
      <c r="KW37" s="49"/>
      <c r="KX37" s="49"/>
      <c r="KY37" s="49"/>
      <c r="KZ37" s="49"/>
      <c r="LA37" s="49"/>
      <c r="LB37" s="49"/>
      <c r="LC37" s="49"/>
      <c r="LD37" s="49"/>
      <c r="LE37" s="49"/>
      <c r="LF37" s="49"/>
      <c r="LG37" s="49"/>
      <c r="LH37" s="49"/>
      <c r="LI37" s="49"/>
      <c r="LJ37" s="49"/>
      <c r="LK37" s="49"/>
      <c r="LL37" s="49"/>
      <c r="LM37" s="49"/>
      <c r="LN37" s="49"/>
      <c r="LO37" s="49"/>
      <c r="LP37" s="49"/>
      <c r="LQ37" s="49"/>
      <c r="LR37" s="49"/>
      <c r="LS37" s="49"/>
      <c r="LT37" s="49"/>
      <c r="LU37" s="49"/>
      <c r="LV37" s="49"/>
      <c r="LW37" s="49"/>
      <c r="LX37" s="49"/>
      <c r="LY37" s="49"/>
      <c r="LZ37" s="49"/>
      <c r="MA37" s="49"/>
      <c r="MB37" s="49"/>
      <c r="MC37" s="49"/>
      <c r="MD37" s="49"/>
      <c r="ME37" s="49"/>
      <c r="MF37" s="49"/>
      <c r="MG37" s="49"/>
      <c r="MH37" s="49"/>
      <c r="MI37" s="49"/>
      <c r="MJ37" s="49"/>
      <c r="MK37" s="49"/>
      <c r="ML37" s="49"/>
      <c r="MM37" s="49"/>
      <c r="MN37" s="49"/>
      <c r="MO37" s="49"/>
      <c r="MP37" s="49"/>
      <c r="MQ37" s="49"/>
      <c r="MR37" s="49"/>
      <c r="MS37" s="49"/>
      <c r="MT37" s="49"/>
    </row>
    <row r="38" spans="1:358" hidden="1" x14ac:dyDescent="0.35">
      <c r="A38" s="13" t="s">
        <v>38</v>
      </c>
      <c r="B38" s="8"/>
      <c r="C38" s="8"/>
      <c r="D38" s="8"/>
      <c r="E38" s="8"/>
      <c r="F38" s="8"/>
      <c r="G38" s="8"/>
      <c r="H38" s="9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9"/>
      <c r="V38" s="8"/>
      <c r="W38" s="8"/>
      <c r="X38" s="8"/>
      <c r="Y38" s="8"/>
      <c r="Z38" s="8"/>
      <c r="AA38" s="8"/>
      <c r="AB38" s="9"/>
      <c r="AC38" s="8"/>
      <c r="AD38" s="8"/>
      <c r="AE38" s="8"/>
      <c r="AF38" s="8"/>
      <c r="AG38" s="8"/>
      <c r="AH38" s="2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</row>
    <row r="39" spans="1:358" hidden="1" x14ac:dyDescent="0.35">
      <c r="A39" s="2" t="s">
        <v>39</v>
      </c>
      <c r="B39" s="17">
        <v>14</v>
      </c>
      <c r="C39" s="17">
        <v>2</v>
      </c>
      <c r="D39" s="17">
        <v>1</v>
      </c>
      <c r="E39" s="17">
        <v>0</v>
      </c>
      <c r="F39" s="17">
        <v>0</v>
      </c>
      <c r="G39" s="8">
        <f>SUM(B39:F39)</f>
        <v>17</v>
      </c>
      <c r="H39" s="9"/>
      <c r="I39" s="41">
        <v>14</v>
      </c>
      <c r="J39" s="41">
        <v>1</v>
      </c>
      <c r="K39" s="41">
        <v>3</v>
      </c>
      <c r="L39" s="41">
        <v>0</v>
      </c>
      <c r="M39" s="41">
        <v>0</v>
      </c>
      <c r="N39" s="17">
        <v>18</v>
      </c>
      <c r="O39" s="17">
        <v>4</v>
      </c>
      <c r="P39" s="17">
        <v>0</v>
      </c>
      <c r="Q39" s="17">
        <v>0</v>
      </c>
      <c r="R39" s="17">
        <v>0</v>
      </c>
      <c r="S39" s="17">
        <v>0</v>
      </c>
      <c r="T39" s="8">
        <f>SUM(O39:S39)</f>
        <v>4</v>
      </c>
      <c r="U39" s="9"/>
      <c r="V39" s="17">
        <v>6</v>
      </c>
      <c r="W39" s="17">
        <v>0</v>
      </c>
      <c r="X39" s="17">
        <v>0</v>
      </c>
      <c r="Y39" s="17">
        <v>0</v>
      </c>
      <c r="Z39" s="17">
        <v>0</v>
      </c>
      <c r="AA39" s="8">
        <f>SUM(V39:Z39)</f>
        <v>6</v>
      </c>
      <c r="AB39" s="9"/>
      <c r="AC39" s="10">
        <v>38</v>
      </c>
      <c r="AD39" s="10">
        <v>3</v>
      </c>
      <c r="AE39" s="10">
        <v>4</v>
      </c>
      <c r="AF39" s="10">
        <v>0</v>
      </c>
      <c r="AG39" s="10">
        <v>0</v>
      </c>
      <c r="AH39" s="39">
        <f>SUM(AC39:AG39)</f>
        <v>45</v>
      </c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</row>
    <row r="40" spans="1:358" hidden="1" x14ac:dyDescent="0.35">
      <c r="A40" s="13" t="s">
        <v>66</v>
      </c>
      <c r="B40" s="8"/>
      <c r="C40" s="8"/>
      <c r="D40" s="8"/>
      <c r="E40" s="8"/>
      <c r="F40" s="8"/>
      <c r="G40" s="8"/>
      <c r="H40" s="9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9"/>
      <c r="V40" s="8"/>
      <c r="W40" s="8"/>
      <c r="X40" s="8"/>
      <c r="Y40" s="8"/>
      <c r="Z40" s="8"/>
      <c r="AA40" s="8"/>
      <c r="AB40" s="9"/>
      <c r="AC40" s="8"/>
      <c r="AD40" s="8"/>
      <c r="AE40" s="8"/>
      <c r="AF40" s="8"/>
      <c r="AG40" s="8"/>
      <c r="AH40" s="2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</row>
    <row r="41" spans="1:358" hidden="1" x14ac:dyDescent="0.35">
      <c r="A41" s="2" t="s">
        <v>63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8">
        <f>SUM(B41:F41)</f>
        <v>0</v>
      </c>
      <c r="H41" s="9"/>
      <c r="I41" s="41">
        <v>0</v>
      </c>
      <c r="J41" s="41">
        <v>1</v>
      </c>
      <c r="K41" s="41">
        <v>0</v>
      </c>
      <c r="L41" s="41">
        <v>0</v>
      </c>
      <c r="M41" s="41">
        <v>0</v>
      </c>
      <c r="N41" s="8">
        <v>1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8">
        <f>SUM(O41:S41)</f>
        <v>0</v>
      </c>
      <c r="U41" s="9"/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8">
        <f>SUM(V41:Z41)</f>
        <v>0</v>
      </c>
      <c r="AB41" s="9"/>
      <c r="AC41" s="10">
        <v>0</v>
      </c>
      <c r="AD41" s="10">
        <v>1</v>
      </c>
      <c r="AE41" s="10">
        <v>0</v>
      </c>
      <c r="AF41" s="10">
        <v>0</v>
      </c>
      <c r="AG41" s="10">
        <v>0</v>
      </c>
      <c r="AH41" s="39">
        <f>SUM(AC41:AG41)</f>
        <v>1</v>
      </c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</row>
    <row r="42" spans="1:358" hidden="1" x14ac:dyDescent="0.35">
      <c r="A42" s="2" t="s">
        <v>40</v>
      </c>
      <c r="B42" s="17">
        <v>39</v>
      </c>
      <c r="C42" s="17">
        <v>17</v>
      </c>
      <c r="D42" s="17">
        <v>9</v>
      </c>
      <c r="E42" s="17">
        <v>0</v>
      </c>
      <c r="F42" s="17">
        <v>0</v>
      </c>
      <c r="G42" s="8">
        <f>SUM(B42:F42)</f>
        <v>65</v>
      </c>
      <c r="H42" s="9"/>
      <c r="I42" s="41">
        <v>46</v>
      </c>
      <c r="J42" s="41">
        <v>10</v>
      </c>
      <c r="K42" s="41">
        <v>17</v>
      </c>
      <c r="L42" s="41">
        <v>0</v>
      </c>
      <c r="M42" s="41">
        <v>0</v>
      </c>
      <c r="N42" s="8">
        <f>SUM(I42:M42)</f>
        <v>73</v>
      </c>
      <c r="O42" s="17">
        <v>16</v>
      </c>
      <c r="P42" s="17">
        <v>0</v>
      </c>
      <c r="Q42" s="17">
        <v>0</v>
      </c>
      <c r="R42" s="17">
        <v>0</v>
      </c>
      <c r="S42" s="17">
        <v>0</v>
      </c>
      <c r="T42" s="8">
        <f>SUM(O42:S42)</f>
        <v>16</v>
      </c>
      <c r="U42" s="9"/>
      <c r="V42" s="17">
        <v>26</v>
      </c>
      <c r="W42" s="17">
        <v>0</v>
      </c>
      <c r="X42" s="17">
        <v>0</v>
      </c>
      <c r="Y42" s="17">
        <v>0</v>
      </c>
      <c r="Z42" s="17">
        <v>0</v>
      </c>
      <c r="AA42" s="8">
        <f>SUM(V42:Z42)</f>
        <v>26</v>
      </c>
      <c r="AB42" s="9"/>
      <c r="AC42" s="10">
        <v>127</v>
      </c>
      <c r="AD42" s="10">
        <v>27</v>
      </c>
      <c r="AE42" s="10">
        <v>26</v>
      </c>
      <c r="AF42" s="10">
        <v>0</v>
      </c>
      <c r="AG42" s="10">
        <v>0</v>
      </c>
      <c r="AH42" s="39">
        <f>SUM(AC42:AG42)</f>
        <v>180</v>
      </c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</row>
    <row r="43" spans="1:358" hidden="1" x14ac:dyDescent="0.35">
      <c r="A43" s="2" t="s">
        <v>41</v>
      </c>
      <c r="B43" s="17">
        <v>14</v>
      </c>
      <c r="C43" s="17">
        <v>12</v>
      </c>
      <c r="D43" s="17">
        <v>0</v>
      </c>
      <c r="E43" s="17">
        <v>0</v>
      </c>
      <c r="F43" s="17">
        <v>0</v>
      </c>
      <c r="G43" s="8">
        <f>SUM(B43:F43)</f>
        <v>26</v>
      </c>
      <c r="H43" s="9"/>
      <c r="I43" s="41">
        <v>34</v>
      </c>
      <c r="J43" s="41">
        <v>1</v>
      </c>
      <c r="K43" s="41">
        <v>7</v>
      </c>
      <c r="L43" s="41">
        <v>0</v>
      </c>
      <c r="M43" s="41">
        <v>2</v>
      </c>
      <c r="N43" s="8">
        <f>SUM(I43:M43)</f>
        <v>44</v>
      </c>
      <c r="O43" s="17">
        <v>3</v>
      </c>
      <c r="P43" s="17">
        <v>0</v>
      </c>
      <c r="Q43" s="17">
        <v>0</v>
      </c>
      <c r="R43" s="17">
        <v>0</v>
      </c>
      <c r="S43" s="17">
        <v>0</v>
      </c>
      <c r="T43" s="8">
        <f>SUM(O43:S43)</f>
        <v>3</v>
      </c>
      <c r="U43" s="9"/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8">
        <f>SUM(V43:Z43)</f>
        <v>0</v>
      </c>
      <c r="AB43" s="9"/>
      <c r="AC43" s="10">
        <v>51</v>
      </c>
      <c r="AD43" s="10">
        <v>13</v>
      </c>
      <c r="AE43" s="10">
        <v>7</v>
      </c>
      <c r="AF43" s="10">
        <v>0</v>
      </c>
      <c r="AG43" s="10">
        <v>2</v>
      </c>
      <c r="AH43" s="39">
        <f>SUM(AC43:AG43)</f>
        <v>73</v>
      </c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0"/>
      <c r="JR43" s="50"/>
      <c r="JS43" s="50"/>
      <c r="JT43" s="50"/>
      <c r="JU43" s="50"/>
      <c r="JV43" s="50"/>
      <c r="JW43" s="50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0"/>
      <c r="KK43" s="50"/>
      <c r="KL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  <c r="KW43" s="50"/>
      <c r="KX43" s="50"/>
      <c r="KY43" s="50"/>
      <c r="KZ43" s="50"/>
      <c r="LA43" s="50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0"/>
      <c r="LO43" s="50"/>
      <c r="LP43" s="50"/>
      <c r="LQ43" s="50"/>
      <c r="LR43" s="50"/>
      <c r="LS43" s="50"/>
      <c r="LT43" s="50"/>
      <c r="LU43" s="50"/>
      <c r="LV43" s="50"/>
      <c r="LW43" s="50"/>
      <c r="LX43" s="50"/>
      <c r="LY43" s="50"/>
      <c r="LZ43" s="50"/>
      <c r="MA43" s="50"/>
      <c r="MB43" s="50"/>
      <c r="MC43" s="50"/>
      <c r="MD43" s="50"/>
      <c r="ME43" s="50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0"/>
      <c r="MS43" s="50"/>
      <c r="MT43" s="50"/>
    </row>
    <row r="44" spans="1:358" s="48" customFormat="1" hidden="1" x14ac:dyDescent="0.35">
      <c r="A44" s="56" t="s">
        <v>67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8"/>
      <c r="AI44" s="51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  <c r="HI44" s="49"/>
      <c r="HJ44" s="49"/>
      <c r="HK44" s="49"/>
      <c r="HL44" s="49"/>
      <c r="HM44" s="49"/>
      <c r="HN44" s="49"/>
      <c r="HO44" s="49"/>
      <c r="HP44" s="49"/>
      <c r="HQ44" s="49"/>
      <c r="HR44" s="49"/>
      <c r="HS44" s="49"/>
      <c r="HT44" s="49"/>
      <c r="HU44" s="49"/>
      <c r="HV44" s="49"/>
      <c r="HW44" s="49"/>
      <c r="HX44" s="49"/>
      <c r="HY44" s="49"/>
      <c r="HZ44" s="49"/>
      <c r="IA44" s="49"/>
      <c r="IB44" s="49"/>
      <c r="IC44" s="49"/>
      <c r="ID44" s="49"/>
      <c r="IE44" s="49"/>
      <c r="IF44" s="49"/>
      <c r="IG44" s="49"/>
      <c r="IH44" s="49"/>
      <c r="II44" s="49"/>
      <c r="IJ44" s="49"/>
      <c r="IK44" s="49"/>
      <c r="IL44" s="49"/>
      <c r="IM44" s="49"/>
      <c r="IN44" s="49"/>
      <c r="IO44" s="49"/>
      <c r="IP44" s="49"/>
      <c r="IQ44" s="49"/>
      <c r="IR44" s="49"/>
      <c r="IS44" s="49"/>
      <c r="IT44" s="49"/>
      <c r="IU44" s="49"/>
      <c r="IV44" s="49"/>
      <c r="IW44" s="49"/>
      <c r="IX44" s="49"/>
      <c r="IY44" s="49"/>
      <c r="IZ44" s="49"/>
      <c r="JA44" s="49"/>
      <c r="JB44" s="49"/>
      <c r="JC44" s="49"/>
      <c r="JD44" s="49"/>
      <c r="JE44" s="49"/>
      <c r="JF44" s="49"/>
      <c r="JG44" s="49"/>
      <c r="JH44" s="49"/>
      <c r="JI44" s="49"/>
      <c r="JJ44" s="49"/>
      <c r="JK44" s="49"/>
      <c r="JL44" s="49"/>
      <c r="JM44" s="49"/>
      <c r="JN44" s="49"/>
      <c r="JO44" s="49"/>
      <c r="JP44" s="49"/>
      <c r="JQ44" s="49"/>
      <c r="JR44" s="49"/>
      <c r="JS44" s="49"/>
      <c r="JT44" s="49"/>
      <c r="JU44" s="49"/>
      <c r="JV44" s="49"/>
      <c r="JW44" s="49"/>
      <c r="JX44" s="49"/>
      <c r="JY44" s="49"/>
      <c r="JZ44" s="49"/>
      <c r="KA44" s="49"/>
      <c r="KB44" s="49"/>
      <c r="KC44" s="49"/>
      <c r="KD44" s="49"/>
      <c r="KE44" s="49"/>
      <c r="KF44" s="49"/>
      <c r="KG44" s="49"/>
      <c r="KH44" s="49"/>
      <c r="KI44" s="49"/>
      <c r="KJ44" s="49"/>
      <c r="KK44" s="49"/>
      <c r="KL44" s="49"/>
      <c r="KM44" s="49"/>
      <c r="KN44" s="49"/>
      <c r="KO44" s="49"/>
      <c r="KP44" s="49"/>
      <c r="KQ44" s="49"/>
      <c r="KR44" s="49"/>
      <c r="KS44" s="49"/>
      <c r="KT44" s="49"/>
      <c r="KU44" s="49"/>
      <c r="KV44" s="49"/>
      <c r="KW44" s="49"/>
      <c r="KX44" s="49"/>
      <c r="KY44" s="49"/>
      <c r="KZ44" s="49"/>
      <c r="LA44" s="49"/>
      <c r="LB44" s="49"/>
      <c r="LC44" s="49"/>
      <c r="LD44" s="49"/>
      <c r="LE44" s="49"/>
      <c r="LF44" s="49"/>
      <c r="LG44" s="49"/>
      <c r="LH44" s="49"/>
      <c r="LI44" s="49"/>
      <c r="LJ44" s="49"/>
      <c r="LK44" s="49"/>
      <c r="LL44" s="49"/>
      <c r="LM44" s="49"/>
      <c r="LN44" s="49"/>
      <c r="LO44" s="49"/>
      <c r="LP44" s="49"/>
      <c r="LQ44" s="49"/>
      <c r="LR44" s="49"/>
      <c r="LS44" s="49"/>
      <c r="LT44" s="49"/>
      <c r="LU44" s="49"/>
      <c r="LV44" s="49"/>
      <c r="LW44" s="49"/>
      <c r="LX44" s="49"/>
      <c r="LY44" s="49"/>
      <c r="LZ44" s="49"/>
      <c r="MA44" s="49"/>
      <c r="MB44" s="49"/>
      <c r="MC44" s="49"/>
      <c r="MD44" s="49"/>
      <c r="ME44" s="49"/>
      <c r="MF44" s="49"/>
      <c r="MG44" s="49"/>
      <c r="MH44" s="49"/>
      <c r="MI44" s="49"/>
      <c r="MJ44" s="49"/>
      <c r="MK44" s="49"/>
      <c r="ML44" s="49"/>
      <c r="MM44" s="49"/>
      <c r="MN44" s="49"/>
      <c r="MO44" s="49"/>
      <c r="MP44" s="49"/>
      <c r="MQ44" s="49"/>
      <c r="MR44" s="49"/>
      <c r="MS44" s="49"/>
      <c r="MT44" s="49"/>
    </row>
    <row r="45" spans="1:358" s="48" customFormat="1" hidden="1" x14ac:dyDescent="0.35">
      <c r="A45" s="59" t="s">
        <v>63</v>
      </c>
      <c r="B45" s="57">
        <v>0</v>
      </c>
      <c r="C45" s="57">
        <v>0</v>
      </c>
      <c r="D45" s="57">
        <v>0</v>
      </c>
      <c r="E45" s="57">
        <v>0</v>
      </c>
      <c r="F45" s="57">
        <v>0</v>
      </c>
      <c r="G45" s="57">
        <v>0</v>
      </c>
      <c r="H45" s="57">
        <v>0</v>
      </c>
      <c r="I45" s="57">
        <v>0</v>
      </c>
      <c r="J45" s="57">
        <v>0</v>
      </c>
      <c r="K45" s="57">
        <v>0</v>
      </c>
      <c r="L45" s="57">
        <v>0</v>
      </c>
      <c r="M45" s="57">
        <v>0</v>
      </c>
      <c r="N45" s="57">
        <v>0</v>
      </c>
      <c r="O45" s="57">
        <v>0</v>
      </c>
      <c r="P45" s="57">
        <v>0</v>
      </c>
      <c r="Q45" s="57">
        <v>0</v>
      </c>
      <c r="R45" s="57">
        <v>0</v>
      </c>
      <c r="S45" s="57">
        <v>0</v>
      </c>
      <c r="T45" s="57">
        <v>0</v>
      </c>
      <c r="U45" s="57">
        <v>0</v>
      </c>
      <c r="V45" s="57">
        <v>0</v>
      </c>
      <c r="W45" s="57">
        <v>0</v>
      </c>
      <c r="X45" s="57">
        <v>0</v>
      </c>
      <c r="Y45" s="57">
        <v>0</v>
      </c>
      <c r="Z45" s="57">
        <v>0</v>
      </c>
      <c r="AA45" s="57">
        <v>0</v>
      </c>
      <c r="AB45" s="57">
        <v>0</v>
      </c>
      <c r="AC45" s="57">
        <v>0</v>
      </c>
      <c r="AD45" s="57">
        <v>0</v>
      </c>
      <c r="AE45" s="57">
        <v>0</v>
      </c>
      <c r="AF45" s="57">
        <v>0</v>
      </c>
      <c r="AG45" s="57">
        <v>0</v>
      </c>
      <c r="AH45" s="57">
        <v>0</v>
      </c>
      <c r="AI45" s="51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  <c r="FZ45" s="49"/>
      <c r="GA45" s="49"/>
      <c r="GB45" s="49"/>
      <c r="GC45" s="49"/>
      <c r="GD45" s="49"/>
      <c r="GE45" s="49"/>
      <c r="GF45" s="49"/>
      <c r="GG45" s="49"/>
      <c r="GH45" s="49"/>
      <c r="GI45" s="49"/>
      <c r="GJ45" s="49"/>
      <c r="GK45" s="49"/>
      <c r="GL45" s="49"/>
      <c r="GM45" s="49"/>
      <c r="GN45" s="49"/>
      <c r="GO45" s="49"/>
      <c r="GP45" s="49"/>
      <c r="GQ45" s="49"/>
      <c r="GR45" s="49"/>
      <c r="GS45" s="49"/>
      <c r="GT45" s="49"/>
      <c r="GU45" s="49"/>
      <c r="GV45" s="49"/>
      <c r="GW45" s="49"/>
      <c r="GX45" s="49"/>
      <c r="GY45" s="49"/>
      <c r="GZ45" s="49"/>
      <c r="HA45" s="49"/>
      <c r="HB45" s="49"/>
      <c r="HC45" s="49"/>
      <c r="HD45" s="49"/>
      <c r="HE45" s="49"/>
      <c r="HF45" s="49"/>
      <c r="HG45" s="49"/>
      <c r="HH45" s="49"/>
      <c r="HI45" s="49"/>
      <c r="HJ45" s="49"/>
      <c r="HK45" s="49"/>
      <c r="HL45" s="49"/>
      <c r="HM45" s="49"/>
      <c r="HN45" s="49"/>
      <c r="HO45" s="49"/>
      <c r="HP45" s="49"/>
      <c r="HQ45" s="49"/>
      <c r="HR45" s="49"/>
      <c r="HS45" s="49"/>
      <c r="HT45" s="49"/>
      <c r="HU45" s="49"/>
      <c r="HV45" s="49"/>
      <c r="HW45" s="49"/>
      <c r="HX45" s="49"/>
      <c r="HY45" s="49"/>
      <c r="HZ45" s="49"/>
      <c r="IA45" s="49"/>
      <c r="IB45" s="49"/>
      <c r="IC45" s="49"/>
      <c r="ID45" s="49"/>
      <c r="IE45" s="49"/>
      <c r="IF45" s="49"/>
      <c r="IG45" s="49"/>
      <c r="IH45" s="49"/>
      <c r="II45" s="49"/>
      <c r="IJ45" s="49"/>
      <c r="IK45" s="49"/>
      <c r="IL45" s="49"/>
      <c r="IM45" s="49"/>
      <c r="IN45" s="49"/>
      <c r="IO45" s="49"/>
      <c r="IP45" s="49"/>
      <c r="IQ45" s="49"/>
      <c r="IR45" s="49"/>
      <c r="IS45" s="49"/>
      <c r="IT45" s="49"/>
      <c r="IU45" s="49"/>
      <c r="IV45" s="49"/>
      <c r="IW45" s="49"/>
      <c r="IX45" s="49"/>
      <c r="IY45" s="49"/>
      <c r="IZ45" s="49"/>
      <c r="JA45" s="49"/>
      <c r="JB45" s="49"/>
      <c r="JC45" s="49"/>
      <c r="JD45" s="49"/>
      <c r="JE45" s="49"/>
      <c r="JF45" s="49"/>
      <c r="JG45" s="49"/>
      <c r="JH45" s="49"/>
      <c r="JI45" s="49"/>
      <c r="JJ45" s="49"/>
      <c r="JK45" s="49"/>
      <c r="JL45" s="49"/>
      <c r="JM45" s="49"/>
      <c r="JN45" s="49"/>
      <c r="JO45" s="49"/>
      <c r="JP45" s="49"/>
      <c r="JQ45" s="49"/>
      <c r="JR45" s="49"/>
      <c r="JS45" s="49"/>
      <c r="JT45" s="49"/>
      <c r="JU45" s="49"/>
      <c r="JV45" s="49"/>
      <c r="JW45" s="49"/>
      <c r="JX45" s="49"/>
      <c r="JY45" s="49"/>
      <c r="JZ45" s="49"/>
      <c r="KA45" s="49"/>
      <c r="KB45" s="49"/>
      <c r="KC45" s="49"/>
      <c r="KD45" s="49"/>
      <c r="KE45" s="49"/>
      <c r="KF45" s="49"/>
      <c r="KG45" s="49"/>
      <c r="KH45" s="49"/>
      <c r="KI45" s="49"/>
      <c r="KJ45" s="49"/>
      <c r="KK45" s="49"/>
      <c r="KL45" s="49"/>
      <c r="KM45" s="49"/>
      <c r="KN45" s="49"/>
      <c r="KO45" s="49"/>
      <c r="KP45" s="49"/>
      <c r="KQ45" s="49"/>
      <c r="KR45" s="49"/>
      <c r="KS45" s="49"/>
      <c r="KT45" s="49"/>
      <c r="KU45" s="49"/>
      <c r="KV45" s="49"/>
      <c r="KW45" s="49"/>
      <c r="KX45" s="49"/>
      <c r="KY45" s="49"/>
      <c r="KZ45" s="49"/>
      <c r="LA45" s="49"/>
      <c r="LB45" s="49"/>
      <c r="LC45" s="49"/>
      <c r="LD45" s="49"/>
      <c r="LE45" s="49"/>
      <c r="LF45" s="49"/>
      <c r="LG45" s="49"/>
      <c r="LH45" s="49"/>
      <c r="LI45" s="49"/>
      <c r="LJ45" s="49"/>
      <c r="LK45" s="49"/>
      <c r="LL45" s="49"/>
      <c r="LM45" s="49"/>
      <c r="LN45" s="49"/>
      <c r="LO45" s="49"/>
      <c r="LP45" s="49"/>
      <c r="LQ45" s="49"/>
      <c r="LR45" s="49"/>
      <c r="LS45" s="49"/>
      <c r="LT45" s="49"/>
      <c r="LU45" s="49"/>
      <c r="LV45" s="49"/>
      <c r="LW45" s="49"/>
      <c r="LX45" s="49"/>
      <c r="LY45" s="49"/>
      <c r="LZ45" s="49"/>
      <c r="MA45" s="49"/>
      <c r="MB45" s="49"/>
      <c r="MC45" s="49"/>
      <c r="MD45" s="49"/>
      <c r="ME45" s="49"/>
      <c r="MF45" s="49"/>
      <c r="MG45" s="49"/>
      <c r="MH45" s="49"/>
      <c r="MI45" s="49"/>
      <c r="MJ45" s="49"/>
      <c r="MK45" s="49"/>
      <c r="ML45" s="49"/>
      <c r="MM45" s="49"/>
      <c r="MN45" s="49"/>
      <c r="MO45" s="49"/>
      <c r="MP45" s="49"/>
      <c r="MQ45" s="49"/>
      <c r="MR45" s="49"/>
      <c r="MS45" s="49"/>
      <c r="MT45" s="49"/>
    </row>
    <row r="46" spans="1:358" s="48" customFormat="1" hidden="1" x14ac:dyDescent="0.35">
      <c r="A46" s="59" t="s">
        <v>40</v>
      </c>
      <c r="B46" s="57">
        <v>0</v>
      </c>
      <c r="C46" s="57">
        <v>0</v>
      </c>
      <c r="D46" s="57">
        <v>0</v>
      </c>
      <c r="E46" s="57">
        <v>0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0</v>
      </c>
      <c r="L46" s="57">
        <v>0</v>
      </c>
      <c r="M46" s="57">
        <v>0</v>
      </c>
      <c r="N46" s="57">
        <v>0</v>
      </c>
      <c r="O46" s="57">
        <v>0</v>
      </c>
      <c r="P46" s="57">
        <v>0</v>
      </c>
      <c r="Q46" s="57">
        <v>0</v>
      </c>
      <c r="R46" s="57">
        <v>0</v>
      </c>
      <c r="S46" s="57">
        <v>0</v>
      </c>
      <c r="T46" s="57">
        <v>0</v>
      </c>
      <c r="U46" s="57">
        <v>0</v>
      </c>
      <c r="V46" s="57">
        <v>0</v>
      </c>
      <c r="W46" s="57">
        <v>0</v>
      </c>
      <c r="X46" s="57">
        <v>0</v>
      </c>
      <c r="Y46" s="57">
        <v>0</v>
      </c>
      <c r="Z46" s="57">
        <v>0</v>
      </c>
      <c r="AA46" s="57">
        <v>0</v>
      </c>
      <c r="AB46" s="57">
        <v>0</v>
      </c>
      <c r="AC46" s="57">
        <v>0</v>
      </c>
      <c r="AD46" s="57">
        <v>0</v>
      </c>
      <c r="AE46" s="57">
        <v>0</v>
      </c>
      <c r="AF46" s="57">
        <v>0</v>
      </c>
      <c r="AG46" s="57">
        <v>0</v>
      </c>
      <c r="AH46" s="57">
        <v>0</v>
      </c>
      <c r="AI46" s="51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49"/>
      <c r="GA46" s="49"/>
      <c r="GB46" s="49"/>
      <c r="GC46" s="49"/>
      <c r="GD46" s="49"/>
      <c r="GE46" s="49"/>
      <c r="GF46" s="49"/>
      <c r="GG46" s="49"/>
      <c r="GH46" s="49"/>
      <c r="GI46" s="49"/>
      <c r="GJ46" s="49"/>
      <c r="GK46" s="49"/>
      <c r="GL46" s="49"/>
      <c r="GM46" s="49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9"/>
      <c r="GZ46" s="49"/>
      <c r="HA46" s="49"/>
      <c r="HB46" s="49"/>
      <c r="HC46" s="49"/>
      <c r="HD46" s="49"/>
      <c r="HE46" s="49"/>
      <c r="HF46" s="49"/>
      <c r="HG46" s="49"/>
      <c r="HH46" s="49"/>
      <c r="HI46" s="49"/>
      <c r="HJ46" s="49"/>
      <c r="HK46" s="49"/>
      <c r="HL46" s="49"/>
      <c r="HM46" s="49"/>
      <c r="HN46" s="49"/>
      <c r="HO46" s="49"/>
      <c r="HP46" s="49"/>
      <c r="HQ46" s="49"/>
      <c r="HR46" s="49"/>
      <c r="HS46" s="49"/>
      <c r="HT46" s="49"/>
      <c r="HU46" s="49"/>
      <c r="HV46" s="49"/>
      <c r="HW46" s="49"/>
      <c r="HX46" s="49"/>
      <c r="HY46" s="49"/>
      <c r="HZ46" s="49"/>
      <c r="IA46" s="49"/>
      <c r="IB46" s="49"/>
      <c r="IC46" s="49"/>
      <c r="ID46" s="49"/>
      <c r="IE46" s="49"/>
      <c r="IF46" s="49"/>
      <c r="IG46" s="49"/>
      <c r="IH46" s="49"/>
      <c r="II46" s="49"/>
      <c r="IJ46" s="49"/>
      <c r="IK46" s="49"/>
      <c r="IL46" s="49"/>
      <c r="IM46" s="49"/>
      <c r="IN46" s="49"/>
      <c r="IO46" s="49"/>
      <c r="IP46" s="49"/>
      <c r="IQ46" s="49"/>
      <c r="IR46" s="49"/>
      <c r="IS46" s="49"/>
      <c r="IT46" s="49"/>
      <c r="IU46" s="49"/>
      <c r="IV46" s="49"/>
      <c r="IW46" s="49"/>
      <c r="IX46" s="49"/>
      <c r="IY46" s="49"/>
      <c r="IZ46" s="49"/>
      <c r="JA46" s="49"/>
      <c r="JB46" s="49"/>
      <c r="JC46" s="49"/>
      <c r="JD46" s="49"/>
      <c r="JE46" s="49"/>
      <c r="JF46" s="49"/>
      <c r="JG46" s="49"/>
      <c r="JH46" s="49"/>
      <c r="JI46" s="49"/>
      <c r="JJ46" s="49"/>
      <c r="JK46" s="49"/>
      <c r="JL46" s="49"/>
      <c r="JM46" s="49"/>
      <c r="JN46" s="49"/>
      <c r="JO46" s="49"/>
      <c r="JP46" s="49"/>
      <c r="JQ46" s="49"/>
      <c r="JR46" s="49"/>
      <c r="JS46" s="49"/>
      <c r="JT46" s="49"/>
      <c r="JU46" s="49"/>
      <c r="JV46" s="49"/>
      <c r="JW46" s="49"/>
      <c r="JX46" s="49"/>
      <c r="JY46" s="49"/>
      <c r="JZ46" s="49"/>
      <c r="KA46" s="49"/>
      <c r="KB46" s="49"/>
      <c r="KC46" s="49"/>
      <c r="KD46" s="49"/>
      <c r="KE46" s="49"/>
      <c r="KF46" s="49"/>
      <c r="KG46" s="49"/>
      <c r="KH46" s="49"/>
      <c r="KI46" s="49"/>
      <c r="KJ46" s="49"/>
      <c r="KK46" s="49"/>
      <c r="KL46" s="49"/>
      <c r="KM46" s="49"/>
      <c r="KN46" s="49"/>
      <c r="KO46" s="49"/>
      <c r="KP46" s="49"/>
      <c r="KQ46" s="49"/>
      <c r="KR46" s="49"/>
      <c r="KS46" s="49"/>
      <c r="KT46" s="49"/>
      <c r="KU46" s="49"/>
      <c r="KV46" s="49"/>
      <c r="KW46" s="49"/>
      <c r="KX46" s="49"/>
      <c r="KY46" s="49"/>
      <c r="KZ46" s="49"/>
      <c r="LA46" s="49"/>
      <c r="LB46" s="49"/>
      <c r="LC46" s="49"/>
      <c r="LD46" s="49"/>
      <c r="LE46" s="49"/>
      <c r="LF46" s="49"/>
      <c r="LG46" s="49"/>
      <c r="LH46" s="49"/>
      <c r="LI46" s="49"/>
      <c r="LJ46" s="49"/>
      <c r="LK46" s="49"/>
      <c r="LL46" s="49"/>
      <c r="LM46" s="49"/>
      <c r="LN46" s="49"/>
      <c r="LO46" s="49"/>
      <c r="LP46" s="49"/>
      <c r="LQ46" s="49"/>
      <c r="LR46" s="49"/>
      <c r="LS46" s="49"/>
      <c r="LT46" s="49"/>
      <c r="LU46" s="49"/>
      <c r="LV46" s="49"/>
      <c r="LW46" s="49"/>
      <c r="LX46" s="49"/>
      <c r="LY46" s="49"/>
      <c r="LZ46" s="49"/>
      <c r="MA46" s="49"/>
      <c r="MB46" s="49"/>
      <c r="MC46" s="49"/>
      <c r="MD46" s="49"/>
      <c r="ME46" s="49"/>
      <c r="MF46" s="49"/>
      <c r="MG46" s="49"/>
      <c r="MH46" s="49"/>
      <c r="MI46" s="49"/>
      <c r="MJ46" s="49"/>
      <c r="MK46" s="49"/>
      <c r="ML46" s="49"/>
      <c r="MM46" s="49"/>
      <c r="MN46" s="49"/>
      <c r="MO46" s="49"/>
      <c r="MP46" s="49"/>
      <c r="MQ46" s="49"/>
      <c r="MR46" s="49"/>
      <c r="MS46" s="49"/>
      <c r="MT46" s="49"/>
    </row>
    <row r="47" spans="1:358" s="48" customFormat="1" hidden="1" x14ac:dyDescent="0.35">
      <c r="A47" s="59" t="s">
        <v>41</v>
      </c>
      <c r="B47" s="57">
        <v>0</v>
      </c>
      <c r="C47" s="57">
        <v>0</v>
      </c>
      <c r="D47" s="57">
        <v>0</v>
      </c>
      <c r="E47" s="57">
        <v>0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7">
        <v>0</v>
      </c>
      <c r="P47" s="57">
        <v>0</v>
      </c>
      <c r="Q47" s="57">
        <v>0</v>
      </c>
      <c r="R47" s="57">
        <v>0</v>
      </c>
      <c r="S47" s="57">
        <v>0</v>
      </c>
      <c r="T47" s="57">
        <v>0</v>
      </c>
      <c r="U47" s="57">
        <v>0</v>
      </c>
      <c r="V47" s="57">
        <v>0</v>
      </c>
      <c r="W47" s="57">
        <v>0</v>
      </c>
      <c r="X47" s="57">
        <v>0</v>
      </c>
      <c r="Y47" s="57">
        <v>0</v>
      </c>
      <c r="Z47" s="57">
        <v>0</v>
      </c>
      <c r="AA47" s="57">
        <v>0</v>
      </c>
      <c r="AB47" s="57">
        <v>0</v>
      </c>
      <c r="AC47" s="57">
        <v>0</v>
      </c>
      <c r="AD47" s="57">
        <v>0</v>
      </c>
      <c r="AE47" s="57">
        <v>0</v>
      </c>
      <c r="AF47" s="57">
        <v>0</v>
      </c>
      <c r="AG47" s="57">
        <v>0</v>
      </c>
      <c r="AH47" s="57">
        <v>0</v>
      </c>
      <c r="AI47" s="51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  <c r="FZ47" s="49"/>
      <c r="GA47" s="49"/>
      <c r="GB47" s="49"/>
      <c r="GC47" s="49"/>
      <c r="GD47" s="49"/>
      <c r="GE47" s="49"/>
      <c r="GF47" s="49"/>
      <c r="GG47" s="49"/>
      <c r="GH47" s="49"/>
      <c r="GI47" s="49"/>
      <c r="GJ47" s="49"/>
      <c r="GK47" s="49"/>
      <c r="GL47" s="49"/>
      <c r="GM47" s="49"/>
      <c r="GN47" s="49"/>
      <c r="GO47" s="49"/>
      <c r="GP47" s="49"/>
      <c r="GQ47" s="49"/>
      <c r="GR47" s="49"/>
      <c r="GS47" s="49"/>
      <c r="GT47" s="49"/>
      <c r="GU47" s="49"/>
      <c r="GV47" s="49"/>
      <c r="GW47" s="49"/>
      <c r="GX47" s="49"/>
      <c r="GY47" s="49"/>
      <c r="GZ47" s="49"/>
      <c r="HA47" s="49"/>
      <c r="HB47" s="49"/>
      <c r="HC47" s="49"/>
      <c r="HD47" s="49"/>
      <c r="HE47" s="49"/>
      <c r="HF47" s="49"/>
      <c r="HG47" s="49"/>
      <c r="HH47" s="49"/>
      <c r="HI47" s="49"/>
      <c r="HJ47" s="49"/>
      <c r="HK47" s="49"/>
      <c r="HL47" s="49"/>
      <c r="HM47" s="49"/>
      <c r="HN47" s="49"/>
      <c r="HO47" s="49"/>
      <c r="HP47" s="49"/>
      <c r="HQ47" s="49"/>
      <c r="HR47" s="49"/>
      <c r="HS47" s="49"/>
      <c r="HT47" s="49"/>
      <c r="HU47" s="49"/>
      <c r="HV47" s="49"/>
      <c r="HW47" s="49"/>
      <c r="HX47" s="49"/>
      <c r="HY47" s="49"/>
      <c r="HZ47" s="49"/>
      <c r="IA47" s="49"/>
      <c r="IB47" s="49"/>
      <c r="IC47" s="49"/>
      <c r="ID47" s="49"/>
      <c r="IE47" s="49"/>
      <c r="IF47" s="49"/>
      <c r="IG47" s="49"/>
      <c r="IH47" s="49"/>
      <c r="II47" s="49"/>
      <c r="IJ47" s="49"/>
      <c r="IK47" s="49"/>
      <c r="IL47" s="49"/>
      <c r="IM47" s="49"/>
      <c r="IN47" s="49"/>
      <c r="IO47" s="49"/>
      <c r="IP47" s="49"/>
      <c r="IQ47" s="49"/>
      <c r="IR47" s="49"/>
      <c r="IS47" s="49"/>
      <c r="IT47" s="49"/>
      <c r="IU47" s="49"/>
      <c r="IV47" s="49"/>
      <c r="IW47" s="49"/>
      <c r="IX47" s="49"/>
      <c r="IY47" s="49"/>
      <c r="IZ47" s="49"/>
      <c r="JA47" s="49"/>
      <c r="JB47" s="49"/>
      <c r="JC47" s="49"/>
      <c r="JD47" s="49"/>
      <c r="JE47" s="49"/>
      <c r="JF47" s="49"/>
      <c r="JG47" s="49"/>
      <c r="JH47" s="49"/>
      <c r="JI47" s="49"/>
      <c r="JJ47" s="49"/>
      <c r="JK47" s="49"/>
      <c r="JL47" s="49"/>
      <c r="JM47" s="49"/>
      <c r="JN47" s="49"/>
      <c r="JO47" s="49"/>
      <c r="JP47" s="49"/>
      <c r="JQ47" s="49"/>
      <c r="JR47" s="49"/>
      <c r="JS47" s="49"/>
      <c r="JT47" s="49"/>
      <c r="JU47" s="49"/>
      <c r="JV47" s="49"/>
      <c r="JW47" s="49"/>
      <c r="JX47" s="49"/>
      <c r="JY47" s="49"/>
      <c r="JZ47" s="49"/>
      <c r="KA47" s="49"/>
      <c r="KB47" s="49"/>
      <c r="KC47" s="49"/>
      <c r="KD47" s="49"/>
      <c r="KE47" s="49"/>
      <c r="KF47" s="49"/>
      <c r="KG47" s="49"/>
      <c r="KH47" s="49"/>
      <c r="KI47" s="49"/>
      <c r="KJ47" s="49"/>
      <c r="KK47" s="49"/>
      <c r="KL47" s="49"/>
      <c r="KM47" s="49"/>
      <c r="KN47" s="49"/>
      <c r="KO47" s="49"/>
      <c r="KP47" s="49"/>
      <c r="KQ47" s="49"/>
      <c r="KR47" s="49"/>
      <c r="KS47" s="49"/>
      <c r="KT47" s="49"/>
      <c r="KU47" s="49"/>
      <c r="KV47" s="49"/>
      <c r="KW47" s="49"/>
      <c r="KX47" s="49"/>
      <c r="KY47" s="49"/>
      <c r="KZ47" s="49"/>
      <c r="LA47" s="49"/>
      <c r="LB47" s="49"/>
      <c r="LC47" s="49"/>
      <c r="LD47" s="49"/>
      <c r="LE47" s="49"/>
      <c r="LF47" s="49"/>
      <c r="LG47" s="49"/>
      <c r="LH47" s="49"/>
      <c r="LI47" s="49"/>
      <c r="LJ47" s="49"/>
      <c r="LK47" s="49"/>
      <c r="LL47" s="49"/>
      <c r="LM47" s="49"/>
      <c r="LN47" s="49"/>
      <c r="LO47" s="49"/>
      <c r="LP47" s="49"/>
      <c r="LQ47" s="49"/>
      <c r="LR47" s="49"/>
      <c r="LS47" s="49"/>
      <c r="LT47" s="49"/>
      <c r="LU47" s="49"/>
      <c r="LV47" s="49"/>
      <c r="LW47" s="49"/>
      <c r="LX47" s="49"/>
      <c r="LY47" s="49"/>
      <c r="LZ47" s="49"/>
      <c r="MA47" s="49"/>
      <c r="MB47" s="49"/>
      <c r="MC47" s="49"/>
      <c r="MD47" s="49"/>
      <c r="ME47" s="49"/>
      <c r="MF47" s="49"/>
      <c r="MG47" s="49"/>
      <c r="MH47" s="49"/>
      <c r="MI47" s="49"/>
      <c r="MJ47" s="49"/>
      <c r="MK47" s="49"/>
      <c r="ML47" s="49"/>
      <c r="MM47" s="49"/>
      <c r="MN47" s="49"/>
      <c r="MO47" s="49"/>
      <c r="MP47" s="49"/>
      <c r="MQ47" s="49"/>
      <c r="MR47" s="49"/>
      <c r="MS47" s="49"/>
      <c r="MT47" s="49"/>
    </row>
    <row r="48" spans="1:358" hidden="1" x14ac:dyDescent="0.35">
      <c r="A48" s="52" t="s">
        <v>42</v>
      </c>
      <c r="B48" s="53"/>
      <c r="C48" s="53"/>
      <c r="D48" s="53"/>
      <c r="E48" s="53"/>
      <c r="F48" s="53"/>
      <c r="G48" s="53"/>
      <c r="H48" s="54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4"/>
      <c r="V48" s="53"/>
      <c r="W48" s="53"/>
      <c r="X48" s="53"/>
      <c r="Y48" s="53"/>
      <c r="Z48" s="21"/>
      <c r="AA48" s="53"/>
      <c r="AB48" s="54"/>
      <c r="AC48" s="53"/>
      <c r="AD48" s="53"/>
      <c r="AE48" s="53"/>
      <c r="AF48" s="53"/>
      <c r="AG48" s="53"/>
      <c r="AH48" s="55"/>
    </row>
    <row r="49" spans="1:35" hidden="1" x14ac:dyDescent="0.35">
      <c r="A49" s="14" t="s">
        <v>43</v>
      </c>
      <c r="B49" s="17">
        <v>1</v>
      </c>
      <c r="C49" s="17">
        <v>0</v>
      </c>
      <c r="D49" s="17">
        <v>0</v>
      </c>
      <c r="E49" s="17">
        <v>0</v>
      </c>
      <c r="F49" s="17">
        <v>0</v>
      </c>
      <c r="G49" s="8">
        <f t="shared" ref="G49:G63" si="7">SUM(B49:F49)</f>
        <v>1</v>
      </c>
      <c r="H49" s="9"/>
      <c r="I49" s="41">
        <v>1</v>
      </c>
      <c r="J49" s="41">
        <v>0</v>
      </c>
      <c r="K49" s="41">
        <v>0</v>
      </c>
      <c r="L49" s="41">
        <v>0</v>
      </c>
      <c r="M49" s="41">
        <v>0</v>
      </c>
      <c r="N49" s="8">
        <v>1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8">
        <f t="shared" ref="T49:T61" si="8">SUM(O49:S49)</f>
        <v>0</v>
      </c>
      <c r="U49" s="9"/>
      <c r="V49" s="17">
        <v>0</v>
      </c>
      <c r="W49" s="17">
        <v>0</v>
      </c>
      <c r="X49" s="17">
        <v>0</v>
      </c>
      <c r="Y49" s="17">
        <v>0</v>
      </c>
      <c r="Z49" s="19">
        <v>0</v>
      </c>
      <c r="AA49" s="8">
        <f t="shared" ref="AA49:AA57" si="9">SUM(V49:Z49)</f>
        <v>0</v>
      </c>
      <c r="AB49" s="9"/>
      <c r="AC49" s="10">
        <v>2</v>
      </c>
      <c r="AD49" s="10">
        <v>0</v>
      </c>
      <c r="AE49" s="10">
        <v>0</v>
      </c>
      <c r="AF49" s="10">
        <v>0</v>
      </c>
      <c r="AG49" s="10">
        <v>0</v>
      </c>
      <c r="AH49" s="39">
        <f t="shared" ref="AH49:AH57" si="10">SUM(AC49:AG49)</f>
        <v>2</v>
      </c>
    </row>
    <row r="50" spans="1:35" hidden="1" x14ac:dyDescent="0.35">
      <c r="A50" s="15" t="s">
        <v>44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8">
        <f t="shared" si="7"/>
        <v>0</v>
      </c>
      <c r="H50" s="9"/>
      <c r="I50" s="41">
        <v>0</v>
      </c>
      <c r="J50" s="41">
        <v>0</v>
      </c>
      <c r="K50" s="41">
        <v>0</v>
      </c>
      <c r="L50" s="41">
        <v>0</v>
      </c>
      <c r="M50" s="41">
        <v>1</v>
      </c>
      <c r="N50" s="8">
        <v>1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8">
        <f t="shared" si="8"/>
        <v>0</v>
      </c>
      <c r="U50" s="9"/>
      <c r="V50" s="17">
        <f>SUM(U55)</f>
        <v>0</v>
      </c>
      <c r="W50" s="17">
        <v>0</v>
      </c>
      <c r="X50" s="17">
        <v>0</v>
      </c>
      <c r="Y50" s="17">
        <v>0</v>
      </c>
      <c r="Z50" s="19">
        <v>0</v>
      </c>
      <c r="AA50" s="8">
        <f t="shared" si="9"/>
        <v>0</v>
      </c>
      <c r="AB50" s="9"/>
      <c r="AC50" s="10">
        <v>0</v>
      </c>
      <c r="AD50" s="10">
        <v>0</v>
      </c>
      <c r="AE50" s="10">
        <v>0</v>
      </c>
      <c r="AF50" s="10">
        <v>0</v>
      </c>
      <c r="AG50" s="10">
        <v>1</v>
      </c>
      <c r="AH50" s="39">
        <f t="shared" si="10"/>
        <v>1</v>
      </c>
    </row>
    <row r="51" spans="1:35" hidden="1" x14ac:dyDescent="0.35">
      <c r="A51" s="15" t="s">
        <v>45</v>
      </c>
      <c r="B51" s="17">
        <v>0</v>
      </c>
      <c r="C51" s="17">
        <v>0</v>
      </c>
      <c r="D51" s="17">
        <v>0</v>
      </c>
      <c r="E51" s="17">
        <v>0</v>
      </c>
      <c r="F51" s="17">
        <v>2</v>
      </c>
      <c r="G51" s="8">
        <f t="shared" si="7"/>
        <v>2</v>
      </c>
      <c r="H51" s="9"/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8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8">
        <f t="shared" si="8"/>
        <v>0</v>
      </c>
      <c r="U51" s="9"/>
      <c r="V51" s="17">
        <v>0</v>
      </c>
      <c r="W51" s="17">
        <v>0</v>
      </c>
      <c r="X51" s="17">
        <v>0</v>
      </c>
      <c r="Y51" s="17">
        <v>0</v>
      </c>
      <c r="Z51" s="19">
        <v>0</v>
      </c>
      <c r="AA51" s="8">
        <f t="shared" si="9"/>
        <v>0</v>
      </c>
      <c r="AB51" s="9"/>
      <c r="AC51" s="10">
        <v>0</v>
      </c>
      <c r="AD51" s="10">
        <v>0</v>
      </c>
      <c r="AE51" s="10">
        <v>0</v>
      </c>
      <c r="AF51" s="10">
        <v>0</v>
      </c>
      <c r="AG51" s="10">
        <v>2</v>
      </c>
      <c r="AH51" s="39">
        <f t="shared" si="10"/>
        <v>2</v>
      </c>
    </row>
    <row r="52" spans="1:35" hidden="1" x14ac:dyDescent="0.35">
      <c r="A52" s="15" t="s">
        <v>46</v>
      </c>
      <c r="B52" s="17">
        <v>2</v>
      </c>
      <c r="C52" s="17">
        <v>0</v>
      </c>
      <c r="D52" s="17">
        <v>0</v>
      </c>
      <c r="E52" s="17">
        <v>0</v>
      </c>
      <c r="F52" s="17">
        <v>0</v>
      </c>
      <c r="G52" s="8">
        <f t="shared" si="7"/>
        <v>2</v>
      </c>
      <c r="H52" s="9"/>
      <c r="I52" s="41">
        <v>3</v>
      </c>
      <c r="J52" s="41">
        <v>0</v>
      </c>
      <c r="K52" s="41">
        <v>1</v>
      </c>
      <c r="L52" s="41">
        <v>0</v>
      </c>
      <c r="M52" s="41">
        <v>0</v>
      </c>
      <c r="N52" s="8">
        <v>4</v>
      </c>
      <c r="O52" s="17">
        <v>1</v>
      </c>
      <c r="P52" s="17">
        <v>0</v>
      </c>
      <c r="Q52" s="17">
        <v>0</v>
      </c>
      <c r="R52" s="17">
        <v>0</v>
      </c>
      <c r="S52" s="17">
        <v>0</v>
      </c>
      <c r="T52" s="8">
        <f t="shared" si="8"/>
        <v>1</v>
      </c>
      <c r="U52" s="9"/>
      <c r="V52" s="17">
        <v>0</v>
      </c>
      <c r="W52" s="17">
        <v>0</v>
      </c>
      <c r="X52" s="17">
        <v>0</v>
      </c>
      <c r="Y52" s="17">
        <v>0</v>
      </c>
      <c r="Z52" s="19">
        <v>0</v>
      </c>
      <c r="AA52" s="8">
        <f t="shared" si="9"/>
        <v>0</v>
      </c>
      <c r="AB52" s="9"/>
      <c r="AC52" s="10">
        <v>6</v>
      </c>
      <c r="AD52" s="10">
        <v>0</v>
      </c>
      <c r="AE52" s="10">
        <v>1</v>
      </c>
      <c r="AF52" s="10">
        <v>0</v>
      </c>
      <c r="AG52" s="10">
        <v>0</v>
      </c>
      <c r="AH52" s="39">
        <f t="shared" si="10"/>
        <v>7</v>
      </c>
    </row>
    <row r="53" spans="1:35" hidden="1" x14ac:dyDescent="0.35">
      <c r="A53" s="15" t="s">
        <v>47</v>
      </c>
      <c r="B53" s="17">
        <v>2</v>
      </c>
      <c r="C53" s="17">
        <v>0</v>
      </c>
      <c r="D53" s="17">
        <v>0</v>
      </c>
      <c r="E53" s="17">
        <v>1</v>
      </c>
      <c r="F53" s="17">
        <v>1</v>
      </c>
      <c r="G53" s="8">
        <f t="shared" si="7"/>
        <v>4</v>
      </c>
      <c r="H53" s="9"/>
      <c r="I53" s="41">
        <v>4</v>
      </c>
      <c r="J53" s="41">
        <v>1</v>
      </c>
      <c r="K53" s="41">
        <v>0</v>
      </c>
      <c r="L53" s="41">
        <v>0</v>
      </c>
      <c r="M53" s="41">
        <v>2</v>
      </c>
      <c r="N53" s="8">
        <v>7</v>
      </c>
      <c r="O53" s="17">
        <v>1</v>
      </c>
      <c r="P53" s="17">
        <v>0</v>
      </c>
      <c r="Q53" s="17">
        <v>0</v>
      </c>
      <c r="R53" s="17">
        <v>0</v>
      </c>
      <c r="S53" s="17">
        <v>0</v>
      </c>
      <c r="T53" s="8">
        <f t="shared" si="8"/>
        <v>1</v>
      </c>
      <c r="U53" s="9"/>
      <c r="V53" s="17">
        <v>0</v>
      </c>
      <c r="W53" s="17">
        <v>0</v>
      </c>
      <c r="X53" s="17">
        <v>0</v>
      </c>
      <c r="Y53" s="17">
        <v>0</v>
      </c>
      <c r="Z53" s="19">
        <v>0</v>
      </c>
      <c r="AA53" s="8">
        <f t="shared" si="9"/>
        <v>0</v>
      </c>
      <c r="AB53" s="9"/>
      <c r="AC53" s="45">
        <v>7</v>
      </c>
      <c r="AD53" s="10">
        <v>1</v>
      </c>
      <c r="AE53" s="10">
        <v>0</v>
      </c>
      <c r="AF53" s="10">
        <v>1</v>
      </c>
      <c r="AG53" s="10">
        <v>3</v>
      </c>
      <c r="AH53" s="39">
        <f t="shared" si="10"/>
        <v>12</v>
      </c>
    </row>
    <row r="54" spans="1:35" hidden="1" x14ac:dyDescent="0.35">
      <c r="A54" s="15" t="s">
        <v>48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8">
        <f t="shared" si="7"/>
        <v>0</v>
      </c>
      <c r="H54" s="9"/>
      <c r="I54" s="41">
        <v>0</v>
      </c>
      <c r="J54" s="41">
        <v>0</v>
      </c>
      <c r="K54" s="41">
        <v>0</v>
      </c>
      <c r="L54" s="41">
        <v>0</v>
      </c>
      <c r="M54" s="41">
        <v>0</v>
      </c>
      <c r="N54" s="8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8">
        <f t="shared" si="8"/>
        <v>0</v>
      </c>
      <c r="U54" s="9"/>
      <c r="V54" s="17">
        <v>0</v>
      </c>
      <c r="W54" s="17">
        <v>0</v>
      </c>
      <c r="X54" s="17">
        <v>0</v>
      </c>
      <c r="Y54" s="17">
        <v>0</v>
      </c>
      <c r="Z54" s="19">
        <v>0</v>
      </c>
      <c r="AA54" s="8">
        <f t="shared" si="9"/>
        <v>0</v>
      </c>
      <c r="AB54" s="9"/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39">
        <f t="shared" si="10"/>
        <v>0</v>
      </c>
    </row>
    <row r="55" spans="1:35" hidden="1" x14ac:dyDescent="0.35">
      <c r="A55" s="15" t="s">
        <v>49</v>
      </c>
      <c r="B55" s="17">
        <v>15</v>
      </c>
      <c r="C55" s="17">
        <v>5</v>
      </c>
      <c r="D55" s="17">
        <v>2</v>
      </c>
      <c r="E55" s="17">
        <v>0</v>
      </c>
      <c r="F55" s="17">
        <v>0</v>
      </c>
      <c r="G55" s="8">
        <f t="shared" si="7"/>
        <v>22</v>
      </c>
      <c r="H55" s="9"/>
      <c r="I55" s="41">
        <v>9</v>
      </c>
      <c r="J55" s="41">
        <v>2</v>
      </c>
      <c r="K55" s="41">
        <v>0</v>
      </c>
      <c r="L55" s="41">
        <v>0</v>
      </c>
      <c r="M55" s="41">
        <v>0</v>
      </c>
      <c r="N55" s="8">
        <v>11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8">
        <f t="shared" si="8"/>
        <v>0</v>
      </c>
      <c r="U55" s="9"/>
      <c r="V55" s="17">
        <v>0</v>
      </c>
      <c r="W55" s="17">
        <v>0</v>
      </c>
      <c r="X55" s="17">
        <v>0</v>
      </c>
      <c r="Y55" s="17">
        <v>0</v>
      </c>
      <c r="Z55" s="19">
        <v>0</v>
      </c>
      <c r="AA55" s="8">
        <f t="shared" si="9"/>
        <v>0</v>
      </c>
      <c r="AB55" s="9"/>
      <c r="AC55" s="10">
        <v>24</v>
      </c>
      <c r="AD55" s="10">
        <v>7</v>
      </c>
      <c r="AE55" s="10">
        <v>2</v>
      </c>
      <c r="AF55" s="10">
        <v>0</v>
      </c>
      <c r="AG55" s="10">
        <v>0</v>
      </c>
      <c r="AH55" s="39">
        <f t="shared" si="10"/>
        <v>33</v>
      </c>
    </row>
    <row r="56" spans="1:35" hidden="1" x14ac:dyDescent="0.35">
      <c r="A56" s="15" t="s">
        <v>50</v>
      </c>
      <c r="B56" s="17">
        <v>1</v>
      </c>
      <c r="C56" s="17">
        <v>0</v>
      </c>
      <c r="D56" s="17">
        <v>0</v>
      </c>
      <c r="E56" s="17">
        <v>0</v>
      </c>
      <c r="F56" s="17">
        <v>0</v>
      </c>
      <c r="G56" s="8">
        <f t="shared" si="7"/>
        <v>1</v>
      </c>
      <c r="H56" s="9"/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8">
        <v>0</v>
      </c>
      <c r="O56" s="17">
        <v>1</v>
      </c>
      <c r="P56" s="17">
        <v>0</v>
      </c>
      <c r="Q56" s="17">
        <v>0</v>
      </c>
      <c r="R56" s="17">
        <v>0</v>
      </c>
      <c r="S56" s="17">
        <v>0</v>
      </c>
      <c r="T56" s="8">
        <f t="shared" si="8"/>
        <v>1</v>
      </c>
      <c r="U56" s="9"/>
      <c r="V56" s="17">
        <v>0</v>
      </c>
      <c r="W56" s="17">
        <v>0</v>
      </c>
      <c r="X56" s="17">
        <v>0</v>
      </c>
      <c r="Y56" s="17">
        <v>0</v>
      </c>
      <c r="Z56" s="19">
        <v>0</v>
      </c>
      <c r="AA56" s="8">
        <f t="shared" si="9"/>
        <v>0</v>
      </c>
      <c r="AB56" s="9"/>
      <c r="AC56" s="10">
        <v>2</v>
      </c>
      <c r="AD56" s="10">
        <v>0</v>
      </c>
      <c r="AE56" s="10">
        <v>0</v>
      </c>
      <c r="AF56" s="10">
        <v>0</v>
      </c>
      <c r="AG56" s="10">
        <v>0</v>
      </c>
      <c r="AH56" s="39">
        <f t="shared" si="10"/>
        <v>2</v>
      </c>
    </row>
    <row r="57" spans="1:35" hidden="1" x14ac:dyDescent="0.35">
      <c r="A57" s="15" t="s">
        <v>51</v>
      </c>
      <c r="B57" s="17">
        <v>0</v>
      </c>
      <c r="C57" s="17">
        <v>0</v>
      </c>
      <c r="D57" s="17">
        <v>0</v>
      </c>
      <c r="E57" s="17">
        <v>0</v>
      </c>
      <c r="F57" s="17">
        <v>0</v>
      </c>
      <c r="G57" s="8">
        <f t="shared" si="7"/>
        <v>0</v>
      </c>
      <c r="H57" s="9"/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8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8">
        <f t="shared" si="8"/>
        <v>0</v>
      </c>
      <c r="U57" s="9"/>
      <c r="V57" s="17">
        <v>0</v>
      </c>
      <c r="W57" s="17">
        <v>0</v>
      </c>
      <c r="X57" s="17">
        <v>0</v>
      </c>
      <c r="Y57" s="17">
        <v>0</v>
      </c>
      <c r="Z57" s="19">
        <v>0</v>
      </c>
      <c r="AA57" s="8">
        <f t="shared" si="9"/>
        <v>0</v>
      </c>
      <c r="AB57" s="9"/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39">
        <f t="shared" si="10"/>
        <v>0</v>
      </c>
    </row>
    <row r="58" spans="1:35" hidden="1" x14ac:dyDescent="0.35">
      <c r="A58" s="15" t="s">
        <v>52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8">
        <f t="shared" si="7"/>
        <v>0</v>
      </c>
      <c r="H58" s="9"/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8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8">
        <f t="shared" si="8"/>
        <v>0</v>
      </c>
      <c r="U58" s="9"/>
      <c r="V58" s="17">
        <v>0</v>
      </c>
      <c r="W58" s="17">
        <v>0</v>
      </c>
      <c r="X58" s="17">
        <v>0</v>
      </c>
      <c r="Y58" s="17">
        <v>0</v>
      </c>
      <c r="Z58" s="19">
        <v>0</v>
      </c>
      <c r="AA58" s="8">
        <v>0</v>
      </c>
      <c r="AB58" s="9"/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39">
        <v>0</v>
      </c>
    </row>
    <row r="59" spans="1:35" hidden="1" x14ac:dyDescent="0.35">
      <c r="A59" s="15" t="s">
        <v>53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8">
        <f t="shared" si="7"/>
        <v>0</v>
      </c>
      <c r="H59" s="9"/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8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8">
        <f t="shared" si="8"/>
        <v>0</v>
      </c>
      <c r="U59" s="9"/>
      <c r="V59" s="17">
        <v>0</v>
      </c>
      <c r="W59" s="17">
        <v>0</v>
      </c>
      <c r="X59" s="17">
        <v>0</v>
      </c>
      <c r="Y59" s="17">
        <v>0</v>
      </c>
      <c r="Z59" s="19">
        <v>0</v>
      </c>
      <c r="AA59" s="8">
        <f>SUM(V59:Z59)</f>
        <v>0</v>
      </c>
      <c r="AB59" s="9"/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39">
        <v>0</v>
      </c>
    </row>
    <row r="60" spans="1:35" hidden="1" x14ac:dyDescent="0.35">
      <c r="A60" s="15" t="s">
        <v>54</v>
      </c>
      <c r="B60" s="17">
        <v>0</v>
      </c>
      <c r="C60" s="17">
        <v>0</v>
      </c>
      <c r="D60" s="17">
        <v>0</v>
      </c>
      <c r="E60" s="17">
        <v>0</v>
      </c>
      <c r="F60" s="17">
        <v>0</v>
      </c>
      <c r="G60" s="8">
        <f t="shared" si="7"/>
        <v>0</v>
      </c>
      <c r="H60" s="9"/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8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8">
        <f t="shared" si="8"/>
        <v>0</v>
      </c>
      <c r="U60" s="9"/>
      <c r="V60" s="17">
        <v>0</v>
      </c>
      <c r="W60" s="17">
        <v>0</v>
      </c>
      <c r="X60" s="17">
        <v>0</v>
      </c>
      <c r="Y60" s="17">
        <v>0</v>
      </c>
      <c r="Z60" s="19">
        <v>0</v>
      </c>
      <c r="AA60" s="8">
        <f>SUM(V60:Z60)</f>
        <v>0</v>
      </c>
      <c r="AB60" s="9"/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39">
        <v>0</v>
      </c>
    </row>
    <row r="61" spans="1:35" hidden="1" x14ac:dyDescent="0.35">
      <c r="A61" s="15" t="s">
        <v>55</v>
      </c>
      <c r="B61" s="17">
        <v>5</v>
      </c>
      <c r="C61" s="17">
        <v>2</v>
      </c>
      <c r="D61" s="17">
        <v>2</v>
      </c>
      <c r="E61" s="17">
        <v>0</v>
      </c>
      <c r="F61" s="17">
        <v>0</v>
      </c>
      <c r="G61" s="8">
        <f t="shared" si="7"/>
        <v>9</v>
      </c>
      <c r="H61" s="9"/>
      <c r="I61" s="41">
        <v>4</v>
      </c>
      <c r="J61" s="41">
        <v>0</v>
      </c>
      <c r="K61" s="41">
        <v>4</v>
      </c>
      <c r="L61" s="41">
        <v>0</v>
      </c>
      <c r="M61" s="41">
        <v>2</v>
      </c>
      <c r="N61" s="8">
        <f>SUM(I61:M61)</f>
        <v>10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8">
        <f t="shared" si="8"/>
        <v>0</v>
      </c>
      <c r="U61" s="9"/>
      <c r="V61" s="17">
        <v>0</v>
      </c>
      <c r="W61" s="17">
        <v>0</v>
      </c>
      <c r="X61" s="17">
        <v>0</v>
      </c>
      <c r="Y61" s="17">
        <v>0</v>
      </c>
      <c r="Z61" s="19">
        <v>0</v>
      </c>
      <c r="AA61" s="8">
        <f>SUM(V61:Z61)</f>
        <v>0</v>
      </c>
      <c r="AB61" s="9"/>
      <c r="AC61" s="10">
        <v>9</v>
      </c>
      <c r="AD61" s="10">
        <v>2</v>
      </c>
      <c r="AE61" s="10">
        <v>6</v>
      </c>
      <c r="AF61" s="10">
        <v>0</v>
      </c>
      <c r="AG61" s="10">
        <v>2</v>
      </c>
      <c r="AH61" s="39">
        <f>SUM(AC61:AG61)</f>
        <v>19</v>
      </c>
    </row>
    <row r="62" spans="1:35" hidden="1" x14ac:dyDescent="0.35">
      <c r="A62" s="15" t="s">
        <v>56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8">
        <f t="shared" si="7"/>
        <v>0</v>
      </c>
      <c r="H62" s="9"/>
      <c r="I62" s="41">
        <v>3</v>
      </c>
      <c r="J62" s="41">
        <v>0</v>
      </c>
      <c r="K62" s="41">
        <v>0</v>
      </c>
      <c r="L62" s="41">
        <v>0</v>
      </c>
      <c r="M62" s="41"/>
      <c r="N62" s="8">
        <v>3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8">
        <v>0</v>
      </c>
      <c r="U62" s="9"/>
      <c r="V62" s="17">
        <v>0</v>
      </c>
      <c r="W62" s="17">
        <v>0</v>
      </c>
      <c r="X62" s="17">
        <v>0</v>
      </c>
      <c r="Y62" s="17">
        <v>0</v>
      </c>
      <c r="Z62" s="19">
        <v>0</v>
      </c>
      <c r="AA62" s="8">
        <f>SUM(V62:Z62)</f>
        <v>0</v>
      </c>
      <c r="AB62" s="9"/>
      <c r="AC62" s="10">
        <v>3</v>
      </c>
      <c r="AD62" s="10">
        <v>0</v>
      </c>
      <c r="AE62" s="10">
        <v>0</v>
      </c>
      <c r="AF62" s="10">
        <v>0</v>
      </c>
      <c r="AG62" s="10">
        <v>0</v>
      </c>
      <c r="AH62" s="39">
        <f>SUM(AC62:AG62)</f>
        <v>3</v>
      </c>
    </row>
    <row r="63" spans="1:35" hidden="1" x14ac:dyDescent="0.35">
      <c r="A63" s="34" t="s">
        <v>58</v>
      </c>
      <c r="B63" s="17">
        <v>2</v>
      </c>
      <c r="C63" s="17">
        <v>4</v>
      </c>
      <c r="D63" s="17">
        <v>2</v>
      </c>
      <c r="E63" s="17">
        <v>1</v>
      </c>
      <c r="F63" s="17">
        <v>0</v>
      </c>
      <c r="G63" s="8">
        <f t="shared" si="7"/>
        <v>9</v>
      </c>
      <c r="H63" s="9"/>
      <c r="I63" s="41">
        <v>1</v>
      </c>
      <c r="J63" s="41">
        <v>0</v>
      </c>
      <c r="K63" s="41">
        <v>0</v>
      </c>
      <c r="L63" s="41">
        <v>0</v>
      </c>
      <c r="M63" s="41">
        <v>0</v>
      </c>
      <c r="N63" s="8">
        <v>1</v>
      </c>
      <c r="O63" s="17">
        <v>5</v>
      </c>
      <c r="P63" s="17">
        <v>0</v>
      </c>
      <c r="Q63" s="17">
        <v>0</v>
      </c>
      <c r="R63" s="17">
        <v>0</v>
      </c>
      <c r="S63" s="17">
        <v>0</v>
      </c>
      <c r="T63" s="8">
        <v>5</v>
      </c>
      <c r="U63" s="9"/>
      <c r="V63" s="17">
        <v>0</v>
      </c>
      <c r="W63" s="17">
        <v>0</v>
      </c>
      <c r="X63" s="17">
        <v>0</v>
      </c>
      <c r="Y63" s="17">
        <v>0</v>
      </c>
      <c r="Z63" s="17">
        <v>1</v>
      </c>
      <c r="AA63" s="8">
        <v>1</v>
      </c>
      <c r="AB63" s="9"/>
      <c r="AC63" s="10">
        <v>8</v>
      </c>
      <c r="AD63" s="10">
        <v>4</v>
      </c>
      <c r="AE63" s="10">
        <v>2</v>
      </c>
      <c r="AF63" s="10">
        <v>1</v>
      </c>
      <c r="AG63" s="10">
        <v>1</v>
      </c>
      <c r="AH63" s="39">
        <f>SUM(AC63:AG63)</f>
        <v>16</v>
      </c>
    </row>
    <row r="64" spans="1:35" ht="20.25" customHeight="1" x14ac:dyDescent="0.5">
      <c r="A64" s="3" t="s">
        <v>61</v>
      </c>
      <c r="B64" s="35">
        <f>SUM(B5:B63)</f>
        <v>622</v>
      </c>
      <c r="C64" s="35">
        <f>SUM(C5:C63)</f>
        <v>216</v>
      </c>
      <c r="D64" s="35">
        <f>SUM(D5:D63)</f>
        <v>127</v>
      </c>
      <c r="E64" s="35">
        <f>SUM(E12:E63)</f>
        <v>4</v>
      </c>
      <c r="F64" s="35">
        <f>SUM(F12:F63)</f>
        <v>6</v>
      </c>
      <c r="G64" s="44">
        <f>SUM(G5:G63)</f>
        <v>975</v>
      </c>
      <c r="H64" s="36"/>
      <c r="I64" s="46">
        <v>498</v>
      </c>
      <c r="J64" s="46">
        <v>72</v>
      </c>
      <c r="K64" s="46">
        <v>135</v>
      </c>
      <c r="L64" s="46">
        <v>1</v>
      </c>
      <c r="M64" s="46">
        <v>12</v>
      </c>
      <c r="N64" s="44">
        <f>SUM(I64:M64)</f>
        <v>718</v>
      </c>
      <c r="O64" s="35">
        <f>SUM(O5:O63)</f>
        <v>265</v>
      </c>
      <c r="P64" s="35">
        <v>0</v>
      </c>
      <c r="Q64" s="35">
        <v>1</v>
      </c>
      <c r="R64" s="35">
        <v>0</v>
      </c>
      <c r="S64" s="35">
        <f>SUM(S5:S63)</f>
        <v>5</v>
      </c>
      <c r="T64" s="44">
        <f>SUM(T5:T63)</f>
        <v>271</v>
      </c>
      <c r="U64" s="37"/>
      <c r="V64" s="35">
        <f>SUM(V5:V63)</f>
        <v>553</v>
      </c>
      <c r="W64" s="35">
        <v>0</v>
      </c>
      <c r="X64" s="35">
        <v>0</v>
      </c>
      <c r="Y64" s="35">
        <v>0</v>
      </c>
      <c r="Z64" s="35">
        <f>SUM(Z5:Z63)</f>
        <v>3</v>
      </c>
      <c r="AA64" s="44">
        <f>SUM(AA5:AA63)</f>
        <v>556</v>
      </c>
      <c r="AB64" s="36"/>
      <c r="AC64" s="38">
        <f>SUM(AC5:AC63)</f>
        <v>1938</v>
      </c>
      <c r="AD64" s="38">
        <f>SUM(AD5:AD63)</f>
        <v>288</v>
      </c>
      <c r="AE64" s="38">
        <f>SUM(AE5:AE63)</f>
        <v>263</v>
      </c>
      <c r="AF64" s="38">
        <f t="shared" ref="AF64:AH64" si="11">SUM(AF5:AF63)</f>
        <v>5</v>
      </c>
      <c r="AG64" s="38">
        <f>SUM(AG5:AG63)</f>
        <v>26</v>
      </c>
      <c r="AH64" s="40">
        <f t="shared" si="11"/>
        <v>2520</v>
      </c>
      <c r="AI64" s="79">
        <f>SUM(AI29:AI32)</f>
        <v>200</v>
      </c>
    </row>
    <row r="65" spans="1:34" ht="20.25" customHeight="1" x14ac:dyDescent="0.35">
      <c r="A65" s="13" t="s">
        <v>57</v>
      </c>
      <c r="B65" s="8">
        <v>1671</v>
      </c>
      <c r="C65" s="8">
        <v>0</v>
      </c>
      <c r="D65" s="8">
        <v>0</v>
      </c>
      <c r="E65" s="8">
        <v>0</v>
      </c>
      <c r="F65" s="8">
        <v>0</v>
      </c>
      <c r="G65" s="44">
        <f>SUM(B65:F65)</f>
        <v>1671</v>
      </c>
      <c r="H65" s="32"/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3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9"/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9"/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24">
        <v>0</v>
      </c>
    </row>
    <row r="68" spans="1:34" x14ac:dyDescent="0.35">
      <c r="A68" s="16"/>
    </row>
  </sheetData>
  <mergeCells count="6">
    <mergeCell ref="B1:AF1"/>
    <mergeCell ref="B2:G2"/>
    <mergeCell ref="I2:N2"/>
    <mergeCell ref="O2:T2"/>
    <mergeCell ref="V2:AA2"/>
    <mergeCell ref="AC2:A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 Male Nurse</dc:creator>
  <cp:lastModifiedBy>Eldeeb, Ahmed</cp:lastModifiedBy>
  <cp:lastPrinted>2023-06-08T09:42:41Z</cp:lastPrinted>
  <dcterms:created xsi:type="dcterms:W3CDTF">2022-11-01T09:40:44Z</dcterms:created>
  <dcterms:modified xsi:type="dcterms:W3CDTF">2023-06-13T06:32:16Z</dcterms:modified>
</cp:coreProperties>
</file>