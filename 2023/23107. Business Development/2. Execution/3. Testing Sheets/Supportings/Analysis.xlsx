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heet1" sheetId="1" r:id="rId1"/>
    <sheet name="Sheet3" sheetId="3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2" i="4"/>
  <c r="E3" i="4"/>
  <c r="E2" i="4"/>
  <c r="D3" i="4"/>
  <c r="C3" i="4"/>
  <c r="C2" i="4"/>
  <c r="D2" i="4" s="1"/>
  <c r="E11" i="2" l="1"/>
  <c r="E16" i="2" s="1"/>
  <c r="F12" i="2"/>
  <c r="F11" i="2"/>
  <c r="F10" i="2"/>
  <c r="F9" i="2"/>
  <c r="F8" i="2"/>
  <c r="F7" i="2"/>
  <c r="F6" i="2"/>
  <c r="F5" i="2"/>
  <c r="F4" i="2"/>
  <c r="D16" i="2"/>
  <c r="H13" i="2"/>
  <c r="H11" i="2"/>
  <c r="H10" i="2"/>
  <c r="H9" i="2"/>
  <c r="H8" i="2"/>
  <c r="H7" i="2"/>
  <c r="H6" i="2"/>
  <c r="H5" i="2"/>
  <c r="H4" i="2"/>
  <c r="G16" i="2"/>
  <c r="C16" i="2"/>
  <c r="F11" i="1"/>
  <c r="G11" i="1" s="1"/>
  <c r="E11" i="1"/>
  <c r="D11" i="1"/>
  <c r="C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<sst xmlns="http://schemas.openxmlformats.org/spreadsheetml/2006/main" count="268" uniqueCount="148">
  <si>
    <t>Account Code and Description</t>
  </si>
  <si>
    <t>2022 Budget</t>
  </si>
  <si>
    <t xml:space="preserve">2022 Actual </t>
  </si>
  <si>
    <t>2023 Budget</t>
  </si>
  <si>
    <t>2023 Actual 1st quarter</t>
  </si>
  <si>
    <t>2023 Revenue Performance Percentage</t>
  </si>
  <si>
    <t>Educational Services-Sponsorship Income</t>
  </si>
  <si>
    <t>Tuition fee</t>
  </si>
  <si>
    <t>Building rent: Residences</t>
  </si>
  <si>
    <t>Training - General</t>
  </si>
  <si>
    <t>Student Transportation Charges</t>
  </si>
  <si>
    <t>Building rent: Commercial properties (including shops)</t>
  </si>
  <si>
    <t>Overhead recovery &amp; chargeback within the ledgers</t>
  </si>
  <si>
    <t>Others</t>
  </si>
  <si>
    <t>Total</t>
  </si>
  <si>
    <t>Source - Attachment 6</t>
  </si>
  <si>
    <t>Revenue up Y2022</t>
  </si>
  <si>
    <t>SN</t>
  </si>
  <si>
    <t>Campus</t>
  </si>
  <si>
    <t>Location</t>
  </si>
  <si>
    <t>Brand</t>
  </si>
  <si>
    <t>Status</t>
  </si>
  <si>
    <t>Type</t>
  </si>
  <si>
    <t>Rent</t>
  </si>
  <si>
    <t>Main</t>
  </si>
  <si>
    <t>Building R</t>
  </si>
  <si>
    <t>Bloom Room Flower &amp; Café</t>
  </si>
  <si>
    <t>Open</t>
  </si>
  <si>
    <t>F&amp;B Retail</t>
  </si>
  <si>
    <t>Costa</t>
  </si>
  <si>
    <t>10% Disc + 10% Rev</t>
  </si>
  <si>
    <t>SAN</t>
  </si>
  <si>
    <t>Building 2 &amp; Arzanah</t>
  </si>
  <si>
    <t>Building E</t>
  </si>
  <si>
    <t>Blue Mart (ADNH)</t>
  </si>
  <si>
    <t>Shopping Retail</t>
  </si>
  <si>
    <t>Building E Foodcourt</t>
  </si>
  <si>
    <t>So Daily ADNH</t>
  </si>
  <si>
    <t xml:space="preserve">Refer to contract  </t>
  </si>
  <si>
    <t>Central Spine</t>
  </si>
  <si>
    <t>Haagen Dazs (ADNH)</t>
  </si>
  <si>
    <t>Building A</t>
  </si>
  <si>
    <t xml:space="preserve">Lavazza (ADNH) </t>
  </si>
  <si>
    <t>Building 5 &amp; Building 6</t>
  </si>
  <si>
    <t>House of Tea</t>
  </si>
  <si>
    <t>10% Revn share</t>
  </si>
  <si>
    <t>Building 6</t>
  </si>
  <si>
    <t>Green for Life</t>
  </si>
  <si>
    <t>Building 1</t>
  </si>
  <si>
    <t>Building B</t>
  </si>
  <si>
    <t xml:space="preserve">SHOT CAFÉ </t>
  </si>
  <si>
    <t>Sales Below AED 1 M - 10%</t>
  </si>
  <si>
    <t>Sales Above AED 1 M - 12%</t>
  </si>
  <si>
    <t xml:space="preserve">Sales Above AED 2 M - 15 </t>
  </si>
  <si>
    <t>Building 3</t>
  </si>
  <si>
    <t>Shot Café</t>
  </si>
  <si>
    <t>Starbucks</t>
  </si>
  <si>
    <t xml:space="preserve">AED 134,550 or 8% Revn Whichever higher </t>
  </si>
  <si>
    <t>MAGRUDY ENTERPRISES</t>
  </si>
  <si>
    <t>10% Disc + 7% Revn share</t>
  </si>
  <si>
    <t>Main &amp; ADNOC School</t>
  </si>
  <si>
    <t xml:space="preserve">Building E Foodcourt </t>
  </si>
  <si>
    <t>Gourmet International (Basil)</t>
  </si>
  <si>
    <t>12% Revn Share</t>
  </si>
  <si>
    <t>Doctor Shawarma - Taboon from Nov 22</t>
  </si>
  <si>
    <t>Bike Shop</t>
  </si>
  <si>
    <t>KU Outlet</t>
  </si>
  <si>
    <t>Building D</t>
  </si>
  <si>
    <t>CHUBBY CHEEKS NURSERY</t>
  </si>
  <si>
    <t>Service</t>
  </si>
  <si>
    <t>1st Year 500AED / Child</t>
  </si>
  <si>
    <t>2nd Year 120K</t>
  </si>
  <si>
    <t>3rd Year 150K</t>
  </si>
  <si>
    <t>Female Gym</t>
  </si>
  <si>
    <t>Oriental Spa</t>
  </si>
  <si>
    <t>20% Disc + 8% Revn Share</t>
  </si>
  <si>
    <t>Main &amp; SAN</t>
  </si>
  <si>
    <t>NA</t>
  </si>
  <si>
    <t>Q2 General Cleaning services LLC (Geo Wash)</t>
  </si>
  <si>
    <t>Sales Less 100K = Rent 25K</t>
  </si>
  <si>
    <t xml:space="preserve">Sales Above 100K = Rent 20% </t>
  </si>
  <si>
    <t>-</t>
  </si>
  <si>
    <t>Massafi Vending</t>
  </si>
  <si>
    <t xml:space="preserve">Yalla Food Vending </t>
  </si>
  <si>
    <t>ADCON school</t>
  </si>
  <si>
    <t xml:space="preserve">Girls hostel </t>
  </si>
  <si>
    <t>Best Cup Café - Sole Proprietorship L.L.C</t>
  </si>
  <si>
    <t>open</t>
  </si>
  <si>
    <t>5% First Year 2022 - 10% 2nd and 3rd year</t>
  </si>
  <si>
    <t>CONVENIENCE ARABIA LLC Total</t>
  </si>
  <si>
    <t xml:space="preserve">close </t>
  </si>
  <si>
    <t>Fixed Annual Rental at beginning of the year 1.5% of annual merchandise sales</t>
  </si>
  <si>
    <t>Kitchen Sharer</t>
  </si>
  <si>
    <t>10% Revenue share</t>
  </si>
  <si>
    <t>Arzanah</t>
  </si>
  <si>
    <t>O2 CAFETERIA-CAF CAFÉ</t>
  </si>
  <si>
    <t>10% revenue share</t>
  </si>
  <si>
    <t>Waterless Cleaning Services LLC</t>
  </si>
  <si>
    <t>26% revenue share</t>
  </si>
  <si>
    <t xml:space="preserve">Main &amp; ADNOC </t>
  </si>
  <si>
    <t>CLASS CAFÉ</t>
  </si>
  <si>
    <t>10% revenue share-Main campus and 5% revenue share-ADNOC School</t>
  </si>
  <si>
    <t xml:space="preserve">                                -   </t>
  </si>
  <si>
    <t>Building L</t>
  </si>
  <si>
    <t xml:space="preserve">Low Calories </t>
  </si>
  <si>
    <t>open Jan 2023</t>
  </si>
  <si>
    <t xml:space="preserve">yearly 60,000/- fixed </t>
  </si>
  <si>
    <t>Building M</t>
  </si>
  <si>
    <t>Sky Line</t>
  </si>
  <si>
    <t>Sports</t>
  </si>
  <si>
    <t>Play Grounds Customers</t>
  </si>
  <si>
    <t>Skill Plus Sport Service</t>
  </si>
  <si>
    <t>Al Gharbia Sports</t>
  </si>
  <si>
    <t xml:space="preserve">Cash Basis adjustments </t>
  </si>
  <si>
    <t xml:space="preserve">Total of rental </t>
  </si>
  <si>
    <t>Item</t>
  </si>
  <si>
    <t xml:space="preserve">Approved Budget </t>
  </si>
  <si>
    <t>Actuals -Cash Basis</t>
  </si>
  <si>
    <t>Certificate issuance fee</t>
  </si>
  <si>
    <t>Identity card issuance fee</t>
  </si>
  <si>
    <t>Replacement fee for lost document</t>
  </si>
  <si>
    <t>Sale of textbooks &amp; educational publication</t>
  </si>
  <si>
    <t>Other services:</t>
  </si>
  <si>
    <t>Property damage</t>
  </si>
  <si>
    <t>Sundry receipts</t>
  </si>
  <si>
    <t>Other Students  Services</t>
  </si>
  <si>
    <t xml:space="preserve">Total </t>
  </si>
  <si>
    <t>Taboon restaurant</t>
  </si>
  <si>
    <t>ZEE STORES INTERNATIONAL LLC</t>
  </si>
  <si>
    <t>LOWCALORIE RESTAURANT</t>
  </si>
  <si>
    <t>SUBWAY</t>
  </si>
  <si>
    <t>?</t>
  </si>
  <si>
    <t>--------</t>
  </si>
  <si>
    <t>Services to other govt units</t>
  </si>
  <si>
    <t>Slide 1 - Attachment 6</t>
  </si>
  <si>
    <t>Slide 8 - Attachment 6</t>
  </si>
  <si>
    <t>Other Student Services</t>
  </si>
  <si>
    <t>Slide 12 - Attachment 5</t>
  </si>
  <si>
    <t>Sundry Receipts</t>
  </si>
  <si>
    <t>Edcuational Services - Sponsorship Income</t>
  </si>
  <si>
    <t>Building Rent - Commercial Properties</t>
  </si>
  <si>
    <t>Al Shaya (Starbucks 173 Sqm)</t>
  </si>
  <si>
    <t>2022 Revenue</t>
  </si>
  <si>
    <t>Market rental</t>
  </si>
  <si>
    <t>Variance</t>
  </si>
  <si>
    <t>Taboon Restaurant (49 Sqm)</t>
  </si>
  <si>
    <t>Description</t>
  </si>
  <si>
    <t>Actial Sqm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</si>
</sst>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rgb="FF000000"/>
      <name val="Calibri"/>
      <family val="2"/>
    </font>
    <font>
      <b/>
      <sz val="10.5"/>
      <color rgb="FF000000"/>
      <name val="Calibri"/>
      <family val="2"/>
    </font>
    <font>
      <b/>
      <sz val="5"/>
      <color rgb="FF000000"/>
      <name val="Calibri"/>
      <family val="2"/>
    </font>
    <font>
      <b/>
      <sz val="9"/>
      <color rgb="FF000000"/>
      <name val="Calibri"/>
      <family val="2"/>
    </font>
    <font>
      <sz val="5"/>
      <color rgb="FF000000"/>
      <name val="Calibri"/>
      <family val="2"/>
    </font>
    <font>
      <sz val="9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0CEC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/>
    <xf numFmtId="9" fontId="2" fillId="3" borderId="1" xfId="2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 readingOrder="1"/>
    </xf>
    <xf numFmtId="0" fontId="9" fillId="4" borderId="2" xfId="0" applyFont="1" applyFill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9" fontId="11" fillId="0" borderId="2" xfId="0" applyNumberFormat="1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wrapText="1" readingOrder="1"/>
    </xf>
    <xf numFmtId="0" fontId="9" fillId="0" borderId="2" xfId="0" applyFont="1" applyBorder="1" applyAlignment="1">
      <alignment horizontal="center" wrapText="1" readingOrder="1"/>
    </xf>
    <xf numFmtId="0" fontId="11" fillId="0" borderId="2" xfId="0" applyFont="1" applyBorder="1" applyAlignment="1">
      <alignment horizontal="left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wrapText="1" readingOrder="1"/>
    </xf>
    <xf numFmtId="4" fontId="9" fillId="4" borderId="2" xfId="0" applyNumberFormat="1" applyFont="1" applyFill="1" applyBorder="1" applyAlignment="1">
      <alignment horizontal="right" vertical="center" wrapText="1" readingOrder="1"/>
    </xf>
    <xf numFmtId="0" fontId="12" fillId="5" borderId="2" xfId="0" applyFont="1" applyFill="1" applyBorder="1" applyAlignment="1">
      <alignment horizontal="left" vertical="top" wrapText="1" readingOrder="1"/>
    </xf>
    <xf numFmtId="0" fontId="12" fillId="5" borderId="2" xfId="0" applyFont="1" applyFill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left" vertical="top" wrapText="1" readingOrder="1"/>
    </xf>
    <xf numFmtId="3" fontId="12" fillId="0" borderId="2" xfId="0" applyNumberFormat="1" applyFont="1" applyBorder="1" applyAlignment="1">
      <alignment horizontal="center" vertical="top" wrapText="1" readingOrder="1"/>
    </xf>
    <xf numFmtId="0" fontId="12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horizontal="left" vertical="top" wrapText="1" readingOrder="1"/>
    </xf>
    <xf numFmtId="3" fontId="13" fillId="0" borderId="2" xfId="0" applyNumberFormat="1" applyFont="1" applyBorder="1" applyAlignment="1">
      <alignment horizontal="center" vertical="top" wrapText="1" readingOrder="1"/>
    </xf>
    <xf numFmtId="4" fontId="11" fillId="0" borderId="3" xfId="0" applyNumberFormat="1" applyFont="1" applyBorder="1" applyAlignment="1">
      <alignment horizontal="right" vertical="center" wrapText="1" readingOrder="1"/>
    </xf>
    <xf numFmtId="0" fontId="11" fillId="0" borderId="3" xfId="0" applyFont="1" applyBorder="1" applyAlignment="1">
      <alignment horizontal="right" vertical="center" wrapText="1" readingOrder="1"/>
    </xf>
    <xf numFmtId="0" fontId="11" fillId="0" borderId="3" xfId="0" applyFont="1" applyBorder="1" applyAlignment="1">
      <alignment horizontal="left" vertical="center" wrapText="1" readingOrder="1"/>
    </xf>
    <xf numFmtId="4" fontId="11" fillId="0" borderId="4" xfId="0" applyNumberFormat="1" applyFont="1" applyBorder="1" applyAlignment="1">
      <alignment horizontal="left" vertical="center" wrapText="1" readingOrder="1"/>
    </xf>
    <xf numFmtId="0" fontId="0" fillId="0" borderId="1" xfId="0" applyBorder="1"/>
    <xf numFmtId="0" fontId="0" fillId="0" borderId="0" xfId="0" quotePrefix="1"/>
    <xf numFmtId="164" fontId="0" fillId="0" borderId="0" xfId="0" applyNumberFormat="1"/>
    <xf numFmtId="3" fontId="5" fillId="0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4" fillId="3" borderId="0" xfId="3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/>
    </xf>
    <xf numFmtId="3" fontId="5" fillId="0" borderId="1" xfId="0" applyNumberFormat="1" applyFont="1" applyFill="1" applyBorder="1" applyAlignment="1">
      <alignment horizontal="right"/>
    </xf>
    <xf numFmtId="43" fontId="0" fillId="0" borderId="0" xfId="1" applyFont="1"/>
    <xf numFmtId="43" fontId="0" fillId="0" borderId="0" xfId="0" applyNumberFormat="1"/>
    <xf numFmtId="4" fontId="11" fillId="0" borderId="9" xfId="0" applyNumberFormat="1" applyFont="1" applyBorder="1" applyAlignment="1">
      <alignment horizontal="right" vertical="center" wrapText="1" readingOrder="1"/>
    </xf>
    <xf numFmtId="4" fontId="11" fillId="0" borderId="13" xfId="0" applyNumberFormat="1" applyFont="1" applyBorder="1" applyAlignment="1">
      <alignment horizontal="right" vertical="center" wrapText="1" readingOrder="1"/>
    </xf>
    <xf numFmtId="0" fontId="6" fillId="4" borderId="3" xfId="0" applyFont="1" applyFill="1" applyBorder="1" applyAlignment="1">
      <alignment horizontal="center" wrapText="1" readingOrder="1"/>
    </xf>
    <xf numFmtId="0" fontId="6" fillId="4" borderId="4" xfId="0" applyFont="1" applyFill="1" applyBorder="1" applyAlignment="1">
      <alignment horizontal="center" wrapText="1" readingOrder="1"/>
    </xf>
    <xf numFmtId="0" fontId="6" fillId="4" borderId="5" xfId="0" applyFont="1" applyFill="1" applyBorder="1" applyAlignment="1">
      <alignment horizontal="center" wrapText="1" readingOrder="1"/>
    </xf>
    <xf numFmtId="0" fontId="7" fillId="4" borderId="6" xfId="0" applyFont="1" applyFill="1" applyBorder="1" applyAlignment="1">
      <alignment horizontal="left" vertical="center" wrapText="1" readingOrder="1"/>
    </xf>
    <xf numFmtId="0" fontId="7" fillId="4" borderId="7" xfId="0" applyFont="1" applyFill="1" applyBorder="1" applyAlignment="1">
      <alignment horizontal="left" vertical="center" wrapText="1" readingOrder="1"/>
    </xf>
    <xf numFmtId="4" fontId="11" fillId="0" borderId="11" xfId="0" applyNumberFormat="1" applyFont="1" applyBorder="1" applyAlignment="1">
      <alignment horizontal="right" vertic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9" fillId="4" borderId="3" xfId="0" applyFont="1" applyFill="1" applyBorder="1" applyAlignment="1">
      <alignment horizontal="center" wrapText="1" readingOrder="1"/>
    </xf>
    <xf numFmtId="0" fontId="9" fillId="4" borderId="4" xfId="0" applyFont="1" applyFill="1" applyBorder="1" applyAlignment="1">
      <alignment horizontal="center" wrapText="1" readingOrder="1"/>
    </xf>
    <xf numFmtId="0" fontId="9" fillId="4" borderId="5" xfId="0" applyFont="1" applyFill="1" applyBorder="1" applyAlignment="1">
      <alignment horizontal="center" wrapText="1" readingOrder="1"/>
    </xf>
    <xf numFmtId="0" fontId="0" fillId="0" borderId="1" xfId="0" applyBorder="1" applyAlignment="1">
      <alignment horizontal="center"/>
    </xf>
    <xf numFmtId="0" fontId="9" fillId="0" borderId="9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9" fillId="0" borderId="14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wrapText="1" readingOrder="1"/>
    </xf>
    <xf numFmtId="0" fontId="11" fillId="0" borderId="4" xfId="0" applyFont="1" applyBorder="1" applyAlignment="1">
      <alignment horizontal="center" wrapText="1" readingOrder="1"/>
    </xf>
    <xf numFmtId="43" fontId="0" fillId="0" borderId="1" xfId="1" applyFont="1" applyBorder="1"/>
    <xf numFmtId="43" fontId="0" fillId="0" borderId="1" xfId="0" applyNumberFormat="1" applyBorder="1"/>
  </cellXfs>
  <cellStyles count="4">
    <cellStyle name="Comma" xfId="1" builtinId="3"/>
    <cellStyle name="Normal" xfId="0" builtinId="0"/>
    <cellStyle name="Normal 4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8"/>
  <sheetViews>
    <sheetView workbookViewId="0">
      <selection activeCell="D1" sqref="D1"/>
    </sheetView>
  </sheetViews>
  <sheetFormatPr defaultRowHeight="15" x14ac:dyDescent="0.25"/>
  <cols>
    <col min="2" max="2" width="48.7109375" customWidth="1"/>
    <col min="3" max="4" width="17.5703125" customWidth="1"/>
    <col min="5" max="5" width="13.28515625" bestFit="1" customWidth="1"/>
    <col min="6" max="6" width="24.28515625" bestFit="1" customWidth="1"/>
    <col min="7" max="7" width="40.28515625" bestFit="1" customWidth="1"/>
    <col min="8" max="8" width="20.5703125" customWidth="1"/>
    <col min="9" max="9" width="21" customWidth="1"/>
  </cols>
  <sheetData>
    <row r="1" spans="2:10" x14ac:dyDescent="0.25">
      <c r="B1" t="s">
        <v>15</v>
      </c>
    </row>
    <row r="2" spans="2:10" ht="12" customHeigh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10" ht="12" customHeight="1" x14ac:dyDescent="0.25">
      <c r="B3" s="3" t="s">
        <v>6</v>
      </c>
      <c r="C3" s="4">
        <v>24000000</v>
      </c>
      <c r="D3" s="4">
        <v>16800342.25</v>
      </c>
      <c r="E3" s="4">
        <v>15946000</v>
      </c>
      <c r="F3" s="4">
        <v>7246033.5</v>
      </c>
      <c r="G3" s="5">
        <f t="shared" ref="G3:G11" si="0">F3/E3</f>
        <v>0.45441072996362725</v>
      </c>
      <c r="H3" t="s">
        <v>131</v>
      </c>
    </row>
    <row r="4" spans="2:10" ht="12" customHeight="1" x14ac:dyDescent="0.25">
      <c r="B4" s="6" t="s">
        <v>7</v>
      </c>
      <c r="C4" s="4">
        <v>12000000</v>
      </c>
      <c r="D4" s="4">
        <v>10820584.99</v>
      </c>
      <c r="E4" s="4">
        <v>9640000</v>
      </c>
      <c r="F4" s="4">
        <v>5791249.7999999998</v>
      </c>
      <c r="G4" s="5">
        <f t="shared" si="0"/>
        <v>0.60075205394190867</v>
      </c>
      <c r="H4" t="s">
        <v>131</v>
      </c>
    </row>
    <row r="5" spans="2:10" ht="12" customHeight="1" x14ac:dyDescent="0.25">
      <c r="B5" s="6" t="s">
        <v>8</v>
      </c>
      <c r="C5" s="4">
        <v>4846539</v>
      </c>
      <c r="D5" s="4">
        <v>4760558.2699999996</v>
      </c>
      <c r="E5" s="4">
        <v>4465000</v>
      </c>
      <c r="F5" s="4">
        <v>1804000</v>
      </c>
      <c r="G5" s="5">
        <f t="shared" si="0"/>
        <v>0.4040313549832027</v>
      </c>
      <c r="H5" t="s">
        <v>131</v>
      </c>
    </row>
    <row r="6" spans="2:10" ht="12" customHeight="1" x14ac:dyDescent="0.25">
      <c r="B6" s="6" t="s">
        <v>9</v>
      </c>
      <c r="C6" s="4">
        <v>6000000</v>
      </c>
      <c r="D6" s="4">
        <v>6412128.4199999999</v>
      </c>
      <c r="E6" s="4">
        <v>3150000</v>
      </c>
      <c r="F6" s="4">
        <v>172100</v>
      </c>
      <c r="G6" s="5">
        <f t="shared" si="0"/>
        <v>5.4634920634920633E-2</v>
      </c>
      <c r="H6" t="s">
        <v>131</v>
      </c>
    </row>
    <row r="7" spans="2:10" ht="12" customHeight="1" x14ac:dyDescent="0.25">
      <c r="B7" s="3" t="s">
        <v>10</v>
      </c>
      <c r="C7" s="4">
        <v>1500000</v>
      </c>
      <c r="D7" s="4">
        <v>1723000</v>
      </c>
      <c r="E7" s="4">
        <v>1331000</v>
      </c>
      <c r="F7" s="4">
        <v>836000</v>
      </c>
      <c r="G7" s="5">
        <f t="shared" si="0"/>
        <v>0.62809917355371903</v>
      </c>
    </row>
    <row r="8" spans="2:10" ht="12" customHeight="1" x14ac:dyDescent="0.25">
      <c r="B8" s="3" t="s">
        <v>11</v>
      </c>
      <c r="C8" s="4">
        <v>4229000</v>
      </c>
      <c r="D8" s="4">
        <v>923838.48</v>
      </c>
      <c r="E8" s="4">
        <v>1260000</v>
      </c>
      <c r="F8" s="4">
        <v>455380.05</v>
      </c>
      <c r="G8" s="5">
        <f t="shared" si="0"/>
        <v>0.36141273809523811</v>
      </c>
      <c r="H8" s="38" t="s">
        <v>132</v>
      </c>
    </row>
    <row r="9" spans="2:10" ht="12" customHeight="1" x14ac:dyDescent="0.25">
      <c r="B9" s="6" t="s">
        <v>12</v>
      </c>
      <c r="C9" s="4">
        <v>11500000</v>
      </c>
      <c r="D9" s="4">
        <v>6348904</v>
      </c>
      <c r="E9" s="4">
        <v>7450000</v>
      </c>
      <c r="F9" s="4">
        <v>1507019</v>
      </c>
      <c r="G9" s="5">
        <f>F9/E9</f>
        <v>0.20228442953020134</v>
      </c>
      <c r="H9" t="s">
        <v>131</v>
      </c>
    </row>
    <row r="10" spans="2:10" ht="12" customHeight="1" x14ac:dyDescent="0.25">
      <c r="B10" s="6" t="s">
        <v>13</v>
      </c>
      <c r="C10" s="7">
        <v>2153461</v>
      </c>
      <c r="D10" s="7">
        <v>3549376.33</v>
      </c>
      <c r="E10" s="4">
        <v>1365000</v>
      </c>
      <c r="F10" s="4">
        <v>23517</v>
      </c>
      <c r="G10" s="5">
        <f t="shared" si="0"/>
        <v>1.722857142857143E-2</v>
      </c>
      <c r="H10" s="38" t="s">
        <v>132</v>
      </c>
    </row>
    <row r="11" spans="2:10" ht="12" customHeight="1" x14ac:dyDescent="0.25">
      <c r="B11" s="8" t="s">
        <v>14</v>
      </c>
      <c r="C11" s="9">
        <f>SUM(C3:C10)</f>
        <v>66229000</v>
      </c>
      <c r="D11" s="9">
        <f t="shared" ref="D11:F11" si="1">SUM(D3:D10)</f>
        <v>51338732.739999995</v>
      </c>
      <c r="E11" s="9">
        <f t="shared" si="1"/>
        <v>44607000</v>
      </c>
      <c r="F11" s="9">
        <f t="shared" si="1"/>
        <v>17835299.350000001</v>
      </c>
      <c r="G11" s="10">
        <f t="shared" si="0"/>
        <v>0.39983185038222702</v>
      </c>
    </row>
    <row r="14" spans="2:10" ht="26.25" customHeight="1" x14ac:dyDescent="0.4">
      <c r="B14" s="49" t="s">
        <v>11</v>
      </c>
      <c r="C14" s="50"/>
      <c r="D14" s="50"/>
      <c r="E14" s="50"/>
      <c r="F14" s="50"/>
      <c r="G14" s="50"/>
      <c r="H14" s="51"/>
      <c r="I14" s="52" t="s">
        <v>16</v>
      </c>
    </row>
    <row r="15" spans="2:10" x14ac:dyDescent="0.25">
      <c r="B15" s="11" t="s">
        <v>17</v>
      </c>
      <c r="C15" s="12" t="s">
        <v>18</v>
      </c>
      <c r="D15" s="12" t="s">
        <v>19</v>
      </c>
      <c r="E15" s="12" t="s">
        <v>20</v>
      </c>
      <c r="F15" s="12" t="s">
        <v>21</v>
      </c>
      <c r="G15" s="12" t="s">
        <v>22</v>
      </c>
      <c r="H15" s="12" t="s">
        <v>23</v>
      </c>
      <c r="I15" s="53"/>
    </row>
    <row r="16" spans="2:10" ht="12" customHeight="1" x14ac:dyDescent="0.25">
      <c r="B16" s="13">
        <v>1</v>
      </c>
      <c r="C16" s="14" t="s">
        <v>24</v>
      </c>
      <c r="D16" s="14" t="s">
        <v>25</v>
      </c>
      <c r="E16" s="14" t="s">
        <v>26</v>
      </c>
      <c r="F16" s="14" t="s">
        <v>27</v>
      </c>
      <c r="G16" s="14" t="s">
        <v>28</v>
      </c>
      <c r="H16" s="15">
        <v>0.1</v>
      </c>
      <c r="I16" s="33">
        <v>2735.14</v>
      </c>
      <c r="J16" s="37">
        <v>2871.9</v>
      </c>
    </row>
    <row r="17" spans="2:10" ht="12" customHeight="1" x14ac:dyDescent="0.25">
      <c r="B17" s="13">
        <v>2</v>
      </c>
      <c r="C17" s="14" t="s">
        <v>24</v>
      </c>
      <c r="D17" s="14" t="s">
        <v>25</v>
      </c>
      <c r="E17" s="14" t="s">
        <v>29</v>
      </c>
      <c r="F17" s="14" t="s">
        <v>27</v>
      </c>
      <c r="G17" s="14" t="s">
        <v>28</v>
      </c>
      <c r="H17" s="14" t="s">
        <v>30</v>
      </c>
      <c r="I17" s="47">
        <v>25485.8</v>
      </c>
      <c r="J17" s="64">
        <v>26760.1</v>
      </c>
    </row>
    <row r="18" spans="2:10" ht="12" customHeight="1" x14ac:dyDescent="0.25">
      <c r="B18" s="13">
        <v>3</v>
      </c>
      <c r="C18" s="14" t="s">
        <v>31</v>
      </c>
      <c r="D18" s="14" t="s">
        <v>32</v>
      </c>
      <c r="E18" s="14" t="s">
        <v>29</v>
      </c>
      <c r="F18" s="14" t="s">
        <v>27</v>
      </c>
      <c r="G18" s="14" t="s">
        <v>28</v>
      </c>
      <c r="H18" s="14" t="s">
        <v>30</v>
      </c>
      <c r="I18" s="48"/>
      <c r="J18" s="64"/>
    </row>
    <row r="19" spans="2:10" ht="12" customHeight="1" x14ac:dyDescent="0.25">
      <c r="B19" s="13">
        <v>4</v>
      </c>
      <c r="C19" s="14" t="s">
        <v>24</v>
      </c>
      <c r="D19" s="14" t="s">
        <v>33</v>
      </c>
      <c r="E19" s="14" t="s">
        <v>34</v>
      </c>
      <c r="F19" s="14" t="s">
        <v>27</v>
      </c>
      <c r="G19" s="14" t="s">
        <v>35</v>
      </c>
      <c r="H19" s="15">
        <v>7.0000000000000007E-2</v>
      </c>
      <c r="I19" s="47">
        <v>171566.12</v>
      </c>
      <c r="J19" s="64">
        <v>180144.47000000003</v>
      </c>
    </row>
    <row r="20" spans="2:10" ht="12" customHeight="1" x14ac:dyDescent="0.25">
      <c r="B20" s="13">
        <v>5</v>
      </c>
      <c r="C20" s="14" t="s">
        <v>24</v>
      </c>
      <c r="D20" s="14" t="s">
        <v>36</v>
      </c>
      <c r="E20" s="14" t="s">
        <v>37</v>
      </c>
      <c r="F20" s="14" t="s">
        <v>27</v>
      </c>
      <c r="G20" s="14" t="s">
        <v>28</v>
      </c>
      <c r="H20" s="14" t="s">
        <v>38</v>
      </c>
      <c r="I20" s="54"/>
      <c r="J20" s="64"/>
    </row>
    <row r="21" spans="2:10" ht="12" customHeight="1" x14ac:dyDescent="0.25">
      <c r="B21" s="13">
        <v>6</v>
      </c>
      <c r="C21" s="14" t="s">
        <v>24</v>
      </c>
      <c r="D21" s="14" t="s">
        <v>39</v>
      </c>
      <c r="E21" s="14" t="s">
        <v>40</v>
      </c>
      <c r="F21" s="14" t="s">
        <v>27</v>
      </c>
      <c r="G21" s="14" t="s">
        <v>28</v>
      </c>
      <c r="H21" s="15">
        <v>0.05</v>
      </c>
      <c r="I21" s="54"/>
      <c r="J21" s="64"/>
    </row>
    <row r="22" spans="2:10" ht="12" customHeight="1" x14ac:dyDescent="0.25">
      <c r="B22" s="13">
        <v>7</v>
      </c>
      <c r="C22" s="14" t="s">
        <v>24</v>
      </c>
      <c r="D22" s="14" t="s">
        <v>41</v>
      </c>
      <c r="E22" s="14" t="s">
        <v>42</v>
      </c>
      <c r="F22" s="14" t="s">
        <v>27</v>
      </c>
      <c r="G22" s="14" t="s">
        <v>28</v>
      </c>
      <c r="H22" s="15">
        <v>0.1</v>
      </c>
      <c r="I22" s="54"/>
      <c r="J22" s="64"/>
    </row>
    <row r="23" spans="2:10" ht="12" customHeight="1" x14ac:dyDescent="0.25">
      <c r="B23" s="13">
        <v>8</v>
      </c>
      <c r="C23" s="14" t="s">
        <v>31</v>
      </c>
      <c r="D23" s="14" t="s">
        <v>43</v>
      </c>
      <c r="E23" s="14" t="s">
        <v>37</v>
      </c>
      <c r="F23" s="14" t="s">
        <v>27</v>
      </c>
      <c r="G23" s="14" t="s">
        <v>28</v>
      </c>
      <c r="H23" s="14" t="s">
        <v>38</v>
      </c>
      <c r="I23" s="48"/>
      <c r="J23" s="64"/>
    </row>
    <row r="24" spans="2:10" ht="12" customHeight="1" x14ac:dyDescent="0.25">
      <c r="B24" s="13">
        <v>9</v>
      </c>
      <c r="C24" s="14" t="s">
        <v>24</v>
      </c>
      <c r="D24" s="14" t="s">
        <v>36</v>
      </c>
      <c r="E24" s="14" t="s">
        <v>44</v>
      </c>
      <c r="F24" s="14" t="s">
        <v>27</v>
      </c>
      <c r="G24" s="14" t="s">
        <v>28</v>
      </c>
      <c r="H24" s="14" t="s">
        <v>45</v>
      </c>
      <c r="I24" s="47">
        <v>74040.72</v>
      </c>
      <c r="J24" s="64">
        <v>77742.48000000001</v>
      </c>
    </row>
    <row r="25" spans="2:10" ht="12" customHeight="1" x14ac:dyDescent="0.25">
      <c r="B25" s="13">
        <v>10</v>
      </c>
      <c r="C25" s="14" t="s">
        <v>31</v>
      </c>
      <c r="D25" s="14" t="s">
        <v>46</v>
      </c>
      <c r="E25" s="14" t="s">
        <v>44</v>
      </c>
      <c r="F25" s="14" t="s">
        <v>27</v>
      </c>
      <c r="G25" s="14" t="s">
        <v>28</v>
      </c>
      <c r="H25" s="15">
        <v>0.1</v>
      </c>
      <c r="I25" s="48"/>
      <c r="J25" s="64"/>
    </row>
    <row r="26" spans="2:10" ht="12" customHeight="1" x14ac:dyDescent="0.25">
      <c r="B26" s="13">
        <v>11</v>
      </c>
      <c r="C26" s="14" t="s">
        <v>24</v>
      </c>
      <c r="D26" s="14" t="s">
        <v>39</v>
      </c>
      <c r="E26" s="14" t="s">
        <v>47</v>
      </c>
      <c r="F26" s="14" t="s">
        <v>27</v>
      </c>
      <c r="G26" s="14" t="s">
        <v>28</v>
      </c>
      <c r="H26" s="15">
        <v>0.12</v>
      </c>
      <c r="I26" s="47">
        <v>58946.51</v>
      </c>
      <c r="J26" s="64">
        <v>61893.810000000005</v>
      </c>
    </row>
    <row r="27" spans="2:10" ht="12" customHeight="1" x14ac:dyDescent="0.25">
      <c r="B27" s="13">
        <v>12</v>
      </c>
      <c r="C27" s="14" t="s">
        <v>31</v>
      </c>
      <c r="D27" s="14" t="s">
        <v>48</v>
      </c>
      <c r="E27" s="14" t="s">
        <v>47</v>
      </c>
      <c r="F27" s="14" t="s">
        <v>27</v>
      </c>
      <c r="G27" s="14" t="s">
        <v>28</v>
      </c>
      <c r="H27" s="15">
        <v>0.12</v>
      </c>
      <c r="I27" s="48"/>
      <c r="J27" s="64"/>
    </row>
    <row r="28" spans="2:10" ht="12" customHeight="1" x14ac:dyDescent="0.25">
      <c r="B28" s="55">
        <v>13</v>
      </c>
      <c r="C28" s="58" t="s">
        <v>24</v>
      </c>
      <c r="D28" s="58" t="s">
        <v>49</v>
      </c>
      <c r="E28" s="58" t="s">
        <v>50</v>
      </c>
      <c r="F28" s="58" t="s">
        <v>27</v>
      </c>
      <c r="G28" s="58" t="s">
        <v>28</v>
      </c>
      <c r="H28" s="16" t="s">
        <v>51</v>
      </c>
      <c r="I28" s="47">
        <v>33108.43</v>
      </c>
      <c r="J28" s="64">
        <v>34763.799999999988</v>
      </c>
    </row>
    <row r="29" spans="2:10" ht="12" customHeight="1" x14ac:dyDescent="0.25">
      <c r="B29" s="56"/>
      <c r="C29" s="59"/>
      <c r="D29" s="59"/>
      <c r="E29" s="59"/>
      <c r="F29" s="59"/>
      <c r="G29" s="59"/>
      <c r="H29" s="17" t="s">
        <v>52</v>
      </c>
      <c r="I29" s="54"/>
      <c r="J29" s="64"/>
    </row>
    <row r="30" spans="2:10" ht="12" customHeight="1" x14ac:dyDescent="0.25">
      <c r="B30" s="57"/>
      <c r="C30" s="60"/>
      <c r="D30" s="60"/>
      <c r="E30" s="60"/>
      <c r="F30" s="60"/>
      <c r="G30" s="60"/>
      <c r="H30" s="18" t="s">
        <v>53</v>
      </c>
      <c r="I30" s="54"/>
      <c r="J30" s="64"/>
    </row>
    <row r="31" spans="2:10" ht="12" customHeight="1" x14ac:dyDescent="0.25">
      <c r="B31" s="13">
        <v>14</v>
      </c>
      <c r="C31" s="14" t="s">
        <v>31</v>
      </c>
      <c r="D31" s="14" t="s">
        <v>54</v>
      </c>
      <c r="E31" s="14" t="s">
        <v>55</v>
      </c>
      <c r="F31" s="14" t="s">
        <v>27</v>
      </c>
      <c r="G31" s="14" t="s">
        <v>28</v>
      </c>
      <c r="H31" s="15">
        <v>0.15</v>
      </c>
      <c r="I31" s="48"/>
      <c r="J31" s="64"/>
    </row>
    <row r="32" spans="2:10" ht="12" customHeight="1" x14ac:dyDescent="0.25">
      <c r="B32" s="13">
        <v>15</v>
      </c>
      <c r="C32" s="14" t="s">
        <v>24</v>
      </c>
      <c r="D32" s="14" t="s">
        <v>33</v>
      </c>
      <c r="E32" s="14" t="s">
        <v>56</v>
      </c>
      <c r="F32" s="14" t="s">
        <v>27</v>
      </c>
      <c r="G32" s="14" t="s">
        <v>28</v>
      </c>
      <c r="H32" s="14" t="s">
        <v>57</v>
      </c>
      <c r="I32" s="33">
        <v>157294.17000000001</v>
      </c>
      <c r="J32" s="37">
        <v>165158.88</v>
      </c>
    </row>
    <row r="33" spans="2:10" ht="12" customHeight="1" x14ac:dyDescent="0.25">
      <c r="B33" s="13">
        <v>16</v>
      </c>
      <c r="C33" s="14" t="s">
        <v>24</v>
      </c>
      <c r="D33" s="14" t="s">
        <v>33</v>
      </c>
      <c r="E33" s="14" t="s">
        <v>58</v>
      </c>
      <c r="F33" s="14" t="s">
        <v>27</v>
      </c>
      <c r="G33" s="14" t="s">
        <v>35</v>
      </c>
      <c r="H33" s="14" t="s">
        <v>59</v>
      </c>
      <c r="I33" s="33">
        <v>34771.32</v>
      </c>
      <c r="J33" s="37">
        <v>36509.89</v>
      </c>
    </row>
    <row r="34" spans="2:10" ht="12" customHeight="1" x14ac:dyDescent="0.25">
      <c r="B34" s="13">
        <v>17</v>
      </c>
      <c r="C34" s="14" t="s">
        <v>60</v>
      </c>
      <c r="D34" s="14" t="s">
        <v>61</v>
      </c>
      <c r="E34" s="14" t="s">
        <v>62</v>
      </c>
      <c r="F34" s="14" t="s">
        <v>27</v>
      </c>
      <c r="G34" s="14" t="s">
        <v>28</v>
      </c>
      <c r="H34" s="14" t="s">
        <v>63</v>
      </c>
      <c r="I34" s="33">
        <v>110715.6</v>
      </c>
      <c r="J34" s="37">
        <v>116251.38</v>
      </c>
    </row>
    <row r="35" spans="2:10" ht="12" customHeight="1" x14ac:dyDescent="0.25">
      <c r="B35" s="13">
        <v>18</v>
      </c>
      <c r="C35" s="14" t="s">
        <v>24</v>
      </c>
      <c r="D35" s="14" t="s">
        <v>36</v>
      </c>
      <c r="E35" s="14" t="s">
        <v>64</v>
      </c>
      <c r="F35" s="14" t="s">
        <v>27</v>
      </c>
      <c r="G35" s="14" t="s">
        <v>28</v>
      </c>
      <c r="H35" s="14" t="s">
        <v>45</v>
      </c>
      <c r="I35" s="33">
        <v>17255.04</v>
      </c>
      <c r="J35" s="37">
        <v>6401.8899999999994</v>
      </c>
    </row>
    <row r="36" spans="2:10" ht="12" customHeight="1" x14ac:dyDescent="0.25">
      <c r="B36" s="13">
        <v>19</v>
      </c>
      <c r="C36" s="14" t="s">
        <v>24</v>
      </c>
      <c r="D36" s="14" t="s">
        <v>49</v>
      </c>
      <c r="E36" s="14" t="s">
        <v>65</v>
      </c>
      <c r="F36" s="14" t="s">
        <v>27</v>
      </c>
      <c r="G36" s="14" t="s">
        <v>35</v>
      </c>
      <c r="H36" s="14" t="s">
        <v>66</v>
      </c>
      <c r="I36" s="34">
        <v>0</v>
      </c>
      <c r="J36" s="37"/>
    </row>
    <row r="37" spans="2:10" ht="12" customHeight="1" x14ac:dyDescent="0.25">
      <c r="B37" s="55">
        <v>20</v>
      </c>
      <c r="C37" s="58" t="s">
        <v>24</v>
      </c>
      <c r="D37" s="58" t="s">
        <v>67</v>
      </c>
      <c r="E37" s="58" t="s">
        <v>68</v>
      </c>
      <c r="F37" s="58" t="s">
        <v>27</v>
      </c>
      <c r="G37" s="58" t="s">
        <v>69</v>
      </c>
      <c r="H37" s="16" t="s">
        <v>70</v>
      </c>
      <c r="I37" s="47">
        <v>14525</v>
      </c>
      <c r="J37" s="64"/>
    </row>
    <row r="38" spans="2:10" ht="12" customHeight="1" x14ac:dyDescent="0.25">
      <c r="B38" s="56"/>
      <c r="C38" s="59"/>
      <c r="D38" s="59"/>
      <c r="E38" s="59"/>
      <c r="F38" s="59"/>
      <c r="G38" s="59"/>
      <c r="H38" s="17" t="s">
        <v>71</v>
      </c>
      <c r="I38" s="54"/>
      <c r="J38" s="64"/>
    </row>
    <row r="39" spans="2:10" ht="12" customHeight="1" x14ac:dyDescent="0.25">
      <c r="B39" s="57"/>
      <c r="C39" s="60"/>
      <c r="D39" s="60"/>
      <c r="E39" s="60"/>
      <c r="F39" s="60"/>
      <c r="G39" s="60"/>
      <c r="H39" s="18" t="s">
        <v>72</v>
      </c>
      <c r="I39" s="48"/>
      <c r="J39" s="64"/>
    </row>
    <row r="40" spans="2:10" ht="12" customHeight="1" x14ac:dyDescent="0.25">
      <c r="B40" s="13">
        <v>21</v>
      </c>
      <c r="C40" s="14" t="s">
        <v>24</v>
      </c>
      <c r="D40" s="14" t="s">
        <v>73</v>
      </c>
      <c r="E40" s="14" t="s">
        <v>74</v>
      </c>
      <c r="F40" s="14" t="s">
        <v>27</v>
      </c>
      <c r="G40" s="14" t="s">
        <v>69</v>
      </c>
      <c r="H40" s="14" t="s">
        <v>75</v>
      </c>
      <c r="I40" s="33">
        <v>29765.67</v>
      </c>
      <c r="J40" s="37">
        <v>31253.96</v>
      </c>
    </row>
    <row r="41" spans="2:10" ht="12" customHeight="1" x14ac:dyDescent="0.25">
      <c r="B41" s="55">
        <v>22</v>
      </c>
      <c r="C41" s="58" t="s">
        <v>76</v>
      </c>
      <c r="D41" s="58" t="s">
        <v>77</v>
      </c>
      <c r="E41" s="58" t="s">
        <v>78</v>
      </c>
      <c r="F41" s="58" t="s">
        <v>27</v>
      </c>
      <c r="G41" s="58" t="s">
        <v>69</v>
      </c>
      <c r="H41" s="16" t="s">
        <v>79</v>
      </c>
      <c r="I41" s="47">
        <v>12362.87</v>
      </c>
      <c r="J41" s="37">
        <v>12981.010000000002</v>
      </c>
    </row>
    <row r="42" spans="2:10" ht="12" customHeight="1" x14ac:dyDescent="0.25">
      <c r="B42" s="57"/>
      <c r="C42" s="60"/>
      <c r="D42" s="60"/>
      <c r="E42" s="60"/>
      <c r="F42" s="60"/>
      <c r="G42" s="60"/>
      <c r="H42" s="18" t="s">
        <v>80</v>
      </c>
      <c r="I42" s="48"/>
      <c r="J42" s="37"/>
    </row>
    <row r="43" spans="2:10" ht="12" customHeight="1" x14ac:dyDescent="0.25">
      <c r="B43" s="13">
        <v>23</v>
      </c>
      <c r="C43" s="14" t="s">
        <v>76</v>
      </c>
      <c r="D43" s="19" t="s">
        <v>81</v>
      </c>
      <c r="E43" s="19" t="s">
        <v>82</v>
      </c>
      <c r="F43" s="14" t="s">
        <v>27</v>
      </c>
      <c r="G43" s="14" t="s">
        <v>69</v>
      </c>
      <c r="H43" s="15">
        <v>0.15</v>
      </c>
      <c r="I43" s="33">
        <v>7054.47</v>
      </c>
      <c r="J43" s="37">
        <v>7407.17</v>
      </c>
    </row>
    <row r="44" spans="2:10" ht="12" customHeight="1" x14ac:dyDescent="0.25">
      <c r="B44" s="13">
        <v>24</v>
      </c>
      <c r="C44" s="14" t="s">
        <v>76</v>
      </c>
      <c r="D44" s="19" t="s">
        <v>81</v>
      </c>
      <c r="E44" s="19" t="s">
        <v>83</v>
      </c>
      <c r="F44" s="14" t="s">
        <v>27</v>
      </c>
      <c r="G44" s="14" t="s">
        <v>69</v>
      </c>
      <c r="H44" s="15">
        <v>0.05</v>
      </c>
      <c r="I44" s="33">
        <v>1966.9</v>
      </c>
      <c r="J44" s="37">
        <v>2064.85</v>
      </c>
    </row>
    <row r="45" spans="2:10" ht="12" customHeight="1" x14ac:dyDescent="0.25">
      <c r="B45" s="13">
        <v>25</v>
      </c>
      <c r="C45" s="14" t="s">
        <v>84</v>
      </c>
      <c r="D45" s="19" t="s">
        <v>85</v>
      </c>
      <c r="E45" s="19" t="s">
        <v>86</v>
      </c>
      <c r="F45" s="14" t="s">
        <v>87</v>
      </c>
      <c r="G45" s="14" t="s">
        <v>28</v>
      </c>
      <c r="H45" s="14" t="s">
        <v>88</v>
      </c>
      <c r="I45" s="33">
        <v>7917.06</v>
      </c>
      <c r="J45" s="37">
        <v>8312.92</v>
      </c>
    </row>
    <row r="46" spans="2:10" ht="12" customHeight="1" x14ac:dyDescent="0.25">
      <c r="B46" s="13">
        <v>26</v>
      </c>
      <c r="C46" s="14"/>
      <c r="D46" s="20" t="s">
        <v>81</v>
      </c>
      <c r="E46" s="19" t="s">
        <v>89</v>
      </c>
      <c r="F46" s="14" t="s">
        <v>90</v>
      </c>
      <c r="G46" s="14" t="s">
        <v>28</v>
      </c>
      <c r="H46" s="21" t="s">
        <v>91</v>
      </c>
      <c r="I46" s="33">
        <v>11533.56</v>
      </c>
      <c r="J46" s="37">
        <v>11533.56</v>
      </c>
    </row>
    <row r="47" spans="2:10" ht="12" customHeight="1" x14ac:dyDescent="0.25">
      <c r="B47" s="13">
        <v>27</v>
      </c>
      <c r="C47" s="14" t="s">
        <v>84</v>
      </c>
      <c r="D47" s="19" t="s">
        <v>85</v>
      </c>
      <c r="E47" s="14" t="s">
        <v>92</v>
      </c>
      <c r="F47" s="14" t="s">
        <v>87</v>
      </c>
      <c r="G47" s="14" t="s">
        <v>28</v>
      </c>
      <c r="H47" s="14" t="s">
        <v>93</v>
      </c>
      <c r="I47" s="33">
        <v>1752.54</v>
      </c>
      <c r="J47" s="37">
        <v>2375.46</v>
      </c>
    </row>
    <row r="48" spans="2:10" ht="12" customHeight="1" x14ac:dyDescent="0.25">
      <c r="B48" s="13">
        <v>28</v>
      </c>
      <c r="C48" s="14" t="s">
        <v>31</v>
      </c>
      <c r="D48" s="14" t="s">
        <v>94</v>
      </c>
      <c r="E48" s="14" t="s">
        <v>95</v>
      </c>
      <c r="F48" s="14" t="s">
        <v>87</v>
      </c>
      <c r="G48" s="14" t="s">
        <v>28</v>
      </c>
      <c r="H48" s="14" t="s">
        <v>96</v>
      </c>
      <c r="I48" s="33">
        <v>1599.65</v>
      </c>
      <c r="J48" s="37">
        <v>1679.6399999999999</v>
      </c>
    </row>
    <row r="49" spans="2:11" ht="12" customHeight="1" x14ac:dyDescent="0.25">
      <c r="B49" s="13">
        <v>29</v>
      </c>
      <c r="C49" s="14"/>
      <c r="D49" s="19" t="s">
        <v>81</v>
      </c>
      <c r="E49" s="19" t="s">
        <v>97</v>
      </c>
      <c r="F49" s="14" t="s">
        <v>90</v>
      </c>
      <c r="G49" s="14" t="s">
        <v>69</v>
      </c>
      <c r="H49" s="14" t="s">
        <v>98</v>
      </c>
      <c r="I49" s="33">
        <v>9117.98</v>
      </c>
      <c r="J49" s="37">
        <v>9573.8499999999985</v>
      </c>
    </row>
    <row r="50" spans="2:11" ht="12" customHeight="1" x14ac:dyDescent="0.25">
      <c r="B50" s="13">
        <v>30</v>
      </c>
      <c r="C50" s="14" t="s">
        <v>99</v>
      </c>
      <c r="D50" s="19" t="s">
        <v>81</v>
      </c>
      <c r="E50" s="19" t="s">
        <v>100</v>
      </c>
      <c r="F50" s="14" t="s">
        <v>87</v>
      </c>
      <c r="G50" s="14" t="s">
        <v>28</v>
      </c>
      <c r="H50" s="14" t="s">
        <v>101</v>
      </c>
      <c r="I50" s="35" t="s">
        <v>102</v>
      </c>
      <c r="J50" s="37"/>
    </row>
    <row r="51" spans="2:11" ht="12" customHeight="1" x14ac:dyDescent="0.25">
      <c r="B51" s="13">
        <v>31</v>
      </c>
      <c r="C51" s="14" t="s">
        <v>24</v>
      </c>
      <c r="D51" s="14" t="s">
        <v>103</v>
      </c>
      <c r="E51" s="14" t="s">
        <v>104</v>
      </c>
      <c r="F51" s="14" t="s">
        <v>105</v>
      </c>
      <c r="G51" s="14" t="s">
        <v>28</v>
      </c>
      <c r="H51" s="14" t="s">
        <v>106</v>
      </c>
      <c r="I51" s="34">
        <v>0</v>
      </c>
      <c r="J51" s="37"/>
      <c r="K51">
        <v>15750</v>
      </c>
    </row>
    <row r="52" spans="2:11" ht="12" customHeight="1" x14ac:dyDescent="0.25">
      <c r="B52" s="13">
        <v>32</v>
      </c>
      <c r="C52" s="14" t="s">
        <v>24</v>
      </c>
      <c r="D52" s="14" t="s">
        <v>107</v>
      </c>
      <c r="E52" s="14" t="s">
        <v>108</v>
      </c>
      <c r="F52" s="14" t="s">
        <v>105</v>
      </c>
      <c r="G52" s="14" t="s">
        <v>35</v>
      </c>
      <c r="H52" s="15">
        <v>0.22</v>
      </c>
      <c r="I52" s="34">
        <v>0</v>
      </c>
      <c r="J52" s="37"/>
    </row>
    <row r="53" spans="2:11" ht="12" customHeight="1" x14ac:dyDescent="0.25">
      <c r="B53" s="13">
        <v>1</v>
      </c>
      <c r="C53" s="65" t="s">
        <v>109</v>
      </c>
      <c r="D53" s="66"/>
      <c r="E53" s="71" t="s">
        <v>110</v>
      </c>
      <c r="F53" s="72"/>
      <c r="G53" s="72"/>
      <c r="H53" s="72"/>
      <c r="I53" s="36">
        <v>10823.78</v>
      </c>
      <c r="J53" s="37">
        <v>11365</v>
      </c>
    </row>
    <row r="54" spans="2:11" ht="12" customHeight="1" x14ac:dyDescent="0.25">
      <c r="B54" s="13">
        <v>2</v>
      </c>
      <c r="C54" s="67"/>
      <c r="D54" s="68"/>
      <c r="E54" s="71" t="s">
        <v>111</v>
      </c>
      <c r="F54" s="72"/>
      <c r="G54" s="72"/>
      <c r="H54" s="72"/>
      <c r="I54" s="36">
        <v>143476.18</v>
      </c>
      <c r="J54" s="37">
        <v>150650</v>
      </c>
    </row>
    <row r="55" spans="2:11" ht="12" customHeight="1" x14ac:dyDescent="0.25">
      <c r="B55" s="13">
        <v>3</v>
      </c>
      <c r="C55" s="69"/>
      <c r="D55" s="70"/>
      <c r="E55" s="71" t="s">
        <v>112</v>
      </c>
      <c r="F55" s="72"/>
      <c r="G55" s="72"/>
      <c r="H55" s="72"/>
      <c r="I55" s="36">
        <v>13514.27</v>
      </c>
      <c r="J55" s="37">
        <v>14190</v>
      </c>
    </row>
    <row r="56" spans="2:11" ht="12" customHeight="1" x14ac:dyDescent="0.25">
      <c r="B56" s="22"/>
      <c r="C56" s="23"/>
      <c r="D56" s="23"/>
      <c r="E56" s="24" t="s">
        <v>113</v>
      </c>
      <c r="F56" s="24"/>
      <c r="G56" s="24"/>
      <c r="H56" s="24"/>
      <c r="I56" s="36">
        <v>-27490.78</v>
      </c>
      <c r="J56" s="37"/>
    </row>
    <row r="57" spans="2:11" ht="12" customHeight="1" x14ac:dyDescent="0.25">
      <c r="B57" s="61" t="s">
        <v>114</v>
      </c>
      <c r="C57" s="62"/>
      <c r="D57" s="62"/>
      <c r="E57" s="62"/>
      <c r="F57" s="62"/>
      <c r="G57" s="62"/>
      <c r="H57" s="63"/>
      <c r="I57" s="25">
        <v>923838</v>
      </c>
    </row>
    <row r="59" spans="2:11" ht="37.5" x14ac:dyDescent="0.25">
      <c r="B59" s="26" t="s">
        <v>115</v>
      </c>
      <c r="C59" s="27" t="s">
        <v>116</v>
      </c>
      <c r="D59" s="27" t="s">
        <v>117</v>
      </c>
      <c r="J59" t="s">
        <v>127</v>
      </c>
    </row>
    <row r="60" spans="2:11" ht="18.75" x14ac:dyDescent="0.25">
      <c r="B60" s="28" t="s">
        <v>118</v>
      </c>
      <c r="C60" s="29">
        <v>26400</v>
      </c>
      <c r="D60" s="29">
        <v>31251</v>
      </c>
      <c r="J60" t="s">
        <v>128</v>
      </c>
    </row>
    <row r="61" spans="2:11" ht="18.75" x14ac:dyDescent="0.25">
      <c r="B61" s="28" t="s">
        <v>119</v>
      </c>
      <c r="C61" s="29">
        <v>11000</v>
      </c>
      <c r="D61" s="29">
        <v>3158</v>
      </c>
      <c r="J61" t="s">
        <v>129</v>
      </c>
    </row>
    <row r="62" spans="2:11" ht="18.75" x14ac:dyDescent="0.25">
      <c r="B62" s="28" t="s">
        <v>120</v>
      </c>
      <c r="C62" s="29">
        <v>6600</v>
      </c>
      <c r="D62" s="29">
        <v>45050</v>
      </c>
      <c r="J62" t="s">
        <v>130</v>
      </c>
    </row>
    <row r="63" spans="2:11" ht="37.5" x14ac:dyDescent="0.25">
      <c r="B63" s="28" t="s">
        <v>121</v>
      </c>
      <c r="C63" s="30">
        <v>390</v>
      </c>
      <c r="D63" s="30">
        <v>390</v>
      </c>
    </row>
    <row r="64" spans="2:11" ht="18.75" x14ac:dyDescent="0.25">
      <c r="B64" s="28" t="s">
        <v>122</v>
      </c>
      <c r="C64" s="30">
        <v>0</v>
      </c>
      <c r="D64" s="29">
        <v>25714</v>
      </c>
    </row>
    <row r="65" spans="2:5" ht="18.75" x14ac:dyDescent="0.25">
      <c r="B65" s="28" t="s">
        <v>123</v>
      </c>
      <c r="C65" s="29">
        <v>3000</v>
      </c>
      <c r="D65" s="29">
        <v>74010</v>
      </c>
    </row>
    <row r="66" spans="2:5" ht="18.75" x14ac:dyDescent="0.25">
      <c r="B66" s="28" t="s">
        <v>124</v>
      </c>
      <c r="C66" s="30">
        <v>0</v>
      </c>
      <c r="D66" s="29">
        <v>3369160</v>
      </c>
      <c r="E66" t="s">
        <v>131</v>
      </c>
    </row>
    <row r="67" spans="2:5" ht="18.75" x14ac:dyDescent="0.25">
      <c r="B67" s="28" t="s">
        <v>125</v>
      </c>
      <c r="C67" s="29">
        <v>2106071</v>
      </c>
      <c r="D67" s="30">
        <v>644</v>
      </c>
    </row>
    <row r="68" spans="2:5" ht="18.75" x14ac:dyDescent="0.25">
      <c r="B68" s="31" t="s">
        <v>126</v>
      </c>
      <c r="C68" s="32">
        <v>2153461</v>
      </c>
      <c r="D68" s="32">
        <v>3549376</v>
      </c>
    </row>
  </sheetData>
  <mergeCells count="38">
    <mergeCell ref="J17:J18"/>
    <mergeCell ref="J19:J23"/>
    <mergeCell ref="J24:J25"/>
    <mergeCell ref="J26:J27"/>
    <mergeCell ref="J28:J31"/>
    <mergeCell ref="J37:J39"/>
    <mergeCell ref="I41:I42"/>
    <mergeCell ref="C53:D55"/>
    <mergeCell ref="E53:H53"/>
    <mergeCell ref="E54:H54"/>
    <mergeCell ref="E55:H55"/>
    <mergeCell ref="B57:H57"/>
    <mergeCell ref="B41:B42"/>
    <mergeCell ref="C41:C42"/>
    <mergeCell ref="D41:D42"/>
    <mergeCell ref="E41:E42"/>
    <mergeCell ref="F41:F42"/>
    <mergeCell ref="G41:G42"/>
    <mergeCell ref="I28:I31"/>
    <mergeCell ref="B37:B39"/>
    <mergeCell ref="C37:C39"/>
    <mergeCell ref="D37:D39"/>
    <mergeCell ref="E37:E39"/>
    <mergeCell ref="F37:F39"/>
    <mergeCell ref="G37:G39"/>
    <mergeCell ref="I37:I39"/>
    <mergeCell ref="B28:B30"/>
    <mergeCell ref="C28:C30"/>
    <mergeCell ref="D28:D30"/>
    <mergeCell ref="E28:E30"/>
    <mergeCell ref="F28:F30"/>
    <mergeCell ref="G28:G30"/>
    <mergeCell ref="I26:I27"/>
    <mergeCell ref="B14:H14"/>
    <mergeCell ref="I14:I15"/>
    <mergeCell ref="I17:I18"/>
    <mergeCell ref="I19:I23"/>
    <mergeCell ref="I24:I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"/>
  <sheetViews>
    <sheetView workbookViewId="0">
      <selection activeCell="D5" sqref="D5"/>
    </sheetView>
  </sheetViews>
  <sheetFormatPr defaultRowHeight="15" x14ac:dyDescent="0.25"/>
  <cols>
    <col min="2" max="2" width="39.42578125" bestFit="1" customWidth="1"/>
    <col min="3" max="5" width="14.28515625" bestFit="1" customWidth="1"/>
  </cols>
  <sheetData>
    <row r="2" spans="2:9" x14ac:dyDescent="0.25">
      <c r="C2">
        <v>2019</v>
      </c>
      <c r="D2">
        <v>2020</v>
      </c>
      <c r="E2">
        <v>2021</v>
      </c>
      <c r="F2">
        <v>2022</v>
      </c>
    </row>
    <row r="3" spans="2:9" x14ac:dyDescent="0.25">
      <c r="B3" t="s">
        <v>139</v>
      </c>
      <c r="C3" s="45">
        <v>13440404</v>
      </c>
      <c r="D3" s="45">
        <v>14063852</v>
      </c>
      <c r="E3" s="45">
        <v>14191132</v>
      </c>
      <c r="F3" s="45"/>
      <c r="G3" s="45"/>
      <c r="H3" s="45"/>
      <c r="I3" s="45"/>
    </row>
    <row r="4" spans="2:9" x14ac:dyDescent="0.25">
      <c r="B4" t="s">
        <v>140</v>
      </c>
      <c r="C4" s="45">
        <v>1534292</v>
      </c>
      <c r="D4" s="45">
        <v>300943</v>
      </c>
      <c r="E4" s="45">
        <v>534741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B23" sqref="B23:F25"/>
    </sheetView>
  </sheetViews>
  <sheetFormatPr defaultRowHeight="15" x14ac:dyDescent="0.25"/>
  <cols>
    <col min="2" max="2" width="54.85546875" customWidth="1"/>
    <col min="3" max="4" width="20.5703125" bestFit="1" customWidth="1"/>
    <col min="5" max="5" width="21.7109375" bestFit="1" customWidth="1"/>
    <col min="6" max="6" width="29.28515625" customWidth="1"/>
    <col min="7" max="7" width="17.42578125" customWidth="1"/>
    <col min="8" max="8" width="14.7109375" customWidth="1"/>
  </cols>
  <sheetData>
    <row r="2" spans="2:8" x14ac:dyDescent="0.25">
      <c r="C2" t="s">
        <v>134</v>
      </c>
      <c r="D2" t="s">
        <v>135</v>
      </c>
      <c r="E2" t="s">
        <v>137</v>
      </c>
    </row>
    <row r="3" spans="2:8" ht="15.75" x14ac:dyDescent="0.25">
      <c r="B3" s="1" t="s">
        <v>0</v>
      </c>
      <c r="C3" s="2" t="s">
        <v>1</v>
      </c>
      <c r="D3" s="2" t="s">
        <v>1</v>
      </c>
      <c r="E3" s="2" t="s">
        <v>1</v>
      </c>
      <c r="F3" s="42"/>
    </row>
    <row r="4" spans="2:8" x14ac:dyDescent="0.25">
      <c r="B4" s="3" t="s">
        <v>6</v>
      </c>
      <c r="C4" s="43">
        <v>24000000</v>
      </c>
      <c r="D4" s="43">
        <v>24000000</v>
      </c>
      <c r="E4" s="43">
        <v>24000000</v>
      </c>
      <c r="F4" s="4">
        <f>C4-D4</f>
        <v>0</v>
      </c>
      <c r="G4" s="4">
        <v>21500000</v>
      </c>
      <c r="H4" s="39">
        <f t="shared" ref="H4:H11" si="0">C4-G4</f>
        <v>2500000</v>
      </c>
    </row>
    <row r="5" spans="2:8" x14ac:dyDescent="0.25">
      <c r="B5" s="6" t="s">
        <v>7</v>
      </c>
      <c r="C5" s="43">
        <v>12000000</v>
      </c>
      <c r="D5" s="43">
        <v>12000000</v>
      </c>
      <c r="E5" s="43">
        <v>12000000</v>
      </c>
      <c r="F5" s="4">
        <f t="shared" ref="F5:F12" si="1">C5-D5</f>
        <v>0</v>
      </c>
      <c r="G5" s="4">
        <v>12000000</v>
      </c>
      <c r="H5" s="39">
        <f t="shared" si="0"/>
        <v>0</v>
      </c>
    </row>
    <row r="6" spans="2:8" x14ac:dyDescent="0.25">
      <c r="B6" s="6" t="s">
        <v>8</v>
      </c>
      <c r="C6" s="43">
        <v>4846539</v>
      </c>
      <c r="D6" s="43">
        <v>4846539</v>
      </c>
      <c r="E6" s="43">
        <v>4846539</v>
      </c>
      <c r="F6" s="4">
        <f t="shared" si="1"/>
        <v>0</v>
      </c>
      <c r="G6" s="4">
        <v>4846539</v>
      </c>
      <c r="H6" s="39">
        <f t="shared" si="0"/>
        <v>0</v>
      </c>
    </row>
    <row r="7" spans="2:8" x14ac:dyDescent="0.25">
      <c r="B7" s="6" t="s">
        <v>9</v>
      </c>
      <c r="C7" s="43">
        <v>6000000</v>
      </c>
      <c r="D7" s="43">
        <v>6000000</v>
      </c>
      <c r="E7" s="43">
        <v>6000000</v>
      </c>
      <c r="F7" s="4">
        <f t="shared" si="1"/>
        <v>0</v>
      </c>
      <c r="G7" s="4">
        <v>3500000</v>
      </c>
      <c r="H7" s="39">
        <f t="shared" si="0"/>
        <v>2500000</v>
      </c>
    </row>
    <row r="8" spans="2:8" x14ac:dyDescent="0.25">
      <c r="B8" s="3" t="s">
        <v>10</v>
      </c>
      <c r="C8" s="43">
        <v>1500000</v>
      </c>
      <c r="D8" s="43">
        <v>1500000</v>
      </c>
      <c r="E8" s="43">
        <v>1500000</v>
      </c>
      <c r="F8" s="4">
        <f t="shared" si="1"/>
        <v>0</v>
      </c>
      <c r="G8" s="4">
        <v>1500000</v>
      </c>
      <c r="H8" s="39">
        <f t="shared" si="0"/>
        <v>0</v>
      </c>
    </row>
    <row r="9" spans="2:8" x14ac:dyDescent="0.25">
      <c r="B9" s="3" t="s">
        <v>11</v>
      </c>
      <c r="C9" s="43">
        <v>4229000</v>
      </c>
      <c r="D9" s="43">
        <v>4229000</v>
      </c>
      <c r="E9" s="43">
        <v>4229000</v>
      </c>
      <c r="F9" s="4">
        <f t="shared" si="1"/>
        <v>0</v>
      </c>
      <c r="G9" s="4">
        <v>2229000</v>
      </c>
      <c r="H9" s="39">
        <f t="shared" si="0"/>
        <v>2000000</v>
      </c>
    </row>
    <row r="10" spans="2:8" x14ac:dyDescent="0.25">
      <c r="B10" s="6" t="s">
        <v>12</v>
      </c>
      <c r="C10" s="43">
        <v>11500000</v>
      </c>
      <c r="D10" s="43">
        <v>8000000</v>
      </c>
      <c r="E10" s="43">
        <v>8000000</v>
      </c>
      <c r="F10" s="4">
        <f t="shared" si="1"/>
        <v>3500000</v>
      </c>
      <c r="G10" s="4">
        <v>8000000</v>
      </c>
      <c r="H10" s="39">
        <f t="shared" si="0"/>
        <v>3500000</v>
      </c>
    </row>
    <row r="11" spans="2:8" x14ac:dyDescent="0.25">
      <c r="B11" s="6" t="s">
        <v>13</v>
      </c>
      <c r="C11" s="44">
        <v>2153461</v>
      </c>
      <c r="D11" s="44">
        <v>3547390</v>
      </c>
      <c r="E11" s="43">
        <f>390+3000+6600+26400+11000</f>
        <v>47390</v>
      </c>
      <c r="F11" s="4">
        <f t="shared" si="1"/>
        <v>-1393929</v>
      </c>
      <c r="G11" s="4">
        <v>47930</v>
      </c>
      <c r="H11" s="39">
        <f t="shared" si="0"/>
        <v>2105531</v>
      </c>
    </row>
    <row r="12" spans="2:8" x14ac:dyDescent="0.25">
      <c r="B12" s="6" t="s">
        <v>136</v>
      </c>
      <c r="C12" s="44"/>
      <c r="D12" s="44">
        <v>2106071</v>
      </c>
      <c r="E12" s="44"/>
      <c r="F12" s="4">
        <f t="shared" si="1"/>
        <v>-2106071</v>
      </c>
      <c r="G12" s="4"/>
    </row>
    <row r="13" spans="2:8" x14ac:dyDescent="0.25">
      <c r="B13" s="6" t="s">
        <v>133</v>
      </c>
      <c r="C13" s="44"/>
      <c r="D13" s="44"/>
      <c r="E13" s="44">
        <v>3500000</v>
      </c>
      <c r="F13" s="40"/>
      <c r="G13" s="4">
        <v>12606071</v>
      </c>
      <c r="H13" s="39">
        <f>C13-G13</f>
        <v>-12606071</v>
      </c>
    </row>
    <row r="14" spans="2:8" x14ac:dyDescent="0.25">
      <c r="B14" s="6" t="s">
        <v>138</v>
      </c>
      <c r="C14" s="44"/>
      <c r="D14" s="44"/>
      <c r="E14" s="44">
        <v>2106071</v>
      </c>
      <c r="F14" s="40"/>
      <c r="G14" s="4"/>
    </row>
    <row r="15" spans="2:8" x14ac:dyDescent="0.25">
      <c r="B15" s="6"/>
      <c r="C15" s="44"/>
      <c r="D15" s="44"/>
      <c r="E15" s="44"/>
      <c r="F15" s="40"/>
      <c r="G15" s="4"/>
    </row>
    <row r="16" spans="2:8" x14ac:dyDescent="0.25">
      <c r="B16" s="8" t="s">
        <v>14</v>
      </c>
      <c r="C16" s="9">
        <f>SUM(C4:C11)</f>
        <v>66229000</v>
      </c>
      <c r="D16" s="9">
        <f>SUM(D4:D15)</f>
        <v>66229000</v>
      </c>
      <c r="E16" s="9">
        <f>SUM(E4:E15)</f>
        <v>66229000</v>
      </c>
      <c r="F16" s="9"/>
      <c r="G16" s="41">
        <f>SUM(G4:G15)</f>
        <v>66229540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3" sqref="H3"/>
    </sheetView>
  </sheetViews>
  <sheetFormatPr defaultRowHeight="15" x14ac:dyDescent="0.25"/>
  <cols>
    <col min="1" max="1" width="27" bestFit="1" customWidth="1"/>
    <col min="2" max="2" width="15.7109375" customWidth="1"/>
    <col min="3" max="4" width="12.85546875" customWidth="1"/>
    <col min="5" max="5" width="16.5703125" bestFit="1" customWidth="1"/>
  </cols>
  <sheetData>
    <row r="1" spans="1:6" x14ac:dyDescent="0.25">
      <c r="A1" s="37" t="s">
        <v>146</v>
      </c>
      <c r="B1" s="37" t="s">
        <v>142</v>
      </c>
      <c r="C1" s="37" t="s">
        <v>143</v>
      </c>
      <c r="D1" s="37" t="s">
        <v>144</v>
      </c>
      <c r="E1" s="37" t="s">
        <v>147</v>
      </c>
    </row>
    <row r="2" spans="1:6" x14ac:dyDescent="0.25">
      <c r="A2" s="37" t="s">
        <v>141</v>
      </c>
      <c r="B2" s="73">
        <v>165158.88</v>
      </c>
      <c r="C2" s="73">
        <f>173*1345</f>
        <v>232685</v>
      </c>
      <c r="D2" s="74">
        <f>B2-C2</f>
        <v>-67526.12</v>
      </c>
      <c r="E2" s="74">
        <f>B2/173</f>
        <v>954.67560693641622</v>
      </c>
      <c r="F2" s="46">
        <f>E2-1345</f>
        <v>-390.32439306358378</v>
      </c>
    </row>
    <row r="3" spans="1:6" x14ac:dyDescent="0.25">
      <c r="A3" s="37" t="s">
        <v>145</v>
      </c>
      <c r="B3" s="37">
        <v>11715.909999999998</v>
      </c>
      <c r="C3" s="73">
        <f>49*1345*4/12</f>
        <v>21968.333333333332</v>
      </c>
      <c r="D3" s="74">
        <f>B3-C3</f>
        <v>-10252.423333333334</v>
      </c>
      <c r="E3" s="74">
        <f>B3/(49*4/12)</f>
        <v>717.30061224489793</v>
      </c>
      <c r="F3" s="46">
        <f>E3-1345</f>
        <v>-627.69938775510207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2023-05-30T09:11:43Z</dcterms:modified>
</cp:coreProperties>
</file>