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2020 Revenue" sheetId="1" r:id="rId1"/>
    <sheet name="2021 Revenue" sheetId="2" r:id="rId2"/>
    <sheet name="2022 Revenue" sheetId="3" r:id="rId3"/>
  </sheets>
  <calcPr calcId="162913"/>
</workbook>
</file>

<file path=xl/calcChain.xml><?xml version="1.0" encoding="utf-8"?>
<calcChain xmlns="http://schemas.openxmlformats.org/spreadsheetml/2006/main">
  <c r="F33" i="3" l="1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6" i="3"/>
  <c r="F15" i="3"/>
  <c r="F14" i="3"/>
  <c r="F13" i="3"/>
  <c r="F12" i="3"/>
  <c r="F11" i="3"/>
  <c r="F10" i="3"/>
  <c r="F9" i="3"/>
  <c r="F8" i="3"/>
  <c r="F7" i="3"/>
  <c r="F6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33" i="3" l="1"/>
</calcChain>
</file>

<file path=xl/sharedStrings.xml><?xml version="1.0" encoding="utf-8"?>
<sst xmlns="http://schemas.openxmlformats.org/spreadsheetml/2006/main" count="177" uniqueCount="66">
  <si>
    <t>رقم البند الحسابي</t>
  </si>
  <si>
    <t>البند الحسابي</t>
  </si>
  <si>
    <t>331220</t>
  </si>
  <si>
    <t>Interest - Term deposits</t>
  </si>
  <si>
    <t>335210</t>
  </si>
  <si>
    <t>Building rent: Commercial properties (including shops)</t>
  </si>
  <si>
    <t>335220</t>
  </si>
  <si>
    <t>Building rent: Residences</t>
  </si>
  <si>
    <t>365050</t>
  </si>
  <si>
    <t>Overhead recovery margin</t>
  </si>
  <si>
    <t>365102</t>
  </si>
  <si>
    <t>Chgs for services to other govt units</t>
  </si>
  <si>
    <t>365302</t>
  </si>
  <si>
    <t>Certificate issuance fee</t>
  </si>
  <si>
    <t>365303</t>
  </si>
  <si>
    <t>Identity card issuance fee</t>
  </si>
  <si>
    <t>365305</t>
  </si>
  <si>
    <t>Replacement fee for lost document</t>
  </si>
  <si>
    <t>365405</t>
  </si>
  <si>
    <t>Student Transportation Charges</t>
  </si>
  <si>
    <t>365406</t>
  </si>
  <si>
    <t>Student accomodation fees</t>
  </si>
  <si>
    <t>365471</t>
  </si>
  <si>
    <t>Educational Services-Sponsorship Income</t>
  </si>
  <si>
    <t>367210</t>
  </si>
  <si>
    <t>Copying and printing documents</t>
  </si>
  <si>
    <t>367330</t>
  </si>
  <si>
    <t>Training - General</t>
  </si>
  <si>
    <t>367340</t>
  </si>
  <si>
    <t>Tuition fee</t>
  </si>
  <si>
    <t>367350</t>
  </si>
  <si>
    <t>Sale of textbooks &amp; educational publication</t>
  </si>
  <si>
    <t>367510</t>
  </si>
  <si>
    <t>Food and beverage supply</t>
  </si>
  <si>
    <t>368104</t>
  </si>
  <si>
    <t>Parks &amp; gardens - Entrance charges</t>
  </si>
  <si>
    <t>368402</t>
  </si>
  <si>
    <t>Income from research studies-Educational establishments</t>
  </si>
  <si>
    <t>369000</t>
  </si>
  <si>
    <t>Other services:</t>
  </si>
  <si>
    <t>377310</t>
  </si>
  <si>
    <t>Forfeiture of deposit</t>
  </si>
  <si>
    <t>378110</t>
  </si>
  <si>
    <t>Penalty or liquidated damages</t>
  </si>
  <si>
    <t>378120</t>
  </si>
  <si>
    <t>Administrative charge for default</t>
  </si>
  <si>
    <t>382220</t>
  </si>
  <si>
    <t>Property damage</t>
  </si>
  <si>
    <t>382500</t>
  </si>
  <si>
    <t>Insurance claim receipts</t>
  </si>
  <si>
    <t>385007</t>
  </si>
  <si>
    <t>Gross Proceeds from Other assets</t>
  </si>
  <si>
    <t>386000</t>
  </si>
  <si>
    <t>Sundry receipts</t>
  </si>
  <si>
    <t>367112</t>
  </si>
  <si>
    <t>Book lending</t>
  </si>
  <si>
    <t>2021 Approved budget Revenue</t>
  </si>
  <si>
    <t>2021 Revenue Actuals</t>
  </si>
  <si>
    <t>total</t>
  </si>
  <si>
    <t>2022 Actual Revenue</t>
  </si>
  <si>
    <t>2022 Approved budget Revenue</t>
  </si>
  <si>
    <t>Total</t>
  </si>
  <si>
    <t>2020 Approved Budget Revenue</t>
  </si>
  <si>
    <t>2020 Actuals Revenue</t>
  </si>
  <si>
    <t>2021 Actual Revenue</t>
  </si>
  <si>
    <t>2020 Actual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</si>
</sst>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11" x14ac:knownFonts="1">
    <font>
      <sz val="11"/>
      <color theme="1"/>
      <name val="Calibri"/>
    </font>
    <font>
      <b/>
      <sz val="10"/>
      <color rgb="FF333399"/>
      <name val="Calibri"/>
    </font>
    <font>
      <b/>
      <sz val="8"/>
      <color rgb="FFCC6600"/>
      <name val="Calibri"/>
    </font>
    <font>
      <sz val="8"/>
      <color rgb="FF333399"/>
      <name val="Calibri"/>
    </font>
    <font>
      <sz val="8"/>
      <color theme="1"/>
      <name val="Calibri"/>
    </font>
    <font>
      <b/>
      <sz val="8"/>
      <color theme="1"/>
      <name val="Calibri"/>
    </font>
    <font>
      <sz val="6"/>
      <color theme="1"/>
      <name val="Calibri"/>
    </font>
    <font>
      <sz val="11"/>
      <color theme="1"/>
      <name val="Calibri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7F7F7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/>
      <right/>
      <top style="thin">
        <color rgb="FF979991"/>
      </top>
      <bottom style="thin">
        <color rgb="FF97999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17">
    <xf numFmtId="0" fontId="0" fillId="0" borderId="0" xfId="0"/>
    <xf numFmtId="0" fontId="4" fillId="2" borderId="1" xfId="0" applyFont="1" applyFill="1" applyBorder="1" applyAlignment="1">
      <alignment horizontal="left" vertical="top"/>
    </xf>
    <xf numFmtId="0" fontId="4" fillId="3" borderId="2" xfId="0" applyFont="1" applyFill="1" applyBorder="1" applyAlignment="1">
      <alignment horizontal="left" vertical="top"/>
    </xf>
    <xf numFmtId="0" fontId="1" fillId="0" borderId="0" xfId="0" applyFont="1" applyAlignment="1">
      <alignment vertical="top"/>
    </xf>
    <xf numFmtId="0" fontId="0" fillId="0" borderId="0" xfId="0" applyAlignment="1"/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2" borderId="2" xfId="0" applyFont="1" applyFill="1" applyBorder="1" applyAlignment="1">
      <alignment horizontal="left" vertical="top"/>
    </xf>
    <xf numFmtId="4" fontId="4" fillId="3" borderId="2" xfId="0" applyNumberFormat="1" applyFont="1" applyFill="1" applyBorder="1" applyAlignment="1">
      <alignment horizontal="right" vertical="top"/>
    </xf>
    <xf numFmtId="40" fontId="4" fillId="3" borderId="2" xfId="0" applyNumberFormat="1" applyFont="1" applyFill="1" applyBorder="1" applyAlignment="1">
      <alignment horizontal="right" vertical="top"/>
    </xf>
    <xf numFmtId="0" fontId="5" fillId="2" borderId="3" xfId="0" applyFont="1" applyFill="1" applyBorder="1" applyAlignment="1">
      <alignment vertical="top"/>
    </xf>
    <xf numFmtId="4" fontId="5" fillId="2" borderId="2" xfId="0" applyNumberFormat="1" applyFont="1" applyFill="1" applyBorder="1" applyAlignment="1">
      <alignment horizontal="right" vertical="top"/>
    </xf>
    <xf numFmtId="40" fontId="5" fillId="2" borderId="2" xfId="0" applyNumberFormat="1" applyFont="1" applyFill="1" applyBorder="1" applyAlignment="1">
      <alignment horizontal="right" vertical="top"/>
    </xf>
    <xf numFmtId="0" fontId="6" fillId="0" borderId="0" xfId="0" applyFont="1" applyAlignment="1">
      <alignment vertical="top"/>
    </xf>
    <xf numFmtId="164" fontId="8" fillId="0" borderId="4" xfId="1" applyNumberFormat="1" applyFont="1" applyBorder="1" applyAlignment="1"/>
    <xf numFmtId="164" fontId="9" fillId="0" borderId="4" xfId="1" applyNumberFormat="1" applyFont="1" applyBorder="1" applyAlignment="1"/>
    <xf numFmtId="0" fontId="10" fillId="2" borderId="2" xfId="0" applyFont="1" applyFill="1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showGridLines="0" workbookViewId="0">
      <selection activeCell="D32" sqref="D32"/>
    </sheetView>
  </sheetViews>
  <sheetFormatPr defaultRowHeight="15" x14ac:dyDescent="0.25"/>
  <cols>
    <col min="1" max="1" width="25.28515625" style="4" customWidth="1"/>
    <col min="2" max="2" width="40.42578125" style="4" customWidth="1"/>
    <col min="3" max="3" width="24" style="4" customWidth="1"/>
    <col min="4" max="4" width="23.28515625" style="4" customWidth="1"/>
    <col min="5" max="5" width="9.140625" style="4" customWidth="1"/>
    <col min="6" max="16384" width="9.140625" style="4"/>
  </cols>
  <sheetData>
    <row r="1" spans="1:4" ht="15" customHeight="1" x14ac:dyDescent="0.25">
      <c r="A1" s="3"/>
      <c r="B1" s="3"/>
      <c r="C1" s="3"/>
    </row>
    <row r="2" spans="1:4" ht="15" customHeight="1" x14ac:dyDescent="0.25">
      <c r="A2" s="5"/>
      <c r="B2" s="5"/>
      <c r="C2" s="5"/>
    </row>
    <row r="3" spans="1:4" ht="15" customHeight="1" x14ac:dyDescent="0.25">
      <c r="A3" s="6"/>
      <c r="B3" s="6"/>
      <c r="C3" s="6"/>
    </row>
    <row r="5" spans="1:4" x14ac:dyDescent="0.25">
      <c r="A5" s="1" t="s">
        <v>0</v>
      </c>
      <c r="B5" s="1" t="s">
        <v>1</v>
      </c>
      <c r="C5" s="7" t="s">
        <v>62</v>
      </c>
      <c r="D5" s="7" t="s">
        <v>63</v>
      </c>
    </row>
    <row r="6" spans="1:4" x14ac:dyDescent="0.25">
      <c r="A6" s="2" t="s">
        <v>2</v>
      </c>
      <c r="B6" s="2" t="s">
        <v>3</v>
      </c>
      <c r="C6" s="8">
        <v>0</v>
      </c>
      <c r="D6" s="9">
        <v>0</v>
      </c>
    </row>
    <row r="7" spans="1:4" x14ac:dyDescent="0.25">
      <c r="A7" s="2" t="s">
        <v>4</v>
      </c>
      <c r="B7" s="2" t="s">
        <v>5</v>
      </c>
      <c r="C7" s="8">
        <v>3000000</v>
      </c>
      <c r="D7" s="9">
        <v>407288.56</v>
      </c>
    </row>
    <row r="8" spans="1:4" x14ac:dyDescent="0.25">
      <c r="A8" s="2" t="s">
        <v>6</v>
      </c>
      <c r="B8" s="2" t="s">
        <v>7</v>
      </c>
      <c r="C8" s="8">
        <v>4000000</v>
      </c>
      <c r="D8" s="9">
        <v>3514112.9</v>
      </c>
    </row>
    <row r="9" spans="1:4" x14ac:dyDescent="0.25">
      <c r="A9" s="2" t="s">
        <v>8</v>
      </c>
      <c r="B9" s="2" t="s">
        <v>9</v>
      </c>
      <c r="C9" s="8">
        <v>2500000</v>
      </c>
      <c r="D9" s="9">
        <v>4337420.88</v>
      </c>
    </row>
    <row r="10" spans="1:4" x14ac:dyDescent="0.25">
      <c r="A10" s="2" t="s">
        <v>10</v>
      </c>
      <c r="B10" s="2" t="s">
        <v>11</v>
      </c>
      <c r="C10" s="8">
        <v>7000000</v>
      </c>
      <c r="D10" s="9">
        <v>29326748.23</v>
      </c>
    </row>
    <row r="11" spans="1:4" x14ac:dyDescent="0.25">
      <c r="A11" s="2" t="s">
        <v>12</v>
      </c>
      <c r="B11" s="2" t="s">
        <v>13</v>
      </c>
      <c r="C11" s="8">
        <v>46500</v>
      </c>
      <c r="D11" s="9">
        <v>28215.56</v>
      </c>
    </row>
    <row r="12" spans="1:4" x14ac:dyDescent="0.25">
      <c r="A12" s="2" t="s">
        <v>14</v>
      </c>
      <c r="B12" s="2" t="s">
        <v>15</v>
      </c>
      <c r="C12" s="8">
        <v>5000</v>
      </c>
      <c r="D12" s="9">
        <v>1150</v>
      </c>
    </row>
    <row r="13" spans="1:4" x14ac:dyDescent="0.25">
      <c r="A13" s="2" t="s">
        <v>16</v>
      </c>
      <c r="B13" s="2" t="s">
        <v>17</v>
      </c>
      <c r="C13" s="8">
        <v>26000</v>
      </c>
      <c r="D13" s="9">
        <v>8950</v>
      </c>
    </row>
    <row r="14" spans="1:4" x14ac:dyDescent="0.25">
      <c r="A14" s="2" t="s">
        <v>18</v>
      </c>
      <c r="B14" s="2" t="s">
        <v>19</v>
      </c>
      <c r="C14" s="8">
        <v>1100000</v>
      </c>
      <c r="D14" s="9">
        <v>262700</v>
      </c>
    </row>
    <row r="15" spans="1:4" x14ac:dyDescent="0.25">
      <c r="A15" s="2" t="s">
        <v>20</v>
      </c>
      <c r="B15" s="2" t="s">
        <v>21</v>
      </c>
      <c r="C15" s="8">
        <v>0</v>
      </c>
      <c r="D15" s="9">
        <v>0</v>
      </c>
    </row>
    <row r="16" spans="1:4" x14ac:dyDescent="0.25">
      <c r="A16" s="2" t="s">
        <v>22</v>
      </c>
      <c r="B16" s="2" t="s">
        <v>23</v>
      </c>
      <c r="C16" s="8">
        <v>34476000</v>
      </c>
      <c r="D16" s="9">
        <v>13998556.050000001</v>
      </c>
    </row>
    <row r="17" spans="1:4" x14ac:dyDescent="0.25">
      <c r="A17" s="2" t="s">
        <v>24</v>
      </c>
      <c r="B17" s="2" t="s">
        <v>25</v>
      </c>
      <c r="C17" s="8">
        <v>5250</v>
      </c>
      <c r="D17" s="9">
        <v>3746.48</v>
      </c>
    </row>
    <row r="18" spans="1:4" x14ac:dyDescent="0.25">
      <c r="A18" s="2" t="s">
        <v>26</v>
      </c>
      <c r="B18" s="2" t="s">
        <v>27</v>
      </c>
      <c r="C18" s="8">
        <v>2500000</v>
      </c>
      <c r="D18" s="9">
        <v>191704.51</v>
      </c>
    </row>
    <row r="19" spans="1:4" x14ac:dyDescent="0.25">
      <c r="A19" s="2" t="s">
        <v>28</v>
      </c>
      <c r="B19" s="2" t="s">
        <v>29</v>
      </c>
      <c r="C19" s="8">
        <v>8000000</v>
      </c>
      <c r="D19" s="9">
        <v>4984635.5999999996</v>
      </c>
    </row>
    <row r="20" spans="1:4" x14ac:dyDescent="0.25">
      <c r="A20" s="2" t="s">
        <v>30</v>
      </c>
      <c r="B20" s="2" t="s">
        <v>31</v>
      </c>
      <c r="C20" s="8">
        <v>0</v>
      </c>
      <c r="D20" s="9">
        <v>563.33000000000004</v>
      </c>
    </row>
    <row r="21" spans="1:4" x14ac:dyDescent="0.25">
      <c r="A21" s="2" t="s">
        <v>32</v>
      </c>
      <c r="B21" s="2" t="s">
        <v>33</v>
      </c>
      <c r="C21" s="8">
        <v>0</v>
      </c>
      <c r="D21" s="9">
        <v>987.03</v>
      </c>
    </row>
    <row r="22" spans="1:4" x14ac:dyDescent="0.25">
      <c r="A22" s="2" t="s">
        <v>34</v>
      </c>
      <c r="B22" s="2" t="s">
        <v>35</v>
      </c>
      <c r="C22" s="8">
        <v>0</v>
      </c>
      <c r="D22" s="9">
        <v>35314.28</v>
      </c>
    </row>
    <row r="23" spans="1:4" x14ac:dyDescent="0.25">
      <c r="A23" s="2" t="s">
        <v>36</v>
      </c>
      <c r="B23" s="2" t="s">
        <v>37</v>
      </c>
      <c r="C23" s="8">
        <v>0</v>
      </c>
      <c r="D23" s="9">
        <v>0</v>
      </c>
    </row>
    <row r="24" spans="1:4" x14ac:dyDescent="0.25">
      <c r="A24" s="2" t="s">
        <v>38</v>
      </c>
      <c r="B24" s="2" t="s">
        <v>39</v>
      </c>
      <c r="C24" s="8">
        <v>0</v>
      </c>
      <c r="D24" s="9">
        <v>-5.8207660913467401E-11</v>
      </c>
    </row>
    <row r="25" spans="1:4" x14ac:dyDescent="0.25">
      <c r="A25" s="2" t="s">
        <v>40</v>
      </c>
      <c r="B25" s="2" t="s">
        <v>41</v>
      </c>
      <c r="C25" s="8">
        <v>26250</v>
      </c>
      <c r="D25" s="9">
        <v>24336</v>
      </c>
    </row>
    <row r="26" spans="1:4" x14ac:dyDescent="0.25">
      <c r="A26" s="2" t="s">
        <v>42</v>
      </c>
      <c r="B26" s="2" t="s">
        <v>43</v>
      </c>
      <c r="C26" s="8">
        <v>367500</v>
      </c>
      <c r="D26" s="9">
        <v>1021756.48</v>
      </c>
    </row>
    <row r="27" spans="1:4" x14ac:dyDescent="0.25">
      <c r="A27" s="2" t="s">
        <v>44</v>
      </c>
      <c r="B27" s="2" t="s">
        <v>45</v>
      </c>
      <c r="C27" s="8">
        <v>42000</v>
      </c>
      <c r="D27" s="9">
        <v>5500</v>
      </c>
    </row>
    <row r="28" spans="1:4" x14ac:dyDescent="0.25">
      <c r="A28" s="2" t="s">
        <v>46</v>
      </c>
      <c r="B28" s="2" t="s">
        <v>47</v>
      </c>
      <c r="C28" s="8">
        <v>15000</v>
      </c>
      <c r="D28" s="9">
        <v>1086.29</v>
      </c>
    </row>
    <row r="29" spans="1:4" x14ac:dyDescent="0.25">
      <c r="A29" s="2" t="s">
        <v>48</v>
      </c>
      <c r="B29" s="2" t="s">
        <v>49</v>
      </c>
      <c r="C29" s="8">
        <v>0</v>
      </c>
      <c r="D29" s="9">
        <v>55200</v>
      </c>
    </row>
    <row r="30" spans="1:4" x14ac:dyDescent="0.25">
      <c r="A30" s="2" t="s">
        <v>50</v>
      </c>
      <c r="B30" s="2" t="s">
        <v>51</v>
      </c>
      <c r="C30" s="8">
        <v>31500</v>
      </c>
      <c r="D30" s="9">
        <v>52379.15</v>
      </c>
    </row>
    <row r="31" spans="1:4" x14ac:dyDescent="0.25">
      <c r="A31" s="2" t="s">
        <v>52</v>
      </c>
      <c r="B31" s="2" t="s">
        <v>53</v>
      </c>
      <c r="C31" s="8">
        <v>0</v>
      </c>
      <c r="D31" s="9">
        <v>-2420.39</v>
      </c>
    </row>
    <row r="32" spans="1:4" x14ac:dyDescent="0.25">
      <c r="A32" s="10" t="s">
        <v>58</v>
      </c>
      <c r="B32" s="10"/>
      <c r="C32" s="11">
        <v>63141000</v>
      </c>
      <c r="D32" s="12">
        <v>58259930.939999998</v>
      </c>
    </row>
    <row r="33" spans="1:4" ht="15" customHeight="1" x14ac:dyDescent="0.25">
      <c r="A33" s="13"/>
      <c r="B33" s="13"/>
      <c r="C33" s="13"/>
      <c r="D33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showGridLines="0" workbookViewId="0">
      <selection activeCell="D33" sqref="D33"/>
    </sheetView>
  </sheetViews>
  <sheetFormatPr defaultRowHeight="15" x14ac:dyDescent="0.25"/>
  <cols>
    <col min="1" max="1" width="25.28515625" style="4" customWidth="1"/>
    <col min="2" max="2" width="40.42578125" style="4" customWidth="1"/>
    <col min="3" max="3" width="22.7109375" style="4" bestFit="1" customWidth="1"/>
    <col min="4" max="4" width="16" style="4" bestFit="1" customWidth="1"/>
    <col min="5" max="6" width="12.28515625" style="4" customWidth="1"/>
    <col min="7" max="16384" width="9.140625" style="4"/>
  </cols>
  <sheetData>
    <row r="1" spans="1:4" ht="15" customHeight="1" x14ac:dyDescent="0.25">
      <c r="A1" s="3"/>
      <c r="B1" s="3"/>
      <c r="C1" s="3"/>
    </row>
    <row r="2" spans="1:4" ht="15" customHeight="1" x14ac:dyDescent="0.25">
      <c r="A2" s="5"/>
      <c r="B2" s="5"/>
      <c r="C2" s="5"/>
    </row>
    <row r="3" spans="1:4" ht="15" customHeight="1" x14ac:dyDescent="0.25">
      <c r="A3" s="6"/>
      <c r="B3" s="6"/>
      <c r="C3" s="6"/>
    </row>
    <row r="5" spans="1:4" x14ac:dyDescent="0.25">
      <c r="A5" s="1" t="s">
        <v>0</v>
      </c>
      <c r="B5" s="1" t="s">
        <v>1</v>
      </c>
      <c r="C5" s="7" t="s">
        <v>56</v>
      </c>
      <c r="D5" s="7" t="s">
        <v>57</v>
      </c>
    </row>
    <row r="6" spans="1:4" x14ac:dyDescent="0.25">
      <c r="A6" s="2" t="s">
        <v>2</v>
      </c>
      <c r="B6" s="2" t="s">
        <v>3</v>
      </c>
      <c r="C6" s="8">
        <v>0</v>
      </c>
      <c r="D6" s="9">
        <v>0</v>
      </c>
    </row>
    <row r="7" spans="1:4" x14ac:dyDescent="0.25">
      <c r="A7" s="2" t="s">
        <v>4</v>
      </c>
      <c r="B7" s="2" t="s">
        <v>5</v>
      </c>
      <c r="C7" s="8">
        <v>1000000</v>
      </c>
      <c r="D7" s="9">
        <v>408487.75</v>
      </c>
    </row>
    <row r="8" spans="1:4" x14ac:dyDescent="0.25">
      <c r="A8" s="2" t="s">
        <v>6</v>
      </c>
      <c r="B8" s="2" t="s">
        <v>7</v>
      </c>
      <c r="C8" s="8">
        <v>4300000</v>
      </c>
      <c r="D8" s="9">
        <v>3731356.67</v>
      </c>
    </row>
    <row r="9" spans="1:4" x14ac:dyDescent="0.25">
      <c r="A9" s="2" t="s">
        <v>8</v>
      </c>
      <c r="B9" s="2" t="s">
        <v>9</v>
      </c>
      <c r="C9" s="8">
        <v>6947000</v>
      </c>
      <c r="D9" s="9">
        <v>0</v>
      </c>
    </row>
    <row r="10" spans="1:4" x14ac:dyDescent="0.25">
      <c r="A10" s="2" t="s">
        <v>10</v>
      </c>
      <c r="B10" s="2" t="s">
        <v>11</v>
      </c>
      <c r="C10" s="8">
        <v>7703000</v>
      </c>
      <c r="D10" s="9">
        <v>7861052.6699999999</v>
      </c>
    </row>
    <row r="11" spans="1:4" x14ac:dyDescent="0.25">
      <c r="A11" s="2" t="s">
        <v>12</v>
      </c>
      <c r="B11" s="2" t="s">
        <v>13</v>
      </c>
      <c r="C11" s="8">
        <v>24000</v>
      </c>
      <c r="D11" s="9">
        <v>22875</v>
      </c>
    </row>
    <row r="12" spans="1:4" x14ac:dyDescent="0.25">
      <c r="A12" s="2" t="s">
        <v>14</v>
      </c>
      <c r="B12" s="2" t="s">
        <v>15</v>
      </c>
      <c r="C12" s="8">
        <v>10000</v>
      </c>
      <c r="D12" s="9">
        <v>1150</v>
      </c>
    </row>
    <row r="13" spans="1:4" x14ac:dyDescent="0.25">
      <c r="A13" s="2" t="s">
        <v>16</v>
      </c>
      <c r="B13" s="2" t="s">
        <v>17</v>
      </c>
      <c r="C13" s="8">
        <v>6000</v>
      </c>
      <c r="D13" s="9">
        <v>25550</v>
      </c>
    </row>
    <row r="14" spans="1:4" x14ac:dyDescent="0.25">
      <c r="A14" s="2" t="s">
        <v>18</v>
      </c>
      <c r="B14" s="2" t="s">
        <v>19</v>
      </c>
      <c r="C14" s="8">
        <v>1048000</v>
      </c>
      <c r="D14" s="9">
        <v>518000</v>
      </c>
    </row>
    <row r="15" spans="1:4" x14ac:dyDescent="0.25">
      <c r="A15" s="2" t="s">
        <v>20</v>
      </c>
      <c r="B15" s="2" t="s">
        <v>21</v>
      </c>
      <c r="C15" s="8">
        <v>0</v>
      </c>
      <c r="D15" s="9">
        <v>0</v>
      </c>
    </row>
    <row r="16" spans="1:4" x14ac:dyDescent="0.25">
      <c r="A16" s="2" t="s">
        <v>22</v>
      </c>
      <c r="B16" s="2" t="s">
        <v>23</v>
      </c>
      <c r="C16" s="8">
        <v>14500000</v>
      </c>
      <c r="D16" s="9">
        <v>14191131.75</v>
      </c>
    </row>
    <row r="17" spans="1:4" x14ac:dyDescent="0.25">
      <c r="A17" s="2" t="s">
        <v>54</v>
      </c>
      <c r="B17" s="2" t="s">
        <v>55</v>
      </c>
      <c r="C17" s="8">
        <v>0</v>
      </c>
      <c r="D17" s="9">
        <v>100</v>
      </c>
    </row>
    <row r="18" spans="1:4" x14ac:dyDescent="0.25">
      <c r="A18" s="2" t="s">
        <v>24</v>
      </c>
      <c r="B18" s="2" t="s">
        <v>25</v>
      </c>
      <c r="C18" s="8">
        <v>0</v>
      </c>
      <c r="D18" s="9">
        <v>47.62</v>
      </c>
    </row>
    <row r="19" spans="1:4" x14ac:dyDescent="0.25">
      <c r="A19" s="2" t="s">
        <v>26</v>
      </c>
      <c r="B19" s="2" t="s">
        <v>27</v>
      </c>
      <c r="C19" s="8">
        <v>1406000</v>
      </c>
      <c r="D19" s="9">
        <v>2627342.13</v>
      </c>
    </row>
    <row r="20" spans="1:4" x14ac:dyDescent="0.25">
      <c r="A20" s="2" t="s">
        <v>28</v>
      </c>
      <c r="B20" s="2" t="s">
        <v>29</v>
      </c>
      <c r="C20" s="8">
        <v>12149000</v>
      </c>
      <c r="D20" s="9">
        <v>7667883.1399999997</v>
      </c>
    </row>
    <row r="21" spans="1:4" x14ac:dyDescent="0.25">
      <c r="A21" s="2" t="s">
        <v>30</v>
      </c>
      <c r="B21" s="2" t="s">
        <v>31</v>
      </c>
      <c r="C21" s="8">
        <v>0</v>
      </c>
      <c r="D21" s="9">
        <v>0</v>
      </c>
    </row>
    <row r="22" spans="1:4" x14ac:dyDescent="0.25">
      <c r="A22" s="2" t="s">
        <v>32</v>
      </c>
      <c r="B22" s="2" t="s">
        <v>33</v>
      </c>
      <c r="C22" s="8">
        <v>0</v>
      </c>
      <c r="D22" s="9">
        <v>0</v>
      </c>
    </row>
    <row r="23" spans="1:4" x14ac:dyDescent="0.25">
      <c r="A23" s="2" t="s">
        <v>34</v>
      </c>
      <c r="B23" s="2" t="s">
        <v>35</v>
      </c>
      <c r="C23" s="8">
        <v>0</v>
      </c>
      <c r="D23" s="9">
        <v>0</v>
      </c>
    </row>
    <row r="24" spans="1:4" x14ac:dyDescent="0.25">
      <c r="A24" s="2" t="s">
        <v>36</v>
      </c>
      <c r="B24" s="2" t="s">
        <v>37</v>
      </c>
      <c r="C24" s="8">
        <v>0</v>
      </c>
      <c r="D24" s="9">
        <v>0</v>
      </c>
    </row>
    <row r="25" spans="1:4" x14ac:dyDescent="0.25">
      <c r="A25" s="2" t="s">
        <v>38</v>
      </c>
      <c r="B25" s="2" t="s">
        <v>39</v>
      </c>
      <c r="C25" s="8">
        <v>0</v>
      </c>
      <c r="D25" s="9">
        <v>753.11</v>
      </c>
    </row>
    <row r="26" spans="1:4" x14ac:dyDescent="0.25">
      <c r="A26" s="2" t="s">
        <v>40</v>
      </c>
      <c r="B26" s="2" t="s">
        <v>41</v>
      </c>
      <c r="C26" s="8">
        <v>0</v>
      </c>
      <c r="D26" s="9">
        <v>21142.84</v>
      </c>
    </row>
    <row r="27" spans="1:4" x14ac:dyDescent="0.25">
      <c r="A27" s="2" t="s">
        <v>42</v>
      </c>
      <c r="B27" s="2" t="s">
        <v>43</v>
      </c>
      <c r="C27" s="8">
        <v>0</v>
      </c>
      <c r="D27" s="9">
        <v>-361660.14</v>
      </c>
    </row>
    <row r="28" spans="1:4" x14ac:dyDescent="0.25">
      <c r="A28" s="2" t="s">
        <v>44</v>
      </c>
      <c r="B28" s="2" t="s">
        <v>45</v>
      </c>
      <c r="C28" s="8">
        <v>0</v>
      </c>
      <c r="D28" s="9">
        <v>15000</v>
      </c>
    </row>
    <row r="29" spans="1:4" x14ac:dyDescent="0.25">
      <c r="A29" s="2" t="s">
        <v>46</v>
      </c>
      <c r="B29" s="2" t="s">
        <v>47</v>
      </c>
      <c r="C29" s="8">
        <v>2000</v>
      </c>
      <c r="D29" s="9">
        <v>36555.629999999997</v>
      </c>
    </row>
    <row r="30" spans="1:4" x14ac:dyDescent="0.25">
      <c r="A30" s="2" t="s">
        <v>48</v>
      </c>
      <c r="B30" s="2" t="s">
        <v>49</v>
      </c>
      <c r="C30" s="8">
        <v>0</v>
      </c>
      <c r="D30" s="9">
        <v>25312</v>
      </c>
    </row>
    <row r="31" spans="1:4" x14ac:dyDescent="0.25">
      <c r="A31" s="2" t="s">
        <v>50</v>
      </c>
      <c r="B31" s="2" t="s">
        <v>51</v>
      </c>
      <c r="C31" s="8">
        <v>0</v>
      </c>
      <c r="D31" s="9">
        <v>0</v>
      </c>
    </row>
    <row r="32" spans="1:4" x14ac:dyDescent="0.25">
      <c r="A32" s="2" t="s">
        <v>52</v>
      </c>
      <c r="B32" s="2" t="s">
        <v>53</v>
      </c>
      <c r="C32" s="8">
        <v>0</v>
      </c>
      <c r="D32" s="9">
        <v>70443.42</v>
      </c>
    </row>
    <row r="33" spans="1:4" x14ac:dyDescent="0.25">
      <c r="A33" s="10" t="s">
        <v>58</v>
      </c>
      <c r="B33" s="10"/>
      <c r="C33" s="11">
        <v>49095000</v>
      </c>
      <c r="D33" s="12">
        <v>36862523.590000004</v>
      </c>
    </row>
    <row r="34" spans="1:4" ht="15" customHeight="1" x14ac:dyDescent="0.25">
      <c r="A34" s="13"/>
      <c r="B34" s="13"/>
      <c r="C34" s="13"/>
      <c r="D34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workbookViewId="0">
      <selection activeCell="D33" sqref="D33"/>
    </sheetView>
  </sheetViews>
  <sheetFormatPr defaultRowHeight="15" x14ac:dyDescent="0.25"/>
  <cols>
    <col min="1" max="1" width="25.28515625" style="4" customWidth="1"/>
    <col min="2" max="2" width="40.42578125" style="4" customWidth="1"/>
    <col min="3" max="3" width="22.7109375" style="4" bestFit="1" customWidth="1"/>
    <col min="4" max="4" width="15.140625" style="4" customWidth="1"/>
    <col min="5" max="6" width="12.140625" style="4" customWidth="1"/>
    <col min="7" max="7" width="9.140625" style="4" customWidth="1"/>
    <col min="8" max="16384" width="9.140625" style="4"/>
  </cols>
  <sheetData>
    <row r="1" spans="1:6" ht="15" customHeight="1" x14ac:dyDescent="0.25">
      <c r="A1" s="3"/>
      <c r="B1" s="3"/>
      <c r="C1" s="3"/>
    </row>
    <row r="2" spans="1:6" ht="15" customHeight="1" x14ac:dyDescent="0.25">
      <c r="A2" s="5"/>
      <c r="B2" s="5"/>
      <c r="C2" s="5"/>
    </row>
    <row r="3" spans="1:6" ht="15" customHeight="1" x14ac:dyDescent="0.25">
      <c r="A3" s="6"/>
      <c r="B3" s="6"/>
      <c r="C3" s="6"/>
    </row>
    <row r="5" spans="1:6" x14ac:dyDescent="0.25">
      <c r="A5" s="1" t="s">
        <v>0</v>
      </c>
      <c r="B5" s="1" t="s">
        <v>1</v>
      </c>
      <c r="C5" s="7" t="s">
        <v>60</v>
      </c>
      <c r="D5" s="7" t="s">
        <v>59</v>
      </c>
      <c r="E5" s="16" t="s">
        <v>64</v>
      </c>
      <c r="F5" s="16" t="s">
        <v>65</v>
      </c>
    </row>
    <row r="6" spans="1:6" x14ac:dyDescent="0.25">
      <c r="A6" s="2" t="s">
        <v>2</v>
      </c>
      <c r="B6" s="2" t="s">
        <v>3</v>
      </c>
      <c r="C6" s="8">
        <v>0</v>
      </c>
      <c r="D6" s="9">
        <v>0</v>
      </c>
      <c r="E6" s="14">
        <f>VLOOKUP(A6,'2021 Revenue'!A$6:D$32,4,)</f>
        <v>0</v>
      </c>
      <c r="F6" s="14">
        <f>VLOOKUP(A6,'2020 Revenue'!A$6:D$31,4,)</f>
        <v>0</v>
      </c>
    </row>
    <row r="7" spans="1:6" x14ac:dyDescent="0.25">
      <c r="A7" s="2" t="s">
        <v>4</v>
      </c>
      <c r="B7" s="2" t="s">
        <v>5</v>
      </c>
      <c r="C7" s="8">
        <v>4229000</v>
      </c>
      <c r="D7" s="9">
        <v>923838.48</v>
      </c>
      <c r="E7" s="14">
        <f>VLOOKUP(A7,'2021 Revenue'!A$6:D$32,4,)</f>
        <v>408487.75</v>
      </c>
      <c r="F7" s="14">
        <f>VLOOKUP(A7,'2020 Revenue'!A$6:D$31,4,)</f>
        <v>407288.56</v>
      </c>
    </row>
    <row r="8" spans="1:6" x14ac:dyDescent="0.25">
      <c r="A8" s="2" t="s">
        <v>6</v>
      </c>
      <c r="B8" s="2" t="s">
        <v>7</v>
      </c>
      <c r="C8" s="8">
        <v>4846539</v>
      </c>
      <c r="D8" s="9">
        <v>4760558.2699999996</v>
      </c>
      <c r="E8" s="14">
        <f>VLOOKUP(A8,'2021 Revenue'!A$6:D$32,4,)</f>
        <v>3731356.67</v>
      </c>
      <c r="F8" s="14">
        <f>VLOOKUP(A8,'2020 Revenue'!A$6:D$31,4,)</f>
        <v>3514112.9</v>
      </c>
    </row>
    <row r="9" spans="1:6" x14ac:dyDescent="0.25">
      <c r="A9" s="2" t="s">
        <v>8</v>
      </c>
      <c r="B9" s="2" t="s">
        <v>9</v>
      </c>
      <c r="C9" s="8">
        <v>8000000</v>
      </c>
      <c r="D9" s="9">
        <v>5801.32</v>
      </c>
      <c r="E9" s="14">
        <f>VLOOKUP(A9,'2021 Revenue'!A$6:D$32,4,)</f>
        <v>0</v>
      </c>
      <c r="F9" s="14">
        <f>VLOOKUP(A9,'2020 Revenue'!A$6:D$31,4,)</f>
        <v>4337420.88</v>
      </c>
    </row>
    <row r="10" spans="1:6" x14ac:dyDescent="0.25">
      <c r="A10" s="2" t="s">
        <v>10</v>
      </c>
      <c r="B10" s="2" t="s">
        <v>11</v>
      </c>
      <c r="C10" s="8">
        <v>3500000</v>
      </c>
      <c r="D10" s="9">
        <v>6343103.54</v>
      </c>
      <c r="E10" s="14">
        <f>VLOOKUP(A10,'2021 Revenue'!A$6:D$32,4,)</f>
        <v>7861052.6699999999</v>
      </c>
      <c r="F10" s="14">
        <f>VLOOKUP(A10,'2020 Revenue'!A$6:D$31,4,)</f>
        <v>29326748.23</v>
      </c>
    </row>
    <row r="11" spans="1:6" x14ac:dyDescent="0.25">
      <c r="A11" s="2" t="s">
        <v>12</v>
      </c>
      <c r="B11" s="2" t="s">
        <v>13</v>
      </c>
      <c r="C11" s="8">
        <v>26400</v>
      </c>
      <c r="D11" s="9">
        <v>31251.25</v>
      </c>
      <c r="E11" s="14">
        <f>VLOOKUP(A11,'2021 Revenue'!A$6:D$32,4,)</f>
        <v>22875</v>
      </c>
      <c r="F11" s="14">
        <f>VLOOKUP(A11,'2020 Revenue'!A$6:D$31,4,)</f>
        <v>28215.56</v>
      </c>
    </row>
    <row r="12" spans="1:6" x14ac:dyDescent="0.25">
      <c r="A12" s="2" t="s">
        <v>14</v>
      </c>
      <c r="B12" s="2" t="s">
        <v>15</v>
      </c>
      <c r="C12" s="8">
        <v>11000</v>
      </c>
      <c r="D12" s="9">
        <v>3157.62</v>
      </c>
      <c r="E12" s="14">
        <f>VLOOKUP(A12,'2021 Revenue'!A$6:D$32,4,)</f>
        <v>1150</v>
      </c>
      <c r="F12" s="14">
        <f>VLOOKUP(A12,'2020 Revenue'!A$6:D$31,4,)</f>
        <v>1150</v>
      </c>
    </row>
    <row r="13" spans="1:6" x14ac:dyDescent="0.25">
      <c r="A13" s="2" t="s">
        <v>16</v>
      </c>
      <c r="B13" s="2" t="s">
        <v>17</v>
      </c>
      <c r="C13" s="8">
        <v>6600</v>
      </c>
      <c r="D13" s="9">
        <v>45050</v>
      </c>
      <c r="E13" s="14">
        <f>VLOOKUP(A13,'2021 Revenue'!A$6:D$32,4,)</f>
        <v>25550</v>
      </c>
      <c r="F13" s="14">
        <f>VLOOKUP(A13,'2020 Revenue'!A$6:D$31,4,)</f>
        <v>8950</v>
      </c>
    </row>
    <row r="14" spans="1:6" x14ac:dyDescent="0.25">
      <c r="A14" s="2" t="s">
        <v>18</v>
      </c>
      <c r="B14" s="2" t="s">
        <v>19</v>
      </c>
      <c r="C14" s="8">
        <v>1500000</v>
      </c>
      <c r="D14" s="9">
        <v>1723000</v>
      </c>
      <c r="E14" s="14">
        <f>VLOOKUP(A14,'2021 Revenue'!A$6:D$32,4,)</f>
        <v>518000</v>
      </c>
      <c r="F14" s="14">
        <f>VLOOKUP(A14,'2020 Revenue'!A$6:D$31,4,)</f>
        <v>262700</v>
      </c>
    </row>
    <row r="15" spans="1:6" x14ac:dyDescent="0.25">
      <c r="A15" s="2" t="s">
        <v>20</v>
      </c>
      <c r="B15" s="2" t="s">
        <v>21</v>
      </c>
      <c r="C15" s="8">
        <v>0</v>
      </c>
      <c r="D15" s="9">
        <v>0</v>
      </c>
      <c r="E15" s="14">
        <f>VLOOKUP(A15,'2021 Revenue'!A$6:D$32,4,)</f>
        <v>0</v>
      </c>
      <c r="F15" s="14">
        <f>VLOOKUP(A15,'2020 Revenue'!A$6:D$31,4,)</f>
        <v>0</v>
      </c>
    </row>
    <row r="16" spans="1:6" x14ac:dyDescent="0.25">
      <c r="A16" s="2" t="s">
        <v>22</v>
      </c>
      <c r="B16" s="2" t="s">
        <v>23</v>
      </c>
      <c r="C16" s="8">
        <v>24000000</v>
      </c>
      <c r="D16" s="9">
        <v>16800342.25</v>
      </c>
      <c r="E16" s="14">
        <f>VLOOKUP(A16,'2021 Revenue'!A$6:D$32,4,)</f>
        <v>14191131.75</v>
      </c>
      <c r="F16" s="14">
        <f>VLOOKUP(A16,'2020 Revenue'!A$6:D$31,4,)</f>
        <v>13998556.050000001</v>
      </c>
    </row>
    <row r="17" spans="1:6" x14ac:dyDescent="0.25">
      <c r="A17" s="2" t="s">
        <v>54</v>
      </c>
      <c r="B17" s="2" t="s">
        <v>55</v>
      </c>
      <c r="C17" s="8">
        <v>2106071</v>
      </c>
      <c r="D17" s="9">
        <v>643</v>
      </c>
      <c r="E17" s="14">
        <f>VLOOKUP(A17,'2021 Revenue'!A$6:D$32,4,)</f>
        <v>100</v>
      </c>
      <c r="F17" s="14">
        <v>0</v>
      </c>
    </row>
    <row r="18" spans="1:6" x14ac:dyDescent="0.25">
      <c r="A18" s="2" t="s">
        <v>24</v>
      </c>
      <c r="B18" s="2" t="s">
        <v>25</v>
      </c>
      <c r="C18" s="8">
        <v>0</v>
      </c>
      <c r="D18" s="9">
        <v>1962.84</v>
      </c>
      <c r="E18" s="14">
        <f>VLOOKUP(A18,'2021 Revenue'!A$6:D$32,4,)</f>
        <v>47.62</v>
      </c>
      <c r="F18" s="14">
        <f>VLOOKUP(A18,'2020 Revenue'!A$6:D$31,4,)</f>
        <v>3746.48</v>
      </c>
    </row>
    <row r="19" spans="1:6" x14ac:dyDescent="0.25">
      <c r="A19" s="2" t="s">
        <v>26</v>
      </c>
      <c r="B19" s="2" t="s">
        <v>27</v>
      </c>
      <c r="C19" s="8">
        <v>6000000</v>
      </c>
      <c r="D19" s="9">
        <v>6412128.4199999999</v>
      </c>
      <c r="E19" s="14">
        <f>VLOOKUP(A19,'2021 Revenue'!A$6:D$32,4,)</f>
        <v>2627342.13</v>
      </c>
      <c r="F19" s="14">
        <f>VLOOKUP(A19,'2020 Revenue'!A$6:D$31,4,)</f>
        <v>191704.51</v>
      </c>
    </row>
    <row r="20" spans="1:6" x14ac:dyDescent="0.25">
      <c r="A20" s="2" t="s">
        <v>28</v>
      </c>
      <c r="B20" s="2" t="s">
        <v>29</v>
      </c>
      <c r="C20" s="8">
        <v>12000000</v>
      </c>
      <c r="D20" s="9">
        <v>10820584.99</v>
      </c>
      <c r="E20" s="14">
        <f>VLOOKUP(A20,'2021 Revenue'!A$6:D$32,4,)</f>
        <v>7667883.1399999997</v>
      </c>
      <c r="F20" s="14">
        <f>VLOOKUP(A20,'2020 Revenue'!A$6:D$31,4,)</f>
        <v>4984635.5999999996</v>
      </c>
    </row>
    <row r="21" spans="1:6" x14ac:dyDescent="0.25">
      <c r="A21" s="2" t="s">
        <v>30</v>
      </c>
      <c r="B21" s="2" t="s">
        <v>31</v>
      </c>
      <c r="C21" s="8">
        <v>390</v>
      </c>
      <c r="D21" s="9">
        <v>0</v>
      </c>
      <c r="E21" s="14">
        <f>VLOOKUP(A21,'2021 Revenue'!A$6:D$32,4,)</f>
        <v>0</v>
      </c>
      <c r="F21" s="14">
        <f>VLOOKUP(A21,'2020 Revenue'!A$6:D$31,4,)</f>
        <v>563.33000000000004</v>
      </c>
    </row>
    <row r="22" spans="1:6" x14ac:dyDescent="0.25">
      <c r="A22" s="2" t="s">
        <v>32</v>
      </c>
      <c r="B22" s="2" t="s">
        <v>33</v>
      </c>
      <c r="C22" s="8">
        <v>0</v>
      </c>
      <c r="D22" s="9">
        <v>0</v>
      </c>
      <c r="E22" s="14">
        <f>VLOOKUP(A22,'2021 Revenue'!A$6:D$32,4,)</f>
        <v>0</v>
      </c>
      <c r="F22" s="14">
        <f>VLOOKUP(A22,'2020 Revenue'!A$6:D$31,4,)</f>
        <v>987.03</v>
      </c>
    </row>
    <row r="23" spans="1:6" x14ac:dyDescent="0.25">
      <c r="A23" s="2" t="s">
        <v>34</v>
      </c>
      <c r="B23" s="2" t="s">
        <v>35</v>
      </c>
      <c r="C23" s="8">
        <v>0</v>
      </c>
      <c r="D23" s="9">
        <v>0</v>
      </c>
      <c r="E23" s="14">
        <f>VLOOKUP(A23,'2021 Revenue'!A$6:D$32,4,)</f>
        <v>0</v>
      </c>
      <c r="F23" s="14">
        <f>VLOOKUP(A23,'2020 Revenue'!A$6:D$31,4,)</f>
        <v>35314.28</v>
      </c>
    </row>
    <row r="24" spans="1:6" x14ac:dyDescent="0.25">
      <c r="A24" s="2" t="s">
        <v>36</v>
      </c>
      <c r="B24" s="2" t="s">
        <v>37</v>
      </c>
      <c r="C24" s="8">
        <v>0</v>
      </c>
      <c r="D24" s="9">
        <v>0</v>
      </c>
      <c r="E24" s="14">
        <f>VLOOKUP(A24,'2021 Revenue'!A$6:D$32,4,)</f>
        <v>0</v>
      </c>
      <c r="F24" s="14">
        <f>VLOOKUP(A24,'2020 Revenue'!A$6:D$31,4,)</f>
        <v>0</v>
      </c>
    </row>
    <row r="25" spans="1:6" x14ac:dyDescent="0.25">
      <c r="A25" s="2" t="s">
        <v>38</v>
      </c>
      <c r="B25" s="2" t="s">
        <v>39</v>
      </c>
      <c r="C25" s="8">
        <v>0</v>
      </c>
      <c r="D25" s="9">
        <v>-22.75</v>
      </c>
      <c r="E25" s="14">
        <f>VLOOKUP(A25,'2021 Revenue'!A$6:D$32,4,)</f>
        <v>753.11</v>
      </c>
      <c r="F25" s="14">
        <f>VLOOKUP(A25,'2020 Revenue'!A$6:D$31,4,)</f>
        <v>-5.8207660913467401E-11</v>
      </c>
    </row>
    <row r="26" spans="1:6" x14ac:dyDescent="0.25">
      <c r="A26" s="2" t="s">
        <v>40</v>
      </c>
      <c r="B26" s="2" t="s">
        <v>41</v>
      </c>
      <c r="C26" s="8">
        <v>0</v>
      </c>
      <c r="D26" s="9">
        <v>25714.26</v>
      </c>
      <c r="E26" s="14">
        <f>VLOOKUP(A26,'2021 Revenue'!A$6:D$32,4,)</f>
        <v>21142.84</v>
      </c>
      <c r="F26" s="14">
        <f>VLOOKUP(A26,'2020 Revenue'!A$6:D$31,4,)</f>
        <v>24336</v>
      </c>
    </row>
    <row r="27" spans="1:6" x14ac:dyDescent="0.25">
      <c r="A27" s="2" t="s">
        <v>42</v>
      </c>
      <c r="B27" s="2" t="s">
        <v>43</v>
      </c>
      <c r="C27" s="8">
        <v>0</v>
      </c>
      <c r="D27" s="9">
        <v>3219903.55</v>
      </c>
      <c r="E27" s="14">
        <f>VLOOKUP(A27,'2021 Revenue'!A$6:D$32,4,)</f>
        <v>-361660.14</v>
      </c>
      <c r="F27" s="14">
        <f>VLOOKUP(A27,'2020 Revenue'!A$6:D$31,4,)</f>
        <v>1021756.48</v>
      </c>
    </row>
    <row r="28" spans="1:6" x14ac:dyDescent="0.25">
      <c r="A28" s="2" t="s">
        <v>44</v>
      </c>
      <c r="B28" s="2" t="s">
        <v>45</v>
      </c>
      <c r="C28" s="8">
        <v>0</v>
      </c>
      <c r="D28" s="9">
        <v>29000</v>
      </c>
      <c r="E28" s="14">
        <f>VLOOKUP(A28,'2021 Revenue'!A$6:D$32,4,)</f>
        <v>15000</v>
      </c>
      <c r="F28" s="14">
        <f>VLOOKUP(A28,'2020 Revenue'!A$6:D$31,4,)</f>
        <v>5500</v>
      </c>
    </row>
    <row r="29" spans="1:6" x14ac:dyDescent="0.25">
      <c r="A29" s="2" t="s">
        <v>46</v>
      </c>
      <c r="B29" s="2" t="s">
        <v>47</v>
      </c>
      <c r="C29" s="8">
        <v>3000</v>
      </c>
      <c r="D29" s="9">
        <v>11163</v>
      </c>
      <c r="E29" s="14">
        <f>VLOOKUP(A29,'2021 Revenue'!A$6:D$32,4,)</f>
        <v>36555.629999999997</v>
      </c>
      <c r="F29" s="14">
        <f>VLOOKUP(A29,'2020 Revenue'!A$6:D$31,4,)</f>
        <v>1086.29</v>
      </c>
    </row>
    <row r="30" spans="1:6" x14ac:dyDescent="0.25">
      <c r="A30" s="2" t="s">
        <v>48</v>
      </c>
      <c r="B30" s="2" t="s">
        <v>49</v>
      </c>
      <c r="C30" s="8">
        <v>0</v>
      </c>
      <c r="D30" s="9">
        <v>74010</v>
      </c>
      <c r="E30" s="14">
        <f>VLOOKUP(A30,'2021 Revenue'!A$6:D$32,4,)</f>
        <v>25312</v>
      </c>
      <c r="F30" s="14">
        <f>VLOOKUP(A30,'2020 Revenue'!A$6:D$31,4,)</f>
        <v>55200</v>
      </c>
    </row>
    <row r="31" spans="1:6" x14ac:dyDescent="0.25">
      <c r="A31" s="2" t="s">
        <v>50</v>
      </c>
      <c r="B31" s="2" t="s">
        <v>51</v>
      </c>
      <c r="C31" s="8">
        <v>0</v>
      </c>
      <c r="D31" s="9">
        <v>0</v>
      </c>
      <c r="E31" s="14">
        <f>VLOOKUP(A31,'2021 Revenue'!A$6:D$32,4,)</f>
        <v>0</v>
      </c>
      <c r="F31" s="14">
        <f>VLOOKUP(A31,'2020 Revenue'!A$6:D$31,4,)</f>
        <v>52379.15</v>
      </c>
    </row>
    <row r="32" spans="1:6" x14ac:dyDescent="0.25">
      <c r="A32" s="2" t="s">
        <v>52</v>
      </c>
      <c r="B32" s="2" t="s">
        <v>53</v>
      </c>
      <c r="C32" s="8">
        <v>0</v>
      </c>
      <c r="D32" s="9">
        <v>107496.71</v>
      </c>
      <c r="E32" s="14">
        <f>VLOOKUP(A32,'2021 Revenue'!A$6:D$32,4,)</f>
        <v>70443.42</v>
      </c>
      <c r="F32" s="14">
        <f>VLOOKUP(A32,'2020 Revenue'!A$6:D$31,4,)</f>
        <v>-2420.39</v>
      </c>
    </row>
    <row r="33" spans="1:6" x14ac:dyDescent="0.25">
      <c r="A33" s="10" t="s">
        <v>61</v>
      </c>
      <c r="B33" s="10"/>
      <c r="C33" s="11">
        <v>66229000</v>
      </c>
      <c r="D33" s="12">
        <v>51338686.75</v>
      </c>
      <c r="E33" s="15">
        <f>SUM(E5:E32)</f>
        <v>36862523.590000004</v>
      </c>
      <c r="F33" s="15">
        <f>SUM(F6:F32)</f>
        <v>58259930.939999998</v>
      </c>
    </row>
    <row r="34" spans="1:6" ht="15" customHeight="1" x14ac:dyDescent="0.25">
      <c r="A34" s="13"/>
      <c r="B34" s="13"/>
      <c r="C34" s="13"/>
      <c r="D34" s="1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2020 Revenue</vt:lpstr>
      <vt:lpstr>2021 Revenue</vt:lpstr>
      <vt:lpstr>2022 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2023-05-26T07:13:15Z</dcterms:created>
  <dcterms:modified xsi:type="dcterms:W3CDTF">2023-05-30T09:20:10Z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