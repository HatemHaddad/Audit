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u834\Desktop\Business Development\Documents\"/>
    </mc:Choice>
  </mc:AlternateContent>
  <bookViews>
    <workbookView xWindow="0" yWindow="0" windowWidth="19170" windowHeight="7020" activeTab="1"/>
  </bookViews>
  <sheets>
    <sheet name="Sheet1" sheetId="2" r:id="rId1"/>
    <sheet name="Sheet2" sheetId="3" r:id="rId2"/>
    <sheet name="Sheet3" sheetId="4" r:id="rId3"/>
    <sheet name="Sheet4" sheetId="5"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 i="5" l="1"/>
  <c r="I8" i="5"/>
  <c r="I7" i="5"/>
  <c r="I6" i="5"/>
  <c r="I5" i="5"/>
  <c r="H7" i="5"/>
  <c r="H6" i="5"/>
  <c r="H5" i="5"/>
  <c r="G7" i="5"/>
  <c r="G6" i="5"/>
  <c r="G5" i="5"/>
  <c r="F7" i="5"/>
  <c r="F5" i="5"/>
  <c r="F6" i="5"/>
</calcChain>
</file>

<file path=xl/sharedStrings.xml><?xml version="1.0" encoding="utf-8"?>
<sst xmlns="http://schemas.openxmlformats.org/spreadsheetml/2006/main" count="136" uniqueCount="94">
  <si>
    <t>Initial requirements</t>
  </si>
  <si>
    <t>SN</t>
  </si>
  <si>
    <t>Status</t>
  </si>
  <si>
    <t>Comments</t>
  </si>
  <si>
    <t>In some cases, documents may not be available or not applicable. In such cases, please comment in Column 'D' accordingly</t>
  </si>
  <si>
    <t>Job Descriptions.</t>
  </si>
  <si>
    <t>Organization Chart.</t>
  </si>
  <si>
    <t xml:space="preserve">Minutes of Meeting where applicable. </t>
  </si>
  <si>
    <t xml:space="preserve">List and details of Inquiries received as well as response time. </t>
  </si>
  <si>
    <t>List of all Sales / revenue Agreements valid through and signed in 2022 and 2023.</t>
  </si>
  <si>
    <t>BD Strategy. - Department Strategy</t>
  </si>
  <si>
    <t>BD = Business Development</t>
  </si>
  <si>
    <t>Presentations to KU Management. (2021 - 2023)</t>
  </si>
  <si>
    <t>List of Income / revenue Streams at KU</t>
  </si>
  <si>
    <t>BD Periodic Reporting (All reports on the department if any 2021 - 2023)</t>
  </si>
  <si>
    <t>BD Department Budget vs Actuals.</t>
  </si>
  <si>
    <t>BD Department Receivable / Invoices.</t>
  </si>
  <si>
    <t>BD Department Payables / Payments.</t>
  </si>
  <si>
    <t>Vision and Mission of BD Department</t>
  </si>
  <si>
    <t>BD KPI’s – Planned vs Actual (For Department 2021 and 2022)</t>
  </si>
  <si>
    <t>BD KPI’s – Planned vs Actual (For staff 2022)</t>
  </si>
  <si>
    <t>Details on endowment Management (since inception Profit / loss / investment)</t>
  </si>
  <si>
    <t>Policies, Procedures / Processes which relate to BD.</t>
  </si>
  <si>
    <t>Goals and Objective of the Department.</t>
  </si>
  <si>
    <t>Details / Financial data on income generated from 2018 to 2022 including corresponding costs. 
- For all income streams including space, venture capital, Consultancy, IP etc,)</t>
  </si>
  <si>
    <t>Pending</t>
  </si>
  <si>
    <t>Partial</t>
  </si>
  <si>
    <t>Please provide us with BD Department Budget code - so we can check in the data for BD Department related receivable</t>
  </si>
  <si>
    <t xml:space="preserve">We have been provided AR data with all invoice and credit note detail. For Audit purposes, we require your support to list all income streams (and respective account codes) that  are applicable to Business development department only such as Football ground rental, auditorium rental, lab rental etc. </t>
  </si>
  <si>
    <t>Provided</t>
  </si>
  <si>
    <t>AR has shared links with you from where contracts can be accessed. Please provide with us the agreements (if the file size is large - you may share with us using KU Share point link)</t>
  </si>
  <si>
    <t>We have been provided AR data with all invoice, debit note, credit note detail. For Audit purpose, we require your support slice the data that relates to business development department only.
Further, Please provide us with costing details - These could be your internal reports / internally analysed data based on the information from the system - Thank you</t>
  </si>
  <si>
    <t xml:space="preserve">Attachment 1 - Presentation </t>
  </si>
  <si>
    <t xml:space="preserve">Attachemnt 2- Policies and proecedurs draft </t>
  </si>
  <si>
    <t>HR will provide</t>
  </si>
  <si>
    <t>Attachment 2- Policies and Procedurs policy</t>
  </si>
  <si>
    <t xml:space="preserve">Attachemnt 4- Sample of KUEEC MOM </t>
  </si>
  <si>
    <t>No available list, but resopond time within 24 hours</t>
  </si>
  <si>
    <t xml:space="preserve">Attachement  5- Revenue streams presentation </t>
  </si>
  <si>
    <t>Attachemnt 3- Presentation / Attachemnt 5</t>
  </si>
  <si>
    <t xml:space="preserve">Sent to AP unit </t>
  </si>
  <si>
    <t xml:space="preserve">attachemnt 6/ Budget vs Actual </t>
  </si>
  <si>
    <t>Attachemnts 3/5/6</t>
  </si>
  <si>
    <t>Auditee Comments</t>
  </si>
  <si>
    <t>Not available</t>
  </si>
  <si>
    <t>Normally HR does not have Department KPIs</t>
  </si>
  <si>
    <t xml:space="preserve"> 1 minutes of meeting provided</t>
  </si>
  <si>
    <t>What are the revenue streams BD is responsible for by account code?</t>
  </si>
  <si>
    <t>-</t>
  </si>
  <si>
    <t>Strategic KPI's and relevance to KU Strategy absent - This strategy applicable for how many years</t>
  </si>
  <si>
    <t>In Draft Stage</t>
  </si>
  <si>
    <t>Any approved - Short term Goals and long term goals? Like formally approved KPIs?</t>
  </si>
  <si>
    <t>All presentations?</t>
  </si>
  <si>
    <t>All minutes from 2022 onwards</t>
  </si>
  <si>
    <t>KUEC Committee charter</t>
  </si>
  <si>
    <t>How can we look at the response time of inquiries</t>
  </si>
  <si>
    <t>Finidng - not automated to keep records</t>
  </si>
  <si>
    <t>Finding - Not formalised</t>
  </si>
  <si>
    <t>Finding - Not formalised updated or linked to KU Strategy</t>
  </si>
  <si>
    <t>Total 3 presentations provided</t>
  </si>
  <si>
    <t>Actual budget submission to DoF</t>
  </si>
  <si>
    <t>Actual budget approval received from DoF</t>
  </si>
  <si>
    <t>Commercialisation of Labs - Any labs rented so far?</t>
  </si>
  <si>
    <t>Lab Rental - Which labs available</t>
  </si>
  <si>
    <t>Consultancy service</t>
  </si>
  <si>
    <t>Any approved - This is draft / incomplete. Also Space rental procedure - and continuing education - Ankabut draft</t>
  </si>
  <si>
    <t>Requested</t>
  </si>
  <si>
    <t>0 budget - only personel budget</t>
  </si>
  <si>
    <t>Not Applicable</t>
  </si>
  <si>
    <t xml:space="preserve">Agreement between KU and KUEC - </t>
  </si>
  <si>
    <t xml:space="preserve">Income Khalifa </t>
  </si>
  <si>
    <t>No inventory of income streams - Like footballs types of consultancy etc.</t>
  </si>
  <si>
    <t>Large deviation from submitted vs approved bydget]</t>
  </si>
  <si>
    <t>No Strategic KPI</t>
  </si>
  <si>
    <t xml:space="preserve">Budget </t>
  </si>
  <si>
    <t>Actual</t>
  </si>
  <si>
    <t>Done</t>
  </si>
  <si>
    <t>Sports Hall</t>
  </si>
  <si>
    <t>Sports</t>
  </si>
  <si>
    <t>Consultancy</t>
  </si>
  <si>
    <t>Petroleum Engineering</t>
  </si>
  <si>
    <t>Laboratory Rental</t>
  </si>
  <si>
    <t>Civil Engineering Labs</t>
  </si>
  <si>
    <t>Venue Rental</t>
  </si>
  <si>
    <t>Computer Labs</t>
  </si>
  <si>
    <t>Finding</t>
  </si>
  <si>
    <t>Additional Documents requested</t>
  </si>
  <si>
    <t xml:space="preserve">DoF Budget submission and approvals for 2020, 2021, 2022 </t>
  </si>
  <si>
    <t>Date of request</t>
  </si>
  <si>
    <t>Document</t>
  </si>
  <si>
    <t>Total 4 presentations provided. If these are the only presentations please confirm</t>
  </si>
  <si>
    <t>Costing and marketing comparison (Rental Prices)</t>
  </si>
  <si>
    <t xml:space="preserve">Submitted </t>
  </si>
  <si>
    <t>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</si>
</sst>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4" x14ac:knownFonts="1">
    <font>
      <sz val="11"/>
      <color theme="1"/>
      <name val="Calibri"/>
      <family val="2"/>
      <scheme val="minor"/>
    </font>
    <font>
      <b/>
      <sz val="11"/>
      <color theme="0"/>
      <name val="Calibri Light"/>
      <family val="2"/>
      <scheme val="major"/>
    </font>
    <font>
      <sz val="11"/>
      <color theme="1"/>
      <name val="Calibri Light"/>
      <family val="2"/>
      <scheme val="major"/>
    </font>
    <font>
      <b/>
      <sz val="12"/>
      <color theme="0"/>
      <name val="Calibri Light"/>
      <family val="2"/>
      <scheme val="major"/>
    </font>
    <font>
      <sz val="12"/>
      <color theme="1"/>
      <name val="Calibri Light"/>
      <family val="2"/>
      <scheme val="major"/>
    </font>
    <font>
      <i/>
      <sz val="11"/>
      <color theme="1"/>
      <name val="Calibri"/>
      <family val="2"/>
      <scheme val="minor"/>
    </font>
    <font>
      <sz val="12"/>
      <color theme="1"/>
      <name val="Calibri Light"/>
      <family val="2"/>
    </font>
    <font>
      <sz val="11"/>
      <color rgb="FF006100"/>
      <name val="Calibri"/>
      <family val="2"/>
      <scheme val="minor"/>
    </font>
    <font>
      <sz val="11"/>
      <color rgb="FF9C0006"/>
      <name val="Calibri"/>
      <family val="2"/>
      <scheme val="minor"/>
    </font>
    <font>
      <sz val="11"/>
      <color rgb="FF9C6500"/>
      <name val="Calibri"/>
      <family val="2"/>
      <scheme val="minor"/>
    </font>
    <font>
      <b/>
      <sz val="11"/>
      <color rgb="FFFA7D00"/>
      <name val="Calibri"/>
      <family val="2"/>
      <scheme val="minor"/>
    </font>
    <font>
      <b/>
      <sz val="11"/>
      <color rgb="FFFF0000"/>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theme="8"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00"/>
        <bgColor indexed="64"/>
      </patternFill>
    </fill>
    <fill>
      <patternFill patternType="solid">
        <fgColor rgb="FFA5A5A5"/>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s>
  <cellStyleXfs count="8">
    <xf numFmtId="0" fontId="0" fillId="0" borderId="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3" applyNumberFormat="0" applyAlignment="0" applyProtection="0"/>
    <xf numFmtId="43" fontId="12" fillId="0" borderId="0" applyFont="0" applyFill="0" applyBorder="0" applyAlignment="0" applyProtection="0"/>
    <xf numFmtId="0" fontId="13" fillId="8" borderId="7" applyNumberFormat="0" applyAlignment="0" applyProtection="0"/>
    <xf numFmtId="9" fontId="12" fillId="0" borderId="0" applyFont="0" applyFill="0" applyBorder="0" applyAlignment="0" applyProtection="0"/>
  </cellStyleXfs>
  <cellXfs count="35">
    <xf numFmtId="0" fontId="0" fillId="0" borderId="0" xfId="0"/>
    <xf numFmtId="0" fontId="1" fillId="2" borderId="1" xfId="0" applyFont="1" applyFill="1" applyBorder="1" applyAlignment="1">
      <alignment vertical="top"/>
    </xf>
    <xf numFmtId="0" fontId="1" fillId="2" borderId="1" xfId="0" applyFont="1" applyFill="1" applyBorder="1" applyAlignment="1">
      <alignment horizontal="center"/>
    </xf>
    <xf numFmtId="0" fontId="0" fillId="0" borderId="0" xfId="0" applyAlignment="1">
      <alignment horizontal="center"/>
    </xf>
    <xf numFmtId="0" fontId="4" fillId="0" borderId="0" xfId="0" applyFont="1" applyAlignment="1">
      <alignment horizontal="left" vertical="top"/>
    </xf>
    <xf numFmtId="0" fontId="2" fillId="0" borderId="1" xfId="0" applyFont="1" applyBorder="1" applyAlignment="1">
      <alignment horizontal="center" vertical="center"/>
    </xf>
    <xf numFmtId="0" fontId="5" fillId="0" borderId="0" xfId="0" applyFont="1" applyAlignment="1"/>
    <xf numFmtId="0" fontId="3" fillId="2" borderId="2" xfId="0" applyFont="1" applyFill="1" applyBorder="1" applyAlignment="1">
      <alignment horizontal="left" vertical="top"/>
    </xf>
    <xf numFmtId="0" fontId="2" fillId="0" borderId="1" xfId="0" applyFont="1" applyBorder="1" applyAlignment="1">
      <alignment vertical="center"/>
    </xf>
    <xf numFmtId="0" fontId="2" fillId="0" borderId="0" xfId="0" applyFont="1" applyAlignment="1">
      <alignmen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2" fillId="0" borderId="1" xfId="0" applyFont="1" applyBorder="1" applyAlignment="1">
      <alignment vertical="center" wrapText="1"/>
    </xf>
    <xf numFmtId="0" fontId="8" fillId="4" borderId="1" xfId="2" applyBorder="1" applyAlignment="1">
      <alignment vertical="center"/>
    </xf>
    <xf numFmtId="0" fontId="9" fillId="5" borderId="1" xfId="3" applyBorder="1" applyAlignment="1">
      <alignment vertical="center"/>
    </xf>
    <xf numFmtId="0" fontId="7" fillId="3" borderId="1" xfId="1" applyBorder="1" applyAlignment="1">
      <alignment vertical="center"/>
    </xf>
    <xf numFmtId="0" fontId="8" fillId="4" borderId="5" xfId="2" applyBorder="1" applyAlignment="1">
      <alignment vertical="center"/>
    </xf>
    <xf numFmtId="0" fontId="2" fillId="7" borderId="1" xfId="0" applyFont="1" applyFill="1" applyBorder="1" applyAlignment="1">
      <alignment horizontal="center" vertical="center"/>
    </xf>
    <xf numFmtId="0" fontId="11" fillId="6" borderId="4" xfId="4" applyFont="1" applyBorder="1" applyAlignment="1">
      <alignment vertical="center"/>
    </xf>
    <xf numFmtId="0" fontId="11" fillId="6" borderId="1" xfId="4" applyFont="1" applyBorder="1" applyAlignment="1">
      <alignment vertical="center"/>
    </xf>
    <xf numFmtId="0" fontId="2" fillId="0" borderId="6" xfId="0" applyFont="1" applyBorder="1" applyAlignment="1">
      <alignment vertical="center"/>
    </xf>
    <xf numFmtId="0" fontId="2" fillId="0" borderId="6" xfId="0" applyFont="1" applyBorder="1" applyAlignment="1">
      <alignment vertical="center" wrapText="1"/>
    </xf>
    <xf numFmtId="43" fontId="0" fillId="0" borderId="0" xfId="5" applyFont="1"/>
    <xf numFmtId="20" fontId="0" fillId="0" borderId="0" xfId="0" applyNumberFormat="1"/>
    <xf numFmtId="0" fontId="1" fillId="2" borderId="2" xfId="0" applyFont="1" applyFill="1" applyBorder="1" applyAlignment="1">
      <alignment horizontal="center"/>
    </xf>
    <xf numFmtId="0" fontId="2" fillId="0" borderId="1" xfId="0" applyFont="1" applyFill="1" applyBorder="1" applyAlignment="1">
      <alignment horizontal="center" vertical="center"/>
    </xf>
    <xf numFmtId="0" fontId="0" fillId="0" borderId="1" xfId="0" applyBorder="1"/>
    <xf numFmtId="15" fontId="0" fillId="0" borderId="1" xfId="0" applyNumberFormat="1" applyBorder="1"/>
    <xf numFmtId="0" fontId="6" fillId="0" borderId="1" xfId="0" applyFont="1" applyFill="1" applyBorder="1" applyAlignment="1">
      <alignment horizontal="left" vertical="center"/>
    </xf>
    <xf numFmtId="0" fontId="13" fillId="8" borderId="7" xfId="6"/>
    <xf numFmtId="3" fontId="0" fillId="0" borderId="0" xfId="0" applyNumberFormat="1"/>
    <xf numFmtId="43" fontId="0" fillId="0" borderId="0" xfId="0" applyNumberFormat="1"/>
    <xf numFmtId="9" fontId="0" fillId="0" borderId="0" xfId="7" applyFont="1"/>
    <xf numFmtId="9" fontId="0" fillId="0" borderId="0" xfId="0" applyNumberFormat="1"/>
    <xf numFmtId="43" fontId="0" fillId="0" borderId="1" xfId="5" applyFont="1" applyBorder="1"/>
  </cellXfs>
  <cellStyles count="8">
    <cellStyle name="Bad" xfId="2" builtinId="27"/>
    <cellStyle name="Calculation" xfId="4" builtinId="22"/>
    <cellStyle name="Check Cell" xfId="6" builtinId="23"/>
    <cellStyle name="Comma" xfId="5" builtinId="3"/>
    <cellStyle name="Good" xfId="1" builtinId="26"/>
    <cellStyle name="Neutral" xfId="3" builtinId="28"/>
    <cellStyle name="Normal" xfId="0" builtinId="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Sheet2!$C$1</c:f>
              <c:strCache>
                <c:ptCount val="1"/>
                <c:pt idx="0">
                  <c:v>Budget </c:v>
                </c:pt>
              </c:strCache>
            </c:strRef>
          </c:tx>
          <c:spPr>
            <a:ln w="28575" cap="rnd">
              <a:solidFill>
                <a:schemeClr val="accent1"/>
              </a:solidFill>
              <a:round/>
            </a:ln>
            <a:effectLst/>
          </c:spPr>
          <c:marker>
            <c:symbol val="none"/>
          </c:marker>
          <c:cat>
            <c:numRef>
              <c:f>Sheet2!$B$2:$B$6</c:f>
              <c:numCache>
                <c:formatCode>General</c:formatCode>
                <c:ptCount val="5"/>
                <c:pt idx="0">
                  <c:v>2019</c:v>
                </c:pt>
                <c:pt idx="1">
                  <c:v>2020</c:v>
                </c:pt>
                <c:pt idx="2">
                  <c:v>2021</c:v>
                </c:pt>
                <c:pt idx="3">
                  <c:v>2022</c:v>
                </c:pt>
              </c:numCache>
            </c:numRef>
          </c:cat>
          <c:val>
            <c:numRef>
              <c:f>Sheet2!$C$2:$C$6</c:f>
              <c:numCache>
                <c:formatCode>_(* #,##0.00_);_(* \(#,##0.00\);_(* "-"??_);_(@_)</c:formatCode>
                <c:ptCount val="5"/>
                <c:pt idx="0">
                  <c:v>134724000</c:v>
                </c:pt>
                <c:pt idx="1">
                  <c:v>63141000</c:v>
                </c:pt>
                <c:pt idx="2">
                  <c:v>49095000</c:v>
                </c:pt>
                <c:pt idx="3">
                  <c:v>66229000</c:v>
                </c:pt>
              </c:numCache>
            </c:numRef>
          </c:val>
          <c:smooth val="0"/>
          <c:extLst>
            <c:ext xmlns:c16="http://schemas.microsoft.com/office/drawing/2014/chart" uri="{C3380CC4-5D6E-409C-BE32-E72D297353CC}">
              <c16:uniqueId val="{00000000-EFCA-46CF-BA78-E7CF3B0FA4E0}"/>
            </c:ext>
          </c:extLst>
        </c:ser>
        <c:ser>
          <c:idx val="1"/>
          <c:order val="1"/>
          <c:tx>
            <c:strRef>
              <c:f>Sheet2!$D$1</c:f>
              <c:strCache>
                <c:ptCount val="1"/>
                <c:pt idx="0">
                  <c:v>Actual</c:v>
                </c:pt>
              </c:strCache>
            </c:strRef>
          </c:tx>
          <c:spPr>
            <a:ln w="28575" cap="rnd">
              <a:solidFill>
                <a:schemeClr val="accent2"/>
              </a:solidFill>
              <a:round/>
            </a:ln>
            <a:effectLst/>
          </c:spPr>
          <c:marker>
            <c:symbol val="none"/>
          </c:marker>
          <c:cat>
            <c:numRef>
              <c:f>Sheet2!$B$2:$B$6</c:f>
              <c:numCache>
                <c:formatCode>General</c:formatCode>
                <c:ptCount val="5"/>
                <c:pt idx="0">
                  <c:v>2019</c:v>
                </c:pt>
                <c:pt idx="1">
                  <c:v>2020</c:v>
                </c:pt>
                <c:pt idx="2">
                  <c:v>2021</c:v>
                </c:pt>
                <c:pt idx="3">
                  <c:v>2022</c:v>
                </c:pt>
              </c:numCache>
            </c:numRef>
          </c:cat>
          <c:val>
            <c:numRef>
              <c:f>Sheet2!$D$2:$D$6</c:f>
              <c:numCache>
                <c:formatCode>_(* #,##0.00_);_(* \(#,##0.00\);_(* "-"??_);_(@_)</c:formatCode>
                <c:ptCount val="5"/>
                <c:pt idx="0">
                  <c:v>59930967</c:v>
                </c:pt>
                <c:pt idx="1">
                  <c:v>56872675</c:v>
                </c:pt>
                <c:pt idx="2">
                  <c:v>38442418</c:v>
                </c:pt>
                <c:pt idx="3">
                  <c:v>51338733</c:v>
                </c:pt>
              </c:numCache>
            </c:numRef>
          </c:val>
          <c:smooth val="0"/>
          <c:extLst>
            <c:ext xmlns:c16="http://schemas.microsoft.com/office/drawing/2014/chart" uri="{C3380CC4-5D6E-409C-BE32-E72D297353CC}">
              <c16:uniqueId val="{00000002-EFCA-46CF-BA78-E7CF3B0FA4E0}"/>
            </c:ext>
          </c:extLst>
        </c:ser>
        <c:dLbls>
          <c:showLegendKey val="0"/>
          <c:showVal val="0"/>
          <c:showCatName val="0"/>
          <c:showSerName val="0"/>
          <c:showPercent val="0"/>
          <c:showBubbleSize val="0"/>
        </c:dLbls>
        <c:smooth val="0"/>
        <c:axId val="1138387327"/>
        <c:axId val="1138383167"/>
      </c:lineChart>
      <c:catAx>
        <c:axId val="113838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383167"/>
        <c:crosses val="autoZero"/>
        <c:auto val="1"/>
        <c:lblAlgn val="ctr"/>
        <c:lblOffset val="100"/>
        <c:noMultiLvlLbl val="0"/>
      </c:catAx>
      <c:valAx>
        <c:axId val="1138383167"/>
        <c:scaling>
          <c:orientation val="minMax"/>
        </c:scaling>
        <c:delete val="1"/>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113838732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barChart>
        <c:barDir val="col"/>
        <c:grouping val="clustered"/>
        <c:varyColors val="0"/>
        <c:ser>
          <c:idx val="0"/>
          <c:order val="0"/>
          <c:tx>
            <c:strRef>
              <c:f>Sheet2!$B$11</c:f>
              <c:strCache>
                <c:ptCount val="1"/>
                <c:pt idx="0">
                  <c:v>2019</c:v>
                </c:pt>
              </c:strCache>
            </c:strRef>
          </c:tx>
          <c:spPr>
            <a:solidFill>
              <a:schemeClr val="accent1">
                <a:shade val="58000"/>
              </a:schemeClr>
            </a:solidFill>
            <a:ln>
              <a:noFill/>
            </a:ln>
            <a:effectLst/>
          </c:spPr>
          <c:invertIfNegative val="0"/>
          <c:cat>
            <c:numRef>
              <c:f>Sheet2!$C$10</c:f>
              <c:numCache>
                <c:formatCode>General</c:formatCode>
                <c:ptCount val="1"/>
              </c:numCache>
            </c:numRef>
          </c:cat>
          <c:val>
            <c:numRef>
              <c:f>Sheet2!$C$11</c:f>
              <c:numCache>
                <c:formatCode>_(* #,##0.00_);_(* \(#,##0.00\);_(* "-"??_);_(@_)</c:formatCode>
                <c:ptCount val="1"/>
                <c:pt idx="0">
                  <c:v>59930967</c:v>
                </c:pt>
              </c:numCache>
            </c:numRef>
          </c:val>
          <c:extLst>
            <c:ext xmlns:c16="http://schemas.microsoft.com/office/drawing/2014/chart" uri="{C3380CC4-5D6E-409C-BE32-E72D297353CC}">
              <c16:uniqueId val="{00000000-0F99-48A9-B3E5-C7B8401037A0}"/>
            </c:ext>
          </c:extLst>
        </c:ser>
        <c:ser>
          <c:idx val="1"/>
          <c:order val="1"/>
          <c:tx>
            <c:strRef>
              <c:f>Sheet2!$B$12</c:f>
              <c:strCache>
                <c:ptCount val="1"/>
                <c:pt idx="0">
                  <c:v>2020</c:v>
                </c:pt>
              </c:strCache>
            </c:strRef>
          </c:tx>
          <c:spPr>
            <a:solidFill>
              <a:schemeClr val="accent1">
                <a:shade val="86000"/>
              </a:schemeClr>
            </a:solidFill>
            <a:ln>
              <a:noFill/>
            </a:ln>
            <a:effectLst/>
          </c:spPr>
          <c:invertIfNegative val="0"/>
          <c:cat>
            <c:numRef>
              <c:f>Sheet2!$C$10</c:f>
              <c:numCache>
                <c:formatCode>General</c:formatCode>
                <c:ptCount val="1"/>
              </c:numCache>
            </c:numRef>
          </c:cat>
          <c:val>
            <c:numRef>
              <c:f>Sheet2!$C$12</c:f>
              <c:numCache>
                <c:formatCode>_(* #,##0.00_);_(* \(#,##0.00\);_(* "-"??_);_(@_)</c:formatCode>
                <c:ptCount val="1"/>
                <c:pt idx="0">
                  <c:v>58259930.939999998</c:v>
                </c:pt>
              </c:numCache>
            </c:numRef>
          </c:val>
          <c:extLst>
            <c:ext xmlns:c16="http://schemas.microsoft.com/office/drawing/2014/chart" uri="{C3380CC4-5D6E-409C-BE32-E72D297353CC}">
              <c16:uniqueId val="{00000000-D41D-472D-8FA9-629167BF1B1E}"/>
            </c:ext>
          </c:extLst>
        </c:ser>
        <c:ser>
          <c:idx val="2"/>
          <c:order val="2"/>
          <c:tx>
            <c:strRef>
              <c:f>Sheet2!$B$13</c:f>
              <c:strCache>
                <c:ptCount val="1"/>
                <c:pt idx="0">
                  <c:v>2021</c:v>
                </c:pt>
              </c:strCache>
            </c:strRef>
          </c:tx>
          <c:spPr>
            <a:solidFill>
              <a:schemeClr val="accent1">
                <a:tint val="86000"/>
              </a:schemeClr>
            </a:solidFill>
            <a:ln>
              <a:noFill/>
            </a:ln>
            <a:effectLst/>
          </c:spPr>
          <c:invertIfNegative val="0"/>
          <c:cat>
            <c:numRef>
              <c:f>Sheet2!$C$10</c:f>
              <c:numCache>
                <c:formatCode>General</c:formatCode>
                <c:ptCount val="1"/>
              </c:numCache>
            </c:numRef>
          </c:cat>
          <c:val>
            <c:numRef>
              <c:f>Sheet2!$C$13</c:f>
              <c:numCache>
                <c:formatCode>_(* #,##0.00_);_(* \(#,##0.00\);_(* "-"??_);_(@_)</c:formatCode>
                <c:ptCount val="1"/>
                <c:pt idx="0">
                  <c:v>36862523.590000004</c:v>
                </c:pt>
              </c:numCache>
            </c:numRef>
          </c:val>
          <c:extLst>
            <c:ext xmlns:c16="http://schemas.microsoft.com/office/drawing/2014/chart" uri="{C3380CC4-5D6E-409C-BE32-E72D297353CC}">
              <c16:uniqueId val="{00000001-D41D-472D-8FA9-629167BF1B1E}"/>
            </c:ext>
          </c:extLst>
        </c:ser>
        <c:ser>
          <c:idx val="3"/>
          <c:order val="3"/>
          <c:tx>
            <c:strRef>
              <c:f>Sheet2!$B$14</c:f>
              <c:strCache>
                <c:ptCount val="1"/>
                <c:pt idx="0">
                  <c:v>2022</c:v>
                </c:pt>
              </c:strCache>
            </c:strRef>
          </c:tx>
          <c:spPr>
            <a:solidFill>
              <a:schemeClr val="accent1">
                <a:tint val="58000"/>
              </a:schemeClr>
            </a:solidFill>
            <a:ln>
              <a:noFill/>
            </a:ln>
            <a:effectLst/>
          </c:spPr>
          <c:invertIfNegative val="0"/>
          <c:cat>
            <c:numRef>
              <c:f>Sheet2!$C$10</c:f>
              <c:numCache>
                <c:formatCode>General</c:formatCode>
                <c:ptCount val="1"/>
              </c:numCache>
            </c:numRef>
          </c:cat>
          <c:val>
            <c:numRef>
              <c:f>Sheet2!$C$14</c:f>
              <c:numCache>
                <c:formatCode>_(* #,##0.00_);_(* \(#,##0.00\);_(* "-"??_);_(@_)</c:formatCode>
                <c:ptCount val="1"/>
                <c:pt idx="0">
                  <c:v>51338733</c:v>
                </c:pt>
              </c:numCache>
            </c:numRef>
          </c:val>
          <c:extLst>
            <c:ext xmlns:c16="http://schemas.microsoft.com/office/drawing/2014/chart" uri="{C3380CC4-5D6E-409C-BE32-E72D297353CC}">
              <c16:uniqueId val="{00000002-D41D-472D-8FA9-629167BF1B1E}"/>
            </c:ext>
          </c:extLst>
        </c:ser>
        <c:dLbls>
          <c:showLegendKey val="0"/>
          <c:showVal val="0"/>
          <c:showCatName val="0"/>
          <c:showSerName val="0"/>
          <c:showPercent val="0"/>
          <c:showBubbleSize val="0"/>
        </c:dLbls>
        <c:gapWidth val="219"/>
        <c:overlap val="-27"/>
        <c:axId val="1147401535"/>
        <c:axId val="1147401951"/>
      </c:barChart>
      <c:catAx>
        <c:axId val="1147401535"/>
        <c:scaling>
          <c:orientation val="minMax"/>
        </c:scaling>
        <c:delete val="1"/>
        <c:axPos val="b"/>
        <c:numFmt formatCode="General" sourceLinked="1"/>
        <c:majorTickMark val="none"/>
        <c:minorTickMark val="none"/>
        <c:tickLblPos val="nextTo"/>
        <c:crossAx val="1147401951"/>
        <c:crosses val="autoZero"/>
        <c:auto val="1"/>
        <c:lblAlgn val="ctr"/>
        <c:lblOffset val="100"/>
        <c:noMultiLvlLbl val="0"/>
      </c:catAx>
      <c:valAx>
        <c:axId val="114740195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01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Sheet2!$B$11:$B$14</c:f>
              <c:numCache>
                <c:formatCode>General</c:formatCode>
                <c:ptCount val="4"/>
                <c:pt idx="0">
                  <c:v>2019</c:v>
                </c:pt>
                <c:pt idx="1">
                  <c:v>2020</c:v>
                </c:pt>
                <c:pt idx="2">
                  <c:v>2021</c:v>
                </c:pt>
                <c:pt idx="3">
                  <c:v>2022</c:v>
                </c:pt>
              </c:numCache>
            </c:numRef>
          </c:cat>
          <c:val>
            <c:numRef>
              <c:f>Sheet2!$C$11:$C$14</c:f>
              <c:numCache>
                <c:formatCode>_(* #,##0.00_);_(* \(#,##0.00\);_(* "-"??_);_(@_)</c:formatCode>
                <c:ptCount val="4"/>
                <c:pt idx="0">
                  <c:v>59930967</c:v>
                </c:pt>
                <c:pt idx="1">
                  <c:v>58259930.939999998</c:v>
                </c:pt>
                <c:pt idx="2">
                  <c:v>36862523.590000004</c:v>
                </c:pt>
                <c:pt idx="3">
                  <c:v>51338733</c:v>
                </c:pt>
              </c:numCache>
            </c:numRef>
          </c:val>
          <c:extLst>
            <c:ext xmlns:c16="http://schemas.microsoft.com/office/drawing/2014/chart" uri="{C3380CC4-5D6E-409C-BE32-E72D297353CC}">
              <c16:uniqueId val="{00000000-8914-4E6D-9E1C-EC1733EFE944}"/>
            </c:ext>
          </c:extLst>
        </c:ser>
        <c:dLbls>
          <c:showLegendKey val="0"/>
          <c:showVal val="0"/>
          <c:showCatName val="0"/>
          <c:showSerName val="0"/>
          <c:showPercent val="0"/>
          <c:showBubbleSize val="0"/>
        </c:dLbls>
        <c:gapWidth val="219"/>
        <c:overlap val="-27"/>
        <c:axId val="1883006431"/>
        <c:axId val="1883006015"/>
      </c:barChart>
      <c:catAx>
        <c:axId val="188300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06015"/>
        <c:crosses val="autoZero"/>
        <c:auto val="1"/>
        <c:lblAlgn val="ctr"/>
        <c:lblOffset val="100"/>
        <c:noMultiLvlLbl val="0"/>
      </c:catAx>
      <c:valAx>
        <c:axId val="188300601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06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Sheet4!$C$4</c:f>
              <c:strCache>
                <c:ptCount val="1"/>
                <c:pt idx="0">
                  <c:v>Submitted </c:v>
                </c:pt>
              </c:strCache>
            </c:strRef>
          </c:tx>
          <c:spPr>
            <a:solidFill>
              <a:schemeClr val="accent1"/>
            </a:solidFill>
            <a:ln>
              <a:noFill/>
            </a:ln>
            <a:effectLst/>
          </c:spPr>
          <c:invertIfNegative val="0"/>
          <c:cat>
            <c:numRef>
              <c:f>Sheet4!$B$5:$B$7</c:f>
              <c:numCache>
                <c:formatCode>General</c:formatCode>
                <c:ptCount val="3"/>
                <c:pt idx="0">
                  <c:v>2020</c:v>
                </c:pt>
                <c:pt idx="1">
                  <c:v>2021</c:v>
                </c:pt>
                <c:pt idx="2">
                  <c:v>2022</c:v>
                </c:pt>
              </c:numCache>
            </c:numRef>
          </c:cat>
          <c:val>
            <c:numRef>
              <c:f>Sheet4!$C$5:$C$7</c:f>
              <c:numCache>
                <c:formatCode>#,##0</c:formatCode>
                <c:ptCount val="3"/>
                <c:pt idx="0">
                  <c:v>41800000</c:v>
                </c:pt>
                <c:pt idx="1">
                  <c:v>41800000</c:v>
                </c:pt>
                <c:pt idx="2">
                  <c:v>38451660</c:v>
                </c:pt>
              </c:numCache>
            </c:numRef>
          </c:val>
          <c:extLst>
            <c:ext xmlns:c16="http://schemas.microsoft.com/office/drawing/2014/chart" uri="{C3380CC4-5D6E-409C-BE32-E72D297353CC}">
              <c16:uniqueId val="{00000000-ADA0-4CA3-B2D0-C2ACE2E3BFE0}"/>
            </c:ext>
          </c:extLst>
        </c:ser>
        <c:ser>
          <c:idx val="1"/>
          <c:order val="1"/>
          <c:tx>
            <c:strRef>
              <c:f>Sheet4!$D$4</c:f>
              <c:strCache>
                <c:ptCount val="1"/>
                <c:pt idx="0">
                  <c:v>Approved</c:v>
                </c:pt>
              </c:strCache>
            </c:strRef>
          </c:tx>
          <c:spPr>
            <a:solidFill>
              <a:schemeClr val="accent2"/>
            </a:solidFill>
            <a:ln>
              <a:noFill/>
            </a:ln>
            <a:effectLst/>
          </c:spPr>
          <c:invertIfNegative val="0"/>
          <c:cat>
            <c:numRef>
              <c:f>Sheet4!$B$5:$B$7</c:f>
              <c:numCache>
                <c:formatCode>General</c:formatCode>
                <c:ptCount val="3"/>
                <c:pt idx="0">
                  <c:v>2020</c:v>
                </c:pt>
                <c:pt idx="1">
                  <c:v>2021</c:v>
                </c:pt>
                <c:pt idx="2">
                  <c:v>2022</c:v>
                </c:pt>
              </c:numCache>
            </c:numRef>
          </c:cat>
          <c:val>
            <c:numRef>
              <c:f>Sheet4!$D$5:$D$7</c:f>
              <c:numCache>
                <c:formatCode>_(* #,##0.00_);_(* \(#,##0.00\);_(* "-"??_);_(@_)</c:formatCode>
                <c:ptCount val="3"/>
                <c:pt idx="0">
                  <c:v>63141000</c:v>
                </c:pt>
                <c:pt idx="1">
                  <c:v>49095000</c:v>
                </c:pt>
                <c:pt idx="2">
                  <c:v>66229000</c:v>
                </c:pt>
              </c:numCache>
            </c:numRef>
          </c:val>
          <c:extLst>
            <c:ext xmlns:c16="http://schemas.microsoft.com/office/drawing/2014/chart" uri="{C3380CC4-5D6E-409C-BE32-E72D297353CC}">
              <c16:uniqueId val="{00000001-ADA0-4CA3-B2D0-C2ACE2E3BFE0}"/>
            </c:ext>
          </c:extLst>
        </c:ser>
        <c:ser>
          <c:idx val="2"/>
          <c:order val="2"/>
          <c:tx>
            <c:strRef>
              <c:f>Sheet4!$E$4</c:f>
              <c:strCache>
                <c:ptCount val="1"/>
                <c:pt idx="0">
                  <c:v>Actual</c:v>
                </c:pt>
              </c:strCache>
            </c:strRef>
          </c:tx>
          <c:spPr>
            <a:solidFill>
              <a:schemeClr val="accent3"/>
            </a:solidFill>
            <a:ln>
              <a:noFill/>
            </a:ln>
            <a:effectLst/>
          </c:spPr>
          <c:invertIfNegative val="0"/>
          <c:cat>
            <c:numRef>
              <c:f>Sheet4!$B$5:$B$7</c:f>
              <c:numCache>
                <c:formatCode>General</c:formatCode>
                <c:ptCount val="3"/>
                <c:pt idx="0">
                  <c:v>2020</c:v>
                </c:pt>
                <c:pt idx="1">
                  <c:v>2021</c:v>
                </c:pt>
                <c:pt idx="2">
                  <c:v>2022</c:v>
                </c:pt>
              </c:numCache>
            </c:numRef>
          </c:cat>
          <c:val>
            <c:numRef>
              <c:f>Sheet4!$E$5:$E$7</c:f>
              <c:numCache>
                <c:formatCode>_(* #,##0.00_);_(* \(#,##0.00\);_(* "-"??_);_(@_)</c:formatCode>
                <c:ptCount val="3"/>
                <c:pt idx="0">
                  <c:v>56872675</c:v>
                </c:pt>
                <c:pt idx="1">
                  <c:v>38442418</c:v>
                </c:pt>
                <c:pt idx="2">
                  <c:v>51338733</c:v>
                </c:pt>
              </c:numCache>
            </c:numRef>
          </c:val>
          <c:extLst>
            <c:ext xmlns:c16="http://schemas.microsoft.com/office/drawing/2014/chart" uri="{C3380CC4-5D6E-409C-BE32-E72D297353CC}">
              <c16:uniqueId val="{00000002-ADA0-4CA3-B2D0-C2ACE2E3BFE0}"/>
            </c:ext>
          </c:extLst>
        </c:ser>
        <c:dLbls>
          <c:showLegendKey val="0"/>
          <c:showVal val="0"/>
          <c:showCatName val="0"/>
          <c:showSerName val="0"/>
          <c:showPercent val="0"/>
          <c:showBubbleSize val="0"/>
        </c:dLbls>
        <c:gapWidth val="150"/>
        <c:axId val="1996169280"/>
        <c:axId val="1996167200"/>
      </c:barChart>
      <c:catAx>
        <c:axId val="199616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167200"/>
        <c:crosses val="autoZero"/>
        <c:auto val="1"/>
        <c:lblAlgn val="ctr"/>
        <c:lblOffset val="100"/>
        <c:noMultiLvlLbl val="0"/>
      </c:catAx>
      <c:valAx>
        <c:axId val="1996167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16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600075</xdr:colOff>
      <xdr:row>0</xdr:row>
      <xdr:rowOff>0</xdr:rowOff>
    </xdr:from>
    <xdr:to>
      <xdr:col>25</xdr:col>
      <xdr:colOff>295275</xdr:colOff>
      <xdr:row>14</xdr:row>
      <xdr:rowOff>76200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809626</xdr:colOff>
      <xdr:row>5</xdr:row>
      <xdr:rowOff>28575</xdr:rowOff>
    </xdr:from>
    <xdr:to>
      <xdr:col>8</xdr:col>
      <xdr:colOff>542926</xdr:colOff>
      <xdr:row>18</xdr:row>
      <xdr:rowOff>47625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466725</xdr:colOff>
      <xdr:row>27</xdr:row>
      <xdr:rowOff>161925</xdr:rowOff>
    </xdr:from>
    <xdr:to>
      <xdr:col>8</xdr:col>
      <xdr:colOff>609277</xdr:colOff>
      <xdr:row>33</xdr:row>
      <xdr:rowOff>47496</xdr:rowOff>
    </xdr:to>
    <xdr:pic>
      <xdr:nvPicPr>
        <xdr:cNvPr id="10" name="Picture 9"/>
        <xdr:cNvPicPr>
          <a:picLocks noChangeAspect="1"/>
        </xdr:cNvPicPr>
      </xdr:nvPicPr>
      <xdr:blipFill>
        <a:blip xmlns:r="http://schemas.openxmlformats.org/officeDocument/2006/relationships" r:embed="rId3"/>
        <a:stretch>
          <a:fillRect/>
        </a:stretch>
      </xdr:blipFill>
      <xdr:spPr>
        <a:xfrm>
          <a:off x="3657600" y="5305425"/>
          <a:ext cx="2580952" cy="1028571"/>
        </a:xfrm>
        <a:prstGeom prst="rect">
          <a:avLst/>
        </a:prstGeom>
      </xdr:spPr>
    </xdr:pic>
    <xdr:clientData/>
  </xdr:twoCellAnchor>
  <xdr:twoCellAnchor editAs="oneCell">
    <xdr:from>
      <xdr:col>9</xdr:col>
      <xdr:colOff>95250</xdr:colOff>
      <xdr:row>27</xdr:row>
      <xdr:rowOff>9525</xdr:rowOff>
    </xdr:from>
    <xdr:to>
      <xdr:col>22</xdr:col>
      <xdr:colOff>437117</xdr:colOff>
      <xdr:row>35</xdr:row>
      <xdr:rowOff>171239</xdr:rowOff>
    </xdr:to>
    <xdr:pic>
      <xdr:nvPicPr>
        <xdr:cNvPr id="11" name="Picture 10"/>
        <xdr:cNvPicPr>
          <a:picLocks noChangeAspect="1"/>
        </xdr:cNvPicPr>
      </xdr:nvPicPr>
      <xdr:blipFill>
        <a:blip xmlns:r="http://schemas.openxmlformats.org/officeDocument/2006/relationships" r:embed="rId4"/>
        <a:stretch>
          <a:fillRect/>
        </a:stretch>
      </xdr:blipFill>
      <xdr:spPr>
        <a:xfrm>
          <a:off x="6334125" y="5153025"/>
          <a:ext cx="8266667" cy="1685714"/>
        </a:xfrm>
        <a:prstGeom prst="rect">
          <a:avLst/>
        </a:prstGeom>
      </xdr:spPr>
    </xdr:pic>
    <xdr:clientData/>
  </xdr:twoCellAnchor>
  <xdr:twoCellAnchor editAs="oneCell">
    <xdr:from>
      <xdr:col>4</xdr:col>
      <xdr:colOff>323850</xdr:colOff>
      <xdr:row>32</xdr:row>
      <xdr:rowOff>171450</xdr:rowOff>
    </xdr:from>
    <xdr:to>
      <xdr:col>8</xdr:col>
      <xdr:colOff>580688</xdr:colOff>
      <xdr:row>39</xdr:row>
      <xdr:rowOff>47474</xdr:rowOff>
    </xdr:to>
    <xdr:pic>
      <xdr:nvPicPr>
        <xdr:cNvPr id="12" name="Picture 11"/>
        <xdr:cNvPicPr>
          <a:picLocks noChangeAspect="1"/>
        </xdr:cNvPicPr>
      </xdr:nvPicPr>
      <xdr:blipFill>
        <a:blip xmlns:r="http://schemas.openxmlformats.org/officeDocument/2006/relationships" r:embed="rId5"/>
        <a:stretch>
          <a:fillRect/>
        </a:stretch>
      </xdr:blipFill>
      <xdr:spPr>
        <a:xfrm>
          <a:off x="3514725" y="6267450"/>
          <a:ext cx="2695238" cy="1209524"/>
        </a:xfrm>
        <a:prstGeom prst="rect">
          <a:avLst/>
        </a:prstGeom>
      </xdr:spPr>
    </xdr:pic>
    <xdr:clientData/>
  </xdr:twoCellAnchor>
  <xdr:twoCellAnchor editAs="oneCell">
    <xdr:from>
      <xdr:col>9</xdr:col>
      <xdr:colOff>180975</xdr:colOff>
      <xdr:row>36</xdr:row>
      <xdr:rowOff>85725</xdr:rowOff>
    </xdr:from>
    <xdr:to>
      <xdr:col>22</xdr:col>
      <xdr:colOff>532365</xdr:colOff>
      <xdr:row>55</xdr:row>
      <xdr:rowOff>9082</xdr:rowOff>
    </xdr:to>
    <xdr:pic>
      <xdr:nvPicPr>
        <xdr:cNvPr id="13" name="Picture 12"/>
        <xdr:cNvPicPr>
          <a:picLocks noChangeAspect="1"/>
        </xdr:cNvPicPr>
      </xdr:nvPicPr>
      <xdr:blipFill>
        <a:blip xmlns:r="http://schemas.openxmlformats.org/officeDocument/2006/relationships" r:embed="rId6"/>
        <a:stretch>
          <a:fillRect/>
        </a:stretch>
      </xdr:blipFill>
      <xdr:spPr>
        <a:xfrm>
          <a:off x="6419850" y="6943725"/>
          <a:ext cx="8276190" cy="3542857"/>
        </a:xfrm>
        <a:prstGeom prst="rect">
          <a:avLst/>
        </a:prstGeom>
      </xdr:spPr>
    </xdr:pic>
    <xdr:clientData/>
  </xdr:twoCellAnchor>
  <xdr:twoCellAnchor editAs="oneCell">
    <xdr:from>
      <xdr:col>4</xdr:col>
      <xdr:colOff>333375</xdr:colOff>
      <xdr:row>39</xdr:row>
      <xdr:rowOff>76201</xdr:rowOff>
    </xdr:from>
    <xdr:to>
      <xdr:col>8</xdr:col>
      <xdr:colOff>495300</xdr:colOff>
      <xdr:row>46</xdr:row>
      <xdr:rowOff>66793</xdr:rowOff>
    </xdr:to>
    <xdr:pic>
      <xdr:nvPicPr>
        <xdr:cNvPr id="15" name="Picture 14"/>
        <xdr:cNvPicPr>
          <a:picLocks noChangeAspect="1"/>
        </xdr:cNvPicPr>
      </xdr:nvPicPr>
      <xdr:blipFill>
        <a:blip xmlns:r="http://schemas.openxmlformats.org/officeDocument/2006/relationships" r:embed="rId7"/>
        <a:stretch>
          <a:fillRect/>
        </a:stretch>
      </xdr:blipFill>
      <xdr:spPr>
        <a:xfrm>
          <a:off x="3524250" y="7505701"/>
          <a:ext cx="2600325" cy="1324092"/>
        </a:xfrm>
        <a:prstGeom prst="rect">
          <a:avLst/>
        </a:prstGeom>
      </xdr:spPr>
    </xdr:pic>
    <xdr:clientData/>
  </xdr:twoCellAnchor>
  <xdr:twoCellAnchor>
    <xdr:from>
      <xdr:col>8</xdr:col>
      <xdr:colOff>504825</xdr:colOff>
      <xdr:row>8</xdr:row>
      <xdr:rowOff>42862</xdr:rowOff>
    </xdr:from>
    <xdr:to>
      <xdr:col>16</xdr:col>
      <xdr:colOff>200025</xdr:colOff>
      <xdr:row>22</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0.44622</cdr:x>
      <cdr:y>0.12803</cdr:y>
    </cdr:from>
    <cdr:to>
      <cdr:x>0.76219</cdr:x>
      <cdr:y>0.25573</cdr:y>
    </cdr:to>
    <cdr:cxnSp macro="">
      <cdr:nvCxnSpPr>
        <cdr:cNvPr id="2" name="Straight Arrow Connector 1"/>
        <cdr:cNvCxnSpPr/>
      </cdr:nvCxnSpPr>
      <cdr:spPr>
        <a:xfrm xmlns:a="http://schemas.openxmlformats.org/drawingml/2006/main">
          <a:off x="1394087" y="319496"/>
          <a:ext cx="987162" cy="318679"/>
        </a:xfrm>
        <a:prstGeom xmlns:a="http://schemas.openxmlformats.org/drawingml/2006/main" prst="straightConnector1">
          <a:avLst/>
        </a:prstGeom>
        <a:ln xmlns:a="http://schemas.openxmlformats.org/drawingml/2006/main">
          <a:solidFill>
            <a:srgbClr val="FF0000"/>
          </a:solidFill>
          <a:tailEnd type="triangle"/>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4</xdr:col>
      <xdr:colOff>209550</xdr:colOff>
      <xdr:row>11</xdr:row>
      <xdr:rowOff>123825</xdr:rowOff>
    </xdr:from>
    <xdr:to>
      <xdr:col>11</xdr:col>
      <xdr:colOff>161925</xdr:colOff>
      <xdr:row>26</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6"/>
  <sheetViews>
    <sheetView showGridLines="0" topLeftCell="C1" zoomScale="85" zoomScaleNormal="85" workbookViewId="0">
      <selection activeCell="F13" sqref="F13:F14"/>
    </sheetView>
  </sheetViews>
  <sheetFormatPr defaultRowHeight="15.75" x14ac:dyDescent="0.25"/>
  <cols>
    <col min="2" max="2" width="8.7109375" style="3"/>
    <col min="3" max="3" width="23.140625" style="3" customWidth="1"/>
    <col min="4" max="4" width="80.85546875" style="4" customWidth="1"/>
    <col min="5" max="5" width="15.140625" customWidth="1"/>
    <col min="6" max="6" width="121.42578125" customWidth="1"/>
    <col min="7" max="7" width="47.28515625" customWidth="1"/>
  </cols>
  <sheetData>
    <row r="2" spans="2:11" ht="15" x14ac:dyDescent="0.25">
      <c r="D2" s="6" t="s">
        <v>4</v>
      </c>
    </row>
    <row r="3" spans="2:11" x14ac:dyDescent="0.25">
      <c r="D3" s="4" t="s">
        <v>11</v>
      </c>
    </row>
    <row r="6" spans="2:11" x14ac:dyDescent="0.25">
      <c r="B6" s="2" t="s">
        <v>1</v>
      </c>
      <c r="C6" s="24"/>
      <c r="D6" s="7" t="s">
        <v>0</v>
      </c>
      <c r="E6" s="1" t="s">
        <v>2</v>
      </c>
      <c r="F6" s="1" t="s">
        <v>3</v>
      </c>
      <c r="G6" s="1" t="s">
        <v>43</v>
      </c>
    </row>
    <row r="7" spans="2:11" s="9" customFormat="1" ht="27.75" customHeight="1" x14ac:dyDescent="0.25">
      <c r="B7" s="5">
        <v>1</v>
      </c>
      <c r="C7" s="25" t="s">
        <v>85</v>
      </c>
      <c r="D7" s="10" t="s">
        <v>10</v>
      </c>
      <c r="E7" s="18" t="s">
        <v>44</v>
      </c>
      <c r="F7" s="8" t="s">
        <v>49</v>
      </c>
      <c r="G7" s="8" t="s">
        <v>32</v>
      </c>
      <c r="K7" s="9" t="s">
        <v>58</v>
      </c>
    </row>
    <row r="8" spans="2:11" s="9" customFormat="1" ht="27.75" customHeight="1" x14ac:dyDescent="0.25">
      <c r="B8" s="5">
        <v>2</v>
      </c>
      <c r="C8" s="25"/>
      <c r="D8" s="10" t="s">
        <v>23</v>
      </c>
      <c r="E8" s="18" t="s">
        <v>44</v>
      </c>
      <c r="F8" s="8" t="s">
        <v>51</v>
      </c>
      <c r="G8" s="8" t="s">
        <v>33</v>
      </c>
    </row>
    <row r="9" spans="2:11" s="9" customFormat="1" ht="27.75" customHeight="1" x14ac:dyDescent="0.25">
      <c r="B9" s="5">
        <v>3</v>
      </c>
      <c r="C9" s="25" t="s">
        <v>85</v>
      </c>
      <c r="D9" s="10" t="s">
        <v>18</v>
      </c>
      <c r="E9" s="15" t="s">
        <v>29</v>
      </c>
      <c r="F9" s="8" t="s">
        <v>50</v>
      </c>
      <c r="G9" s="8" t="s">
        <v>33</v>
      </c>
      <c r="K9" s="9" t="s">
        <v>57</v>
      </c>
    </row>
    <row r="10" spans="2:11" s="9" customFormat="1" ht="27.75" customHeight="1" x14ac:dyDescent="0.25">
      <c r="B10" s="5">
        <v>4</v>
      </c>
      <c r="C10" s="25"/>
      <c r="D10" s="10" t="s">
        <v>5</v>
      </c>
      <c r="E10" s="16" t="s">
        <v>25</v>
      </c>
      <c r="F10" s="8"/>
      <c r="G10" s="8" t="s">
        <v>34</v>
      </c>
    </row>
    <row r="11" spans="2:11" s="9" customFormat="1" ht="27.75" customHeight="1" x14ac:dyDescent="0.25">
      <c r="B11" s="5">
        <v>5</v>
      </c>
      <c r="C11" s="25"/>
      <c r="D11" s="10" t="s">
        <v>6</v>
      </c>
      <c r="E11" s="16" t="s">
        <v>25</v>
      </c>
      <c r="F11" s="8"/>
      <c r="G11" s="8" t="s">
        <v>34</v>
      </c>
    </row>
    <row r="12" spans="2:11" s="9" customFormat="1" ht="27.75" customHeight="1" x14ac:dyDescent="0.25">
      <c r="B12" s="5">
        <v>6</v>
      </c>
      <c r="C12" s="25" t="s">
        <v>85</v>
      </c>
      <c r="D12" s="10" t="s">
        <v>22</v>
      </c>
      <c r="E12" s="14" t="s">
        <v>26</v>
      </c>
      <c r="F12" s="8" t="s">
        <v>65</v>
      </c>
      <c r="G12" s="8" t="s">
        <v>35</v>
      </c>
      <c r="H12" s="9" t="s">
        <v>66</v>
      </c>
    </row>
    <row r="13" spans="2:11" s="9" customFormat="1" ht="27.75" customHeight="1" x14ac:dyDescent="0.25">
      <c r="B13" s="5">
        <v>7</v>
      </c>
      <c r="C13" s="25"/>
      <c r="D13" s="10" t="s">
        <v>12</v>
      </c>
      <c r="E13" s="13" t="s">
        <v>25</v>
      </c>
      <c r="F13" s="8" t="s">
        <v>59</v>
      </c>
      <c r="G13" s="8" t="s">
        <v>39</v>
      </c>
      <c r="H13" s="9" t="s">
        <v>66</v>
      </c>
    </row>
    <row r="14" spans="2:11" s="9" customFormat="1" ht="27.75" customHeight="1" x14ac:dyDescent="0.25">
      <c r="B14" s="5">
        <v>8</v>
      </c>
      <c r="C14" s="25"/>
      <c r="D14" s="10" t="s">
        <v>7</v>
      </c>
      <c r="E14" s="13" t="s">
        <v>25</v>
      </c>
      <c r="F14" s="8" t="s">
        <v>46</v>
      </c>
      <c r="G14" s="8" t="s">
        <v>36</v>
      </c>
      <c r="H14" s="9" t="s">
        <v>66</v>
      </c>
    </row>
    <row r="15" spans="2:11" s="9" customFormat="1" ht="27.75" customHeight="1" x14ac:dyDescent="0.25">
      <c r="B15" s="5">
        <v>9</v>
      </c>
      <c r="C15" s="25" t="s">
        <v>85</v>
      </c>
      <c r="D15" s="10" t="s">
        <v>19</v>
      </c>
      <c r="E15" s="18" t="s">
        <v>44</v>
      </c>
      <c r="F15" s="8" t="s">
        <v>45</v>
      </c>
      <c r="G15" s="8" t="s">
        <v>34</v>
      </c>
    </row>
    <row r="16" spans="2:11" s="9" customFormat="1" ht="27.75" customHeight="1" x14ac:dyDescent="0.25">
      <c r="B16" s="5">
        <v>10</v>
      </c>
      <c r="C16" s="25"/>
      <c r="D16" s="10" t="s">
        <v>20</v>
      </c>
      <c r="E16" s="13" t="s">
        <v>25</v>
      </c>
      <c r="F16" s="8"/>
      <c r="G16" s="8" t="s">
        <v>34</v>
      </c>
    </row>
    <row r="17" spans="2:11" s="9" customFormat="1" ht="52.5" customHeight="1" x14ac:dyDescent="0.25">
      <c r="B17" s="17">
        <v>11</v>
      </c>
      <c r="C17" s="25" t="s">
        <v>85</v>
      </c>
      <c r="D17" s="10" t="s">
        <v>13</v>
      </c>
      <c r="E17" s="13" t="s">
        <v>25</v>
      </c>
      <c r="F17" s="12" t="s">
        <v>28</v>
      </c>
      <c r="G17" s="8"/>
    </row>
    <row r="18" spans="2:11" s="9" customFormat="1" ht="27.75" customHeight="1" x14ac:dyDescent="0.25">
      <c r="B18" s="5">
        <v>12</v>
      </c>
      <c r="C18" s="25" t="s">
        <v>85</v>
      </c>
      <c r="D18" s="10" t="s">
        <v>8</v>
      </c>
      <c r="E18" s="19" t="s">
        <v>44</v>
      </c>
      <c r="F18" s="8"/>
      <c r="G18" s="8" t="s">
        <v>37</v>
      </c>
    </row>
    <row r="19" spans="2:11" s="9" customFormat="1" ht="27.75" customHeight="1" x14ac:dyDescent="0.25">
      <c r="B19" s="5">
        <v>13</v>
      </c>
      <c r="C19" s="25"/>
      <c r="D19" s="10" t="s">
        <v>14</v>
      </c>
      <c r="E19" s="14" t="s">
        <v>26</v>
      </c>
      <c r="F19" s="8" t="s">
        <v>59</v>
      </c>
      <c r="G19" s="8" t="s">
        <v>42</v>
      </c>
    </row>
    <row r="20" spans="2:11" s="9" customFormat="1" ht="36" customHeight="1" x14ac:dyDescent="0.25">
      <c r="B20" s="17">
        <v>14</v>
      </c>
      <c r="C20" s="25"/>
      <c r="D20" s="10" t="s">
        <v>9</v>
      </c>
      <c r="E20" s="13" t="s">
        <v>25</v>
      </c>
      <c r="F20" s="12" t="s">
        <v>30</v>
      </c>
      <c r="G20" s="8"/>
    </row>
    <row r="21" spans="2:11" s="9" customFormat="1" ht="75" x14ac:dyDescent="0.25">
      <c r="B21" s="17">
        <v>15</v>
      </c>
      <c r="C21" s="25" t="s">
        <v>85</v>
      </c>
      <c r="D21" s="11" t="s">
        <v>24</v>
      </c>
      <c r="E21" s="14" t="s">
        <v>26</v>
      </c>
      <c r="F21" s="12" t="s">
        <v>31</v>
      </c>
      <c r="G21" s="8" t="s">
        <v>38</v>
      </c>
    </row>
    <row r="22" spans="2:11" s="9" customFormat="1" ht="27.75" customHeight="1" x14ac:dyDescent="0.25">
      <c r="B22" s="5">
        <v>16</v>
      </c>
      <c r="C22" s="25"/>
      <c r="D22" s="10" t="s">
        <v>15</v>
      </c>
      <c r="E22" s="19" t="s">
        <v>68</v>
      </c>
      <c r="F22" s="20" t="s">
        <v>67</v>
      </c>
      <c r="G22" s="8" t="s">
        <v>41</v>
      </c>
    </row>
    <row r="23" spans="2:11" s="9" customFormat="1" ht="27.75" customHeight="1" x14ac:dyDescent="0.25">
      <c r="B23" s="5">
        <v>17</v>
      </c>
      <c r="C23" s="25"/>
      <c r="D23" s="10" t="s">
        <v>16</v>
      </c>
      <c r="E23" s="19" t="s">
        <v>68</v>
      </c>
      <c r="F23" s="21" t="s">
        <v>27</v>
      </c>
      <c r="G23" s="8"/>
    </row>
    <row r="24" spans="2:11" s="9" customFormat="1" ht="27.75" customHeight="1" x14ac:dyDescent="0.25">
      <c r="B24" s="5">
        <v>18</v>
      </c>
      <c r="C24" s="25"/>
      <c r="D24" s="10" t="s">
        <v>17</v>
      </c>
      <c r="E24" s="19" t="s">
        <v>68</v>
      </c>
      <c r="G24" s="8" t="s">
        <v>40</v>
      </c>
    </row>
    <row r="25" spans="2:11" s="9" customFormat="1" ht="27.75" customHeight="1" x14ac:dyDescent="0.25">
      <c r="B25" s="5">
        <v>19</v>
      </c>
      <c r="C25" s="25"/>
      <c r="D25" s="10" t="s">
        <v>21</v>
      </c>
      <c r="E25" s="15" t="s">
        <v>29</v>
      </c>
      <c r="F25" s="20"/>
      <c r="G25" s="8"/>
    </row>
    <row r="28" spans="2:11" x14ac:dyDescent="0.25">
      <c r="B28" s="3" t="s">
        <v>48</v>
      </c>
      <c r="D28" s="4" t="s">
        <v>47</v>
      </c>
    </row>
    <row r="29" spans="2:11" x14ac:dyDescent="0.25">
      <c r="B29" s="3" t="s">
        <v>48</v>
      </c>
      <c r="D29" s="4" t="s">
        <v>52</v>
      </c>
    </row>
    <row r="30" spans="2:11" x14ac:dyDescent="0.25">
      <c r="B30" s="3" t="s">
        <v>48</v>
      </c>
      <c r="D30" s="4" t="s">
        <v>53</v>
      </c>
    </row>
    <row r="31" spans="2:11" x14ac:dyDescent="0.25">
      <c r="B31" s="3" t="s">
        <v>48</v>
      </c>
      <c r="D31" s="4" t="s">
        <v>54</v>
      </c>
    </row>
    <row r="32" spans="2:11" x14ac:dyDescent="0.25">
      <c r="B32" s="3" t="s">
        <v>48</v>
      </c>
      <c r="D32" s="4" t="s">
        <v>55</v>
      </c>
      <c r="K32" t="s">
        <v>56</v>
      </c>
    </row>
    <row r="33" spans="2:5" x14ac:dyDescent="0.25">
      <c r="B33" s="3" t="s">
        <v>48</v>
      </c>
      <c r="D33" s="4" t="s">
        <v>60</v>
      </c>
    </row>
    <row r="34" spans="2:5" x14ac:dyDescent="0.25">
      <c r="B34" s="3" t="s">
        <v>48</v>
      </c>
      <c r="D34" s="4" t="s">
        <v>61</v>
      </c>
    </row>
    <row r="35" spans="2:5" x14ac:dyDescent="0.25">
      <c r="B35" s="3" t="s">
        <v>48</v>
      </c>
      <c r="D35" s="4" t="s">
        <v>69</v>
      </c>
    </row>
    <row r="36" spans="2:5" x14ac:dyDescent="0.25">
      <c r="B36" s="3" t="s">
        <v>48</v>
      </c>
      <c r="D36" s="4" t="s">
        <v>62</v>
      </c>
    </row>
    <row r="37" spans="2:5" x14ac:dyDescent="0.25">
      <c r="B37" s="3" t="s">
        <v>48</v>
      </c>
      <c r="D37" s="4" t="s">
        <v>63</v>
      </c>
    </row>
    <row r="38" spans="2:5" x14ac:dyDescent="0.25">
      <c r="D38" s="4" t="s">
        <v>64</v>
      </c>
    </row>
    <row r="42" spans="2:5" x14ac:dyDescent="0.25">
      <c r="D42" s="4" t="s">
        <v>70</v>
      </c>
    </row>
    <row r="44" spans="2:5" x14ac:dyDescent="0.25">
      <c r="D44" s="4" t="s">
        <v>71</v>
      </c>
      <c r="E44" t="s">
        <v>76</v>
      </c>
    </row>
    <row r="45" spans="2:5" x14ac:dyDescent="0.25">
      <c r="D45" s="4" t="s">
        <v>72</v>
      </c>
    </row>
    <row r="46" spans="2:5" x14ac:dyDescent="0.25">
      <c r="D46" s="4" t="s">
        <v>73</v>
      </c>
      <c r="E46" t="s">
        <v>76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32"/>
  <sheetViews>
    <sheetView tabSelected="1" topLeftCell="A19" workbookViewId="0">
      <selection activeCell="AA31" sqref="AA31"/>
    </sheetView>
  </sheetViews>
  <sheetFormatPr defaultRowHeight="15" x14ac:dyDescent="0.25"/>
  <cols>
    <col min="3" max="3" width="15.28515625" bestFit="1" customWidth="1"/>
    <col min="4" max="4" width="14.28515625" bestFit="1" customWidth="1"/>
  </cols>
  <sheetData>
    <row r="1" spans="2:4" x14ac:dyDescent="0.25">
      <c r="B1" s="26"/>
      <c r="C1" s="26" t="s">
        <v>74</v>
      </c>
      <c r="D1" s="26" t="s">
        <v>75</v>
      </c>
    </row>
    <row r="2" spans="2:4" x14ac:dyDescent="0.25">
      <c r="B2" s="26">
        <v>2019</v>
      </c>
      <c r="C2" s="34">
        <v>134724000</v>
      </c>
      <c r="D2" s="34">
        <v>59930967</v>
      </c>
    </row>
    <row r="3" spans="2:4" x14ac:dyDescent="0.25">
      <c r="B3" s="26">
        <v>2020</v>
      </c>
      <c r="C3" s="34">
        <v>63141000</v>
      </c>
      <c r="D3" s="34">
        <v>56872675</v>
      </c>
    </row>
    <row r="4" spans="2:4" x14ac:dyDescent="0.25">
      <c r="B4" s="26">
        <v>2021</v>
      </c>
      <c r="C4" s="34">
        <v>49095000</v>
      </c>
      <c r="D4" s="34">
        <v>38442418</v>
      </c>
    </row>
    <row r="5" spans="2:4" x14ac:dyDescent="0.25">
      <c r="B5" s="26">
        <v>2022</v>
      </c>
      <c r="C5" s="34">
        <v>66229000</v>
      </c>
      <c r="D5" s="34">
        <v>51338733</v>
      </c>
    </row>
    <row r="6" spans="2:4" x14ac:dyDescent="0.25">
      <c r="C6" s="22"/>
      <c r="D6" s="22"/>
    </row>
    <row r="11" spans="2:4" x14ac:dyDescent="0.25">
      <c r="B11">
        <v>2019</v>
      </c>
      <c r="C11" s="22">
        <v>59930967</v>
      </c>
    </row>
    <row r="12" spans="2:4" x14ac:dyDescent="0.25">
      <c r="B12">
        <v>2020</v>
      </c>
      <c r="C12" s="22">
        <v>58259930.939999998</v>
      </c>
    </row>
    <row r="13" spans="2:4" x14ac:dyDescent="0.25">
      <c r="B13">
        <v>2021</v>
      </c>
      <c r="C13" s="22">
        <v>36862523.590000004</v>
      </c>
    </row>
    <row r="14" spans="2:4" x14ac:dyDescent="0.25">
      <c r="B14">
        <v>2022</v>
      </c>
      <c r="C14" s="22">
        <v>51338733</v>
      </c>
    </row>
    <row r="15" spans="2:4" x14ac:dyDescent="0.25">
      <c r="B15">
        <v>2023</v>
      </c>
      <c r="C15" s="22">
        <v>17835299</v>
      </c>
    </row>
    <row r="29" spans="2:4" x14ac:dyDescent="0.25">
      <c r="B29" t="s">
        <v>78</v>
      </c>
      <c r="C29" t="s">
        <v>77</v>
      </c>
      <c r="D29" s="23">
        <v>0.57777777777777783</v>
      </c>
    </row>
    <row r="30" spans="2:4" x14ac:dyDescent="0.25">
      <c r="B30" t="s">
        <v>79</v>
      </c>
      <c r="C30" t="s">
        <v>80</v>
      </c>
      <c r="D30" s="23">
        <v>0.57916666666666672</v>
      </c>
    </row>
    <row r="31" spans="2:4" x14ac:dyDescent="0.25">
      <c r="B31" t="s">
        <v>81</v>
      </c>
      <c r="C31" t="s">
        <v>82</v>
      </c>
      <c r="D31" s="23">
        <v>0.57986111111111105</v>
      </c>
    </row>
    <row r="32" spans="2:4" x14ac:dyDescent="0.25">
      <c r="B32" t="s">
        <v>83</v>
      </c>
      <c r="C32" t="s">
        <v>84</v>
      </c>
      <c r="D32" s="23">
        <v>0.58194444444444449</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0"/>
  <sheetViews>
    <sheetView workbookViewId="0">
      <selection activeCell="B3" sqref="B3:D10"/>
    </sheetView>
  </sheetViews>
  <sheetFormatPr defaultRowHeight="15" x14ac:dyDescent="0.25"/>
  <cols>
    <col min="2" max="2" width="49.140625" customWidth="1"/>
    <col min="3" max="3" width="19.42578125" customWidth="1"/>
    <col min="4" max="4" width="71" customWidth="1"/>
  </cols>
  <sheetData>
    <row r="2" spans="2:4" ht="15.75" thickBot="1" x14ac:dyDescent="0.3"/>
    <row r="3" spans="2:4" ht="16.5" thickTop="1" thickBot="1" x14ac:dyDescent="0.3">
      <c r="B3" s="29" t="s">
        <v>89</v>
      </c>
      <c r="C3" s="29" t="s">
        <v>88</v>
      </c>
      <c r="D3" s="29" t="s">
        <v>3</v>
      </c>
    </row>
    <row r="4" spans="2:4" ht="16.5" thickTop="1" x14ac:dyDescent="0.25">
      <c r="B4" s="10" t="s">
        <v>12</v>
      </c>
      <c r="C4" s="27">
        <v>45048</v>
      </c>
      <c r="D4" s="8" t="s">
        <v>90</v>
      </c>
    </row>
    <row r="5" spans="2:4" ht="15.75" x14ac:dyDescent="0.25">
      <c r="B5" s="10" t="s">
        <v>7</v>
      </c>
      <c r="C5" s="27">
        <v>45048</v>
      </c>
      <c r="D5" s="8" t="s">
        <v>46</v>
      </c>
    </row>
    <row r="6" spans="2:4" x14ac:dyDescent="0.25">
      <c r="B6" s="26"/>
      <c r="C6" s="26"/>
      <c r="D6" s="26"/>
    </row>
    <row r="7" spans="2:4" ht="15.75" x14ac:dyDescent="0.25">
      <c r="B7" s="28" t="s">
        <v>86</v>
      </c>
      <c r="C7" s="26"/>
      <c r="D7" s="26"/>
    </row>
    <row r="8" spans="2:4" x14ac:dyDescent="0.25">
      <c r="B8" s="26"/>
      <c r="C8" s="26"/>
      <c r="D8" s="26"/>
    </row>
    <row r="9" spans="2:4" ht="15.75" x14ac:dyDescent="0.25">
      <c r="B9" s="28" t="s">
        <v>87</v>
      </c>
      <c r="C9" s="27">
        <v>45069</v>
      </c>
      <c r="D9" s="26"/>
    </row>
    <row r="10" spans="2:4" ht="15.75" x14ac:dyDescent="0.25">
      <c r="B10" s="28" t="s">
        <v>91</v>
      </c>
      <c r="C10" s="27">
        <v>45071</v>
      </c>
      <c r="D10" s="2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8"/>
  <sheetViews>
    <sheetView workbookViewId="0">
      <selection activeCell="C7" sqref="C7"/>
    </sheetView>
  </sheetViews>
  <sheetFormatPr defaultRowHeight="15" x14ac:dyDescent="0.25"/>
  <cols>
    <col min="3" max="3" width="10.140625" bestFit="1" customWidth="1"/>
    <col min="4" max="4" width="15.28515625" bestFit="1" customWidth="1"/>
    <col min="5" max="5" width="14.42578125" customWidth="1"/>
    <col min="6" max="6" width="14.28515625" bestFit="1" customWidth="1"/>
    <col min="7" max="7" width="17" customWidth="1"/>
  </cols>
  <sheetData>
    <row r="4" spans="2:9" x14ac:dyDescent="0.25">
      <c r="C4" t="s">
        <v>92</v>
      </c>
      <c r="D4" t="s">
        <v>93</v>
      </c>
      <c r="E4" t="s">
        <v>75</v>
      </c>
    </row>
    <row r="5" spans="2:9" x14ac:dyDescent="0.25">
      <c r="B5">
        <v>2020</v>
      </c>
      <c r="C5" s="30">
        <v>41800000</v>
      </c>
      <c r="D5" s="22">
        <v>63141000</v>
      </c>
      <c r="E5" s="22">
        <v>56872675</v>
      </c>
      <c r="F5" s="31">
        <f>E5-C5</f>
        <v>15072675</v>
      </c>
      <c r="G5" s="31">
        <f>E5-D5</f>
        <v>-6268325</v>
      </c>
      <c r="H5" s="32">
        <f t="shared" ref="H5:I7" si="0">F5/C5</f>
        <v>0.36059031100478467</v>
      </c>
      <c r="I5" s="32">
        <f t="shared" si="0"/>
        <v>-9.927503523859299E-2</v>
      </c>
    </row>
    <row r="6" spans="2:9" x14ac:dyDescent="0.25">
      <c r="B6">
        <v>2021</v>
      </c>
      <c r="C6" s="30">
        <v>41800000</v>
      </c>
      <c r="D6" s="22">
        <v>49095000</v>
      </c>
      <c r="E6" s="22">
        <v>38442418</v>
      </c>
      <c r="F6" s="31">
        <f>E6-C6</f>
        <v>-3357582</v>
      </c>
      <c r="G6" s="31">
        <f>E6-D6</f>
        <v>-10652582</v>
      </c>
      <c r="H6" s="32">
        <f t="shared" si="0"/>
        <v>-8.0324928229665069E-2</v>
      </c>
      <c r="I6" s="32">
        <f t="shared" si="0"/>
        <v>-0.21697895916081067</v>
      </c>
    </row>
    <row r="7" spans="2:9" x14ac:dyDescent="0.25">
      <c r="B7">
        <v>2022</v>
      </c>
      <c r="C7" s="30">
        <v>38451660</v>
      </c>
      <c r="D7" s="22">
        <v>66229000</v>
      </c>
      <c r="E7" s="22">
        <v>51338733</v>
      </c>
      <c r="F7" s="31">
        <f>E7-C7</f>
        <v>12887073</v>
      </c>
      <c r="G7" s="31">
        <f>E7-D7</f>
        <v>-14890267</v>
      </c>
      <c r="H7" s="32">
        <f t="shared" si="0"/>
        <v>0.33514997792032908</v>
      </c>
      <c r="I7" s="32">
        <f t="shared" si="0"/>
        <v>-0.22483001404218697</v>
      </c>
    </row>
    <row r="8" spans="2:9" x14ac:dyDescent="0.25">
      <c r="H8" s="33">
        <f>AVERAGE(H5:H7)</f>
        <v>0.20513845356514956</v>
      </c>
      <c r="I8" s="33">
        <f>AVERAGE(I5:I7)</f>
        <v>-0.18036133614719688</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Naema Al Marzooqi</dc:creator>
  <cp:lastModifiedBy>Ahsan Sarwar Niazi</cp:lastModifiedBy>
  <dcterms:created xsi:type="dcterms:W3CDTF">2020-11-24T13:00:07Z</dcterms:created>
  <dcterms:modified xsi:type="dcterms:W3CDTF">2023-05-30T10:28:13Z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