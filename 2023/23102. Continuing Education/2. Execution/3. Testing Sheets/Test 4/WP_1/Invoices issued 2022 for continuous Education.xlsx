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Z:\Audit Activities\Audit Activities\Audit activities -2023\2. Continuing Education\2. Execution\3. Testing Sheets\Test 4 - In Progress\WP_1\"/>
    </mc:Choice>
  </mc:AlternateContent>
  <xr:revisionPtr revIDLastSave="0" documentId="13_ncr:1_{6DD8ECE9-CAF7-4677-99B2-520A767600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7" i="1" l="1"/>
  <c r="N16" i="1"/>
  <c r="N15" i="1"/>
</calcChain>
</file>

<file path=xl/sharedStrings.xml><?xml version="1.0" encoding="utf-8"?>
<sst xmlns="http://schemas.openxmlformats.org/spreadsheetml/2006/main" count="162" uniqueCount="68">
  <si>
    <t>Ledger</t>
  </si>
  <si>
    <t>Customer Name</t>
  </si>
  <si>
    <t>Customer Number</t>
  </si>
  <si>
    <t>Location</t>
  </si>
  <si>
    <t>Invoice Number</t>
  </si>
  <si>
    <t>Document No.</t>
  </si>
  <si>
    <t>Trx Source</t>
  </si>
  <si>
    <t>Trx Class</t>
  </si>
  <si>
    <t>Trx Type</t>
  </si>
  <si>
    <t>Line Description</t>
  </si>
  <si>
    <t>GL Account</t>
  </si>
  <si>
    <t>Invoice Currency</t>
  </si>
  <si>
    <t>Dist. Amount in Invoice Currency</t>
  </si>
  <si>
    <t>Trx Date</t>
  </si>
  <si>
    <t>GL Date</t>
  </si>
  <si>
    <t>KUST</t>
  </si>
  <si>
    <t>Abu Dhabi Health Services Co</t>
  </si>
  <si>
    <t>847-G5017</t>
  </si>
  <si>
    <t>UAE16900701</t>
  </si>
  <si>
    <t>‭101001134‬</t>
  </si>
  <si>
    <t>KUST Manual - New</t>
  </si>
  <si>
    <t>INV</t>
  </si>
  <si>
    <t>KUST Invoices</t>
  </si>
  <si>
    <t>Professional Training Cost for the 1st Quarter of 2022 as per the operating agreement among Khalifa University, SEHA, and SSMC dated 1-Jan-2021--</t>
  </si>
  <si>
    <t>847.8471210.1.367330.000000.847001.000000</t>
  </si>
  <si>
    <t>AED</t>
  </si>
  <si>
    <t>‭101001244‬</t>
  </si>
  <si>
    <t>Professional Training Cost for the 2nd Quarter of 2022 as per the operating agreement among Khalifa University, SEHA, and SSMC-for period 01-04-2022 TO 30-06-2022-</t>
  </si>
  <si>
    <t>Abu Dhabi Investment Authority</t>
  </si>
  <si>
    <t>847-G6002</t>
  </si>
  <si>
    <t>UAE17406733</t>
  </si>
  <si>
    <t>‭101001309‬</t>
  </si>
  <si>
    <t>2022 Summer Bridge Program Course: Python Foundation for Computational Data Science conducted June 6 - July 15, 2022; PO Reference 69755--</t>
  </si>
  <si>
    <t>USD</t>
  </si>
  <si>
    <t>2022 Summer Bridge Program Course: Mathematical Foundations for Computational Data Science conducted June 7- July 22, 2022; PO Reference 69756--</t>
  </si>
  <si>
    <t>Abu Dhabi National Oil Company</t>
  </si>
  <si>
    <t>KUX-100035769</t>
  </si>
  <si>
    <t>P.O. Box : 898</t>
  </si>
  <si>
    <t>‭101001348‬</t>
  </si>
  <si>
    <t>Roya Winter Program 2021 as per letter CEd1012/22 dated 19 Sep 2022--</t>
  </si>
  <si>
    <t>CSR SPV 1 RSC LTD</t>
  </si>
  <si>
    <t>847-G6005</t>
  </si>
  <si>
    <t>UAE18607229</t>
  </si>
  <si>
    <t>‭101001341‬</t>
  </si>
  <si>
    <t>Charges for the Mubadala Summer Bootcamp 2022 held in Khalifa University on Aug 15 - 19, 2022-As per Collaboration Agreement MDC\2741866_2-</t>
  </si>
  <si>
    <t>‭101001504‬</t>
  </si>
  <si>
    <t>Professional Training Cost for the 4th Quarter of 2022 as per the operating agreement among Khalifa University, SEHA, and SSMC dated 1-Jan-2021---</t>
  </si>
  <si>
    <t>‭101001490‬</t>
  </si>
  <si>
    <t>Roya Program Summer 1 as per letter CEd1021/22 dated 7 Dec 2022; Training date: Jul 1 to Aug 28--</t>
  </si>
  <si>
    <t>Roya Program Summer 2 as per letter CEd1021/22 dated 7 Dec 2022; Training date: Jul 12 to Jul 28--</t>
  </si>
  <si>
    <t>‭101001530‬</t>
  </si>
  <si>
    <t>Roya Winter Program 2022 as per letter CEd1022/22 dated 20 Dec 2022--</t>
  </si>
  <si>
    <t>Abu Dhabi Police GHQ</t>
  </si>
  <si>
    <t>847-G6008</t>
  </si>
  <si>
    <t>UAE18708157</t>
  </si>
  <si>
    <t>‭101001385‬</t>
  </si>
  <si>
    <t>Advanced Electronics Course Sep 19-23, 2022--</t>
  </si>
  <si>
    <t>‭101001456‬</t>
  </si>
  <si>
    <t>Advanced Electronics Course 31st October- 4th November 2022--</t>
  </si>
  <si>
    <t>National Emergency Crisis and Disasters Management</t>
  </si>
  <si>
    <t>847-G5022</t>
  </si>
  <si>
    <t>UAE17588784</t>
  </si>
  <si>
    <t>‭101001467‬</t>
  </si>
  <si>
    <t>Artificial Intelligence in Emergencies and Crises Course on October 26‐28, 2022--</t>
  </si>
  <si>
    <t>Dist. Amount in AED (not including VAT)</t>
  </si>
  <si>
    <t>VAT</t>
  </si>
  <si>
    <t>Before VAT</t>
  </si>
  <si>
    <t>After VAT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</si>
</sst>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7F3F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2" borderId="1" xfId="1" applyFont="1" applyFill="1" applyBorder="1" applyAlignment="1">
      <alignment vertical="top"/>
    </xf>
    <xf numFmtId="0" fontId="3" fillId="3" borderId="2" xfId="1" applyFont="1" applyFill="1" applyBorder="1" applyAlignment="1">
      <alignment vertical="top"/>
    </xf>
    <xf numFmtId="4" fontId="3" fillId="3" borderId="2" xfId="1" applyNumberFormat="1" applyFont="1" applyFill="1" applyBorder="1" applyAlignment="1">
      <alignment vertical="top"/>
    </xf>
    <xf numFmtId="15" fontId="3" fillId="3" borderId="2" xfId="1" applyNumberFormat="1" applyFont="1" applyFill="1" applyBorder="1" applyAlignment="1">
      <alignment vertical="top"/>
    </xf>
    <xf numFmtId="0" fontId="3" fillId="3" borderId="2" xfId="0" applyFont="1" applyFill="1" applyBorder="1" applyAlignment="1">
      <alignment vertical="top"/>
    </xf>
    <xf numFmtId="4" fontId="3" fillId="3" borderId="2" xfId="0" applyNumberFormat="1" applyFont="1" applyFill="1" applyBorder="1" applyAlignment="1">
      <alignment vertical="top"/>
    </xf>
    <xf numFmtId="15" fontId="3" fillId="3" borderId="2" xfId="0" applyNumberFormat="1" applyFont="1" applyFill="1" applyBorder="1" applyAlignment="1">
      <alignment vertical="top"/>
    </xf>
    <xf numFmtId="4" fontId="0" fillId="0" borderId="0" xfId="0" applyNumberFormat="1"/>
    <xf numFmtId="4" fontId="0" fillId="4" borderId="0" xfId="0" applyNumberFormat="1" applyFill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"/>
  <sheetViews>
    <sheetView tabSelected="1" topLeftCell="K1" workbookViewId="0">
      <selection activeCell="N20" sqref="N20:N30"/>
    </sheetView>
  </sheetViews>
  <sheetFormatPr defaultRowHeight="15" x14ac:dyDescent="0.25"/>
  <cols>
    <col min="1" max="1" width="7" bestFit="1" customWidth="1"/>
    <col min="2" max="2" width="49.42578125" bestFit="1" customWidth="1"/>
    <col min="3" max="3" width="17.5703125" bestFit="1" customWidth="1"/>
    <col min="4" max="4" width="12.85546875" bestFit="1" customWidth="1"/>
    <col min="5" max="5" width="15.28515625" bestFit="1" customWidth="1"/>
    <col min="6" max="6" width="13.85546875" bestFit="1" customWidth="1"/>
    <col min="7" max="7" width="18.42578125" bestFit="1" customWidth="1"/>
    <col min="8" max="8" width="8.5703125" bestFit="1" customWidth="1"/>
    <col min="9" max="9" width="13.28515625" bestFit="1" customWidth="1"/>
    <col min="10" max="10" width="151.5703125" bestFit="1" customWidth="1"/>
    <col min="11" max="11" width="40.42578125" bestFit="1" customWidth="1"/>
    <col min="12" max="12" width="15.85546875" bestFit="1" customWidth="1"/>
    <col min="13" max="13" width="30.5703125" bestFit="1" customWidth="1"/>
    <col min="14" max="14" width="37" bestFit="1" customWidth="1"/>
    <col min="15" max="16" width="10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64</v>
      </c>
      <c r="O1" s="1" t="s">
        <v>13</v>
      </c>
      <c r="P1" s="1" t="s">
        <v>14</v>
      </c>
    </row>
    <row r="2" spans="1:16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>
        <v>101001134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3">
        <v>171000</v>
      </c>
      <c r="N2" s="3">
        <v>171000</v>
      </c>
      <c r="O2" s="4">
        <v>44670</v>
      </c>
      <c r="P2" s="4">
        <v>44670</v>
      </c>
    </row>
    <row r="3" spans="1:16" x14ac:dyDescent="0.25">
      <c r="A3" s="2" t="s">
        <v>15</v>
      </c>
      <c r="B3" s="2" t="s">
        <v>16</v>
      </c>
      <c r="C3" s="2" t="s">
        <v>17</v>
      </c>
      <c r="D3" s="2" t="s">
        <v>18</v>
      </c>
      <c r="E3" s="2" t="s">
        <v>26</v>
      </c>
      <c r="F3" s="2">
        <v>101001244</v>
      </c>
      <c r="G3" s="2" t="s">
        <v>20</v>
      </c>
      <c r="H3" s="2" t="s">
        <v>21</v>
      </c>
      <c r="I3" s="2" t="s">
        <v>22</v>
      </c>
      <c r="J3" s="2" t="s">
        <v>27</v>
      </c>
      <c r="K3" s="2" t="s">
        <v>24</v>
      </c>
      <c r="L3" s="2" t="s">
        <v>25</v>
      </c>
      <c r="M3" s="3">
        <v>130000</v>
      </c>
      <c r="N3" s="3">
        <v>130000</v>
      </c>
      <c r="O3" s="4">
        <v>44742</v>
      </c>
      <c r="P3" s="4">
        <v>44742</v>
      </c>
    </row>
    <row r="4" spans="1:16" x14ac:dyDescent="0.25">
      <c r="A4" s="2" t="s">
        <v>15</v>
      </c>
      <c r="B4" s="2" t="s">
        <v>28</v>
      </c>
      <c r="C4" s="2" t="s">
        <v>29</v>
      </c>
      <c r="D4" s="2" t="s">
        <v>30</v>
      </c>
      <c r="E4" s="2" t="s">
        <v>31</v>
      </c>
      <c r="F4" s="2">
        <v>101001309</v>
      </c>
      <c r="G4" s="2" t="s">
        <v>20</v>
      </c>
      <c r="H4" s="2" t="s">
        <v>21</v>
      </c>
      <c r="I4" s="2" t="s">
        <v>22</v>
      </c>
      <c r="J4" s="2" t="s">
        <v>32</v>
      </c>
      <c r="K4" s="2" t="s">
        <v>24</v>
      </c>
      <c r="L4" s="2" t="s">
        <v>33</v>
      </c>
      <c r="M4" s="3">
        <v>18700</v>
      </c>
      <c r="N4" s="3">
        <v>68675.75</v>
      </c>
      <c r="O4" s="4">
        <v>44803</v>
      </c>
      <c r="P4" s="4">
        <v>44803</v>
      </c>
    </row>
    <row r="5" spans="1:16" x14ac:dyDescent="0.25">
      <c r="A5" s="2" t="s">
        <v>15</v>
      </c>
      <c r="B5" s="2" t="s">
        <v>28</v>
      </c>
      <c r="C5" s="2" t="s">
        <v>29</v>
      </c>
      <c r="D5" s="2" t="s">
        <v>30</v>
      </c>
      <c r="E5" s="2" t="s">
        <v>31</v>
      </c>
      <c r="F5" s="2">
        <v>101001309</v>
      </c>
      <c r="G5" s="2" t="s">
        <v>20</v>
      </c>
      <c r="H5" s="2" t="s">
        <v>21</v>
      </c>
      <c r="I5" s="2" t="s">
        <v>22</v>
      </c>
      <c r="J5" s="2" t="s">
        <v>34</v>
      </c>
      <c r="K5" s="2" t="s">
        <v>24</v>
      </c>
      <c r="L5" s="2" t="s">
        <v>33</v>
      </c>
      <c r="M5" s="3">
        <v>16120</v>
      </c>
      <c r="N5" s="3">
        <v>59200.7</v>
      </c>
      <c r="O5" s="4">
        <v>44803</v>
      </c>
      <c r="P5" s="4">
        <v>44803</v>
      </c>
    </row>
    <row r="6" spans="1:16" x14ac:dyDescent="0.25">
      <c r="A6" s="2" t="s">
        <v>15</v>
      </c>
      <c r="B6" s="2" t="s">
        <v>35</v>
      </c>
      <c r="C6" s="2" t="s">
        <v>36</v>
      </c>
      <c r="D6" s="2" t="s">
        <v>37</v>
      </c>
      <c r="E6" s="2" t="s">
        <v>38</v>
      </c>
      <c r="F6" s="2">
        <v>101001348</v>
      </c>
      <c r="G6" s="2" t="s">
        <v>20</v>
      </c>
      <c r="H6" s="2" t="s">
        <v>21</v>
      </c>
      <c r="I6" s="2" t="s">
        <v>22</v>
      </c>
      <c r="J6" s="2" t="s">
        <v>39</v>
      </c>
      <c r="K6" s="2" t="s">
        <v>24</v>
      </c>
      <c r="L6" s="2" t="s">
        <v>25</v>
      </c>
      <c r="M6" s="3">
        <v>15000</v>
      </c>
      <c r="N6" s="3">
        <v>15000</v>
      </c>
      <c r="O6" s="4">
        <v>44824</v>
      </c>
      <c r="P6" s="4">
        <v>44824</v>
      </c>
    </row>
    <row r="7" spans="1:16" x14ac:dyDescent="0.25">
      <c r="A7" s="2" t="s">
        <v>15</v>
      </c>
      <c r="B7" s="2" t="s">
        <v>40</v>
      </c>
      <c r="C7" s="2" t="s">
        <v>41</v>
      </c>
      <c r="D7" s="2" t="s">
        <v>42</v>
      </c>
      <c r="E7" s="2" t="s">
        <v>43</v>
      </c>
      <c r="F7" s="2">
        <v>101001341</v>
      </c>
      <c r="G7" s="2" t="s">
        <v>20</v>
      </c>
      <c r="H7" s="2" t="s">
        <v>21</v>
      </c>
      <c r="I7" s="2" t="s">
        <v>22</v>
      </c>
      <c r="J7" s="2" t="s">
        <v>44</v>
      </c>
      <c r="K7" s="2" t="s">
        <v>24</v>
      </c>
      <c r="L7" s="2" t="s">
        <v>25</v>
      </c>
      <c r="M7" s="3">
        <v>157000</v>
      </c>
      <c r="N7" s="3">
        <v>157000</v>
      </c>
      <c r="O7" s="4">
        <v>44819</v>
      </c>
      <c r="P7" s="4">
        <v>44819</v>
      </c>
    </row>
    <row r="8" spans="1:16" x14ac:dyDescent="0.25">
      <c r="A8" s="5" t="s">
        <v>15</v>
      </c>
      <c r="B8" s="5" t="s">
        <v>16</v>
      </c>
      <c r="C8" s="5" t="s">
        <v>17</v>
      </c>
      <c r="D8" s="5" t="s">
        <v>18</v>
      </c>
      <c r="E8" s="5" t="s">
        <v>45</v>
      </c>
      <c r="F8" s="5">
        <v>101001504</v>
      </c>
      <c r="G8" s="5" t="s">
        <v>20</v>
      </c>
      <c r="H8" s="5" t="s">
        <v>21</v>
      </c>
      <c r="I8" s="5" t="s">
        <v>22</v>
      </c>
      <c r="J8" s="5" t="s">
        <v>46</v>
      </c>
      <c r="K8" s="5" t="s">
        <v>24</v>
      </c>
      <c r="L8" s="5" t="s">
        <v>25</v>
      </c>
      <c r="M8" s="6">
        <v>3400000</v>
      </c>
      <c r="N8" s="6">
        <v>3400000</v>
      </c>
      <c r="O8" s="7">
        <v>44907</v>
      </c>
      <c r="P8" s="7">
        <v>44907</v>
      </c>
    </row>
    <row r="9" spans="1:16" x14ac:dyDescent="0.25">
      <c r="A9" s="5" t="s">
        <v>15</v>
      </c>
      <c r="B9" s="5" t="s">
        <v>35</v>
      </c>
      <c r="C9" s="5" t="s">
        <v>36</v>
      </c>
      <c r="D9" s="5" t="s">
        <v>37</v>
      </c>
      <c r="E9" s="5" t="s">
        <v>47</v>
      </c>
      <c r="F9" s="5">
        <v>101001490</v>
      </c>
      <c r="G9" s="5" t="s">
        <v>20</v>
      </c>
      <c r="H9" s="5" t="s">
        <v>21</v>
      </c>
      <c r="I9" s="5" t="s">
        <v>22</v>
      </c>
      <c r="J9" s="5" t="s">
        <v>48</v>
      </c>
      <c r="K9" s="5" t="s">
        <v>24</v>
      </c>
      <c r="L9" s="5" t="s">
        <v>25</v>
      </c>
      <c r="M9" s="6">
        <v>175000</v>
      </c>
      <c r="N9" s="6">
        <v>175000</v>
      </c>
      <c r="O9" s="7">
        <v>44903</v>
      </c>
      <c r="P9" s="7">
        <v>44903</v>
      </c>
    </row>
    <row r="10" spans="1:16" x14ac:dyDescent="0.25">
      <c r="A10" s="5" t="s">
        <v>15</v>
      </c>
      <c r="B10" s="5" t="s">
        <v>35</v>
      </c>
      <c r="C10" s="5" t="s">
        <v>36</v>
      </c>
      <c r="D10" s="5" t="s">
        <v>37</v>
      </c>
      <c r="E10" s="5" t="s">
        <v>47</v>
      </c>
      <c r="F10" s="5">
        <v>101001490</v>
      </c>
      <c r="G10" s="5" t="s">
        <v>20</v>
      </c>
      <c r="H10" s="5" t="s">
        <v>21</v>
      </c>
      <c r="I10" s="5" t="s">
        <v>22</v>
      </c>
      <c r="J10" s="5" t="s">
        <v>49</v>
      </c>
      <c r="K10" s="5" t="s">
        <v>24</v>
      </c>
      <c r="L10" s="5" t="s">
        <v>25</v>
      </c>
      <c r="M10" s="6">
        <v>42500</v>
      </c>
      <c r="N10" s="6">
        <v>42500</v>
      </c>
      <c r="O10" s="7">
        <v>44903</v>
      </c>
      <c r="P10" s="7">
        <v>44903</v>
      </c>
    </row>
    <row r="11" spans="1:16" x14ac:dyDescent="0.25">
      <c r="A11" s="5" t="s">
        <v>15</v>
      </c>
      <c r="B11" s="5" t="s">
        <v>35</v>
      </c>
      <c r="C11" s="5" t="s">
        <v>36</v>
      </c>
      <c r="D11" s="5" t="s">
        <v>37</v>
      </c>
      <c r="E11" s="5" t="s">
        <v>50</v>
      </c>
      <c r="F11" s="5">
        <v>101001530</v>
      </c>
      <c r="G11" s="5" t="s">
        <v>20</v>
      </c>
      <c r="H11" s="5" t="s">
        <v>21</v>
      </c>
      <c r="I11" s="5" t="s">
        <v>22</v>
      </c>
      <c r="J11" s="5" t="s">
        <v>51</v>
      </c>
      <c r="K11" s="5" t="s">
        <v>24</v>
      </c>
      <c r="L11" s="5" t="s">
        <v>25</v>
      </c>
      <c r="M11" s="6">
        <v>46100</v>
      </c>
      <c r="N11" s="6">
        <v>46100</v>
      </c>
      <c r="O11" s="7">
        <v>44918</v>
      </c>
      <c r="P11" s="7">
        <v>44918</v>
      </c>
    </row>
    <row r="12" spans="1:16" x14ac:dyDescent="0.25">
      <c r="A12" s="5" t="s">
        <v>15</v>
      </c>
      <c r="B12" s="5" t="s">
        <v>52</v>
      </c>
      <c r="C12" s="5" t="s">
        <v>53</v>
      </c>
      <c r="D12" s="5" t="s">
        <v>54</v>
      </c>
      <c r="E12" s="5" t="s">
        <v>55</v>
      </c>
      <c r="F12" s="5">
        <v>101001385</v>
      </c>
      <c r="G12" s="5" t="s">
        <v>20</v>
      </c>
      <c r="H12" s="5" t="s">
        <v>21</v>
      </c>
      <c r="I12" s="5" t="s">
        <v>22</v>
      </c>
      <c r="J12" s="5" t="s">
        <v>56</v>
      </c>
      <c r="K12" s="5" t="s">
        <v>24</v>
      </c>
      <c r="L12" s="5" t="s">
        <v>25</v>
      </c>
      <c r="M12" s="6">
        <v>63000</v>
      </c>
      <c r="N12" s="6">
        <v>63000</v>
      </c>
      <c r="O12" s="7">
        <v>44846</v>
      </c>
      <c r="P12" s="7">
        <v>44846</v>
      </c>
    </row>
    <row r="13" spans="1:16" x14ac:dyDescent="0.25">
      <c r="A13" s="5" t="s">
        <v>15</v>
      </c>
      <c r="B13" s="5" t="s">
        <v>52</v>
      </c>
      <c r="C13" s="5" t="s">
        <v>53</v>
      </c>
      <c r="D13" s="5" t="s">
        <v>54</v>
      </c>
      <c r="E13" s="5" t="s">
        <v>57</v>
      </c>
      <c r="F13" s="5">
        <v>101001456</v>
      </c>
      <c r="G13" s="5" t="s">
        <v>20</v>
      </c>
      <c r="H13" s="5" t="s">
        <v>21</v>
      </c>
      <c r="I13" s="5" t="s">
        <v>22</v>
      </c>
      <c r="J13" s="5" t="s">
        <v>58</v>
      </c>
      <c r="K13" s="5" t="s">
        <v>24</v>
      </c>
      <c r="L13" s="5" t="s">
        <v>25</v>
      </c>
      <c r="M13" s="6">
        <v>63000</v>
      </c>
      <c r="N13" s="6">
        <v>63000</v>
      </c>
      <c r="O13" s="7">
        <v>44888</v>
      </c>
      <c r="P13" s="7">
        <v>44888</v>
      </c>
    </row>
    <row r="14" spans="1:16" x14ac:dyDescent="0.25">
      <c r="A14" s="5" t="s">
        <v>15</v>
      </c>
      <c r="B14" s="5" t="s">
        <v>59</v>
      </c>
      <c r="C14" s="5" t="s">
        <v>60</v>
      </c>
      <c r="D14" s="5" t="s">
        <v>61</v>
      </c>
      <c r="E14" s="5" t="s">
        <v>62</v>
      </c>
      <c r="F14" s="5">
        <v>101001467</v>
      </c>
      <c r="G14" s="5" t="s">
        <v>20</v>
      </c>
      <c r="H14" s="5" t="s">
        <v>21</v>
      </c>
      <c r="I14" s="5" t="s">
        <v>22</v>
      </c>
      <c r="J14" s="5" t="s">
        <v>63</v>
      </c>
      <c r="K14" s="5" t="s">
        <v>24</v>
      </c>
      <c r="L14" s="5" t="s">
        <v>25</v>
      </c>
      <c r="M14" s="6">
        <v>51500</v>
      </c>
      <c r="N14" s="6">
        <v>51500</v>
      </c>
      <c r="O14" s="7">
        <v>44893</v>
      </c>
      <c r="P14" s="7">
        <v>44893</v>
      </c>
    </row>
    <row r="15" spans="1:16" x14ac:dyDescent="0.25">
      <c r="M15" t="s">
        <v>66</v>
      </c>
      <c r="N15" s="8">
        <f>SUM(N2:N14)</f>
        <v>4441976.45</v>
      </c>
    </row>
    <row r="16" spans="1:16" x14ac:dyDescent="0.25">
      <c r="M16" t="s">
        <v>65</v>
      </c>
      <c r="N16" s="8">
        <f>N15*0.05</f>
        <v>222098.82250000001</v>
      </c>
    </row>
    <row r="17" spans="13:14" x14ac:dyDescent="0.25">
      <c r="M17" t="s">
        <v>67</v>
      </c>
      <c r="N17" s="9">
        <f>N16+N15</f>
        <v>4664075.2725</v>
      </c>
    </row>
    <row r="20" spans="13:14" x14ac:dyDescent="0.25">
      <c r="N20" s="8"/>
    </row>
    <row r="22" spans="13:14" x14ac:dyDescent="0.25">
      <c r="N22" s="8"/>
    </row>
    <row r="23" spans="13:14" x14ac:dyDescent="0.25">
      <c r="N23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Hisham Abdulmanan Al Awar</dc:creator>
  <cp:lastModifiedBy>Musab Ali Daqa</cp:lastModifiedBy>
  <dcterms:created xsi:type="dcterms:W3CDTF">2023-10-13T06:53:12Z</dcterms:created>
  <dcterms:modified xsi:type="dcterms:W3CDTF">2023-10-23T08:17:27Z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