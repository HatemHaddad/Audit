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heckCompatibility="1" defaultThemeVersion="124226"/>
  <mc:AlternateContent xmlns:mc="http://schemas.openxmlformats.org/markup-compatibility/2006">
    <mc:Choice Requires="x15">
      <x15ac:absPath xmlns:x15ac="http://schemas.microsoft.com/office/spreadsheetml/2010/11/ac" url="Z:\Audit Activities\Audit Activities\Audit activities -2023\2. Continuing Education\2. Execution\3. Testing Sheets\Completed\Test 14\"/>
    </mc:Choice>
  </mc:AlternateContent>
  <xr:revisionPtr revIDLastSave="0" documentId="13_ncr:1_{507E881A-10BE-4B69-9E84-4538D6FFFCEF}" xr6:coauthVersionLast="47" xr6:coauthVersionMax="47" xr10:uidLastSave="{00000000-0000-0000-0000-000000000000}"/>
  <bookViews>
    <workbookView xWindow="-110" yWindow="-110" windowWidth="19420" windowHeight="10300" tabRatio="61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8" i="6" l="1"/>
  <c r="A19" i="6" s="1"/>
  <c r="A20" i="6" s="1"/>
  <c r="A21" i="6" s="1"/>
  <c r="A17" i="6"/>
  <c r="D28" i="6" l="1"/>
</calcChain>
</file>

<file path=xl/sharedStrings.xml><?xml version="1.0" encoding="utf-8"?>
<sst xmlns="http://schemas.openxmlformats.org/spreadsheetml/2006/main" count="74" uniqueCount="63">
  <si>
    <t>Client:</t>
  </si>
  <si>
    <t>Initials</t>
  </si>
  <si>
    <t>Process:</t>
  </si>
  <si>
    <t>Date</t>
  </si>
  <si>
    <t>Period:</t>
  </si>
  <si>
    <t>Ref:</t>
  </si>
  <si>
    <t xml:space="preserve">Sr </t>
  </si>
  <si>
    <t>Prepared By:</t>
  </si>
  <si>
    <t xml:space="preserve">Sampling Technique </t>
  </si>
  <si>
    <t>Total Population</t>
  </si>
  <si>
    <t>Samples Selected</t>
  </si>
  <si>
    <t>Percentage</t>
  </si>
  <si>
    <t>Remarks</t>
  </si>
  <si>
    <t>Internal Research</t>
  </si>
  <si>
    <t>Risk reference Number</t>
  </si>
  <si>
    <t>Khalifa University</t>
  </si>
  <si>
    <t>Reviewed By:</t>
  </si>
  <si>
    <t>WW</t>
  </si>
  <si>
    <t>MD</t>
  </si>
  <si>
    <t>Continuing Education Audit</t>
  </si>
  <si>
    <t>1 Jan 2022  to 31 March 2023</t>
  </si>
  <si>
    <t>a</t>
  </si>
  <si>
    <t>Both parties have signed and approved the contract, and it is still valid. Also, from KU SVP Support Services approved the contract.</t>
  </si>
  <si>
    <t>Test 14</t>
  </si>
  <si>
    <t>Project management &amp; Administrative support services related to continuing education are performed by ECAE representative. She is working 3 days a week with the Continuing Education team at KU and 1.5 days with the ECAE. If needed she works the whole week with KU.</t>
  </si>
  <si>
    <t xml:space="preserve">Preparing the learners Certificates after the completion of the project is prepared and sample of the certificates are provided. </t>
  </si>
  <si>
    <t>Dr. Asli conducts quality assurance by engaging in online meetings with faculty members, particularly when they are delivering a training course for the first time.</t>
  </si>
  <si>
    <t>WP_KU_CE_14</t>
  </si>
  <si>
    <t>No</t>
  </si>
  <si>
    <t>Yes</t>
  </si>
  <si>
    <t>Contract #</t>
  </si>
  <si>
    <t xml:space="preserve">First Party </t>
  </si>
  <si>
    <t xml:space="preserve">2nd Party </t>
  </si>
  <si>
    <t xml:space="preserve">Contract Value </t>
  </si>
  <si>
    <t>Payment Terms</t>
  </si>
  <si>
    <t xml:space="preserve"> Emirates College for Advanced Education (ECAE)</t>
  </si>
  <si>
    <t>Daily charge is 1,384 plus VAT base on the number of working days</t>
  </si>
  <si>
    <t>Scope of work</t>
  </si>
  <si>
    <t>A001/2019</t>
  </si>
  <si>
    <t>Signing date</t>
  </si>
  <si>
    <t>Oreginal contract was signed on 27/01/2020 and the amendments on 25/08/2023</t>
  </si>
  <si>
    <t xml:space="preserve">Compliance Checklist for the Contract with the ECAE
</t>
  </si>
  <si>
    <t>Desciptions</t>
  </si>
  <si>
    <t>Ref #</t>
  </si>
  <si>
    <t xml:space="preserve">Document References </t>
  </si>
  <si>
    <t>Project management &amp; Administrative support services related to continuing education are performed by ECAE representative.</t>
  </si>
  <si>
    <t>IT Services (Masary E-Profile System) is delivered and utilized in learner registration, attendance, satisfaction surveys, certificates, billing.</t>
  </si>
  <si>
    <t>Preparing the learners Certificates after the completion of the project, and is it prepared manually or through a system. (see an example)</t>
  </si>
  <si>
    <t>Evaluation and Quality Assurance, and mesuring impact of the conducted training programmes are performed.</t>
  </si>
  <si>
    <t xml:space="preserve">30 days from the date of invoice submission date </t>
  </si>
  <si>
    <t>Manage the Continuing Education courses and training resources for the business collaboration</t>
  </si>
  <si>
    <t xml:space="preserve">Page 16 </t>
  </si>
  <si>
    <t>Contract end date</t>
  </si>
  <si>
    <t>Masary System has neither been active nor utlized in compliance with the signed contrac to porivde learner registration, attendance, satisfaction surveys, certificates, billing services, instead everything is dont outside of Masary and manually.</t>
  </si>
  <si>
    <t>9-B</t>
  </si>
  <si>
    <t>9-A</t>
  </si>
  <si>
    <t>9-C</t>
  </si>
  <si>
    <t>9-D</t>
  </si>
  <si>
    <t>The price rate per day is AED1,384 plus VAT which includes project management and adminstrative support services and Masary Manager Platform. As mentioned by CED team, the payment procedure is determined by the actual number of days on which training courses were conducted, with a rate of AED 1,384 plus VAT per day. For instance, if we have a training course that required 10 days of preparation and the training number of days is 3 days, the payment would only cover the 3 days, resulting in a total of AED 1,384 plus VAT for each day of those specific days. In this case the payment mechanisim is not clearly defined in the contract with the ECAE.</t>
  </si>
  <si>
    <r>
      <t xml:space="preserve">The daily charge is 1,384 plus VAT base on the number of working days and its clearly defined in the contract - Review the payment mechanism's accuracy by examining a sample of payments and ensuring that the report is readily available along with the payment samples. </t>
    </r>
    <r>
      <rPr>
        <sz val="9"/>
        <color rgb="FFFF0000"/>
        <rFont val="Arial"/>
        <family val="2"/>
      </rPr>
      <t>(to review the payments to ECAE list and see a sample and request supporting documents including the report)</t>
    </r>
  </si>
  <si>
    <t>10-A</t>
  </si>
  <si>
    <t>Khalifa University (KU)</t>
  </si>
  <si>
    <t>WP_1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</si>
</sst>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B1dd\-mmm\-yy"/>
  </numFmts>
  <fonts count="31"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9"/>
      <name val="Arial"/>
      <family val="2"/>
    </font>
    <font>
      <b/>
      <sz val="9"/>
      <color theme="0"/>
      <name val="Arial"/>
      <family val="2"/>
    </font>
    <font>
      <sz val="9"/>
      <color rgb="FFFF0000"/>
      <name val="Arial"/>
      <family val="2"/>
    </font>
    <font>
      <b/>
      <sz val="9"/>
      <color rgb="FFFF0000"/>
      <name val="Arial"/>
      <family val="2"/>
    </font>
    <font>
      <sz val="16"/>
      <name val="Marlett"/>
      <charset val="2"/>
    </font>
    <font>
      <sz val="16"/>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2">
    <xf numFmtId="0" fontId="0" fillId="0" borderId="0" xfId="0"/>
    <xf numFmtId="0" fontId="21" fillId="24" borderId="0" xfId="0" applyFont="1" applyFill="1"/>
    <xf numFmtId="0" fontId="23" fillId="24" borderId="0" xfId="0" applyFont="1" applyFill="1" applyBorder="1" applyAlignment="1">
      <alignment horizontal="left"/>
    </xf>
    <xf numFmtId="0" fontId="21" fillId="24" borderId="0" xfId="0" applyFont="1" applyFill="1" applyAlignment="1">
      <alignment vertical="top" wrapText="1"/>
    </xf>
    <xf numFmtId="0" fontId="23" fillId="24" borderId="0" xfId="0" applyFont="1" applyFill="1"/>
    <xf numFmtId="0" fontId="23" fillId="24" borderId="0" xfId="0" applyFont="1" applyFill="1" applyBorder="1" applyAlignment="1">
      <alignment horizontal="center" vertical="center" wrapText="1"/>
    </xf>
    <xf numFmtId="0" fontId="21" fillId="24" borderId="0" xfId="0" applyFont="1" applyFill="1" applyAlignment="1">
      <alignment horizontal="center"/>
    </xf>
    <xf numFmtId="0" fontId="21" fillId="24" borderId="0" xfId="0" applyFont="1" applyFill="1" applyAlignment="1">
      <alignment vertical="center"/>
    </xf>
    <xf numFmtId="0" fontId="21" fillId="24" borderId="10" xfId="0" applyFont="1" applyFill="1" applyBorder="1" applyAlignment="1">
      <alignment vertical="center" wrapText="1"/>
    </xf>
    <xf numFmtId="0" fontId="21" fillId="24" borderId="10" xfId="0" applyFont="1" applyFill="1" applyBorder="1" applyAlignment="1">
      <alignment horizontal="center" vertical="center" wrapText="1"/>
    </xf>
    <xf numFmtId="0" fontId="24" fillId="24" borderId="0" xfId="0" applyFont="1" applyFill="1" applyBorder="1" applyAlignment="1">
      <alignment horizontal="center" vertical="center" wrapText="1"/>
    </xf>
    <xf numFmtId="164" fontId="21" fillId="24" borderId="17" xfId="0" applyNumberFormat="1" applyFont="1" applyFill="1" applyBorder="1" applyAlignment="1">
      <alignment horizontal="center" vertical="center" wrapText="1"/>
    </xf>
    <xf numFmtId="0" fontId="20" fillId="24" borderId="0" xfId="0" applyFont="1" applyFill="1" applyBorder="1" applyAlignment="1">
      <alignment vertical="center" wrapText="1"/>
    </xf>
    <xf numFmtId="0" fontId="21" fillId="24" borderId="10" xfId="0" applyNumberFormat="1" applyFont="1" applyFill="1" applyBorder="1" applyAlignment="1">
      <alignment horizontal="left" vertical="center" wrapText="1"/>
    </xf>
    <xf numFmtId="164" fontId="21" fillId="24" borderId="15" xfId="0" applyNumberFormat="1" applyFont="1" applyFill="1" applyBorder="1" applyAlignment="1">
      <alignment horizontal="center" vertical="center" wrapText="1"/>
    </xf>
    <xf numFmtId="0" fontId="23" fillId="24" borderId="0" xfId="0" applyFont="1" applyFill="1" applyBorder="1" applyAlignment="1">
      <alignment horizontal="left" vertical="center" wrapText="1"/>
    </xf>
    <xf numFmtId="0" fontId="25" fillId="26" borderId="10" xfId="0" applyFont="1" applyFill="1" applyBorder="1" applyAlignment="1">
      <alignment horizontal="center" vertical="center"/>
    </xf>
    <xf numFmtId="0" fontId="26" fillId="25" borderId="12" xfId="0" applyFont="1" applyFill="1" applyBorder="1" applyAlignment="1">
      <alignment horizontal="center" vertical="center"/>
    </xf>
    <xf numFmtId="0" fontId="21" fillId="24" borderId="11" xfId="0" applyFont="1" applyFill="1" applyBorder="1" applyAlignment="1">
      <alignment horizontal="center" vertical="center"/>
    </xf>
    <xf numFmtId="9" fontId="27" fillId="27" borderId="11" xfId="40" applyFont="1" applyFill="1" applyBorder="1" applyAlignment="1">
      <alignment horizontal="center" vertical="center"/>
    </xf>
    <xf numFmtId="0" fontId="21" fillId="24" borderId="10" xfId="0" applyFont="1" applyFill="1" applyBorder="1" applyAlignment="1">
      <alignment horizontal="center" vertical="center" wrapText="1"/>
    </xf>
    <xf numFmtId="0" fontId="21" fillId="24" borderId="0" xfId="0" applyFont="1" applyFill="1" applyBorder="1" applyAlignment="1">
      <alignment horizontal="center"/>
    </xf>
    <xf numFmtId="0" fontId="26" fillId="25" borderId="10" xfId="28" applyNumberFormat="1" applyFont="1" applyFill="1" applyBorder="1" applyAlignment="1">
      <alignment horizontal="center" vertical="center" wrapText="1"/>
    </xf>
    <xf numFmtId="0" fontId="21" fillId="24" borderId="10" xfId="0" applyFont="1" applyFill="1" applyBorder="1" applyAlignment="1">
      <alignment horizontal="center" vertical="center" wrapText="1"/>
    </xf>
    <xf numFmtId="0" fontId="21" fillId="24" borderId="10" xfId="0" applyFont="1" applyFill="1" applyBorder="1" applyAlignment="1">
      <alignment horizontal="left" vertical="center" wrapText="1"/>
    </xf>
    <xf numFmtId="15" fontId="21" fillId="24" borderId="10" xfId="0" applyNumberFormat="1" applyFont="1" applyFill="1" applyBorder="1" applyAlignment="1">
      <alignment horizontal="center" vertical="center" wrapText="1"/>
    </xf>
    <xf numFmtId="49" fontId="29" fillId="24" borderId="10" xfId="28" applyNumberFormat="1" applyFont="1" applyFill="1" applyBorder="1" applyAlignment="1">
      <alignment horizontal="center" vertical="center" wrapText="1"/>
    </xf>
    <xf numFmtId="0" fontId="30" fillId="24" borderId="10" xfId="0" applyFont="1" applyFill="1" applyBorder="1" applyAlignment="1">
      <alignment horizontal="center" vertical="center" wrapText="1"/>
    </xf>
    <xf numFmtId="0" fontId="22" fillId="28" borderId="10" xfId="0" applyFont="1" applyFill="1" applyBorder="1" applyAlignment="1">
      <alignment horizontal="center" vertical="center" wrapText="1"/>
    </xf>
    <xf numFmtId="0" fontId="24" fillId="24" borderId="10" xfId="0" applyFont="1" applyFill="1" applyBorder="1" applyAlignment="1">
      <alignment horizontal="center" vertical="center" wrapText="1"/>
    </xf>
    <xf numFmtId="0" fontId="26" fillId="25" borderId="10" xfId="28" applyNumberFormat="1" applyFont="1" applyFill="1" applyBorder="1" applyAlignment="1">
      <alignment horizontal="center" wrapText="1"/>
    </xf>
    <xf numFmtId="0" fontId="26" fillId="25" borderId="10" xfId="28" applyNumberFormat="1" applyFont="1" applyFill="1" applyBorder="1" applyAlignment="1">
      <alignment horizontal="center" vertical="center" wrapText="1"/>
    </xf>
    <xf numFmtId="0" fontId="26" fillId="25" borderId="10" xfId="0" applyFont="1" applyFill="1" applyBorder="1" applyAlignment="1">
      <alignment horizontal="center" vertical="center" wrapText="1"/>
    </xf>
    <xf numFmtId="0" fontId="21" fillId="24" borderId="10" xfId="0" applyFont="1" applyFill="1" applyBorder="1" applyAlignment="1">
      <alignment horizontal="center" vertical="center" wrapText="1"/>
    </xf>
    <xf numFmtId="0" fontId="21" fillId="24" borderId="10" xfId="0" applyFont="1" applyFill="1" applyBorder="1" applyAlignment="1">
      <alignment horizontal="left" vertical="center" wrapText="1"/>
    </xf>
    <xf numFmtId="0" fontId="21" fillId="24" borderId="14" xfId="0" applyFont="1" applyFill="1" applyBorder="1" applyAlignment="1">
      <alignment horizontal="center" vertical="center" wrapText="1"/>
    </xf>
    <xf numFmtId="0" fontId="21" fillId="24" borderId="0" xfId="0" applyFont="1" applyFill="1" applyAlignment="1">
      <alignment horizontal="center"/>
    </xf>
    <xf numFmtId="0" fontId="26" fillId="25" borderId="13" xfId="0" applyFont="1" applyFill="1" applyBorder="1" applyAlignment="1">
      <alignment horizontal="center" vertical="center" wrapText="1"/>
    </xf>
    <xf numFmtId="0" fontId="26" fillId="25" borderId="19" xfId="0" applyFont="1" applyFill="1" applyBorder="1" applyAlignment="1">
      <alignment horizontal="center" vertical="center" wrapText="1"/>
    </xf>
    <xf numFmtId="0" fontId="22" fillId="24" borderId="10" xfId="0" applyFont="1" applyFill="1" applyBorder="1" applyAlignment="1">
      <alignment horizontal="center" vertical="center" wrapText="1"/>
    </xf>
    <xf numFmtId="164" fontId="21" fillId="24" borderId="14" xfId="0" applyNumberFormat="1" applyFont="1" applyFill="1" applyBorder="1" applyAlignment="1">
      <alignment horizontal="center" vertical="center" wrapText="1"/>
    </xf>
    <xf numFmtId="164" fontId="21" fillId="24" borderId="15" xfId="0" applyNumberFormat="1" applyFont="1" applyFill="1" applyBorder="1" applyAlignment="1">
      <alignment horizontal="center" vertical="center" wrapText="1"/>
    </xf>
    <xf numFmtId="0" fontId="22" fillId="24" borderId="14" xfId="0" applyFont="1" applyFill="1" applyBorder="1" applyAlignment="1">
      <alignment horizontal="center" vertical="center" wrapText="1"/>
    </xf>
    <xf numFmtId="0" fontId="22" fillId="24" borderId="17" xfId="0" applyFont="1" applyFill="1" applyBorder="1" applyAlignment="1">
      <alignment horizontal="center" vertical="center" wrapText="1"/>
    </xf>
    <xf numFmtId="0" fontId="22" fillId="24" borderId="15" xfId="0" applyFont="1" applyFill="1" applyBorder="1" applyAlignment="1">
      <alignment horizontal="center" vertical="center" wrapText="1"/>
    </xf>
    <xf numFmtId="0" fontId="28" fillId="27" borderId="16" xfId="0" applyFont="1" applyFill="1" applyBorder="1" applyAlignment="1">
      <alignment horizontal="left" vertical="center"/>
    </xf>
    <xf numFmtId="0" fontId="28" fillId="27" borderId="12" xfId="0" applyFont="1" applyFill="1" applyBorder="1" applyAlignment="1">
      <alignment horizontal="left" vertical="center"/>
    </xf>
    <xf numFmtId="0" fontId="26" fillId="25" borderId="16" xfId="0" applyFont="1" applyFill="1" applyBorder="1" applyAlignment="1">
      <alignment horizontal="left" vertical="center"/>
    </xf>
    <xf numFmtId="0" fontId="26" fillId="25" borderId="12" xfId="0" applyFont="1" applyFill="1" applyBorder="1" applyAlignment="1">
      <alignment horizontal="left" vertical="center"/>
    </xf>
    <xf numFmtId="0" fontId="23" fillId="24" borderId="16" xfId="0" applyFont="1" applyFill="1" applyBorder="1" applyAlignment="1">
      <alignment horizontal="left" vertical="center"/>
    </xf>
    <xf numFmtId="0" fontId="23" fillId="24" borderId="18" xfId="0" applyFont="1" applyFill="1" applyBorder="1" applyAlignment="1">
      <alignment horizontal="left" vertical="center"/>
    </xf>
    <xf numFmtId="0" fontId="25" fillId="26" borderId="10" xfId="0" applyFont="1" applyFill="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2</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2</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11206</xdr:colOff>
      <xdr:row>0</xdr:row>
      <xdr:rowOff>11206</xdr:rowOff>
    </xdr:from>
    <xdr:to>
      <xdr:col>2</xdr:col>
      <xdr:colOff>286406</xdr:colOff>
      <xdr:row>2</xdr:row>
      <xdr:rowOff>179294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206" y="11206"/>
          <a:ext cx="1519053" cy="549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3"/>
  <sheetViews>
    <sheetView tabSelected="1" topLeftCell="B11" zoomScale="90" zoomScaleNormal="90" workbookViewId="0">
      <selection activeCell="E18" activeCellId="1" sqref="E21 E18"/>
    </sheetView>
  </sheetViews>
  <sheetFormatPr defaultColWidth="8.453125" defaultRowHeight="11.5" x14ac:dyDescent="0.25"/>
  <cols>
    <col min="1" max="1" width="8.453125" style="1"/>
    <col min="2" max="2" width="13.81640625" style="1" customWidth="1"/>
    <col min="3" max="3" width="43.1796875" style="1" customWidth="1"/>
    <col min="4" max="4" width="24.7265625" style="1" customWidth="1"/>
    <col min="5" max="5" width="23.54296875" style="1" customWidth="1"/>
    <col min="6" max="6" width="27.7265625" style="1" customWidth="1"/>
    <col min="7" max="7" width="21.1796875" style="1" customWidth="1"/>
    <col min="8" max="8" width="21" style="1" customWidth="1"/>
    <col min="9" max="9" width="16.81640625" style="1" customWidth="1"/>
    <col min="10" max="10" width="23.453125" style="1" customWidth="1"/>
    <col min="11" max="12" width="4" style="1" customWidth="1"/>
    <col min="13" max="13" width="31.54296875" style="1" customWidth="1"/>
    <col min="14" max="14" width="1.7265625" style="1" bestFit="1" customWidth="1"/>
    <col min="15" max="15" width="2.26953125" style="1" bestFit="1" customWidth="1"/>
    <col min="16" max="17" width="2.453125" style="1" bestFit="1" customWidth="1"/>
    <col min="18" max="18" width="3" style="1" bestFit="1" customWidth="1"/>
    <col min="19" max="16384" width="8.453125" style="1"/>
  </cols>
  <sheetData>
    <row r="1" spans="1:12" s="7" customFormat="1" ht="15" customHeight="1" x14ac:dyDescent="0.25">
      <c r="B1" s="33"/>
      <c r="C1" s="33"/>
      <c r="D1" s="33"/>
      <c r="E1" s="33"/>
      <c r="F1" s="39" t="s">
        <v>7</v>
      </c>
      <c r="G1" s="42" t="s">
        <v>16</v>
      </c>
      <c r="H1" s="28" t="s">
        <v>5</v>
      </c>
      <c r="J1" s="5"/>
      <c r="K1" s="5"/>
      <c r="L1" s="5"/>
    </row>
    <row r="2" spans="1:12" s="7" customFormat="1" ht="15" customHeight="1" x14ac:dyDescent="0.25">
      <c r="B2" s="33"/>
      <c r="C2" s="33"/>
      <c r="D2" s="33"/>
      <c r="E2" s="33"/>
      <c r="F2" s="39"/>
      <c r="G2" s="43"/>
      <c r="H2" s="28"/>
      <c r="K2" s="5"/>
      <c r="L2" s="5"/>
    </row>
    <row r="3" spans="1:12" s="7" customFormat="1" ht="15" customHeight="1" x14ac:dyDescent="0.25">
      <c r="B3" s="35"/>
      <c r="C3" s="33"/>
      <c r="D3" s="33"/>
      <c r="E3" s="33"/>
      <c r="F3" s="39"/>
      <c r="G3" s="44"/>
      <c r="H3" s="28"/>
      <c r="K3" s="5"/>
      <c r="L3" s="5"/>
    </row>
    <row r="4" spans="1:12" s="7" customFormat="1" ht="23.15" customHeight="1" x14ac:dyDescent="0.25">
      <c r="A4" s="32" t="s">
        <v>0</v>
      </c>
      <c r="B4" s="32"/>
      <c r="C4" s="8" t="s">
        <v>15</v>
      </c>
      <c r="D4" s="37" t="s">
        <v>1</v>
      </c>
      <c r="E4" s="38"/>
      <c r="F4" s="9" t="s">
        <v>18</v>
      </c>
      <c r="G4" s="9" t="s">
        <v>17</v>
      </c>
      <c r="H4" s="29" t="s">
        <v>23</v>
      </c>
      <c r="K4" s="10"/>
      <c r="L4" s="10"/>
    </row>
    <row r="5" spans="1:12" s="7" customFormat="1" ht="23.15" customHeight="1" x14ac:dyDescent="0.25">
      <c r="A5" s="32" t="s">
        <v>2</v>
      </c>
      <c r="B5" s="32"/>
      <c r="C5" s="8" t="s">
        <v>19</v>
      </c>
      <c r="D5" s="37" t="s">
        <v>3</v>
      </c>
      <c r="E5" s="38"/>
      <c r="F5" s="40">
        <v>45215</v>
      </c>
      <c r="G5" s="11"/>
      <c r="H5" s="29"/>
      <c r="K5" s="12"/>
      <c r="L5" s="12"/>
    </row>
    <row r="6" spans="1:12" s="7" customFormat="1" ht="23.15" customHeight="1" x14ac:dyDescent="0.25">
      <c r="A6" s="32" t="s">
        <v>4</v>
      </c>
      <c r="B6" s="32"/>
      <c r="C6" s="13" t="s">
        <v>20</v>
      </c>
      <c r="D6" s="37" t="s">
        <v>13</v>
      </c>
      <c r="E6" s="38"/>
      <c r="F6" s="41"/>
      <c r="G6" s="14"/>
      <c r="H6" s="29"/>
      <c r="K6" s="15"/>
      <c r="L6" s="15"/>
    </row>
    <row r="7" spans="1:12" s="7" customFormat="1" x14ac:dyDescent="0.25"/>
    <row r="8" spans="1:12" x14ac:dyDescent="0.25">
      <c r="C8" s="4" t="s">
        <v>14</v>
      </c>
      <c r="D8" s="36" t="s">
        <v>27</v>
      </c>
      <c r="E8" s="36"/>
      <c r="F8" s="36"/>
      <c r="G8" s="6"/>
      <c r="H8" s="6"/>
      <c r="I8" s="6"/>
    </row>
    <row r="9" spans="1:12" x14ac:dyDescent="0.25">
      <c r="D9" s="21"/>
      <c r="E9" s="21"/>
      <c r="F9" s="21"/>
      <c r="G9" s="21"/>
      <c r="H9" s="21"/>
      <c r="I9" s="21"/>
    </row>
    <row r="10" spans="1:12" ht="27" customHeight="1" x14ac:dyDescent="0.25">
      <c r="A10" s="31" t="s">
        <v>30</v>
      </c>
      <c r="B10" s="31"/>
      <c r="C10" s="22" t="s">
        <v>31</v>
      </c>
      <c r="D10" s="22" t="s">
        <v>32</v>
      </c>
      <c r="E10" s="22" t="s">
        <v>39</v>
      </c>
      <c r="F10" s="22" t="s">
        <v>37</v>
      </c>
      <c r="G10" s="22" t="s">
        <v>33</v>
      </c>
      <c r="H10" s="22" t="s">
        <v>34</v>
      </c>
      <c r="I10" s="22" t="s">
        <v>52</v>
      </c>
    </row>
    <row r="11" spans="1:12" ht="54.75" customHeight="1" x14ac:dyDescent="0.25">
      <c r="A11" s="33" t="s">
        <v>38</v>
      </c>
      <c r="B11" s="33"/>
      <c r="C11" s="20" t="s">
        <v>35</v>
      </c>
      <c r="D11" s="20" t="s">
        <v>61</v>
      </c>
      <c r="E11" s="20" t="s">
        <v>40</v>
      </c>
      <c r="F11" s="20" t="s">
        <v>50</v>
      </c>
      <c r="G11" s="20" t="s">
        <v>36</v>
      </c>
      <c r="H11" s="20" t="s">
        <v>49</v>
      </c>
      <c r="I11" s="25">
        <v>45291</v>
      </c>
    </row>
    <row r="12" spans="1:12" x14ac:dyDescent="0.25">
      <c r="D12" s="21"/>
      <c r="E12" s="21"/>
      <c r="F12" s="21"/>
      <c r="G12" s="21"/>
      <c r="H12" s="21"/>
      <c r="I12" s="21"/>
    </row>
    <row r="13" spans="1:12" x14ac:dyDescent="0.25">
      <c r="D13" s="21"/>
      <c r="E13" s="21"/>
      <c r="F13" s="21"/>
      <c r="G13" s="21"/>
      <c r="H13" s="21"/>
      <c r="I13" s="21"/>
    </row>
    <row r="14" spans="1:12" ht="32.25" customHeight="1" x14ac:dyDescent="0.25">
      <c r="A14" s="30" t="s">
        <v>41</v>
      </c>
      <c r="B14" s="30"/>
      <c r="C14" s="30"/>
      <c r="D14" s="30"/>
      <c r="E14" s="30"/>
      <c r="F14" s="30"/>
      <c r="G14" s="30"/>
      <c r="H14" s="30"/>
      <c r="I14" s="30"/>
      <c r="J14" s="30"/>
    </row>
    <row r="15" spans="1:12" s="7" customFormat="1" ht="28.5" customHeight="1" x14ac:dyDescent="0.25">
      <c r="A15" s="16" t="s">
        <v>6</v>
      </c>
      <c r="B15" s="16" t="s">
        <v>43</v>
      </c>
      <c r="C15" s="16" t="s">
        <v>42</v>
      </c>
      <c r="D15" s="16" t="s">
        <v>29</v>
      </c>
      <c r="E15" s="16" t="s">
        <v>28</v>
      </c>
      <c r="F15" s="51" t="s">
        <v>12</v>
      </c>
      <c r="G15" s="51"/>
      <c r="H15" s="51"/>
      <c r="I15" s="51"/>
      <c r="J15" s="16" t="s">
        <v>44</v>
      </c>
    </row>
    <row r="16" spans="1:12" s="7" customFormat="1" ht="48.75" customHeight="1" x14ac:dyDescent="0.25">
      <c r="A16" s="20">
        <v>1</v>
      </c>
      <c r="B16" s="20" t="s">
        <v>51</v>
      </c>
      <c r="C16" s="24" t="s">
        <v>22</v>
      </c>
      <c r="D16" s="26" t="s">
        <v>21</v>
      </c>
      <c r="E16" s="27"/>
      <c r="F16" s="34" t="s">
        <v>22</v>
      </c>
      <c r="G16" s="34"/>
      <c r="H16" s="34"/>
      <c r="I16" s="34"/>
      <c r="J16" s="20" t="s">
        <v>62</v>
      </c>
    </row>
    <row r="17" spans="1:12" s="7" customFormat="1" ht="51" customHeight="1" x14ac:dyDescent="0.25">
      <c r="A17" s="20">
        <f>A16+1</f>
        <v>2</v>
      </c>
      <c r="B17" s="20" t="s">
        <v>55</v>
      </c>
      <c r="C17" s="24" t="s">
        <v>45</v>
      </c>
      <c r="D17" s="26" t="s">
        <v>21</v>
      </c>
      <c r="E17" s="27"/>
      <c r="F17" s="34" t="s">
        <v>24</v>
      </c>
      <c r="G17" s="34"/>
      <c r="H17" s="34"/>
      <c r="I17" s="34"/>
      <c r="J17" s="23" t="s">
        <v>62</v>
      </c>
    </row>
    <row r="18" spans="1:12" s="7" customFormat="1" ht="51" customHeight="1" x14ac:dyDescent="0.25">
      <c r="A18" s="20">
        <f t="shared" ref="A18:A21" si="0">A17+1</f>
        <v>3</v>
      </c>
      <c r="B18" s="20" t="s">
        <v>54</v>
      </c>
      <c r="C18" s="24" t="s">
        <v>46</v>
      </c>
      <c r="D18" s="27"/>
      <c r="E18" s="26" t="s">
        <v>21</v>
      </c>
      <c r="F18" s="34" t="s">
        <v>53</v>
      </c>
      <c r="G18" s="34"/>
      <c r="H18" s="34"/>
      <c r="I18" s="34"/>
      <c r="J18" s="23" t="s">
        <v>62</v>
      </c>
    </row>
    <row r="19" spans="1:12" s="7" customFormat="1" ht="48.75" customHeight="1" x14ac:dyDescent="0.25">
      <c r="A19" s="20">
        <f t="shared" si="0"/>
        <v>4</v>
      </c>
      <c r="B19" s="20" t="s">
        <v>56</v>
      </c>
      <c r="C19" s="24" t="s">
        <v>47</v>
      </c>
      <c r="D19" s="26" t="s">
        <v>21</v>
      </c>
      <c r="E19" s="27"/>
      <c r="F19" s="34" t="s">
        <v>25</v>
      </c>
      <c r="G19" s="34"/>
      <c r="H19" s="34"/>
      <c r="I19" s="34"/>
      <c r="J19" s="23" t="s">
        <v>62</v>
      </c>
    </row>
    <row r="20" spans="1:12" s="7" customFormat="1" ht="48.75" customHeight="1" x14ac:dyDescent="0.25">
      <c r="A20" s="20">
        <f t="shared" si="0"/>
        <v>5</v>
      </c>
      <c r="B20" s="20" t="s">
        <v>57</v>
      </c>
      <c r="C20" s="24" t="s">
        <v>48</v>
      </c>
      <c r="D20" s="26" t="s">
        <v>21</v>
      </c>
      <c r="E20" s="27"/>
      <c r="F20" s="34" t="s">
        <v>26</v>
      </c>
      <c r="G20" s="34"/>
      <c r="H20" s="34"/>
      <c r="I20" s="34"/>
      <c r="J20" s="23" t="s">
        <v>62</v>
      </c>
    </row>
    <row r="21" spans="1:12" s="7" customFormat="1" ht="103.5" customHeight="1" x14ac:dyDescent="0.25">
      <c r="A21" s="20">
        <f t="shared" si="0"/>
        <v>6</v>
      </c>
      <c r="B21" s="20" t="s">
        <v>60</v>
      </c>
      <c r="C21" s="24" t="s">
        <v>59</v>
      </c>
      <c r="D21" s="26"/>
      <c r="E21" s="26" t="s">
        <v>21</v>
      </c>
      <c r="F21" s="34" t="s">
        <v>58</v>
      </c>
      <c r="G21" s="34"/>
      <c r="H21" s="34"/>
      <c r="I21" s="34"/>
      <c r="J21" s="23" t="s">
        <v>62</v>
      </c>
    </row>
    <row r="25" spans="1:12" ht="12" customHeight="1" x14ac:dyDescent="0.25">
      <c r="B25" s="47" t="s">
        <v>8</v>
      </c>
      <c r="C25" s="48"/>
      <c r="D25" s="17"/>
      <c r="E25" s="2"/>
      <c r="F25" s="2"/>
      <c r="G25" s="2"/>
      <c r="H25" s="2"/>
      <c r="I25" s="2"/>
      <c r="J25" s="2"/>
      <c r="K25" s="2"/>
      <c r="L25" s="2"/>
    </row>
    <row r="26" spans="1:12" x14ac:dyDescent="0.25">
      <c r="B26" s="49" t="s">
        <v>9</v>
      </c>
      <c r="C26" s="50"/>
      <c r="D26" s="18">
        <v>1</v>
      </c>
      <c r="E26" s="2"/>
      <c r="F26" s="2"/>
      <c r="G26" s="2"/>
      <c r="H26" s="2"/>
      <c r="I26" s="2"/>
      <c r="J26" s="2"/>
      <c r="K26" s="2"/>
      <c r="L26" s="2"/>
    </row>
    <row r="27" spans="1:12" x14ac:dyDescent="0.25">
      <c r="B27" s="49" t="s">
        <v>10</v>
      </c>
      <c r="C27" s="50"/>
      <c r="D27" s="18">
        <v>1</v>
      </c>
      <c r="E27" s="2"/>
      <c r="F27" s="2"/>
      <c r="G27" s="2"/>
      <c r="H27" s="2"/>
      <c r="I27" s="2"/>
      <c r="J27" s="2"/>
      <c r="K27" s="2"/>
      <c r="L27" s="2"/>
    </row>
    <row r="28" spans="1:12" x14ac:dyDescent="0.25">
      <c r="B28" s="45" t="s">
        <v>11</v>
      </c>
      <c r="C28" s="46"/>
      <c r="D28" s="19">
        <f>D27/D26</f>
        <v>1</v>
      </c>
      <c r="E28" s="2"/>
      <c r="F28" s="2"/>
      <c r="G28" s="2"/>
      <c r="H28" s="2"/>
      <c r="I28" s="2"/>
      <c r="J28" s="2"/>
      <c r="K28" s="2"/>
      <c r="L28" s="2"/>
    </row>
    <row r="29" spans="1:12" x14ac:dyDescent="0.25">
      <c r="B29" s="2"/>
      <c r="C29" s="2"/>
      <c r="D29" s="2"/>
      <c r="E29" s="2"/>
      <c r="F29" s="2"/>
      <c r="G29" s="2"/>
      <c r="H29" s="2"/>
      <c r="I29" s="2"/>
      <c r="J29" s="2"/>
      <c r="K29" s="2"/>
      <c r="L29" s="2"/>
    </row>
    <row r="30" spans="1:12" x14ac:dyDescent="0.25">
      <c r="B30" s="2"/>
      <c r="C30" s="2"/>
      <c r="D30" s="2"/>
      <c r="E30" s="2"/>
      <c r="F30" s="2"/>
      <c r="G30" s="2"/>
      <c r="H30" s="2"/>
      <c r="I30" s="2"/>
      <c r="J30" s="2"/>
      <c r="K30" s="2"/>
      <c r="L30" s="2"/>
    </row>
    <row r="104" s="3" customFormat="1" ht="11.5" customHeight="1" x14ac:dyDescent="0.25"/>
    <row r="105" s="3" customFormat="1" ht="11.5" customHeight="1" x14ac:dyDescent="0.25"/>
    <row r="106" s="3" customFormat="1" ht="11.5" customHeight="1" x14ac:dyDescent="0.25"/>
    <row r="107" s="3" customFormat="1" ht="11.5" customHeight="1" x14ac:dyDescent="0.25"/>
    <row r="108" s="3" customFormat="1" ht="11.5" customHeight="1" x14ac:dyDescent="0.25"/>
    <row r="109" s="3" customFormat="1" ht="11.5" customHeight="1" x14ac:dyDescent="0.25"/>
    <row r="110" s="3" customFormat="1" ht="11.5" customHeight="1" x14ac:dyDescent="0.25"/>
    <row r="111" s="3" customFormat="1" ht="11.5" customHeight="1" x14ac:dyDescent="0.25"/>
    <row r="112" s="3" customFormat="1" ht="11.5" customHeight="1" x14ac:dyDescent="0.25"/>
    <row r="113" s="3" customFormat="1" ht="11.5" customHeight="1" x14ac:dyDescent="0.25"/>
    <row r="114" s="3" customFormat="1" ht="11.5" customHeight="1" x14ac:dyDescent="0.25"/>
    <row r="115" s="3" customFormat="1" ht="11.5" customHeight="1" x14ac:dyDescent="0.25"/>
    <row r="116" s="3" customFormat="1" ht="11.5" customHeight="1" x14ac:dyDescent="0.25"/>
    <row r="117" s="3" customFormat="1" ht="11.5" customHeight="1" x14ac:dyDescent="0.25"/>
    <row r="118" s="3" customFormat="1" ht="11.5" customHeight="1" x14ac:dyDescent="0.25"/>
    <row r="119" s="3" customFormat="1" ht="11.5" customHeight="1" x14ac:dyDescent="0.25"/>
    <row r="120" s="3" customFormat="1" ht="11.5" customHeight="1" x14ac:dyDescent="0.25"/>
    <row r="121" s="3" customFormat="1" ht="11.5" customHeight="1" x14ac:dyDescent="0.25"/>
    <row r="122" s="3" customFormat="1" ht="11.5" customHeight="1" x14ac:dyDescent="0.25"/>
    <row r="123" s="3" customFormat="1" ht="11.5" customHeight="1" x14ac:dyDescent="0.25"/>
    <row r="124" s="3" customFormat="1" ht="11.5" customHeight="1" x14ac:dyDescent="0.25"/>
    <row r="125" s="3" customFormat="1" ht="11.5" customHeight="1" x14ac:dyDescent="0.25"/>
    <row r="126" s="3" customFormat="1" ht="11.5" customHeight="1" x14ac:dyDescent="0.25"/>
    <row r="127" s="3" customFormat="1" ht="11.5" customHeight="1" x14ac:dyDescent="0.25"/>
    <row r="128" s="3" customFormat="1" ht="11.5" customHeight="1" x14ac:dyDescent="0.25"/>
    <row r="129" s="3" customFormat="1" ht="11.5" customHeight="1" x14ac:dyDescent="0.25"/>
    <row r="130" s="3" customFormat="1" ht="11.5" customHeight="1" x14ac:dyDescent="0.25"/>
    <row r="131" s="3" customFormat="1" ht="11.5" customHeight="1" x14ac:dyDescent="0.25"/>
    <row r="132" s="3" customFormat="1" ht="11.5" customHeight="1" x14ac:dyDescent="0.25"/>
    <row r="133" s="3" customFormat="1" ht="11.5" customHeight="1" x14ac:dyDescent="0.25"/>
    <row r="134" s="3" customFormat="1" ht="11.5" customHeight="1" x14ac:dyDescent="0.25"/>
    <row r="135" s="3" customFormat="1" ht="11.5" customHeight="1" x14ac:dyDescent="0.25"/>
    <row r="136" s="3" customFormat="1" ht="11.5" customHeight="1" x14ac:dyDescent="0.25"/>
    <row r="137" s="3" customFormat="1" ht="11.5" customHeight="1" x14ac:dyDescent="0.25"/>
    <row r="138" s="3" customFormat="1" ht="11.5" customHeight="1" x14ac:dyDescent="0.25"/>
    <row r="139" s="3" customFormat="1" ht="11.5" customHeight="1" x14ac:dyDescent="0.25"/>
    <row r="140" s="3" customFormat="1" ht="11.5" customHeight="1" x14ac:dyDescent="0.25"/>
    <row r="141" s="3" customFormat="1" ht="11.5" customHeight="1" x14ac:dyDescent="0.25"/>
    <row r="142" s="3" customFormat="1" ht="11.5" customHeight="1" x14ac:dyDescent="0.25"/>
    <row r="143" s="3" customFormat="1" ht="11.5" customHeight="1" x14ac:dyDescent="0.25"/>
    <row r="144" s="3" customFormat="1" ht="11.5" customHeight="1" x14ac:dyDescent="0.25"/>
    <row r="145" s="3" customFormat="1" ht="11.5" customHeight="1" x14ac:dyDescent="0.25"/>
    <row r="146" s="3" customFormat="1" ht="11.5" customHeight="1" x14ac:dyDescent="0.25"/>
    <row r="147" s="3" customFormat="1" ht="11.5" customHeight="1" x14ac:dyDescent="0.25"/>
    <row r="148" s="3" customFormat="1" ht="11.5" customHeight="1" x14ac:dyDescent="0.25"/>
    <row r="149" s="3" customFormat="1" ht="11.5" customHeight="1" x14ac:dyDescent="0.25"/>
    <row r="150" s="3" customFormat="1" ht="11.5" customHeight="1" x14ac:dyDescent="0.25"/>
    <row r="151" s="3" customFormat="1" ht="11.5" customHeight="1" x14ac:dyDescent="0.25"/>
    <row r="152" s="3" customFormat="1" ht="11.5" customHeight="1" x14ac:dyDescent="0.25"/>
    <row r="153" s="3" customFormat="1" ht="11.5" customHeight="1" x14ac:dyDescent="0.25"/>
    <row r="154" s="3" customFormat="1" ht="11.5" customHeight="1" x14ac:dyDescent="0.25"/>
    <row r="155" s="3" customFormat="1" ht="11.5" customHeight="1" x14ac:dyDescent="0.25"/>
    <row r="156" s="3" customFormat="1" ht="11.5" customHeight="1" x14ac:dyDescent="0.25"/>
    <row r="157" s="3" customFormat="1" ht="11.5" customHeight="1" x14ac:dyDescent="0.25"/>
    <row r="158" s="3" customFormat="1" ht="11.5" customHeight="1" x14ac:dyDescent="0.25"/>
    <row r="159" s="3" customFormat="1" ht="11.5" customHeight="1" x14ac:dyDescent="0.25"/>
    <row r="160" s="3" customFormat="1" ht="11.5" customHeight="1" x14ac:dyDescent="0.25"/>
    <row r="161" s="3" customFormat="1" ht="11.5" customHeight="1" x14ac:dyDescent="0.25"/>
    <row r="162" s="3" customFormat="1" ht="11.5" customHeight="1" x14ac:dyDescent="0.25"/>
    <row r="163" s="3" customFormat="1" ht="11.5" customHeight="1" x14ac:dyDescent="0.25"/>
    <row r="164" s="3" customFormat="1" ht="11.5" customHeight="1" x14ac:dyDescent="0.25"/>
    <row r="165" s="3" customFormat="1" ht="11.5" customHeight="1" x14ac:dyDescent="0.25"/>
    <row r="166" s="3" customFormat="1" ht="11.5" customHeight="1" x14ac:dyDescent="0.25"/>
    <row r="167" s="3" customFormat="1" ht="11.5" customHeight="1" x14ac:dyDescent="0.25"/>
    <row r="168" s="3" customFormat="1" ht="11.5" customHeight="1" x14ac:dyDescent="0.25"/>
    <row r="169" s="3" customFormat="1" ht="11.5" customHeight="1" x14ac:dyDescent="0.25"/>
    <row r="170" s="3" customFormat="1" ht="11.5" customHeight="1" x14ac:dyDescent="0.25"/>
    <row r="171" s="3" customFormat="1" ht="11.5" customHeight="1" x14ac:dyDescent="0.25"/>
    <row r="172" s="3" customFormat="1" ht="11.5" customHeight="1" x14ac:dyDescent="0.25"/>
    <row r="173" s="3" customFormat="1" ht="11.5" customHeight="1" x14ac:dyDescent="0.25"/>
    <row r="174" s="3" customFormat="1" ht="11.5" customHeight="1" x14ac:dyDescent="0.25"/>
    <row r="175" s="3" customFormat="1" ht="11.5" customHeight="1" x14ac:dyDescent="0.25"/>
    <row r="176" s="3" customFormat="1" ht="11.5" customHeight="1" x14ac:dyDescent="0.25"/>
    <row r="177" s="3" customFormat="1" ht="11.5" customHeight="1" x14ac:dyDescent="0.25"/>
    <row r="178" s="3" customFormat="1" ht="11.5" customHeight="1" x14ac:dyDescent="0.25"/>
    <row r="179" s="3" customFormat="1" ht="11.5" customHeight="1" x14ac:dyDescent="0.25"/>
    <row r="180" s="3" customFormat="1" ht="11.5" customHeight="1" x14ac:dyDescent="0.25"/>
    <row r="181" s="3" customFormat="1" ht="11.5" customHeight="1" x14ac:dyDescent="0.25"/>
    <row r="182" s="3" customFormat="1" ht="11.5" customHeight="1" x14ac:dyDescent="0.25"/>
    <row r="183" s="3" customFormat="1" ht="11.5" customHeight="1" x14ac:dyDescent="0.25"/>
    <row r="184" s="3" customFormat="1" ht="11.5" customHeight="1" x14ac:dyDescent="0.25"/>
    <row r="185" s="3" customFormat="1" ht="11.5" customHeight="1" x14ac:dyDescent="0.25"/>
    <row r="186" s="3" customFormat="1" ht="11.5" customHeight="1" x14ac:dyDescent="0.25"/>
    <row r="187" s="3" customFormat="1" ht="11.5" customHeight="1" x14ac:dyDescent="0.25"/>
    <row r="188" s="3" customFormat="1" ht="11.5" customHeight="1" x14ac:dyDescent="0.25"/>
    <row r="189" s="3" customFormat="1" ht="11.5" customHeight="1" x14ac:dyDescent="0.25"/>
    <row r="190" s="3" customFormat="1" ht="11.5" customHeight="1" x14ac:dyDescent="0.25"/>
    <row r="191" s="3" customFormat="1" ht="11.5" customHeight="1" x14ac:dyDescent="0.25"/>
    <row r="192" s="3" customFormat="1" ht="11.5" customHeight="1" x14ac:dyDescent="0.25"/>
    <row r="193" s="3" customFormat="1" ht="11.5" customHeight="1" x14ac:dyDescent="0.25"/>
    <row r="194" s="3" customFormat="1" ht="11.5" customHeight="1" x14ac:dyDescent="0.25"/>
    <row r="195" s="3" customFormat="1" ht="11.5" customHeight="1" x14ac:dyDescent="0.25"/>
    <row r="196" s="3" customFormat="1" ht="11.5" customHeight="1" x14ac:dyDescent="0.25"/>
    <row r="197" s="3" customFormat="1" ht="11.5" customHeight="1" x14ac:dyDescent="0.25"/>
    <row r="198" s="3" customFormat="1" ht="11.5" customHeight="1" x14ac:dyDescent="0.25"/>
    <row r="199" s="3" customFormat="1" ht="11.5" customHeight="1" x14ac:dyDescent="0.25"/>
    <row r="200" s="3" customFormat="1" ht="11.5" customHeight="1" x14ac:dyDescent="0.25"/>
    <row r="201" s="3" customFormat="1" ht="11.5" customHeight="1" x14ac:dyDescent="0.25"/>
    <row r="202" s="3" customFormat="1" ht="11.5" customHeight="1" x14ac:dyDescent="0.25"/>
    <row r="203" s="3" customFormat="1" ht="11.5" customHeight="1" x14ac:dyDescent="0.25"/>
    <row r="204" s="3" customFormat="1" ht="11.5" customHeight="1" x14ac:dyDescent="0.25"/>
    <row r="205" s="3" customFormat="1" ht="11.5" customHeight="1" x14ac:dyDescent="0.25"/>
    <row r="206" s="3" customFormat="1" ht="11.5" customHeight="1" x14ac:dyDescent="0.25"/>
    <row r="207" s="3" customFormat="1" ht="11.5" customHeight="1" x14ac:dyDescent="0.25"/>
    <row r="208" s="3" customFormat="1" ht="11.5" customHeight="1" x14ac:dyDescent="0.25"/>
    <row r="209" s="3" customFormat="1" ht="11.5" customHeight="1" x14ac:dyDescent="0.25"/>
    <row r="210" s="3" customFormat="1" ht="11.5" customHeight="1" x14ac:dyDescent="0.25"/>
    <row r="211" s="3" customFormat="1" ht="11.5" customHeight="1" x14ac:dyDescent="0.25"/>
    <row r="212" s="3" customFormat="1" ht="11.5" customHeight="1" x14ac:dyDescent="0.25"/>
    <row r="213" s="3" customFormat="1" ht="11.5" customHeight="1" x14ac:dyDescent="0.25"/>
    <row r="214" s="3" customFormat="1" ht="11.5" customHeight="1" x14ac:dyDescent="0.25"/>
    <row r="215" s="3" customFormat="1" ht="11.5" customHeight="1" x14ac:dyDescent="0.25"/>
    <row r="216" s="3" customFormat="1" ht="11.5" customHeight="1" x14ac:dyDescent="0.25"/>
    <row r="217" s="3" customFormat="1" ht="11.5" customHeight="1" x14ac:dyDescent="0.25"/>
    <row r="218" s="3" customFormat="1" ht="11.5" customHeight="1" x14ac:dyDescent="0.25"/>
    <row r="219" s="3" customFormat="1" ht="11.5" customHeight="1" x14ac:dyDescent="0.25"/>
    <row r="220" s="3" customFormat="1" ht="11.5" customHeight="1" x14ac:dyDescent="0.25"/>
    <row r="221" s="3" customFormat="1" ht="11.5" customHeight="1" x14ac:dyDescent="0.25"/>
    <row r="222" s="3" customFormat="1" ht="11.5" customHeight="1" x14ac:dyDescent="0.25"/>
    <row r="223" s="3" customFormat="1" ht="11.5" customHeight="1" x14ac:dyDescent="0.25"/>
    <row r="224" s="3" customFormat="1" ht="11.5" customHeight="1" x14ac:dyDescent="0.25"/>
    <row r="225" s="3" customFormat="1" ht="11.5" customHeight="1" x14ac:dyDescent="0.25"/>
    <row r="226" s="3" customFormat="1" ht="11.5" customHeight="1" x14ac:dyDescent="0.25"/>
    <row r="227" s="3" customFormat="1" ht="11.5" customHeight="1" x14ac:dyDescent="0.25"/>
    <row r="228" s="3" customFormat="1" ht="11.5" customHeight="1" x14ac:dyDescent="0.25"/>
    <row r="229" s="3" customFormat="1" ht="11.5" customHeight="1" x14ac:dyDescent="0.25"/>
    <row r="230" s="3" customFormat="1" ht="11.5" customHeight="1" x14ac:dyDescent="0.25"/>
    <row r="231" s="3" customFormat="1" ht="11.5" customHeight="1" x14ac:dyDescent="0.25"/>
    <row r="232" s="3" customFormat="1" ht="11.5" customHeight="1" x14ac:dyDescent="0.25"/>
    <row r="233" s="3" customFormat="1" ht="11.5" customHeight="1" x14ac:dyDescent="0.25"/>
    <row r="234" s="3" customFormat="1" ht="11.5" customHeight="1" x14ac:dyDescent="0.25"/>
    <row r="235" s="3" customFormat="1" ht="11.5" customHeight="1" x14ac:dyDescent="0.25"/>
    <row r="236" s="3" customFormat="1" ht="11.5" customHeight="1" x14ac:dyDescent="0.25"/>
    <row r="237" s="3" customFormat="1" ht="11.5" customHeight="1" x14ac:dyDescent="0.25"/>
    <row r="238" s="3" customFormat="1" ht="11.5" customHeight="1" x14ac:dyDescent="0.25"/>
    <row r="239" s="3" customFormat="1" ht="11.5" customHeight="1" x14ac:dyDescent="0.25"/>
    <row r="240" s="3" customFormat="1" ht="11.5" customHeight="1" x14ac:dyDescent="0.25"/>
    <row r="241" s="3" customFormat="1" ht="11.5" customHeight="1" x14ac:dyDescent="0.25"/>
    <row r="242" s="3" customFormat="1" ht="11.5" customHeight="1" x14ac:dyDescent="0.25"/>
    <row r="243" s="3" customFormat="1" ht="11.5" customHeight="1" x14ac:dyDescent="0.25"/>
    <row r="244" s="3" customFormat="1" ht="11.5" customHeight="1" x14ac:dyDescent="0.25"/>
    <row r="245" s="3" customFormat="1" ht="11.5" customHeight="1" x14ac:dyDescent="0.25"/>
    <row r="246" s="3" customFormat="1" ht="11.5" customHeight="1" x14ac:dyDescent="0.25"/>
    <row r="247" s="3" customFormat="1" ht="11.5" customHeight="1" x14ac:dyDescent="0.25"/>
    <row r="248" s="3" customFormat="1" ht="11.5" customHeight="1" x14ac:dyDescent="0.25"/>
    <row r="249" s="3" customFormat="1" ht="11.5" customHeight="1" x14ac:dyDescent="0.25"/>
    <row r="250" s="3" customFormat="1" ht="11.5" customHeight="1" x14ac:dyDescent="0.25"/>
    <row r="251" s="3" customFormat="1" ht="11.5" customHeight="1" x14ac:dyDescent="0.25"/>
    <row r="252" s="3" customFormat="1" ht="11.5" customHeight="1" x14ac:dyDescent="0.25"/>
    <row r="253" s="3" customFormat="1" ht="11.5" customHeight="1" x14ac:dyDescent="0.25"/>
    <row r="254" s="3" customFormat="1" ht="11.5" customHeight="1" x14ac:dyDescent="0.25"/>
    <row r="255" s="3" customFormat="1" ht="11.5" customHeight="1" x14ac:dyDescent="0.25"/>
    <row r="256" s="3" customFormat="1" ht="11.5" customHeight="1" x14ac:dyDescent="0.25"/>
    <row r="257" s="3" customFormat="1" ht="11.5" customHeight="1" x14ac:dyDescent="0.25"/>
    <row r="258" s="3" customFormat="1" ht="11.5" customHeight="1" x14ac:dyDescent="0.25"/>
    <row r="259" s="3" customFormat="1" ht="11.5" customHeight="1" x14ac:dyDescent="0.25"/>
    <row r="260" s="3" customFormat="1" ht="11.5" customHeight="1" x14ac:dyDescent="0.25"/>
    <row r="261" s="3" customFormat="1" ht="11.5" customHeight="1" x14ac:dyDescent="0.25"/>
    <row r="262" s="3" customFormat="1" ht="11.5" customHeight="1" x14ac:dyDescent="0.25"/>
    <row r="263" s="3" customFormat="1" ht="11.5" customHeight="1" x14ac:dyDescent="0.25"/>
    <row r="264" s="3" customFormat="1" ht="11.5" customHeight="1" x14ac:dyDescent="0.25"/>
    <row r="265" s="3" customFormat="1" ht="11.5" customHeight="1" x14ac:dyDescent="0.25"/>
    <row r="266" s="3" customFormat="1" ht="11.5" customHeight="1" x14ac:dyDescent="0.25"/>
    <row r="267" s="3" customFormat="1" ht="11.5" customHeight="1" x14ac:dyDescent="0.25"/>
    <row r="268" s="3" customFormat="1" ht="11.5" customHeight="1" x14ac:dyDescent="0.25"/>
    <row r="269" s="3" customFormat="1" ht="11.5" customHeight="1" x14ac:dyDescent="0.25"/>
    <row r="270" s="3" customFormat="1" ht="11.5" customHeight="1" x14ac:dyDescent="0.25"/>
    <row r="271" s="3" customFormat="1" ht="11.5" customHeight="1" x14ac:dyDescent="0.25"/>
    <row r="272" s="3" customFormat="1" ht="11.5" customHeight="1" x14ac:dyDescent="0.25"/>
    <row r="273" s="3" customFormat="1" ht="11.5" customHeight="1" x14ac:dyDescent="0.25"/>
    <row r="274" s="3" customFormat="1" ht="11.5" customHeight="1" x14ac:dyDescent="0.25"/>
    <row r="275" s="3" customFormat="1" ht="11.5" customHeight="1" x14ac:dyDescent="0.25"/>
    <row r="276" s="3" customFormat="1" ht="11.5" customHeight="1" x14ac:dyDescent="0.25"/>
    <row r="277" s="3" customFormat="1" ht="11.5" customHeight="1" x14ac:dyDescent="0.25"/>
    <row r="278" s="3" customFormat="1" ht="11.5" customHeight="1" x14ac:dyDescent="0.25"/>
    <row r="279" s="3" customFormat="1" ht="11.5" customHeight="1" x14ac:dyDescent="0.25"/>
    <row r="280" s="3" customFormat="1" ht="11.5" customHeight="1" x14ac:dyDescent="0.25"/>
    <row r="281" s="3" customFormat="1" ht="11.5" customHeight="1" x14ac:dyDescent="0.25"/>
    <row r="282" s="3" customFormat="1" ht="11.5" customHeight="1" x14ac:dyDescent="0.25"/>
    <row r="283" s="3" customFormat="1" ht="11.5" customHeight="1" x14ac:dyDescent="0.25"/>
  </sheetData>
  <mergeCells count="27">
    <mergeCell ref="B28:C28"/>
    <mergeCell ref="B25:C25"/>
    <mergeCell ref="B26:C26"/>
    <mergeCell ref="B27:C27"/>
    <mergeCell ref="F15:I15"/>
    <mergeCell ref="F16:I16"/>
    <mergeCell ref="F17:I17"/>
    <mergeCell ref="F18:I18"/>
    <mergeCell ref="F19:I19"/>
    <mergeCell ref="F20:I20"/>
    <mergeCell ref="F21:I21"/>
    <mergeCell ref="B1:E3"/>
    <mergeCell ref="D8:F8"/>
    <mergeCell ref="D4:E4"/>
    <mergeCell ref="F1:F3"/>
    <mergeCell ref="D5:E5"/>
    <mergeCell ref="D6:E6"/>
    <mergeCell ref="F5:F6"/>
    <mergeCell ref="G1:G3"/>
    <mergeCell ref="H1:H3"/>
    <mergeCell ref="H4:H6"/>
    <mergeCell ref="A14:J14"/>
    <mergeCell ref="A10:B10"/>
    <mergeCell ref="A4:B4"/>
    <mergeCell ref="A5:B5"/>
    <mergeCell ref="A6:B6"/>
    <mergeCell ref="A11:B11"/>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1F583C-FCDD-48EF-9C22-C840335CB063}">
  <ds:schemaRefs>
    <ds:schemaRef ds:uri="http://www.w3.org/XML/1998/namespace"/>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34ee3107-70dc-453a-a16e-f74f81b26f76"/>
    <ds:schemaRef ds:uri="http://schemas.microsoft.com/office/2006/documentManagement/types"/>
    <ds:schemaRef ds:uri="http://schemas.microsoft.com/office/infopath/2007/PartnerControls"/>
    <ds:schemaRef ds:uri="89f6414c-e077-4637-b2ed-e2b01bd12c93"/>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6E6258-13FD-44CE-9AF5-795277BB85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Musab Ali Daqa</cp:lastModifiedBy>
  <cp:lastPrinted>2009-07-14T06:07:32Z</cp:lastPrinted>
  <dcterms:created xsi:type="dcterms:W3CDTF">1996-10-14T23:33:28Z</dcterms:created>
  <dcterms:modified xsi:type="dcterms:W3CDTF">2023-10-21T19:37:18Z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