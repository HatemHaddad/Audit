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13\WP_13\"/>
    </mc:Choice>
  </mc:AlternateContent>
  <xr:revisionPtr revIDLastSave="0" documentId="13_ncr:1_{7B6AD841-DD63-47D3-A32E-782515333C9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2" sheetId="1" r:id="rId1"/>
    <sheet name="2023 january" sheetId="3" r:id="rId2"/>
    <sheet name="202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E10" i="3"/>
</calcChain>
</file>

<file path=xl/sharedStrings.xml><?xml version="1.0" encoding="utf-8"?>
<sst xmlns="http://schemas.openxmlformats.org/spreadsheetml/2006/main" count="154" uniqueCount="79">
  <si>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</si>
  <si>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</si>
  <si>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</si>
  <si>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</si>
  <si>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</si>
  <si>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</si>
  <si>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</si>
  <si>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</si>
  <si>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</si>
  <si>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</si>
  <si>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</si>
  <si>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</si>
  <si>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</si>
  <si>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</si>
  <si>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</si>
  <si>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8471010</t>
  </si>
  <si>
    <t>KUST - Continuing Education Office</t>
  </si>
  <si>
    <t>425100</t>
  </si>
  <si>
    <t>Advertising Services (General)</t>
  </si>
  <si>
    <t>847.8471010.1.425100.000000.847001.200179</t>
  </si>
  <si>
    <t>425510</t>
  </si>
  <si>
    <t>Conferences, seminars and exhibitions and other events: - Local Events</t>
  </si>
  <si>
    <t>847.8471010.1.425510.000000.847001.200179</t>
  </si>
  <si>
    <t>425550</t>
  </si>
  <si>
    <t>Conferences, seminars and exhibitions and other events: - Overseas event</t>
  </si>
  <si>
    <t>847.8471010.1.425550.000000.847001.200179</t>
  </si>
  <si>
    <t>425720</t>
  </si>
  <si>
    <t>Education-Outsourced training service</t>
  </si>
  <si>
    <t>847.8471010.1.425720.000000.847001.200179</t>
  </si>
  <si>
    <t>425900</t>
  </si>
  <si>
    <t>Entertainment and hospitality</t>
  </si>
  <si>
    <t>847.8471010.1.425900.000000.847001.200179</t>
  </si>
  <si>
    <t>436110</t>
  </si>
  <si>
    <t>Printing supplies</t>
  </si>
  <si>
    <t>847.8471010.1.436110.000000.847001.200179</t>
  </si>
  <si>
    <t>436120</t>
  </si>
  <si>
    <t>Stationery</t>
  </si>
  <si>
    <t>847.8471010.1.436120.000000.847001.200179</t>
  </si>
  <si>
    <t>8471010 Total</t>
  </si>
  <si>
    <t>Grand Total</t>
  </si>
  <si>
    <t>8471280</t>
  </si>
  <si>
    <t>KUST - Center for Teaching &amp; Learning</t>
  </si>
  <si>
    <t>847.8471280.1.425100.000000.847001.200179</t>
  </si>
  <si>
    <t>847.8471280.1.425510.000000.847001.200179</t>
  </si>
  <si>
    <t>847.8471280.1.425550.000000.847001.200179</t>
  </si>
  <si>
    <t>425710</t>
  </si>
  <si>
    <t>Higher education and specialisation incentives</t>
  </si>
  <si>
    <t>847.8471280.1.425710.000000.847001.200179</t>
  </si>
  <si>
    <t>847.8471280.1.425720.000000.847001.200179</t>
  </si>
  <si>
    <t>425760</t>
  </si>
  <si>
    <t>Student activities &amp; field trip expenses</t>
  </si>
  <si>
    <t>847.8471280.1.425760.000000.847001.200179</t>
  </si>
  <si>
    <t>425770</t>
  </si>
  <si>
    <t>Academic Missions - Combined expenses</t>
  </si>
  <si>
    <t>847.8471280.1.425770.000000.847001.200179</t>
  </si>
  <si>
    <t>847.8471280.1.425900.000000.847001.200179</t>
  </si>
  <si>
    <t>426610</t>
  </si>
  <si>
    <t>Computer software licenses-Software License Renewal</t>
  </si>
  <si>
    <t>847.8471280.1.426610.000000.847001.200179</t>
  </si>
  <si>
    <t>427710</t>
  </si>
  <si>
    <t>Subscriptions and membership fees: Trade organisations</t>
  </si>
  <si>
    <t>847.8471280.1.427710.000000.847001.200179</t>
  </si>
  <si>
    <t>428640</t>
  </si>
  <si>
    <t>Events - Awards, prizes &amp; gifts</t>
  </si>
  <si>
    <t>847.8471280.1.428640.000000.847001.200179</t>
  </si>
  <si>
    <t>435340</t>
  </si>
  <si>
    <t>Text books and library books</t>
  </si>
  <si>
    <t>847.8471280.1.435340.000000.847001.200179</t>
  </si>
  <si>
    <t>435530</t>
  </si>
  <si>
    <t>School consumables, not specifically mentioned elsewhere</t>
  </si>
  <si>
    <t>847.8471280.1.435530.000000.847001.200179</t>
  </si>
  <si>
    <t>847.8471280.1.436110.000000.847001.200179</t>
  </si>
  <si>
    <t>8471280 Total</t>
  </si>
  <si>
    <t>Funds Available ( AED ): Account</t>
  </si>
  <si>
    <t>Funds Available ( AED ): Budget</t>
  </si>
  <si>
    <t>Funds Available ( AED ): Encumbrance</t>
  </si>
  <si>
    <t>Funds Available ( AED ): Actual</t>
  </si>
  <si>
    <t>Funds Available ( AED ): Funds Available</t>
  </si>
  <si>
    <t>847.8471010.1.428640.000000.847001.200179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</si>
</sst>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3" fontId="2" fillId="3" borderId="3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workbookViewId="0">
      <selection activeCell="F22" sqref="F22"/>
    </sheetView>
  </sheetViews>
  <sheetFormatPr defaultRowHeight="15" x14ac:dyDescent="0.25"/>
  <cols>
    <col min="1" max="1" width="24" style="17" customWidth="1"/>
    <col min="2" max="2" width="7.28515625" style="17" customWidth="1"/>
    <col min="3" max="3" width="24" style="17" customWidth="1"/>
    <col min="4" max="4" width="6.85546875" style="17" customWidth="1"/>
    <col min="5" max="5" width="52.85546875" style="17" customWidth="1"/>
    <col min="6" max="6" width="33.5703125" style="17" customWidth="1"/>
    <col min="7" max="9" width="6.85546875" style="17" customWidth="1"/>
    <col min="10" max="11" width="6.42578125" style="17" customWidth="1"/>
    <col min="12" max="12" width="7.5703125" style="17" customWidth="1"/>
    <col min="13" max="13" width="0.7109375" style="17" customWidth="1"/>
    <col min="14" max="16384" width="9.140625" style="17"/>
  </cols>
  <sheetData>
    <row r="1" spans="1:12" x14ac:dyDescent="0.25">
      <c r="A1" s="16" t="s">
        <v>0</v>
      </c>
    </row>
    <row r="2" spans="1:12" x14ac:dyDescent="0.25">
      <c r="A2" s="18" t="s">
        <v>1</v>
      </c>
    </row>
    <row r="3" spans="1:12" ht="33.75" x14ac:dyDescent="0.25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12</v>
      </c>
      <c r="L3" s="19" t="s">
        <v>13</v>
      </c>
    </row>
    <row r="4" spans="1:12" ht="22.5" x14ac:dyDescent="0.25">
      <c r="A4" s="20" t="s">
        <v>14</v>
      </c>
      <c r="B4" s="21" t="s">
        <v>15</v>
      </c>
      <c r="C4" s="21" t="s">
        <v>16</v>
      </c>
      <c r="D4" s="21" t="s">
        <v>17</v>
      </c>
      <c r="E4" s="21" t="s">
        <v>18</v>
      </c>
      <c r="F4" s="21" t="s">
        <v>19</v>
      </c>
      <c r="G4" s="22">
        <v>107500</v>
      </c>
      <c r="H4" s="22">
        <v>107500</v>
      </c>
      <c r="I4" s="22">
        <v>105000</v>
      </c>
      <c r="J4" s="22">
        <v>0</v>
      </c>
      <c r="K4" s="22">
        <v>0</v>
      </c>
      <c r="L4" s="22">
        <v>2500</v>
      </c>
    </row>
    <row r="5" spans="1:12" ht="22.5" x14ac:dyDescent="0.25">
      <c r="A5" s="23"/>
      <c r="B5" s="21" t="s">
        <v>15</v>
      </c>
      <c r="C5" s="21" t="s">
        <v>16</v>
      </c>
      <c r="D5" s="21" t="s">
        <v>20</v>
      </c>
      <c r="E5" s="21" t="s">
        <v>21</v>
      </c>
      <c r="F5" s="21" t="s">
        <v>22</v>
      </c>
      <c r="G5" s="22">
        <v>100000</v>
      </c>
      <c r="H5" s="22">
        <v>37700</v>
      </c>
      <c r="I5" s="22">
        <v>5876.8</v>
      </c>
      <c r="J5" s="24"/>
      <c r="K5" s="24"/>
      <c r="L5" s="22">
        <v>31823.200000000001</v>
      </c>
    </row>
    <row r="6" spans="1:12" ht="22.5" x14ac:dyDescent="0.25">
      <c r="A6" s="23"/>
      <c r="B6" s="21" t="s">
        <v>15</v>
      </c>
      <c r="C6" s="21" t="s">
        <v>16</v>
      </c>
      <c r="D6" s="21" t="s">
        <v>23</v>
      </c>
      <c r="E6" s="21" t="s">
        <v>24</v>
      </c>
      <c r="F6" s="21" t="s">
        <v>25</v>
      </c>
      <c r="G6" s="22">
        <v>0</v>
      </c>
      <c r="H6" s="22">
        <v>6000</v>
      </c>
      <c r="I6" s="24"/>
      <c r="J6" s="24"/>
      <c r="K6" s="24"/>
      <c r="L6" s="22">
        <v>6000</v>
      </c>
    </row>
    <row r="7" spans="1:12" ht="22.5" x14ac:dyDescent="0.25">
      <c r="A7" s="23"/>
      <c r="B7" s="21" t="s">
        <v>15</v>
      </c>
      <c r="C7" s="21" t="s">
        <v>16</v>
      </c>
      <c r="D7" s="21" t="s">
        <v>26</v>
      </c>
      <c r="E7" s="21" t="s">
        <v>27</v>
      </c>
      <c r="F7" s="21" t="s">
        <v>28</v>
      </c>
      <c r="G7" s="22">
        <v>76120</v>
      </c>
      <c r="H7" s="22">
        <v>96120</v>
      </c>
      <c r="I7" s="22">
        <v>88576</v>
      </c>
      <c r="J7" s="24"/>
      <c r="K7" s="24"/>
      <c r="L7" s="22">
        <v>7544</v>
      </c>
    </row>
    <row r="8" spans="1:12" ht="22.5" x14ac:dyDescent="0.25">
      <c r="A8" s="23"/>
      <c r="B8" s="21" t="s">
        <v>15</v>
      </c>
      <c r="C8" s="21" t="s">
        <v>16</v>
      </c>
      <c r="D8" s="21" t="s">
        <v>29</v>
      </c>
      <c r="E8" s="21" t="s">
        <v>30</v>
      </c>
      <c r="F8" s="21" t="s">
        <v>31</v>
      </c>
      <c r="G8" s="22">
        <v>162500</v>
      </c>
      <c r="H8" s="22">
        <v>22891</v>
      </c>
      <c r="I8" s="22">
        <v>16590</v>
      </c>
      <c r="J8" s="24"/>
      <c r="K8" s="24"/>
      <c r="L8" s="22">
        <v>6301</v>
      </c>
    </row>
    <row r="9" spans="1:12" ht="22.5" x14ac:dyDescent="0.25">
      <c r="A9" s="23"/>
      <c r="B9" s="21" t="s">
        <v>15</v>
      </c>
      <c r="C9" s="21" t="s">
        <v>16</v>
      </c>
      <c r="D9" s="21" t="s">
        <v>32</v>
      </c>
      <c r="E9" s="21" t="s">
        <v>33</v>
      </c>
      <c r="F9" s="21" t="s">
        <v>34</v>
      </c>
      <c r="G9" s="22">
        <v>50625</v>
      </c>
      <c r="H9" s="22">
        <v>7625</v>
      </c>
      <c r="I9" s="22">
        <v>7081.52</v>
      </c>
      <c r="J9" s="24"/>
      <c r="K9" s="24"/>
      <c r="L9" s="22">
        <v>543.48</v>
      </c>
    </row>
    <row r="10" spans="1:12" ht="22.5" x14ac:dyDescent="0.25">
      <c r="A10" s="23"/>
      <c r="B10" s="21" t="s">
        <v>15</v>
      </c>
      <c r="C10" s="21" t="s">
        <v>16</v>
      </c>
      <c r="D10" s="21" t="s">
        <v>35</v>
      </c>
      <c r="E10" s="21" t="s">
        <v>36</v>
      </c>
      <c r="F10" s="21" t="s">
        <v>37</v>
      </c>
      <c r="G10" s="22">
        <v>5625</v>
      </c>
      <c r="H10" s="22">
        <v>5625</v>
      </c>
      <c r="I10" s="24"/>
      <c r="J10" s="24"/>
      <c r="K10" s="24"/>
      <c r="L10" s="22">
        <v>5625</v>
      </c>
    </row>
    <row r="11" spans="1:12" ht="22.5" x14ac:dyDescent="0.25">
      <c r="A11" s="25"/>
      <c r="B11" s="26" t="s">
        <v>38</v>
      </c>
      <c r="C11" s="27"/>
      <c r="D11" s="27"/>
      <c r="E11" s="27"/>
      <c r="F11" s="27"/>
      <c r="G11" s="28">
        <v>502370</v>
      </c>
      <c r="H11" s="28">
        <v>283461</v>
      </c>
      <c r="I11" s="28">
        <v>223124.32</v>
      </c>
      <c r="J11" s="28">
        <v>0</v>
      </c>
      <c r="K11" s="28">
        <v>0</v>
      </c>
      <c r="L11" s="28">
        <v>60336.68</v>
      </c>
    </row>
    <row r="12" spans="1:12" x14ac:dyDescent="0.25">
      <c r="A12" s="29" t="s">
        <v>39</v>
      </c>
      <c r="B12" s="30"/>
      <c r="C12" s="30"/>
      <c r="D12" s="30"/>
      <c r="E12" s="30"/>
      <c r="F12" s="30"/>
      <c r="G12" s="31">
        <v>502370</v>
      </c>
      <c r="H12" s="31">
        <v>283461</v>
      </c>
      <c r="I12" s="31">
        <v>223124.32</v>
      </c>
      <c r="J12" s="31">
        <v>0</v>
      </c>
      <c r="K12" s="31">
        <v>0</v>
      </c>
      <c r="L12" s="31">
        <v>60336.68</v>
      </c>
    </row>
    <row r="13" spans="1:12" x14ac:dyDescent="0.25">
      <c r="A13" s="18" t="s">
        <v>1</v>
      </c>
    </row>
  </sheetData>
  <mergeCells count="1">
    <mergeCell ref="A4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10" sqref="B10"/>
    </sheetView>
  </sheetViews>
  <sheetFormatPr defaultRowHeight="15" x14ac:dyDescent="0.25"/>
  <cols>
    <col min="1" max="1" width="40.42578125" bestFit="1" customWidth="1"/>
    <col min="2" max="2" width="29.140625" bestFit="1" customWidth="1"/>
    <col min="3" max="3" width="35" bestFit="1" customWidth="1"/>
    <col min="4" max="4" width="28.42578125" bestFit="1" customWidth="1"/>
    <col min="5" max="5" width="37.140625" bestFit="1" customWidth="1"/>
  </cols>
  <sheetData>
    <row r="1" spans="1:5" x14ac:dyDescent="0.25">
      <c r="A1" s="32" t="s">
        <v>73</v>
      </c>
      <c r="B1" s="32" t="s">
        <v>74</v>
      </c>
      <c r="C1" s="32" t="s">
        <v>75</v>
      </c>
      <c r="D1" s="32" t="s">
        <v>76</v>
      </c>
      <c r="E1" s="32" t="s">
        <v>77</v>
      </c>
    </row>
    <row r="2" spans="1:5" x14ac:dyDescent="0.25">
      <c r="A2" s="32" t="s">
        <v>19</v>
      </c>
      <c r="B2" s="32">
        <v>90000</v>
      </c>
      <c r="C2" s="32">
        <v>0</v>
      </c>
      <c r="D2" s="32">
        <v>0</v>
      </c>
      <c r="E2" s="32">
        <v>90000</v>
      </c>
    </row>
    <row r="3" spans="1:5" x14ac:dyDescent="0.25">
      <c r="A3" s="32" t="s">
        <v>22</v>
      </c>
      <c r="B3" s="32">
        <v>5877</v>
      </c>
      <c r="C3" s="32">
        <v>0</v>
      </c>
      <c r="D3" s="32">
        <v>0</v>
      </c>
      <c r="E3" s="32">
        <v>5877</v>
      </c>
    </row>
    <row r="4" spans="1:5" x14ac:dyDescent="0.25">
      <c r="A4" s="32" t="s">
        <v>25</v>
      </c>
      <c r="B4" s="32">
        <v>0</v>
      </c>
      <c r="C4" s="32">
        <v>0</v>
      </c>
      <c r="D4" s="32">
        <v>0</v>
      </c>
      <c r="E4" s="32">
        <v>0</v>
      </c>
    </row>
    <row r="5" spans="1:5" x14ac:dyDescent="0.25">
      <c r="A5" s="32" t="s">
        <v>28</v>
      </c>
      <c r="B5" s="32">
        <v>35396</v>
      </c>
      <c r="C5" s="32">
        <v>0</v>
      </c>
      <c r="D5" s="32">
        <v>0</v>
      </c>
      <c r="E5" s="32">
        <v>35396</v>
      </c>
    </row>
    <row r="6" spans="1:5" x14ac:dyDescent="0.25">
      <c r="A6" s="32" t="s">
        <v>31</v>
      </c>
      <c r="B6" s="32">
        <v>14586</v>
      </c>
      <c r="C6" s="32">
        <v>0</v>
      </c>
      <c r="D6" s="32">
        <v>0</v>
      </c>
      <c r="E6" s="32">
        <v>14586</v>
      </c>
    </row>
    <row r="7" spans="1:5" x14ac:dyDescent="0.25">
      <c r="A7" s="32" t="s">
        <v>78</v>
      </c>
      <c r="B7" s="32">
        <v>0</v>
      </c>
      <c r="C7" s="32">
        <v>0</v>
      </c>
      <c r="D7" s="32">
        <v>0</v>
      </c>
      <c r="E7" s="32">
        <v>0</v>
      </c>
    </row>
    <row r="8" spans="1:5" x14ac:dyDescent="0.25">
      <c r="A8" s="32" t="s">
        <v>34</v>
      </c>
      <c r="B8" s="32">
        <v>6200</v>
      </c>
      <c r="C8" s="32">
        <v>0</v>
      </c>
      <c r="D8" s="32">
        <v>0</v>
      </c>
      <c r="E8" s="32">
        <v>6200</v>
      </c>
    </row>
    <row r="9" spans="1:5" x14ac:dyDescent="0.25">
      <c r="A9" s="32" t="s">
        <v>37</v>
      </c>
      <c r="B9" s="32">
        <v>0</v>
      </c>
      <c r="C9" s="32">
        <v>0</v>
      </c>
      <c r="D9" s="32">
        <v>0</v>
      </c>
      <c r="E9" s="32">
        <v>0</v>
      </c>
    </row>
    <row r="10" spans="1:5" x14ac:dyDescent="0.25">
      <c r="B10">
        <f>SUM(B2:B9)</f>
        <v>152059</v>
      </c>
      <c r="E10">
        <f>SUM(E2:E9)</f>
        <v>152059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tabSelected="1" workbookViewId="0">
      <selection activeCell="F14" sqref="F14"/>
    </sheetView>
  </sheetViews>
  <sheetFormatPr defaultRowHeight="15" x14ac:dyDescent="0.25"/>
  <cols>
    <col min="1" max="1" width="24" customWidth="1"/>
    <col min="2" max="2" width="7.28515625" customWidth="1"/>
    <col min="3" max="3" width="43" customWidth="1"/>
    <col min="4" max="4" width="6.85546875" customWidth="1"/>
    <col min="5" max="5" width="50.7109375" customWidth="1"/>
    <col min="6" max="6" width="33.5703125" customWidth="1"/>
    <col min="7" max="7" width="6.85546875" customWidth="1"/>
    <col min="8" max="8" width="8.140625" customWidth="1"/>
    <col min="9" max="9" width="6.85546875" customWidth="1"/>
    <col min="10" max="11" width="6" customWidth="1"/>
    <col min="12" max="12" width="8.1406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2.5" x14ac:dyDescent="0.25">
      <c r="A4" s="13" t="s">
        <v>14</v>
      </c>
      <c r="B4" s="4" t="s">
        <v>40</v>
      </c>
      <c r="C4" s="4" t="s">
        <v>41</v>
      </c>
      <c r="D4" s="4" t="s">
        <v>17</v>
      </c>
      <c r="E4" s="4" t="s">
        <v>18</v>
      </c>
      <c r="F4" s="4" t="s">
        <v>42</v>
      </c>
      <c r="G4" s="5">
        <v>0</v>
      </c>
      <c r="H4" s="5">
        <v>110000</v>
      </c>
      <c r="I4" s="6"/>
      <c r="J4" s="6"/>
      <c r="K4" s="6"/>
      <c r="L4" s="5">
        <v>110000</v>
      </c>
    </row>
    <row r="5" spans="1:12" ht="22.5" x14ac:dyDescent="0.25">
      <c r="A5" s="14"/>
      <c r="B5" s="4" t="s">
        <v>40</v>
      </c>
      <c r="C5" s="4" t="s">
        <v>41</v>
      </c>
      <c r="D5" s="4" t="s">
        <v>20</v>
      </c>
      <c r="E5" s="4" t="s">
        <v>21</v>
      </c>
      <c r="F5" s="4" t="s">
        <v>43</v>
      </c>
      <c r="G5" s="5">
        <v>32760</v>
      </c>
      <c r="H5" s="5">
        <v>180637</v>
      </c>
      <c r="I5" s="5">
        <v>111565.58</v>
      </c>
      <c r="J5" s="5">
        <v>0</v>
      </c>
      <c r="K5" s="5">
        <v>0</v>
      </c>
      <c r="L5" s="5">
        <v>69071.42</v>
      </c>
    </row>
    <row r="6" spans="1:12" ht="22.5" x14ac:dyDescent="0.25">
      <c r="A6" s="14"/>
      <c r="B6" s="4" t="s">
        <v>40</v>
      </c>
      <c r="C6" s="4" t="s">
        <v>41</v>
      </c>
      <c r="D6" s="4" t="s">
        <v>23</v>
      </c>
      <c r="E6" s="4" t="s">
        <v>24</v>
      </c>
      <c r="F6" s="4" t="s">
        <v>44</v>
      </c>
      <c r="G6" s="5">
        <v>28417</v>
      </c>
      <c r="H6" s="5">
        <v>128417</v>
      </c>
      <c r="I6" s="5">
        <v>23267.09</v>
      </c>
      <c r="J6" s="6"/>
      <c r="K6" s="6"/>
      <c r="L6" s="5">
        <v>105149.91</v>
      </c>
    </row>
    <row r="7" spans="1:12" ht="22.5" x14ac:dyDescent="0.25">
      <c r="A7" s="14"/>
      <c r="B7" s="4" t="s">
        <v>40</v>
      </c>
      <c r="C7" s="4" t="s">
        <v>41</v>
      </c>
      <c r="D7" s="4" t="s">
        <v>45</v>
      </c>
      <c r="E7" s="4" t="s">
        <v>46</v>
      </c>
      <c r="F7" s="4" t="s">
        <v>47</v>
      </c>
      <c r="G7" s="5">
        <v>112500</v>
      </c>
      <c r="H7" s="5">
        <v>112500</v>
      </c>
      <c r="I7" s="6"/>
      <c r="J7" s="6"/>
      <c r="K7" s="6"/>
      <c r="L7" s="5">
        <v>112500</v>
      </c>
    </row>
    <row r="8" spans="1:12" ht="22.5" x14ac:dyDescent="0.25">
      <c r="A8" s="14"/>
      <c r="B8" s="4" t="s">
        <v>40</v>
      </c>
      <c r="C8" s="4" t="s">
        <v>41</v>
      </c>
      <c r="D8" s="4" t="s">
        <v>26</v>
      </c>
      <c r="E8" s="4" t="s">
        <v>27</v>
      </c>
      <c r="F8" s="4" t="s">
        <v>48</v>
      </c>
      <c r="G8" s="5">
        <v>0</v>
      </c>
      <c r="H8" s="5">
        <v>664480</v>
      </c>
      <c r="I8" s="5">
        <v>247297.5</v>
      </c>
      <c r="J8" s="5">
        <v>0</v>
      </c>
      <c r="K8" s="5">
        <v>0</v>
      </c>
      <c r="L8" s="5">
        <v>417182.5</v>
      </c>
    </row>
    <row r="9" spans="1:12" ht="22.5" x14ac:dyDescent="0.25">
      <c r="A9" s="14"/>
      <c r="B9" s="4" t="s">
        <v>40</v>
      </c>
      <c r="C9" s="4" t="s">
        <v>41</v>
      </c>
      <c r="D9" s="4" t="s">
        <v>49</v>
      </c>
      <c r="E9" s="4" t="s">
        <v>50</v>
      </c>
      <c r="F9" s="4" t="s">
        <v>51</v>
      </c>
      <c r="G9" s="5">
        <v>13140</v>
      </c>
      <c r="H9" s="5">
        <v>13140</v>
      </c>
      <c r="I9" s="5">
        <v>5131</v>
      </c>
      <c r="J9" s="6"/>
      <c r="K9" s="6"/>
      <c r="L9" s="5">
        <v>8009</v>
      </c>
    </row>
    <row r="10" spans="1:12" ht="22.5" x14ac:dyDescent="0.25">
      <c r="A10" s="14"/>
      <c r="B10" s="4" t="s">
        <v>40</v>
      </c>
      <c r="C10" s="4" t="s">
        <v>41</v>
      </c>
      <c r="D10" s="4" t="s">
        <v>52</v>
      </c>
      <c r="E10" s="4" t="s">
        <v>53</v>
      </c>
      <c r="F10" s="4" t="s">
        <v>54</v>
      </c>
      <c r="G10" s="5">
        <v>66000</v>
      </c>
      <c r="H10" s="5">
        <v>0</v>
      </c>
      <c r="I10" s="6"/>
      <c r="J10" s="6"/>
      <c r="K10" s="6"/>
      <c r="L10" s="5">
        <v>0</v>
      </c>
    </row>
    <row r="11" spans="1:12" ht="22.5" x14ac:dyDescent="0.25">
      <c r="A11" s="14"/>
      <c r="B11" s="4" t="s">
        <v>40</v>
      </c>
      <c r="C11" s="4" t="s">
        <v>41</v>
      </c>
      <c r="D11" s="4" t="s">
        <v>29</v>
      </c>
      <c r="E11" s="4" t="s">
        <v>30</v>
      </c>
      <c r="F11" s="4" t="s">
        <v>55</v>
      </c>
      <c r="G11" s="5">
        <v>0</v>
      </c>
      <c r="H11" s="5">
        <v>535844</v>
      </c>
      <c r="I11" s="5">
        <v>137727.25</v>
      </c>
      <c r="J11" s="6"/>
      <c r="K11" s="6"/>
      <c r="L11" s="5">
        <v>398116.75</v>
      </c>
    </row>
    <row r="12" spans="1:12" ht="22.5" x14ac:dyDescent="0.25">
      <c r="A12" s="14"/>
      <c r="B12" s="4" t="s">
        <v>40</v>
      </c>
      <c r="C12" s="4" t="s">
        <v>41</v>
      </c>
      <c r="D12" s="4" t="s">
        <v>56</v>
      </c>
      <c r="E12" s="4" t="s">
        <v>57</v>
      </c>
      <c r="F12" s="4" t="s">
        <v>58</v>
      </c>
      <c r="G12" s="5">
        <v>282200</v>
      </c>
      <c r="H12" s="5">
        <v>312200</v>
      </c>
      <c r="I12" s="5">
        <v>201236.45</v>
      </c>
      <c r="J12" s="5">
        <v>37700</v>
      </c>
      <c r="K12" s="5">
        <v>52152.93</v>
      </c>
      <c r="L12" s="5">
        <v>21110.62</v>
      </c>
    </row>
    <row r="13" spans="1:12" ht="22.5" x14ac:dyDescent="0.25">
      <c r="A13" s="14"/>
      <c r="B13" s="4" t="s">
        <v>40</v>
      </c>
      <c r="C13" s="4" t="s">
        <v>41</v>
      </c>
      <c r="D13" s="4" t="s">
        <v>59</v>
      </c>
      <c r="E13" s="4" t="s">
        <v>60</v>
      </c>
      <c r="F13" s="4" t="s">
        <v>61</v>
      </c>
      <c r="G13" s="5">
        <v>0</v>
      </c>
      <c r="H13" s="5">
        <v>5000</v>
      </c>
      <c r="I13" s="5">
        <v>1775.04</v>
      </c>
      <c r="J13" s="6"/>
      <c r="K13" s="6"/>
      <c r="L13" s="5">
        <v>3224.96</v>
      </c>
    </row>
    <row r="14" spans="1:12" ht="22.5" x14ac:dyDescent="0.25">
      <c r="A14" s="14"/>
      <c r="B14" s="4" t="s">
        <v>40</v>
      </c>
      <c r="C14" s="4" t="s">
        <v>41</v>
      </c>
      <c r="D14" s="4" t="s">
        <v>62</v>
      </c>
      <c r="E14" s="4" t="s">
        <v>63</v>
      </c>
      <c r="F14" s="4" t="s">
        <v>64</v>
      </c>
      <c r="G14" s="5">
        <v>0</v>
      </c>
      <c r="H14" s="5">
        <v>40000</v>
      </c>
      <c r="I14" s="5">
        <v>6250</v>
      </c>
      <c r="J14" s="5">
        <v>0</v>
      </c>
      <c r="K14" s="5">
        <v>31000</v>
      </c>
      <c r="L14" s="5">
        <v>2750</v>
      </c>
    </row>
    <row r="15" spans="1:12" ht="22.5" x14ac:dyDescent="0.25">
      <c r="A15" s="14"/>
      <c r="B15" s="4" t="s">
        <v>40</v>
      </c>
      <c r="C15" s="4" t="s">
        <v>41</v>
      </c>
      <c r="D15" s="4" t="s">
        <v>65</v>
      </c>
      <c r="E15" s="4" t="s">
        <v>66</v>
      </c>
      <c r="F15" s="4" t="s">
        <v>67</v>
      </c>
      <c r="G15" s="5">
        <v>0</v>
      </c>
      <c r="H15" s="5">
        <v>5539833</v>
      </c>
      <c r="I15" s="6"/>
      <c r="J15" s="5">
        <v>2</v>
      </c>
      <c r="K15" s="6"/>
      <c r="L15" s="5">
        <v>5539831</v>
      </c>
    </row>
    <row r="16" spans="1:12" ht="22.5" x14ac:dyDescent="0.25">
      <c r="A16" s="14"/>
      <c r="B16" s="4" t="s">
        <v>40</v>
      </c>
      <c r="C16" s="4" t="s">
        <v>41</v>
      </c>
      <c r="D16" s="4" t="s">
        <v>68</v>
      </c>
      <c r="E16" s="4" t="s">
        <v>69</v>
      </c>
      <c r="F16" s="4" t="s">
        <v>70</v>
      </c>
      <c r="G16" s="5">
        <v>763</v>
      </c>
      <c r="H16" s="5">
        <v>763</v>
      </c>
      <c r="I16" s="6"/>
      <c r="J16" s="6"/>
      <c r="K16" s="6"/>
      <c r="L16" s="5">
        <v>763</v>
      </c>
    </row>
    <row r="17" spans="1:12" ht="22.5" x14ac:dyDescent="0.25">
      <c r="A17" s="14"/>
      <c r="B17" s="4" t="s">
        <v>40</v>
      </c>
      <c r="C17" s="4" t="s">
        <v>41</v>
      </c>
      <c r="D17" s="4" t="s">
        <v>32</v>
      </c>
      <c r="E17" s="4" t="s">
        <v>33</v>
      </c>
      <c r="F17" s="4" t="s">
        <v>71</v>
      </c>
      <c r="G17" s="5">
        <v>0</v>
      </c>
      <c r="H17" s="5">
        <v>154200</v>
      </c>
      <c r="I17" s="5">
        <v>9300</v>
      </c>
      <c r="J17" s="5">
        <v>3400</v>
      </c>
      <c r="K17" s="5">
        <v>0</v>
      </c>
      <c r="L17" s="5">
        <v>141500</v>
      </c>
    </row>
    <row r="18" spans="1:12" ht="22.5" x14ac:dyDescent="0.25">
      <c r="A18" s="15"/>
      <c r="B18" s="7" t="s">
        <v>72</v>
      </c>
      <c r="C18" s="8"/>
      <c r="D18" s="8"/>
      <c r="E18" s="8"/>
      <c r="F18" s="8"/>
      <c r="G18" s="9">
        <v>535780</v>
      </c>
      <c r="H18" s="9">
        <v>7797014</v>
      </c>
      <c r="I18" s="9">
        <v>743549.91</v>
      </c>
      <c r="J18" s="9">
        <v>41102</v>
      </c>
      <c r="K18" s="9">
        <v>83152.929999999993</v>
      </c>
      <c r="L18" s="9">
        <v>6929209.1600000001</v>
      </c>
    </row>
    <row r="19" spans="1:12" x14ac:dyDescent="0.25">
      <c r="A19" s="10" t="s">
        <v>39</v>
      </c>
      <c r="B19" s="11"/>
      <c r="C19" s="11"/>
      <c r="D19" s="11"/>
      <c r="E19" s="11"/>
      <c r="F19" s="11"/>
      <c r="G19" s="12">
        <v>535780</v>
      </c>
      <c r="H19" s="12">
        <v>7797014</v>
      </c>
      <c r="I19" s="12">
        <v>743549.91</v>
      </c>
      <c r="J19" s="12">
        <v>41102</v>
      </c>
      <c r="K19" s="12">
        <v>83152.929999999993</v>
      </c>
      <c r="L19" s="12">
        <v>6929209.1600000001</v>
      </c>
    </row>
    <row r="20" spans="1:12" x14ac:dyDescent="0.25">
      <c r="A20" s="2" t="s">
        <v>1</v>
      </c>
    </row>
  </sheetData>
  <mergeCells count="1">
    <mergeCell ref="A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 january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Musab Ali Daqa</cp:lastModifiedBy>
  <dcterms:created xsi:type="dcterms:W3CDTF">2023-09-25T09:57:23Z</dcterms:created>
  <dcterms:modified xsi:type="dcterms:W3CDTF">2023-10-18T09:01:29Z</dcterms:modified>
</cp:coreProperties>
</file>