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170" windowHeight="7020"/>
  </bookViews>
  <sheets>
    <sheet name="CE Budget" sheetId="5" r:id="rId1"/>
    <sheet name="Transactions" sheetId="4" r:id="rId2"/>
    <sheet name="CE " sheetId="2" r:id="rId3"/>
    <sheet name="Expected Revenue" sheetId="1" r:id="rId4"/>
  </sheets>
  <externalReferences>
    <externalReference r:id="rId5"/>
    <externalReference r:id="rId6"/>
  </externalReferences>
  <definedNames>
    <definedName name="_xlnm._FilterDatabase" localSheetId="1" hidden="1">Transactions!$A$1:$U$14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5" l="1"/>
  <c r="C3" i="5" l="1"/>
  <c r="E7" i="5"/>
  <c r="I3" i="5"/>
  <c r="J3" i="5" s="1"/>
  <c r="J7" i="5" s="1"/>
  <c r="C4" i="5"/>
  <c r="E4" i="5"/>
  <c r="G4" i="5"/>
  <c r="H4" i="5"/>
  <c r="I4" i="5"/>
  <c r="J4" i="5"/>
  <c r="C5" i="5"/>
  <c r="C7" i="5" s="1"/>
  <c r="I5" i="5"/>
  <c r="J5" i="5"/>
  <c r="C6" i="5"/>
  <c r="E6" i="5"/>
  <c r="I6" i="5"/>
  <c r="J6" i="5"/>
  <c r="D7" i="5"/>
  <c r="G7" i="5"/>
  <c r="H7" i="5"/>
  <c r="Q17" i="4"/>
  <c r="I7" i="5" l="1"/>
  <c r="G2" i="1"/>
  <c r="I7" i="2"/>
  <c r="Q15" i="4"/>
  <c r="E7" i="2"/>
  <c r="U2" i="4"/>
  <c r="U3" i="4"/>
  <c r="U4" i="4"/>
  <c r="U6" i="4"/>
  <c r="U7" i="4"/>
  <c r="U8" i="4"/>
  <c r="U9" i="4"/>
  <c r="U11" i="4"/>
  <c r="U12" i="4"/>
  <c r="U13" i="4"/>
  <c r="U14" i="4"/>
  <c r="I7" i="1" l="1"/>
  <c r="H5" i="1"/>
  <c r="I5" i="1" s="1"/>
  <c r="H7" i="1"/>
  <c r="G5" i="1"/>
  <c r="F5" i="1"/>
  <c r="F8" i="1" s="1"/>
  <c r="F9" i="1" s="1"/>
  <c r="I6" i="2" l="1"/>
  <c r="H2" i="1" l="1"/>
  <c r="I2" i="1" s="1"/>
  <c r="F6" i="1"/>
  <c r="E2" i="1"/>
  <c r="H8" i="1" l="1"/>
  <c r="H9" i="1" s="1"/>
  <c r="G8" i="1"/>
  <c r="I8" i="1" l="1"/>
  <c r="I9" i="1" s="1"/>
  <c r="G9" i="1"/>
  <c r="M6" i="2" l="1"/>
  <c r="O6" i="2" l="1"/>
  <c r="O7" i="2" s="1"/>
  <c r="N6" i="2"/>
  <c r="N7" i="2" l="1"/>
  <c r="K7" i="2"/>
  <c r="L7" i="2"/>
  <c r="J7" i="2"/>
  <c r="H7" i="2"/>
  <c r="G7" i="2"/>
  <c r="F7" i="2"/>
  <c r="D7" i="2"/>
  <c r="M7" i="2"/>
</calcChain>
</file>

<file path=xl/comments1.xml><?xml version="1.0" encoding="utf-8"?>
<comments xmlns="http://schemas.openxmlformats.org/spreadsheetml/2006/main">
  <authors>
    <author>Author</author>
  </authors>
  <commentList>
    <comment ref="L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Billing not started yet, but we expecting more than 3 M this year</t>
        </r>
      </text>
    </comment>
  </commentList>
</comments>
</file>

<file path=xl/sharedStrings.xml><?xml version="1.0" encoding="utf-8"?>
<sst xmlns="http://schemas.openxmlformats.org/spreadsheetml/2006/main" count="223" uniqueCount="117">
  <si>
    <t>رقم البند الحسابي</t>
  </si>
  <si>
    <t>البند الحسابي</t>
  </si>
  <si>
    <t xml:space="preserve">2020 Budget </t>
  </si>
  <si>
    <t>2020 Actuals</t>
  </si>
  <si>
    <t xml:space="preserve">2021 Budget </t>
  </si>
  <si>
    <t>2021 Actuals</t>
  </si>
  <si>
    <t xml:space="preserve">2022 budget </t>
  </si>
  <si>
    <t xml:space="preserve">2022 Actual </t>
  </si>
  <si>
    <t xml:space="preserve">2023 Budget </t>
  </si>
  <si>
    <t>2023 Actual up to Jun 2023</t>
  </si>
  <si>
    <t>367330</t>
  </si>
  <si>
    <t>Training - General</t>
  </si>
  <si>
    <t>Total</t>
  </si>
  <si>
    <t>Normalized 2023</t>
  </si>
  <si>
    <t>2025  5% growth</t>
  </si>
  <si>
    <t>2026  5% growth</t>
  </si>
  <si>
    <t>2024  Budget proposal (10% growth based on 2023 budget )</t>
  </si>
  <si>
    <t>2024-2026 Revenue Budget Estimation (AED million)</t>
  </si>
  <si>
    <t>Course Title</t>
  </si>
  <si>
    <t>S.N</t>
  </si>
  <si>
    <t>SEHA Clinical Research Program</t>
  </si>
  <si>
    <t>Chinese Oil Company</t>
  </si>
  <si>
    <t>Other Expected Courses</t>
  </si>
  <si>
    <t xml:space="preserve"> Courses Abu Dhabi Police</t>
  </si>
  <si>
    <t xml:space="preserve">SEHA Clinical Program </t>
  </si>
  <si>
    <t>1 year program</t>
  </si>
  <si>
    <t>Duration</t>
  </si>
  <si>
    <t>Courses Abu Dhabi Police</t>
  </si>
  <si>
    <t xml:space="preserve">Short Courses </t>
  </si>
  <si>
    <t xml:space="preserve">Program </t>
  </si>
  <si>
    <t>Cost Per students</t>
  </si>
  <si>
    <t>No. Students</t>
  </si>
  <si>
    <t>5 days</t>
  </si>
  <si>
    <t>4 days</t>
  </si>
  <si>
    <t>No. Courses</t>
  </si>
  <si>
    <t xml:space="preserve"> Amount per course</t>
  </si>
  <si>
    <t>Sub Total</t>
  </si>
  <si>
    <t xml:space="preserve">Total  </t>
  </si>
  <si>
    <t>Expected in 
2024 10%</t>
  </si>
  <si>
    <t xml:space="preserve">Expected in 
2023 </t>
  </si>
  <si>
    <t>2025  10% growth</t>
  </si>
  <si>
    <t>2026  10% growth</t>
  </si>
  <si>
    <t>2024  Budget proposal ( New Courses)</t>
  </si>
  <si>
    <t>Expected 2023 Revenue</t>
  </si>
  <si>
    <t>Expected in 
2025 10%</t>
  </si>
  <si>
    <t>Expected in 
2026 10%</t>
  </si>
  <si>
    <t>AED</t>
  </si>
  <si>
    <t>847.8471210.1.367330.000000.847001.000000</t>
  </si>
  <si>
    <t>Artificial Intelligence in Emergencies and Crises Course on October 26‐28, 2022--</t>
  </si>
  <si>
    <t>KUST Invoices</t>
  </si>
  <si>
    <t>INV</t>
  </si>
  <si>
    <t>KUST Manual - New</t>
  </si>
  <si>
    <t>‭101001467‬</t>
  </si>
  <si>
    <t>UAE17588784</t>
  </si>
  <si>
    <t>847-G5022</t>
  </si>
  <si>
    <t>National Emergency Crisis and Disasters Management</t>
  </si>
  <si>
    <t>KUST</t>
  </si>
  <si>
    <t>Advanced Electronics Course 31st October- 4th November 2022--</t>
  </si>
  <si>
    <t>‭101001456‬</t>
  </si>
  <si>
    <t>UAE18708157</t>
  </si>
  <si>
    <t>847-G6008</t>
  </si>
  <si>
    <t>Abu Dhabi Police GHQ</t>
  </si>
  <si>
    <t>Advanced Electronics Course Sep 19-23, 2022--</t>
  </si>
  <si>
    <t>‭101001385‬</t>
  </si>
  <si>
    <t>Roya Winter Program 2022 as per letter CEd1022/22 dated 20 Dec 2022--</t>
  </si>
  <si>
    <t>‭101001530‬</t>
  </si>
  <si>
    <t>P.O. Box : 898</t>
  </si>
  <si>
    <t>KUX-100035769</t>
  </si>
  <si>
    <t>Abu Dhabi National Oil Company</t>
  </si>
  <si>
    <t>Roya Program Summer 2 as per letter CEd1021/22 dated 7 Dec 2022; Training date: Jul 12 to Jul 28--</t>
  </si>
  <si>
    <t>‭101001490‬</t>
  </si>
  <si>
    <t>Roya Program Summer 1 as per letter CEd1021/22 dated 7 Dec 2022; Training date: Jul 1 to Aug 28--</t>
  </si>
  <si>
    <t>Professional Training Cost for the 4th Quarter of 2022 as per the operating agreement among Khalifa University, SEHA, and SSMC dated 1-Jan-2021---</t>
  </si>
  <si>
    <t>‭101001504‬</t>
  </si>
  <si>
    <t>UAE16900701</t>
  </si>
  <si>
    <t>847-G5017</t>
  </si>
  <si>
    <t>Abu Dhabi Health Services Co</t>
  </si>
  <si>
    <t>Charges for the Mubadala Summer Bootcamp 2022 held in Khalifa University on Aug 15 - 19, 2022-As per Collaboration Agreement MDC\2741866_2-</t>
  </si>
  <si>
    <t>‭101001341‬</t>
  </si>
  <si>
    <t>UAE18607229</t>
  </si>
  <si>
    <t>847-G6005</t>
  </si>
  <si>
    <t>CSR SPV 1 RSC LTD</t>
  </si>
  <si>
    <t>Roya Winter Program 2021 as per letter CEd1012/22 dated 19 Sep 2022--</t>
  </si>
  <si>
    <t>‭101001348‬</t>
  </si>
  <si>
    <t>USD</t>
  </si>
  <si>
    <t>2022 Summer Bridge Program Course: Mathematical Foundations for Computational Data Science conducted June 7- July 22, 2022; PO Reference 69756--</t>
  </si>
  <si>
    <t>‭101001309‬</t>
  </si>
  <si>
    <t>UAE17406733</t>
  </si>
  <si>
    <t>847-G6002</t>
  </si>
  <si>
    <t>Abu Dhabi Investment Authority</t>
  </si>
  <si>
    <t>2022 Summer Bridge Program Course: Python Foundation for Computational Data Science conducted June 6 - July 15, 2022; PO Reference 69755--</t>
  </si>
  <si>
    <t>Professional Training Cost for the 2nd Quarter of 2022 as per the operating agreement among Khalifa University, SEHA, and SSMC-for period 01-04-2022 TO 30-06-2022-</t>
  </si>
  <si>
    <t>‭101001244‬</t>
  </si>
  <si>
    <t>Professional Training Cost for the 1st Quarter of 2022 as per the operating agreement among Khalifa University, SEHA, and SSMC dated 1-Jan-2021--</t>
  </si>
  <si>
    <t>‭101001134‬</t>
  </si>
  <si>
    <t>Invoice amount including Tax (AED)</t>
  </si>
  <si>
    <t>Invoice amount including Tax</t>
  </si>
  <si>
    <t>GL Date</t>
  </si>
  <si>
    <t>Trx Date</t>
  </si>
  <si>
    <t>Dist. Amount in AED</t>
  </si>
  <si>
    <t>Dist. Amount in Invoice Currency</t>
  </si>
  <si>
    <t>Invoice Currency</t>
  </si>
  <si>
    <t>GL Account</t>
  </si>
  <si>
    <t>Line Description</t>
  </si>
  <si>
    <t>Trx Type</t>
  </si>
  <si>
    <t>Trx Class</t>
  </si>
  <si>
    <t>Trx Source</t>
  </si>
  <si>
    <t xml:space="preserve">Project </t>
  </si>
  <si>
    <t>Project Name</t>
  </si>
  <si>
    <t>Reference</t>
  </si>
  <si>
    <t>Document No.</t>
  </si>
  <si>
    <t>Invoice Number</t>
  </si>
  <si>
    <t>Location</t>
  </si>
  <si>
    <t>Customer Number</t>
  </si>
  <si>
    <t>Customer Name</t>
  </si>
  <si>
    <t>Ledger</t>
  </si>
  <si>
    <t xml:space="preserve">2022 Actuals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</si>
</sst>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0"/>
    <numFmt numFmtId="165" formatCode="_([$AED]\ * #,##0.00_);_([$AED]\ * \(#,##0.00\);_([$AED]\ 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333399"/>
      <name val="Calibri"/>
      <family val="2"/>
    </font>
    <font>
      <b/>
      <sz val="8"/>
      <color rgb="FFCC6600"/>
      <name val="Calibri"/>
      <family val="2"/>
    </font>
    <font>
      <sz val="8"/>
      <color rgb="FF333399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6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7F7F7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" fillId="0" borderId="0"/>
    <xf numFmtId="43" fontId="13" fillId="0" borderId="0" applyFont="0" applyFill="0" applyBorder="0" applyAlignment="0" applyProtection="0"/>
    <xf numFmtId="0" fontId="15" fillId="0" borderId="0"/>
    <xf numFmtId="0" fontId="13" fillId="0" borderId="0"/>
    <xf numFmtId="0" fontId="1" fillId="0" borderId="0"/>
  </cellStyleXfs>
  <cellXfs count="90">
    <xf numFmtId="0" fontId="0" fillId="0" borderId="0" xfId="0"/>
    <xf numFmtId="0" fontId="2" fillId="0" borderId="0" xfId="1" applyFont="1" applyAlignment="1">
      <alignment vertical="top"/>
    </xf>
    <xf numFmtId="0" fontId="2" fillId="0" borderId="0" xfId="1" applyFont="1" applyAlignment="1">
      <alignment horizontal="center" vertical="top"/>
    </xf>
    <xf numFmtId="0" fontId="1" fillId="0" borderId="0" xfId="1" applyAlignment="1">
      <alignment horizontal="center"/>
    </xf>
    <xf numFmtId="0" fontId="1" fillId="0" borderId="0" xfId="1" applyAlignment="1"/>
    <xf numFmtId="0" fontId="3" fillId="0" borderId="0" xfId="1" applyFont="1" applyAlignment="1">
      <alignment vertical="top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 applyAlignment="1">
      <alignment horizontal="center" vertical="top"/>
    </xf>
    <xf numFmtId="0" fontId="6" fillId="0" borderId="0" xfId="1" applyFont="1" applyAlignment="1"/>
    <xf numFmtId="0" fontId="7" fillId="3" borderId="2" xfId="1" applyFont="1" applyFill="1" applyBorder="1" applyAlignment="1">
      <alignment horizontal="left" vertical="top"/>
    </xf>
    <xf numFmtId="4" fontId="7" fillId="3" borderId="2" xfId="1" applyNumberFormat="1" applyFont="1" applyFill="1" applyBorder="1" applyAlignment="1">
      <alignment horizontal="center" vertical="top"/>
    </xf>
    <xf numFmtId="40" fontId="7" fillId="3" borderId="2" xfId="1" applyNumberFormat="1" applyFont="1" applyFill="1" applyBorder="1" applyAlignment="1">
      <alignment horizontal="center" vertical="top"/>
    </xf>
    <xf numFmtId="4" fontId="7" fillId="3" borderId="2" xfId="1" applyNumberFormat="1" applyFont="1" applyFill="1" applyBorder="1" applyAlignment="1">
      <alignment horizontal="right" vertical="top" wrapText="1"/>
    </xf>
    <xf numFmtId="40" fontId="7" fillId="3" borderId="2" xfId="1" applyNumberFormat="1" applyFont="1" applyFill="1" applyBorder="1" applyAlignment="1">
      <alignment horizontal="right" vertical="top" wrapText="1"/>
    </xf>
    <xf numFmtId="0" fontId="8" fillId="2" borderId="3" xfId="1" applyFont="1" applyFill="1" applyBorder="1" applyAlignment="1">
      <alignment vertical="top"/>
    </xf>
    <xf numFmtId="4" fontId="8" fillId="2" borderId="2" xfId="1" applyNumberFormat="1" applyFont="1" applyFill="1" applyBorder="1" applyAlignment="1">
      <alignment horizontal="center" vertical="top"/>
    </xf>
    <xf numFmtId="0" fontId="9" fillId="0" borderId="0" xfId="1" applyFont="1" applyAlignment="1">
      <alignment vertical="top"/>
    </xf>
    <xf numFmtId="0" fontId="9" fillId="0" borderId="0" xfId="1" applyFont="1" applyAlignment="1">
      <alignment horizontal="center" vertical="top"/>
    </xf>
    <xf numFmtId="4" fontId="1" fillId="0" borderId="0" xfId="1" applyNumberFormat="1" applyAlignment="1"/>
    <xf numFmtId="40" fontId="7" fillId="3" borderId="2" xfId="0" applyNumberFormat="1" applyFont="1" applyFill="1" applyBorder="1" applyAlignment="1">
      <alignment horizontal="right" vertical="top" wrapText="1"/>
    </xf>
    <xf numFmtId="0" fontId="12" fillId="0" borderId="0" xfId="1" applyFont="1" applyAlignment="1">
      <alignment wrapText="1"/>
    </xf>
    <xf numFmtId="0" fontId="14" fillId="5" borderId="1" xfId="1" applyFont="1" applyFill="1" applyBorder="1" applyAlignment="1">
      <alignment horizontal="left" vertical="top"/>
    </xf>
    <xf numFmtId="0" fontId="14" fillId="5" borderId="1" xfId="1" applyFont="1" applyFill="1" applyBorder="1" applyAlignment="1">
      <alignment horizontal="center" vertical="top"/>
    </xf>
    <xf numFmtId="0" fontId="14" fillId="5" borderId="2" xfId="1" applyFont="1" applyFill="1" applyBorder="1" applyAlignment="1">
      <alignment horizontal="center" vertical="top"/>
    </xf>
    <xf numFmtId="0" fontId="14" fillId="5" borderId="2" xfId="0" applyFont="1" applyFill="1" applyBorder="1" applyAlignment="1">
      <alignment horizontal="center" vertical="top" wrapText="1"/>
    </xf>
    <xf numFmtId="0" fontId="14" fillId="5" borderId="2" xfId="1" applyFont="1" applyFill="1" applyBorder="1" applyAlignment="1">
      <alignment horizontal="center" vertical="top" wrapText="1"/>
    </xf>
    <xf numFmtId="0" fontId="19" fillId="0" borderId="4" xfId="0" applyFont="1" applyBorder="1"/>
    <xf numFmtId="0" fontId="0" fillId="0" borderId="4" xfId="0" applyBorder="1"/>
    <xf numFmtId="0" fontId="20" fillId="3" borderId="4" xfId="3" applyFont="1" applyFill="1" applyBorder="1" applyAlignment="1">
      <alignment horizontal="left" vertical="top"/>
    </xf>
    <xf numFmtId="0" fontId="19" fillId="0" borderId="4" xfId="0" applyFont="1" applyBorder="1" applyAlignment="1">
      <alignment horizontal="center"/>
    </xf>
    <xf numFmtId="165" fontId="0" fillId="0" borderId="4" xfId="0" applyNumberFormat="1" applyBorder="1"/>
    <xf numFmtId="43" fontId="19" fillId="0" borderId="4" xfId="2" applyFont="1" applyBorder="1" applyAlignment="1">
      <alignment horizontal="center"/>
    </xf>
    <xf numFmtId="165" fontId="19" fillId="0" borderId="4" xfId="0" applyNumberFormat="1" applyFont="1" applyBorder="1" applyAlignment="1">
      <alignment horizontal="center"/>
    </xf>
    <xf numFmtId="0" fontId="21" fillId="6" borderId="4" xfId="0" applyFont="1" applyFill="1" applyBorder="1" applyAlignment="1">
      <alignment horizontal="center"/>
    </xf>
    <xf numFmtId="165" fontId="19" fillId="0" borderId="4" xfId="2" applyNumberFormat="1" applyFont="1" applyBorder="1" applyAlignment="1">
      <alignment horizontal="center"/>
    </xf>
    <xf numFmtId="37" fontId="19" fillId="0" borderId="4" xfId="2" applyNumberFormat="1" applyFont="1" applyBorder="1" applyAlignment="1">
      <alignment horizontal="center"/>
    </xf>
    <xf numFmtId="0" fontId="19" fillId="0" borderId="4" xfId="2" applyNumberFormat="1" applyFont="1" applyBorder="1" applyAlignment="1">
      <alignment horizontal="center"/>
    </xf>
    <xf numFmtId="165" fontId="0" fillId="0" borderId="0" xfId="0" applyNumberFormat="1"/>
    <xf numFmtId="0" fontId="22" fillId="8" borderId="4" xfId="3" applyFont="1" applyFill="1" applyBorder="1" applyAlignment="1">
      <alignment horizontal="left" vertical="top"/>
    </xf>
    <xf numFmtId="0" fontId="18" fillId="8" borderId="4" xfId="0" applyFont="1" applyFill="1" applyBorder="1"/>
    <xf numFmtId="165" fontId="18" fillId="8" borderId="4" xfId="0" applyNumberFormat="1" applyFont="1" applyFill="1" applyBorder="1"/>
    <xf numFmtId="0" fontId="21" fillId="6" borderId="5" xfId="0" applyFont="1" applyFill="1" applyBorder="1" applyAlignment="1">
      <alignment horizontal="center" wrapText="1"/>
    </xf>
    <xf numFmtId="165" fontId="18" fillId="8" borderId="0" xfId="0" applyNumberFormat="1" applyFont="1" applyFill="1"/>
    <xf numFmtId="43" fontId="1" fillId="0" borderId="0" xfId="2" applyFont="1" applyAlignment="1">
      <alignment horizontal="center"/>
    </xf>
    <xf numFmtId="0" fontId="0" fillId="0" borderId="0" xfId="0" applyAlignment="1">
      <alignment vertical="center"/>
    </xf>
    <xf numFmtId="43" fontId="0" fillId="0" borderId="0" xfId="2" applyFont="1" applyAlignment="1">
      <alignment vertical="center"/>
    </xf>
    <xf numFmtId="4" fontId="0" fillId="0" borderId="0" xfId="0" applyNumberFormat="1" applyAlignment="1">
      <alignment vertical="center"/>
    </xf>
    <xf numFmtId="43" fontId="23" fillId="9" borderId="6" xfId="2" applyFont="1" applyFill="1" applyBorder="1" applyAlignment="1">
      <alignment vertical="center"/>
    </xf>
    <xf numFmtId="15" fontId="23" fillId="9" borderId="6" xfId="0" applyNumberFormat="1" applyFont="1" applyFill="1" applyBorder="1" applyAlignment="1">
      <alignment vertical="center"/>
    </xf>
    <xf numFmtId="4" fontId="23" fillId="9" borderId="6" xfId="0" applyNumberFormat="1" applyFont="1" applyFill="1" applyBorder="1" applyAlignment="1">
      <alignment vertical="center"/>
    </xf>
    <xf numFmtId="0" fontId="23" fillId="9" borderId="6" xfId="0" applyFont="1" applyFill="1" applyBorder="1" applyAlignment="1">
      <alignment vertical="center"/>
    </xf>
    <xf numFmtId="0" fontId="0" fillId="9" borderId="6" xfId="0" applyFill="1" applyBorder="1" applyAlignment="1">
      <alignment vertical="center"/>
    </xf>
    <xf numFmtId="15" fontId="23" fillId="9" borderId="6" xfId="4" applyNumberFormat="1" applyFont="1" applyFill="1" applyBorder="1" applyAlignment="1">
      <alignment vertical="center"/>
    </xf>
    <xf numFmtId="4" fontId="23" fillId="9" borderId="6" xfId="4" applyNumberFormat="1" applyFont="1" applyFill="1" applyBorder="1" applyAlignment="1">
      <alignment vertical="center"/>
    </xf>
    <xf numFmtId="0" fontId="23" fillId="9" borderId="6" xfId="4" applyFont="1" applyFill="1" applyBorder="1" applyAlignment="1">
      <alignment vertical="center"/>
    </xf>
    <xf numFmtId="0" fontId="13" fillId="9" borderId="6" xfId="4" applyFill="1" applyBorder="1" applyAlignment="1">
      <alignment vertical="center"/>
    </xf>
    <xf numFmtId="43" fontId="24" fillId="10" borderId="8" xfId="2" applyFont="1" applyFill="1" applyBorder="1" applyAlignment="1">
      <alignment vertical="center"/>
    </xf>
    <xf numFmtId="0" fontId="24" fillId="10" borderId="8" xfId="4" applyFont="1" applyFill="1" applyBorder="1" applyAlignment="1">
      <alignment vertical="center"/>
    </xf>
    <xf numFmtId="0" fontId="24" fillId="11" borderId="8" xfId="4" applyFont="1" applyFill="1" applyBorder="1" applyAlignment="1">
      <alignment vertical="center"/>
    </xf>
    <xf numFmtId="4" fontId="18" fillId="0" borderId="0" xfId="0" applyNumberFormat="1" applyFont="1" applyAlignment="1">
      <alignment vertical="center"/>
    </xf>
    <xf numFmtId="43" fontId="23" fillId="9" borderId="8" xfId="2" applyFont="1" applyFill="1" applyBorder="1" applyAlignment="1">
      <alignment horizontal="center" vertical="center"/>
    </xf>
    <xf numFmtId="43" fontId="23" fillId="9" borderId="7" xfId="2" applyFont="1" applyFill="1" applyBorder="1" applyAlignment="1">
      <alignment horizontal="center" vertical="center"/>
    </xf>
    <xf numFmtId="165" fontId="18" fillId="12" borderId="0" xfId="0" applyNumberFormat="1" applyFont="1" applyFill="1" applyAlignment="1">
      <alignment horizontal="center"/>
    </xf>
    <xf numFmtId="0" fontId="1" fillId="0" borderId="0" xfId="5" applyAlignment="1"/>
    <xf numFmtId="0" fontId="1" fillId="0" borderId="0" xfId="5" applyAlignment="1">
      <alignment horizontal="center"/>
    </xf>
    <xf numFmtId="164" fontId="1" fillId="0" borderId="0" xfId="5" applyNumberFormat="1" applyAlignment="1"/>
    <xf numFmtId="3" fontId="1" fillId="0" borderId="0" xfId="5" applyNumberFormat="1" applyAlignment="1">
      <alignment horizontal="center"/>
    </xf>
    <xf numFmtId="4" fontId="1" fillId="0" borderId="0" xfId="5" applyNumberFormat="1" applyAlignment="1"/>
    <xf numFmtId="0" fontId="9" fillId="0" borderId="0" xfId="5" applyFont="1" applyAlignment="1">
      <alignment horizontal="center" vertical="top"/>
    </xf>
    <xf numFmtId="0" fontId="9" fillId="0" borderId="0" xfId="5" applyFont="1" applyAlignment="1">
      <alignment vertical="top"/>
    </xf>
    <xf numFmtId="164" fontId="5" fillId="4" borderId="4" xfId="5" applyNumberFormat="1" applyFont="1" applyFill="1" applyBorder="1" applyAlignment="1">
      <alignment horizontal="center" vertical="top"/>
    </xf>
    <xf numFmtId="164" fontId="5" fillId="4" borderId="2" xfId="5" applyNumberFormat="1" applyFont="1" applyFill="1" applyBorder="1" applyAlignment="1">
      <alignment horizontal="center" vertical="top"/>
    </xf>
    <xf numFmtId="3" fontId="5" fillId="4" borderId="2" xfId="5" applyNumberFormat="1" applyFont="1" applyFill="1" applyBorder="1" applyAlignment="1">
      <alignment horizontal="center" vertical="top"/>
    </xf>
    <xf numFmtId="3" fontId="7" fillId="7" borderId="2" xfId="5" applyNumberFormat="1" applyFont="1" applyFill="1" applyBorder="1" applyAlignment="1">
      <alignment horizontal="center" vertical="top"/>
    </xf>
    <xf numFmtId="164" fontId="5" fillId="2" borderId="2" xfId="5" applyNumberFormat="1" applyFont="1" applyFill="1" applyBorder="1" applyAlignment="1">
      <alignment horizontal="center" vertical="top"/>
    </xf>
    <xf numFmtId="0" fontId="5" fillId="4" borderId="3" xfId="5" applyFont="1" applyFill="1" applyBorder="1" applyAlignment="1">
      <alignment vertical="top"/>
    </xf>
    <xf numFmtId="3" fontId="7" fillId="3" borderId="4" xfId="5" applyNumberFormat="1" applyFont="1" applyFill="1" applyBorder="1" applyAlignment="1">
      <alignment horizontal="center" vertical="top"/>
    </xf>
    <xf numFmtId="3" fontId="7" fillId="3" borderId="2" xfId="5" applyNumberFormat="1" applyFont="1" applyFill="1" applyBorder="1" applyAlignment="1">
      <alignment horizontal="center" vertical="top"/>
    </xf>
    <xf numFmtId="164" fontId="7" fillId="3" borderId="2" xfId="5" applyNumberFormat="1" applyFont="1" applyFill="1" applyBorder="1" applyAlignment="1">
      <alignment horizontal="center" vertical="top"/>
    </xf>
    <xf numFmtId="0" fontId="7" fillId="3" borderId="2" xfId="5" applyFont="1" applyFill="1" applyBorder="1" applyAlignment="1">
      <alignment horizontal="left" vertical="top"/>
    </xf>
    <xf numFmtId="0" fontId="6" fillId="0" borderId="0" xfId="5" applyFont="1" applyAlignment="1">
      <alignment horizontal="center" vertical="center"/>
    </xf>
    <xf numFmtId="0" fontId="14" fillId="6" borderId="1" xfId="5" applyFont="1" applyFill="1" applyBorder="1" applyAlignment="1">
      <alignment horizontal="center" vertical="center" wrapText="1"/>
    </xf>
    <xf numFmtId="0" fontId="14" fillId="6" borderId="2" xfId="5" applyFont="1" applyFill="1" applyBorder="1" applyAlignment="1">
      <alignment horizontal="center" vertical="center" wrapText="1"/>
    </xf>
    <xf numFmtId="0" fontId="17" fillId="4" borderId="2" xfId="5" applyFont="1" applyFill="1" applyBorder="1" applyAlignment="1">
      <alignment horizontal="center" vertical="center" wrapText="1"/>
    </xf>
    <xf numFmtId="0" fontId="14" fillId="6" borderId="1" xfId="5" applyFont="1" applyFill="1" applyBorder="1" applyAlignment="1">
      <alignment horizontal="center" vertical="center"/>
    </xf>
    <xf numFmtId="0" fontId="14" fillId="6" borderId="2" xfId="5" applyFont="1" applyFill="1" applyBorder="1" applyAlignment="1">
      <alignment horizontal="center" vertical="center"/>
    </xf>
    <xf numFmtId="0" fontId="16" fillId="6" borderId="0" xfId="5" applyFont="1" applyFill="1" applyAlignment="1"/>
    <xf numFmtId="0" fontId="16" fillId="6" borderId="0" xfId="5" applyFont="1" applyFill="1" applyAlignment="1">
      <alignment wrapText="1"/>
    </xf>
    <xf numFmtId="0" fontId="16" fillId="6" borderId="0" xfId="5" applyFont="1" applyFill="1" applyAlignment="1">
      <alignment horizontal="center"/>
    </xf>
  </cellXfs>
  <cellStyles count="6">
    <cellStyle name="Comma" xfId="2" builtinId="3"/>
    <cellStyle name="Normal" xfId="0" builtinId="0"/>
    <cellStyle name="Normal 2" xfId="1"/>
    <cellStyle name="Normal 2 2" xfId="3"/>
    <cellStyle name="Normal 2 2 2" xfId="5"/>
    <cellStyle name="Normal 2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ajardo/AppData/Local/Microsoft/Windows/INetCache/Content.Outlook/7ODXET72/Student%20Service%20revenue%20budget%202024-2026.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inuing%20Education%20revenue%202021-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ents service (AED m)"/>
      <sheetName val="Students service"/>
      <sheetName val="Sheet1"/>
    </sheetNames>
    <sheetDataSet>
      <sheetData sheetId="0" refreshError="1"/>
      <sheetData sheetId="1">
        <row r="6">
          <cell r="D6">
            <v>4000000</v>
          </cell>
        </row>
        <row r="7">
          <cell r="D7">
            <v>46500</v>
          </cell>
        </row>
        <row r="8">
          <cell r="D8">
            <v>5000</v>
          </cell>
        </row>
        <row r="9">
          <cell r="D9">
            <v>26000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2024 Probability"/>
      <sheetName val="Graph"/>
      <sheetName val="Detailed 2022 Revenu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showGridLines="0" tabSelected="1" topLeftCell="A2" zoomScale="150" zoomScaleNormal="150" workbookViewId="0">
      <selection activeCell="E9" sqref="E9"/>
    </sheetView>
  </sheetViews>
  <sheetFormatPr defaultColWidth="9.1796875" defaultRowHeight="14.5" outlineLevelCol="1" x14ac:dyDescent="0.35"/>
  <cols>
    <col min="1" max="1" width="5.54296875" style="64" customWidth="1"/>
    <col min="2" max="2" width="26.90625" style="64" bestFit="1" customWidth="1"/>
    <col min="3" max="3" width="12.54296875" style="65" hidden="1" customWidth="1"/>
    <col min="4" max="4" width="8.7265625" style="65" customWidth="1" outlineLevel="1"/>
    <col min="5" max="5" width="9" style="65" bestFit="1" customWidth="1" outlineLevel="1"/>
    <col min="6" max="6" width="8.7265625" style="65" customWidth="1" outlineLevel="1"/>
    <col min="7" max="7" width="11.08984375" style="64" bestFit="1" customWidth="1"/>
    <col min="8" max="8" width="14.36328125" style="64" bestFit="1" customWidth="1"/>
    <col min="9" max="16384" width="9.1796875" style="64"/>
  </cols>
  <sheetData>
    <row r="1" spans="1:10" x14ac:dyDescent="0.35">
      <c r="A1" s="87"/>
      <c r="B1" s="87" t="s">
        <v>17</v>
      </c>
      <c r="C1" s="89"/>
      <c r="D1" s="89"/>
      <c r="E1" s="89"/>
      <c r="F1" s="89"/>
      <c r="G1" s="89"/>
      <c r="H1" s="88"/>
      <c r="I1" s="87"/>
      <c r="J1" s="87"/>
    </row>
    <row r="2" spans="1:10" s="81" customFormat="1" ht="31.5" x14ac:dyDescent="0.35">
      <c r="A2" s="85" t="s">
        <v>19</v>
      </c>
      <c r="B2" s="85" t="s">
        <v>18</v>
      </c>
      <c r="C2" s="85" t="s">
        <v>2</v>
      </c>
      <c r="D2" s="86" t="s">
        <v>6</v>
      </c>
      <c r="E2" s="86" t="s">
        <v>116</v>
      </c>
      <c r="F2" s="85" t="s">
        <v>8</v>
      </c>
      <c r="G2" s="82" t="s">
        <v>43</v>
      </c>
      <c r="H2" s="84" t="s">
        <v>42</v>
      </c>
      <c r="I2" s="83" t="s">
        <v>40</v>
      </c>
      <c r="J2" s="82" t="s">
        <v>41</v>
      </c>
    </row>
    <row r="3" spans="1:10" x14ac:dyDescent="0.35">
      <c r="A3" s="80">
        <v>1</v>
      </c>
      <c r="B3" s="80" t="s">
        <v>20</v>
      </c>
      <c r="C3" s="79">
        <f>'[1]Students service'!D6/1000000</f>
        <v>4</v>
      </c>
      <c r="D3" s="74"/>
      <c r="E3" s="74">
        <f>Transactions!Q2+Transactions!Q3+Transactions!Q8+Transactions!Q16-[2]SUMMARY!$K$1-72848</f>
        <v>5671152</v>
      </c>
      <c r="F3" s="74"/>
      <c r="G3" s="78"/>
      <c r="H3" s="73">
        <v>1650000</v>
      </c>
      <c r="I3" s="78">
        <f>H3*10%+H3</f>
        <v>1815000</v>
      </c>
      <c r="J3" s="77">
        <f>I3*10%+I3</f>
        <v>1996500</v>
      </c>
    </row>
    <row r="4" spans="1:10" x14ac:dyDescent="0.35">
      <c r="A4" s="80">
        <v>2</v>
      </c>
      <c r="B4" s="80" t="s">
        <v>23</v>
      </c>
      <c r="C4" s="79">
        <f>'[1]Students service'!D7/1000000</f>
        <v>4.65E-2</v>
      </c>
      <c r="D4" s="74"/>
      <c r="E4" s="74">
        <f>Transactions!Q12+Transactions!Q13</f>
        <v>126000</v>
      </c>
      <c r="F4" s="74"/>
      <c r="G4" s="78">
        <f>1316100*2</f>
        <v>2632200</v>
      </c>
      <c r="H4" s="73">
        <f>G4/2</f>
        <v>1316100</v>
      </c>
      <c r="I4" s="78">
        <f>H4*10%+H4</f>
        <v>1447710</v>
      </c>
      <c r="J4" s="77">
        <f>I4*10%+I4</f>
        <v>1592481</v>
      </c>
    </row>
    <row r="5" spans="1:10" x14ac:dyDescent="0.35">
      <c r="A5" s="80">
        <v>3</v>
      </c>
      <c r="B5" s="80" t="s">
        <v>21</v>
      </c>
      <c r="C5" s="79">
        <f>'[1]Students service'!D8/1000000</f>
        <v>5.0000000000000001E-3</v>
      </c>
      <c r="D5" s="74"/>
      <c r="E5" s="74"/>
      <c r="F5" s="74"/>
      <c r="G5" s="78">
        <v>180000</v>
      </c>
      <c r="H5" s="73"/>
      <c r="I5" s="78">
        <f>H5*5%+H5</f>
        <v>0</v>
      </c>
      <c r="J5" s="77">
        <f>I5*5%+I5</f>
        <v>0</v>
      </c>
    </row>
    <row r="6" spans="1:10" x14ac:dyDescent="0.35">
      <c r="A6" s="80">
        <v>4</v>
      </c>
      <c r="B6" s="80" t="s">
        <v>22</v>
      </c>
      <c r="C6" s="79">
        <f>'[1]Students service'!D9/1000000</f>
        <v>2.5999999999999999E-2</v>
      </c>
      <c r="D6" s="74"/>
      <c r="E6" s="74">
        <f>Transactions!Q4+Transactions!Q5+Transactions!Q6+Transactions!Q7+Transactions!Q9+Transactions!Q10+Transactions!Q11+Transactions!Q14</f>
        <v>614976.44999999995</v>
      </c>
      <c r="F6" s="74"/>
      <c r="G6" s="78">
        <v>0</v>
      </c>
      <c r="H6" s="73">
        <v>700000</v>
      </c>
      <c r="I6" s="78">
        <f>H6*10%+H6</f>
        <v>770000</v>
      </c>
      <c r="J6" s="77">
        <f>I6*10%+I6</f>
        <v>847000</v>
      </c>
    </row>
    <row r="7" spans="1:10" x14ac:dyDescent="0.35">
      <c r="A7" s="76" t="s">
        <v>12</v>
      </c>
      <c r="B7" s="76"/>
      <c r="C7" s="75">
        <f>SUM(C3:C6)</f>
        <v>4.0774999999999997</v>
      </c>
      <c r="D7" s="74">
        <f>'CE '!H7</f>
        <v>6000000</v>
      </c>
      <c r="E7" s="74">
        <f>SUM(E3:E6)</f>
        <v>6412128.4500000002</v>
      </c>
      <c r="F7" s="72">
        <v>3150000</v>
      </c>
      <c r="G7" s="72">
        <f>SUM(G3:G6)</f>
        <v>2812200</v>
      </c>
      <c r="H7" s="73">
        <f>SUM(H3:H6)</f>
        <v>3666100</v>
      </c>
      <c r="I7" s="72">
        <f>SUM(I3:I6)</f>
        <v>4032710</v>
      </c>
      <c r="J7" s="71">
        <f>SUM(J3:J6)</f>
        <v>4435981</v>
      </c>
    </row>
    <row r="8" spans="1:10" ht="15" customHeight="1" x14ac:dyDescent="0.35">
      <c r="A8" s="70"/>
      <c r="B8" s="70"/>
      <c r="C8" s="69"/>
      <c r="D8" s="69"/>
      <c r="E8" s="69"/>
      <c r="F8" s="69"/>
    </row>
    <row r="9" spans="1:10" x14ac:dyDescent="0.35">
      <c r="E9" s="67"/>
      <c r="G9" s="66"/>
      <c r="H9" s="68"/>
    </row>
    <row r="10" spans="1:10" x14ac:dyDescent="0.35">
      <c r="E10" s="67"/>
      <c r="G10" s="66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opLeftCell="N1" workbookViewId="0">
      <selection activeCell="S16" sqref="S16"/>
    </sheetView>
  </sheetViews>
  <sheetFormatPr defaultColWidth="9.1796875" defaultRowHeight="14.5" x14ac:dyDescent="0.35"/>
  <cols>
    <col min="1" max="1" width="9.26953125" style="45" bestFit="1" customWidth="1"/>
    <col min="2" max="2" width="52.1796875" style="45" customWidth="1"/>
    <col min="3" max="3" width="12.81640625" style="45" customWidth="1"/>
    <col min="4" max="4" width="15.36328125" style="45" customWidth="1"/>
    <col min="5" max="5" width="15.6328125" style="45" customWidth="1"/>
    <col min="6" max="6" width="15.54296875" style="45" customWidth="1"/>
    <col min="7" max="7" width="10.90625" style="45" customWidth="1"/>
    <col min="8" max="8" width="9.6328125" style="45" customWidth="1"/>
    <col min="9" max="9" width="13.90625" style="45" customWidth="1"/>
    <col min="10" max="10" width="19.7265625" style="45" customWidth="1"/>
    <col min="11" max="11" width="8.90625" style="45" customWidth="1"/>
    <col min="12" max="12" width="13.6328125" style="45" customWidth="1"/>
    <col min="13" max="13" width="67.36328125" style="45" customWidth="1"/>
    <col min="14" max="14" width="40.08984375" style="45" customWidth="1"/>
    <col min="15" max="15" width="11.7265625" style="45" customWidth="1"/>
    <col min="16" max="16" width="18" style="45" customWidth="1"/>
    <col min="17" max="17" width="19.26953125" style="45" customWidth="1"/>
    <col min="18" max="18" width="12.453125" style="45" customWidth="1"/>
    <col min="19" max="19" width="17.90625" style="45" customWidth="1"/>
    <col min="20" max="20" width="21.36328125" style="46" customWidth="1"/>
    <col min="21" max="21" width="23" style="46" customWidth="1"/>
    <col min="22" max="16384" width="9.1796875" style="45"/>
  </cols>
  <sheetData>
    <row r="1" spans="1:21" x14ac:dyDescent="0.35">
      <c r="A1" s="58" t="s">
        <v>115</v>
      </c>
      <c r="B1" s="58" t="s">
        <v>114</v>
      </c>
      <c r="C1" s="58" t="s">
        <v>113</v>
      </c>
      <c r="D1" s="58" t="s">
        <v>112</v>
      </c>
      <c r="E1" s="58" t="s">
        <v>111</v>
      </c>
      <c r="F1" s="58" t="s">
        <v>110</v>
      </c>
      <c r="G1" s="58" t="s">
        <v>109</v>
      </c>
      <c r="H1" s="58" t="s">
        <v>108</v>
      </c>
      <c r="I1" s="58" t="s">
        <v>107</v>
      </c>
      <c r="J1" s="58" t="s">
        <v>106</v>
      </c>
      <c r="K1" s="58" t="s">
        <v>105</v>
      </c>
      <c r="L1" s="58" t="s">
        <v>104</v>
      </c>
      <c r="M1" s="58" t="s">
        <v>103</v>
      </c>
      <c r="N1" s="58" t="s">
        <v>102</v>
      </c>
      <c r="O1" s="58" t="s">
        <v>101</v>
      </c>
      <c r="P1" s="58" t="s">
        <v>100</v>
      </c>
      <c r="Q1" s="59" t="s">
        <v>99</v>
      </c>
      <c r="R1" s="58" t="s">
        <v>98</v>
      </c>
      <c r="S1" s="58" t="s">
        <v>97</v>
      </c>
      <c r="T1" s="57" t="s">
        <v>96</v>
      </c>
      <c r="U1" s="57" t="s">
        <v>95</v>
      </c>
    </row>
    <row r="2" spans="1:21" x14ac:dyDescent="0.35">
      <c r="A2" s="55" t="s">
        <v>56</v>
      </c>
      <c r="B2" s="55" t="s">
        <v>76</v>
      </c>
      <c r="C2" s="55" t="s">
        <v>75</v>
      </c>
      <c r="D2" s="55" t="s">
        <v>74</v>
      </c>
      <c r="E2" s="55" t="s">
        <v>94</v>
      </c>
      <c r="F2" s="55">
        <v>101001134</v>
      </c>
      <c r="G2" s="56"/>
      <c r="H2" s="56"/>
      <c r="I2" s="56"/>
      <c r="J2" s="55" t="s">
        <v>51</v>
      </c>
      <c r="K2" s="55" t="s">
        <v>50</v>
      </c>
      <c r="L2" s="55" t="s">
        <v>49</v>
      </c>
      <c r="M2" s="55" t="s">
        <v>93</v>
      </c>
      <c r="N2" s="55" t="s">
        <v>47</v>
      </c>
      <c r="O2" s="55" t="s">
        <v>46</v>
      </c>
      <c r="P2" s="54">
        <v>171000</v>
      </c>
      <c r="Q2" s="54">
        <v>171000</v>
      </c>
      <c r="R2" s="53">
        <v>44670</v>
      </c>
      <c r="S2" s="53">
        <v>44670</v>
      </c>
      <c r="T2" s="48">
        <v>179550</v>
      </c>
      <c r="U2" s="48">
        <f>(Q2/P2)*T2</f>
        <v>179550</v>
      </c>
    </row>
    <row r="3" spans="1:21" x14ac:dyDescent="0.35">
      <c r="A3" s="55" t="s">
        <v>56</v>
      </c>
      <c r="B3" s="55" t="s">
        <v>76</v>
      </c>
      <c r="C3" s="55" t="s">
        <v>75</v>
      </c>
      <c r="D3" s="55" t="s">
        <v>74</v>
      </c>
      <c r="E3" s="55" t="s">
        <v>92</v>
      </c>
      <c r="F3" s="55">
        <v>101001244</v>
      </c>
      <c r="G3" s="56"/>
      <c r="H3" s="56"/>
      <c r="I3" s="56"/>
      <c r="J3" s="55" t="s">
        <v>51</v>
      </c>
      <c r="K3" s="55" t="s">
        <v>50</v>
      </c>
      <c r="L3" s="55" t="s">
        <v>49</v>
      </c>
      <c r="M3" s="55" t="s">
        <v>91</v>
      </c>
      <c r="N3" s="55" t="s">
        <v>47</v>
      </c>
      <c r="O3" s="55" t="s">
        <v>46</v>
      </c>
      <c r="P3" s="54">
        <v>130000</v>
      </c>
      <c r="Q3" s="54">
        <v>130000</v>
      </c>
      <c r="R3" s="53">
        <v>44742</v>
      </c>
      <c r="S3" s="53">
        <v>44742</v>
      </c>
      <c r="T3" s="48">
        <v>136500</v>
      </c>
      <c r="U3" s="48">
        <f>(Q3/P3)*T3</f>
        <v>136500</v>
      </c>
    </row>
    <row r="4" spans="1:21" x14ac:dyDescent="0.35">
      <c r="A4" s="55" t="s">
        <v>56</v>
      </c>
      <c r="B4" s="55" t="s">
        <v>89</v>
      </c>
      <c r="C4" s="55" t="s">
        <v>88</v>
      </c>
      <c r="D4" s="55" t="s">
        <v>87</v>
      </c>
      <c r="E4" s="55" t="s">
        <v>86</v>
      </c>
      <c r="F4" s="55">
        <v>101001309</v>
      </c>
      <c r="G4" s="56"/>
      <c r="H4" s="56"/>
      <c r="I4" s="56"/>
      <c r="J4" s="55" t="s">
        <v>51</v>
      </c>
      <c r="K4" s="55" t="s">
        <v>50</v>
      </c>
      <c r="L4" s="55" t="s">
        <v>49</v>
      </c>
      <c r="M4" s="55" t="s">
        <v>90</v>
      </c>
      <c r="N4" s="55" t="s">
        <v>47</v>
      </c>
      <c r="O4" s="55" t="s">
        <v>84</v>
      </c>
      <c r="P4" s="54">
        <v>18700</v>
      </c>
      <c r="Q4" s="54">
        <v>68675.75</v>
      </c>
      <c r="R4" s="53">
        <v>44803</v>
      </c>
      <c r="S4" s="53">
        <v>44803</v>
      </c>
      <c r="T4" s="61">
        <v>36561</v>
      </c>
      <c r="U4" s="61">
        <f>(Q4/P4)*T4</f>
        <v>134270.27249999999</v>
      </c>
    </row>
    <row r="5" spans="1:21" x14ac:dyDescent="0.35">
      <c r="A5" s="55" t="s">
        <v>56</v>
      </c>
      <c r="B5" s="55" t="s">
        <v>89</v>
      </c>
      <c r="C5" s="55" t="s">
        <v>88</v>
      </c>
      <c r="D5" s="55" t="s">
        <v>87</v>
      </c>
      <c r="E5" s="55" t="s">
        <v>86</v>
      </c>
      <c r="F5" s="55">
        <v>101001309</v>
      </c>
      <c r="G5" s="56"/>
      <c r="H5" s="56"/>
      <c r="I5" s="56"/>
      <c r="J5" s="55" t="s">
        <v>51</v>
      </c>
      <c r="K5" s="55" t="s">
        <v>50</v>
      </c>
      <c r="L5" s="55" t="s">
        <v>49</v>
      </c>
      <c r="M5" s="55" t="s">
        <v>85</v>
      </c>
      <c r="N5" s="55" t="s">
        <v>47</v>
      </c>
      <c r="O5" s="55" t="s">
        <v>84</v>
      </c>
      <c r="P5" s="54">
        <v>16120</v>
      </c>
      <c r="Q5" s="54">
        <v>59200.7</v>
      </c>
      <c r="R5" s="53">
        <v>44803</v>
      </c>
      <c r="S5" s="53">
        <v>44803</v>
      </c>
      <c r="T5" s="62"/>
      <c r="U5" s="62"/>
    </row>
    <row r="6" spans="1:21" x14ac:dyDescent="0.35">
      <c r="A6" s="55" t="s">
        <v>56</v>
      </c>
      <c r="B6" s="55" t="s">
        <v>68</v>
      </c>
      <c r="C6" s="55" t="s">
        <v>67</v>
      </c>
      <c r="D6" s="55" t="s">
        <v>66</v>
      </c>
      <c r="E6" s="55" t="s">
        <v>83</v>
      </c>
      <c r="F6" s="55">
        <v>101001348</v>
      </c>
      <c r="G6" s="56"/>
      <c r="H6" s="56"/>
      <c r="I6" s="56"/>
      <c r="J6" s="55" t="s">
        <v>51</v>
      </c>
      <c r="K6" s="55" t="s">
        <v>50</v>
      </c>
      <c r="L6" s="55" t="s">
        <v>49</v>
      </c>
      <c r="M6" s="55" t="s">
        <v>82</v>
      </c>
      <c r="N6" s="55" t="s">
        <v>47</v>
      </c>
      <c r="O6" s="55" t="s">
        <v>46</v>
      </c>
      <c r="P6" s="54">
        <v>15000</v>
      </c>
      <c r="Q6" s="54">
        <v>15000</v>
      </c>
      <c r="R6" s="53">
        <v>44824</v>
      </c>
      <c r="S6" s="53">
        <v>44824</v>
      </c>
      <c r="T6" s="48">
        <v>15750</v>
      </c>
      <c r="U6" s="48">
        <f>(Q6/P6)*T6</f>
        <v>15750</v>
      </c>
    </row>
    <row r="7" spans="1:21" x14ac:dyDescent="0.35">
      <c r="A7" s="55" t="s">
        <v>56</v>
      </c>
      <c r="B7" s="55" t="s">
        <v>81</v>
      </c>
      <c r="C7" s="55" t="s">
        <v>80</v>
      </c>
      <c r="D7" s="55" t="s">
        <v>79</v>
      </c>
      <c r="E7" s="55" t="s">
        <v>78</v>
      </c>
      <c r="F7" s="55">
        <v>101001341</v>
      </c>
      <c r="G7" s="56"/>
      <c r="H7" s="56"/>
      <c r="I7" s="56"/>
      <c r="J7" s="55" t="s">
        <v>51</v>
      </c>
      <c r="K7" s="55" t="s">
        <v>50</v>
      </c>
      <c r="L7" s="55" t="s">
        <v>49</v>
      </c>
      <c r="M7" s="55" t="s">
        <v>77</v>
      </c>
      <c r="N7" s="55" t="s">
        <v>47</v>
      </c>
      <c r="O7" s="55" t="s">
        <v>46</v>
      </c>
      <c r="P7" s="54">
        <v>157000</v>
      </c>
      <c r="Q7" s="54">
        <v>157000</v>
      </c>
      <c r="R7" s="53">
        <v>44819</v>
      </c>
      <c r="S7" s="53">
        <v>44819</v>
      </c>
      <c r="T7" s="48">
        <v>164850</v>
      </c>
      <c r="U7" s="48">
        <f>(Q7/P7)*T7</f>
        <v>164850</v>
      </c>
    </row>
    <row r="8" spans="1:21" x14ac:dyDescent="0.35">
      <c r="A8" s="51" t="s">
        <v>56</v>
      </c>
      <c r="B8" s="51" t="s">
        <v>76</v>
      </c>
      <c r="C8" s="51" t="s">
        <v>75</v>
      </c>
      <c r="D8" s="51" t="s">
        <v>74</v>
      </c>
      <c r="E8" s="51" t="s">
        <v>73</v>
      </c>
      <c r="F8" s="51">
        <v>101001504</v>
      </c>
      <c r="G8" s="52"/>
      <c r="H8" s="52"/>
      <c r="I8" s="52"/>
      <c r="J8" s="51" t="s">
        <v>51</v>
      </c>
      <c r="K8" s="51" t="s">
        <v>50</v>
      </c>
      <c r="L8" s="51" t="s">
        <v>49</v>
      </c>
      <c r="M8" s="51" t="s">
        <v>72</v>
      </c>
      <c r="N8" s="51" t="s">
        <v>47</v>
      </c>
      <c r="O8" s="51" t="s">
        <v>46</v>
      </c>
      <c r="P8" s="50">
        <v>3400000</v>
      </c>
      <c r="Q8" s="50">
        <v>3400000</v>
      </c>
      <c r="R8" s="49">
        <v>44907</v>
      </c>
      <c r="S8" s="49">
        <v>44907</v>
      </c>
      <c r="T8" s="48">
        <v>3570000</v>
      </c>
      <c r="U8" s="48">
        <f>(Q8/P8)*T8</f>
        <v>3570000</v>
      </c>
    </row>
    <row r="9" spans="1:21" x14ac:dyDescent="0.35">
      <c r="A9" s="51" t="s">
        <v>56</v>
      </c>
      <c r="B9" s="51" t="s">
        <v>68</v>
      </c>
      <c r="C9" s="51" t="s">
        <v>67</v>
      </c>
      <c r="D9" s="51" t="s">
        <v>66</v>
      </c>
      <c r="E9" s="51" t="s">
        <v>70</v>
      </c>
      <c r="F9" s="51">
        <v>101001490</v>
      </c>
      <c r="G9" s="52"/>
      <c r="H9" s="52"/>
      <c r="I9" s="52"/>
      <c r="J9" s="51" t="s">
        <v>51</v>
      </c>
      <c r="K9" s="51" t="s">
        <v>50</v>
      </c>
      <c r="L9" s="51" t="s">
        <v>49</v>
      </c>
      <c r="M9" s="51" t="s">
        <v>71</v>
      </c>
      <c r="N9" s="51" t="s">
        <v>47</v>
      </c>
      <c r="O9" s="51" t="s">
        <v>46</v>
      </c>
      <c r="P9" s="50">
        <v>175000</v>
      </c>
      <c r="Q9" s="50">
        <v>175000</v>
      </c>
      <c r="R9" s="49">
        <v>44903</v>
      </c>
      <c r="S9" s="49">
        <v>44903</v>
      </c>
      <c r="T9" s="61">
        <v>228375</v>
      </c>
      <c r="U9" s="61">
        <f>(Q9/P9)*T9</f>
        <v>228375</v>
      </c>
    </row>
    <row r="10" spans="1:21" x14ac:dyDescent="0.35">
      <c r="A10" s="51" t="s">
        <v>56</v>
      </c>
      <c r="B10" s="51" t="s">
        <v>68</v>
      </c>
      <c r="C10" s="51" t="s">
        <v>67</v>
      </c>
      <c r="D10" s="51" t="s">
        <v>66</v>
      </c>
      <c r="E10" s="51" t="s">
        <v>70</v>
      </c>
      <c r="F10" s="51">
        <v>101001490</v>
      </c>
      <c r="G10" s="52"/>
      <c r="H10" s="52"/>
      <c r="I10" s="52"/>
      <c r="J10" s="51" t="s">
        <v>51</v>
      </c>
      <c r="K10" s="51" t="s">
        <v>50</v>
      </c>
      <c r="L10" s="51" t="s">
        <v>49</v>
      </c>
      <c r="M10" s="51" t="s">
        <v>69</v>
      </c>
      <c r="N10" s="51" t="s">
        <v>47</v>
      </c>
      <c r="O10" s="51" t="s">
        <v>46</v>
      </c>
      <c r="P10" s="50">
        <v>42500</v>
      </c>
      <c r="Q10" s="50">
        <v>42500</v>
      </c>
      <c r="R10" s="49">
        <v>44903</v>
      </c>
      <c r="S10" s="49">
        <v>44903</v>
      </c>
      <c r="T10" s="62"/>
      <c r="U10" s="62"/>
    </row>
    <row r="11" spans="1:21" x14ac:dyDescent="0.35">
      <c r="A11" s="51" t="s">
        <v>56</v>
      </c>
      <c r="B11" s="51" t="s">
        <v>68</v>
      </c>
      <c r="C11" s="51" t="s">
        <v>67</v>
      </c>
      <c r="D11" s="51" t="s">
        <v>66</v>
      </c>
      <c r="E11" s="51" t="s">
        <v>65</v>
      </c>
      <c r="F11" s="51">
        <v>101001530</v>
      </c>
      <c r="G11" s="52"/>
      <c r="H11" s="52"/>
      <c r="I11" s="52"/>
      <c r="J11" s="51" t="s">
        <v>51</v>
      </c>
      <c r="K11" s="51" t="s">
        <v>50</v>
      </c>
      <c r="L11" s="51" t="s">
        <v>49</v>
      </c>
      <c r="M11" s="51" t="s">
        <v>64</v>
      </c>
      <c r="N11" s="51" t="s">
        <v>47</v>
      </c>
      <c r="O11" s="51" t="s">
        <v>46</v>
      </c>
      <c r="P11" s="50">
        <v>46100</v>
      </c>
      <c r="Q11" s="50">
        <v>46100</v>
      </c>
      <c r="R11" s="49">
        <v>44918</v>
      </c>
      <c r="S11" s="49">
        <v>44918</v>
      </c>
      <c r="T11" s="48">
        <v>48405</v>
      </c>
      <c r="U11" s="48">
        <f>(Q11/P11)*T11</f>
        <v>48405</v>
      </c>
    </row>
    <row r="12" spans="1:21" x14ac:dyDescent="0.35">
      <c r="A12" s="51" t="s">
        <v>56</v>
      </c>
      <c r="B12" s="51" t="s">
        <v>61</v>
      </c>
      <c r="C12" s="51" t="s">
        <v>60</v>
      </c>
      <c r="D12" s="51" t="s">
        <v>59</v>
      </c>
      <c r="E12" s="51" t="s">
        <v>63</v>
      </c>
      <c r="F12" s="51">
        <v>101001385</v>
      </c>
      <c r="G12" s="52"/>
      <c r="H12" s="52"/>
      <c r="I12" s="52"/>
      <c r="J12" s="51" t="s">
        <v>51</v>
      </c>
      <c r="K12" s="51" t="s">
        <v>50</v>
      </c>
      <c r="L12" s="51" t="s">
        <v>49</v>
      </c>
      <c r="M12" s="51" t="s">
        <v>62</v>
      </c>
      <c r="N12" s="51" t="s">
        <v>47</v>
      </c>
      <c r="O12" s="51" t="s">
        <v>46</v>
      </c>
      <c r="P12" s="50">
        <v>63000</v>
      </c>
      <c r="Q12" s="50">
        <v>63000</v>
      </c>
      <c r="R12" s="49">
        <v>44846</v>
      </c>
      <c r="S12" s="49">
        <v>44846</v>
      </c>
      <c r="T12" s="48">
        <v>66150</v>
      </c>
      <c r="U12" s="48">
        <f>(Q12/P12)*T12</f>
        <v>66150</v>
      </c>
    </row>
    <row r="13" spans="1:21" x14ac:dyDescent="0.35">
      <c r="A13" s="51" t="s">
        <v>56</v>
      </c>
      <c r="B13" s="51" t="s">
        <v>61</v>
      </c>
      <c r="C13" s="51" t="s">
        <v>60</v>
      </c>
      <c r="D13" s="51" t="s">
        <v>59</v>
      </c>
      <c r="E13" s="51" t="s">
        <v>58</v>
      </c>
      <c r="F13" s="51">
        <v>101001456</v>
      </c>
      <c r="G13" s="52"/>
      <c r="H13" s="52"/>
      <c r="I13" s="52"/>
      <c r="J13" s="51" t="s">
        <v>51</v>
      </c>
      <c r="K13" s="51" t="s">
        <v>50</v>
      </c>
      <c r="L13" s="51" t="s">
        <v>49</v>
      </c>
      <c r="M13" s="51" t="s">
        <v>57</v>
      </c>
      <c r="N13" s="51" t="s">
        <v>47</v>
      </c>
      <c r="O13" s="51" t="s">
        <v>46</v>
      </c>
      <c r="P13" s="50">
        <v>63000</v>
      </c>
      <c r="Q13" s="50">
        <v>63000</v>
      </c>
      <c r="R13" s="49">
        <v>44888</v>
      </c>
      <c r="S13" s="49">
        <v>44888</v>
      </c>
      <c r="T13" s="48">
        <v>66150</v>
      </c>
      <c r="U13" s="48">
        <f>(Q13/P13)*T13</f>
        <v>66150</v>
      </c>
    </row>
    <row r="14" spans="1:21" x14ac:dyDescent="0.35">
      <c r="A14" s="51" t="s">
        <v>56</v>
      </c>
      <c r="B14" s="51" t="s">
        <v>55</v>
      </c>
      <c r="C14" s="51" t="s">
        <v>54</v>
      </c>
      <c r="D14" s="51" t="s">
        <v>53</v>
      </c>
      <c r="E14" s="51" t="s">
        <v>52</v>
      </c>
      <c r="F14" s="51">
        <v>101001467</v>
      </c>
      <c r="G14" s="52"/>
      <c r="H14" s="52"/>
      <c r="I14" s="52"/>
      <c r="J14" s="51" t="s">
        <v>51</v>
      </c>
      <c r="K14" s="51" t="s">
        <v>50</v>
      </c>
      <c r="L14" s="51" t="s">
        <v>49</v>
      </c>
      <c r="M14" s="51" t="s">
        <v>48</v>
      </c>
      <c r="N14" s="51" t="s">
        <v>47</v>
      </c>
      <c r="O14" s="51" t="s">
        <v>46</v>
      </c>
      <c r="P14" s="50">
        <v>51500</v>
      </c>
      <c r="Q14" s="50">
        <v>51500</v>
      </c>
      <c r="R14" s="49">
        <v>44893</v>
      </c>
      <c r="S14" s="49">
        <v>44893</v>
      </c>
      <c r="T14" s="48">
        <v>54075</v>
      </c>
      <c r="U14" s="48">
        <f>(Q14/P14)*T14</f>
        <v>54075</v>
      </c>
    </row>
    <row r="15" spans="1:21" x14ac:dyDescent="0.35">
      <c r="P15" s="47"/>
      <c r="Q15" s="60">
        <f>SUM(Q2:Q14)</f>
        <v>4441976.45</v>
      </c>
    </row>
    <row r="16" spans="1:21" x14ac:dyDescent="0.35">
      <c r="Q16" s="63">
        <v>2043000</v>
      </c>
    </row>
    <row r="17" spans="17:17" x14ac:dyDescent="0.35">
      <c r="Q17" s="47">
        <f>SUM(Q15:Q16)</f>
        <v>6484976.4500000002</v>
      </c>
    </row>
  </sheetData>
  <autoFilter ref="A1:U14"/>
  <mergeCells count="4">
    <mergeCell ref="T4:T5"/>
    <mergeCell ref="U4:U5"/>
    <mergeCell ref="T9:T10"/>
    <mergeCell ref="U9:U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9"/>
  <sheetViews>
    <sheetView showGridLines="0" topLeftCell="G1" zoomScale="150" zoomScaleNormal="150" workbookViewId="0">
      <selection activeCell="N10" sqref="N10"/>
    </sheetView>
  </sheetViews>
  <sheetFormatPr defaultColWidth="9.1796875" defaultRowHeight="14.5" x14ac:dyDescent="0.35"/>
  <cols>
    <col min="1" max="1" width="3.26953125" style="4" customWidth="1"/>
    <col min="2" max="2" width="5.54296875" style="4" customWidth="1"/>
    <col min="3" max="3" width="18.08984375" style="4" customWidth="1"/>
    <col min="4" max="4" width="11.08984375" style="3" customWidth="1"/>
    <col min="5" max="7" width="12.08984375" style="3" customWidth="1"/>
    <col min="8" max="8" width="14.26953125" style="3" customWidth="1"/>
    <col min="9" max="9" width="15.1796875" style="3" customWidth="1"/>
    <col min="10" max="11" width="11.6328125" style="4" customWidth="1"/>
    <col min="12" max="12" width="12.36328125" style="4" customWidth="1"/>
    <col min="13" max="13" width="11.81640625" style="4" customWidth="1"/>
    <col min="14" max="16384" width="9.1796875" style="4"/>
  </cols>
  <sheetData>
    <row r="1" spans="2:15" ht="15" customHeight="1" x14ac:dyDescent="0.35">
      <c r="B1" s="1"/>
      <c r="C1" s="1"/>
      <c r="D1" s="2"/>
      <c r="E1" s="2"/>
      <c r="F1" s="2"/>
      <c r="G1" s="2"/>
      <c r="H1" s="2"/>
    </row>
    <row r="2" spans="2:15" ht="15" customHeight="1" x14ac:dyDescent="0.35">
      <c r="B2" s="5"/>
      <c r="C2" s="5"/>
      <c r="D2" s="6"/>
      <c r="E2" s="6"/>
      <c r="F2" s="6"/>
      <c r="G2" s="6"/>
      <c r="H2" s="6"/>
    </row>
    <row r="3" spans="2:15" ht="15" customHeight="1" x14ac:dyDescent="0.35">
      <c r="B3" s="7"/>
      <c r="C3" s="7"/>
      <c r="D3" s="8"/>
      <c r="E3" s="8"/>
      <c r="F3" s="8"/>
      <c r="G3" s="8"/>
      <c r="H3" s="8"/>
    </row>
    <row r="4" spans="2:15" x14ac:dyDescent="0.35">
      <c r="M4" s="21"/>
    </row>
    <row r="5" spans="2:15" s="9" customFormat="1" ht="42" x14ac:dyDescent="0.35">
      <c r="B5" s="22" t="s">
        <v>0</v>
      </c>
      <c r="C5" s="22" t="s">
        <v>1</v>
      </c>
      <c r="D5" s="23" t="s">
        <v>2</v>
      </c>
      <c r="E5" s="23" t="s">
        <v>3</v>
      </c>
      <c r="F5" s="23" t="s">
        <v>4</v>
      </c>
      <c r="G5" s="23" t="s">
        <v>5</v>
      </c>
      <c r="H5" s="24" t="s">
        <v>6</v>
      </c>
      <c r="I5" s="24" t="s">
        <v>7</v>
      </c>
      <c r="J5" s="23" t="s">
        <v>8</v>
      </c>
      <c r="K5" s="25" t="s">
        <v>9</v>
      </c>
      <c r="L5" s="26" t="s">
        <v>13</v>
      </c>
      <c r="M5" s="26" t="s">
        <v>16</v>
      </c>
      <c r="N5" s="26" t="s">
        <v>14</v>
      </c>
      <c r="O5" s="26" t="s">
        <v>15</v>
      </c>
    </row>
    <row r="6" spans="2:15" x14ac:dyDescent="0.35">
      <c r="B6" s="10" t="s">
        <v>10</v>
      </c>
      <c r="C6" s="10" t="s">
        <v>11</v>
      </c>
      <c r="D6" s="11">
        <v>2500000</v>
      </c>
      <c r="E6" s="12">
        <v>191704.51</v>
      </c>
      <c r="F6" s="11">
        <v>1406000</v>
      </c>
      <c r="G6" s="12">
        <v>2627342.13</v>
      </c>
      <c r="H6" s="11">
        <v>6000000</v>
      </c>
      <c r="I6" s="12">
        <f>4348920</f>
        <v>4348920</v>
      </c>
      <c r="J6" s="13">
        <v>3150000</v>
      </c>
      <c r="K6" s="20">
        <v>172100</v>
      </c>
      <c r="L6" s="14">
        <v>3000000</v>
      </c>
      <c r="M6" s="14">
        <f>'CE Budget'!H7</f>
        <v>3666100</v>
      </c>
      <c r="N6" s="14">
        <f>'CE Budget'!I7</f>
        <v>4032710</v>
      </c>
      <c r="O6" s="14">
        <f>'CE Budget'!J7</f>
        <v>4435981</v>
      </c>
    </row>
    <row r="7" spans="2:15" x14ac:dyDescent="0.35">
      <c r="B7" s="15" t="s">
        <v>12</v>
      </c>
      <c r="C7" s="15"/>
      <c r="D7" s="16">
        <f t="shared" ref="D7:O7" si="0">SUM(D6:D6)</f>
        <v>2500000</v>
      </c>
      <c r="E7" s="16">
        <f>'CE '!E11</f>
        <v>0</v>
      </c>
      <c r="F7" s="16">
        <f t="shared" si="0"/>
        <v>1406000</v>
      </c>
      <c r="G7" s="16">
        <f t="shared" si="0"/>
        <v>2627342.13</v>
      </c>
      <c r="H7" s="16">
        <f t="shared" si="0"/>
        <v>6000000</v>
      </c>
      <c r="I7" s="16">
        <f>'CE Budget'!E7</f>
        <v>6412128.4500000002</v>
      </c>
      <c r="J7" s="16">
        <f t="shared" si="0"/>
        <v>3150000</v>
      </c>
      <c r="K7" s="16">
        <f>SUM(K6)</f>
        <v>172100</v>
      </c>
      <c r="L7" s="16">
        <f t="shared" si="0"/>
        <v>3000000</v>
      </c>
      <c r="M7" s="16">
        <f t="shared" si="0"/>
        <v>3666100</v>
      </c>
      <c r="N7" s="16">
        <f t="shared" si="0"/>
        <v>4032710</v>
      </c>
      <c r="O7" s="16">
        <f t="shared" si="0"/>
        <v>4435981</v>
      </c>
    </row>
    <row r="8" spans="2:15" ht="15" customHeight="1" x14ac:dyDescent="0.35">
      <c r="B8" s="17"/>
      <c r="C8" s="17"/>
      <c r="D8" s="18"/>
      <c r="E8" s="18"/>
      <c r="F8" s="18"/>
      <c r="G8" s="18"/>
      <c r="H8" s="18"/>
      <c r="I8" s="18"/>
    </row>
    <row r="9" spans="2:15" x14ac:dyDescent="0.35">
      <c r="I9" s="44"/>
      <c r="M9" s="19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"/>
  <sheetViews>
    <sheetView topLeftCell="B1" workbookViewId="0">
      <selection activeCell="C17" sqref="C17"/>
    </sheetView>
  </sheetViews>
  <sheetFormatPr defaultRowHeight="14.5" x14ac:dyDescent="0.35"/>
  <cols>
    <col min="2" max="2" width="30.7265625" customWidth="1"/>
    <col min="3" max="5" width="20.7265625" customWidth="1"/>
    <col min="6" max="6" width="20.90625" customWidth="1"/>
    <col min="7" max="7" width="17.26953125" customWidth="1"/>
    <col min="8" max="8" width="17.453125" customWidth="1"/>
    <col min="9" max="9" width="18.26953125" customWidth="1"/>
  </cols>
  <sheetData>
    <row r="1" spans="2:9" ht="32.5" customHeight="1" x14ac:dyDescent="0.35">
      <c r="B1" s="34" t="s">
        <v>29</v>
      </c>
      <c r="C1" s="34" t="s">
        <v>26</v>
      </c>
      <c r="D1" s="34" t="s">
        <v>31</v>
      </c>
      <c r="E1" s="34" t="s">
        <v>30</v>
      </c>
      <c r="F1" s="42" t="s">
        <v>39</v>
      </c>
      <c r="G1" s="42" t="s">
        <v>38</v>
      </c>
      <c r="H1" s="42" t="s">
        <v>44</v>
      </c>
      <c r="I1" s="42" t="s">
        <v>45</v>
      </c>
    </row>
    <row r="2" spans="2:9" ht="15.5" x14ac:dyDescent="0.35">
      <c r="B2" s="27" t="s">
        <v>24</v>
      </c>
      <c r="C2" s="30" t="s">
        <v>25</v>
      </c>
      <c r="D2" s="30">
        <v>130</v>
      </c>
      <c r="E2" s="33">
        <f>F2/130</f>
        <v>0</v>
      </c>
      <c r="F2" s="31"/>
      <c r="G2" s="38">
        <f>1650000</f>
        <v>1650000</v>
      </c>
      <c r="H2" s="38">
        <f>G2*10%+G2</f>
        <v>1815000</v>
      </c>
      <c r="I2" s="38">
        <f>H2*10%+H2</f>
        <v>1996500</v>
      </c>
    </row>
    <row r="3" spans="2:9" ht="15.5" x14ac:dyDescent="0.35">
      <c r="B3" s="27"/>
      <c r="C3" s="30"/>
      <c r="D3" s="30"/>
      <c r="E3" s="33"/>
      <c r="F3" s="31"/>
    </row>
    <row r="4" spans="2:9" ht="31" x14ac:dyDescent="0.35">
      <c r="B4" s="34" t="s">
        <v>28</v>
      </c>
      <c r="C4" s="34" t="s">
        <v>26</v>
      </c>
      <c r="D4" s="34" t="s">
        <v>34</v>
      </c>
      <c r="E4" s="34" t="s">
        <v>35</v>
      </c>
      <c r="F4" s="42" t="s">
        <v>39</v>
      </c>
      <c r="G4" s="42" t="s">
        <v>38</v>
      </c>
      <c r="H4" s="42" t="s">
        <v>44</v>
      </c>
      <c r="I4" s="42" t="s">
        <v>45</v>
      </c>
    </row>
    <row r="5" spans="2:9" ht="15.5" x14ac:dyDescent="0.35">
      <c r="B5" s="29" t="s">
        <v>27</v>
      </c>
      <c r="C5" s="32" t="s">
        <v>32</v>
      </c>
      <c r="D5" s="36">
        <v>41</v>
      </c>
      <c r="E5" s="35">
        <v>64200</v>
      </c>
      <c r="F5" s="31">
        <f>D5*E5/2</f>
        <v>1316100</v>
      </c>
      <c r="G5" s="31">
        <f>F5</f>
        <v>1316100</v>
      </c>
      <c r="H5" s="31">
        <f>G5*10%+G5</f>
        <v>1447710</v>
      </c>
      <c r="I5" s="31">
        <f>H5*10%+H5</f>
        <v>1592481</v>
      </c>
    </row>
    <row r="6" spans="2:9" ht="15.5" x14ac:dyDescent="0.35">
      <c r="B6" s="29" t="s">
        <v>21</v>
      </c>
      <c r="C6" s="32" t="s">
        <v>33</v>
      </c>
      <c r="D6" s="36">
        <v>1</v>
      </c>
      <c r="E6" s="35">
        <v>180000</v>
      </c>
      <c r="F6" s="31">
        <f t="shared" ref="F6" si="0">D6*E6</f>
        <v>180000</v>
      </c>
      <c r="G6" s="31"/>
      <c r="H6" s="31"/>
      <c r="I6" s="31"/>
    </row>
    <row r="7" spans="2:9" ht="15.5" x14ac:dyDescent="0.35">
      <c r="B7" s="29" t="s">
        <v>22</v>
      </c>
      <c r="C7" s="32" t="s">
        <v>32</v>
      </c>
      <c r="D7" s="37">
        <v>10</v>
      </c>
      <c r="E7" s="35">
        <v>65000</v>
      </c>
      <c r="F7" s="31">
        <v>0</v>
      </c>
      <c r="G7" s="31">
        <v>700000</v>
      </c>
      <c r="H7" s="31">
        <f>G7*10%+G7</f>
        <v>770000</v>
      </c>
      <c r="I7" s="31">
        <f>H7*10%+H7</f>
        <v>847000</v>
      </c>
    </row>
    <row r="8" spans="2:9" ht="15.5" x14ac:dyDescent="0.35">
      <c r="B8" s="29" t="s">
        <v>36</v>
      </c>
      <c r="C8" s="28"/>
      <c r="D8" s="28"/>
      <c r="E8" s="28"/>
      <c r="F8" s="31">
        <f>SUM(F5:F7)</f>
        <v>1496100</v>
      </c>
      <c r="G8" s="38">
        <f>SUM(G5:G7)</f>
        <v>2016100</v>
      </c>
      <c r="H8" s="38">
        <f t="shared" ref="H8:I8" si="1">SUM(H5:H7)</f>
        <v>2217710</v>
      </c>
      <c r="I8" s="38">
        <f t="shared" si="1"/>
        <v>2439481</v>
      </c>
    </row>
    <row r="9" spans="2:9" ht="15.5" x14ac:dyDescent="0.35">
      <c r="B9" s="39" t="s">
        <v>37</v>
      </c>
      <c r="C9" s="40"/>
      <c r="D9" s="40"/>
      <c r="E9" s="40"/>
      <c r="F9" s="41">
        <f>F2+F8</f>
        <v>1496100</v>
      </c>
      <c r="G9" s="43">
        <f>G2+G8</f>
        <v>3666100</v>
      </c>
      <c r="H9" s="43">
        <f t="shared" ref="H9:I9" si="2">H2+H8</f>
        <v>4032710</v>
      </c>
      <c r="I9" s="43">
        <f t="shared" si="2"/>
        <v>4435981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 Budget</vt:lpstr>
      <vt:lpstr>Transactions</vt:lpstr>
      <vt:lpstr>CE </vt:lpstr>
      <vt:lpstr>Expected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2023-07-27T13:11:45Z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