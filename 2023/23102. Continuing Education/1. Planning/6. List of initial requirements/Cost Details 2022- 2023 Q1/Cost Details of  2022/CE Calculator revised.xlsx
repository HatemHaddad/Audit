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fajardo\Desktop\KU\Memo\"/>
    </mc:Choice>
  </mc:AlternateContent>
  <bookViews>
    <workbookView xWindow="0" yWindow="0" windowWidth="19200" windowHeight="6550"/>
  </bookViews>
  <sheets>
    <sheet name="Course Calculator" sheetId="8" r:id="rId1"/>
    <sheet name="Data" sheetId="7" r:id="rId2"/>
    <sheet name="Faculty &amp; Preparation Cost" sheetId="9" r:id="rId3"/>
  </sheets>
  <definedNames>
    <definedName name="Catering">Data!$H$2:$H$23</definedName>
    <definedName name="CateringCost">Data!$I$2:$I$22</definedName>
    <definedName name="InstPayment">Data!$C$2:$C$22</definedName>
    <definedName name="Instructor">Data!$A$2:$A$149</definedName>
    <definedName name="PMCost">Data!$K$2:$K$22</definedName>
    <definedName name="ProductionMaterial">Data!$J$2:$J$22</definedName>
    <definedName name="Rank">Data!$B$2:$B$22</definedName>
    <definedName name="Stationaries">Data!$D$2:$D$22</definedName>
    <definedName name="StationariesCost">Data!$E$2:$E$22</definedName>
    <definedName name="Venue">Data!$F$2:$F$22</definedName>
    <definedName name="VenueCost">Data!$G$2:$G$23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5" i="8" l="1"/>
  <c r="C52" i="8" l="1"/>
  <c r="D52" i="8" s="1"/>
  <c r="C45" i="8"/>
  <c r="C44" i="8" l="1"/>
  <c r="B50" i="8" l="1"/>
  <c r="C50" i="8"/>
  <c r="D50" i="8" l="1"/>
  <c r="C26" i="8"/>
  <c r="B43" i="8" l="1"/>
  <c r="B44" i="8" l="1"/>
  <c r="B39" i="8" l="1"/>
  <c r="B51" i="8"/>
  <c r="B49" i="8"/>
  <c r="C43" i="8"/>
  <c r="C27" i="8"/>
  <c r="C28" i="8"/>
  <c r="C29" i="8"/>
  <c r="C30" i="8"/>
  <c r="C31" i="8"/>
  <c r="C32" i="8"/>
  <c r="C33" i="8"/>
  <c r="C34" i="8"/>
  <c r="C35" i="8"/>
  <c r="C36" i="8"/>
  <c r="C17" i="8"/>
  <c r="C3" i="9" l="1"/>
  <c r="F3" i="9" s="1"/>
  <c r="C4" i="9"/>
  <c r="F4" i="9" s="1"/>
  <c r="C2" i="9"/>
  <c r="F2" i="9" l="1"/>
  <c r="H2" i="9" s="1"/>
  <c r="G4" i="9"/>
  <c r="I4" i="9" s="1"/>
  <c r="H4" i="9"/>
  <c r="G3" i="9"/>
  <c r="I3" i="9" s="1"/>
  <c r="H3" i="9"/>
  <c r="D17" i="8"/>
  <c r="D18" i="8"/>
  <c r="D19" i="8"/>
  <c r="D20" i="8"/>
  <c r="D21" i="8"/>
  <c r="D57" i="8"/>
  <c r="D56" i="8"/>
  <c r="D55" i="8"/>
  <c r="E54" i="8"/>
  <c r="C51" i="8"/>
  <c r="D51" i="8" s="1"/>
  <c r="C49" i="8"/>
  <c r="D49" i="8" s="1"/>
  <c r="C48" i="8"/>
  <c r="D45" i="8"/>
  <c r="D44" i="8"/>
  <c r="C40" i="8"/>
  <c r="D40" i="8" s="1"/>
  <c r="C39" i="8"/>
  <c r="D39" i="8" s="1"/>
  <c r="D36" i="8"/>
  <c r="D35" i="8"/>
  <c r="D34" i="8"/>
  <c r="D33" i="8"/>
  <c r="D32" i="8"/>
  <c r="D31" i="8"/>
  <c r="D30" i="8"/>
  <c r="D29" i="8"/>
  <c r="D28" i="8"/>
  <c r="D27" i="8"/>
  <c r="D26" i="8"/>
  <c r="D48" i="8" l="1"/>
  <c r="E47" i="8"/>
  <c r="M4" i="7"/>
  <c r="M5" i="7"/>
  <c r="M3" i="7"/>
  <c r="C23" i="8" s="1"/>
  <c r="E23" i="8" s="1"/>
  <c r="G2" i="9"/>
  <c r="I2" i="9" s="1"/>
  <c r="E42" i="8"/>
  <c r="D43" i="8"/>
  <c r="E25" i="8"/>
  <c r="E15" i="8"/>
  <c r="E38" i="8"/>
  <c r="I8" i="8" l="1"/>
  <c r="I10" i="8"/>
  <c r="I12" i="8" s="1"/>
  <c r="I15" i="8" s="1"/>
  <c r="E16" i="8"/>
  <c r="I16" i="8" l="1"/>
  <c r="I17" i="8" s="1"/>
  <c r="I18" i="8" s="1"/>
  <c r="I13" i="8"/>
</calcChain>
</file>

<file path=xl/comments1.xml><?xml version="1.0" encoding="utf-8"?>
<comments xmlns="http://schemas.openxmlformats.org/spreadsheetml/2006/main">
  <authors>
    <author>Ebrahim Al Hajri</author>
    <author>Will Hipwell</author>
  </authors>
  <commentList>
    <comment ref="I8" authorId="0" shapeId="0">
      <text>
        <r>
          <rPr>
            <b/>
            <sz val="9"/>
            <color indexed="81"/>
            <rFont val="Tahoma"/>
            <family val="2"/>
          </rPr>
          <t>Ebrahim Al Hajri:</t>
        </r>
        <r>
          <rPr>
            <sz val="9"/>
            <color indexed="81"/>
            <rFont val="Tahoma"/>
            <family val="2"/>
          </rPr>
          <t xml:space="preserve">
This is how much the course costs PI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Ebrahim Al Hajri:</t>
        </r>
        <r>
          <rPr>
            <sz val="9"/>
            <color indexed="81"/>
            <rFont val="Tahoma"/>
            <family val="2"/>
          </rPr>
          <t xml:space="preserve">
This is the % of revenue that we are adding to the course actual cost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Ebrahim Al Hajri:</t>
        </r>
        <r>
          <rPr>
            <sz val="9"/>
            <color indexed="81"/>
            <rFont val="Tahoma"/>
            <family val="2"/>
          </rPr>
          <t xml:space="preserve">
This is how much PI is making out of this course</t>
        </r>
      </text>
    </comment>
    <comment ref="A15" authorId="1" shapeId="0">
      <text>
        <r>
          <rPr>
            <sz val="8"/>
            <color indexed="81"/>
            <rFont val="Tahoma"/>
            <family val="2"/>
          </rPr>
          <t>Internal labor costs (estimated day x daily rate of pay).</t>
        </r>
      </text>
    </comment>
    <comment ref="A22" authorId="1" shapeId="0">
      <text>
        <r>
          <rPr>
            <sz val="8"/>
            <color indexed="81"/>
            <rFont val="Tahoma"/>
            <family val="2"/>
          </rPr>
          <t xml:space="preserve">Cost incurred from vendor and contractor fees (can be input directly from a vendor's quote or billing statement). </t>
        </r>
      </text>
    </comment>
    <comment ref="A25" authorId="1" shapeId="0">
      <text>
        <r>
          <rPr>
            <sz val="8"/>
            <color indexed="81"/>
            <rFont val="Tahoma"/>
            <family val="2"/>
          </rPr>
          <t>Production and materials such as: printing, video taping,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38" authorId="1" shapeId="0">
      <text>
        <r>
          <rPr>
            <sz val="8"/>
            <color indexed="81"/>
            <rFont val="Tahoma"/>
            <family val="2"/>
          </rPr>
          <t>Classroom Size,
select large, medium or small</t>
        </r>
      </text>
    </comment>
    <comment ref="A42" authorId="1" shapeId="0">
      <text>
        <r>
          <rPr>
            <sz val="8"/>
            <color indexed="81"/>
            <rFont val="Tahoma"/>
            <family val="2"/>
          </rPr>
          <t>Catering cost based on either in house orders or from outside vendors</t>
        </r>
      </text>
    </comment>
    <comment ref="A47" authorId="1" shapeId="0">
      <text>
        <r>
          <rPr>
            <sz val="8"/>
            <color indexed="81"/>
            <rFont val="Tahoma"/>
            <family val="2"/>
          </rPr>
          <t>Stationary cost such as: fliip-charts, notebook, pens etc.</t>
        </r>
      </text>
    </comment>
    <comment ref="A54" authorId="1" shapeId="0">
      <text>
        <r>
          <rPr>
            <sz val="8"/>
            <color indexed="81"/>
            <rFont val="Tahoma"/>
            <family val="2"/>
          </rPr>
          <t>Other one-time costs not addressed above.</t>
        </r>
      </text>
    </comment>
  </commentList>
</comments>
</file>

<file path=xl/sharedStrings.xml><?xml version="1.0" encoding="utf-8"?>
<sst xmlns="http://schemas.openxmlformats.org/spreadsheetml/2006/main" count="164" uniqueCount="117">
  <si>
    <t>Rate</t>
  </si>
  <si>
    <t>Describe Here</t>
  </si>
  <si>
    <t>Total internal labor costs for developing the course</t>
  </si>
  <si>
    <t>How many students per class</t>
  </si>
  <si>
    <t>Class Demographics</t>
  </si>
  <si>
    <t>TOTAL COST</t>
  </si>
  <si>
    <t>ONE-TIME DEVELOPMENT COSTS</t>
  </si>
  <si>
    <t>Personnel Costs</t>
  </si>
  <si>
    <t>Production &amp; Material Costs</t>
  </si>
  <si>
    <t>Total production &amp; material costs</t>
  </si>
  <si>
    <t>Total miscellaneous costs</t>
  </si>
  <si>
    <t>Miscellaneous Costs</t>
  </si>
  <si>
    <t>Rank</t>
  </si>
  <si>
    <t>Instructor</t>
  </si>
  <si>
    <t>Venue</t>
  </si>
  <si>
    <t>Ali Al Sumaiti</t>
  </si>
  <si>
    <t>Abukari Idriss</t>
  </si>
  <si>
    <t>Bisweswar Ghosh</t>
  </si>
  <si>
    <t>Clarence Rorigues</t>
  </si>
  <si>
    <t>Guo Tao</t>
  </si>
  <si>
    <t>Hadi Belhaj</t>
  </si>
  <si>
    <t>Jorge Gomes</t>
  </si>
  <si>
    <t>John Williams</t>
  </si>
  <si>
    <t>Jonathan Hujo</t>
  </si>
  <si>
    <t>Jaby Mohammed</t>
  </si>
  <si>
    <t>Jeyalal Jeyaseelan</t>
  </si>
  <si>
    <t>Mahmoud Meribout</t>
  </si>
  <si>
    <t>Mohammed Motiur Rahman</t>
  </si>
  <si>
    <t>Mohammed Ali</t>
  </si>
  <si>
    <t>Mimoune Kissami</t>
  </si>
  <si>
    <t>Navaz Kannu</t>
  </si>
  <si>
    <t>Rodney Simmons</t>
  </si>
  <si>
    <t>Samuel Osisanya</t>
  </si>
  <si>
    <t>Stephen Lokier</t>
  </si>
  <si>
    <t>Sadoon Morad</t>
  </si>
  <si>
    <t>Coordinator</t>
  </si>
  <si>
    <t>Stationaries</t>
  </si>
  <si>
    <t>Catering</t>
  </si>
  <si>
    <t>Flip Chart</t>
  </si>
  <si>
    <t>Notebooks</t>
  </si>
  <si>
    <t>Pens</t>
  </si>
  <si>
    <t>Posters</t>
  </si>
  <si>
    <t>Banners</t>
  </si>
  <si>
    <t>Large</t>
  </si>
  <si>
    <t>Small</t>
  </si>
  <si>
    <t>Course Duration (in days)</t>
  </si>
  <si>
    <t>Color Printing</t>
  </si>
  <si>
    <t>B&amp;W Printing</t>
  </si>
  <si>
    <t>Video Taping</t>
  </si>
  <si>
    <t>Computers</t>
  </si>
  <si>
    <t>Extra Projector</t>
  </si>
  <si>
    <t>Classroom Cost</t>
  </si>
  <si>
    <t>Total Classroom Cost</t>
  </si>
  <si>
    <t>Catering Costs</t>
  </si>
  <si>
    <t>Total Catering costs</t>
  </si>
  <si>
    <t>Stationaries Costs</t>
  </si>
  <si>
    <t>Total Stationaries costs</t>
  </si>
  <si>
    <t>P&amp;M Cost</t>
  </si>
  <si>
    <t>Please select from list</t>
  </si>
  <si>
    <t>In House Breakfast</t>
  </si>
  <si>
    <t>In House Lunch</t>
  </si>
  <si>
    <t>In House Coffee Breaks</t>
  </si>
  <si>
    <t>Outside Breakfast</t>
  </si>
  <si>
    <t>Outside Coffee Breaks</t>
  </si>
  <si>
    <t>Quantity</t>
  </si>
  <si>
    <t>Days</t>
  </si>
  <si>
    <t>Continuing Education Course Cost Calculation</t>
  </si>
  <si>
    <t>Marker 12pc</t>
  </si>
  <si>
    <t>A4 Divider</t>
  </si>
  <si>
    <t>Binding</t>
  </si>
  <si>
    <t>A4 Folders</t>
  </si>
  <si>
    <t>Enter as a % of revenue from this course</t>
  </si>
  <si>
    <t>Cost</t>
  </si>
  <si>
    <t>Price</t>
  </si>
  <si>
    <t>Actual Course Cost</t>
  </si>
  <si>
    <t xml:space="preserve">Course Revenue </t>
  </si>
  <si>
    <t>Aldo Vesnaver</t>
  </si>
  <si>
    <t>Pier Paolo Bruno</t>
  </si>
  <si>
    <t>Igor Boiko</t>
  </si>
  <si>
    <t>Medium</t>
  </si>
  <si>
    <t>Baker Mohammad</t>
  </si>
  <si>
    <t>For Courses Conducted by KU Faculty &amp; Staff</t>
  </si>
  <si>
    <t xml:space="preserve">Average gross salary </t>
  </si>
  <si>
    <t>Full Professor</t>
  </si>
  <si>
    <t>Associate Professor</t>
  </si>
  <si>
    <t>Assistant Professor</t>
  </si>
  <si>
    <t>Cost Per 22 Days</t>
  </si>
  <si>
    <t>Instructor Payment Per Day ($)</t>
  </si>
  <si>
    <t>Instructor Payment Per Day (AED)</t>
  </si>
  <si>
    <t>Total Instructor Cost Per Day</t>
  </si>
  <si>
    <t>Total Instructor Cost Per Day ($)</t>
  </si>
  <si>
    <t>Select is the course is New or Existing</t>
  </si>
  <si>
    <t>Course Preparation</t>
  </si>
  <si>
    <t>New</t>
  </si>
  <si>
    <t>Existing</t>
  </si>
  <si>
    <t>Preparation</t>
  </si>
  <si>
    <t>Revised</t>
  </si>
  <si>
    <t>Cost per student</t>
  </si>
  <si>
    <t>Total Instructor Cost Per Hour</t>
  </si>
  <si>
    <t>Total Instructor Cost Per Hour ($)</t>
  </si>
  <si>
    <t>Ernesto Damiani</t>
  </si>
  <si>
    <t>Arafat Al Dweik</t>
  </si>
  <si>
    <t>Ameena Al Sumaiti</t>
  </si>
  <si>
    <t xml:space="preserve">Pencil </t>
  </si>
  <si>
    <t>Instructor
Payment</t>
  </si>
  <si>
    <t>Stationaries 
Cost</t>
  </si>
  <si>
    <t>Venue 
Cost</t>
  </si>
  <si>
    <t>KU Catering 
Cost</t>
  </si>
  <si>
    <t>Production 
&amp;
 Material</t>
  </si>
  <si>
    <t>Prepration Cost</t>
  </si>
  <si>
    <t>Youcef Bouzidi</t>
  </si>
  <si>
    <t>Basic</t>
  </si>
  <si>
    <t>Mid Range</t>
  </si>
  <si>
    <t>Medical Course</t>
  </si>
  <si>
    <t>Outside Lunch vouchers</t>
  </si>
  <si>
    <t xml:space="preserve">Total </t>
  </si>
  <si>
    <t>Profit Margin 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</si>
</sst>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6" formatCode="&quot;$&quot;#,##0_);[Red]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[$AED]\ #,##0.00"/>
    <numFmt numFmtId="165" formatCode="[$AED]\ #,##0"/>
    <numFmt numFmtId="166" formatCode="&quot;$&quot;#,##0"/>
    <numFmt numFmtId="167" formatCode="[$AED]\ #,##0.00_);\([$AED]\ #,##0.00\)"/>
    <numFmt numFmtId="168" formatCode="_([$AED]\ * #,##0_);_([$AED]\ * \(#,##0\);_([$AED]\ * &quot;-&quot;_);_(@_)"/>
    <numFmt numFmtId="169" formatCode="&quot;$&quot;#,##0.00"/>
  </numFmts>
  <fonts count="35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u/>
      <sz val="8"/>
      <name val="Arial"/>
      <family val="2"/>
    </font>
    <font>
      <i/>
      <sz val="8"/>
      <name val="Arial"/>
      <family val="2"/>
    </font>
    <font>
      <b/>
      <i/>
      <u/>
      <sz val="8"/>
      <name val="Arial"/>
      <family val="2"/>
    </font>
    <font>
      <sz val="8"/>
      <color indexed="81"/>
      <name val="Tahoma"/>
      <family val="2"/>
    </font>
    <font>
      <b/>
      <sz val="12"/>
      <name val="Verdana"/>
      <family val="2"/>
    </font>
    <font>
      <b/>
      <i/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i/>
      <sz val="8"/>
      <name val="Verdana"/>
      <family val="2"/>
    </font>
    <font>
      <sz val="10"/>
      <name val="Arial"/>
      <family val="2"/>
    </font>
    <font>
      <i/>
      <sz val="10"/>
      <color theme="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theme="3" tint="-0.249977111117893"/>
      <name val="Verdana"/>
      <family val="2"/>
    </font>
    <font>
      <i/>
      <sz val="10"/>
      <color theme="3" tint="-0.499984740745262"/>
      <name val="Verdana"/>
      <family val="2"/>
    </font>
    <font>
      <b/>
      <i/>
      <u/>
      <sz val="8"/>
      <color theme="3" tint="-0.499984740745262"/>
      <name val="Verdana"/>
      <family val="2"/>
    </font>
    <font>
      <sz val="8"/>
      <color theme="3" tint="-0.499984740745262"/>
      <name val="Verdana"/>
      <family val="2"/>
    </font>
    <font>
      <b/>
      <sz val="8"/>
      <color theme="3" tint="-0.499984740745262"/>
      <name val="Verdana"/>
      <family val="2"/>
    </font>
    <font>
      <i/>
      <sz val="8"/>
      <color theme="3" tint="-0.499984740745262"/>
      <name val="Verdana"/>
      <family val="2"/>
    </font>
    <font>
      <sz val="8"/>
      <color theme="3" tint="-0.499984740745262"/>
      <name val="Arial"/>
      <family val="2"/>
    </font>
    <font>
      <b/>
      <i/>
      <u/>
      <sz val="8"/>
      <color theme="3" tint="-0.499984740745262"/>
      <name val="Arial"/>
      <family val="2"/>
    </font>
    <font>
      <b/>
      <u/>
      <sz val="8"/>
      <color theme="3" tint="-0.499984740745262"/>
      <name val="Arial"/>
      <family val="2"/>
    </font>
    <font>
      <b/>
      <sz val="8"/>
      <color theme="3" tint="-0.499984740745262"/>
      <name val="Arial"/>
      <family val="2"/>
    </font>
    <font>
      <i/>
      <sz val="8"/>
      <color theme="3" tint="-0.499984740745262"/>
      <name val="Arial"/>
      <family val="2"/>
    </font>
    <font>
      <b/>
      <i/>
      <sz val="8"/>
      <color theme="3" tint="-0.499984740745262"/>
      <name val="Arial"/>
      <family val="2"/>
    </font>
    <font>
      <b/>
      <i/>
      <sz val="8"/>
      <color theme="3" tint="-0.499984740745262"/>
      <name val="Verdana"/>
      <family val="2"/>
    </font>
    <font>
      <b/>
      <sz val="10"/>
      <color theme="3" tint="-0.499984740745262"/>
      <name val="Arial"/>
      <family val="2"/>
    </font>
    <font>
      <sz val="10"/>
      <color theme="3" tint="-0.499984740745262"/>
      <name val="Arial"/>
      <family val="2"/>
    </font>
    <font>
      <b/>
      <sz val="11"/>
      <color theme="3" tint="-0.499984740745262"/>
      <name val="Arial"/>
      <family val="2"/>
    </font>
    <font>
      <sz val="11"/>
      <color theme="3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3" fillId="0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Fill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left" vertical="center"/>
    </xf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/>
    <xf numFmtId="0" fontId="13" fillId="5" borderId="0" xfId="0" applyFont="1" applyFill="1" applyBorder="1" applyAlignment="1">
      <alignment horizontal="center"/>
    </xf>
    <xf numFmtId="0" fontId="13" fillId="5" borderId="0" xfId="0" applyFont="1" applyFill="1"/>
    <xf numFmtId="0" fontId="7" fillId="5" borderId="0" xfId="0" applyFont="1" applyFill="1"/>
    <xf numFmtId="0" fontId="3" fillId="5" borderId="0" xfId="0" applyFont="1" applyFill="1"/>
    <xf numFmtId="0" fontId="5" fillId="5" borderId="0" xfId="0" applyFont="1" applyFill="1"/>
    <xf numFmtId="0" fontId="2" fillId="5" borderId="0" xfId="0" applyFont="1" applyFill="1"/>
    <xf numFmtId="0" fontId="4" fillId="5" borderId="0" xfId="0" applyFont="1" applyFill="1"/>
    <xf numFmtId="3" fontId="11" fillId="0" borderId="0" xfId="0" applyNumberFormat="1" applyFont="1"/>
    <xf numFmtId="3" fontId="3" fillId="0" borderId="0" xfId="0" applyNumberFormat="1" applyFont="1"/>
    <xf numFmtId="3" fontId="3" fillId="5" borderId="0" xfId="0" applyNumberFormat="1" applyFont="1" applyFill="1"/>
    <xf numFmtId="3" fontId="6" fillId="0" borderId="0" xfId="0" applyNumberFormat="1" applyFont="1"/>
    <xf numFmtId="3" fontId="3" fillId="0" borderId="0" xfId="0" applyNumberFormat="1" applyFont="1" applyBorder="1"/>
    <xf numFmtId="0" fontId="0" fillId="0" borderId="0" xfId="0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1" fillId="0" borderId="0" xfId="0" applyFont="1" applyFill="1"/>
    <xf numFmtId="0" fontId="22" fillId="0" borderId="0" xfId="0" applyFont="1"/>
    <xf numFmtId="0" fontId="20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3" fontId="22" fillId="0" borderId="0" xfId="0" applyNumberFormat="1" applyFont="1" applyBorder="1"/>
    <xf numFmtId="167" fontId="21" fillId="7" borderId="1" xfId="0" applyNumberFormat="1" applyFont="1" applyFill="1" applyBorder="1"/>
    <xf numFmtId="3" fontId="21" fillId="0" borderId="0" xfId="0" applyNumberFormat="1" applyFont="1" applyBorder="1"/>
    <xf numFmtId="7" fontId="21" fillId="7" borderId="1" xfId="0" applyNumberFormat="1" applyFont="1" applyFill="1" applyBorder="1"/>
    <xf numFmtId="0" fontId="23" fillId="0" borderId="0" xfId="0" applyFont="1"/>
    <xf numFmtId="3" fontId="23" fillId="0" borderId="0" xfId="0" applyNumberFormat="1" applyFont="1" applyBorder="1"/>
    <xf numFmtId="0" fontId="22" fillId="0" borderId="0" xfId="0" applyFont="1" applyFill="1" applyBorder="1"/>
    <xf numFmtId="0" fontId="21" fillId="0" borderId="0" xfId="0" applyFont="1" applyFill="1" applyBorder="1"/>
    <xf numFmtId="43" fontId="21" fillId="0" borderId="0" xfId="0" applyNumberFormat="1" applyFont="1" applyFill="1" applyBorder="1" applyProtection="1">
      <protection hidden="1"/>
    </xf>
    <xf numFmtId="0" fontId="21" fillId="0" borderId="0" xfId="0" applyFont="1" applyAlignment="1">
      <alignment horizontal="left"/>
    </xf>
    <xf numFmtId="166" fontId="21" fillId="4" borderId="1" xfId="0" applyNumberFormat="1" applyFont="1" applyFill="1" applyBorder="1" applyProtection="1">
      <protection hidden="1"/>
    </xf>
    <xf numFmtId="43" fontId="21" fillId="0" borderId="0" xfId="1" applyFont="1" applyFill="1" applyBorder="1"/>
    <xf numFmtId="0" fontId="23" fillId="0" borderId="0" xfId="0" applyFont="1" applyAlignment="1">
      <alignment horizontal="center"/>
    </xf>
    <xf numFmtId="165" fontId="21" fillId="0" borderId="0" xfId="0" applyNumberFormat="1" applyFont="1" applyBorder="1"/>
    <xf numFmtId="43" fontId="21" fillId="2" borderId="1" xfId="1" applyFont="1" applyFill="1" applyBorder="1" applyAlignment="1">
      <alignment horizontal="left"/>
    </xf>
    <xf numFmtId="166" fontId="21" fillId="2" borderId="1" xfId="1" applyNumberFormat="1" applyFont="1" applyFill="1" applyBorder="1" applyAlignment="1">
      <alignment horizontal="right"/>
    </xf>
    <xf numFmtId="164" fontId="21" fillId="0" borderId="0" xfId="0" applyNumberFormat="1" applyFont="1" applyFill="1" applyBorder="1"/>
    <xf numFmtId="169" fontId="21" fillId="0" borderId="0" xfId="0" applyNumberFormat="1" applyFont="1" applyFill="1" applyBorder="1"/>
    <xf numFmtId="0" fontId="21" fillId="0" borderId="0" xfId="0" applyFont="1" applyBorder="1"/>
    <xf numFmtId="0" fontId="20" fillId="0" borderId="0" xfId="0" applyFont="1" applyFill="1" applyBorder="1"/>
    <xf numFmtId="0" fontId="23" fillId="0" borderId="0" xfId="0" applyFont="1" applyFill="1" applyBorder="1"/>
    <xf numFmtId="43" fontId="23" fillId="3" borderId="1" xfId="0" applyNumberFormat="1" applyFont="1" applyFill="1" applyBorder="1" applyAlignment="1">
      <alignment horizontal="left"/>
    </xf>
    <xf numFmtId="168" fontId="21" fillId="2" borderId="1" xfId="1" applyNumberFormat="1" applyFont="1" applyFill="1" applyBorder="1" applyAlignment="1">
      <alignment horizontal="right" vertical="center"/>
    </xf>
    <xf numFmtId="43" fontId="21" fillId="0" borderId="0" xfId="1" applyFont="1" applyFill="1" applyBorder="1" applyAlignment="1">
      <alignment horizontal="left"/>
    </xf>
    <xf numFmtId="165" fontId="21" fillId="4" borderId="1" xfId="1" applyNumberFormat="1" applyFont="1" applyFill="1" applyBorder="1" applyProtection="1">
      <protection hidden="1"/>
    </xf>
    <xf numFmtId="168" fontId="21" fillId="0" borderId="0" xfId="1" applyNumberFormat="1" applyFont="1" applyFill="1" applyBorder="1"/>
    <xf numFmtId="43" fontId="23" fillId="3" borderId="1" xfId="0" applyNumberFormat="1" applyFont="1" applyFill="1" applyBorder="1" applyAlignment="1">
      <alignment horizontal="center"/>
    </xf>
    <xf numFmtId="41" fontId="21" fillId="2" borderId="1" xfId="1" applyNumberFormat="1" applyFont="1" applyFill="1" applyBorder="1" applyAlignment="1">
      <alignment horizontal="center"/>
    </xf>
    <xf numFmtId="41" fontId="21" fillId="6" borderId="1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43" fontId="21" fillId="0" borderId="0" xfId="1" applyFont="1" applyFill="1" applyBorder="1" applyProtection="1">
      <protection hidden="1"/>
    </xf>
    <xf numFmtId="3" fontId="21" fillId="0" borderId="0" xfId="0" applyNumberFormat="1" applyFont="1"/>
    <xf numFmtId="3" fontId="21" fillId="0" borderId="0" xfId="1" applyNumberFormat="1" applyFont="1" applyFill="1" applyBorder="1" applyAlignment="1">
      <alignment horizontal="center"/>
    </xf>
    <xf numFmtId="43" fontId="23" fillId="3" borderId="1" xfId="0" applyNumberFormat="1" applyFont="1" applyFill="1" applyBorder="1" applyAlignment="1"/>
    <xf numFmtId="43" fontId="21" fillId="2" borderId="1" xfId="1" applyFont="1" applyFill="1" applyBorder="1" applyAlignment="1">
      <alignment horizontal="center"/>
    </xf>
    <xf numFmtId="43" fontId="21" fillId="6" borderId="1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3" fontId="23" fillId="0" borderId="0" xfId="0" applyNumberFormat="1" applyFont="1"/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3" fontId="21" fillId="0" borderId="0" xfId="0" applyNumberFormat="1" applyFont="1" applyFill="1"/>
    <xf numFmtId="0" fontId="24" fillId="0" borderId="0" xfId="0" applyFont="1" applyFill="1" applyAlignment="1">
      <alignment horizontal="center"/>
    </xf>
    <xf numFmtId="0" fontId="24" fillId="0" borderId="0" xfId="0" applyFont="1" applyFill="1"/>
    <xf numFmtId="0" fontId="24" fillId="0" borderId="0" xfId="0" applyFont="1"/>
    <xf numFmtId="3" fontId="24" fillId="0" borderId="0" xfId="0" applyNumberFormat="1" applyFont="1" applyFill="1"/>
    <xf numFmtId="3" fontId="25" fillId="0" borderId="0" xfId="0" applyNumberFormat="1" applyFont="1"/>
    <xf numFmtId="0" fontId="25" fillId="0" borderId="0" xfId="0" applyFont="1"/>
    <xf numFmtId="3" fontId="24" fillId="0" borderId="0" xfId="0" applyNumberFormat="1" applyFont="1"/>
    <xf numFmtId="0" fontId="26" fillId="0" borderId="0" xfId="0" applyFont="1"/>
    <xf numFmtId="0" fontId="23" fillId="3" borderId="1" xfId="0" applyFont="1" applyFill="1" applyBorder="1"/>
    <xf numFmtId="43" fontId="21" fillId="6" borderId="1" xfId="0" applyNumberFormat="1" applyFont="1" applyFill="1" applyBorder="1"/>
    <xf numFmtId="3" fontId="27" fillId="0" borderId="0" xfId="0" applyNumberFormat="1" applyFont="1"/>
    <xf numFmtId="0" fontId="27" fillId="0" borderId="0" xfId="0" applyFont="1"/>
    <xf numFmtId="0" fontId="28" fillId="0" borderId="0" xfId="0" applyFont="1"/>
    <xf numFmtId="3" fontId="29" fillId="0" borderId="0" xfId="0" applyNumberFormat="1" applyFont="1"/>
    <xf numFmtId="0" fontId="29" fillId="0" borderId="0" xfId="0" applyFont="1"/>
    <xf numFmtId="0" fontId="30" fillId="0" borderId="0" xfId="0" applyFont="1"/>
    <xf numFmtId="0" fontId="22" fillId="0" borderId="0" xfId="0" applyFont="1" applyFill="1"/>
    <xf numFmtId="43" fontId="21" fillId="0" borderId="0" xfId="1" applyFont="1" applyFill="1" applyBorder="1" applyAlignment="1">
      <alignment horizontal="center"/>
    </xf>
    <xf numFmtId="43" fontId="21" fillId="2" borderId="1" xfId="1" applyFont="1" applyFill="1" applyBorder="1"/>
    <xf numFmtId="167" fontId="21" fillId="4" borderId="1" xfId="1" applyNumberFormat="1" applyFont="1" applyFill="1" applyBorder="1" applyProtection="1">
      <protection hidden="1"/>
    </xf>
    <xf numFmtId="1" fontId="21" fillId="2" borderId="1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0" fontId="23" fillId="8" borderId="1" xfId="0" applyFont="1" applyFill="1" applyBorder="1" applyAlignment="1">
      <alignment horizontal="left"/>
    </xf>
    <xf numFmtId="0" fontId="23" fillId="8" borderId="1" xfId="0" applyFont="1" applyFill="1" applyBorder="1"/>
    <xf numFmtId="0" fontId="32" fillId="0" borderId="0" xfId="0" applyFont="1"/>
    <xf numFmtId="0" fontId="34" fillId="0" borderId="0" xfId="0" applyFont="1"/>
    <xf numFmtId="0" fontId="34" fillId="0" borderId="0" xfId="0" applyFont="1" applyAlignment="1">
      <alignment horizontal="left" vertical="center"/>
    </xf>
    <xf numFmtId="165" fontId="34" fillId="0" borderId="0" xfId="0" applyNumberFormat="1" applyFont="1" applyAlignment="1">
      <alignment horizontal="left" vertical="center"/>
    </xf>
    <xf numFmtId="164" fontId="34" fillId="0" borderId="0" xfId="0" applyNumberFormat="1" applyFont="1" applyAlignment="1">
      <alignment horizontal="left" vertical="center"/>
    </xf>
    <xf numFmtId="6" fontId="34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2" fillId="0" borderId="0" xfId="0" applyFont="1" applyAlignment="1">
      <alignment vertical="center"/>
    </xf>
    <xf numFmtId="3" fontId="32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/>
    </xf>
    <xf numFmtId="0" fontId="31" fillId="0" borderId="0" xfId="0" applyFont="1" applyAlignment="1">
      <alignment horizontal="center" vertical="center" wrapText="1"/>
    </xf>
    <xf numFmtId="166" fontId="34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horizontal="center" vertical="center"/>
    </xf>
    <xf numFmtId="164" fontId="34" fillId="0" borderId="0" xfId="0" applyNumberFormat="1" applyFont="1" applyAlignment="1">
      <alignment horizontal="left"/>
    </xf>
    <xf numFmtId="0" fontId="31" fillId="0" borderId="0" xfId="0" applyFont="1" applyAlignment="1">
      <alignment horizontal="center" vertical="center"/>
    </xf>
    <xf numFmtId="7" fontId="11" fillId="0" borderId="0" xfId="0" applyNumberFormat="1" applyFont="1"/>
    <xf numFmtId="0" fontId="23" fillId="8" borderId="0" xfId="0" applyFont="1" applyFill="1" applyBorder="1"/>
    <xf numFmtId="43" fontId="23" fillId="3" borderId="0" xfId="0" applyNumberFormat="1" applyFont="1" applyFill="1" applyBorder="1" applyAlignment="1">
      <alignment horizontal="center"/>
    </xf>
    <xf numFmtId="167" fontId="21" fillId="0" borderId="0" xfId="0" applyNumberFormat="1" applyFont="1" applyFill="1" applyBorder="1"/>
    <xf numFmtId="0" fontId="22" fillId="3" borderId="0" xfId="0" applyFont="1" applyFill="1" applyBorder="1"/>
    <xf numFmtId="43" fontId="21" fillId="3" borderId="0" xfId="1" applyFont="1" applyFill="1" applyBorder="1"/>
    <xf numFmtId="167" fontId="21" fillId="3" borderId="0" xfId="0" applyNumberFormat="1" applyFont="1" applyFill="1" applyBorder="1"/>
    <xf numFmtId="165" fontId="21" fillId="0" borderId="0" xfId="0" applyNumberFormat="1" applyFont="1" applyFill="1" applyBorder="1"/>
    <xf numFmtId="0" fontId="22" fillId="0" borderId="0" xfId="0" applyFont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165" fontId="2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19051</xdr:rowOff>
    </xdr:from>
    <xdr:to>
      <xdr:col>0</xdr:col>
      <xdr:colOff>2028825</xdr:colOff>
      <xdr:row>0</xdr:row>
      <xdr:rowOff>648943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2C82A9-E948-4F0F-98E2-B9A5F6222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1"/>
          <a:ext cx="1981200" cy="629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4"/>
  <sheetViews>
    <sheetView tabSelected="1" topLeftCell="A4" zoomScale="120" zoomScaleNormal="120" workbookViewId="0">
      <selection activeCell="H30" sqref="H30"/>
    </sheetView>
  </sheetViews>
  <sheetFormatPr defaultColWidth="9.1796875" defaultRowHeight="10" x14ac:dyDescent="0.2"/>
  <cols>
    <col min="1" max="1" width="33.1796875" style="2" customWidth="1"/>
    <col min="2" max="2" width="19.453125" style="2" customWidth="1"/>
    <col min="3" max="3" width="13.453125" style="2" customWidth="1"/>
    <col min="4" max="4" width="12" style="2" customWidth="1"/>
    <col min="5" max="5" width="10.54296875" style="27" customWidth="1"/>
    <col min="6" max="6" width="2.54296875" style="2" customWidth="1"/>
    <col min="7" max="7" width="35.81640625" style="2" customWidth="1"/>
    <col min="8" max="8" width="4.54296875" style="2" customWidth="1"/>
    <col min="9" max="9" width="17.54296875" style="2" customWidth="1"/>
    <col min="10" max="10" width="2.453125" style="2" customWidth="1"/>
    <col min="11" max="11" width="10.81640625" style="2" bestFit="1" customWidth="1"/>
    <col min="12" max="16384" width="9.1796875" style="2"/>
  </cols>
  <sheetData>
    <row r="1" spans="1:11" s="8" customFormat="1" ht="56.25" customHeight="1" x14ac:dyDescent="0.35">
      <c r="A1" s="130" t="s">
        <v>66</v>
      </c>
      <c r="B1" s="130"/>
      <c r="C1" s="130"/>
      <c r="D1" s="130"/>
      <c r="E1" s="130"/>
      <c r="F1" s="130"/>
      <c r="G1" s="130"/>
      <c r="H1" s="130"/>
      <c r="I1" s="130"/>
      <c r="J1" s="16"/>
    </row>
    <row r="2" spans="1:11" s="9" customFormat="1" ht="13.5" x14ac:dyDescent="0.3">
      <c r="A2" s="131" t="s">
        <v>81</v>
      </c>
      <c r="B2" s="131"/>
      <c r="C2" s="131"/>
      <c r="D2" s="131"/>
      <c r="E2" s="131"/>
      <c r="F2" s="131"/>
      <c r="G2" s="131"/>
      <c r="H2" s="131"/>
      <c r="I2" s="131"/>
      <c r="J2" s="17"/>
    </row>
    <row r="3" spans="1:11" s="9" customFormat="1" ht="13.5" x14ac:dyDescent="0.3">
      <c r="A3" s="132"/>
      <c r="B3" s="133"/>
      <c r="C3" s="133"/>
      <c r="D3" s="133"/>
      <c r="E3" s="133"/>
      <c r="F3" s="133"/>
      <c r="G3" s="133"/>
      <c r="H3" s="133"/>
      <c r="I3" s="134"/>
      <c r="J3" s="17"/>
    </row>
    <row r="4" spans="1:11" s="10" customFormat="1" x14ac:dyDescent="0.2">
      <c r="E4" s="26"/>
      <c r="J4" s="18"/>
    </row>
    <row r="5" spans="1:11" s="10" customFormat="1" x14ac:dyDescent="0.2">
      <c r="A5" s="32" t="s">
        <v>4</v>
      </c>
      <c r="B5" s="32"/>
      <c r="C5" s="94"/>
      <c r="D5" s="33"/>
      <c r="E5" s="69"/>
      <c r="F5" s="33"/>
      <c r="G5" s="95"/>
      <c r="H5" s="32"/>
      <c r="I5" s="96"/>
      <c r="J5" s="18"/>
    </row>
    <row r="6" spans="1:11" s="10" customFormat="1" x14ac:dyDescent="0.2">
      <c r="A6" s="32" t="s">
        <v>91</v>
      </c>
      <c r="B6" s="32"/>
      <c r="C6" s="94"/>
      <c r="D6" s="33"/>
      <c r="E6" s="69"/>
      <c r="F6" s="33"/>
      <c r="G6" s="95"/>
      <c r="H6" s="32"/>
      <c r="I6" s="96"/>
      <c r="J6" s="18"/>
    </row>
    <row r="7" spans="1:11" s="10" customFormat="1" x14ac:dyDescent="0.2">
      <c r="A7" s="33" t="s">
        <v>45</v>
      </c>
      <c r="B7" s="97">
        <v>5</v>
      </c>
      <c r="C7" s="33"/>
      <c r="D7" s="33"/>
      <c r="E7" s="69"/>
      <c r="F7" s="33"/>
      <c r="G7" s="33"/>
      <c r="H7" s="33"/>
      <c r="I7" s="33"/>
      <c r="J7" s="18"/>
    </row>
    <row r="8" spans="1:11" s="10" customFormat="1" x14ac:dyDescent="0.2">
      <c r="A8" s="34"/>
      <c r="B8" s="34"/>
      <c r="C8" s="49"/>
      <c r="D8" s="33"/>
      <c r="E8" s="69"/>
      <c r="F8" s="33"/>
      <c r="G8" s="135" t="s">
        <v>74</v>
      </c>
      <c r="H8" s="136"/>
      <c r="I8" s="98">
        <f>((E15*3.675)+(E23)+E25+E38+E42+E47+E54)</f>
        <v>43327.573863636368</v>
      </c>
      <c r="J8" s="18"/>
    </row>
    <row r="9" spans="1:11" s="10" customFormat="1" x14ac:dyDescent="0.2">
      <c r="A9" s="33" t="s">
        <v>3</v>
      </c>
      <c r="B9" s="97">
        <v>20</v>
      </c>
      <c r="C9" s="33"/>
      <c r="D9" s="33"/>
      <c r="E9" s="69"/>
      <c r="F9" s="33"/>
      <c r="G9" s="137" t="s">
        <v>71</v>
      </c>
      <c r="H9" s="138"/>
      <c r="I9" s="99">
        <v>30</v>
      </c>
      <c r="J9" s="18"/>
    </row>
    <row r="10" spans="1:11" s="10" customFormat="1" x14ac:dyDescent="0.2">
      <c r="A10" s="34"/>
      <c r="B10" s="34"/>
      <c r="C10" s="49"/>
      <c r="D10" s="33"/>
      <c r="E10" s="69"/>
      <c r="F10" s="33"/>
      <c r="G10" s="135" t="s">
        <v>75</v>
      </c>
      <c r="H10" s="136"/>
      <c r="I10" s="98">
        <f>I9/100*((E15*3.675)+(E23)+E25+E38+E42+E47+E54)</f>
        <v>12998.27215909091</v>
      </c>
      <c r="J10" s="18"/>
    </row>
    <row r="11" spans="1:11" s="12" customFormat="1" x14ac:dyDescent="0.2">
      <c r="A11" s="34"/>
      <c r="B11" s="34"/>
      <c r="C11" s="100"/>
      <c r="D11" s="100"/>
      <c r="E11" s="101"/>
      <c r="F11" s="100"/>
      <c r="G11" s="34"/>
      <c r="H11" s="34"/>
      <c r="I11" s="34"/>
      <c r="J11" s="19"/>
    </row>
    <row r="12" spans="1:11" s="11" customFormat="1" x14ac:dyDescent="0.2">
      <c r="A12" s="35" t="s">
        <v>6</v>
      </c>
      <c r="B12" s="35"/>
      <c r="C12" s="35"/>
      <c r="D12" s="35"/>
      <c r="E12" s="38"/>
      <c r="F12" s="35"/>
      <c r="G12" s="128" t="s">
        <v>5</v>
      </c>
      <c r="H12" s="129"/>
      <c r="I12" s="39">
        <f>SUM((E15*3.675)+(E23)+I10+E25+E38+E42+E47+E54)</f>
        <v>56325.846022727274</v>
      </c>
      <c r="J12" s="20"/>
    </row>
    <row r="13" spans="1:11" s="10" customFormat="1" x14ac:dyDescent="0.2">
      <c r="A13" s="33"/>
      <c r="B13" s="33"/>
      <c r="C13" s="33"/>
      <c r="D13" s="33"/>
      <c r="E13" s="40"/>
      <c r="F13" s="33"/>
      <c r="G13" s="128"/>
      <c r="H13" s="129"/>
      <c r="I13" s="41">
        <f>I12/3.675</f>
        <v>15326.760822510823</v>
      </c>
      <c r="J13" s="18"/>
      <c r="K13" s="120"/>
    </row>
    <row r="14" spans="1:11" s="13" customFormat="1" x14ac:dyDescent="0.2">
      <c r="A14" s="36" t="s">
        <v>7</v>
      </c>
      <c r="B14" s="36"/>
      <c r="C14" s="36"/>
      <c r="D14" s="42"/>
      <c r="E14" s="43"/>
      <c r="F14" s="42"/>
      <c r="G14" s="44"/>
      <c r="H14" s="45"/>
      <c r="I14" s="46"/>
      <c r="J14" s="18"/>
    </row>
    <row r="15" spans="1:11" s="10" customFormat="1" x14ac:dyDescent="0.2">
      <c r="A15" s="37" t="s">
        <v>2</v>
      </c>
      <c r="B15" s="37"/>
      <c r="C15" s="47"/>
      <c r="D15" s="47"/>
      <c r="E15" s="48">
        <f>SUM(C17*D17+C18*D18+C19*D19+C20*D20+C21*D21)</f>
        <v>3260</v>
      </c>
      <c r="F15" s="33"/>
      <c r="G15" s="44" t="s">
        <v>116</v>
      </c>
      <c r="H15" s="49"/>
      <c r="I15" s="123">
        <f>I12*12%</f>
        <v>6759.1015227272728</v>
      </c>
      <c r="J15" s="18"/>
    </row>
    <row r="16" spans="1:11" s="10" customFormat="1" x14ac:dyDescent="0.2">
      <c r="A16" s="37" t="s">
        <v>13</v>
      </c>
      <c r="B16" s="47" t="s">
        <v>12</v>
      </c>
      <c r="C16" s="50" t="s">
        <v>65</v>
      </c>
      <c r="D16" s="50" t="s">
        <v>0</v>
      </c>
      <c r="E16" s="51">
        <f>E15*3.675</f>
        <v>11980.5</v>
      </c>
      <c r="F16" s="33"/>
      <c r="G16" s="124" t="s">
        <v>115</v>
      </c>
      <c r="H16" s="125"/>
      <c r="I16" s="126">
        <f>I12+I15</f>
        <v>63084.947545454546</v>
      </c>
      <c r="J16" s="18"/>
    </row>
    <row r="17" spans="1:10" s="10" customFormat="1" x14ac:dyDescent="0.2">
      <c r="A17" s="102" t="s">
        <v>58</v>
      </c>
      <c r="B17" s="102" t="s">
        <v>111</v>
      </c>
      <c r="C17" s="52">
        <f>B7</f>
        <v>5</v>
      </c>
      <c r="D17" s="53">
        <f>VLOOKUP(B17,Data!$B$2:$C$6,2,FALSE)</f>
        <v>652</v>
      </c>
      <c r="E17" s="40"/>
      <c r="F17" s="33"/>
      <c r="G17" s="45" t="s">
        <v>97</v>
      </c>
      <c r="H17" s="49"/>
      <c r="I17" s="54">
        <f>I16/B9</f>
        <v>3154.2473772727271</v>
      </c>
      <c r="J17" s="18"/>
    </row>
    <row r="18" spans="1:10" s="10" customFormat="1" x14ac:dyDescent="0.2">
      <c r="A18" s="102" t="s">
        <v>58</v>
      </c>
      <c r="B18" s="102" t="s">
        <v>58</v>
      </c>
      <c r="C18" s="52"/>
      <c r="D18" s="53">
        <f>VLOOKUP(B18,Data!$B$2:$C$6,2,FALSE)</f>
        <v>0</v>
      </c>
      <c r="E18" s="40"/>
      <c r="F18" s="33"/>
      <c r="G18" s="45"/>
      <c r="H18" s="49"/>
      <c r="I18" s="55">
        <f>I17/3.675</f>
        <v>858.29860606060606</v>
      </c>
      <c r="J18" s="18"/>
    </row>
    <row r="19" spans="1:10" s="10" customFormat="1" x14ac:dyDescent="0.2">
      <c r="A19" s="102" t="s">
        <v>58</v>
      </c>
      <c r="B19" s="102" t="s">
        <v>58</v>
      </c>
      <c r="C19" s="52"/>
      <c r="D19" s="53">
        <f>VLOOKUP(B19,Data!$B$2:$C$6,2,FALSE)</f>
        <v>0</v>
      </c>
      <c r="E19" s="40"/>
      <c r="F19" s="33"/>
      <c r="G19" s="45"/>
      <c r="H19" s="49"/>
      <c r="I19" s="45"/>
      <c r="J19" s="18"/>
    </row>
    <row r="20" spans="1:10" s="10" customFormat="1" x14ac:dyDescent="0.2">
      <c r="A20" s="102" t="s">
        <v>58</v>
      </c>
      <c r="B20" s="102" t="s">
        <v>58</v>
      </c>
      <c r="C20" s="52"/>
      <c r="D20" s="53">
        <f>VLOOKUP(B20,Data!$B$2:$C$6,2,FALSE)</f>
        <v>0</v>
      </c>
      <c r="E20" s="40"/>
      <c r="F20" s="33"/>
      <c r="G20" s="33"/>
      <c r="H20" s="49"/>
      <c r="I20" s="56"/>
      <c r="J20" s="18"/>
    </row>
    <row r="21" spans="1:10" s="10" customFormat="1" x14ac:dyDescent="0.2">
      <c r="A21" s="102" t="s">
        <v>58</v>
      </c>
      <c r="B21" s="102" t="s">
        <v>58</v>
      </c>
      <c r="C21" s="52"/>
      <c r="D21" s="53">
        <f>VLOOKUP(B21,Data!$B$2:$C$6,2,FALSE)</f>
        <v>0</v>
      </c>
      <c r="E21" s="40"/>
      <c r="F21" s="33"/>
      <c r="G21" s="33"/>
      <c r="H21" s="49"/>
      <c r="I21" s="56"/>
      <c r="J21" s="18"/>
    </row>
    <row r="22" spans="1:10" s="10" customFormat="1" x14ac:dyDescent="0.2">
      <c r="A22" s="37" t="s">
        <v>92</v>
      </c>
      <c r="B22" s="37"/>
      <c r="C22" s="47"/>
      <c r="D22" s="47"/>
      <c r="E22" s="33"/>
      <c r="F22" s="33"/>
      <c r="G22" s="57"/>
      <c r="H22" s="58"/>
      <c r="I22" s="45"/>
      <c r="J22" s="18"/>
    </row>
    <row r="23" spans="1:10" s="10" customFormat="1" x14ac:dyDescent="0.2">
      <c r="A23" s="103" t="s">
        <v>96</v>
      </c>
      <c r="B23" s="59"/>
      <c r="C23" s="60">
        <f>VLOOKUP(A23,Data!$L$2:$M$7,2,FALSE)</f>
        <v>10087.073863636364</v>
      </c>
      <c r="D23" s="61"/>
      <c r="E23" s="62">
        <f>SUM(C23)</f>
        <v>10087.073863636364</v>
      </c>
      <c r="F23" s="33"/>
      <c r="G23" s="44"/>
      <c r="H23" s="45"/>
      <c r="I23" s="58"/>
      <c r="J23" s="18"/>
    </row>
    <row r="24" spans="1:10" s="13" customFormat="1" x14ac:dyDescent="0.2">
      <c r="A24" s="32" t="s">
        <v>8</v>
      </c>
      <c r="B24" s="32"/>
      <c r="C24" s="42"/>
      <c r="D24" s="42"/>
      <c r="E24" s="43"/>
      <c r="F24" s="42"/>
      <c r="G24" s="45"/>
      <c r="H24" s="63"/>
      <c r="I24" s="45"/>
      <c r="J24" s="18"/>
    </row>
    <row r="25" spans="1:10" s="10" customFormat="1" x14ac:dyDescent="0.2">
      <c r="A25" s="35" t="s">
        <v>9</v>
      </c>
      <c r="B25" s="35" t="s">
        <v>64</v>
      </c>
      <c r="C25" s="35" t="s">
        <v>73</v>
      </c>
      <c r="D25" s="35" t="s">
        <v>72</v>
      </c>
      <c r="E25" s="62">
        <f>SUM(D26:D36)</f>
        <v>5700</v>
      </c>
      <c r="F25" s="33"/>
      <c r="G25" s="45"/>
      <c r="H25" s="63"/>
      <c r="I25" s="45"/>
      <c r="J25" s="18"/>
    </row>
    <row r="26" spans="1:10" s="10" customFormat="1" x14ac:dyDescent="0.2">
      <c r="A26" s="103" t="s">
        <v>46</v>
      </c>
      <c r="B26" s="64">
        <v>20</v>
      </c>
      <c r="C26" s="65">
        <f>VLOOKUP(A26,Data!$J$2:$K$7,2,FALSE)*$B$9*B7</f>
        <v>285</v>
      </c>
      <c r="D26" s="66">
        <f>B26*C26</f>
        <v>5700</v>
      </c>
      <c r="E26" s="40"/>
      <c r="F26" s="33"/>
      <c r="G26" s="45"/>
      <c r="H26" s="63"/>
      <c r="I26" s="45"/>
      <c r="J26" s="18"/>
    </row>
    <row r="27" spans="1:10" s="10" customFormat="1" x14ac:dyDescent="0.2">
      <c r="A27" s="103" t="s">
        <v>58</v>
      </c>
      <c r="B27" s="67"/>
      <c r="C27" s="65">
        <f>VLOOKUP(A27,Data!$J$2:$K$7,2,FALSE)*$B$9</f>
        <v>0</v>
      </c>
      <c r="D27" s="66">
        <f t="shared" ref="D27:D36" si="0">B27*C27</f>
        <v>0</v>
      </c>
      <c r="E27" s="40"/>
      <c r="F27" s="33"/>
      <c r="G27" s="57"/>
      <c r="H27" s="58"/>
      <c r="I27" s="45"/>
      <c r="J27" s="20"/>
    </row>
    <row r="28" spans="1:10" s="10" customFormat="1" x14ac:dyDescent="0.2">
      <c r="A28" s="103" t="s">
        <v>58</v>
      </c>
      <c r="B28" s="67"/>
      <c r="C28" s="65">
        <f>VLOOKUP(A28,Data!$J$2:$K$7,2,FALSE)*$B$9</f>
        <v>0</v>
      </c>
      <c r="D28" s="66">
        <f>B28*C28</f>
        <v>0</v>
      </c>
      <c r="E28" s="40"/>
      <c r="F28" s="33"/>
      <c r="G28" s="44"/>
      <c r="H28" s="45"/>
      <c r="I28" s="68"/>
      <c r="J28" s="18"/>
    </row>
    <row r="29" spans="1:10" s="10" customFormat="1" x14ac:dyDescent="0.2">
      <c r="A29" s="103" t="s">
        <v>58</v>
      </c>
      <c r="B29" s="67"/>
      <c r="C29" s="65">
        <f>VLOOKUP(A29,Data!$J$2:$K$7,2,FALSE)*$B$9</f>
        <v>0</v>
      </c>
      <c r="D29" s="66">
        <f t="shared" si="0"/>
        <v>0</v>
      </c>
      <c r="E29" s="43"/>
      <c r="F29" s="42"/>
      <c r="G29" s="127"/>
      <c r="H29" s="49"/>
      <c r="I29" s="45"/>
      <c r="J29" s="18"/>
    </row>
    <row r="30" spans="1:10" s="10" customFormat="1" x14ac:dyDescent="0.2">
      <c r="A30" s="103" t="s">
        <v>58</v>
      </c>
      <c r="B30" s="67"/>
      <c r="C30" s="65">
        <f>VLOOKUP(A30,Data!$J$2:$K$7,2,FALSE)*$B$9</f>
        <v>0</v>
      </c>
      <c r="D30" s="66">
        <f t="shared" si="0"/>
        <v>0</v>
      </c>
      <c r="E30" s="69"/>
      <c r="F30" s="33"/>
      <c r="G30" s="54"/>
      <c r="H30" s="45"/>
      <c r="I30" s="45"/>
      <c r="J30" s="18"/>
    </row>
    <row r="31" spans="1:10" s="10" customFormat="1" x14ac:dyDescent="0.2">
      <c r="A31" s="103" t="s">
        <v>58</v>
      </c>
      <c r="B31" s="67"/>
      <c r="C31" s="65">
        <f>VLOOKUP(A31,Data!$J$2:$K$7,2,FALSE)*$B$9</f>
        <v>0</v>
      </c>
      <c r="D31" s="66">
        <f t="shared" si="0"/>
        <v>0</v>
      </c>
      <c r="E31" s="40"/>
      <c r="F31" s="33"/>
      <c r="G31" s="139"/>
      <c r="H31" s="33"/>
      <c r="I31" s="56"/>
      <c r="J31" s="18"/>
    </row>
    <row r="32" spans="1:10" s="10" customFormat="1" x14ac:dyDescent="0.2">
      <c r="A32" s="103" t="s">
        <v>58</v>
      </c>
      <c r="B32" s="67"/>
      <c r="C32" s="65">
        <f>VLOOKUP(A32,Data!$J$2:$K$7,2,FALSE)*$B$9</f>
        <v>0</v>
      </c>
      <c r="D32" s="66">
        <f t="shared" si="0"/>
        <v>0</v>
      </c>
      <c r="E32" s="40"/>
      <c r="F32" s="33"/>
      <c r="G32" s="33"/>
      <c r="H32" s="33"/>
      <c r="I32" s="33"/>
      <c r="J32" s="18"/>
    </row>
    <row r="33" spans="1:10" s="10" customFormat="1" x14ac:dyDescent="0.2">
      <c r="A33" s="103" t="s">
        <v>58</v>
      </c>
      <c r="B33" s="67"/>
      <c r="C33" s="65">
        <f>VLOOKUP(A33,Data!$J$2:$K$7,2,FALSE)*$B$9</f>
        <v>0</v>
      </c>
      <c r="D33" s="66">
        <f t="shared" si="0"/>
        <v>0</v>
      </c>
      <c r="E33" s="40"/>
      <c r="F33" s="33"/>
      <c r="G33" s="33"/>
      <c r="H33" s="33"/>
      <c r="I33" s="33"/>
      <c r="J33" s="18"/>
    </row>
    <row r="34" spans="1:10" s="10" customFormat="1" x14ac:dyDescent="0.2">
      <c r="A34" s="103" t="s">
        <v>58</v>
      </c>
      <c r="B34" s="67"/>
      <c r="C34" s="65">
        <f>VLOOKUP(A34,Data!$J$2:$K$7,2,FALSE)*$B$9</f>
        <v>0</v>
      </c>
      <c r="D34" s="66">
        <f t="shared" si="0"/>
        <v>0</v>
      </c>
      <c r="E34" s="70"/>
      <c r="F34" s="34"/>
      <c r="G34" s="42"/>
      <c r="H34" s="42"/>
      <c r="I34" s="42"/>
      <c r="J34" s="18"/>
    </row>
    <row r="35" spans="1:10" s="10" customFormat="1" x14ac:dyDescent="0.2">
      <c r="A35" s="103" t="s">
        <v>58</v>
      </c>
      <c r="B35" s="67"/>
      <c r="C35" s="65">
        <f>VLOOKUP(A35,Data!$J$2:$K$7,2,FALSE)*$B$9</f>
        <v>0</v>
      </c>
      <c r="D35" s="66">
        <f t="shared" si="0"/>
        <v>0</v>
      </c>
      <c r="E35" s="40"/>
      <c r="F35" s="33"/>
      <c r="G35" s="35"/>
      <c r="H35" s="33"/>
      <c r="I35" s="68"/>
      <c r="J35" s="18"/>
    </row>
    <row r="36" spans="1:10" s="10" customFormat="1" x14ac:dyDescent="0.2">
      <c r="A36" s="103" t="s">
        <v>58</v>
      </c>
      <c r="B36" s="67"/>
      <c r="C36" s="65">
        <f>VLOOKUP(A36,Data!$J$2:$K$7,2,FALSE)*$B$9</f>
        <v>0</v>
      </c>
      <c r="D36" s="66">
        <f t="shared" si="0"/>
        <v>0</v>
      </c>
      <c r="E36" s="40"/>
      <c r="F36" s="33"/>
      <c r="G36" s="35"/>
      <c r="H36" s="33"/>
      <c r="I36" s="68"/>
      <c r="J36" s="18"/>
    </row>
    <row r="37" spans="1:10" s="10" customFormat="1" x14ac:dyDescent="0.2">
      <c r="A37" s="32" t="s">
        <v>51</v>
      </c>
      <c r="B37" s="32"/>
      <c r="C37" s="42"/>
      <c r="D37" s="33"/>
      <c r="E37" s="40"/>
      <c r="F37" s="33"/>
      <c r="G37" s="35"/>
      <c r="H37" s="33"/>
      <c r="I37" s="68"/>
      <c r="J37" s="18"/>
    </row>
    <row r="38" spans="1:10" s="10" customFormat="1" x14ac:dyDescent="0.2">
      <c r="A38" s="35" t="s">
        <v>52</v>
      </c>
      <c r="B38" s="35" t="s">
        <v>64</v>
      </c>
      <c r="C38" s="33"/>
      <c r="D38" s="33"/>
      <c r="E38" s="62">
        <f>SUM(B39*C39+B40*C40)</f>
        <v>6000</v>
      </c>
      <c r="F38" s="33"/>
      <c r="G38" s="35"/>
      <c r="H38" s="33"/>
      <c r="I38" s="68"/>
      <c r="J38" s="18"/>
    </row>
    <row r="39" spans="1:10" s="10" customFormat="1" x14ac:dyDescent="0.2">
      <c r="A39" s="103" t="s">
        <v>43</v>
      </c>
      <c r="B39" s="71">
        <f>$B$7</f>
        <v>5</v>
      </c>
      <c r="C39" s="72">
        <f>VLOOKUP(A39,Data!$F$2:$G$5,2,FALSE)</f>
        <v>1200</v>
      </c>
      <c r="D39" s="73">
        <f>B39*C39</f>
        <v>6000</v>
      </c>
      <c r="E39" s="40"/>
      <c r="F39" s="33"/>
      <c r="G39" s="35"/>
      <c r="H39" s="33"/>
      <c r="I39" s="68"/>
      <c r="J39" s="18"/>
    </row>
    <row r="40" spans="1:10" s="10" customFormat="1" x14ac:dyDescent="0.2">
      <c r="A40" s="103" t="s">
        <v>58</v>
      </c>
      <c r="B40" s="71"/>
      <c r="C40" s="72">
        <f>VLOOKUP(A40,Data!$F$2:$G$5,2,FALSE)</f>
        <v>0</v>
      </c>
      <c r="D40" s="73">
        <f t="shared" ref="D40" si="1">B40*C40</f>
        <v>0</v>
      </c>
      <c r="E40" s="40"/>
      <c r="F40" s="33"/>
      <c r="G40" s="35"/>
      <c r="H40" s="33"/>
      <c r="I40" s="68"/>
      <c r="J40" s="18"/>
    </row>
    <row r="41" spans="1:10" s="13" customFormat="1" x14ac:dyDescent="0.2">
      <c r="A41" s="32" t="s">
        <v>53</v>
      </c>
      <c r="B41" s="74"/>
      <c r="C41" s="50"/>
      <c r="D41" s="50"/>
      <c r="E41" s="75"/>
      <c r="F41" s="42"/>
      <c r="G41" s="42"/>
      <c r="H41" s="42"/>
      <c r="I41" s="42"/>
      <c r="J41" s="18"/>
    </row>
    <row r="42" spans="1:10" s="10" customFormat="1" x14ac:dyDescent="0.2">
      <c r="A42" s="35" t="s">
        <v>54</v>
      </c>
      <c r="B42" s="76" t="s">
        <v>64</v>
      </c>
      <c r="C42" s="77"/>
      <c r="D42" s="77"/>
      <c r="E42" s="62">
        <f>SUM(B43*C43+B44*C44+B45*C45)</f>
        <v>8800</v>
      </c>
      <c r="F42" s="33"/>
      <c r="G42" s="33"/>
      <c r="H42" s="33"/>
      <c r="I42" s="33"/>
      <c r="J42" s="18"/>
    </row>
    <row r="43" spans="1:10" s="10" customFormat="1" x14ac:dyDescent="0.2">
      <c r="A43" s="103" t="s">
        <v>59</v>
      </c>
      <c r="B43" s="64">
        <f>B9*B7</f>
        <v>100</v>
      </c>
      <c r="C43" s="72">
        <f>VLOOKUP(A43,Data!$H$2:$I$8,2,FALSE)</f>
        <v>35</v>
      </c>
      <c r="D43" s="73">
        <f>B43*C43</f>
        <v>3500</v>
      </c>
      <c r="E43" s="69"/>
      <c r="F43" s="33"/>
      <c r="G43" s="33"/>
      <c r="H43" s="33"/>
      <c r="I43" s="33"/>
      <c r="J43" s="18"/>
    </row>
    <row r="44" spans="1:10" s="10" customFormat="1" x14ac:dyDescent="0.2">
      <c r="A44" s="103" t="s">
        <v>61</v>
      </c>
      <c r="B44" s="64">
        <f>B9*B7</f>
        <v>100</v>
      </c>
      <c r="C44" s="72">
        <f>VLOOKUP(A44,Data!$H$2:$I$8,2,FALSE)</f>
        <v>25</v>
      </c>
      <c r="D44" s="73">
        <f t="shared" ref="D44" si="2">B44*C44</f>
        <v>2500</v>
      </c>
      <c r="E44" s="69"/>
      <c r="F44" s="33"/>
      <c r="G44" s="33"/>
      <c r="H44" s="33"/>
      <c r="I44" s="33"/>
      <c r="J44" s="18"/>
    </row>
    <row r="45" spans="1:10" s="10" customFormat="1" x14ac:dyDescent="0.2">
      <c r="A45" s="103" t="s">
        <v>114</v>
      </c>
      <c r="B45" s="64">
        <f>B7*B9</f>
        <v>100</v>
      </c>
      <c r="C45" s="72">
        <f>VLOOKUP(A45,Data!$H$2:$I$8,2,FALSE)</f>
        <v>28</v>
      </c>
      <c r="D45" s="73">
        <f>B45*C45</f>
        <v>2800</v>
      </c>
      <c r="E45" s="69"/>
      <c r="F45" s="33"/>
      <c r="G45" s="33"/>
      <c r="H45" s="33"/>
      <c r="I45" s="33"/>
      <c r="J45" s="18"/>
    </row>
    <row r="46" spans="1:10" s="12" customFormat="1" x14ac:dyDescent="0.2">
      <c r="A46" s="32" t="s">
        <v>55</v>
      </c>
      <c r="B46" s="74"/>
      <c r="C46" s="50"/>
      <c r="D46" s="74"/>
      <c r="E46" s="78"/>
      <c r="F46" s="34"/>
      <c r="G46" s="34"/>
      <c r="H46" s="34"/>
      <c r="I46" s="34"/>
      <c r="J46" s="18"/>
    </row>
    <row r="47" spans="1:10" s="7" customFormat="1" x14ac:dyDescent="0.2">
      <c r="A47" s="35" t="s">
        <v>56</v>
      </c>
      <c r="B47" s="76" t="s">
        <v>64</v>
      </c>
      <c r="C47" s="77"/>
      <c r="D47" s="79"/>
      <c r="E47" s="62">
        <f>SUM(B48*C48+B49*C49+B51*C51+B52*C52)</f>
        <v>760</v>
      </c>
      <c r="F47" s="80"/>
      <c r="G47" s="81"/>
      <c r="H47" s="81"/>
      <c r="I47" s="81"/>
      <c r="J47" s="21"/>
    </row>
    <row r="48" spans="1:10" s="7" customFormat="1" x14ac:dyDescent="0.2">
      <c r="A48" s="103" t="s">
        <v>38</v>
      </c>
      <c r="B48" s="67">
        <v>1</v>
      </c>
      <c r="C48" s="72">
        <f>VLOOKUP(A48,Data!$D$2:$E$10,2,FALSE)</f>
        <v>80</v>
      </c>
      <c r="D48" s="73">
        <f>B48*C48</f>
        <v>80</v>
      </c>
      <c r="E48" s="82"/>
      <c r="F48" s="80"/>
      <c r="G48" s="81"/>
      <c r="H48" s="81"/>
      <c r="I48" s="81"/>
      <c r="J48" s="22"/>
    </row>
    <row r="49" spans="1:10" s="5" customFormat="1" x14ac:dyDescent="0.2">
      <c r="A49" s="103" t="s">
        <v>39</v>
      </c>
      <c r="B49" s="64">
        <f t="shared" ref="B49:B51" si="3">$B$9</f>
        <v>20</v>
      </c>
      <c r="C49" s="72">
        <f>VLOOKUP(A49,Data!$D$2:$E$10,2,FALSE)</f>
        <v>10</v>
      </c>
      <c r="D49" s="73">
        <f t="shared" ref="D49:D50" si="4">B49*C49</f>
        <v>200</v>
      </c>
      <c r="E49" s="83"/>
      <c r="F49" s="84"/>
      <c r="G49" s="81"/>
      <c r="H49" s="81"/>
      <c r="I49" s="81"/>
      <c r="J49" s="22"/>
    </row>
    <row r="50" spans="1:10" s="5" customFormat="1" x14ac:dyDescent="0.2">
      <c r="A50" s="103" t="s">
        <v>67</v>
      </c>
      <c r="B50" s="64">
        <f>1</f>
        <v>1</v>
      </c>
      <c r="C50" s="72">
        <f>VLOOKUP(A50,Data!$D$2:$E$10,2,FALSE)</f>
        <v>60</v>
      </c>
      <c r="D50" s="73">
        <f t="shared" si="4"/>
        <v>60</v>
      </c>
      <c r="E50" s="83"/>
      <c r="F50" s="84"/>
      <c r="G50" s="81"/>
      <c r="H50" s="81"/>
      <c r="I50" s="81"/>
      <c r="J50" s="22"/>
    </row>
    <row r="51" spans="1:10" ht="10.5" x14ac:dyDescent="0.25">
      <c r="A51" s="103" t="s">
        <v>40</v>
      </c>
      <c r="B51" s="64">
        <f t="shared" si="3"/>
        <v>20</v>
      </c>
      <c r="C51" s="72">
        <f>VLOOKUP(A51,Data!$D$2:$E$10,2,FALSE)</f>
        <v>5</v>
      </c>
      <c r="D51" s="73">
        <f>B51*C51</f>
        <v>100</v>
      </c>
      <c r="E51" s="85"/>
      <c r="F51" s="81"/>
      <c r="G51" s="81"/>
      <c r="H51" s="81"/>
      <c r="I51" s="81"/>
      <c r="J51" s="23"/>
    </row>
    <row r="52" spans="1:10" ht="10.5" x14ac:dyDescent="0.25">
      <c r="A52" s="121" t="s">
        <v>41</v>
      </c>
      <c r="B52" s="122">
        <v>2</v>
      </c>
      <c r="C52" s="72">
        <f>VLOOKUP(A52,Data!$D$2:$E$10,2,FALSE)</f>
        <v>190</v>
      </c>
      <c r="D52" s="73">
        <f>B52*C52</f>
        <v>380</v>
      </c>
      <c r="E52" s="85"/>
      <c r="F52" s="81"/>
      <c r="G52" s="81"/>
      <c r="H52" s="81"/>
      <c r="I52" s="81"/>
      <c r="J52" s="23"/>
    </row>
    <row r="53" spans="1:10" ht="10.5" x14ac:dyDescent="0.25">
      <c r="A53" s="32" t="s">
        <v>11</v>
      </c>
      <c r="B53" s="32"/>
      <c r="C53" s="42"/>
      <c r="D53" s="81"/>
      <c r="E53" s="85"/>
      <c r="F53" s="81"/>
      <c r="G53" s="81"/>
      <c r="H53" s="81"/>
      <c r="I53" s="81"/>
      <c r="J53" s="24"/>
    </row>
    <row r="54" spans="1:10" s="3" customFormat="1" ht="10.5" x14ac:dyDescent="0.25">
      <c r="A54" s="35" t="s">
        <v>10</v>
      </c>
      <c r="B54" s="35" t="s">
        <v>64</v>
      </c>
      <c r="C54" s="33"/>
      <c r="D54" s="86"/>
      <c r="E54" s="62">
        <f>SUM(B55*C55+B56*C56+B57*C57)</f>
        <v>0</v>
      </c>
      <c r="F54" s="86"/>
      <c r="G54" s="81"/>
      <c r="H54" s="81"/>
      <c r="I54" s="81"/>
      <c r="J54" s="24"/>
    </row>
    <row r="55" spans="1:10" s="1" customFormat="1" ht="10.5" x14ac:dyDescent="0.25">
      <c r="A55" s="87" t="s">
        <v>1</v>
      </c>
      <c r="B55" s="87"/>
      <c r="C55" s="72"/>
      <c r="D55" s="88">
        <f>B55*C55</f>
        <v>0</v>
      </c>
      <c r="E55" s="89"/>
      <c r="F55" s="90"/>
      <c r="G55" s="91"/>
      <c r="H55" s="91"/>
      <c r="I55" s="91"/>
      <c r="J55" s="25"/>
    </row>
    <row r="56" spans="1:10" s="1" customFormat="1" ht="10.5" x14ac:dyDescent="0.25">
      <c r="A56" s="87" t="s">
        <v>1</v>
      </c>
      <c r="B56" s="87"/>
      <c r="C56" s="72"/>
      <c r="D56" s="88">
        <f t="shared" ref="D56" si="5">B56*C56</f>
        <v>0</v>
      </c>
      <c r="E56" s="89"/>
      <c r="F56" s="90"/>
      <c r="G56" s="81"/>
      <c r="H56" s="81"/>
      <c r="I56" s="81"/>
      <c r="J56" s="22"/>
    </row>
    <row r="57" spans="1:10" s="6" customFormat="1" x14ac:dyDescent="0.2">
      <c r="A57" s="87" t="s">
        <v>1</v>
      </c>
      <c r="B57" s="87"/>
      <c r="C57" s="72"/>
      <c r="D57" s="88">
        <f>B57*C57</f>
        <v>0</v>
      </c>
      <c r="E57" s="92"/>
      <c r="F57" s="93"/>
      <c r="G57" s="81"/>
      <c r="H57" s="81"/>
      <c r="I57" s="81"/>
      <c r="J57" s="22"/>
    </row>
    <row r="58" spans="1:10" x14ac:dyDescent="0.2">
      <c r="A58" s="81"/>
      <c r="B58" s="81"/>
      <c r="C58" s="81"/>
      <c r="D58" s="81"/>
      <c r="E58" s="85"/>
      <c r="F58" s="81"/>
      <c r="G58" s="81"/>
      <c r="H58" s="81"/>
      <c r="I58" s="81"/>
      <c r="J58" s="22"/>
    </row>
    <row r="59" spans="1:10" x14ac:dyDescent="0.2">
      <c r="A59" s="81"/>
      <c r="B59" s="81"/>
      <c r="C59" s="81"/>
      <c r="D59" s="81"/>
      <c r="E59" s="85"/>
      <c r="F59" s="81"/>
      <c r="G59" s="81"/>
      <c r="H59" s="81"/>
      <c r="I59" s="81"/>
      <c r="J59" s="22"/>
    </row>
    <row r="60" spans="1:10" x14ac:dyDescent="0.2">
      <c r="A60" s="22"/>
      <c r="B60" s="22"/>
      <c r="C60" s="22"/>
      <c r="D60" s="22"/>
      <c r="E60" s="28"/>
      <c r="F60" s="22"/>
      <c r="G60" s="22"/>
      <c r="H60" s="22"/>
      <c r="I60" s="22"/>
      <c r="J60" s="22"/>
    </row>
    <row r="61" spans="1:10" x14ac:dyDescent="0.2">
      <c r="J61" s="4"/>
    </row>
    <row r="62" spans="1:10" x14ac:dyDescent="0.2">
      <c r="G62" s="4"/>
      <c r="H62" s="4"/>
      <c r="I62" s="4"/>
    </row>
    <row r="63" spans="1:10" s="4" customFormat="1" x14ac:dyDescent="0.2">
      <c r="E63" s="29"/>
      <c r="G63" s="2"/>
      <c r="H63" s="2"/>
      <c r="I63" s="2"/>
      <c r="J63" s="2"/>
    </row>
    <row r="68" spans="5:10" x14ac:dyDescent="0.2">
      <c r="J68" s="4"/>
    </row>
    <row r="70" spans="5:10" s="4" customFormat="1" x14ac:dyDescent="0.2">
      <c r="E70" s="29"/>
      <c r="G70" s="2"/>
      <c r="H70" s="2"/>
      <c r="I70" s="2"/>
      <c r="J70" s="2"/>
    </row>
    <row r="75" spans="5:10" x14ac:dyDescent="0.2">
      <c r="J75" s="4"/>
    </row>
    <row r="77" spans="5:10" s="4" customFormat="1" x14ac:dyDescent="0.2">
      <c r="E77" s="29"/>
      <c r="G77" s="2"/>
      <c r="H77" s="2"/>
      <c r="I77" s="2"/>
      <c r="J77" s="2"/>
    </row>
    <row r="83" spans="5:5" x14ac:dyDescent="0.2">
      <c r="E83" s="30"/>
    </row>
    <row r="84" spans="5:5" x14ac:dyDescent="0.2">
      <c r="E84" s="30"/>
    </row>
  </sheetData>
  <mergeCells count="7">
    <mergeCell ref="G12:H13"/>
    <mergeCell ref="A1:I1"/>
    <mergeCell ref="A2:I2"/>
    <mergeCell ref="A3:I3"/>
    <mergeCell ref="G8:H8"/>
    <mergeCell ref="G9:H9"/>
    <mergeCell ref="G10:H10"/>
  </mergeCells>
  <dataValidations count="6">
    <dataValidation type="list" allowBlank="1" showInputMessage="1" showErrorMessage="1" sqref="B17:B21">
      <formula1>Rank</formula1>
    </dataValidation>
    <dataValidation type="list" allowBlank="1" showInputMessage="1" showErrorMessage="1" sqref="A17:A21">
      <formula1>Instructor</formula1>
    </dataValidation>
    <dataValidation type="list" allowBlank="1" showInputMessage="1" showErrorMessage="1" sqref="A43:A45">
      <formula1>Catering</formula1>
    </dataValidation>
    <dataValidation type="list" allowBlank="1" showInputMessage="1" showErrorMessage="1" sqref="A39:A40">
      <formula1>Venue</formula1>
    </dataValidation>
    <dataValidation type="list" allowBlank="1" showInputMessage="1" showErrorMessage="1" sqref="A26:A36">
      <formula1>ProductionMaterial</formula1>
    </dataValidation>
    <dataValidation type="list" allowBlank="1" showInputMessage="1" showErrorMessage="1" sqref="A48:A52">
      <formula1>Stationaries</formula1>
    </dataValidation>
  </dataValidations>
  <pageMargins left="0.25" right="0.25" top="0.75" bottom="0.75" header="0.3" footer="0.3"/>
  <pageSetup paperSize="9" orientation="portrait" horizontalDpi="300" verticalDpi="300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Data!$L$2:$L$7</xm:f>
          </x14:formula1>
          <xm:sqref>A23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workbookViewId="0">
      <selection activeCell="G15" sqref="G15"/>
    </sheetView>
  </sheetViews>
  <sheetFormatPr defaultRowHeight="12.5" x14ac:dyDescent="0.25"/>
  <cols>
    <col min="1" max="1" width="23.453125" style="15" bestFit="1" customWidth="1"/>
    <col min="2" max="2" width="23" style="15" customWidth="1"/>
    <col min="3" max="3" width="11.7265625" style="15" bestFit="1" customWidth="1"/>
    <col min="4" max="4" width="13.1796875" style="15" customWidth="1"/>
    <col min="5" max="5" width="16.54296875" style="15" bestFit="1" customWidth="1"/>
    <col min="6" max="6" width="23.26953125" style="15" customWidth="1"/>
    <col min="7" max="7" width="13.26953125" style="15" customWidth="1"/>
    <col min="8" max="8" width="26.54296875" style="15" customWidth="1"/>
    <col min="9" max="9" width="15.54296875" style="15" bestFit="1" customWidth="1"/>
    <col min="10" max="10" width="23.81640625" style="15" customWidth="1"/>
    <col min="11" max="11" width="16.453125" customWidth="1"/>
    <col min="12" max="12" width="26.453125" customWidth="1"/>
    <col min="13" max="13" width="18.1796875" customWidth="1"/>
    <col min="14" max="14" width="6.54296875" bestFit="1" customWidth="1"/>
  </cols>
  <sheetData>
    <row r="1" spans="1:30" ht="51" customHeight="1" x14ac:dyDescent="0.3">
      <c r="A1" s="110" t="s">
        <v>13</v>
      </c>
      <c r="B1" s="110" t="s">
        <v>12</v>
      </c>
      <c r="C1" s="111" t="s">
        <v>104</v>
      </c>
      <c r="D1" s="110" t="s">
        <v>36</v>
      </c>
      <c r="E1" s="111" t="s">
        <v>105</v>
      </c>
      <c r="F1" s="110" t="s">
        <v>14</v>
      </c>
      <c r="G1" s="111" t="s">
        <v>106</v>
      </c>
      <c r="H1" s="110" t="s">
        <v>37</v>
      </c>
      <c r="I1" s="111" t="s">
        <v>107</v>
      </c>
      <c r="J1" s="111" t="s">
        <v>108</v>
      </c>
      <c r="K1" s="110" t="s">
        <v>57</v>
      </c>
      <c r="L1" s="110" t="s">
        <v>95</v>
      </c>
      <c r="M1" s="110" t="s">
        <v>109</v>
      </c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</row>
    <row r="2" spans="1:30" s="14" customFormat="1" ht="14" x14ac:dyDescent="0.3">
      <c r="A2" s="106" t="s">
        <v>58</v>
      </c>
      <c r="B2" s="106" t="s">
        <v>58</v>
      </c>
      <c r="C2" s="116">
        <v>0</v>
      </c>
      <c r="D2" s="106" t="s">
        <v>58</v>
      </c>
      <c r="E2" s="117">
        <v>0</v>
      </c>
      <c r="F2" s="106" t="s">
        <v>58</v>
      </c>
      <c r="G2" s="107">
        <v>0</v>
      </c>
      <c r="H2" s="106" t="s">
        <v>58</v>
      </c>
      <c r="I2" s="108">
        <v>0</v>
      </c>
      <c r="J2" s="106" t="s">
        <v>58</v>
      </c>
      <c r="K2" s="108">
        <v>0</v>
      </c>
      <c r="L2" s="106" t="s">
        <v>58</v>
      </c>
      <c r="M2" s="108">
        <v>0</v>
      </c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</row>
    <row r="3" spans="1:30" ht="14" x14ac:dyDescent="0.3">
      <c r="A3" s="106" t="s">
        <v>15</v>
      </c>
      <c r="B3" s="106" t="s">
        <v>111</v>
      </c>
      <c r="C3" s="116">
        <v>652</v>
      </c>
      <c r="D3" s="106" t="s">
        <v>38</v>
      </c>
      <c r="E3" s="117">
        <v>80</v>
      </c>
      <c r="F3" s="106" t="s">
        <v>43</v>
      </c>
      <c r="G3" s="107">
        <v>1200</v>
      </c>
      <c r="H3" s="106" t="s">
        <v>59</v>
      </c>
      <c r="I3" s="118">
        <v>35</v>
      </c>
      <c r="J3" s="106" t="s">
        <v>46</v>
      </c>
      <c r="K3" s="118">
        <v>2.85</v>
      </c>
      <c r="L3" s="105" t="s">
        <v>93</v>
      </c>
      <c r="M3" s="108">
        <f>'Faculty &amp; Preparation Cost'!H3*'Course Calculator'!B7*6</f>
        <v>20174.147727272728</v>
      </c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</row>
    <row r="4" spans="1:30" ht="14" x14ac:dyDescent="0.3">
      <c r="A4" s="106" t="s">
        <v>16</v>
      </c>
      <c r="B4" s="106" t="s">
        <v>112</v>
      </c>
      <c r="C4" s="116">
        <v>978</v>
      </c>
      <c r="D4" s="106" t="s">
        <v>39</v>
      </c>
      <c r="E4" s="117">
        <v>10</v>
      </c>
      <c r="F4" s="106" t="s">
        <v>79</v>
      </c>
      <c r="G4" s="107">
        <v>750</v>
      </c>
      <c r="H4" s="106" t="s">
        <v>60</v>
      </c>
      <c r="I4" s="118">
        <v>25</v>
      </c>
      <c r="J4" s="106" t="s">
        <v>47</v>
      </c>
      <c r="K4" s="118">
        <v>1.05</v>
      </c>
      <c r="L4" s="105" t="s">
        <v>96</v>
      </c>
      <c r="M4" s="108">
        <f>'Faculty &amp; Preparation Cost'!H3*'Course Calculator'!B7*3</f>
        <v>10087.073863636364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</row>
    <row r="5" spans="1:30" ht="14" x14ac:dyDescent="0.3">
      <c r="A5" s="106" t="s">
        <v>76</v>
      </c>
      <c r="B5" s="106" t="s">
        <v>113</v>
      </c>
      <c r="C5" s="116">
        <v>1304</v>
      </c>
      <c r="D5" s="106" t="s">
        <v>40</v>
      </c>
      <c r="E5" s="117">
        <v>5</v>
      </c>
      <c r="F5" s="106" t="s">
        <v>44</v>
      </c>
      <c r="G5" s="107">
        <v>500</v>
      </c>
      <c r="H5" s="106" t="s">
        <v>61</v>
      </c>
      <c r="I5" s="118">
        <v>25</v>
      </c>
      <c r="J5" s="106" t="s">
        <v>48</v>
      </c>
      <c r="K5" s="118">
        <v>145</v>
      </c>
      <c r="L5" s="105" t="s">
        <v>94</v>
      </c>
      <c r="M5" s="108">
        <f>'Faculty &amp; Preparation Cost'!H3*'Course Calculator'!B7</f>
        <v>3362.357954545455</v>
      </c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</row>
    <row r="6" spans="1:30" ht="14" x14ac:dyDescent="0.3">
      <c r="A6" s="106" t="s">
        <v>101</v>
      </c>
      <c r="B6" s="106" t="s">
        <v>35</v>
      </c>
      <c r="C6" s="116">
        <v>100</v>
      </c>
      <c r="D6" s="106" t="s">
        <v>103</v>
      </c>
      <c r="E6" s="117">
        <v>5</v>
      </c>
      <c r="F6" s="106"/>
      <c r="G6" s="106"/>
      <c r="H6" s="106" t="s">
        <v>62</v>
      </c>
      <c r="I6" s="118">
        <v>20</v>
      </c>
      <c r="J6" s="106" t="s">
        <v>49</v>
      </c>
      <c r="K6" s="118">
        <v>100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</row>
    <row r="7" spans="1:30" ht="14" x14ac:dyDescent="0.3">
      <c r="A7" s="106" t="s">
        <v>102</v>
      </c>
      <c r="B7" s="106"/>
      <c r="C7" s="109"/>
      <c r="D7" s="106" t="s">
        <v>67</v>
      </c>
      <c r="E7" s="117">
        <v>60</v>
      </c>
      <c r="F7" s="106"/>
      <c r="G7" s="106"/>
      <c r="H7" s="106" t="s">
        <v>114</v>
      </c>
      <c r="I7" s="118">
        <v>28</v>
      </c>
      <c r="J7" s="106" t="s">
        <v>50</v>
      </c>
      <c r="K7" s="118">
        <v>100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</row>
    <row r="8" spans="1:30" ht="14" x14ac:dyDescent="0.3">
      <c r="A8" s="106" t="s">
        <v>17</v>
      </c>
      <c r="B8" s="106"/>
      <c r="C8" s="106"/>
      <c r="D8" s="106" t="s">
        <v>68</v>
      </c>
      <c r="E8" s="117">
        <v>5</v>
      </c>
      <c r="F8" s="106"/>
      <c r="G8" s="106"/>
      <c r="H8" s="106" t="s">
        <v>63</v>
      </c>
      <c r="I8" s="118">
        <v>20</v>
      </c>
      <c r="J8" s="106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</row>
    <row r="9" spans="1:30" ht="14" x14ac:dyDescent="0.3">
      <c r="A9" s="106" t="s">
        <v>18</v>
      </c>
      <c r="B9" s="106"/>
      <c r="C9" s="106"/>
      <c r="D9" s="106" t="s">
        <v>41</v>
      </c>
      <c r="E9" s="117">
        <v>190</v>
      </c>
      <c r="F9" s="106"/>
      <c r="G9" s="106"/>
      <c r="H9" s="106"/>
      <c r="I9" s="106"/>
      <c r="J9" s="106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</row>
    <row r="10" spans="1:30" ht="14" x14ac:dyDescent="0.3">
      <c r="A10" s="106" t="s">
        <v>19</v>
      </c>
      <c r="B10" s="106"/>
      <c r="C10" s="106"/>
      <c r="D10" s="106" t="s">
        <v>42</v>
      </c>
      <c r="E10" s="117">
        <v>100</v>
      </c>
      <c r="F10" s="106"/>
      <c r="G10" s="106"/>
      <c r="H10" s="106"/>
      <c r="I10" s="106"/>
      <c r="J10" s="106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</row>
    <row r="11" spans="1:30" ht="14" x14ac:dyDescent="0.3">
      <c r="A11" s="106" t="s">
        <v>100</v>
      </c>
      <c r="B11" s="106"/>
      <c r="C11" s="106"/>
      <c r="D11" s="106" t="s">
        <v>69</v>
      </c>
      <c r="E11" s="117">
        <v>25</v>
      </c>
      <c r="F11" s="106"/>
      <c r="G11" s="106"/>
      <c r="H11" s="106"/>
      <c r="I11" s="106"/>
      <c r="J11" s="106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</row>
    <row r="12" spans="1:30" ht="14" x14ac:dyDescent="0.3">
      <c r="A12" s="106" t="s">
        <v>20</v>
      </c>
      <c r="B12" s="106"/>
      <c r="C12" s="106"/>
      <c r="D12" s="106" t="s">
        <v>70</v>
      </c>
      <c r="E12" s="117">
        <v>15</v>
      </c>
      <c r="F12" s="106"/>
      <c r="G12" s="106"/>
      <c r="H12" s="106"/>
      <c r="I12" s="106"/>
      <c r="J12" s="106"/>
      <c r="K12" s="105"/>
      <c r="L12" s="106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</row>
    <row r="13" spans="1:30" ht="14" x14ac:dyDescent="0.3">
      <c r="A13" s="106" t="s">
        <v>78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5"/>
      <c r="L13" s="106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</row>
    <row r="14" spans="1:30" ht="14" x14ac:dyDescent="0.3">
      <c r="A14" s="106" t="s">
        <v>21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5"/>
      <c r="L14" s="106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</row>
    <row r="15" spans="1:30" ht="14" x14ac:dyDescent="0.3">
      <c r="A15" s="106" t="s">
        <v>22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</row>
    <row r="16" spans="1:30" ht="14" x14ac:dyDescent="0.3">
      <c r="A16" s="106" t="s">
        <v>23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</row>
    <row r="17" spans="1:30" ht="14" x14ac:dyDescent="0.3">
      <c r="A17" s="106" t="s">
        <v>24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</row>
    <row r="18" spans="1:30" ht="14" x14ac:dyDescent="0.3">
      <c r="A18" s="106" t="s">
        <v>25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</row>
    <row r="19" spans="1:30" ht="14" x14ac:dyDescent="0.3">
      <c r="A19" s="106" t="s">
        <v>26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</row>
    <row r="20" spans="1:30" ht="14" x14ac:dyDescent="0.3">
      <c r="A20" s="106" t="s">
        <v>27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</row>
    <row r="21" spans="1:30" ht="14" x14ac:dyDescent="0.3">
      <c r="A21" s="106" t="s">
        <v>28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</row>
    <row r="22" spans="1:30" ht="14" x14ac:dyDescent="0.3">
      <c r="A22" s="106" t="s">
        <v>29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</row>
    <row r="23" spans="1:30" ht="14" x14ac:dyDescent="0.3">
      <c r="A23" s="106" t="s">
        <v>30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</row>
    <row r="24" spans="1:30" ht="14" x14ac:dyDescent="0.3">
      <c r="A24" s="106" t="s">
        <v>31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</row>
    <row r="25" spans="1:30" ht="14" x14ac:dyDescent="0.3">
      <c r="A25" s="106" t="s">
        <v>32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</row>
    <row r="26" spans="1:30" ht="14" x14ac:dyDescent="0.3">
      <c r="A26" s="106" t="s">
        <v>33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</row>
    <row r="27" spans="1:30" ht="14" x14ac:dyDescent="0.3">
      <c r="A27" s="106" t="s">
        <v>34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</row>
    <row r="28" spans="1:30" ht="14" x14ac:dyDescent="0.3">
      <c r="A28" s="106" t="s">
        <v>77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</row>
    <row r="29" spans="1:30" ht="14" x14ac:dyDescent="0.3">
      <c r="A29" s="106" t="s">
        <v>80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</row>
    <row r="30" spans="1:30" ht="14" x14ac:dyDescent="0.3">
      <c r="A30" s="106" t="s">
        <v>110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</row>
    <row r="31" spans="1:30" ht="14" x14ac:dyDescent="0.3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</row>
    <row r="32" spans="1:30" ht="14" x14ac:dyDescent="0.3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</row>
    <row r="33" spans="1:30" ht="14" x14ac:dyDescent="0.3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</row>
    <row r="34" spans="1:30" ht="14" x14ac:dyDescent="0.3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</row>
    <row r="35" spans="1:30" ht="14" x14ac:dyDescent="0.3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</row>
    <row r="36" spans="1:30" ht="14" x14ac:dyDescent="0.3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</row>
    <row r="37" spans="1:30" ht="14" x14ac:dyDescent="0.3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</row>
    <row r="38" spans="1:30" ht="14" x14ac:dyDescent="0.3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</row>
    <row r="39" spans="1:30" ht="14" x14ac:dyDescent="0.3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</row>
    <row r="40" spans="1:30" ht="14" x14ac:dyDescent="0.3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</row>
    <row r="41" spans="1:30" ht="14" x14ac:dyDescent="0.3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</row>
    <row r="42" spans="1:30" ht="14" x14ac:dyDescent="0.3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</row>
    <row r="43" spans="1:30" ht="14" x14ac:dyDescent="0.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</row>
    <row r="44" spans="1:30" ht="14" x14ac:dyDescent="0.3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</row>
    <row r="45" spans="1:30" ht="14" x14ac:dyDescent="0.3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</row>
    <row r="46" spans="1:30" ht="14" x14ac:dyDescent="0.3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</row>
    <row r="47" spans="1:30" ht="14" x14ac:dyDescent="0.3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</row>
    <row r="48" spans="1:30" ht="14" x14ac:dyDescent="0.3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</row>
    <row r="49" spans="1:30" ht="14" x14ac:dyDescent="0.3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</row>
    <row r="50" spans="1:30" ht="14" x14ac:dyDescent="0.3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</row>
    <row r="51" spans="1:30" ht="14" x14ac:dyDescent="0.3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</row>
    <row r="52" spans="1:30" ht="14" x14ac:dyDescent="0.3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</row>
    <row r="53" spans="1:30" ht="14" x14ac:dyDescent="0.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</row>
    <row r="54" spans="1:30" ht="14" x14ac:dyDescent="0.3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</row>
    <row r="55" spans="1:30" ht="14" x14ac:dyDescent="0.3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</row>
    <row r="56" spans="1:30" ht="14" x14ac:dyDescent="0.3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</row>
    <row r="57" spans="1:30" ht="14" x14ac:dyDescent="0.3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</row>
    <row r="58" spans="1:30" ht="14" x14ac:dyDescent="0.3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</row>
    <row r="59" spans="1:30" ht="14" x14ac:dyDescent="0.3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</row>
    <row r="60" spans="1:30" ht="14" x14ac:dyDescent="0.3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</row>
    <row r="61" spans="1:30" ht="14" x14ac:dyDescent="0.3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</row>
    <row r="62" spans="1:30" ht="14" x14ac:dyDescent="0.3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</row>
    <row r="63" spans="1:30" ht="14" x14ac:dyDescent="0.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</row>
    <row r="64" spans="1:30" ht="14" x14ac:dyDescent="0.3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</row>
    <row r="65" spans="1:30" ht="14" x14ac:dyDescent="0.3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</row>
    <row r="66" spans="1:30" ht="14" x14ac:dyDescent="0.3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</row>
    <row r="67" spans="1:30" ht="14" x14ac:dyDescent="0.3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</row>
  </sheetData>
  <dataValidations count="1">
    <dataValidation type="list" allowBlank="1" showInputMessage="1" showErrorMessage="1" sqref="H15">
      <formula1>Rank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C19" sqref="C19"/>
    </sheetView>
  </sheetViews>
  <sheetFormatPr defaultRowHeight="12.5" x14ac:dyDescent="0.25"/>
  <cols>
    <col min="1" max="1" width="18.1796875" bestFit="1" customWidth="1"/>
    <col min="2" max="2" width="11.54296875" customWidth="1"/>
    <col min="3" max="3" width="9.81640625" customWidth="1"/>
    <col min="4" max="4" width="17.54296875" customWidth="1"/>
    <col min="5" max="5" width="16.453125" customWidth="1"/>
  </cols>
  <sheetData>
    <row r="1" spans="1:9" ht="65" x14ac:dyDescent="0.25">
      <c r="A1" s="119" t="s">
        <v>12</v>
      </c>
      <c r="B1" s="115" t="s">
        <v>82</v>
      </c>
      <c r="C1" s="115" t="s">
        <v>86</v>
      </c>
      <c r="D1" s="115" t="s">
        <v>87</v>
      </c>
      <c r="E1" s="115" t="s">
        <v>88</v>
      </c>
      <c r="F1" s="115" t="s">
        <v>89</v>
      </c>
      <c r="G1" s="115" t="s">
        <v>90</v>
      </c>
      <c r="H1" s="115" t="s">
        <v>98</v>
      </c>
      <c r="I1" s="115" t="s">
        <v>99</v>
      </c>
    </row>
    <row r="2" spans="1:9" x14ac:dyDescent="0.25">
      <c r="A2" s="112" t="s">
        <v>83</v>
      </c>
      <c r="B2" s="113">
        <v>98748</v>
      </c>
      <c r="C2" s="113">
        <f>B2/22</f>
        <v>4488.545454545455</v>
      </c>
      <c r="D2" s="113">
        <v>640</v>
      </c>
      <c r="E2" s="114">
        <v>2350</v>
      </c>
      <c r="F2" s="114">
        <f>C2+E2</f>
        <v>6838.545454545455</v>
      </c>
      <c r="G2" s="114">
        <f>F2/3.675</f>
        <v>1860.8286951144096</v>
      </c>
      <c r="H2" s="114">
        <f>F2/8</f>
        <v>854.81818181818187</v>
      </c>
      <c r="I2" s="114">
        <f>G2/8</f>
        <v>232.6035868893012</v>
      </c>
    </row>
    <row r="3" spans="1:9" x14ac:dyDescent="0.25">
      <c r="A3" s="112" t="s">
        <v>84</v>
      </c>
      <c r="B3" s="113">
        <v>81505</v>
      </c>
      <c r="C3" s="113">
        <f t="shared" ref="C3:C4" si="0">B3/22</f>
        <v>3704.7727272727275</v>
      </c>
      <c r="D3" s="113">
        <v>455</v>
      </c>
      <c r="E3" s="114">
        <v>1675</v>
      </c>
      <c r="F3" s="114">
        <f t="shared" ref="F3:F4" si="1">C3+E3</f>
        <v>5379.7727272727279</v>
      </c>
      <c r="G3" s="114">
        <f t="shared" ref="G3:G4" si="2">F3/3.675</f>
        <v>1463.883735312307</v>
      </c>
      <c r="H3" s="114">
        <f t="shared" ref="H3:I4" si="3">F3/8</f>
        <v>672.47159090909099</v>
      </c>
      <c r="I3" s="114">
        <f t="shared" si="3"/>
        <v>182.98546691403837</v>
      </c>
    </row>
    <row r="4" spans="1:9" x14ac:dyDescent="0.25">
      <c r="A4" s="112" t="s">
        <v>85</v>
      </c>
      <c r="B4" s="113">
        <v>67633</v>
      </c>
      <c r="C4" s="113">
        <f t="shared" si="0"/>
        <v>3074.2272727272725</v>
      </c>
      <c r="D4" s="113">
        <v>320</v>
      </c>
      <c r="E4" s="114">
        <v>1180</v>
      </c>
      <c r="F4" s="114">
        <f t="shared" si="1"/>
        <v>4254.2272727272721</v>
      </c>
      <c r="G4" s="114">
        <f t="shared" si="2"/>
        <v>1157.6128633271489</v>
      </c>
      <c r="H4" s="114">
        <f t="shared" si="3"/>
        <v>531.77840909090901</v>
      </c>
      <c r="I4" s="114">
        <f t="shared" si="3"/>
        <v>144.70160791589362</v>
      </c>
    </row>
    <row r="5" spans="1:9" x14ac:dyDescent="0.25">
      <c r="A5" s="104"/>
      <c r="B5" s="104"/>
      <c r="C5" s="104"/>
      <c r="D5" s="104"/>
      <c r="E5" s="104"/>
      <c r="F5" s="104"/>
      <c r="G5" s="104"/>
      <c r="H5" s="104"/>
      <c r="I5" s="104"/>
    </row>
    <row r="6" spans="1:9" x14ac:dyDescent="0.25">
      <c r="A6" s="104"/>
      <c r="B6" s="104"/>
      <c r="C6" s="104"/>
      <c r="D6" s="104"/>
      <c r="E6" s="104"/>
      <c r="F6" s="104"/>
      <c r="G6" s="104"/>
      <c r="H6" s="104"/>
      <c r="I6" s="104"/>
    </row>
    <row r="7" spans="1:9" x14ac:dyDescent="0.25">
      <c r="A7" s="104"/>
      <c r="B7" s="104"/>
      <c r="C7" s="104"/>
      <c r="D7" s="104"/>
      <c r="E7" s="104"/>
      <c r="F7" s="104"/>
      <c r="G7" s="104"/>
      <c r="H7" s="104"/>
      <c r="I7" s="104"/>
    </row>
    <row r="10" spans="1:9" x14ac:dyDescent="0.25">
      <c r="A10" s="31"/>
      <c r="B10" s="31"/>
      <c r="C10" s="31"/>
      <c r="D10" s="31"/>
      <c r="E10" s="31"/>
    </row>
    <row r="11" spans="1:9" x14ac:dyDescent="0.25">
      <c r="A11" s="31"/>
      <c r="B11" s="31"/>
      <c r="C11" s="31"/>
      <c r="D11" s="31"/>
      <c r="E11" s="31"/>
    </row>
    <row r="12" spans="1:9" x14ac:dyDescent="0.25">
      <c r="A12" s="31"/>
      <c r="B12" s="31"/>
      <c r="C12" s="31"/>
      <c r="D12" s="31"/>
      <c r="E12" s="31"/>
    </row>
    <row r="13" spans="1:9" x14ac:dyDescent="0.25">
      <c r="A13" s="31"/>
      <c r="B13" s="31"/>
      <c r="C13" s="31"/>
      <c r="D13" s="31"/>
      <c r="E13" s="31"/>
    </row>
    <row r="14" spans="1:9" x14ac:dyDescent="0.25">
      <c r="A14" s="31"/>
      <c r="B14" s="31"/>
      <c r="C14" s="31"/>
      <c r="D14" s="31"/>
      <c r="E14" s="31"/>
    </row>
    <row r="15" spans="1:9" x14ac:dyDescent="0.25">
      <c r="A15" s="31"/>
      <c r="B15" s="31"/>
      <c r="C15" s="31"/>
      <c r="D15" s="31"/>
      <c r="E15" s="31"/>
    </row>
    <row r="16" spans="1:9" x14ac:dyDescent="0.25">
      <c r="A16" s="31"/>
      <c r="B16" s="31"/>
      <c r="C16" s="31"/>
      <c r="D16" s="31"/>
      <c r="E16" s="31"/>
    </row>
    <row r="17" spans="1:5" x14ac:dyDescent="0.25">
      <c r="A17" s="31"/>
      <c r="B17" s="31"/>
      <c r="C17" s="31"/>
      <c r="D17" s="31"/>
      <c r="E17" s="31"/>
    </row>
    <row r="18" spans="1:5" x14ac:dyDescent="0.25">
      <c r="A18" s="31"/>
      <c r="B18" s="31"/>
      <c r="C18" s="31"/>
      <c r="D18" s="31"/>
      <c r="E18" s="31"/>
    </row>
    <row r="19" spans="1:5" x14ac:dyDescent="0.25">
      <c r="A19" s="31"/>
      <c r="B19" s="31"/>
      <c r="C19" s="31"/>
      <c r="D19" s="31"/>
      <c r="E19" s="31"/>
    </row>
    <row r="20" spans="1:5" x14ac:dyDescent="0.25">
      <c r="A20" s="31"/>
      <c r="B20" s="31"/>
      <c r="C20" s="31"/>
      <c r="D20" s="31"/>
      <c r="E20" s="31"/>
    </row>
    <row r="21" spans="1:5" x14ac:dyDescent="0.25">
      <c r="A21" s="31"/>
      <c r="B21" s="31"/>
      <c r="C21" s="31"/>
      <c r="D21" s="31"/>
      <c r="E21" s="31"/>
    </row>
    <row r="22" spans="1:5" x14ac:dyDescent="0.25">
      <c r="A22" s="31"/>
      <c r="B22" s="31"/>
      <c r="C22" s="31"/>
      <c r="D22" s="31"/>
      <c r="E22" s="31"/>
    </row>
    <row r="23" spans="1:5" x14ac:dyDescent="0.25">
      <c r="A23" s="31"/>
      <c r="B23" s="31"/>
      <c r="C23" s="31"/>
      <c r="D23" s="31"/>
      <c r="E23" s="31"/>
    </row>
    <row r="24" spans="1:5" x14ac:dyDescent="0.25">
      <c r="A24" s="31"/>
      <c r="B24" s="31"/>
      <c r="C24" s="31"/>
      <c r="D24" s="31"/>
      <c r="E24" s="31"/>
    </row>
    <row r="25" spans="1:5" x14ac:dyDescent="0.25">
      <c r="A25" s="31"/>
      <c r="B25" s="31"/>
      <c r="C25" s="31"/>
      <c r="D25" s="31"/>
      <c r="E25" s="31"/>
    </row>
    <row r="26" spans="1:5" x14ac:dyDescent="0.25">
      <c r="A26" s="31"/>
      <c r="B26" s="31"/>
      <c r="C26" s="31"/>
      <c r="D26" s="31"/>
      <c r="E26" s="31"/>
    </row>
    <row r="27" spans="1:5" x14ac:dyDescent="0.25">
      <c r="A27" s="31"/>
      <c r="B27" s="31"/>
      <c r="C27" s="31"/>
      <c r="D27" s="31"/>
      <c r="E27" s="31"/>
    </row>
    <row r="28" spans="1:5" x14ac:dyDescent="0.25">
      <c r="A28" s="31"/>
      <c r="B28" s="31"/>
      <c r="C28" s="31"/>
      <c r="D28" s="31"/>
      <c r="E28" s="31"/>
    </row>
    <row r="29" spans="1:5" x14ac:dyDescent="0.25">
      <c r="A29" s="31"/>
      <c r="B29" s="31"/>
      <c r="C29" s="31"/>
      <c r="D29" s="31"/>
      <c r="E29" s="3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Course Calculator</vt:lpstr>
      <vt:lpstr>Data</vt:lpstr>
      <vt:lpstr>Faculty &amp; Preparation Cost</vt:lpstr>
      <vt:lpstr>Catering</vt:lpstr>
      <vt:lpstr>CateringCost</vt:lpstr>
      <vt:lpstr>InstPayment</vt:lpstr>
      <vt:lpstr>Instructor</vt:lpstr>
      <vt:lpstr>PMCost</vt:lpstr>
      <vt:lpstr>ProductionMaterial</vt:lpstr>
      <vt:lpstr>Rank</vt:lpstr>
      <vt:lpstr>Stationaries</vt:lpstr>
      <vt:lpstr>StationariesCost</vt:lpstr>
      <vt:lpstr>Venue</vt:lpstr>
      <vt:lpstr>VenueCost</vt:lpstr>
    </vt:vector>
  </TitlesOfParts>
  <Company>GeoLearning.com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Hipwell</dc:creator>
  <cp:lastModifiedBy>Airen Fajardo</cp:lastModifiedBy>
  <cp:lastPrinted>2017-01-29T05:21:50Z</cp:lastPrinted>
  <dcterms:created xsi:type="dcterms:W3CDTF">2000-12-20T23:52:04Z</dcterms:created>
  <dcterms:modified xsi:type="dcterms:W3CDTF">2023-10-20T12:15:41Z</dcterms:modified>
</cp:coreProperties>
</file>