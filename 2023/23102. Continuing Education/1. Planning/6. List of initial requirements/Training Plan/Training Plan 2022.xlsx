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fajardo\Desktop\Audit 2023 Jan- March\List of Requirement\"/>
    </mc:Choice>
  </mc:AlternateContent>
  <bookViews>
    <workbookView xWindow="0" yWindow="0" windowWidth="19200" windowHeight="7050" activeTab="1"/>
  </bookViews>
  <sheets>
    <sheet name="2021" sheetId="4" r:id="rId1"/>
    <sheet name="2022" sheetId="3" r:id="rId2"/>
    <sheet name="Sheet1" sheetId="5" r:id="rId3"/>
  </sheets>
  <definedNames>
    <definedName name="_xlnm._FilterDatabase" localSheetId="0" hidden="1">'2021'!$A$2:$L$3</definedName>
    <definedName name="_xlnm._FilterDatabase" localSheetId="1" hidden="1">'2022'!$A$2:$L$3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3" l="1"/>
  <c r="J6" i="3" l="1"/>
  <c r="J14" i="3"/>
  <c r="L10" i="4" l="1"/>
  <c r="L7" i="4"/>
  <c r="L6" i="4"/>
  <c r="K10" i="4"/>
  <c r="K6" i="4"/>
  <c r="C10" i="4"/>
  <c r="L19" i="3" l="1"/>
</calcChain>
</file>

<file path=xl/comments1.xml><?xml version="1.0" encoding="utf-8"?>
<comments xmlns="http://schemas.openxmlformats.org/spreadsheetml/2006/main">
  <authors>
    <author>Airen Fajardo</author>
  </authors>
  <commentList>
    <comment ref="J8" authorId="0" shapeId="0">
      <text>
        <r>
          <rPr>
            <b/>
            <sz val="9"/>
            <color indexed="81"/>
            <rFont val="Tahoma"/>
            <family val="2"/>
          </rPr>
          <t>NoPayment required for the faculty.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NoPayment required for the faculty.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NoPayment required for the faculty.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>
      <text>
        <r>
          <rPr>
            <b/>
            <sz val="9"/>
            <color indexed="81"/>
            <rFont val="Tahoma"/>
            <family val="2"/>
          </rPr>
          <t>NoPayment required for the faculty.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<sst xmlns="http://schemas.openxmlformats.org/spreadsheetml/2006/main" count="138" uniqueCount="66">
  <si>
    <t>Online</t>
  </si>
  <si>
    <t>Program</t>
  </si>
  <si>
    <t>Mode of Delivery</t>
  </si>
  <si>
    <t>ADIA Summer Bridge Program Pyhton</t>
  </si>
  <si>
    <t>Start</t>
  </si>
  <si>
    <t>End</t>
  </si>
  <si>
    <t>Number of Days</t>
  </si>
  <si>
    <t>S.N</t>
  </si>
  <si>
    <t>ADNOC Ro' ya Summer 1</t>
  </si>
  <si>
    <t>Face to Face</t>
  </si>
  <si>
    <t xml:space="preserve">SEHA Clinical Research Program  Cohort 1 </t>
  </si>
  <si>
    <t xml:space="preserve">SEHA Clinical Research Program  Cohort 2 </t>
  </si>
  <si>
    <t xml:space="preserve">ADIA Summer Bridge Program  Math  </t>
  </si>
  <si>
    <t>Status</t>
  </si>
  <si>
    <t>Coursera ( Arabic for Beginners, AI, Machine Learning)</t>
  </si>
  <si>
    <t xml:space="preserve">ADNOC Ro' ya  Summer 2 </t>
  </si>
  <si>
    <t>Mubadala Summer Boot Camp</t>
  </si>
  <si>
    <t>TBA</t>
  </si>
  <si>
    <t>2022 KU Training Courses/ Program</t>
  </si>
  <si>
    <t>Number of
 Students</t>
  </si>
  <si>
    <t>Program Approved</t>
  </si>
  <si>
    <t>Sucessfully Completed</t>
  </si>
  <si>
    <t>Advanced Electronics ( AD Police)</t>
  </si>
  <si>
    <t xml:space="preserve">Advanced Electronics ( AD Police) </t>
  </si>
  <si>
    <t>Expected 3- courses will launch in 2023</t>
  </si>
  <si>
    <t>Quarter 1</t>
  </si>
  <si>
    <t>Quarter 2</t>
  </si>
  <si>
    <t xml:space="preserve"> Face to Face</t>
  </si>
  <si>
    <t>Artificial Intelligence for Emergencies and Crises  ( NCEMA)</t>
  </si>
  <si>
    <t>Roya Winter Program 2022</t>
  </si>
  <si>
    <t>TOTAL</t>
  </si>
  <si>
    <t>Invoice #</t>
  </si>
  <si>
    <t>2021 KU Training Courses/ Program</t>
  </si>
  <si>
    <t>On- Going</t>
  </si>
  <si>
    <t>ADIA Summer Bridge Program Python</t>
  </si>
  <si>
    <t>‭101000835‬</t>
  </si>
  <si>
    <t>Amount in USD</t>
  </si>
  <si>
    <t xml:space="preserve"> Amount  in AED</t>
  </si>
  <si>
    <t>‭101000890‬</t>
  </si>
  <si>
    <t>‭101000951‬</t>
  </si>
  <si>
    <t>1 year</t>
  </si>
  <si>
    <t>ADNOC Summer Program</t>
  </si>
  <si>
    <t>Faculty</t>
  </si>
  <si>
    <t xml:space="preserve">Dr. Juan Acuna el at. </t>
  </si>
  <si>
    <t>Dr.Samira and Berihu</t>
  </si>
  <si>
    <t>Dr.Andreas Henschel</t>
  </si>
  <si>
    <t>Dr. Naoufel Werghi</t>
  </si>
  <si>
    <t>Dr. Kais Belwafi</t>
  </si>
  <si>
    <t>Dr. Mahmpud Meribout</t>
  </si>
  <si>
    <t>Dr. Mohamed  Khams
 &amp; Ahmed Ameur</t>
  </si>
  <si>
    <t>Abukari Idriss el at</t>
  </si>
  <si>
    <t>Abukri Idriss el at</t>
  </si>
  <si>
    <t>On -Going</t>
  </si>
  <si>
    <t xml:space="preserve">SEHA Clinical Program Cohort 3 Opening </t>
  </si>
  <si>
    <t>Dr. Abderahim Oulhaj  el at</t>
  </si>
  <si>
    <t>Dr. Sami Mejri
Dr. Amna Al Shehhi
Dr. Ernesto Damiani</t>
  </si>
  <si>
    <t>Countering Strategic Insider Threats New Research and Trend</t>
  </si>
  <si>
    <t>Sandia Laboratories</t>
  </si>
  <si>
    <t>Nuclear Basics</t>
  </si>
  <si>
    <t>IAEA</t>
  </si>
  <si>
    <t>Faculty Payment</t>
  </si>
  <si>
    <t>Outreach</t>
  </si>
  <si>
    <t>Amount Paid
 by Client</t>
  </si>
  <si>
    <t>Free of Charge Workshop</t>
  </si>
  <si>
    <t>101001502
101001504</t>
  </si>
  <si>
    <t>Online Self
 Paced 
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</si>
</sst>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AED]\ * #,##0.00_);_([$AED]\ * \(#,##0.00\);_([$AED]\ * &quot;-&quot;??_);_(@_)"/>
    <numFmt numFmtId="165" formatCode="[$-409]d\-mmm\-yy;@"/>
    <numFmt numFmtId="166" formatCode="[$AED]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164" fontId="0" fillId="0" borderId="1" xfId="1" applyNumberFormat="1" applyFont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1" fillId="0" borderId="5" xfId="0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5" borderId="0" xfId="0" applyNumberFormat="1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37" fontId="1" fillId="5" borderId="0" xfId="0" applyNumberFormat="1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" fontId="0" fillId="0" borderId="0" xfId="0" applyNumberFormat="1"/>
    <xf numFmtId="1" fontId="0" fillId="0" borderId="1" xfId="0" applyNumberFormat="1" applyBorder="1"/>
    <xf numFmtId="165" fontId="0" fillId="0" borderId="1" xfId="0" applyNumberFormat="1" applyBorder="1" applyAlignment="1">
      <alignment horizontal="center"/>
    </xf>
    <xf numFmtId="44" fontId="0" fillId="0" borderId="1" xfId="2" applyFont="1" applyBorder="1" applyAlignment="1">
      <alignment horizontal="center"/>
    </xf>
    <xf numFmtId="0" fontId="5" fillId="6" borderId="1" xfId="0" applyFont="1" applyFill="1" applyBorder="1" applyAlignment="1">
      <alignment vertical="top"/>
    </xf>
    <xf numFmtId="44" fontId="1" fillId="0" borderId="0" xfId="2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6" borderId="1" xfId="0" applyFont="1" applyFill="1" applyBorder="1" applyAlignment="1">
      <alignment horizontal="left" vertical="top"/>
    </xf>
    <xf numFmtId="0" fontId="0" fillId="4" borderId="3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66" fontId="0" fillId="0" borderId="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38101</xdr:rowOff>
    </xdr:from>
    <xdr:to>
      <xdr:col>1</xdr:col>
      <xdr:colOff>1600200</xdr:colOff>
      <xdr:row>0</xdr:row>
      <xdr:rowOff>589257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90FD8-F072-4054-A8A5-7D96990BA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38101"/>
          <a:ext cx="1752600" cy="5511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38101</xdr:rowOff>
    </xdr:from>
    <xdr:to>
      <xdr:col>1</xdr:col>
      <xdr:colOff>1600200</xdr:colOff>
      <xdr:row>0</xdr:row>
      <xdr:rowOff>589257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90FD8-F072-4054-A8A5-7D96990BA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38101"/>
          <a:ext cx="1733550" cy="5511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opLeftCell="D1" zoomScale="95" zoomScaleNormal="95" workbookViewId="0">
      <selection activeCell="I13" sqref="I13"/>
    </sheetView>
  </sheetViews>
  <sheetFormatPr defaultRowHeight="14.5" x14ac:dyDescent="0.35"/>
  <cols>
    <col min="1" max="1" width="5.1796875" customWidth="1"/>
    <col min="2" max="2" width="52.54296875" customWidth="1"/>
    <col min="3" max="3" width="15.26953125" customWidth="1"/>
    <col min="4" max="4" width="16.453125" customWidth="1"/>
    <col min="5" max="5" width="12.54296875" customWidth="1"/>
    <col min="6" max="6" width="11.81640625" customWidth="1"/>
    <col min="7" max="7" width="18.26953125" customWidth="1"/>
    <col min="8" max="8" width="11.453125" style="1" customWidth="1"/>
    <col min="9" max="11" width="20" style="1" customWidth="1"/>
    <col min="12" max="12" width="18.81640625" style="1" customWidth="1"/>
    <col min="13" max="13" width="13.36328125" customWidth="1"/>
    <col min="14" max="14" width="14.1796875" customWidth="1"/>
  </cols>
  <sheetData>
    <row r="1" spans="1:14" ht="52.5" customHeight="1" x14ac:dyDescent="0.45">
      <c r="A1" s="37" t="s">
        <v>32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4" ht="31.5" customHeight="1" x14ac:dyDescent="0.35">
      <c r="A2" s="38" t="s">
        <v>7</v>
      </c>
      <c r="B2" s="40" t="s">
        <v>1</v>
      </c>
      <c r="C2" s="22"/>
      <c r="D2" s="40" t="s">
        <v>6</v>
      </c>
      <c r="E2" s="40" t="s">
        <v>4</v>
      </c>
      <c r="F2" s="40" t="s">
        <v>5</v>
      </c>
      <c r="G2" s="42" t="s">
        <v>2</v>
      </c>
      <c r="H2" s="42"/>
      <c r="I2" s="40" t="s">
        <v>42</v>
      </c>
      <c r="J2" s="40" t="s">
        <v>13</v>
      </c>
      <c r="K2" s="22"/>
      <c r="L2" s="22"/>
      <c r="M2" s="35" t="s">
        <v>31</v>
      </c>
    </row>
    <row r="3" spans="1:14" ht="29" x14ac:dyDescent="0.35">
      <c r="A3" s="39"/>
      <c r="B3" s="41"/>
      <c r="C3" s="12" t="s">
        <v>19</v>
      </c>
      <c r="D3" s="41"/>
      <c r="E3" s="41"/>
      <c r="F3" s="41"/>
      <c r="G3" s="5" t="s">
        <v>9</v>
      </c>
      <c r="H3" s="6" t="s">
        <v>0</v>
      </c>
      <c r="I3" s="41"/>
      <c r="J3" s="41"/>
      <c r="K3" s="23" t="s">
        <v>36</v>
      </c>
      <c r="L3" s="23" t="s">
        <v>37</v>
      </c>
      <c r="M3" s="36"/>
    </row>
    <row r="4" spans="1:14" x14ac:dyDescent="0.35">
      <c r="A4" s="2">
        <v>1</v>
      </c>
      <c r="B4" s="3" t="s">
        <v>10</v>
      </c>
      <c r="C4" s="4">
        <v>40</v>
      </c>
      <c r="D4" s="4" t="s">
        <v>40</v>
      </c>
      <c r="E4" s="7">
        <v>44290</v>
      </c>
      <c r="F4" s="7">
        <v>44876</v>
      </c>
      <c r="G4" s="4" t="s">
        <v>9</v>
      </c>
      <c r="H4" s="4" t="s">
        <v>0</v>
      </c>
      <c r="I4" s="4" t="s">
        <v>43</v>
      </c>
      <c r="J4" s="4" t="s">
        <v>21</v>
      </c>
      <c r="K4" s="4"/>
      <c r="L4" s="11">
        <v>2208000</v>
      </c>
      <c r="M4" s="31">
        <v>101000860</v>
      </c>
    </row>
    <row r="5" spans="1:14" x14ac:dyDescent="0.35">
      <c r="A5" s="2">
        <v>2</v>
      </c>
      <c r="B5" s="3" t="s">
        <v>11</v>
      </c>
      <c r="C5" s="4">
        <v>40</v>
      </c>
      <c r="D5" s="4" t="s">
        <v>40</v>
      </c>
      <c r="E5" s="26">
        <v>44457</v>
      </c>
      <c r="F5" s="26">
        <v>45282</v>
      </c>
      <c r="G5" s="4" t="s">
        <v>27</v>
      </c>
      <c r="H5" s="4" t="s">
        <v>0</v>
      </c>
      <c r="I5" s="4" t="s">
        <v>43</v>
      </c>
      <c r="J5" s="4" t="s">
        <v>33</v>
      </c>
      <c r="K5" s="4"/>
      <c r="L5" s="11"/>
      <c r="M5" s="3"/>
    </row>
    <row r="6" spans="1:14" ht="29" x14ac:dyDescent="0.35">
      <c r="A6" s="2">
        <v>4</v>
      </c>
      <c r="B6" s="3" t="s">
        <v>12</v>
      </c>
      <c r="C6" s="4">
        <v>35</v>
      </c>
      <c r="D6" s="4">
        <v>25</v>
      </c>
      <c r="E6" s="7">
        <v>44718</v>
      </c>
      <c r="F6" s="7">
        <v>44743</v>
      </c>
      <c r="G6" s="4" t="s">
        <v>9</v>
      </c>
      <c r="H6" s="4"/>
      <c r="I6" s="8" t="s">
        <v>49</v>
      </c>
      <c r="J6" s="4" t="s">
        <v>21</v>
      </c>
      <c r="K6" s="27">
        <f>13500*2</f>
        <v>27000</v>
      </c>
      <c r="L6" s="27">
        <f>K6*3.68</f>
        <v>99360</v>
      </c>
      <c r="M6" s="28" t="s">
        <v>38</v>
      </c>
    </row>
    <row r="7" spans="1:14" x14ac:dyDescent="0.35">
      <c r="A7" s="2">
        <v>5</v>
      </c>
      <c r="B7" s="3" t="s">
        <v>34</v>
      </c>
      <c r="C7" s="4">
        <v>35</v>
      </c>
      <c r="D7" s="4">
        <v>32</v>
      </c>
      <c r="E7" s="26">
        <v>44360</v>
      </c>
      <c r="F7" s="7">
        <v>44392</v>
      </c>
      <c r="G7" s="4" t="s">
        <v>9</v>
      </c>
      <c r="H7" s="4"/>
      <c r="I7" s="4" t="s">
        <v>45</v>
      </c>
      <c r="J7" s="4" t="s">
        <v>21</v>
      </c>
      <c r="K7" s="27">
        <v>40500</v>
      </c>
      <c r="L7" s="27">
        <f>40500*3.68</f>
        <v>149040</v>
      </c>
      <c r="M7" s="28" t="s">
        <v>38</v>
      </c>
      <c r="N7" s="24"/>
    </row>
    <row r="8" spans="1:14" x14ac:dyDescent="0.35">
      <c r="A8" s="2">
        <v>7</v>
      </c>
      <c r="B8" s="3" t="s">
        <v>41</v>
      </c>
      <c r="C8" s="4">
        <v>20</v>
      </c>
      <c r="D8" s="4">
        <v>10</v>
      </c>
      <c r="E8" s="7">
        <v>44388</v>
      </c>
      <c r="F8" s="7">
        <v>44399</v>
      </c>
      <c r="G8" s="4" t="s">
        <v>0</v>
      </c>
      <c r="H8" s="4"/>
      <c r="I8" s="4" t="s">
        <v>50</v>
      </c>
      <c r="J8" s="4" t="s">
        <v>21</v>
      </c>
      <c r="K8" s="4"/>
      <c r="L8" s="11">
        <v>70000</v>
      </c>
      <c r="M8" s="28" t="s">
        <v>35</v>
      </c>
      <c r="N8" s="24"/>
    </row>
    <row r="9" spans="1:14" x14ac:dyDescent="0.35">
      <c r="A9" s="2">
        <v>12</v>
      </c>
      <c r="B9" s="9" t="s">
        <v>28</v>
      </c>
      <c r="C9" s="8">
        <v>10</v>
      </c>
      <c r="D9" s="4">
        <v>5</v>
      </c>
      <c r="E9" s="7">
        <v>44507</v>
      </c>
      <c r="F9" s="7">
        <v>44511</v>
      </c>
      <c r="G9" s="4" t="s">
        <v>9</v>
      </c>
      <c r="H9" s="4"/>
      <c r="I9" s="4" t="s">
        <v>46</v>
      </c>
      <c r="J9" s="8" t="s">
        <v>21</v>
      </c>
      <c r="K9" s="8"/>
      <c r="L9" s="11">
        <v>62272.5</v>
      </c>
      <c r="M9" s="28" t="s">
        <v>39</v>
      </c>
    </row>
    <row r="10" spans="1:14" ht="21.75" customHeight="1" x14ac:dyDescent="0.35">
      <c r="B10" s="16" t="s">
        <v>30</v>
      </c>
      <c r="C10" s="21">
        <f>SUM(C4:C9)</f>
        <v>180</v>
      </c>
      <c r="D10" s="17"/>
      <c r="E10" s="17"/>
      <c r="F10" s="17"/>
      <c r="G10" s="17"/>
      <c r="H10" s="18"/>
      <c r="I10" s="18"/>
      <c r="J10" s="18"/>
      <c r="K10" s="29">
        <f>SUM(K4:K9)</f>
        <v>67500</v>
      </c>
      <c r="L10" s="19">
        <f>SUM(L4:L9)</f>
        <v>2588672.5</v>
      </c>
    </row>
    <row r="11" spans="1:14" x14ac:dyDescent="0.35">
      <c r="K11" s="30"/>
    </row>
    <row r="13" spans="1:14" x14ac:dyDescent="0.35">
      <c r="J13" s="1" t="s">
        <v>30</v>
      </c>
    </row>
  </sheetData>
  <autoFilter ref="A2:L3">
    <filterColumn colId="6" showButton="0"/>
  </autoFilter>
  <mergeCells count="10">
    <mergeCell ref="M2:M3"/>
    <mergeCell ref="A1:L1"/>
    <mergeCell ref="A2:A3"/>
    <mergeCell ref="B2:B3"/>
    <mergeCell ref="D2:D3"/>
    <mergeCell ref="E2:E3"/>
    <mergeCell ref="F2:F3"/>
    <mergeCell ref="G2:H2"/>
    <mergeCell ref="J2:J3"/>
    <mergeCell ref="I2:I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0"/>
  <sheetViews>
    <sheetView tabSelected="1" topLeftCell="A16" zoomScale="95" zoomScaleNormal="95" workbookViewId="0">
      <selection activeCell="C26" sqref="C26"/>
    </sheetView>
  </sheetViews>
  <sheetFormatPr defaultRowHeight="14.5" x14ac:dyDescent="0.35"/>
  <cols>
    <col min="1" max="1" width="5.1796875" customWidth="1"/>
    <col min="2" max="2" width="52.54296875" customWidth="1"/>
    <col min="3" max="3" width="12.6328125" customWidth="1"/>
    <col min="4" max="4" width="15.1796875" customWidth="1"/>
    <col min="5" max="5" width="12.54296875" customWidth="1"/>
    <col min="6" max="6" width="11.81640625" customWidth="1"/>
    <col min="7" max="7" width="18.26953125" customWidth="1"/>
    <col min="8" max="8" width="11.453125" style="1" customWidth="1"/>
    <col min="9" max="9" width="24.6328125" style="1" customWidth="1"/>
    <col min="10" max="10" width="21.54296875" style="1" customWidth="1"/>
    <col min="11" max="11" width="20" style="1" customWidth="1"/>
    <col min="12" max="12" width="18.81640625" style="1" customWidth="1"/>
    <col min="13" max="13" width="13.36328125" customWidth="1"/>
    <col min="14" max="14" width="21.7265625" customWidth="1"/>
  </cols>
  <sheetData>
    <row r="1" spans="1:13" ht="52.5" customHeight="1" x14ac:dyDescent="0.45">
      <c r="A1" s="37" t="s">
        <v>18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3" ht="31.5" customHeight="1" x14ac:dyDescent="0.35">
      <c r="A2" s="38" t="s">
        <v>7</v>
      </c>
      <c r="B2" s="40" t="s">
        <v>1</v>
      </c>
      <c r="C2" s="13"/>
      <c r="D2" s="40" t="s">
        <v>6</v>
      </c>
      <c r="E2" s="40" t="s">
        <v>4</v>
      </c>
      <c r="F2" s="40" t="s">
        <v>5</v>
      </c>
      <c r="G2" s="42" t="s">
        <v>2</v>
      </c>
      <c r="H2" s="42"/>
      <c r="I2" s="40" t="s">
        <v>42</v>
      </c>
      <c r="J2" s="33"/>
      <c r="K2" s="40" t="s">
        <v>13</v>
      </c>
      <c r="L2" s="20"/>
      <c r="M2" s="35" t="s">
        <v>31</v>
      </c>
    </row>
    <row r="3" spans="1:13" ht="29" x14ac:dyDescent="0.35">
      <c r="A3" s="39"/>
      <c r="B3" s="41"/>
      <c r="C3" s="12" t="s">
        <v>19</v>
      </c>
      <c r="D3" s="41"/>
      <c r="E3" s="41"/>
      <c r="F3" s="41"/>
      <c r="G3" s="5" t="s">
        <v>9</v>
      </c>
      <c r="H3" s="6" t="s">
        <v>0</v>
      </c>
      <c r="I3" s="41"/>
      <c r="J3" s="34" t="s">
        <v>60</v>
      </c>
      <c r="K3" s="41"/>
      <c r="L3" s="12" t="s">
        <v>62</v>
      </c>
      <c r="M3" s="36"/>
    </row>
    <row r="4" spans="1:13" x14ac:dyDescent="0.35">
      <c r="A4" s="32">
        <v>1</v>
      </c>
      <c r="B4" s="3" t="s">
        <v>10</v>
      </c>
      <c r="C4" s="4">
        <v>40</v>
      </c>
      <c r="D4" s="4" t="s">
        <v>25</v>
      </c>
      <c r="E4" s="7">
        <v>44197</v>
      </c>
      <c r="F4" s="7">
        <v>44864</v>
      </c>
      <c r="G4" s="4" t="s">
        <v>9</v>
      </c>
      <c r="H4" s="4" t="s">
        <v>0</v>
      </c>
      <c r="I4" s="4" t="s">
        <v>43</v>
      </c>
      <c r="J4" s="48"/>
      <c r="K4" s="4" t="s">
        <v>21</v>
      </c>
      <c r="L4" s="11">
        <v>171000</v>
      </c>
      <c r="M4" s="25">
        <v>101001134</v>
      </c>
    </row>
    <row r="5" spans="1:13" x14ac:dyDescent="0.35">
      <c r="A5" s="32">
        <v>2</v>
      </c>
      <c r="B5" s="3" t="s">
        <v>11</v>
      </c>
      <c r="C5" s="4">
        <v>40</v>
      </c>
      <c r="D5" s="4" t="s">
        <v>26</v>
      </c>
      <c r="E5" s="7">
        <v>44460</v>
      </c>
      <c r="F5" s="7">
        <v>45282</v>
      </c>
      <c r="G5" s="4" t="s">
        <v>27</v>
      </c>
      <c r="H5" s="4" t="s">
        <v>0</v>
      </c>
      <c r="I5" s="4" t="s">
        <v>43</v>
      </c>
      <c r="J5" s="49"/>
      <c r="K5" s="4" t="s">
        <v>52</v>
      </c>
      <c r="L5" s="11">
        <v>130000</v>
      </c>
      <c r="M5" s="3">
        <v>101001244</v>
      </c>
    </row>
    <row r="6" spans="1:13" x14ac:dyDescent="0.35">
      <c r="A6" s="32">
        <v>3</v>
      </c>
      <c r="B6" s="3" t="s">
        <v>12</v>
      </c>
      <c r="C6" s="4">
        <v>6</v>
      </c>
      <c r="D6" s="4">
        <v>20</v>
      </c>
      <c r="E6" s="7">
        <v>44718</v>
      </c>
      <c r="F6" s="7">
        <v>44757</v>
      </c>
      <c r="G6" s="4" t="s">
        <v>9</v>
      </c>
      <c r="H6" s="4"/>
      <c r="I6" s="4" t="s">
        <v>44</v>
      </c>
      <c r="J6" s="50">
        <f>22250+12150</f>
        <v>34400</v>
      </c>
      <c r="K6" s="4" t="s">
        <v>21</v>
      </c>
      <c r="L6" s="44">
        <v>127876.4476190476</v>
      </c>
      <c r="M6" s="46">
        <v>101001309</v>
      </c>
    </row>
    <row r="7" spans="1:13" x14ac:dyDescent="0.35">
      <c r="A7" s="32">
        <v>4</v>
      </c>
      <c r="B7" s="3" t="s">
        <v>3</v>
      </c>
      <c r="C7" s="4">
        <v>6</v>
      </c>
      <c r="D7" s="4">
        <v>21</v>
      </c>
      <c r="E7" s="7">
        <v>44718</v>
      </c>
      <c r="F7" s="7">
        <v>44399</v>
      </c>
      <c r="G7" s="4" t="s">
        <v>9</v>
      </c>
      <c r="H7" s="4"/>
      <c r="I7" s="4" t="s">
        <v>45</v>
      </c>
      <c r="J7" s="50">
        <v>20250</v>
      </c>
      <c r="K7" s="4" t="s">
        <v>21</v>
      </c>
      <c r="L7" s="45"/>
      <c r="M7" s="47"/>
    </row>
    <row r="8" spans="1:13" x14ac:dyDescent="0.35">
      <c r="A8" s="32">
        <v>5</v>
      </c>
      <c r="B8" s="3" t="s">
        <v>8</v>
      </c>
      <c r="C8" s="4">
        <v>25</v>
      </c>
      <c r="D8" s="4">
        <v>11</v>
      </c>
      <c r="E8" s="7">
        <v>44755</v>
      </c>
      <c r="F8" s="7">
        <v>44770</v>
      </c>
      <c r="G8" s="4" t="s">
        <v>9</v>
      </c>
      <c r="H8" s="4"/>
      <c r="I8" s="4" t="s">
        <v>51</v>
      </c>
      <c r="J8" s="4" t="s">
        <v>61</v>
      </c>
      <c r="K8" s="4" t="s">
        <v>21</v>
      </c>
      <c r="L8" s="44">
        <v>217500</v>
      </c>
      <c r="M8" s="46">
        <v>101001490</v>
      </c>
    </row>
    <row r="9" spans="1:13" x14ac:dyDescent="0.35">
      <c r="A9" s="32">
        <v>6</v>
      </c>
      <c r="B9" s="3" t="s">
        <v>15</v>
      </c>
      <c r="C9" s="4">
        <v>12</v>
      </c>
      <c r="D9" s="4">
        <v>5</v>
      </c>
      <c r="E9" s="7">
        <v>44755</v>
      </c>
      <c r="F9" s="7">
        <v>44770</v>
      </c>
      <c r="G9" s="4" t="s">
        <v>9</v>
      </c>
      <c r="H9" s="4"/>
      <c r="I9" s="4" t="s">
        <v>51</v>
      </c>
      <c r="J9" s="4" t="s">
        <v>61</v>
      </c>
      <c r="K9" s="4" t="s">
        <v>21</v>
      </c>
      <c r="L9" s="45"/>
      <c r="M9" s="47"/>
    </row>
    <row r="10" spans="1:13" ht="19.5" customHeight="1" x14ac:dyDescent="0.35">
      <c r="A10" s="32">
        <v>7</v>
      </c>
      <c r="B10" s="3" t="s">
        <v>16</v>
      </c>
      <c r="C10" s="4">
        <v>60</v>
      </c>
      <c r="D10" s="4">
        <v>5</v>
      </c>
      <c r="E10" s="7">
        <v>44788</v>
      </c>
      <c r="F10" s="7">
        <v>44792</v>
      </c>
      <c r="G10" s="4" t="s">
        <v>9</v>
      </c>
      <c r="H10" s="4"/>
      <c r="I10" s="4" t="s">
        <v>51</v>
      </c>
      <c r="J10" s="4" t="s">
        <v>61</v>
      </c>
      <c r="K10" s="4" t="s">
        <v>21</v>
      </c>
      <c r="L10" s="11">
        <v>157000</v>
      </c>
      <c r="M10" s="3">
        <v>101001341</v>
      </c>
    </row>
    <row r="11" spans="1:13" ht="46.5" customHeight="1" x14ac:dyDescent="0.35">
      <c r="A11" s="32">
        <v>8</v>
      </c>
      <c r="B11" s="3" t="s">
        <v>14</v>
      </c>
      <c r="C11" s="3"/>
      <c r="D11" s="3"/>
      <c r="E11" s="4" t="s">
        <v>17</v>
      </c>
      <c r="F11" s="4" t="s">
        <v>17</v>
      </c>
      <c r="G11" s="3"/>
      <c r="H11" s="8" t="s">
        <v>65</v>
      </c>
      <c r="I11" s="43" t="s">
        <v>55</v>
      </c>
      <c r="J11" s="43"/>
      <c r="K11" s="8" t="s">
        <v>24</v>
      </c>
      <c r="L11" s="11"/>
      <c r="M11" s="3"/>
    </row>
    <row r="12" spans="1:13" x14ac:dyDescent="0.35">
      <c r="A12" s="32">
        <v>9</v>
      </c>
      <c r="B12" s="9" t="s">
        <v>23</v>
      </c>
      <c r="C12" s="8">
        <v>10</v>
      </c>
      <c r="D12" s="4">
        <v>5</v>
      </c>
      <c r="E12" s="7">
        <v>44823</v>
      </c>
      <c r="F12" s="7">
        <v>44827</v>
      </c>
      <c r="G12" s="4" t="s">
        <v>9</v>
      </c>
      <c r="H12" s="4"/>
      <c r="I12" s="4" t="s">
        <v>47</v>
      </c>
      <c r="J12" s="51">
        <v>12000</v>
      </c>
      <c r="K12" s="8" t="s">
        <v>21</v>
      </c>
      <c r="L12" s="11">
        <v>63000</v>
      </c>
      <c r="M12" s="3">
        <v>101001385</v>
      </c>
    </row>
    <row r="13" spans="1:13" x14ac:dyDescent="0.35">
      <c r="A13" s="32">
        <v>10</v>
      </c>
      <c r="B13" s="2" t="s">
        <v>56</v>
      </c>
      <c r="C13" s="8">
        <v>36</v>
      </c>
      <c r="D13" s="4">
        <v>2</v>
      </c>
      <c r="E13" s="7">
        <v>44846</v>
      </c>
      <c r="F13" s="7">
        <v>44847</v>
      </c>
      <c r="G13" s="4" t="s">
        <v>9</v>
      </c>
      <c r="H13" s="4"/>
      <c r="I13" s="4" t="s">
        <v>57</v>
      </c>
      <c r="J13" s="51" t="s">
        <v>63</v>
      </c>
      <c r="K13" s="8" t="s">
        <v>21</v>
      </c>
      <c r="L13" s="11"/>
      <c r="M13" s="3"/>
    </row>
    <row r="14" spans="1:13" x14ac:dyDescent="0.35">
      <c r="A14" s="32">
        <v>11</v>
      </c>
      <c r="B14" s="9" t="s">
        <v>28</v>
      </c>
      <c r="C14" s="8">
        <v>29</v>
      </c>
      <c r="D14" s="4">
        <v>3</v>
      </c>
      <c r="E14" s="7">
        <v>44860</v>
      </c>
      <c r="F14" s="7">
        <v>44862</v>
      </c>
      <c r="G14" s="4" t="s">
        <v>9</v>
      </c>
      <c r="H14" s="4"/>
      <c r="I14" s="4" t="s">
        <v>46</v>
      </c>
      <c r="J14" s="51">
        <f>300*8*3</f>
        <v>7200</v>
      </c>
      <c r="K14" s="8" t="s">
        <v>21</v>
      </c>
      <c r="L14" s="11">
        <v>51500</v>
      </c>
      <c r="M14" s="3">
        <v>101001467</v>
      </c>
    </row>
    <row r="15" spans="1:13" x14ac:dyDescent="0.35">
      <c r="A15" s="32">
        <v>12</v>
      </c>
      <c r="B15" s="9" t="s">
        <v>22</v>
      </c>
      <c r="C15" s="8">
        <v>10</v>
      </c>
      <c r="D15" s="4">
        <v>5</v>
      </c>
      <c r="E15" s="7">
        <v>44865</v>
      </c>
      <c r="F15" s="7">
        <v>44869</v>
      </c>
      <c r="G15" s="4" t="s">
        <v>9</v>
      </c>
      <c r="H15" s="4"/>
      <c r="I15" s="4" t="s">
        <v>48</v>
      </c>
      <c r="J15" s="51">
        <v>12000</v>
      </c>
      <c r="K15" s="8" t="s">
        <v>21</v>
      </c>
      <c r="L15" s="11">
        <v>63000</v>
      </c>
      <c r="M15" s="3">
        <v>101001456</v>
      </c>
    </row>
    <row r="16" spans="1:13" ht="29" x14ac:dyDescent="0.35">
      <c r="A16" s="32">
        <v>13</v>
      </c>
      <c r="B16" s="3" t="s">
        <v>53</v>
      </c>
      <c r="C16" s="4">
        <v>110</v>
      </c>
      <c r="D16" s="4">
        <v>2</v>
      </c>
      <c r="E16" s="7">
        <v>44883</v>
      </c>
      <c r="F16" s="7">
        <v>45249</v>
      </c>
      <c r="G16" s="4" t="s">
        <v>9</v>
      </c>
      <c r="H16" s="4"/>
      <c r="I16" s="4" t="s">
        <v>54</v>
      </c>
      <c r="K16" s="4" t="s">
        <v>20</v>
      </c>
      <c r="L16" s="11">
        <v>3400000</v>
      </c>
      <c r="M16" s="52" t="s">
        <v>64</v>
      </c>
    </row>
    <row r="17" spans="1:13" x14ac:dyDescent="0.35">
      <c r="A17" s="32">
        <v>14</v>
      </c>
      <c r="B17" s="3" t="s">
        <v>58</v>
      </c>
      <c r="C17" s="4">
        <v>29</v>
      </c>
      <c r="D17" s="4">
        <v>2</v>
      </c>
      <c r="E17" s="7">
        <v>44902</v>
      </c>
      <c r="F17" s="7">
        <v>44903</v>
      </c>
      <c r="G17" s="4" t="s">
        <v>9</v>
      </c>
      <c r="H17" s="4"/>
      <c r="I17" s="8" t="s">
        <v>59</v>
      </c>
      <c r="J17" s="51" t="s">
        <v>63</v>
      </c>
      <c r="K17" s="8" t="s">
        <v>21</v>
      </c>
      <c r="L17" s="11"/>
      <c r="M17" s="3"/>
    </row>
    <row r="18" spans="1:13" x14ac:dyDescent="0.35">
      <c r="A18" s="32">
        <v>15</v>
      </c>
      <c r="B18" s="10" t="s">
        <v>29</v>
      </c>
      <c r="C18" s="14">
        <v>14</v>
      </c>
      <c r="D18" s="15">
        <v>5</v>
      </c>
      <c r="E18" s="7">
        <v>44907</v>
      </c>
      <c r="F18" s="7">
        <v>44911</v>
      </c>
      <c r="G18" s="15" t="s">
        <v>9</v>
      </c>
      <c r="H18" s="4"/>
      <c r="I18" s="4" t="s">
        <v>51</v>
      </c>
      <c r="J18" s="4" t="s">
        <v>61</v>
      </c>
      <c r="K18" s="8" t="s">
        <v>21</v>
      </c>
      <c r="L18" s="11">
        <v>46100</v>
      </c>
      <c r="M18" s="3">
        <v>101001530</v>
      </c>
    </row>
    <row r="19" spans="1:13" ht="21.75" customHeight="1" x14ac:dyDescent="0.35">
      <c r="B19" s="16" t="s">
        <v>30</v>
      </c>
      <c r="C19" s="21">
        <f>SUM(C4:C18)</f>
        <v>427</v>
      </c>
      <c r="D19" s="17"/>
      <c r="E19" s="17"/>
      <c r="F19" s="17"/>
      <c r="G19" s="17"/>
      <c r="H19" s="18"/>
      <c r="I19" s="18"/>
      <c r="J19" s="18"/>
      <c r="K19" s="18"/>
      <c r="L19" s="19">
        <f>SUM(L4:L18)</f>
        <v>4426976.4476190479</v>
      </c>
    </row>
    <row r="20" spans="1:13" x14ac:dyDescent="0.35">
      <c r="L20" s="30"/>
    </row>
  </sheetData>
  <autoFilter ref="A2:L3">
    <filterColumn colId="6" showButton="0"/>
  </autoFilter>
  <mergeCells count="15">
    <mergeCell ref="J4:J5"/>
    <mergeCell ref="L6:L7"/>
    <mergeCell ref="L8:L9"/>
    <mergeCell ref="M6:M7"/>
    <mergeCell ref="M8:M9"/>
    <mergeCell ref="M2:M3"/>
    <mergeCell ref="A1:L1"/>
    <mergeCell ref="A2:A3"/>
    <mergeCell ref="B2:B3"/>
    <mergeCell ref="D2:D3"/>
    <mergeCell ref="E2:E3"/>
    <mergeCell ref="F2:F3"/>
    <mergeCell ref="G2:H2"/>
    <mergeCell ref="K2:K3"/>
    <mergeCell ref="I2:I3"/>
  </mergeCells>
  <phoneticPr fontId="2" type="noConversion"/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6" sqref="H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</vt:lpstr>
      <vt:lpstr>2022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Airen Fajardo</cp:lastModifiedBy>
  <dcterms:created xsi:type="dcterms:W3CDTF">2022-04-27T09:48:14Z</dcterms:created>
  <dcterms:modified xsi:type="dcterms:W3CDTF">2023-10-22T09:04:51Z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