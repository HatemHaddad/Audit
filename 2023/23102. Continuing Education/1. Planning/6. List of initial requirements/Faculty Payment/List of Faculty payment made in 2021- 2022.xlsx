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udit Activities\Audit Activities\Audit activities -2023\2. Continuing Education\1. Planning\6. List of initial requirements\Faculty Payment\"/>
    </mc:Choice>
  </mc:AlternateContent>
  <xr:revisionPtr revIDLastSave="0" documentId="13_ncr:1_{6082F47E-424A-4573-860F-6A0760B0DC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2" sheetId="2" r:id="rId1"/>
    <sheet name="202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8" i="1"/>
  <c r="H7" i="1"/>
  <c r="G25" i="2" l="1"/>
  <c r="I17" i="2"/>
  <c r="I18" i="2"/>
  <c r="I19" i="2"/>
  <c r="I20" i="2"/>
  <c r="I21" i="2"/>
  <c r="I22" i="2"/>
  <c r="I23" i="2"/>
  <c r="I16" i="2"/>
  <c r="I15" i="2"/>
  <c r="I8" i="2"/>
  <c r="I9" i="2"/>
  <c r="I7" i="2"/>
  <c r="H14" i="2" l="1"/>
  <c r="I14" i="2" s="1"/>
  <c r="I13" i="2"/>
  <c r="I11" i="2"/>
  <c r="I12" i="2"/>
  <c r="I10" i="2"/>
  <c r="I6" i="2" l="1"/>
  <c r="I5" i="2" l="1"/>
  <c r="I4" i="2"/>
  <c r="G12" i="1"/>
  <c r="H2" i="2" l="1"/>
  <c r="H3" i="2"/>
  <c r="H11" i="1"/>
  <c r="H10" i="1"/>
  <c r="H25" i="2" l="1"/>
  <c r="I2" i="2"/>
  <c r="I3" i="2"/>
  <c r="H6" i="1"/>
  <c r="H5" i="1"/>
  <c r="H4" i="1"/>
  <c r="H12" i="1" s="1"/>
  <c r="I25" i="2" l="1"/>
</calcChain>
</file>

<file path=xl/sharedStrings.xml><?xml version="1.0" encoding="utf-8"?>
<sst xmlns="http://schemas.openxmlformats.org/spreadsheetml/2006/main" count="189" uniqueCount="110">
  <si>
    <t>Faculty</t>
  </si>
  <si>
    <t>Course Title</t>
  </si>
  <si>
    <t xml:space="preserve">Amount  </t>
  </si>
  <si>
    <t>Dr. Juan Acuna</t>
  </si>
  <si>
    <t>Clinical Research Certificate Training Program</t>
  </si>
  <si>
    <t>KU100057465</t>
  </si>
  <si>
    <t>KU100057466</t>
  </si>
  <si>
    <t xml:space="preserve">From </t>
  </si>
  <si>
    <t>To</t>
  </si>
  <si>
    <t>30/09/2021</t>
  </si>
  <si>
    <t>30/11/2021</t>
  </si>
  <si>
    <t>KU881</t>
  </si>
  <si>
    <t>Dr. Mohamed  Jouini</t>
  </si>
  <si>
    <t>Introduction to Statistics and Graphical Report</t>
  </si>
  <si>
    <t>Ahmed Ameur</t>
  </si>
  <si>
    <t>20/06/2021</t>
  </si>
  <si>
    <t>KU519</t>
  </si>
  <si>
    <t xml:space="preserve"> KU321</t>
  </si>
  <si>
    <t>13/06/2021</t>
  </si>
  <si>
    <t>15/07/2021</t>
  </si>
  <si>
    <t>KU858</t>
  </si>
  <si>
    <t>Dr. Mohamed Amine Khamsi</t>
  </si>
  <si>
    <t>17/06/2021</t>
  </si>
  <si>
    <t>Dr.   Andreas Henschel</t>
  </si>
  <si>
    <t>Employee
 Number</t>
  </si>
  <si>
    <t>Number
 of Days</t>
  </si>
  <si>
    <t>Summer Bridge Program – Computation Data
 Science Python</t>
  </si>
  <si>
    <t>Summer Bridge Program – Computation Data 
Science Math</t>
  </si>
  <si>
    <t>S.N.</t>
  </si>
  <si>
    <t>31/12/2021</t>
  </si>
  <si>
    <t>Notes</t>
  </si>
  <si>
    <t xml:space="preserve">Dr. Ovidiu Baltatu </t>
  </si>
  <si>
    <t>18/4/21</t>
  </si>
  <si>
    <t>15/7/2021</t>
  </si>
  <si>
    <t>No. Hours</t>
  </si>
  <si>
    <t xml:space="preserve">Dr. Abderrahim Oulhaj </t>
  </si>
  <si>
    <t>31/03/2022</t>
  </si>
  <si>
    <t>A6 form signed</t>
  </si>
  <si>
    <t>KU1041</t>
  </si>
  <si>
    <t>30/04/2022</t>
  </si>
  <si>
    <t>Total</t>
  </si>
  <si>
    <t>KU100057467</t>
  </si>
  <si>
    <t>31/05/2022</t>
  </si>
  <si>
    <t>29/04/2021</t>
  </si>
  <si>
    <t>Dec 201</t>
  </si>
  <si>
    <t>PMR</t>
  </si>
  <si>
    <t>PMR20225354</t>
  </si>
  <si>
    <t>PMR20225353</t>
  </si>
  <si>
    <t>PMR20225422</t>
  </si>
  <si>
    <t>PMR20225433</t>
  </si>
  <si>
    <t>PMR20225667</t>
  </si>
  <si>
    <t>PMR20225065</t>
  </si>
  <si>
    <t>PMR20225064​</t>
  </si>
  <si>
    <t>PMR20225069 Issued payment  April 2022</t>
  </si>
  <si>
    <t>KAIS BELWAFI</t>
  </si>
  <si>
    <t>BERIHU TEKLU GEBREHIWO</t>
  </si>
  <si>
    <t>Samira Stitou</t>
  </si>
  <si>
    <t>ADIA Bridge Program Phyton</t>
  </si>
  <si>
    <t>ADIA Bridge Program Math</t>
  </si>
  <si>
    <t xml:space="preserve">Advanced Electronics ( AD Police) </t>
  </si>
  <si>
    <t>Advanced Electronics ( AD Police)</t>
  </si>
  <si>
    <t>Naoufel Werghi</t>
  </si>
  <si>
    <t>Mahmoud Meribout</t>
  </si>
  <si>
    <t>15/07/2022</t>
  </si>
  <si>
    <t>22/07/2022</t>
  </si>
  <si>
    <t>19/09/2022</t>
  </si>
  <si>
    <t>23/09/2022</t>
  </si>
  <si>
    <t>Approved faculty rates AED 600.00/ hour for SEHA</t>
  </si>
  <si>
    <t>Approved faculty rates AED 450.00/ hour for ADIA</t>
  </si>
  <si>
    <t>Approved standard course AED 300/ hour</t>
  </si>
  <si>
    <t>Andreas Henschel</t>
  </si>
  <si>
    <t>PMR20225603</t>
  </si>
  <si>
    <t>PMR20226036</t>
  </si>
  <si>
    <t>PMR20225669</t>
  </si>
  <si>
    <t>PMR20225668</t>
  </si>
  <si>
    <t>Due to budget concern payment has been processed in 2023</t>
  </si>
  <si>
    <t>31/08/2022</t>
  </si>
  <si>
    <t>30/09/2022</t>
  </si>
  <si>
    <t>KU214</t>
  </si>
  <si>
    <t>KU178</t>
  </si>
  <si>
    <t>26/10/2022</t>
  </si>
  <si>
    <t>28/10/22</t>
  </si>
  <si>
    <t>31/10/2022</t>
  </si>
  <si>
    <t>PMR20237525</t>
  </si>
  <si>
    <t>PMR20237658</t>
  </si>
  <si>
    <t>PMR20237020​</t>
  </si>
  <si>
    <t>PMR20237016​</t>
  </si>
  <si>
    <t>Clinical Research Certificate Training Program  Cohort 1 &amp;2</t>
  </si>
  <si>
    <t>Saleh Mohamed Saleh Ibrahim</t>
  </si>
  <si>
    <t>Abderrahim Oulhaj</t>
  </si>
  <si>
    <t>Basem Ali Qasim Al-Omari</t>
  </si>
  <si>
    <t>Mohamed Rahmani</t>
  </si>
  <si>
    <t>Abdelrahim Oulhaj</t>
  </si>
  <si>
    <t>Saleh Mohammed Saleh Ibrahim</t>
  </si>
  <si>
    <t>Clinical Research Certificate Training Program  Cohort 3</t>
  </si>
  <si>
    <t>KU1176</t>
  </si>
  <si>
    <t>KU742</t>
  </si>
  <si>
    <t>KU960</t>
  </si>
  <si>
    <t>18/11/2022</t>
  </si>
  <si>
    <t>30/11/2022</t>
  </si>
  <si>
    <t>31/12/2022</t>
  </si>
  <si>
    <t>PMR20237541</t>
  </si>
  <si>
    <t>PMR20237542</t>
  </si>
  <si>
    <t>PMR20237543</t>
  </si>
  <si>
    <t>PMR20237540</t>
  </si>
  <si>
    <t>PMR20237545</t>
  </si>
  <si>
    <t>PMR20237546</t>
  </si>
  <si>
    <t>PMR20237547</t>
  </si>
  <si>
    <t>PMR20237548</t>
  </si>
  <si>
    <t>Artificial Intelligence for Emergencies and Crises (NCEMA)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</si>
</sst>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AED]\ * #,##0.00_);_([$AED]\ * \(#,##0.00\);_([$AED]\ * &quot;-&quot;??_);_(@_)"/>
    <numFmt numFmtId="165" formatCode="mm/dd/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44444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8">
    <xf numFmtId="0" fontId="0" fillId="0" borderId="0" xfId="0"/>
    <xf numFmtId="43" fontId="0" fillId="0" borderId="0" xfId="1" applyFont="1"/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164" fontId="0" fillId="0" borderId="1" xfId="1" applyNumberFormat="1" applyFont="1" applyBorder="1"/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/>
    <xf numFmtId="0" fontId="3" fillId="2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14" fontId="0" fillId="2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/>
    <xf numFmtId="14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2" xfId="0" applyFont="1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5" fillId="0" borderId="0" xfId="0" applyFont="1"/>
    <xf numFmtId="164" fontId="0" fillId="2" borderId="1" xfId="1" applyNumberFormat="1" applyFont="1" applyFill="1" applyBorder="1"/>
    <xf numFmtId="15" fontId="0" fillId="2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left"/>
    </xf>
    <xf numFmtId="17" fontId="0" fillId="0" borderId="1" xfId="0" applyNumberForma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wrapText="1"/>
    </xf>
    <xf numFmtId="164" fontId="0" fillId="0" borderId="0" xfId="0" applyNumberFormat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4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0" fillId="0" borderId="0" xfId="0" applyBorder="1" applyAlignment="1">
      <alignment wrapText="1"/>
    </xf>
    <xf numFmtId="4" fontId="0" fillId="0" borderId="0" xfId="0" applyNumberFormat="1" applyBorder="1"/>
    <xf numFmtId="165" fontId="0" fillId="0" borderId="1" xfId="0" applyNumberFormat="1" applyFont="1" applyBorder="1" applyAlignment="1">
      <alignment horizontal="center"/>
    </xf>
    <xf numFmtId="165" fontId="0" fillId="2" borderId="1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/>
    </xf>
    <xf numFmtId="16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164" fontId="0" fillId="0" borderId="3" xfId="0" applyNumberFormat="1" applyBorder="1"/>
    <xf numFmtId="43" fontId="0" fillId="0" borderId="1" xfId="1" applyFont="1" applyBorder="1"/>
    <xf numFmtId="0" fontId="0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0" fillId="4" borderId="1" xfId="0" applyFill="1" applyBorder="1" applyAlignment="1"/>
    <xf numFmtId="0" fontId="0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164" fontId="0" fillId="2" borderId="1" xfId="0" applyNumberFormat="1" applyFont="1" applyFill="1" applyBorder="1" applyAlignment="1">
      <alignment horizontal="center"/>
    </xf>
    <xf numFmtId="164" fontId="0" fillId="2" borderId="1" xfId="2" applyNumberFormat="1" applyFont="1" applyFill="1" applyBorder="1"/>
    <xf numFmtId="0" fontId="6" fillId="2" borderId="1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164" fontId="5" fillId="0" borderId="0" xfId="0" applyNumberFormat="1" applyFont="1"/>
    <xf numFmtId="0" fontId="0" fillId="6" borderId="1" xfId="0" applyFont="1" applyFill="1" applyBorder="1"/>
    <xf numFmtId="0" fontId="0" fillId="6" borderId="1" xfId="0" applyFill="1" applyBorder="1"/>
    <xf numFmtId="0" fontId="0" fillId="6" borderId="1" xfId="0" applyFill="1" applyBorder="1" applyAlignment="1">
      <alignment wrapText="1"/>
    </xf>
    <xf numFmtId="0" fontId="7" fillId="6" borderId="1" xfId="0" applyFont="1" applyFill="1" applyBorder="1" applyAlignment="1">
      <alignment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C20" sqref="C20"/>
    </sheetView>
  </sheetViews>
  <sheetFormatPr defaultRowHeight="14.5" x14ac:dyDescent="0.35"/>
  <cols>
    <col min="1" max="1" width="6.81640625" customWidth="1"/>
    <col min="2" max="2" width="25.54296875" customWidth="1"/>
    <col min="3" max="3" width="54.7265625" customWidth="1"/>
    <col min="4" max="4" width="13.453125" customWidth="1"/>
    <col min="5" max="5" width="11.81640625" customWidth="1"/>
    <col min="6" max="6" width="12.81640625" customWidth="1"/>
    <col min="7" max="8" width="10.453125" customWidth="1"/>
    <col min="9" max="9" width="15.81640625" customWidth="1"/>
    <col min="10" max="10" width="14.81640625" style="51" customWidth="1"/>
    <col min="11" max="11" width="54" customWidth="1"/>
  </cols>
  <sheetData>
    <row r="1" spans="1:11" ht="31" x14ac:dyDescent="0.35">
      <c r="A1" s="29" t="s">
        <v>28</v>
      </c>
      <c r="B1" s="30" t="s">
        <v>0</v>
      </c>
      <c r="C1" s="30" t="s">
        <v>1</v>
      </c>
      <c r="D1" s="31" t="s">
        <v>24</v>
      </c>
      <c r="E1" s="30" t="s">
        <v>7</v>
      </c>
      <c r="F1" s="30" t="s">
        <v>8</v>
      </c>
      <c r="G1" s="31" t="s">
        <v>25</v>
      </c>
      <c r="H1" s="31" t="s">
        <v>34</v>
      </c>
      <c r="I1" s="30" t="s">
        <v>2</v>
      </c>
      <c r="J1" s="47" t="s">
        <v>45</v>
      </c>
      <c r="K1" s="39" t="s">
        <v>30</v>
      </c>
    </row>
    <row r="2" spans="1:11" x14ac:dyDescent="0.35">
      <c r="A2" s="15">
        <v>1</v>
      </c>
      <c r="B2" s="2" t="s">
        <v>3</v>
      </c>
      <c r="C2" s="2" t="s">
        <v>87</v>
      </c>
      <c r="D2" s="3" t="s">
        <v>6</v>
      </c>
      <c r="E2" s="42">
        <v>44562</v>
      </c>
      <c r="F2" s="42" t="s">
        <v>36</v>
      </c>
      <c r="G2" s="3">
        <v>13.5</v>
      </c>
      <c r="H2" s="3">
        <f>G2*8</f>
        <v>108</v>
      </c>
      <c r="I2" s="5">
        <f>H2*600</f>
        <v>64800</v>
      </c>
      <c r="J2" s="48" t="s">
        <v>51</v>
      </c>
      <c r="K2" s="16"/>
    </row>
    <row r="3" spans="1:11" x14ac:dyDescent="0.35">
      <c r="A3" s="15">
        <v>2</v>
      </c>
      <c r="B3" s="2" t="s">
        <v>35</v>
      </c>
      <c r="C3" s="2" t="s">
        <v>87</v>
      </c>
      <c r="D3" s="3" t="s">
        <v>38</v>
      </c>
      <c r="E3" s="42">
        <v>44564</v>
      </c>
      <c r="F3" s="42" t="s">
        <v>36</v>
      </c>
      <c r="G3" s="3">
        <v>4.25</v>
      </c>
      <c r="H3" s="3">
        <f>G3*8</f>
        <v>34</v>
      </c>
      <c r="I3" s="5">
        <f>H3*600</f>
        <v>20400</v>
      </c>
      <c r="J3" s="49" t="s">
        <v>47</v>
      </c>
      <c r="K3" s="16"/>
    </row>
    <row r="4" spans="1:11" x14ac:dyDescent="0.35">
      <c r="A4" s="15">
        <v>4</v>
      </c>
      <c r="B4" s="64" t="s">
        <v>35</v>
      </c>
      <c r="C4" s="64" t="s">
        <v>87</v>
      </c>
      <c r="D4" s="3" t="s">
        <v>38</v>
      </c>
      <c r="E4" s="42">
        <v>44565</v>
      </c>
      <c r="F4" s="42" t="s">
        <v>39</v>
      </c>
      <c r="G4" s="3">
        <v>4.25</v>
      </c>
      <c r="H4" s="3">
        <v>34</v>
      </c>
      <c r="I4" s="5">
        <f>H4*600</f>
        <v>20400</v>
      </c>
      <c r="J4" s="49" t="s">
        <v>49</v>
      </c>
      <c r="K4" s="16"/>
    </row>
    <row r="5" spans="1:11" x14ac:dyDescent="0.35">
      <c r="A5" s="15">
        <v>5</v>
      </c>
      <c r="B5" s="2" t="s">
        <v>3</v>
      </c>
      <c r="C5" s="2" t="s">
        <v>87</v>
      </c>
      <c r="D5" s="3" t="s">
        <v>6</v>
      </c>
      <c r="E5" s="43">
        <v>44565</v>
      </c>
      <c r="F5" s="43" t="s">
        <v>39</v>
      </c>
      <c r="G5" s="6">
        <v>4.5</v>
      </c>
      <c r="H5" s="6">
        <v>36</v>
      </c>
      <c r="I5" s="5">
        <f>H5*600</f>
        <v>21600</v>
      </c>
      <c r="J5" s="49" t="s">
        <v>48</v>
      </c>
      <c r="K5" s="53"/>
    </row>
    <row r="6" spans="1:11" ht="14.5" customHeight="1" x14ac:dyDescent="0.35">
      <c r="A6" s="15">
        <v>6</v>
      </c>
      <c r="B6" s="2" t="s">
        <v>3</v>
      </c>
      <c r="C6" s="2" t="s">
        <v>87</v>
      </c>
      <c r="D6" s="3" t="s">
        <v>41</v>
      </c>
      <c r="E6" s="43">
        <v>44566</v>
      </c>
      <c r="F6" s="43" t="s">
        <v>42</v>
      </c>
      <c r="G6" s="6">
        <v>4.5</v>
      </c>
      <c r="H6" s="6">
        <v>36</v>
      </c>
      <c r="I6" s="24">
        <f>600*H6</f>
        <v>21600</v>
      </c>
      <c r="J6" s="49" t="s">
        <v>46</v>
      </c>
      <c r="K6" s="53"/>
    </row>
    <row r="7" spans="1:11" x14ac:dyDescent="0.35">
      <c r="A7" s="15">
        <v>7</v>
      </c>
      <c r="B7" s="2" t="s">
        <v>3</v>
      </c>
      <c r="C7" s="2" t="s">
        <v>87</v>
      </c>
      <c r="D7" s="3" t="s">
        <v>41</v>
      </c>
      <c r="E7" s="43">
        <v>44567</v>
      </c>
      <c r="F7" s="43">
        <v>44568</v>
      </c>
      <c r="G7" s="6">
        <v>9</v>
      </c>
      <c r="H7" s="6">
        <v>72</v>
      </c>
      <c r="I7" s="24">
        <f>600*H7</f>
        <v>43200</v>
      </c>
      <c r="J7" s="49" t="s">
        <v>50</v>
      </c>
      <c r="K7" s="16"/>
    </row>
    <row r="8" spans="1:11" x14ac:dyDescent="0.35">
      <c r="A8" s="15">
        <v>8</v>
      </c>
      <c r="B8" s="2" t="s">
        <v>3</v>
      </c>
      <c r="C8" s="2" t="s">
        <v>87</v>
      </c>
      <c r="D8" s="3" t="s">
        <v>41</v>
      </c>
      <c r="E8" s="43">
        <v>44569</v>
      </c>
      <c r="F8" s="43" t="s">
        <v>76</v>
      </c>
      <c r="G8" s="6">
        <v>4.5</v>
      </c>
      <c r="H8" s="6">
        <v>36</v>
      </c>
      <c r="I8" s="24">
        <f t="shared" ref="I8:I9" si="0">600*H8</f>
        <v>21600</v>
      </c>
      <c r="J8" s="54" t="s">
        <v>83</v>
      </c>
      <c r="K8" s="16" t="s">
        <v>75</v>
      </c>
    </row>
    <row r="9" spans="1:11" x14ac:dyDescent="0.35">
      <c r="A9" s="15">
        <v>9</v>
      </c>
      <c r="B9" s="2" t="s">
        <v>3</v>
      </c>
      <c r="C9" s="2" t="s">
        <v>87</v>
      </c>
      <c r="D9" s="3" t="s">
        <v>41</v>
      </c>
      <c r="E9" s="43">
        <v>44570</v>
      </c>
      <c r="F9" s="43" t="s">
        <v>77</v>
      </c>
      <c r="G9" s="6">
        <v>4.5</v>
      </c>
      <c r="H9" s="6">
        <v>36</v>
      </c>
      <c r="I9" s="24">
        <f t="shared" si="0"/>
        <v>21600</v>
      </c>
      <c r="J9" s="54" t="s">
        <v>84</v>
      </c>
      <c r="K9" s="16" t="s">
        <v>75</v>
      </c>
    </row>
    <row r="10" spans="1:11" x14ac:dyDescent="0.35">
      <c r="A10" s="35">
        <v>10</v>
      </c>
      <c r="B10" s="65" t="s">
        <v>70</v>
      </c>
      <c r="C10" s="64" t="s">
        <v>57</v>
      </c>
      <c r="D10" s="3"/>
      <c r="E10" s="43">
        <v>44718</v>
      </c>
      <c r="F10" s="43" t="s">
        <v>63</v>
      </c>
      <c r="G10" s="6">
        <v>23</v>
      </c>
      <c r="H10" s="37">
        <v>45</v>
      </c>
      <c r="I10" s="32">
        <f>H10*450</f>
        <v>20250</v>
      </c>
      <c r="J10" s="49" t="s">
        <v>71</v>
      </c>
      <c r="K10" s="16"/>
    </row>
    <row r="11" spans="1:11" x14ac:dyDescent="0.35">
      <c r="A11" s="35">
        <v>11</v>
      </c>
      <c r="B11" s="16" t="s">
        <v>55</v>
      </c>
      <c r="C11" s="2" t="s">
        <v>58</v>
      </c>
      <c r="D11" s="3"/>
      <c r="E11" s="44">
        <v>44902</v>
      </c>
      <c r="F11" s="44" t="s">
        <v>64</v>
      </c>
      <c r="G11" s="17">
        <v>6</v>
      </c>
      <c r="H11" s="17">
        <v>27</v>
      </c>
      <c r="I11" s="52">
        <f t="shared" ref="I11:I12" si="1">H11*450</f>
        <v>12150</v>
      </c>
      <c r="J11" s="49" t="s">
        <v>73</v>
      </c>
      <c r="K11" s="16"/>
    </row>
    <row r="12" spans="1:11" x14ac:dyDescent="0.35">
      <c r="A12" s="35">
        <v>12</v>
      </c>
      <c r="B12" s="16" t="s">
        <v>56</v>
      </c>
      <c r="C12" s="2" t="s">
        <v>58</v>
      </c>
      <c r="D12" s="16"/>
      <c r="E12" s="45">
        <v>44748</v>
      </c>
      <c r="F12" s="45">
        <v>44780</v>
      </c>
      <c r="G12" s="15">
        <v>13</v>
      </c>
      <c r="H12" s="15">
        <v>51</v>
      </c>
      <c r="I12" s="52">
        <f t="shared" si="1"/>
        <v>22950</v>
      </c>
      <c r="J12" s="49" t="s">
        <v>74</v>
      </c>
      <c r="K12" s="16"/>
    </row>
    <row r="13" spans="1:11" x14ac:dyDescent="0.35">
      <c r="A13" s="35">
        <v>13</v>
      </c>
      <c r="B13" s="16" t="s">
        <v>54</v>
      </c>
      <c r="C13" s="36" t="s">
        <v>59</v>
      </c>
      <c r="D13" s="16"/>
      <c r="E13" s="45" t="s">
        <v>65</v>
      </c>
      <c r="F13" s="45" t="s">
        <v>66</v>
      </c>
      <c r="G13" s="15">
        <v>5</v>
      </c>
      <c r="H13" s="15">
        <v>40</v>
      </c>
      <c r="I13" s="52">
        <f>H13*300</f>
        <v>12000</v>
      </c>
      <c r="J13" s="49" t="s">
        <v>72</v>
      </c>
      <c r="K13" s="16"/>
    </row>
    <row r="14" spans="1:11" x14ac:dyDescent="0.35">
      <c r="A14" s="35">
        <v>14</v>
      </c>
      <c r="B14" s="65" t="s">
        <v>61</v>
      </c>
      <c r="C14" s="66" t="s">
        <v>109</v>
      </c>
      <c r="D14" s="46" t="s">
        <v>78</v>
      </c>
      <c r="E14" s="15" t="s">
        <v>80</v>
      </c>
      <c r="F14" s="15" t="s">
        <v>81</v>
      </c>
      <c r="G14" s="15">
        <v>3</v>
      </c>
      <c r="H14" s="15">
        <f>3*8</f>
        <v>24</v>
      </c>
      <c r="I14" s="52">
        <f t="shared" ref="I14:I15" si="2">H14*300</f>
        <v>7200</v>
      </c>
      <c r="J14" s="56" t="s">
        <v>85</v>
      </c>
      <c r="K14" s="16" t="s">
        <v>75</v>
      </c>
    </row>
    <row r="15" spans="1:11" x14ac:dyDescent="0.35">
      <c r="A15" s="35">
        <v>15</v>
      </c>
      <c r="B15" s="65" t="s">
        <v>62</v>
      </c>
      <c r="C15" s="66" t="s">
        <v>60</v>
      </c>
      <c r="D15" s="46" t="s">
        <v>79</v>
      </c>
      <c r="E15" s="15" t="s">
        <v>82</v>
      </c>
      <c r="F15" s="38">
        <v>44661</v>
      </c>
      <c r="G15" s="15">
        <v>5</v>
      </c>
      <c r="H15" s="15">
        <v>40</v>
      </c>
      <c r="I15" s="52">
        <f t="shared" si="2"/>
        <v>12000</v>
      </c>
      <c r="J15" s="57" t="s">
        <v>86</v>
      </c>
      <c r="K15" s="16" t="s">
        <v>75</v>
      </c>
    </row>
    <row r="16" spans="1:11" x14ac:dyDescent="0.35">
      <c r="A16" s="35">
        <v>17</v>
      </c>
      <c r="B16" s="55" t="s">
        <v>89</v>
      </c>
      <c r="C16" s="2" t="s">
        <v>94</v>
      </c>
      <c r="D16" s="46" t="s">
        <v>38</v>
      </c>
      <c r="E16" s="15" t="s">
        <v>98</v>
      </c>
      <c r="F16" s="38" t="s">
        <v>99</v>
      </c>
      <c r="G16" s="46">
        <v>4.25</v>
      </c>
      <c r="H16" s="46">
        <v>34</v>
      </c>
      <c r="I16" s="52">
        <f>H16*600</f>
        <v>20400</v>
      </c>
      <c r="J16" s="57" t="s">
        <v>101</v>
      </c>
      <c r="K16" s="16" t="s">
        <v>75</v>
      </c>
    </row>
    <row r="17" spans="1:11" x14ac:dyDescent="0.35">
      <c r="A17" s="35">
        <v>18</v>
      </c>
      <c r="B17" s="55" t="s">
        <v>90</v>
      </c>
      <c r="C17" s="2" t="s">
        <v>94</v>
      </c>
      <c r="D17" s="46" t="s">
        <v>96</v>
      </c>
      <c r="E17" s="15" t="s">
        <v>98</v>
      </c>
      <c r="F17" s="38" t="s">
        <v>99</v>
      </c>
      <c r="G17" s="46">
        <v>3.7</v>
      </c>
      <c r="H17" s="46">
        <v>30</v>
      </c>
      <c r="I17" s="52">
        <f t="shared" ref="I17:I23" si="3">H17*600</f>
        <v>18000</v>
      </c>
      <c r="J17" s="57" t="s">
        <v>102</v>
      </c>
      <c r="K17" s="16" t="s">
        <v>75</v>
      </c>
    </row>
    <row r="18" spans="1:11" x14ac:dyDescent="0.35">
      <c r="A18" s="35">
        <v>19</v>
      </c>
      <c r="B18" s="55" t="s">
        <v>91</v>
      </c>
      <c r="C18" s="2" t="s">
        <v>94</v>
      </c>
      <c r="D18" s="46" t="s">
        <v>97</v>
      </c>
      <c r="E18" s="15" t="s">
        <v>98</v>
      </c>
      <c r="F18" s="38" t="s">
        <v>99</v>
      </c>
      <c r="G18" s="46">
        <v>3</v>
      </c>
      <c r="H18" s="46">
        <v>24</v>
      </c>
      <c r="I18" s="52">
        <f t="shared" si="3"/>
        <v>14400</v>
      </c>
      <c r="J18" s="58" t="s">
        <v>103</v>
      </c>
      <c r="K18" s="16" t="s">
        <v>75</v>
      </c>
    </row>
    <row r="19" spans="1:11" ht="29" x14ac:dyDescent="0.35">
      <c r="A19" s="35"/>
      <c r="B19" s="55" t="s">
        <v>88</v>
      </c>
      <c r="C19" s="2" t="s">
        <v>94</v>
      </c>
      <c r="D19" s="46" t="s">
        <v>95</v>
      </c>
      <c r="E19" s="15" t="s">
        <v>98</v>
      </c>
      <c r="F19" s="38" t="s">
        <v>99</v>
      </c>
      <c r="G19" s="15">
        <v>2.75</v>
      </c>
      <c r="H19" s="15">
        <v>22</v>
      </c>
      <c r="I19" s="52">
        <f t="shared" si="3"/>
        <v>13200</v>
      </c>
      <c r="J19" s="57" t="s">
        <v>104</v>
      </c>
      <c r="K19" s="16" t="s">
        <v>75</v>
      </c>
    </row>
    <row r="20" spans="1:11" x14ac:dyDescent="0.35">
      <c r="A20" s="35">
        <v>20</v>
      </c>
      <c r="B20" s="55" t="s">
        <v>92</v>
      </c>
      <c r="C20" s="2" t="s">
        <v>94</v>
      </c>
      <c r="D20" s="46" t="s">
        <v>38</v>
      </c>
      <c r="E20" s="38">
        <v>44573</v>
      </c>
      <c r="F20" s="38" t="s">
        <v>100</v>
      </c>
      <c r="G20" s="46">
        <v>4.25</v>
      </c>
      <c r="H20" s="46">
        <v>36.450000000000003</v>
      </c>
      <c r="I20" s="52">
        <f t="shared" si="3"/>
        <v>21870</v>
      </c>
      <c r="J20" s="57" t="s">
        <v>105</v>
      </c>
      <c r="K20" s="16" t="s">
        <v>75</v>
      </c>
    </row>
    <row r="21" spans="1:11" x14ac:dyDescent="0.35">
      <c r="A21" s="35">
        <v>21</v>
      </c>
      <c r="B21" s="55" t="s">
        <v>90</v>
      </c>
      <c r="C21" s="2" t="s">
        <v>94</v>
      </c>
      <c r="D21" s="46" t="s">
        <v>96</v>
      </c>
      <c r="E21" s="38">
        <v>44573</v>
      </c>
      <c r="F21" s="38" t="s">
        <v>100</v>
      </c>
      <c r="G21" s="46">
        <v>3.4</v>
      </c>
      <c r="H21" s="46">
        <v>27.5</v>
      </c>
      <c r="I21" s="52">
        <f t="shared" si="3"/>
        <v>16500</v>
      </c>
      <c r="J21" s="57" t="s">
        <v>106</v>
      </c>
      <c r="K21" s="16" t="s">
        <v>75</v>
      </c>
    </row>
    <row r="22" spans="1:11" x14ac:dyDescent="0.35">
      <c r="A22" s="35">
        <v>22</v>
      </c>
      <c r="B22" s="67" t="s">
        <v>91</v>
      </c>
      <c r="C22" s="64" t="s">
        <v>94</v>
      </c>
      <c r="D22" s="46" t="s">
        <v>97</v>
      </c>
      <c r="E22" s="38">
        <v>44573</v>
      </c>
      <c r="F22" s="38" t="s">
        <v>100</v>
      </c>
      <c r="G22" s="46">
        <v>0.45</v>
      </c>
      <c r="H22" s="46">
        <v>3.63</v>
      </c>
      <c r="I22" s="52">
        <f t="shared" si="3"/>
        <v>2178</v>
      </c>
      <c r="J22" s="57" t="s">
        <v>107</v>
      </c>
      <c r="K22" s="16" t="s">
        <v>75</v>
      </c>
    </row>
    <row r="23" spans="1:11" ht="29" x14ac:dyDescent="0.35">
      <c r="A23" s="35">
        <v>23</v>
      </c>
      <c r="B23" s="55" t="s">
        <v>93</v>
      </c>
      <c r="C23" s="2" t="s">
        <v>94</v>
      </c>
      <c r="D23" s="46" t="s">
        <v>95</v>
      </c>
      <c r="E23" s="38">
        <v>44573</v>
      </c>
      <c r="F23" s="38" t="s">
        <v>100</v>
      </c>
      <c r="G23" s="46">
        <v>0.5</v>
      </c>
      <c r="H23" s="46">
        <v>4.13</v>
      </c>
      <c r="I23" s="52">
        <f t="shared" si="3"/>
        <v>2478</v>
      </c>
      <c r="J23" s="57" t="s">
        <v>108</v>
      </c>
      <c r="K23" s="16" t="s">
        <v>75</v>
      </c>
    </row>
    <row r="24" spans="1:11" x14ac:dyDescent="0.35">
      <c r="A24" s="33"/>
      <c r="B24" s="34"/>
      <c r="C24" s="40"/>
      <c r="D24" s="34"/>
      <c r="E24" s="33"/>
      <c r="F24" s="33"/>
      <c r="G24" s="33"/>
      <c r="H24" s="33"/>
      <c r="I24" s="41"/>
      <c r="J24" s="50"/>
    </row>
    <row r="25" spans="1:11" x14ac:dyDescent="0.35">
      <c r="B25" s="23" t="s">
        <v>40</v>
      </c>
      <c r="G25" s="20">
        <f>SUM(G2:G24)</f>
        <v>126.30000000000001</v>
      </c>
      <c r="H25" s="20">
        <f>SUM(H2:H24)</f>
        <v>800.71</v>
      </c>
      <c r="I25" s="32">
        <f>SUM(I2:I24)</f>
        <v>430776</v>
      </c>
    </row>
    <row r="28" spans="1:11" x14ac:dyDescent="0.35">
      <c r="B28" t="s">
        <v>67</v>
      </c>
    </row>
    <row r="29" spans="1:11" x14ac:dyDescent="0.35">
      <c r="B29" t="s">
        <v>68</v>
      </c>
    </row>
    <row r="30" spans="1:11" x14ac:dyDescent="0.35">
      <c r="B30" t="s">
        <v>69</v>
      </c>
    </row>
  </sheetData>
  <phoneticPr fontId="2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>
      <selection activeCell="H15" sqref="H15"/>
    </sheetView>
  </sheetViews>
  <sheetFormatPr defaultRowHeight="14.5" x14ac:dyDescent="0.35"/>
  <cols>
    <col min="1" max="1" width="6.81640625" customWidth="1"/>
    <col min="2" max="2" width="21.26953125" customWidth="1"/>
    <col min="3" max="3" width="42.54296875" customWidth="1"/>
    <col min="4" max="4" width="13.453125" customWidth="1"/>
    <col min="5" max="5" width="11.81640625" customWidth="1"/>
    <col min="6" max="6" width="12.81640625" customWidth="1"/>
    <col min="7" max="7" width="10.453125" customWidth="1"/>
    <col min="8" max="8" width="15.6328125" customWidth="1"/>
    <col min="9" max="9" width="17.7265625" customWidth="1"/>
    <col min="10" max="10" width="23.26953125" customWidth="1"/>
    <col min="11" max="11" width="10.54296875" bestFit="1" customWidth="1"/>
  </cols>
  <sheetData>
    <row r="1" spans="1:11" ht="31" x14ac:dyDescent="0.35">
      <c r="A1" s="14" t="s">
        <v>28</v>
      </c>
      <c r="B1" s="12" t="s">
        <v>0</v>
      </c>
      <c r="C1" s="12" t="s">
        <v>1</v>
      </c>
      <c r="D1" s="13" t="s">
        <v>24</v>
      </c>
      <c r="E1" s="12" t="s">
        <v>7</v>
      </c>
      <c r="F1" s="12" t="s">
        <v>8</v>
      </c>
      <c r="G1" s="13" t="s">
        <v>25</v>
      </c>
      <c r="H1" s="12" t="s">
        <v>2</v>
      </c>
      <c r="I1" s="12" t="s">
        <v>37</v>
      </c>
      <c r="J1" s="21" t="s">
        <v>45</v>
      </c>
    </row>
    <row r="2" spans="1:11" ht="15.5" x14ac:dyDescent="0.35">
      <c r="A2" s="17">
        <v>1</v>
      </c>
      <c r="B2" s="27" t="s">
        <v>3</v>
      </c>
      <c r="C2" s="27" t="s">
        <v>4</v>
      </c>
      <c r="D2" s="26" t="s">
        <v>5</v>
      </c>
      <c r="E2" s="10">
        <v>44290</v>
      </c>
      <c r="F2" s="6" t="s">
        <v>43</v>
      </c>
      <c r="G2" s="26">
        <v>4.5</v>
      </c>
      <c r="H2" s="59">
        <v>10275</v>
      </c>
      <c r="I2" s="25">
        <v>44384</v>
      </c>
      <c r="J2" s="61"/>
    </row>
    <row r="3" spans="1:11" ht="15.5" x14ac:dyDescent="0.35">
      <c r="A3" s="17">
        <v>2</v>
      </c>
      <c r="B3" s="2" t="s">
        <v>3</v>
      </c>
      <c r="C3" s="2" t="s">
        <v>4</v>
      </c>
      <c r="D3" s="3" t="s">
        <v>5</v>
      </c>
      <c r="E3" s="25">
        <v>44318</v>
      </c>
      <c r="F3" s="25">
        <v>44406</v>
      </c>
      <c r="G3" s="26">
        <v>13.5</v>
      </c>
      <c r="H3" s="59">
        <v>31725</v>
      </c>
      <c r="I3" s="25">
        <v>44430</v>
      </c>
      <c r="J3" s="61"/>
    </row>
    <row r="4" spans="1:11" x14ac:dyDescent="0.35">
      <c r="A4" s="17">
        <v>3</v>
      </c>
      <c r="B4" s="2" t="s">
        <v>3</v>
      </c>
      <c r="C4" s="2" t="s">
        <v>4</v>
      </c>
      <c r="D4" s="3" t="s">
        <v>5</v>
      </c>
      <c r="E4" s="4">
        <v>44204</v>
      </c>
      <c r="F4" s="3" t="s">
        <v>9</v>
      </c>
      <c r="G4" s="3">
        <v>9</v>
      </c>
      <c r="H4" s="5">
        <f>2350*G4</f>
        <v>21150</v>
      </c>
      <c r="I4" s="22">
        <v>44525</v>
      </c>
      <c r="J4" s="16"/>
    </row>
    <row r="5" spans="1:11" x14ac:dyDescent="0.35">
      <c r="A5" s="17">
        <v>4</v>
      </c>
      <c r="B5" s="2" t="s">
        <v>3</v>
      </c>
      <c r="C5" s="2" t="s">
        <v>4</v>
      </c>
      <c r="D5" s="3" t="s">
        <v>6</v>
      </c>
      <c r="E5" s="4">
        <v>44206</v>
      </c>
      <c r="F5" s="3" t="s">
        <v>10</v>
      </c>
      <c r="G5" s="3">
        <v>9</v>
      </c>
      <c r="H5" s="5">
        <f>2350*G5</f>
        <v>21150</v>
      </c>
      <c r="I5" s="22">
        <v>44525</v>
      </c>
      <c r="J5" s="16"/>
    </row>
    <row r="6" spans="1:11" x14ac:dyDescent="0.35">
      <c r="A6" s="17">
        <v>5</v>
      </c>
      <c r="B6" s="2" t="s">
        <v>12</v>
      </c>
      <c r="C6" s="2" t="s">
        <v>13</v>
      </c>
      <c r="D6" s="3" t="s">
        <v>11</v>
      </c>
      <c r="E6" s="4">
        <v>44388</v>
      </c>
      <c r="F6" s="4">
        <v>44511</v>
      </c>
      <c r="G6" s="3">
        <v>5</v>
      </c>
      <c r="H6" s="5">
        <f>G6*2350</f>
        <v>11750</v>
      </c>
      <c r="I6" s="15" t="s">
        <v>44</v>
      </c>
      <c r="J6" s="16"/>
    </row>
    <row r="7" spans="1:11" ht="29" x14ac:dyDescent="0.35">
      <c r="A7" s="17">
        <v>6</v>
      </c>
      <c r="B7" s="8" t="s">
        <v>23</v>
      </c>
      <c r="C7" s="11" t="s">
        <v>26</v>
      </c>
      <c r="D7" s="6" t="s">
        <v>17</v>
      </c>
      <c r="E7" s="6" t="s">
        <v>18</v>
      </c>
      <c r="F7" s="6" t="s">
        <v>19</v>
      </c>
      <c r="G7" s="6">
        <v>23</v>
      </c>
      <c r="H7" s="60">
        <f>40500*3.68</f>
        <v>149040</v>
      </c>
      <c r="I7" s="28">
        <v>44531</v>
      </c>
      <c r="J7" s="16"/>
      <c r="K7" s="1"/>
    </row>
    <row r="8" spans="1:11" ht="31.5" customHeight="1" x14ac:dyDescent="0.35">
      <c r="A8" s="17">
        <v>7</v>
      </c>
      <c r="B8" s="8" t="s">
        <v>21</v>
      </c>
      <c r="C8" s="11" t="s">
        <v>27</v>
      </c>
      <c r="D8" s="6" t="s">
        <v>20</v>
      </c>
      <c r="E8" s="10">
        <v>44353</v>
      </c>
      <c r="F8" s="6" t="s">
        <v>22</v>
      </c>
      <c r="G8" s="6">
        <v>10</v>
      </c>
      <c r="H8" s="60">
        <f>13500*3.68</f>
        <v>49680</v>
      </c>
      <c r="I8" s="28">
        <v>44562</v>
      </c>
      <c r="J8" s="16"/>
      <c r="K8" s="1"/>
    </row>
    <row r="9" spans="1:11" ht="29" x14ac:dyDescent="0.35">
      <c r="A9" s="17">
        <v>8</v>
      </c>
      <c r="B9" s="7" t="s">
        <v>14</v>
      </c>
      <c r="C9" s="9" t="s">
        <v>27</v>
      </c>
      <c r="D9" s="6" t="s">
        <v>16</v>
      </c>
      <c r="E9" s="6" t="s">
        <v>15</v>
      </c>
      <c r="F9" s="10">
        <v>44203</v>
      </c>
      <c r="G9" s="6">
        <v>10</v>
      </c>
      <c r="H9" s="60">
        <f>13500*3.68</f>
        <v>49680</v>
      </c>
      <c r="I9" s="28">
        <v>44531</v>
      </c>
      <c r="J9" s="16"/>
    </row>
    <row r="10" spans="1:11" x14ac:dyDescent="0.35">
      <c r="A10" s="17">
        <v>9</v>
      </c>
      <c r="B10" s="2" t="s">
        <v>3</v>
      </c>
      <c r="C10" s="2" t="s">
        <v>4</v>
      </c>
      <c r="D10" s="3" t="s">
        <v>5</v>
      </c>
      <c r="E10" s="19">
        <v>44208</v>
      </c>
      <c r="F10" s="17" t="s">
        <v>29</v>
      </c>
      <c r="G10" s="17">
        <v>2.5</v>
      </c>
      <c r="H10" s="18">
        <f>G10*2350</f>
        <v>5875</v>
      </c>
      <c r="I10" s="22">
        <v>44699</v>
      </c>
      <c r="J10" s="16" t="s">
        <v>52</v>
      </c>
    </row>
    <row r="11" spans="1:11" x14ac:dyDescent="0.35">
      <c r="A11" s="17">
        <v>10</v>
      </c>
      <c r="B11" s="16" t="s">
        <v>31</v>
      </c>
      <c r="C11" s="2" t="s">
        <v>4</v>
      </c>
      <c r="D11" s="16"/>
      <c r="E11" s="15" t="s">
        <v>32</v>
      </c>
      <c r="F11" s="15" t="s">
        <v>33</v>
      </c>
      <c r="G11" s="15">
        <v>4.5</v>
      </c>
      <c r="H11" s="18">
        <f>G11*2350</f>
        <v>10575</v>
      </c>
      <c r="I11" s="22">
        <v>44699</v>
      </c>
      <c r="J11" s="16" t="s">
        <v>53</v>
      </c>
    </row>
    <row r="12" spans="1:11" x14ac:dyDescent="0.35">
      <c r="G12" s="62">
        <f>SUM(G4:G11)</f>
        <v>73</v>
      </c>
      <c r="H12" s="63">
        <f>SUM(H2:H11)</f>
        <v>360900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 Fajardo</dc:creator>
  <cp:lastModifiedBy>Musab Ali Daqa</cp:lastModifiedBy>
  <dcterms:created xsi:type="dcterms:W3CDTF">2021-11-21T07:15:43Z</dcterms:created>
  <dcterms:modified xsi:type="dcterms:W3CDTF">2023-10-22T07:44:49Z</dcterms:modified>
</cp:coreProperties>
</file>