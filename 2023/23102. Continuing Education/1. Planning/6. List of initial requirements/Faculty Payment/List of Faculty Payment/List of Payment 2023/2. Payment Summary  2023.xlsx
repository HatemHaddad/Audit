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"/>
    </mc:Choice>
  </mc:AlternateContent>
  <bookViews>
    <workbookView xWindow="0" yWindow="0" windowWidth="7480" windowHeight="2330"/>
  </bookViews>
  <sheets>
    <sheet name="2023 pay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6" i="1" l="1"/>
  <c r="K5" i="1"/>
  <c r="K4" i="1"/>
  <c r="K7" i="1"/>
  <c r="K8" i="1"/>
  <c r="K9" i="1"/>
  <c r="K10" i="1"/>
  <c r="K11" i="1"/>
  <c r="K12" i="1"/>
  <c r="K13" i="1"/>
  <c r="K14" i="1"/>
  <c r="K3" i="1"/>
</calcChain>
</file>

<file path=xl/sharedStrings.xml><?xml version="1.0" encoding="utf-8"?>
<sst xmlns="http://schemas.openxmlformats.org/spreadsheetml/2006/main" count="269" uniqueCount="121">
  <si>
    <t>S. N</t>
  </si>
  <si>
    <t>Course Title</t>
  </si>
  <si>
    <t>No. Hours</t>
  </si>
  <si>
    <t>Employee No.</t>
  </si>
  <si>
    <t>Amount in AED</t>
  </si>
  <si>
    <t>JUAN MANUEL ACUNA</t>
  </si>
  <si>
    <t>SEHA Clinical Program</t>
  </si>
  <si>
    <t>KU100057465</t>
  </si>
  <si>
    <t>PMR20237150</t>
  </si>
  <si>
    <t>Forms approval on process</t>
  </si>
  <si>
    <t>SALEH MOHAMED SALEH IBRAHIM</t>
  </si>
  <si>
    <t>KU1176</t>
  </si>
  <si>
    <t>PMR20237238</t>
  </si>
  <si>
    <t>ABDERRAHIM OULHAJ</t>
  </si>
  <si>
    <t>KU1041</t>
  </si>
  <si>
    <t>PMR20237075</t>
  </si>
  <si>
    <t>KU742</t>
  </si>
  <si>
    <t>PMR20237076</t>
  </si>
  <si>
    <t>MOHAMED RAHMANI</t>
  </si>
  <si>
    <t>KU960</t>
  </si>
  <si>
    <t>PMR20237077</t>
  </si>
  <si>
    <t>PMR20237303</t>
  </si>
  <si>
    <t>PMR20237304</t>
  </si>
  <si>
    <t>PMR20237305</t>
  </si>
  <si>
    <t>PMR20237306</t>
  </si>
  <si>
    <t>KU214</t>
  </si>
  <si>
    <t>PMR20237020</t>
  </si>
  <si>
    <t>KU178</t>
  </si>
  <si>
    <t>PMR20237016</t>
  </si>
  <si>
    <t>External Faculty from UAEU</t>
  </si>
  <si>
    <t>Duration
From                   To</t>
  </si>
  <si>
    <t>New PMR</t>
  </si>
  <si>
    <t>Request Date</t>
  </si>
  <si>
    <t>PMR20237525</t>
  </si>
  <si>
    <t>Continuing Education Payment Summary</t>
  </si>
  <si>
    <t>Status</t>
  </si>
  <si>
    <t>Paid 08 March 23</t>
  </si>
  <si>
    <t>approved by Dr. Waleed  13 Feb return to dr. Ashraf</t>
  </si>
  <si>
    <t>PMR20237540</t>
  </si>
  <si>
    <t>PMR20237541</t>
  </si>
  <si>
    <t>PMR20237542</t>
  </si>
  <si>
    <t>Monday, February 13, 2023 10:05 AM</t>
  </si>
  <si>
    <t>PMR20237543</t>
  </si>
  <si>
    <t>Approval from Cost Center Manager</t>
  </si>
  <si>
    <t>PMR20237545</t>
  </si>
  <si>
    <t>PMR20237546</t>
  </si>
  <si>
    <t>PMR20237547</t>
  </si>
  <si>
    <t>PMR20237548</t>
  </si>
  <si>
    <t>PMR No.</t>
  </si>
  <si>
    <t>Waiting for Dr. Waleed A1 &amp; A6 approval</t>
  </si>
  <si>
    <t>Approved by Dr. Waleed  28 March</t>
  </si>
  <si>
    <t>For provost approval</t>
  </si>
  <si>
    <t xml:space="preserve">Waiting for Finance to release the payment </t>
  </si>
  <si>
    <t>PMR20237658</t>
  </si>
  <si>
    <t>External</t>
  </si>
  <si>
    <t xml:space="preserve">Approved by Dr. Waleed  </t>
  </si>
  <si>
    <t>waiting for DOF Registration</t>
  </si>
  <si>
    <t>PMR20237871</t>
  </si>
  <si>
    <t>PMR20237870</t>
  </si>
  <si>
    <t>PMR20237869</t>
  </si>
  <si>
    <t xml:space="preserve">PAID April 8, 2023 </t>
  </si>
  <si>
    <t xml:space="preserve">PAID  April 8, 2023 </t>
  </si>
  <si>
    <t xml:space="preserve">PAID April 10, 2023 </t>
  </si>
  <si>
    <t xml:space="preserve">PAID  April 10, 2023 </t>
  </si>
  <si>
    <t>PAID  April 8, 2023</t>
  </si>
  <si>
    <t>PMR20237888</t>
  </si>
  <si>
    <t>PMR20237889</t>
  </si>
  <si>
    <t>No. Days</t>
  </si>
  <si>
    <t xml:space="preserve">24
</t>
  </si>
  <si>
    <t xml:space="preserve">40
</t>
  </si>
  <si>
    <t>NAOUFEL WERGHI</t>
  </si>
  <si>
    <t>MAHMOUD MERIBOUT</t>
  </si>
  <si>
    <t>BASEM ALI QASIM AL-OMARI</t>
  </si>
  <si>
    <t>ABDELRAHIM OULHAJ</t>
  </si>
  <si>
    <t>SALEH MOHAMMED SALEH IBRAHIM SALEH</t>
  </si>
  <si>
    <t>FAISAL AZIZ</t>
  </si>
  <si>
    <t>JAVAID NAUMAN</t>
  </si>
  <si>
    <t>LUAI AHMED</t>
  </si>
  <si>
    <t>RAMI AL-RIFAI</t>
  </si>
  <si>
    <t>PMR20237907</t>
  </si>
  <si>
    <t>PMR20237908</t>
  </si>
  <si>
    <t>PMR20237909</t>
  </si>
  <si>
    <t>PMR20237912</t>
  </si>
  <si>
    <t>PMR20237911</t>
  </si>
  <si>
    <t>PMR20237910</t>
  </si>
  <si>
    <t>PMR20237020​</t>
  </si>
  <si>
    <t>PMR20237016​</t>
  </si>
  <si>
    <t>PAID - March 8, 2023</t>
  </si>
  <si>
    <t xml:space="preserve">PAID - April 8, 2023 </t>
  </si>
  <si>
    <t>PAID - March 8, 2024</t>
  </si>
  <si>
    <t>Client/ Partner</t>
  </si>
  <si>
    <t>SEHA</t>
  </si>
  <si>
    <t>NCEMA</t>
  </si>
  <si>
    <t>AD Police</t>
  </si>
  <si>
    <t>Introduction to Artificial Intelligence</t>
  </si>
  <si>
    <t xml:space="preserve">
Advanced Electronics
</t>
  </si>
  <si>
    <t>KU1042</t>
  </si>
  <si>
    <t>EXTERNAL</t>
  </si>
  <si>
    <t>PMR20238014</t>
  </si>
  <si>
    <t>PMR20238013</t>
  </si>
  <si>
    <t>PMR20238012</t>
  </si>
  <si>
    <t>PMR20237943</t>
  </si>
  <si>
    <t>PMR20237941</t>
  </si>
  <si>
    <t>PMR20237940</t>
  </si>
  <si>
    <t>PMR20237944</t>
  </si>
  <si>
    <t>PMR20237942</t>
  </si>
  <si>
    <t>PMR20237945</t>
  </si>
  <si>
    <t>Paid 30 May 2023</t>
  </si>
  <si>
    <t>Paid 30 May 2024</t>
  </si>
  <si>
    <t>PMR20237955</t>
  </si>
  <si>
    <t>PMR20237890 cancelled due to system error
Paid 01 June 2023</t>
  </si>
  <si>
    <t>PMR20237954​</t>
  </si>
  <si>
    <t>PMR20237890 cancelled due to system error
Request for approval Ruqaya 29 May 2023</t>
  </si>
  <si>
    <t>Paid 01 Jun3 2023</t>
  </si>
  <si>
    <t>Paid 01 June 2023</t>
  </si>
  <si>
    <t>Pending for approval Fatema AlMazrouei</t>
  </si>
  <si>
    <t>Paid 08 June</t>
  </si>
  <si>
    <t>Paid 14 June 2023</t>
  </si>
  <si>
    <t>18-No-22</t>
  </si>
  <si>
    <t>Facu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</si>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</sst>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rgb="FFFFFF00"/>
      <name val="Calibri"/>
      <family val="2"/>
    </font>
    <font>
      <sz val="11"/>
      <color rgb="FF444444"/>
      <name val="Calibri"/>
      <family val="2"/>
      <scheme val="minor"/>
    </font>
    <font>
      <sz val="11"/>
      <color rgb="FF444444"/>
      <name val="Segoe U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</font>
    <font>
      <b/>
      <sz val="11"/>
      <name val="Calibri Light"/>
      <family val="2"/>
      <scheme val="maj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15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5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37" fontId="0" fillId="0" borderId="1" xfId="1" applyNumberFormat="1" applyFont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168" fontId="0" fillId="0" borderId="0" xfId="1" applyNumberFormat="1" applyFont="1" applyAlignment="1">
      <alignment horizont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/>
    <xf numFmtId="0" fontId="3" fillId="3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A927A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8"/>
  <sheetViews>
    <sheetView tabSelected="1" zoomScale="104" zoomScaleNormal="104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C36" sqref="C36"/>
    </sheetView>
  </sheetViews>
  <sheetFormatPr defaultRowHeight="14.5" x14ac:dyDescent="0.35"/>
  <cols>
    <col min="2" max="2" width="6.81640625" style="1" customWidth="1"/>
    <col min="3" max="3" width="23.81640625" customWidth="1"/>
    <col min="4" max="4" width="22.7265625" customWidth="1"/>
    <col min="5" max="5" width="15.1796875" customWidth="1"/>
    <col min="6" max="6" width="9.7265625" style="1" customWidth="1"/>
    <col min="7" max="7" width="10.1796875" style="1" customWidth="1"/>
    <col min="8" max="9" width="11.54296875" style="1" customWidth="1"/>
    <col min="10" max="10" width="21" customWidth="1"/>
    <col min="11" max="11" width="18.08984375" customWidth="1"/>
    <col min="12" max="12" width="17.453125" hidden="1" customWidth="1"/>
    <col min="13" max="13" width="23.90625" hidden="1" customWidth="1"/>
    <col min="14" max="14" width="18" style="1" customWidth="1"/>
    <col min="15" max="15" width="16.26953125" style="1" customWidth="1"/>
    <col min="16" max="16" width="43.6328125" customWidth="1"/>
  </cols>
  <sheetData>
    <row r="1" spans="2:16" ht="34.5" customHeight="1" x14ac:dyDescent="0.55000000000000004">
      <c r="B1" s="51" t="s">
        <v>34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2:16" ht="36" customHeight="1" x14ac:dyDescent="0.35">
      <c r="B2" s="6" t="s">
        <v>0</v>
      </c>
      <c r="C2" s="6" t="s">
        <v>119</v>
      </c>
      <c r="D2" s="6" t="s">
        <v>1</v>
      </c>
      <c r="E2" s="6" t="s">
        <v>90</v>
      </c>
      <c r="F2" s="6" t="s">
        <v>2</v>
      </c>
      <c r="G2" s="47" t="s">
        <v>67</v>
      </c>
      <c r="H2" s="52" t="s">
        <v>30</v>
      </c>
      <c r="I2" s="53"/>
      <c r="J2" s="6" t="s">
        <v>3</v>
      </c>
      <c r="K2" s="6" t="s">
        <v>4</v>
      </c>
      <c r="L2" s="6" t="s">
        <v>48</v>
      </c>
      <c r="M2" s="6" t="s">
        <v>35</v>
      </c>
      <c r="N2" s="27" t="s">
        <v>31</v>
      </c>
      <c r="O2" s="27" t="s">
        <v>32</v>
      </c>
      <c r="P2" s="28" t="s">
        <v>35</v>
      </c>
    </row>
    <row r="3" spans="2:16" ht="42.5" customHeight="1" x14ac:dyDescent="0.35">
      <c r="B3" s="2">
        <v>1</v>
      </c>
      <c r="C3" s="16" t="s">
        <v>5</v>
      </c>
      <c r="D3" s="16" t="s">
        <v>6</v>
      </c>
      <c r="E3" s="17" t="s">
        <v>91</v>
      </c>
      <c r="F3" s="17">
        <v>36</v>
      </c>
      <c r="G3" s="17">
        <v>4.5</v>
      </c>
      <c r="H3" s="18">
        <v>44774</v>
      </c>
      <c r="I3" s="18">
        <v>44803</v>
      </c>
      <c r="J3" s="17" t="s">
        <v>7</v>
      </c>
      <c r="K3" s="19">
        <f>F3*600</f>
        <v>21600</v>
      </c>
      <c r="L3" s="16" t="s">
        <v>8</v>
      </c>
      <c r="M3" s="16" t="s">
        <v>52</v>
      </c>
      <c r="N3" s="20" t="s">
        <v>33</v>
      </c>
      <c r="O3" s="21">
        <v>45000</v>
      </c>
      <c r="P3" s="22" t="s">
        <v>88</v>
      </c>
    </row>
    <row r="4" spans="2:16" ht="45.5" customHeight="1" x14ac:dyDescent="0.35">
      <c r="B4" s="2">
        <v>2</v>
      </c>
      <c r="C4" s="16" t="s">
        <v>5</v>
      </c>
      <c r="D4" s="16" t="s">
        <v>6</v>
      </c>
      <c r="E4" s="17" t="s">
        <v>91</v>
      </c>
      <c r="F4" s="17">
        <v>36</v>
      </c>
      <c r="G4" s="17">
        <v>4.5</v>
      </c>
      <c r="H4" s="18">
        <v>44805</v>
      </c>
      <c r="I4" s="18">
        <v>44834</v>
      </c>
      <c r="J4" s="17" t="s">
        <v>7</v>
      </c>
      <c r="K4" s="19">
        <f t="shared" ref="K4:K22" si="0">F4*600</f>
        <v>21600</v>
      </c>
      <c r="L4" s="16" t="s">
        <v>9</v>
      </c>
      <c r="M4" s="16" t="s">
        <v>49</v>
      </c>
      <c r="N4" s="20" t="s">
        <v>53</v>
      </c>
      <c r="O4" s="20"/>
      <c r="P4" s="22" t="s">
        <v>88</v>
      </c>
    </row>
    <row r="5" spans="2:16" ht="42.5" customHeight="1" x14ac:dyDescent="0.35">
      <c r="B5" s="2">
        <v>3</v>
      </c>
      <c r="C5" s="16" t="s">
        <v>70</v>
      </c>
      <c r="D5" s="16" t="s">
        <v>94</v>
      </c>
      <c r="E5" s="17" t="s">
        <v>92</v>
      </c>
      <c r="F5" s="17" t="s">
        <v>68</v>
      </c>
      <c r="G5" s="17">
        <v>3</v>
      </c>
      <c r="H5" s="18">
        <v>44860</v>
      </c>
      <c r="I5" s="18">
        <v>44862</v>
      </c>
      <c r="J5" s="17" t="s">
        <v>25</v>
      </c>
      <c r="K5" s="19">
        <f>3*8*300</f>
        <v>7200</v>
      </c>
      <c r="L5" s="23" t="s">
        <v>26</v>
      </c>
      <c r="M5" s="24" t="s">
        <v>36</v>
      </c>
      <c r="N5" s="20" t="s">
        <v>85</v>
      </c>
      <c r="O5" s="20"/>
      <c r="P5" s="22" t="s">
        <v>87</v>
      </c>
    </row>
    <row r="6" spans="2:16" ht="42.5" customHeight="1" x14ac:dyDescent="0.35">
      <c r="B6" s="2">
        <v>4</v>
      </c>
      <c r="C6" s="34" t="s">
        <v>71</v>
      </c>
      <c r="D6" s="16" t="s">
        <v>95</v>
      </c>
      <c r="E6" s="17" t="s">
        <v>93</v>
      </c>
      <c r="F6" s="17" t="s">
        <v>69</v>
      </c>
      <c r="G6" s="17">
        <v>5</v>
      </c>
      <c r="H6" s="18">
        <v>44865</v>
      </c>
      <c r="I6" s="18">
        <v>44869</v>
      </c>
      <c r="J6" s="17" t="s">
        <v>27</v>
      </c>
      <c r="K6" s="19">
        <f>5*8*300</f>
        <v>12000</v>
      </c>
      <c r="L6" s="23" t="s">
        <v>28</v>
      </c>
      <c r="M6" s="24" t="s">
        <v>36</v>
      </c>
      <c r="N6" s="20" t="s">
        <v>86</v>
      </c>
      <c r="O6" s="20"/>
      <c r="P6" s="22" t="s">
        <v>89</v>
      </c>
    </row>
    <row r="7" spans="2:16" ht="42.5" customHeight="1" x14ac:dyDescent="0.35">
      <c r="B7" s="2">
        <v>5</v>
      </c>
      <c r="C7" s="16" t="s">
        <v>10</v>
      </c>
      <c r="D7" s="16" t="s">
        <v>6</v>
      </c>
      <c r="E7" s="17" t="s">
        <v>91</v>
      </c>
      <c r="F7" s="17">
        <v>22</v>
      </c>
      <c r="G7" s="17">
        <v>2.75</v>
      </c>
      <c r="H7" s="25" t="s">
        <v>118</v>
      </c>
      <c r="I7" s="25">
        <v>44895</v>
      </c>
      <c r="J7" s="17" t="s">
        <v>11</v>
      </c>
      <c r="K7" s="19">
        <f t="shared" si="0"/>
        <v>13200</v>
      </c>
      <c r="L7" s="16" t="s">
        <v>12</v>
      </c>
      <c r="M7" s="16" t="s">
        <v>37</v>
      </c>
      <c r="N7" s="20" t="s">
        <v>38</v>
      </c>
      <c r="O7" s="21">
        <v>45004</v>
      </c>
      <c r="P7" s="29" t="s">
        <v>61</v>
      </c>
    </row>
    <row r="8" spans="2:16" ht="42.5" customHeight="1" x14ac:dyDescent="0.35">
      <c r="B8" s="40">
        <v>6</v>
      </c>
      <c r="C8" s="16" t="s">
        <v>13</v>
      </c>
      <c r="D8" s="16" t="s">
        <v>6</v>
      </c>
      <c r="E8" s="17" t="s">
        <v>91</v>
      </c>
      <c r="F8" s="17">
        <v>34</v>
      </c>
      <c r="G8" s="17">
        <v>4.25</v>
      </c>
      <c r="H8" s="25" t="s">
        <v>118</v>
      </c>
      <c r="I8" s="25">
        <v>44895</v>
      </c>
      <c r="J8" s="17" t="s">
        <v>14</v>
      </c>
      <c r="K8" s="19">
        <f t="shared" si="0"/>
        <v>20400</v>
      </c>
      <c r="L8" s="16" t="s">
        <v>15</v>
      </c>
      <c r="M8" s="16" t="s">
        <v>37</v>
      </c>
      <c r="N8" s="20" t="s">
        <v>39</v>
      </c>
      <c r="O8" s="21">
        <v>45004</v>
      </c>
      <c r="P8" s="22" t="s">
        <v>62</v>
      </c>
    </row>
    <row r="9" spans="2:16" ht="42.5" customHeight="1" x14ac:dyDescent="0.35">
      <c r="B9" s="40">
        <v>7</v>
      </c>
      <c r="C9" s="16" t="s">
        <v>72</v>
      </c>
      <c r="D9" s="16" t="s">
        <v>6</v>
      </c>
      <c r="E9" s="17" t="s">
        <v>91</v>
      </c>
      <c r="F9" s="17">
        <v>30</v>
      </c>
      <c r="G9" s="17">
        <v>3.7</v>
      </c>
      <c r="H9" s="25" t="s">
        <v>118</v>
      </c>
      <c r="I9" s="25">
        <v>44895</v>
      </c>
      <c r="J9" s="17" t="s">
        <v>16</v>
      </c>
      <c r="K9" s="19">
        <f t="shared" si="0"/>
        <v>18000</v>
      </c>
      <c r="L9" s="16" t="s">
        <v>17</v>
      </c>
      <c r="M9" s="16" t="s">
        <v>37</v>
      </c>
      <c r="N9" s="20" t="s">
        <v>40</v>
      </c>
      <c r="O9" s="21">
        <v>45004</v>
      </c>
      <c r="P9" s="22" t="s">
        <v>63</v>
      </c>
    </row>
    <row r="10" spans="2:16" ht="42.5" customHeight="1" x14ac:dyDescent="0.35">
      <c r="B10" s="40">
        <v>8</v>
      </c>
      <c r="C10" s="16" t="s">
        <v>18</v>
      </c>
      <c r="D10" s="16" t="s">
        <v>6</v>
      </c>
      <c r="E10" s="17" t="s">
        <v>91</v>
      </c>
      <c r="F10" s="17">
        <v>24</v>
      </c>
      <c r="G10" s="17">
        <v>3</v>
      </c>
      <c r="H10" s="25" t="s">
        <v>118</v>
      </c>
      <c r="I10" s="25">
        <v>44895</v>
      </c>
      <c r="J10" s="17" t="s">
        <v>19</v>
      </c>
      <c r="K10" s="19">
        <f t="shared" si="0"/>
        <v>14400</v>
      </c>
      <c r="L10" s="16" t="s">
        <v>20</v>
      </c>
      <c r="M10" s="16" t="s">
        <v>41</v>
      </c>
      <c r="N10" s="30" t="s">
        <v>42</v>
      </c>
      <c r="O10" s="21">
        <v>45004</v>
      </c>
      <c r="P10" s="22" t="s">
        <v>63</v>
      </c>
    </row>
    <row r="11" spans="2:16" ht="42.5" customHeight="1" x14ac:dyDescent="0.35">
      <c r="B11" s="41">
        <v>9</v>
      </c>
      <c r="C11" s="16" t="s">
        <v>73</v>
      </c>
      <c r="D11" s="16" t="s">
        <v>6</v>
      </c>
      <c r="E11" s="17" t="s">
        <v>91</v>
      </c>
      <c r="F11" s="17">
        <v>36.450000000000003</v>
      </c>
      <c r="G11" s="17">
        <v>4.25</v>
      </c>
      <c r="H11" s="18">
        <v>44896</v>
      </c>
      <c r="I11" s="18">
        <v>44926</v>
      </c>
      <c r="J11" s="17" t="s">
        <v>14</v>
      </c>
      <c r="K11" s="19">
        <f t="shared" si="0"/>
        <v>21870</v>
      </c>
      <c r="L11" s="16" t="s">
        <v>21</v>
      </c>
      <c r="M11" s="16" t="s">
        <v>43</v>
      </c>
      <c r="N11" s="20" t="s">
        <v>44</v>
      </c>
      <c r="O11" s="21">
        <v>45004</v>
      </c>
      <c r="P11" s="22" t="s">
        <v>63</v>
      </c>
    </row>
    <row r="12" spans="2:16" ht="42.5" customHeight="1" x14ac:dyDescent="0.35">
      <c r="B12" s="41">
        <v>10</v>
      </c>
      <c r="C12" s="16" t="s">
        <v>72</v>
      </c>
      <c r="D12" s="16" t="s">
        <v>6</v>
      </c>
      <c r="E12" s="17" t="s">
        <v>91</v>
      </c>
      <c r="F12" s="17">
        <v>27.5</v>
      </c>
      <c r="G12" s="17">
        <v>3.4</v>
      </c>
      <c r="H12" s="18">
        <v>44896</v>
      </c>
      <c r="I12" s="18">
        <v>44926</v>
      </c>
      <c r="J12" s="17" t="s">
        <v>16</v>
      </c>
      <c r="K12" s="19">
        <f t="shared" si="0"/>
        <v>16500</v>
      </c>
      <c r="L12" s="16" t="s">
        <v>22</v>
      </c>
      <c r="M12" s="16" t="s">
        <v>43</v>
      </c>
      <c r="N12" s="20" t="s">
        <v>45</v>
      </c>
      <c r="O12" s="21">
        <v>45004</v>
      </c>
      <c r="P12" s="22" t="s">
        <v>62</v>
      </c>
    </row>
    <row r="13" spans="2:16" ht="42.5" customHeight="1" x14ac:dyDescent="0.35">
      <c r="B13" s="41">
        <v>11</v>
      </c>
      <c r="C13" s="16" t="s">
        <v>18</v>
      </c>
      <c r="D13" s="16" t="s">
        <v>6</v>
      </c>
      <c r="E13" s="17" t="s">
        <v>91</v>
      </c>
      <c r="F13" s="17">
        <v>3.63</v>
      </c>
      <c r="G13" s="17">
        <v>0.45</v>
      </c>
      <c r="H13" s="18">
        <v>44896</v>
      </c>
      <c r="I13" s="18">
        <v>44926</v>
      </c>
      <c r="J13" s="17" t="s">
        <v>19</v>
      </c>
      <c r="K13" s="19">
        <f t="shared" si="0"/>
        <v>2178</v>
      </c>
      <c r="L13" s="16" t="s">
        <v>23</v>
      </c>
      <c r="M13" s="16" t="s">
        <v>43</v>
      </c>
      <c r="N13" s="20" t="s">
        <v>46</v>
      </c>
      <c r="O13" s="21">
        <v>45004</v>
      </c>
      <c r="P13" s="8" t="s">
        <v>60</v>
      </c>
    </row>
    <row r="14" spans="2:16" ht="42.5" customHeight="1" x14ac:dyDescent="0.35">
      <c r="B14" s="41">
        <v>12</v>
      </c>
      <c r="C14" s="16" t="s">
        <v>74</v>
      </c>
      <c r="D14" s="16" t="s">
        <v>6</v>
      </c>
      <c r="E14" s="17" t="s">
        <v>91</v>
      </c>
      <c r="F14" s="17">
        <v>4.13</v>
      </c>
      <c r="G14" s="17">
        <v>0.5</v>
      </c>
      <c r="H14" s="18">
        <v>44896</v>
      </c>
      <c r="I14" s="18">
        <v>44926</v>
      </c>
      <c r="J14" s="17" t="s">
        <v>11</v>
      </c>
      <c r="K14" s="19">
        <f t="shared" si="0"/>
        <v>2478</v>
      </c>
      <c r="L14" s="16" t="s">
        <v>24</v>
      </c>
      <c r="M14" s="16" t="s">
        <v>43</v>
      </c>
      <c r="N14" s="20" t="s">
        <v>47</v>
      </c>
      <c r="O14" s="21">
        <v>45004</v>
      </c>
      <c r="P14" s="29" t="s">
        <v>64</v>
      </c>
    </row>
    <row r="15" spans="2:16" ht="42.5" customHeight="1" x14ac:dyDescent="0.35">
      <c r="B15" s="42">
        <v>13</v>
      </c>
      <c r="C15" s="16" t="s">
        <v>75</v>
      </c>
      <c r="D15" s="16" t="s">
        <v>6</v>
      </c>
      <c r="E15" s="17" t="s">
        <v>91</v>
      </c>
      <c r="F15" s="17">
        <v>9.6999999999999993</v>
      </c>
      <c r="G15" s="17">
        <v>1.2</v>
      </c>
      <c r="H15" s="18">
        <v>44927</v>
      </c>
      <c r="I15" s="18">
        <v>44957</v>
      </c>
      <c r="J15" s="33" t="s">
        <v>54</v>
      </c>
      <c r="K15" s="19">
        <f t="shared" si="0"/>
        <v>5820</v>
      </c>
      <c r="L15" s="16"/>
      <c r="M15" s="16"/>
      <c r="N15" s="31" t="s">
        <v>100</v>
      </c>
      <c r="O15" s="21">
        <v>45078</v>
      </c>
      <c r="P15" s="7" t="s">
        <v>115</v>
      </c>
    </row>
    <row r="16" spans="2:16" ht="59" customHeight="1" x14ac:dyDescent="0.35">
      <c r="B16" s="42">
        <v>14</v>
      </c>
      <c r="C16" s="16" t="s">
        <v>76</v>
      </c>
      <c r="D16" s="16" t="s">
        <v>6</v>
      </c>
      <c r="E16" s="17" t="s">
        <v>91</v>
      </c>
      <c r="F16" s="17">
        <v>3</v>
      </c>
      <c r="G16" s="17">
        <v>0.4</v>
      </c>
      <c r="H16" s="18">
        <v>44927</v>
      </c>
      <c r="I16" s="18">
        <v>44957</v>
      </c>
      <c r="J16" s="33" t="s">
        <v>54</v>
      </c>
      <c r="K16" s="19">
        <f t="shared" si="0"/>
        <v>1800</v>
      </c>
      <c r="L16" s="16" t="s">
        <v>29</v>
      </c>
      <c r="M16" s="16" t="s">
        <v>50</v>
      </c>
      <c r="N16" s="20" t="s">
        <v>81</v>
      </c>
      <c r="O16" s="21">
        <v>45061</v>
      </c>
      <c r="P16" s="46" t="s">
        <v>116</v>
      </c>
    </row>
    <row r="17" spans="2:16" ht="57.5" customHeight="1" x14ac:dyDescent="0.35">
      <c r="B17" s="42">
        <v>15</v>
      </c>
      <c r="C17" s="16" t="s">
        <v>77</v>
      </c>
      <c r="D17" s="16" t="s">
        <v>6</v>
      </c>
      <c r="E17" s="17" t="s">
        <v>91</v>
      </c>
      <c r="F17" s="17">
        <v>2.6</v>
      </c>
      <c r="G17" s="17">
        <v>0.3</v>
      </c>
      <c r="H17" s="18">
        <v>44927</v>
      </c>
      <c r="I17" s="18">
        <v>44957</v>
      </c>
      <c r="J17" s="33" t="s">
        <v>54</v>
      </c>
      <c r="K17" s="19">
        <f t="shared" si="0"/>
        <v>1560</v>
      </c>
      <c r="L17" s="16" t="s">
        <v>29</v>
      </c>
      <c r="M17" s="16" t="s">
        <v>50</v>
      </c>
      <c r="N17" s="20" t="s">
        <v>80</v>
      </c>
      <c r="O17" s="21">
        <v>45061</v>
      </c>
      <c r="P17" s="46" t="s">
        <v>116</v>
      </c>
    </row>
    <row r="18" spans="2:16" ht="60" customHeight="1" x14ac:dyDescent="0.35">
      <c r="B18" s="42">
        <v>16</v>
      </c>
      <c r="C18" s="16" t="s">
        <v>78</v>
      </c>
      <c r="D18" s="16" t="s">
        <v>6</v>
      </c>
      <c r="E18" s="17" t="s">
        <v>91</v>
      </c>
      <c r="F18" s="17">
        <v>4.7</v>
      </c>
      <c r="G18" s="17">
        <v>0.6</v>
      </c>
      <c r="H18" s="18">
        <v>44927</v>
      </c>
      <c r="I18" s="18">
        <v>44957</v>
      </c>
      <c r="J18" s="33" t="s">
        <v>54</v>
      </c>
      <c r="K18" s="19">
        <f t="shared" si="0"/>
        <v>2820</v>
      </c>
      <c r="L18" s="16" t="s">
        <v>29</v>
      </c>
      <c r="M18" s="16" t="s">
        <v>50</v>
      </c>
      <c r="N18" s="20" t="s">
        <v>79</v>
      </c>
      <c r="O18" s="21">
        <v>45061</v>
      </c>
      <c r="P18" s="46" t="s">
        <v>120</v>
      </c>
    </row>
    <row r="19" spans="2:16" ht="42.5" customHeight="1" x14ac:dyDescent="0.35">
      <c r="B19" s="42">
        <v>17</v>
      </c>
      <c r="C19" s="3" t="s">
        <v>73</v>
      </c>
      <c r="D19" s="3" t="s">
        <v>6</v>
      </c>
      <c r="E19" s="17" t="s">
        <v>91</v>
      </c>
      <c r="F19" s="2">
        <v>40.1</v>
      </c>
      <c r="G19" s="2">
        <v>5</v>
      </c>
      <c r="H19" s="5">
        <v>44927</v>
      </c>
      <c r="I19" s="5">
        <v>44957</v>
      </c>
      <c r="J19" s="2" t="s">
        <v>14</v>
      </c>
      <c r="K19" s="4">
        <f t="shared" si="0"/>
        <v>24060</v>
      </c>
      <c r="L19" s="3" t="s">
        <v>9</v>
      </c>
      <c r="M19" s="3" t="s">
        <v>51</v>
      </c>
      <c r="N19" s="20" t="s">
        <v>65</v>
      </c>
      <c r="O19" s="26">
        <v>45055</v>
      </c>
      <c r="P19" s="11" t="s">
        <v>107</v>
      </c>
    </row>
    <row r="20" spans="2:16" ht="42.5" customHeight="1" x14ac:dyDescent="0.35">
      <c r="B20" s="42">
        <v>18</v>
      </c>
      <c r="C20" s="3" t="s">
        <v>72</v>
      </c>
      <c r="D20" s="3" t="s">
        <v>6</v>
      </c>
      <c r="E20" s="17" t="s">
        <v>91</v>
      </c>
      <c r="F20" s="2">
        <v>32.6</v>
      </c>
      <c r="G20" s="2">
        <v>4.0999999999999996</v>
      </c>
      <c r="H20" s="5">
        <v>44927</v>
      </c>
      <c r="I20" s="5">
        <v>44957</v>
      </c>
      <c r="J20" s="2" t="s">
        <v>16</v>
      </c>
      <c r="K20" s="4">
        <f t="shared" si="0"/>
        <v>19560</v>
      </c>
      <c r="L20" s="3" t="s">
        <v>9</v>
      </c>
      <c r="M20" s="3" t="s">
        <v>51</v>
      </c>
      <c r="N20" s="20" t="s">
        <v>66</v>
      </c>
      <c r="O20" s="26">
        <v>45055</v>
      </c>
      <c r="P20" s="11" t="s">
        <v>107</v>
      </c>
    </row>
    <row r="21" spans="2:16" ht="42.5" customHeight="1" x14ac:dyDescent="0.35">
      <c r="B21" s="42">
        <v>19</v>
      </c>
      <c r="C21" s="3" t="s">
        <v>18</v>
      </c>
      <c r="D21" s="3" t="s">
        <v>6</v>
      </c>
      <c r="E21" s="17" t="s">
        <v>91</v>
      </c>
      <c r="F21" s="2">
        <v>5</v>
      </c>
      <c r="G21" s="2">
        <v>0.6</v>
      </c>
      <c r="H21" s="5">
        <v>44927</v>
      </c>
      <c r="I21" s="5">
        <v>44957</v>
      </c>
      <c r="J21" s="2" t="s">
        <v>19</v>
      </c>
      <c r="K21" s="4">
        <f t="shared" si="0"/>
        <v>3000</v>
      </c>
      <c r="L21" s="3" t="s">
        <v>9</v>
      </c>
      <c r="M21" s="3" t="s">
        <v>51</v>
      </c>
      <c r="N21" s="20" t="s">
        <v>109</v>
      </c>
      <c r="O21" s="26">
        <v>45055</v>
      </c>
      <c r="P21" s="45" t="s">
        <v>110</v>
      </c>
    </row>
    <row r="22" spans="2:16" ht="42.5" customHeight="1" x14ac:dyDescent="0.35">
      <c r="B22" s="42">
        <v>20</v>
      </c>
      <c r="C22" s="3" t="s">
        <v>74</v>
      </c>
      <c r="D22" s="3" t="s">
        <v>6</v>
      </c>
      <c r="E22" s="17" t="s">
        <v>91</v>
      </c>
      <c r="F22" s="2">
        <v>1.7</v>
      </c>
      <c r="G22" s="2">
        <v>0.2</v>
      </c>
      <c r="H22" s="5">
        <v>44927</v>
      </c>
      <c r="I22" s="5">
        <v>44957</v>
      </c>
      <c r="J22" s="2" t="s">
        <v>11</v>
      </c>
      <c r="K22" s="4">
        <f t="shared" si="0"/>
        <v>1020</v>
      </c>
      <c r="L22" s="3" t="s">
        <v>9</v>
      </c>
      <c r="M22" s="3" t="s">
        <v>51</v>
      </c>
      <c r="N22" s="44" t="s">
        <v>111</v>
      </c>
      <c r="O22" s="26">
        <v>45055</v>
      </c>
      <c r="P22" s="45" t="s">
        <v>112</v>
      </c>
    </row>
    <row r="23" spans="2:16" ht="42.5" customHeight="1" x14ac:dyDescent="0.35">
      <c r="B23" s="43">
        <v>21</v>
      </c>
      <c r="C23" s="3" t="s">
        <v>73</v>
      </c>
      <c r="D23" s="3" t="s">
        <v>6</v>
      </c>
      <c r="E23" s="17" t="s">
        <v>91</v>
      </c>
      <c r="F23" s="2">
        <v>43.8</v>
      </c>
      <c r="G23" s="2">
        <v>5.5</v>
      </c>
      <c r="H23" s="5">
        <v>44958</v>
      </c>
      <c r="I23" s="5">
        <v>44985</v>
      </c>
      <c r="J23" s="2" t="s">
        <v>14</v>
      </c>
      <c r="K23" s="4">
        <f t="shared" ref="K23:K29" si="1">F23*600</f>
        <v>26280</v>
      </c>
      <c r="L23" s="7"/>
      <c r="M23" s="7"/>
      <c r="N23" s="20" t="s">
        <v>59</v>
      </c>
      <c r="O23" s="21">
        <v>45054</v>
      </c>
      <c r="P23" s="11" t="s">
        <v>107</v>
      </c>
    </row>
    <row r="24" spans="2:16" ht="42.5" customHeight="1" x14ac:dyDescent="0.35">
      <c r="B24" s="43">
        <v>22</v>
      </c>
      <c r="C24" s="3" t="s">
        <v>72</v>
      </c>
      <c r="D24" s="11" t="s">
        <v>6</v>
      </c>
      <c r="E24" s="17" t="s">
        <v>91</v>
      </c>
      <c r="F24" s="12">
        <v>30.2</v>
      </c>
      <c r="G24" s="12">
        <v>3.8</v>
      </c>
      <c r="H24" s="13">
        <v>44958</v>
      </c>
      <c r="I24" s="13">
        <v>44985</v>
      </c>
      <c r="J24" s="14" t="s">
        <v>16</v>
      </c>
      <c r="K24" s="15">
        <f t="shared" si="1"/>
        <v>18120</v>
      </c>
      <c r="L24" s="10"/>
      <c r="M24" s="11" t="s">
        <v>55</v>
      </c>
      <c r="N24" s="31" t="s">
        <v>58</v>
      </c>
      <c r="O24" s="21">
        <v>45054</v>
      </c>
      <c r="P24" s="11" t="s">
        <v>107</v>
      </c>
    </row>
    <row r="25" spans="2:16" ht="42.5" customHeight="1" x14ac:dyDescent="0.35">
      <c r="B25" s="43">
        <v>23</v>
      </c>
      <c r="C25" s="3" t="s">
        <v>18</v>
      </c>
      <c r="D25" s="11" t="s">
        <v>6</v>
      </c>
      <c r="E25" s="17" t="s">
        <v>91</v>
      </c>
      <c r="F25" s="12">
        <v>18.600000000000001</v>
      </c>
      <c r="G25" s="12">
        <v>2.2999999999999998</v>
      </c>
      <c r="H25" s="13">
        <v>44958</v>
      </c>
      <c r="I25" s="13">
        <v>44985</v>
      </c>
      <c r="J25" s="14" t="s">
        <v>19</v>
      </c>
      <c r="K25" s="15">
        <f t="shared" si="1"/>
        <v>11160</v>
      </c>
      <c r="L25" s="10"/>
      <c r="M25" s="11" t="s">
        <v>55</v>
      </c>
      <c r="N25" s="20" t="s">
        <v>57</v>
      </c>
      <c r="O25" s="21">
        <v>45054</v>
      </c>
      <c r="P25" s="11" t="s">
        <v>108</v>
      </c>
    </row>
    <row r="26" spans="2:16" ht="42.5" customHeight="1" x14ac:dyDescent="0.35">
      <c r="B26" s="43">
        <v>24</v>
      </c>
      <c r="C26" s="16" t="s">
        <v>75</v>
      </c>
      <c r="D26" s="11" t="s">
        <v>6</v>
      </c>
      <c r="E26" s="17" t="s">
        <v>91</v>
      </c>
      <c r="F26" s="20">
        <v>2.8</v>
      </c>
      <c r="G26" s="20">
        <v>0.3</v>
      </c>
      <c r="H26" s="13">
        <v>44958</v>
      </c>
      <c r="I26" s="13">
        <v>44985</v>
      </c>
      <c r="J26" s="32" t="s">
        <v>54</v>
      </c>
      <c r="K26" s="15">
        <f t="shared" si="1"/>
        <v>1680</v>
      </c>
      <c r="L26" s="10"/>
      <c r="M26" s="10" t="s">
        <v>56</v>
      </c>
      <c r="N26" s="31" t="s">
        <v>99</v>
      </c>
      <c r="O26" s="21">
        <v>45078</v>
      </c>
      <c r="P26" s="7" t="s">
        <v>120</v>
      </c>
    </row>
    <row r="27" spans="2:16" ht="42.5" customHeight="1" x14ac:dyDescent="0.35">
      <c r="B27" s="43">
        <v>25</v>
      </c>
      <c r="C27" s="16" t="s">
        <v>76</v>
      </c>
      <c r="D27" s="11" t="s">
        <v>6</v>
      </c>
      <c r="E27" s="17" t="s">
        <v>91</v>
      </c>
      <c r="F27" s="20">
        <v>31.5</v>
      </c>
      <c r="G27" s="20">
        <v>3.9</v>
      </c>
      <c r="H27" s="13">
        <v>44958</v>
      </c>
      <c r="I27" s="13">
        <v>44985</v>
      </c>
      <c r="J27" s="32" t="s">
        <v>54</v>
      </c>
      <c r="K27" s="15">
        <f t="shared" si="1"/>
        <v>18900</v>
      </c>
      <c r="L27" s="10"/>
      <c r="M27" s="10" t="s">
        <v>56</v>
      </c>
      <c r="N27" s="20" t="s">
        <v>84</v>
      </c>
      <c r="O27" s="21">
        <v>45061</v>
      </c>
      <c r="P27" s="46" t="s">
        <v>117</v>
      </c>
    </row>
    <row r="28" spans="2:16" ht="42.5" customHeight="1" x14ac:dyDescent="0.35">
      <c r="B28" s="43">
        <v>26</v>
      </c>
      <c r="C28" s="16" t="s">
        <v>77</v>
      </c>
      <c r="D28" s="11" t="s">
        <v>6</v>
      </c>
      <c r="E28" s="17" t="s">
        <v>91</v>
      </c>
      <c r="F28" s="20">
        <v>20.100000000000001</v>
      </c>
      <c r="G28" s="20">
        <v>2.5</v>
      </c>
      <c r="H28" s="13">
        <v>44958</v>
      </c>
      <c r="I28" s="13">
        <v>44985</v>
      </c>
      <c r="J28" s="32" t="s">
        <v>54</v>
      </c>
      <c r="K28" s="15">
        <f t="shared" si="1"/>
        <v>12060</v>
      </c>
      <c r="L28" s="10"/>
      <c r="M28" s="10" t="s">
        <v>56</v>
      </c>
      <c r="N28" s="20" t="s">
        <v>83</v>
      </c>
      <c r="O28" s="21">
        <v>45061</v>
      </c>
      <c r="P28" s="49" t="s">
        <v>117</v>
      </c>
    </row>
    <row r="29" spans="2:16" ht="42.5" customHeight="1" x14ac:dyDescent="0.35">
      <c r="B29" s="43">
        <v>27</v>
      </c>
      <c r="C29" s="16" t="s">
        <v>78</v>
      </c>
      <c r="D29" s="11" t="s">
        <v>6</v>
      </c>
      <c r="E29" s="17" t="s">
        <v>91</v>
      </c>
      <c r="F29" s="20">
        <v>25</v>
      </c>
      <c r="G29" s="20">
        <v>3.1</v>
      </c>
      <c r="H29" s="13">
        <v>44958</v>
      </c>
      <c r="I29" s="13">
        <v>44985</v>
      </c>
      <c r="J29" s="32" t="s">
        <v>54</v>
      </c>
      <c r="K29" s="15">
        <f t="shared" si="1"/>
        <v>15000</v>
      </c>
      <c r="L29" s="10"/>
      <c r="M29" s="10" t="s">
        <v>56</v>
      </c>
      <c r="N29" s="20" t="s">
        <v>82</v>
      </c>
      <c r="O29" s="21">
        <v>45061</v>
      </c>
      <c r="P29" s="50" t="s">
        <v>120</v>
      </c>
    </row>
    <row r="30" spans="2:16" ht="42.5" customHeight="1" x14ac:dyDescent="0.35">
      <c r="B30" s="9">
        <v>29</v>
      </c>
      <c r="C30" s="16" t="s">
        <v>73</v>
      </c>
      <c r="D30" s="11" t="s">
        <v>6</v>
      </c>
      <c r="E30" s="17" t="s">
        <v>91</v>
      </c>
      <c r="F30" s="36">
        <v>40.6</v>
      </c>
      <c r="G30" s="35">
        <v>5.0999999999999996</v>
      </c>
      <c r="H30" s="38">
        <v>44986</v>
      </c>
      <c r="I30" s="38">
        <v>45016</v>
      </c>
      <c r="J30" s="2" t="s">
        <v>96</v>
      </c>
      <c r="K30" s="39">
        <f>F30*600</f>
        <v>24360</v>
      </c>
      <c r="L30" s="7"/>
      <c r="M30" s="7"/>
      <c r="N30" s="30" t="s">
        <v>103</v>
      </c>
      <c r="O30" s="26">
        <v>45069</v>
      </c>
      <c r="P30" s="7" t="s">
        <v>113</v>
      </c>
    </row>
    <row r="31" spans="2:16" ht="42.5" customHeight="1" x14ac:dyDescent="0.35">
      <c r="B31" s="9">
        <v>30</v>
      </c>
      <c r="C31" s="16" t="s">
        <v>72</v>
      </c>
      <c r="D31" s="11" t="s">
        <v>6</v>
      </c>
      <c r="E31" s="17" t="s">
        <v>91</v>
      </c>
      <c r="F31" s="36">
        <v>13</v>
      </c>
      <c r="G31" s="35">
        <v>1.6</v>
      </c>
      <c r="H31" s="38">
        <v>44986</v>
      </c>
      <c r="I31" s="38">
        <v>45016</v>
      </c>
      <c r="J31" s="14" t="s">
        <v>16</v>
      </c>
      <c r="K31" s="39">
        <f t="shared" ref="K31:K36" si="2">F31*600</f>
        <v>7800</v>
      </c>
      <c r="L31" s="7"/>
      <c r="M31" s="7"/>
      <c r="N31" s="30" t="s">
        <v>102</v>
      </c>
      <c r="O31" s="26">
        <v>45069</v>
      </c>
      <c r="P31" s="7" t="s">
        <v>114</v>
      </c>
    </row>
    <row r="32" spans="2:16" ht="42.5" customHeight="1" x14ac:dyDescent="0.35">
      <c r="B32" s="9">
        <v>31</v>
      </c>
      <c r="C32" s="3" t="s">
        <v>18</v>
      </c>
      <c r="D32" s="11" t="s">
        <v>6</v>
      </c>
      <c r="E32" s="17" t="s">
        <v>91</v>
      </c>
      <c r="F32" s="37">
        <v>2.2999999999999998</v>
      </c>
      <c r="G32" s="35">
        <v>0.3</v>
      </c>
      <c r="H32" s="38">
        <v>44986</v>
      </c>
      <c r="I32" s="38">
        <v>45016</v>
      </c>
      <c r="J32" s="14" t="s">
        <v>19</v>
      </c>
      <c r="K32" s="39">
        <f t="shared" si="2"/>
        <v>1380</v>
      </c>
      <c r="L32" s="7"/>
      <c r="M32" s="7"/>
      <c r="N32" s="30" t="s">
        <v>105</v>
      </c>
      <c r="O32" s="26">
        <v>45069</v>
      </c>
      <c r="P32" s="7" t="s">
        <v>114</v>
      </c>
    </row>
    <row r="33" spans="2:16" ht="42.5" customHeight="1" x14ac:dyDescent="0.35">
      <c r="B33" s="9">
        <v>32</v>
      </c>
      <c r="C33" s="16" t="s">
        <v>75</v>
      </c>
      <c r="D33" s="11" t="s">
        <v>6</v>
      </c>
      <c r="E33" s="17" t="s">
        <v>91</v>
      </c>
      <c r="F33" s="36">
        <v>4.3</v>
      </c>
      <c r="G33" s="35">
        <v>0.5</v>
      </c>
      <c r="H33" s="38">
        <v>44986</v>
      </c>
      <c r="I33" s="38">
        <v>45016</v>
      </c>
      <c r="J33" s="35" t="s">
        <v>97</v>
      </c>
      <c r="K33" s="39">
        <f t="shared" si="2"/>
        <v>2580</v>
      </c>
      <c r="L33" s="7"/>
      <c r="M33" s="7"/>
      <c r="N33" s="30" t="s">
        <v>98</v>
      </c>
      <c r="O33" s="21">
        <v>45078</v>
      </c>
      <c r="P33" s="7" t="s">
        <v>115</v>
      </c>
    </row>
    <row r="34" spans="2:16" ht="42.5" customHeight="1" x14ac:dyDescent="0.35">
      <c r="B34" s="9">
        <v>33</v>
      </c>
      <c r="C34" s="16" t="s">
        <v>76</v>
      </c>
      <c r="D34" s="11" t="s">
        <v>6</v>
      </c>
      <c r="E34" s="17" t="s">
        <v>91</v>
      </c>
      <c r="F34" s="36">
        <v>13.9</v>
      </c>
      <c r="G34" s="35">
        <v>1.7</v>
      </c>
      <c r="H34" s="38">
        <v>44986</v>
      </c>
      <c r="I34" s="38">
        <v>45016</v>
      </c>
      <c r="J34" s="35" t="s">
        <v>97</v>
      </c>
      <c r="K34" s="39">
        <f t="shared" si="2"/>
        <v>8340</v>
      </c>
      <c r="L34" s="7"/>
      <c r="M34" s="7"/>
      <c r="N34" s="20" t="s">
        <v>101</v>
      </c>
      <c r="O34" s="26">
        <v>45069</v>
      </c>
      <c r="P34" s="7" t="s">
        <v>114</v>
      </c>
    </row>
    <row r="35" spans="2:16" ht="42.5" customHeight="1" x14ac:dyDescent="0.35">
      <c r="B35" s="9">
        <v>34</v>
      </c>
      <c r="C35" s="16" t="s">
        <v>77</v>
      </c>
      <c r="D35" s="11" t="s">
        <v>6</v>
      </c>
      <c r="E35" s="17" t="s">
        <v>91</v>
      </c>
      <c r="F35" s="36">
        <v>8.3000000000000007</v>
      </c>
      <c r="G35" s="35">
        <v>1</v>
      </c>
      <c r="H35" s="38">
        <v>44986</v>
      </c>
      <c r="I35" s="38">
        <v>45016</v>
      </c>
      <c r="J35" s="35" t="s">
        <v>97</v>
      </c>
      <c r="K35" s="39">
        <f t="shared" si="2"/>
        <v>4980</v>
      </c>
      <c r="L35" s="7"/>
      <c r="M35" s="7"/>
      <c r="N35" s="31" t="s">
        <v>106</v>
      </c>
      <c r="O35" s="26">
        <v>45069</v>
      </c>
      <c r="P35" s="7" t="s">
        <v>114</v>
      </c>
    </row>
    <row r="36" spans="2:16" ht="42.5" customHeight="1" x14ac:dyDescent="0.35">
      <c r="B36" s="9">
        <v>35</v>
      </c>
      <c r="C36" s="16" t="s">
        <v>78</v>
      </c>
      <c r="D36" s="11" t="s">
        <v>6</v>
      </c>
      <c r="E36" s="17" t="s">
        <v>91</v>
      </c>
      <c r="F36" s="37">
        <v>4.2</v>
      </c>
      <c r="G36" s="35">
        <v>0.5</v>
      </c>
      <c r="H36" s="38">
        <v>44986</v>
      </c>
      <c r="I36" s="38">
        <v>45016</v>
      </c>
      <c r="J36" s="35" t="s">
        <v>97</v>
      </c>
      <c r="K36" s="39">
        <f t="shared" si="2"/>
        <v>2520</v>
      </c>
      <c r="L36" s="7"/>
      <c r="M36" s="7"/>
      <c r="N36" s="30" t="s">
        <v>104</v>
      </c>
      <c r="O36" s="26">
        <v>45069</v>
      </c>
      <c r="P36" s="7" t="s">
        <v>114</v>
      </c>
    </row>
    <row r="37" spans="2:16" x14ac:dyDescent="0.35">
      <c r="H37" s="48"/>
    </row>
    <row r="38" spans="2:16" x14ac:dyDescent="0.35">
      <c r="H38" s="48"/>
    </row>
  </sheetData>
  <mergeCells count="2">
    <mergeCell ref="H2:I2"/>
    <mergeCell ref="B1:P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cp:lastPrinted>2023-10-09T21:08:33Z</cp:lastPrinted>
  <dcterms:created xsi:type="dcterms:W3CDTF">2023-03-06T07:54:46Z</dcterms:created>
  <dcterms:modified xsi:type="dcterms:W3CDTF">2023-10-16T19:34:10Z</dcterms:modified>
</cp:coreProperties>
</file>