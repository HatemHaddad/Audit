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Faculty Payment\"/>
    </mc:Choice>
  </mc:AlternateContent>
  <xr:revisionPtr revIDLastSave="0" documentId="13_ncr:1_{7AA73923-0044-483A-B1C1-EB76FE828F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nsactions" sheetId="1" r:id="rId1"/>
    <sheet name="Receip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9" i="2" l="1"/>
  <c r="S9" i="1"/>
</calcChain>
</file>

<file path=xl/sharedStrings.xml><?xml version="1.0" encoding="utf-8"?>
<sst xmlns="http://schemas.openxmlformats.org/spreadsheetml/2006/main" count="228" uniqueCount="112">
  <si>
    <t>Customer Name</t>
  </si>
  <si>
    <t>Customer Number</t>
  </si>
  <si>
    <t>Location</t>
  </si>
  <si>
    <t>Invoice Number</t>
  </si>
  <si>
    <t>Correct invoice No.</t>
  </si>
  <si>
    <t>Document No.</t>
  </si>
  <si>
    <t>Reference</t>
  </si>
  <si>
    <t>Project Name</t>
  </si>
  <si>
    <t xml:space="preserve">Project </t>
  </si>
  <si>
    <t>Trx Source</t>
  </si>
  <si>
    <t>Trx Class</t>
  </si>
  <si>
    <t>Trx Type</t>
  </si>
  <si>
    <t>Line Description</t>
  </si>
  <si>
    <t>GL Account</t>
  </si>
  <si>
    <t>Account</t>
  </si>
  <si>
    <t>Account Desc</t>
  </si>
  <si>
    <t>Invoice Currency</t>
  </si>
  <si>
    <t>Dist. Amount in Invoice Currency</t>
  </si>
  <si>
    <t>Dist. Amount in AED</t>
  </si>
  <si>
    <t>Trx Date</t>
  </si>
  <si>
    <t>GL Date</t>
  </si>
  <si>
    <t>Year</t>
  </si>
  <si>
    <t>Trx Amount in Invoice Currency</t>
  </si>
  <si>
    <t>Balance Due in Invoice Currency</t>
  </si>
  <si>
    <t>Balance Due in AED</t>
  </si>
  <si>
    <t>Created By</t>
  </si>
  <si>
    <t>Abu Dhabi Health Services Co</t>
  </si>
  <si>
    <t>847-G5017</t>
  </si>
  <si>
    <t>UAE16900701</t>
  </si>
  <si>
    <t>‭101000860‬</t>
  </si>
  <si>
    <t>KUST Manual - New</t>
  </si>
  <si>
    <t>INV</t>
  </si>
  <si>
    <t>KUST Invoices</t>
  </si>
  <si>
    <t>Professional Training Cost for the 1st &amp; 2nd Quarters of 2021 as per the operating agreement among Khalifa University, SEHA, and SSMC dated 1-Jan-2021--</t>
  </si>
  <si>
    <t>847.8471305.1.367330.000000.847000.000000</t>
  </si>
  <si>
    <t>Training - General</t>
  </si>
  <si>
    <t>AED</t>
  </si>
  <si>
    <t>Connie Estrada De Guzman</t>
  </si>
  <si>
    <t>‭101000944‬</t>
  </si>
  <si>
    <t>Professional Training Cost for the 3st &amp; 4nd Quarters of 2021 as per the operating agreement among Khalifa University, SEHA, and SSMC dated--</t>
  </si>
  <si>
    <t>847.8471210.1.367330.000000.847001.000000</t>
  </si>
  <si>
    <t>Abdulla Al Awadhi</t>
  </si>
  <si>
    <t>Abu Dhabi Investment Authority</t>
  </si>
  <si>
    <t>847-G6002</t>
  </si>
  <si>
    <t>UAE17406733</t>
  </si>
  <si>
    <t>‭101000890‬</t>
  </si>
  <si>
    <t>Bridge Program Course: Python Foundation for Computational Data Science--</t>
  </si>
  <si>
    <t>USD</t>
  </si>
  <si>
    <t>Bridge Program Course: Mathematical Foundations for Computational Data Science June-July 2021--As per agreement dated 12 Sep 2021, ADIA Ref. No.: HR/CONT/KG/0400/21, PO Reference: 68929</t>
  </si>
  <si>
    <t>Abu Dhabi National Oil Company</t>
  </si>
  <si>
    <t>KUX-100035769</t>
  </si>
  <si>
    <t>P.O. Box : 898</t>
  </si>
  <si>
    <t>‭101000835‬</t>
  </si>
  <si>
    <t>FEES FOR ROYA PROGRAM PACK REF NO: KU/SVP/2021/048--</t>
  </si>
  <si>
    <t>Badrya Humaid Ali Al Ali</t>
  </si>
  <si>
    <t>National Emergency Crisis and Disasters Management</t>
  </si>
  <si>
    <t>847-G5022</t>
  </si>
  <si>
    <t>UAE17588784</t>
  </si>
  <si>
    <t>‭101000951‬</t>
  </si>
  <si>
    <t>Fees on Training Course : Introduction to Statistics and Graphical Report (Arabic), conducted on Nov 7-11, 2021-In reference to your letter : NCEMA -SSD/2021/874-</t>
  </si>
  <si>
    <t>Receipt Number</t>
  </si>
  <si>
    <t>Paid By</t>
  </si>
  <si>
    <t>Receipt Document Number</t>
  </si>
  <si>
    <t>Deposit Number</t>
  </si>
  <si>
    <t>Receipt Method</t>
  </si>
  <si>
    <t>Receipt Date</t>
  </si>
  <si>
    <t>Applied GL Date</t>
  </si>
  <si>
    <t>Applied Date</t>
  </si>
  <si>
    <t>Creation Date</t>
  </si>
  <si>
    <t>Receipt Type</t>
  </si>
  <si>
    <t>Receipt Status</t>
  </si>
  <si>
    <t>Remittance Date</t>
  </si>
  <si>
    <t>Cleared Date</t>
  </si>
  <si>
    <t>Transaction Number</t>
  </si>
  <si>
    <t>Transaction Type</t>
  </si>
  <si>
    <t>Transaction Date</t>
  </si>
  <si>
    <t>Transaction GL Date</t>
  </si>
  <si>
    <t>Document Number</t>
  </si>
  <si>
    <t>Reference Number</t>
  </si>
  <si>
    <t>Amount Applied</t>
  </si>
  <si>
    <t>Applied To</t>
  </si>
  <si>
    <t>Balance Due</t>
  </si>
  <si>
    <t>Revenue</t>
  </si>
  <si>
    <t>Receivable</t>
  </si>
  <si>
    <t>Activity Name</t>
  </si>
  <si>
    <t>Activity Combination</t>
  </si>
  <si>
    <t>Description</t>
  </si>
  <si>
    <t>Amount</t>
  </si>
  <si>
    <t>KUST-2587</t>
  </si>
  <si>
    <t>1G21287772291930</t>
  </si>
  <si>
    <t>KUST FAB Online Transfer</t>
  </si>
  <si>
    <t>Standard</t>
  </si>
  <si>
    <t>CLEARED</t>
  </si>
  <si>
    <t>847.8470001.1.120140.000000.847000.000000</t>
  </si>
  <si>
    <t>=====#####=====</t>
  </si>
  <si>
    <t>KUST-2605</t>
  </si>
  <si>
    <t>1G21308056779650</t>
  </si>
  <si>
    <t>KUST-2642</t>
  </si>
  <si>
    <t>KUST-2682</t>
  </si>
  <si>
    <t>Abu Dhabi Company For Onshore Petroleum Operations Ltd.</t>
  </si>
  <si>
    <t>KUX-843400062</t>
  </si>
  <si>
    <t>Abu Dhabi</t>
  </si>
  <si>
    <t>FT21354DD5TD</t>
  </si>
  <si>
    <t>Total</t>
  </si>
  <si>
    <t>Receipt Currency</t>
  </si>
  <si>
    <t>Receipt Amount in Receipt Currency</t>
  </si>
  <si>
    <t>Receipt Amount in AED</t>
  </si>
  <si>
    <t>Amount Applied in AED</t>
  </si>
  <si>
    <t>Percent</t>
  </si>
  <si>
    <t>‭101000285‬</t>
  </si>
  <si>
    <t>‭101000284‬</t>
  </si>
  <si>
    <t>‭101000283‬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</si>
</sst>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0" fillId="4" borderId="2" xfId="0" applyFill="1" applyBorder="1" applyAlignment="1">
      <alignment vertical="top"/>
    </xf>
    <xf numFmtId="4" fontId="4" fillId="4" borderId="2" xfId="0" applyNumberFormat="1" applyFont="1" applyFill="1" applyBorder="1" applyAlignment="1">
      <alignment vertical="top"/>
    </xf>
    <xf numFmtId="15" fontId="4" fillId="4" borderId="2" xfId="0" applyNumberFormat="1" applyFont="1" applyFill="1" applyBorder="1" applyAlignment="1">
      <alignment vertical="top"/>
    </xf>
    <xf numFmtId="0" fontId="4" fillId="4" borderId="2" xfId="1" applyNumberFormat="1" applyFont="1" applyFill="1" applyBorder="1" applyAlignment="1">
      <alignment vertical="top"/>
    </xf>
    <xf numFmtId="0" fontId="4" fillId="3" borderId="2" xfId="0" applyFont="1" applyFill="1" applyBorder="1" applyAlignment="1">
      <alignment vertical="top"/>
    </xf>
    <xf numFmtId="0" fontId="3" fillId="2" borderId="2" xfId="0" applyFont="1" applyFill="1" applyBorder="1" applyAlignment="1">
      <alignment horizontal="center"/>
    </xf>
    <xf numFmtId="4" fontId="0" fillId="0" borderId="0" xfId="0" applyNumberFormat="1"/>
    <xf numFmtId="4" fontId="2" fillId="0" borderId="0" xfId="0" applyNumberFormat="1" applyFont="1"/>
    <xf numFmtId="0" fontId="4" fillId="4" borderId="0" xfId="0" applyFont="1" applyFill="1" applyBorder="1" applyAlignment="1">
      <alignment vertical="top"/>
    </xf>
    <xf numFmtId="0" fontId="3" fillId="2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vertical="top"/>
    </xf>
    <xf numFmtId="15" fontId="4" fillId="4" borderId="3" xfId="0" applyNumberFormat="1" applyFont="1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workbookViewId="0">
      <selection activeCell="B8" sqref="B8"/>
    </sheetView>
  </sheetViews>
  <sheetFormatPr defaultRowHeight="15" x14ac:dyDescent="0.25"/>
  <cols>
    <col min="1" max="1" width="49.42578125" bestFit="1" customWidth="1"/>
    <col min="2" max="2" width="17.5703125" bestFit="1" customWidth="1"/>
    <col min="3" max="3" width="12.85546875" bestFit="1" customWidth="1"/>
    <col min="4" max="4" width="15.28515625" bestFit="1" customWidth="1"/>
    <col min="5" max="5" width="18.140625" bestFit="1" customWidth="1"/>
    <col min="6" max="6" width="13.85546875" bestFit="1" customWidth="1"/>
    <col min="7" max="7" width="10.140625" bestFit="1" customWidth="1"/>
    <col min="8" max="8" width="13.140625" bestFit="1" customWidth="1"/>
    <col min="9" max="9" width="7.7109375" bestFit="1" customWidth="1"/>
    <col min="10" max="10" width="18.42578125" bestFit="1" customWidth="1"/>
    <col min="11" max="11" width="8.5703125" bestFit="1" customWidth="1"/>
    <col min="12" max="12" width="13.28515625" bestFit="1" customWidth="1"/>
    <col min="13" max="13" width="178.42578125" bestFit="1" customWidth="1"/>
    <col min="14" max="14" width="40.42578125" bestFit="1" customWidth="1"/>
    <col min="15" max="15" width="8.140625" bestFit="1" customWidth="1"/>
    <col min="16" max="16" width="16.85546875" bestFit="1" customWidth="1"/>
    <col min="17" max="17" width="15.85546875" bestFit="1" customWidth="1"/>
    <col min="18" max="18" width="30.5703125" bestFit="1" customWidth="1"/>
    <col min="19" max="19" width="19" bestFit="1" customWidth="1"/>
    <col min="20" max="21" width="10" bestFit="1" customWidth="1"/>
    <col min="22" max="22" width="5" bestFit="1" customWidth="1"/>
    <col min="23" max="23" width="29.140625" bestFit="1" customWidth="1"/>
    <col min="24" max="24" width="29.85546875" bestFit="1" customWidth="1"/>
    <col min="25" max="25" width="18.28515625" bestFit="1" customWidth="1"/>
    <col min="26" max="26" width="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1" t="s">
        <v>25</v>
      </c>
    </row>
    <row r="2" spans="1:26" x14ac:dyDescent="0.25">
      <c r="A2" s="3" t="s">
        <v>26</v>
      </c>
      <c r="B2" s="3" t="s">
        <v>27</v>
      </c>
      <c r="C2" s="3" t="s">
        <v>28</v>
      </c>
      <c r="D2" s="3" t="s">
        <v>29</v>
      </c>
      <c r="E2" s="3"/>
      <c r="F2" s="3">
        <v>101000860</v>
      </c>
      <c r="G2" s="4"/>
      <c r="H2" s="4"/>
      <c r="I2" s="4"/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>
        <v>367330</v>
      </c>
      <c r="P2" s="3" t="s">
        <v>35</v>
      </c>
      <c r="Q2" s="3" t="s">
        <v>36</v>
      </c>
      <c r="R2" s="5">
        <v>2208000</v>
      </c>
      <c r="S2" s="5">
        <v>2208000</v>
      </c>
      <c r="T2" s="6">
        <v>44444</v>
      </c>
      <c r="U2" s="6">
        <v>44444</v>
      </c>
      <c r="V2" s="7">
        <v>2021</v>
      </c>
      <c r="W2" s="5">
        <v>2318400</v>
      </c>
      <c r="X2" s="3">
        <v>0</v>
      </c>
      <c r="Y2" s="8">
        <v>0</v>
      </c>
      <c r="Z2" s="3" t="s">
        <v>37</v>
      </c>
    </row>
    <row r="3" spans="1:26" x14ac:dyDescent="0.25">
      <c r="A3" s="3" t="s">
        <v>26</v>
      </c>
      <c r="B3" s="3" t="s">
        <v>27</v>
      </c>
      <c r="C3" s="3" t="s">
        <v>28</v>
      </c>
      <c r="D3" s="3" t="s">
        <v>38</v>
      </c>
      <c r="E3" s="3"/>
      <c r="F3" s="3">
        <v>101000944</v>
      </c>
      <c r="G3" s="4"/>
      <c r="H3" s="4"/>
      <c r="I3" s="4"/>
      <c r="J3" s="3" t="s">
        <v>30</v>
      </c>
      <c r="K3" s="3" t="s">
        <v>31</v>
      </c>
      <c r="L3" s="3" t="s">
        <v>32</v>
      </c>
      <c r="M3" s="3" t="s">
        <v>39</v>
      </c>
      <c r="N3" s="3" t="s">
        <v>40</v>
      </c>
      <c r="O3" s="3">
        <v>367330</v>
      </c>
      <c r="P3" s="3" t="s">
        <v>35</v>
      </c>
      <c r="Q3" s="3" t="s">
        <v>36</v>
      </c>
      <c r="R3" s="5">
        <v>2043000</v>
      </c>
      <c r="S3" s="5">
        <v>2043000</v>
      </c>
      <c r="T3" s="6">
        <v>44525</v>
      </c>
      <c r="U3" s="6">
        <v>44525</v>
      </c>
      <c r="V3" s="7">
        <v>2021</v>
      </c>
      <c r="W3" s="5">
        <v>2145150</v>
      </c>
      <c r="X3" s="3">
        <v>0</v>
      </c>
      <c r="Y3" s="8">
        <v>0</v>
      </c>
      <c r="Z3" s="3" t="s">
        <v>41</v>
      </c>
    </row>
    <row r="4" spans="1:26" x14ac:dyDescent="0.25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>
        <v>101000890</v>
      </c>
      <c r="G4" s="4"/>
      <c r="H4" s="4"/>
      <c r="I4" s="4"/>
      <c r="J4" s="3" t="s">
        <v>30</v>
      </c>
      <c r="K4" s="3" t="s">
        <v>31</v>
      </c>
      <c r="L4" s="3" t="s">
        <v>32</v>
      </c>
      <c r="M4" s="3" t="s">
        <v>46</v>
      </c>
      <c r="N4" s="3" t="s">
        <v>40</v>
      </c>
      <c r="O4" s="3">
        <v>367330</v>
      </c>
      <c r="P4" s="3" t="s">
        <v>35</v>
      </c>
      <c r="Q4" s="3" t="s">
        <v>47</v>
      </c>
      <c r="R4" s="5">
        <v>40500</v>
      </c>
      <c r="S4" s="5">
        <v>148736.25</v>
      </c>
      <c r="T4" s="6">
        <v>44466</v>
      </c>
      <c r="U4" s="6">
        <v>44466</v>
      </c>
      <c r="V4" s="7">
        <v>2021</v>
      </c>
      <c r="W4" s="5">
        <v>70875</v>
      </c>
      <c r="X4" s="3">
        <v>0</v>
      </c>
      <c r="Y4" s="8">
        <v>0</v>
      </c>
      <c r="Z4" s="3" t="s">
        <v>37</v>
      </c>
    </row>
    <row r="5" spans="1:26" x14ac:dyDescent="0.25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>
        <v>101000890</v>
      </c>
      <c r="G5" s="4"/>
      <c r="H5" s="4"/>
      <c r="I5" s="4"/>
      <c r="J5" s="3" t="s">
        <v>30</v>
      </c>
      <c r="K5" s="3" t="s">
        <v>31</v>
      </c>
      <c r="L5" s="3" t="s">
        <v>32</v>
      </c>
      <c r="M5" s="3" t="s">
        <v>48</v>
      </c>
      <c r="N5" s="3" t="s">
        <v>40</v>
      </c>
      <c r="O5" s="3">
        <v>367330</v>
      </c>
      <c r="P5" s="3" t="s">
        <v>35</v>
      </c>
      <c r="Q5" s="3" t="s">
        <v>47</v>
      </c>
      <c r="R5" s="5">
        <v>27000</v>
      </c>
      <c r="S5" s="5">
        <v>99157.5</v>
      </c>
      <c r="T5" s="6">
        <v>44466</v>
      </c>
      <c r="U5" s="6">
        <v>44466</v>
      </c>
      <c r="V5" s="7">
        <v>2021</v>
      </c>
      <c r="W5" s="5">
        <v>70875</v>
      </c>
      <c r="X5" s="3">
        <v>0</v>
      </c>
      <c r="Y5" s="8">
        <v>0</v>
      </c>
      <c r="Z5" s="3" t="s">
        <v>37</v>
      </c>
    </row>
    <row r="6" spans="1:26" x14ac:dyDescent="0.25">
      <c r="A6" s="3" t="s">
        <v>49</v>
      </c>
      <c r="B6" s="3" t="s">
        <v>50</v>
      </c>
      <c r="C6" s="3" t="s">
        <v>51</v>
      </c>
      <c r="D6" s="3" t="s">
        <v>52</v>
      </c>
      <c r="E6" s="3"/>
      <c r="F6" s="3">
        <v>101000835</v>
      </c>
      <c r="G6" s="4"/>
      <c r="H6" s="4"/>
      <c r="I6" s="4"/>
      <c r="J6" s="3" t="s">
        <v>30</v>
      </c>
      <c r="K6" s="3" t="s">
        <v>31</v>
      </c>
      <c r="L6" s="3" t="s">
        <v>32</v>
      </c>
      <c r="M6" s="3" t="s">
        <v>53</v>
      </c>
      <c r="N6" s="3" t="s">
        <v>40</v>
      </c>
      <c r="O6" s="3">
        <v>367330</v>
      </c>
      <c r="P6" s="3" t="s">
        <v>35</v>
      </c>
      <c r="Q6" s="3" t="s">
        <v>36</v>
      </c>
      <c r="R6" s="5">
        <v>70000</v>
      </c>
      <c r="S6" s="5">
        <v>70000</v>
      </c>
      <c r="T6" s="6">
        <v>44412</v>
      </c>
      <c r="U6" s="6">
        <v>44412</v>
      </c>
      <c r="V6" s="7">
        <v>2021</v>
      </c>
      <c r="W6" s="5">
        <v>73500</v>
      </c>
      <c r="X6" s="3">
        <v>0</v>
      </c>
      <c r="Y6" s="8">
        <v>0</v>
      </c>
      <c r="Z6" s="3" t="s">
        <v>54</v>
      </c>
    </row>
    <row r="7" spans="1:26" x14ac:dyDescent="0.25">
      <c r="A7" s="3" t="s">
        <v>55</v>
      </c>
      <c r="B7" s="3" t="s">
        <v>56</v>
      </c>
      <c r="C7" s="3" t="s">
        <v>57</v>
      </c>
      <c r="D7" s="3" t="s">
        <v>58</v>
      </c>
      <c r="E7" s="3"/>
      <c r="F7" s="3">
        <v>101000951</v>
      </c>
      <c r="G7" s="4"/>
      <c r="H7" s="4"/>
      <c r="I7" s="4"/>
      <c r="J7" s="3" t="s">
        <v>30</v>
      </c>
      <c r="K7" s="3" t="s">
        <v>31</v>
      </c>
      <c r="L7" s="3" t="s">
        <v>32</v>
      </c>
      <c r="M7" s="3" t="s">
        <v>59</v>
      </c>
      <c r="N7" s="3" t="s">
        <v>40</v>
      </c>
      <c r="O7" s="3">
        <v>367330</v>
      </c>
      <c r="P7" s="3" t="s">
        <v>35</v>
      </c>
      <c r="Q7" s="3" t="s">
        <v>36</v>
      </c>
      <c r="R7" s="5">
        <v>62428.57</v>
      </c>
      <c r="S7" s="5">
        <v>62428.57</v>
      </c>
      <c r="T7" s="6">
        <v>44530</v>
      </c>
      <c r="U7" s="6">
        <v>44530</v>
      </c>
      <c r="V7" s="7">
        <v>2021</v>
      </c>
      <c r="W7" s="5">
        <v>65550</v>
      </c>
      <c r="X7" s="3">
        <v>0</v>
      </c>
      <c r="Y7" s="8">
        <v>0</v>
      </c>
      <c r="Z7" s="3" t="s">
        <v>37</v>
      </c>
    </row>
    <row r="9" spans="1:26" x14ac:dyDescent="0.25">
      <c r="R9" t="s">
        <v>103</v>
      </c>
      <c r="S9" s="10">
        <f>SUM(S2:S8)</f>
        <v>4631322.32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"/>
  <sheetViews>
    <sheetView tabSelected="1" topLeftCell="T1" workbookViewId="0">
      <selection activeCell="AF25" sqref="AF25"/>
    </sheetView>
  </sheetViews>
  <sheetFormatPr defaultRowHeight="15" x14ac:dyDescent="0.25"/>
  <cols>
    <col min="1" max="1" width="55.5703125" bestFit="1" customWidth="1"/>
    <col min="2" max="2" width="17.5703125" bestFit="1" customWidth="1"/>
    <col min="3" max="3" width="12.85546875" bestFit="1" customWidth="1"/>
    <col min="4" max="4" width="15.5703125" bestFit="1" customWidth="1"/>
    <col min="5" max="5" width="7.42578125" bestFit="1" customWidth="1"/>
    <col min="6" max="6" width="25.5703125" bestFit="1" customWidth="1"/>
    <col min="7" max="7" width="17.5703125" bestFit="1" customWidth="1"/>
    <col min="8" max="8" width="23.85546875" bestFit="1" customWidth="1"/>
    <col min="9" max="9" width="12.28515625" bestFit="1" customWidth="1"/>
    <col min="10" max="10" width="10" bestFit="1" customWidth="1"/>
    <col min="11" max="11" width="15.42578125" bestFit="1" customWidth="1"/>
    <col min="12" max="12" width="12.5703125" bestFit="1" customWidth="1"/>
    <col min="13" max="13" width="13.28515625" bestFit="1" customWidth="1"/>
    <col min="14" max="14" width="12.42578125" bestFit="1" customWidth="1"/>
    <col min="15" max="15" width="13.7109375" bestFit="1" customWidth="1"/>
    <col min="16" max="16" width="16.140625" bestFit="1" customWidth="1"/>
    <col min="17" max="17" width="33.5703125" bestFit="1" customWidth="1"/>
    <col min="18" max="18" width="21.85546875" bestFit="1" customWidth="1"/>
    <col min="19" max="19" width="15.85546875" bestFit="1" customWidth="1"/>
    <col min="20" max="20" width="12.42578125" bestFit="1" customWidth="1"/>
    <col min="21" max="21" width="19.140625" bestFit="1" customWidth="1"/>
    <col min="22" max="22" width="16" bestFit="1" customWidth="1"/>
    <col min="23" max="23" width="15.85546875" bestFit="1" customWidth="1"/>
    <col min="24" max="24" width="18.7109375" bestFit="1" customWidth="1"/>
    <col min="25" max="26" width="18.140625" bestFit="1" customWidth="1"/>
    <col min="27" max="27" width="15.7109375" bestFit="1" customWidth="1"/>
    <col min="28" max="28" width="22.140625" bestFit="1" customWidth="1"/>
    <col min="29" max="29" width="10.5703125" bestFit="1" customWidth="1"/>
    <col min="30" max="30" width="11.85546875" bestFit="1" customWidth="1"/>
    <col min="31" max="32" width="40.42578125" bestFit="1" customWidth="1"/>
    <col min="33" max="33" width="13.5703125" bestFit="1" customWidth="1"/>
    <col min="34" max="34" width="19.85546875" bestFit="1" customWidth="1"/>
    <col min="35" max="35" width="16.140625" bestFit="1" customWidth="1"/>
    <col min="36" max="37" width="8.140625" bestFit="1" customWidth="1"/>
    <col min="38" max="38" width="7.85546875" bestFit="1" customWidth="1"/>
  </cols>
  <sheetData>
    <row r="1" spans="1:38" x14ac:dyDescent="0.25">
      <c r="A1" s="9" t="s">
        <v>0</v>
      </c>
      <c r="B1" s="9" t="s">
        <v>1</v>
      </c>
      <c r="C1" s="9" t="s">
        <v>2</v>
      </c>
      <c r="D1" s="9" t="s">
        <v>60</v>
      </c>
      <c r="E1" s="9" t="s">
        <v>61</v>
      </c>
      <c r="F1" s="9" t="s">
        <v>62</v>
      </c>
      <c r="G1" s="9" t="s">
        <v>63</v>
      </c>
      <c r="H1" s="9" t="s">
        <v>64</v>
      </c>
      <c r="I1" s="9" t="s">
        <v>65</v>
      </c>
      <c r="J1" s="9" t="s">
        <v>20</v>
      </c>
      <c r="K1" s="9" t="s">
        <v>66</v>
      </c>
      <c r="L1" s="9" t="s">
        <v>67</v>
      </c>
      <c r="M1" s="13" t="s">
        <v>68</v>
      </c>
      <c r="N1" s="9" t="s">
        <v>69</v>
      </c>
      <c r="O1" s="9" t="s">
        <v>70</v>
      </c>
      <c r="P1" s="9" t="s">
        <v>104</v>
      </c>
      <c r="Q1" s="9" t="s">
        <v>105</v>
      </c>
      <c r="R1" s="9" t="s">
        <v>106</v>
      </c>
      <c r="S1" s="9" t="s">
        <v>71</v>
      </c>
      <c r="T1" s="9" t="s">
        <v>72</v>
      </c>
      <c r="U1" s="13" t="s">
        <v>73</v>
      </c>
      <c r="V1" s="9" t="s">
        <v>74</v>
      </c>
      <c r="W1" s="9" t="s">
        <v>75</v>
      </c>
      <c r="X1" s="9" t="s">
        <v>76</v>
      </c>
      <c r="Y1" s="13" t="s">
        <v>77</v>
      </c>
      <c r="Z1" s="9" t="s">
        <v>78</v>
      </c>
      <c r="AA1" s="9" t="s">
        <v>79</v>
      </c>
      <c r="AB1" s="9" t="s">
        <v>107</v>
      </c>
      <c r="AC1" s="9" t="s">
        <v>80</v>
      </c>
      <c r="AD1" s="9" t="s">
        <v>81</v>
      </c>
      <c r="AE1" s="9" t="s">
        <v>82</v>
      </c>
      <c r="AF1" s="9" t="s">
        <v>83</v>
      </c>
      <c r="AG1" s="9" t="s">
        <v>84</v>
      </c>
      <c r="AH1" s="9" t="s">
        <v>85</v>
      </c>
      <c r="AI1" s="9" t="s">
        <v>86</v>
      </c>
      <c r="AJ1" s="9" t="s">
        <v>14</v>
      </c>
      <c r="AK1" s="9" t="s">
        <v>87</v>
      </c>
      <c r="AL1" s="9" t="s">
        <v>108</v>
      </c>
    </row>
    <row r="2" spans="1:38" x14ac:dyDescent="0.25">
      <c r="A2" s="3" t="s">
        <v>49</v>
      </c>
      <c r="B2" s="3" t="s">
        <v>50</v>
      </c>
      <c r="C2" s="3" t="s">
        <v>51</v>
      </c>
      <c r="D2" s="3" t="s">
        <v>88</v>
      </c>
      <c r="E2" s="4"/>
      <c r="F2" s="3">
        <v>2587</v>
      </c>
      <c r="G2" s="3" t="s">
        <v>89</v>
      </c>
      <c r="H2" s="3" t="s">
        <v>90</v>
      </c>
      <c r="I2" s="6">
        <v>44483</v>
      </c>
      <c r="J2" s="6">
        <v>44483</v>
      </c>
      <c r="K2" s="6">
        <v>44483</v>
      </c>
      <c r="L2" s="6">
        <v>44483</v>
      </c>
      <c r="M2" s="15">
        <v>44483</v>
      </c>
      <c r="N2" s="3" t="s">
        <v>91</v>
      </c>
      <c r="O2" s="3" t="s">
        <v>92</v>
      </c>
      <c r="P2" s="3" t="s">
        <v>36</v>
      </c>
      <c r="Q2" s="5">
        <v>73500</v>
      </c>
      <c r="R2" s="5">
        <v>73500</v>
      </c>
      <c r="S2" s="6">
        <v>44483</v>
      </c>
      <c r="T2" s="6">
        <v>44483</v>
      </c>
      <c r="U2" s="14" t="s">
        <v>52</v>
      </c>
      <c r="V2" s="3" t="s">
        <v>32</v>
      </c>
      <c r="W2" s="6">
        <v>44412</v>
      </c>
      <c r="X2" s="6">
        <v>44412</v>
      </c>
      <c r="Y2" s="14">
        <v>101000835</v>
      </c>
      <c r="Z2" s="4"/>
      <c r="AA2" s="5">
        <v>73500</v>
      </c>
      <c r="AB2" s="5">
        <v>73500</v>
      </c>
      <c r="AC2" s="3" t="s">
        <v>52</v>
      </c>
      <c r="AD2" s="3">
        <v>0</v>
      </c>
      <c r="AE2" s="3" t="s">
        <v>40</v>
      </c>
      <c r="AF2" s="3" t="s">
        <v>93</v>
      </c>
      <c r="AG2" s="4"/>
      <c r="AH2" s="4"/>
      <c r="AI2" s="3" t="s">
        <v>94</v>
      </c>
      <c r="AJ2" s="4"/>
      <c r="AK2" s="3"/>
      <c r="AL2" s="4"/>
    </row>
    <row r="3" spans="1:38" x14ac:dyDescent="0.25">
      <c r="A3" s="3" t="s">
        <v>26</v>
      </c>
      <c r="B3" s="3" t="s">
        <v>27</v>
      </c>
      <c r="C3" s="3" t="s">
        <v>28</v>
      </c>
      <c r="D3" s="3" t="s">
        <v>95</v>
      </c>
      <c r="E3" s="4"/>
      <c r="F3" s="3">
        <v>2605</v>
      </c>
      <c r="G3" s="3" t="s">
        <v>96</v>
      </c>
      <c r="H3" s="3" t="s">
        <v>90</v>
      </c>
      <c r="I3" s="6">
        <v>44504</v>
      </c>
      <c r="J3" s="6">
        <v>44504</v>
      </c>
      <c r="K3" s="6">
        <v>44504</v>
      </c>
      <c r="L3" s="6">
        <v>44504</v>
      </c>
      <c r="M3" s="15">
        <v>44504</v>
      </c>
      <c r="N3" s="3" t="s">
        <v>91</v>
      </c>
      <c r="O3" s="3" t="s">
        <v>92</v>
      </c>
      <c r="P3" s="3" t="s">
        <v>36</v>
      </c>
      <c r="Q3" s="5">
        <v>2318400</v>
      </c>
      <c r="R3" s="5">
        <v>2318400</v>
      </c>
      <c r="S3" s="6">
        <v>44504</v>
      </c>
      <c r="T3" s="6">
        <v>44504</v>
      </c>
      <c r="U3" s="14" t="s">
        <v>29</v>
      </c>
      <c r="V3" s="3" t="s">
        <v>32</v>
      </c>
      <c r="W3" s="6">
        <v>44444</v>
      </c>
      <c r="X3" s="6">
        <v>44444</v>
      </c>
      <c r="Y3" s="14">
        <v>101000860</v>
      </c>
      <c r="Z3" s="4"/>
      <c r="AA3" s="5">
        <v>2318400</v>
      </c>
      <c r="AB3" s="5">
        <v>2318400</v>
      </c>
      <c r="AC3" s="3" t="s">
        <v>29</v>
      </c>
      <c r="AD3" s="3">
        <v>0</v>
      </c>
      <c r="AE3" s="3" t="s">
        <v>34</v>
      </c>
      <c r="AF3" s="3" t="s">
        <v>93</v>
      </c>
      <c r="AG3" s="4"/>
      <c r="AH3" s="4"/>
      <c r="AI3" s="3" t="s">
        <v>94</v>
      </c>
      <c r="AJ3" s="4"/>
      <c r="AK3" s="3"/>
      <c r="AL3" s="4"/>
    </row>
    <row r="4" spans="1:38" x14ac:dyDescent="0.25">
      <c r="A4" s="3" t="s">
        <v>42</v>
      </c>
      <c r="B4" s="3" t="s">
        <v>43</v>
      </c>
      <c r="C4" s="3" t="s">
        <v>44</v>
      </c>
      <c r="D4" s="3" t="s">
        <v>97</v>
      </c>
      <c r="E4" s="4"/>
      <c r="F4" s="3">
        <v>2642</v>
      </c>
      <c r="G4" s="4"/>
      <c r="H4" s="3" t="s">
        <v>90</v>
      </c>
      <c r="I4" s="6">
        <v>44530</v>
      </c>
      <c r="J4" s="6">
        <v>44530</v>
      </c>
      <c r="K4" s="6">
        <v>44536</v>
      </c>
      <c r="L4" s="6">
        <v>44536</v>
      </c>
      <c r="M4" s="15">
        <v>44536</v>
      </c>
      <c r="N4" s="3" t="s">
        <v>91</v>
      </c>
      <c r="O4" s="3" t="s">
        <v>92</v>
      </c>
      <c r="P4" s="3" t="s">
        <v>47</v>
      </c>
      <c r="Q4" s="5">
        <v>70875</v>
      </c>
      <c r="R4" s="5">
        <v>260316.79</v>
      </c>
      <c r="S4" s="6">
        <v>44524</v>
      </c>
      <c r="T4" s="6">
        <v>44530</v>
      </c>
      <c r="U4" s="14" t="s">
        <v>45</v>
      </c>
      <c r="V4" s="3" t="s">
        <v>32</v>
      </c>
      <c r="W4" s="6">
        <v>44466</v>
      </c>
      <c r="X4" s="6">
        <v>44466</v>
      </c>
      <c r="Y4" s="14">
        <v>101000890</v>
      </c>
      <c r="Z4" s="4"/>
      <c r="AA4" s="5">
        <v>70875</v>
      </c>
      <c r="AB4" s="5">
        <v>260316.79</v>
      </c>
      <c r="AC4" s="3" t="s">
        <v>45</v>
      </c>
      <c r="AD4" s="3">
        <v>0</v>
      </c>
      <c r="AE4" s="3" t="s">
        <v>40</v>
      </c>
      <c r="AF4" s="3" t="s">
        <v>93</v>
      </c>
      <c r="AG4" s="4"/>
      <c r="AH4" s="4"/>
      <c r="AI4" s="3" t="s">
        <v>94</v>
      </c>
      <c r="AJ4" s="4"/>
      <c r="AK4" s="3"/>
      <c r="AL4" s="4"/>
    </row>
    <row r="5" spans="1:38" x14ac:dyDescent="0.25">
      <c r="A5" s="3" t="s">
        <v>99</v>
      </c>
      <c r="B5" s="3" t="s">
        <v>100</v>
      </c>
      <c r="C5" s="3" t="s">
        <v>101</v>
      </c>
      <c r="D5" s="3" t="s">
        <v>98</v>
      </c>
      <c r="E5" s="4"/>
      <c r="F5" s="3">
        <v>2682</v>
      </c>
      <c r="G5" s="3" t="s">
        <v>102</v>
      </c>
      <c r="H5" s="3" t="s">
        <v>90</v>
      </c>
      <c r="I5" s="6">
        <v>44551</v>
      </c>
      <c r="J5" s="6">
        <v>44551</v>
      </c>
      <c r="K5" s="6">
        <v>44551</v>
      </c>
      <c r="L5" s="6">
        <v>44551</v>
      </c>
      <c r="M5" s="15">
        <v>44551</v>
      </c>
      <c r="N5" s="3" t="s">
        <v>91</v>
      </c>
      <c r="O5" s="3" t="s">
        <v>92</v>
      </c>
      <c r="P5" s="3" t="s">
        <v>47</v>
      </c>
      <c r="Q5" s="5">
        <v>39847.5</v>
      </c>
      <c r="R5" s="5">
        <v>146339.94</v>
      </c>
      <c r="S5" s="6">
        <v>44550</v>
      </c>
      <c r="T5" s="6">
        <v>44551</v>
      </c>
      <c r="U5" s="14" t="s">
        <v>109</v>
      </c>
      <c r="V5" s="3" t="s">
        <v>32</v>
      </c>
      <c r="W5" s="6">
        <v>43992</v>
      </c>
      <c r="X5" s="6">
        <v>43992</v>
      </c>
      <c r="Y5" s="14">
        <v>101000285</v>
      </c>
      <c r="Z5" s="4"/>
      <c r="AA5" s="5">
        <v>12705</v>
      </c>
      <c r="AB5" s="5">
        <v>46659.11</v>
      </c>
      <c r="AC5" s="3" t="s">
        <v>109</v>
      </c>
      <c r="AD5" s="3">
        <v>0</v>
      </c>
      <c r="AE5" s="3" t="s">
        <v>40</v>
      </c>
      <c r="AF5" s="3" t="s">
        <v>93</v>
      </c>
      <c r="AG5" s="4"/>
      <c r="AH5" s="4"/>
      <c r="AI5" s="3" t="s">
        <v>94</v>
      </c>
      <c r="AJ5" s="4"/>
      <c r="AK5" s="3"/>
      <c r="AL5" s="4"/>
    </row>
    <row r="6" spans="1:38" x14ac:dyDescent="0.25">
      <c r="A6" s="3" t="s">
        <v>99</v>
      </c>
      <c r="B6" s="3" t="s">
        <v>100</v>
      </c>
      <c r="C6" s="3" t="s">
        <v>101</v>
      </c>
      <c r="D6" s="3" t="s">
        <v>98</v>
      </c>
      <c r="E6" s="4"/>
      <c r="F6" s="3">
        <v>2682</v>
      </c>
      <c r="G6" s="3" t="s">
        <v>102</v>
      </c>
      <c r="H6" s="3" t="s">
        <v>90</v>
      </c>
      <c r="I6" s="6">
        <v>44551</v>
      </c>
      <c r="J6" s="6">
        <v>44551</v>
      </c>
      <c r="K6" s="6">
        <v>44551</v>
      </c>
      <c r="L6" s="6">
        <v>44551</v>
      </c>
      <c r="M6" s="15">
        <v>44551</v>
      </c>
      <c r="N6" s="3" t="s">
        <v>91</v>
      </c>
      <c r="O6" s="3" t="s">
        <v>92</v>
      </c>
      <c r="P6" s="3" t="s">
        <v>47</v>
      </c>
      <c r="Q6" s="5">
        <v>39847.5</v>
      </c>
      <c r="R6" s="5">
        <v>146339.94</v>
      </c>
      <c r="S6" s="6">
        <v>44550</v>
      </c>
      <c r="T6" s="6">
        <v>44551</v>
      </c>
      <c r="U6" s="14" t="s">
        <v>110</v>
      </c>
      <c r="V6" s="3" t="s">
        <v>32</v>
      </c>
      <c r="W6" s="6">
        <v>43992</v>
      </c>
      <c r="X6" s="6">
        <v>43992</v>
      </c>
      <c r="Y6" s="14">
        <v>101000284</v>
      </c>
      <c r="Z6" s="4"/>
      <c r="AA6" s="5">
        <v>12967.5</v>
      </c>
      <c r="AB6" s="5">
        <v>47623.14</v>
      </c>
      <c r="AC6" s="3" t="s">
        <v>110</v>
      </c>
      <c r="AD6" s="3">
        <v>0</v>
      </c>
      <c r="AE6" s="3" t="s">
        <v>40</v>
      </c>
      <c r="AF6" s="3" t="s">
        <v>93</v>
      </c>
      <c r="AG6" s="4"/>
      <c r="AH6" s="4"/>
      <c r="AI6" s="3" t="s">
        <v>94</v>
      </c>
      <c r="AJ6" s="4"/>
      <c r="AK6" s="3"/>
      <c r="AL6" s="4"/>
    </row>
    <row r="7" spans="1:38" x14ac:dyDescent="0.25">
      <c r="A7" s="3" t="s">
        <v>99</v>
      </c>
      <c r="B7" s="3" t="s">
        <v>100</v>
      </c>
      <c r="C7" s="3" t="s">
        <v>101</v>
      </c>
      <c r="D7" s="3" t="s">
        <v>98</v>
      </c>
      <c r="E7" s="4"/>
      <c r="F7" s="3">
        <v>2682</v>
      </c>
      <c r="G7" s="3" t="s">
        <v>102</v>
      </c>
      <c r="H7" s="3" t="s">
        <v>90</v>
      </c>
      <c r="I7" s="6">
        <v>44551</v>
      </c>
      <c r="J7" s="6">
        <v>44551</v>
      </c>
      <c r="K7" s="6">
        <v>44551</v>
      </c>
      <c r="L7" s="6">
        <v>44551</v>
      </c>
      <c r="M7" s="15">
        <v>44551</v>
      </c>
      <c r="N7" s="3" t="s">
        <v>91</v>
      </c>
      <c r="O7" s="3" t="s">
        <v>92</v>
      </c>
      <c r="P7" s="3" t="s">
        <v>47</v>
      </c>
      <c r="Q7" s="5">
        <v>39847.5</v>
      </c>
      <c r="R7" s="5">
        <v>146339.94</v>
      </c>
      <c r="S7" s="6">
        <v>44550</v>
      </c>
      <c r="T7" s="6">
        <v>44551</v>
      </c>
      <c r="U7" s="14" t="s">
        <v>111</v>
      </c>
      <c r="V7" s="3" t="s">
        <v>32</v>
      </c>
      <c r="W7" s="6">
        <v>43992</v>
      </c>
      <c r="X7" s="6">
        <v>43992</v>
      </c>
      <c r="Y7" s="14">
        <v>101000283</v>
      </c>
      <c r="Z7" s="4"/>
      <c r="AA7" s="5">
        <v>14175</v>
      </c>
      <c r="AB7" s="5">
        <v>52057.69</v>
      </c>
      <c r="AC7" s="3" t="s">
        <v>111</v>
      </c>
      <c r="AD7" s="3">
        <v>0</v>
      </c>
      <c r="AE7" s="3" t="s">
        <v>40</v>
      </c>
      <c r="AF7" s="3" t="s">
        <v>93</v>
      </c>
      <c r="AG7" s="4"/>
      <c r="AH7" s="4"/>
      <c r="AI7" s="3" t="s">
        <v>94</v>
      </c>
      <c r="AJ7" s="4"/>
      <c r="AK7" s="3"/>
      <c r="AL7" s="4"/>
    </row>
    <row r="9" spans="1:38" x14ac:dyDescent="0.25">
      <c r="A9" s="12" t="s">
        <v>103</v>
      </c>
      <c r="X9" s="11"/>
      <c r="AA9" t="s">
        <v>103</v>
      </c>
      <c r="AB9" s="11">
        <f>SUM(AB2:AB8)</f>
        <v>2798556.73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Receipts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 Abdulmanan Al Awar</dc:creator>
  <cp:lastModifiedBy>Musab Ali Daqa</cp:lastModifiedBy>
  <dcterms:created xsi:type="dcterms:W3CDTF">2023-07-27T03:27:42Z</dcterms:created>
  <dcterms:modified xsi:type="dcterms:W3CDTF">2023-10-19T09:16:55Z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