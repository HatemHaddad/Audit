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KUJ\General Ledger\External Audit\2021\Audit Requirements\"/>
    </mc:Choice>
  </mc:AlternateContent>
  <bookViews>
    <workbookView xWindow="0" yWindow="0" windowWidth="19200" windowHeight="7060"/>
  </bookViews>
  <sheets>
    <sheet name="KUJ TB-Dec21" sheetId="1" r:id="rId1"/>
  </sheets>
  <externalReferences>
    <externalReference r:id="rId2"/>
  </externalReferences>
  <definedNames>
    <definedName name="_xlnm._FilterDatabase" localSheetId="0" hidden="1">'KUJ TB-Dec21'!$A$4:$N$109</definedName>
    <definedName name="company">[1]Data!$B$2</definedName>
    <definedName name="emirates">[1]Data!$B$5</definedName>
    <definedName name="pobox">[1]Data!$B$4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 s="1"/>
  <c r="I5" i="1"/>
  <c r="I6" i="1"/>
  <c r="I10" i="1"/>
  <c r="I14" i="1"/>
  <c r="I15" i="1"/>
  <c r="I17" i="1"/>
  <c r="I25" i="1"/>
  <c r="I27" i="1"/>
  <c r="I35" i="1"/>
  <c r="I37" i="1"/>
  <c r="I38" i="1"/>
  <c r="I46" i="1"/>
  <c r="I47" i="1"/>
  <c r="I48" i="1"/>
  <c r="I49" i="1"/>
  <c r="I51" i="1"/>
  <c r="I53" i="1"/>
  <c r="I65" i="1"/>
  <c r="I68" i="1"/>
  <c r="I69" i="1"/>
  <c r="I70" i="1"/>
  <c r="I73" i="1"/>
  <c r="I76" i="1"/>
  <c r="I81" i="1"/>
  <c r="I83" i="1"/>
  <c r="I84" i="1"/>
  <c r="I85" i="1"/>
  <c r="I86" i="1"/>
  <c r="I88" i="1"/>
  <c r="I89" i="1"/>
  <c r="I90" i="1"/>
  <c r="I91" i="1"/>
  <c r="I93" i="1"/>
  <c r="I95" i="1"/>
  <c r="I98" i="1"/>
  <c r="I99" i="1"/>
  <c r="D109" i="1"/>
  <c r="I101" i="1"/>
  <c r="I103" i="1"/>
  <c r="I104" i="1"/>
  <c r="I107" i="1"/>
  <c r="H108" i="1"/>
  <c r="C109" i="1"/>
  <c r="K109" i="1"/>
</calcChain>
</file>

<file path=xl/sharedStrings.xml><?xml version="1.0" encoding="utf-8"?>
<sst xmlns="http://schemas.openxmlformats.org/spreadsheetml/2006/main" count="211" uniqueCount="127">
  <si>
    <t>Depreciation</t>
  </si>
  <si>
    <t>Grand Total</t>
  </si>
  <si>
    <t>FA exp closed to FA</t>
  </si>
  <si>
    <t>Copyrights, patents and licenses</t>
  </si>
  <si>
    <t>Furniture &amp; Fixtures - Offices</t>
  </si>
  <si>
    <t>Laboratory equipment</t>
  </si>
  <si>
    <t>Farming equipment &amp; machinery</t>
  </si>
  <si>
    <t>Capital expense - Buildings</t>
  </si>
  <si>
    <t>Computer software</t>
  </si>
  <si>
    <t>Furniture and fixtures</t>
  </si>
  <si>
    <t>Plant, machinery and equipment</t>
  </si>
  <si>
    <t>Buildings</t>
  </si>
  <si>
    <t>G &amp; A - Others</t>
  </si>
  <si>
    <t>Bad Debts - Other</t>
  </si>
  <si>
    <t>Stationery</t>
  </si>
  <si>
    <t>Printing supplies</t>
  </si>
  <si>
    <t>G &amp; A - Repairs &amp; Maintenance</t>
  </si>
  <si>
    <t>Furnishings</t>
  </si>
  <si>
    <t>G &amp; A Exp - General Service Exp</t>
  </si>
  <si>
    <t>Photography - Consumable materials /Tools</t>
  </si>
  <si>
    <t>Laboratory - Scientific</t>
  </si>
  <si>
    <t>Academic Publications</t>
  </si>
  <si>
    <t>Plant, machinery and heavy equipment, not mentioned elsewhere</t>
  </si>
  <si>
    <t>Bldg maintenance-Business premises</t>
  </si>
  <si>
    <t>Rental - Motor vehicles</t>
  </si>
  <si>
    <t>Other services, not specifically mentioned elsewhere</t>
  </si>
  <si>
    <t>Sponsorship expenses/contributions</t>
  </si>
  <si>
    <t>Health,safety&amp;environment awareness</t>
  </si>
  <si>
    <t>G &amp; A Exp - Travel &amp; Entertainment</t>
  </si>
  <si>
    <t>Business Travel - Combined expenses</t>
  </si>
  <si>
    <t>Telephone and telefax charges</t>
  </si>
  <si>
    <t>Scientific research</t>
  </si>
  <si>
    <t>Postal, courier and other document delivery expenses</t>
  </si>
  <si>
    <t>Computer software licenses</t>
  </si>
  <si>
    <t>Entertainment and hospitality</t>
  </si>
  <si>
    <t>Academic Missions - Combined expenses</t>
  </si>
  <si>
    <t>Student activities &amp; field trip expenses</t>
  </si>
  <si>
    <t>Conferences, seminars and exhibitions and other events: - Local Events</t>
  </si>
  <si>
    <t>G &amp; A Exp - Bank Charges</t>
  </si>
  <si>
    <t>Banking</t>
  </si>
  <si>
    <t>G &amp; A Exp - Marketing</t>
  </si>
  <si>
    <t>Advertising</t>
  </si>
  <si>
    <t>G &amp; A Exp - Professional Fees</t>
  </si>
  <si>
    <t>Management consultancy</t>
  </si>
  <si>
    <t>Legal services</t>
  </si>
  <si>
    <t>Academic Advisory Service</t>
  </si>
  <si>
    <t>External Audit service</t>
  </si>
  <si>
    <t>G &amp; A Exp - Staff Costs</t>
  </si>
  <si>
    <t>Medical insurance premium</t>
  </si>
  <si>
    <t>Employee travel costs - Fares</t>
  </si>
  <si>
    <t>Employee Training costs - Travel and Accommodation</t>
  </si>
  <si>
    <t>Relocation expenses</t>
  </si>
  <si>
    <t>UAE visa requirement costs</t>
  </si>
  <si>
    <t>Recruitment expenses</t>
  </si>
  <si>
    <t>Gratuity - Non-pensionable employees</t>
  </si>
  <si>
    <t>Temporary Staff Salary</t>
  </si>
  <si>
    <t>Rounding up cost of net pay</t>
  </si>
  <si>
    <t>Other allowances (miscellaneous)</t>
  </si>
  <si>
    <t>School fee reimbursements</t>
  </si>
  <si>
    <t>Administration allowance (including Mansab)</t>
  </si>
  <si>
    <t>Vacation pay (including cash in lieu payment)</t>
  </si>
  <si>
    <t>Cost of living adjustment pay (COLA)</t>
  </si>
  <si>
    <t>Basic salary</t>
  </si>
  <si>
    <t>Consolidated pay (combined salaries and allowances)</t>
  </si>
  <si>
    <t>Written down value of assets sold/(disposed):</t>
  </si>
  <si>
    <t>FX translation gain(loss)-Transactions</t>
  </si>
  <si>
    <t>Other Income</t>
  </si>
  <si>
    <t>Technology Dev Committee-Revenue Transfer</t>
  </si>
  <si>
    <t>Operating Contributions Recognized as Revenue (Less Depreciation)</t>
  </si>
  <si>
    <t>Grants from International Organisations:Current</t>
  </si>
  <si>
    <t>CL-Amount Due to a Related Party</t>
  </si>
  <si>
    <t>Other suspense receipts</t>
  </si>
  <si>
    <t>CL-Deferred Operating/Capital Contributions (net of Depreciation)</t>
  </si>
  <si>
    <t>General Fund (general reserve)</t>
  </si>
  <si>
    <t>Grants and other transfer receipts</t>
  </si>
  <si>
    <t>NCL-Employees' EOSB</t>
  </si>
  <si>
    <t>End-of-service gratuity</t>
  </si>
  <si>
    <t>CL-Accounts Payable and Accruals</t>
  </si>
  <si>
    <t>Contract retention deposits</t>
  </si>
  <si>
    <t>Vacation pay</t>
  </si>
  <si>
    <t>Expense payroll accrual - pending payment</t>
  </si>
  <si>
    <t>Other accrued expenses</t>
  </si>
  <si>
    <t>Expense AP Accrual - Inventories in receiving area (pre-inspection)</t>
  </si>
  <si>
    <t>Prepayments and Other Receivables</t>
  </si>
  <si>
    <t>Reverse Charge output VAT payable</t>
  </si>
  <si>
    <t>Output VAT payable</t>
  </si>
  <si>
    <t>Accrued purchases - Invoice received pending approval</t>
  </si>
  <si>
    <t>Approved invoices - for payment</t>
  </si>
  <si>
    <t>NCA-Furniture and Equipment</t>
  </si>
  <si>
    <t>Intangible Asset: Accumulated depreciation/amortization (Provision)</t>
  </si>
  <si>
    <t>Intangible Asset: Asset clearing</t>
  </si>
  <si>
    <t>Intangible Asset: Asset cost</t>
  </si>
  <si>
    <t>Furniture &amp; fixtures:Accumulated depreciation/amortization (Provision)</t>
  </si>
  <si>
    <t>Furniture &amp; fixtures:Asset clearing</t>
  </si>
  <si>
    <t>Furniture &amp; fixtures:Asset cost</t>
  </si>
  <si>
    <t>Plant, machinery &amp; equipment:Accumulated depreciation/amortization (Provision)</t>
  </si>
  <si>
    <t>Plant, machinery &amp; equipment:Asset clearing</t>
  </si>
  <si>
    <t>Plant, machinery &amp; equipment:Asset cost</t>
  </si>
  <si>
    <t>Buildings:Accumulated depreciation/amortization (Provision)</t>
  </si>
  <si>
    <t>Buildings:CIP cost</t>
  </si>
  <si>
    <t>Buildings:Asset clearing</t>
  </si>
  <si>
    <t>Buildings:Asset cost</t>
  </si>
  <si>
    <t>Provisional Asset (all categories for setup acct for accrual</t>
  </si>
  <si>
    <t>Other deposits</t>
  </si>
  <si>
    <t>Prepayments-Asset Cost (for setup)</t>
  </si>
  <si>
    <t>Prepayments-Asset Clearing (for setup)</t>
  </si>
  <si>
    <t>Material cost:Receipt (pre-inspection)</t>
  </si>
  <si>
    <t>R C input VAT recoverable on Services</t>
  </si>
  <si>
    <t>Input VAT recoverable</t>
  </si>
  <si>
    <t>Accrued Interest on bank deposits</t>
  </si>
  <si>
    <t>Inter-company Receivable(Payable)</t>
  </si>
  <si>
    <t>Other advances to vendors</t>
  </si>
  <si>
    <t>Contract advances</t>
  </si>
  <si>
    <t>Rent support loans to employees</t>
  </si>
  <si>
    <t>Accounts Receivable - General</t>
  </si>
  <si>
    <t>Goods and services sales receivable</t>
  </si>
  <si>
    <t>Bank Balances and Cash</t>
  </si>
  <si>
    <t>AED Term Deposit - Bank No.1</t>
  </si>
  <si>
    <t>AED AP Pyt - Clearing Acct</t>
  </si>
  <si>
    <t>AED Current/Call Bank Acct</t>
  </si>
  <si>
    <t>Cash in Transit - AED</t>
  </si>
  <si>
    <t>AED Bank Acct No.6</t>
  </si>
  <si>
    <t>Cash holdings - imprest floats for general purpose (replenishable)</t>
  </si>
  <si>
    <t>Balance Sheet / Income Statement Classification</t>
  </si>
  <si>
    <t>ORACLE ACCOUNT TITLE</t>
  </si>
  <si>
    <t>ORACLE ACCOUNT</t>
  </si>
  <si>
    <t>TRIAL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</si>
</sst>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-* #,##0.00_-;\-* #,##0.00_-;_-* &quot;-&quot;??_-;_-@_-"/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ont="1"/>
    <xf numFmtId="43" fontId="0" fillId="0" borderId="0" xfId="1" applyFont="1"/>
    <xf numFmtId="43" fontId="2" fillId="0" borderId="0" xfId="1" applyFont="1"/>
    <xf numFmtId="0" fontId="0" fillId="0" borderId="0" xfId="0" applyFont="1" applyFill="1"/>
    <xf numFmtId="43" fontId="0" fillId="0" borderId="0" xfId="1" applyFont="1" applyFill="1"/>
    <xf numFmtId="0" fontId="3" fillId="0" borderId="0" xfId="0" applyFont="1"/>
    <xf numFmtId="43" fontId="0" fillId="0" borderId="0" xfId="0" applyNumberFormat="1" applyFont="1" applyFill="1"/>
    <xf numFmtId="43" fontId="3" fillId="0" borderId="0" xfId="1" applyFont="1"/>
    <xf numFmtId="43" fontId="4" fillId="0" borderId="0" xfId="1" applyFont="1"/>
    <xf numFmtId="43" fontId="3" fillId="0" borderId="1" xfId="1" applyFont="1" applyFill="1" applyBorder="1"/>
    <xf numFmtId="0" fontId="5" fillId="0" borderId="0" xfId="0" applyFont="1"/>
    <xf numFmtId="43" fontId="2" fillId="0" borderId="0" xfId="1" applyFont="1" applyFill="1"/>
    <xf numFmtId="43" fontId="1" fillId="0" borderId="0" xfId="1" applyFont="1" applyFill="1"/>
    <xf numFmtId="0" fontId="6" fillId="0" borderId="0" xfId="0" applyFont="1" applyFill="1"/>
    <xf numFmtId="0" fontId="7" fillId="0" borderId="0" xfId="0" applyFont="1" applyFill="1"/>
    <xf numFmtId="43" fontId="7" fillId="0" borderId="0" xfId="1" applyFont="1" applyFill="1"/>
    <xf numFmtId="43" fontId="7" fillId="0" borderId="0" xfId="0" applyNumberFormat="1" applyFont="1" applyFill="1"/>
    <xf numFmtId="0" fontId="7" fillId="0" borderId="2" xfId="0" applyFont="1" applyFill="1" applyBorder="1"/>
    <xf numFmtId="43" fontId="7" fillId="0" borderId="2" xfId="1" applyFont="1" applyFill="1" applyBorder="1"/>
    <xf numFmtId="0" fontId="7" fillId="0" borderId="0" xfId="0" applyFont="1"/>
    <xf numFmtId="164" fontId="7" fillId="0" borderId="0" xfId="0" applyNumberFormat="1" applyFont="1" applyFill="1"/>
    <xf numFmtId="43" fontId="7" fillId="0" borderId="0" xfId="1" applyFont="1"/>
    <xf numFmtId="0" fontId="7" fillId="0" borderId="2" xfId="0" applyFont="1" applyBorder="1"/>
    <xf numFmtId="0" fontId="5" fillId="0" borderId="0" xfId="0" applyFont="1" applyAlignment="1">
      <alignment horizontal="center"/>
    </xf>
    <xf numFmtId="43" fontId="5" fillId="0" borderId="0" xfId="1" applyFont="1" applyAlignment="1">
      <alignment horizontal="center"/>
    </xf>
    <xf numFmtId="43" fontId="4" fillId="0" borderId="0" xfId="1" applyFont="1" applyAlignment="1">
      <alignment horizontal="center"/>
    </xf>
    <xf numFmtId="43" fontId="8" fillId="2" borderId="2" xfId="1" applyFont="1" applyFill="1" applyBorder="1" applyAlignment="1">
      <alignment horizontal="center" wrapText="1"/>
    </xf>
    <xf numFmtId="165" fontId="8" fillId="2" borderId="2" xfId="1" applyNumberFormat="1" applyFont="1" applyFill="1" applyBorder="1" applyAlignment="1">
      <alignment horizontal="center" wrapText="1"/>
    </xf>
    <xf numFmtId="43" fontId="1" fillId="0" borderId="0" xfId="1" applyFont="1"/>
    <xf numFmtId="15" fontId="9" fillId="0" borderId="0" xfId="0" applyNumberFormat="1" applyFont="1"/>
    <xf numFmtId="0" fontId="9" fillId="0" borderId="0" xfId="0" applyFont="1"/>
  </cellXfs>
  <cellStyles count="2">
    <cellStyle name="Comma 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L"/>
    </sheetNames>
    <sheetDataSet>
      <sheetData sheetId="0">
        <row r="2">
          <cell r="B2" t="str">
            <v>International Trading L.L.C.</v>
          </cell>
        </row>
        <row r="4">
          <cell r="B4">
            <v>12345</v>
          </cell>
        </row>
        <row r="5">
          <cell r="B5" t="str">
            <v>Dubai- United Arab Emirates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"/>
  <sheetViews>
    <sheetView showGridLines="0" tabSelected="1" zoomScaleNormal="100" workbookViewId="0">
      <pane ySplit="4" topLeftCell="A5" activePane="bottomLeft" state="frozen"/>
      <selection activeCell="C8" sqref="C8"/>
      <selection pane="bottomLeft"/>
    </sheetView>
  </sheetViews>
  <sheetFormatPr defaultColWidth="9.1796875" defaultRowHeight="14.5" x14ac:dyDescent="0.35"/>
  <cols>
    <col min="1" max="1" width="13.81640625" style="1" customWidth="1"/>
    <col min="2" max="2" width="76.453125" style="1" bestFit="1" customWidth="1"/>
    <col min="3" max="4" width="15.81640625" style="1" customWidth="1"/>
    <col min="5" max="5" width="62.81640625" style="5" bestFit="1" customWidth="1"/>
    <col min="6" max="6" width="15" style="4" bestFit="1" customWidth="1"/>
    <col min="7" max="7" width="62.81640625" style="1" bestFit="1" customWidth="1"/>
    <col min="8" max="9" width="15" style="1" hidden="1" customWidth="1"/>
    <col min="10" max="10" width="0" style="1" hidden="1" customWidth="1"/>
    <col min="11" max="12" width="13.1796875" style="2" hidden="1" customWidth="1"/>
    <col min="13" max="13" width="36.54296875" style="3" bestFit="1" customWidth="1"/>
    <col min="14" max="14" width="6.81640625" style="2" bestFit="1" customWidth="1"/>
    <col min="15" max="16384" width="9.1796875" style="1"/>
  </cols>
  <sheetData>
    <row r="1" spans="1:14" s="3" customFormat="1" ht="18.5" x14ac:dyDescent="0.45">
      <c r="A1" s="31" t="s">
        <v>126</v>
      </c>
      <c r="B1" s="1"/>
      <c r="C1" s="1"/>
      <c r="D1" s="1"/>
      <c r="E1" s="5"/>
      <c r="F1" s="4"/>
      <c r="G1" s="29"/>
      <c r="H1" s="1"/>
      <c r="I1" s="1"/>
      <c r="J1" s="1"/>
      <c r="K1" s="2"/>
      <c r="L1" s="2"/>
      <c r="N1" s="2"/>
    </row>
    <row r="2" spans="1:14" s="3" customFormat="1" ht="18.5" x14ac:dyDescent="0.45">
      <c r="A2" s="30">
        <v>44561</v>
      </c>
      <c r="B2" s="1"/>
      <c r="C2" s="1"/>
      <c r="D2" s="1"/>
      <c r="E2" s="5"/>
      <c r="F2" s="4"/>
      <c r="G2" s="29"/>
      <c r="H2" s="1"/>
      <c r="I2" s="1"/>
      <c r="J2" s="1"/>
      <c r="K2" s="2"/>
      <c r="L2" s="2"/>
      <c r="N2" s="2"/>
    </row>
    <row r="3" spans="1:14" s="3" customFormat="1" x14ac:dyDescent="0.35">
      <c r="A3" s="1"/>
      <c r="B3" s="1"/>
      <c r="C3" s="1"/>
      <c r="D3" s="1"/>
      <c r="E3" s="5"/>
      <c r="F3" s="4"/>
      <c r="G3" s="29"/>
      <c r="H3" s="1"/>
      <c r="I3" s="1"/>
      <c r="J3" s="1"/>
      <c r="K3" s="2"/>
      <c r="L3" s="2"/>
      <c r="N3" s="2"/>
    </row>
    <row r="4" spans="1:14" s="24" customFormat="1" ht="31" x14ac:dyDescent="0.35">
      <c r="A4" s="27" t="s">
        <v>125</v>
      </c>
      <c r="B4" s="27" t="s">
        <v>124</v>
      </c>
      <c r="C4" s="28">
        <f>A2</f>
        <v>44561</v>
      </c>
      <c r="D4" s="28">
        <f>+C4-365</f>
        <v>44196</v>
      </c>
      <c r="E4" s="27" t="s">
        <v>123</v>
      </c>
      <c r="I4" s="25"/>
      <c r="J4" s="25"/>
      <c r="K4" s="26"/>
      <c r="L4" s="25"/>
    </row>
    <row r="5" spans="1:14" s="15" customFormat="1" x14ac:dyDescent="0.35">
      <c r="A5" s="18">
        <v>101400</v>
      </c>
      <c r="B5" s="18" t="s">
        <v>122</v>
      </c>
      <c r="C5" s="19">
        <v>0</v>
      </c>
      <c r="D5" s="19">
        <v>0</v>
      </c>
      <c r="E5" s="18" t="s">
        <v>116</v>
      </c>
      <c r="I5" s="16" t="e">
        <f>VLOOKUP(#REF!,#REF!,9,FALSE)</f>
        <v>#REF!</v>
      </c>
      <c r="J5" s="16"/>
      <c r="K5" s="12"/>
      <c r="L5" s="16"/>
    </row>
    <row r="6" spans="1:14" s="15" customFormat="1" x14ac:dyDescent="0.35">
      <c r="A6" s="18">
        <v>102601</v>
      </c>
      <c r="B6" s="18" t="s">
        <v>121</v>
      </c>
      <c r="C6" s="19">
        <v>1199888.8799999999</v>
      </c>
      <c r="D6" s="19">
        <v>2706205.68</v>
      </c>
      <c r="E6" s="18" t="s">
        <v>116</v>
      </c>
      <c r="I6" s="16" t="e">
        <f>VLOOKUP(#REF!,#REF!,9,FALSE)</f>
        <v>#REF!</v>
      </c>
      <c r="J6" s="16"/>
      <c r="K6" s="12"/>
      <c r="L6" s="16"/>
    </row>
    <row r="7" spans="1:14" s="15" customFormat="1" x14ac:dyDescent="0.35">
      <c r="A7" s="18">
        <v>101901</v>
      </c>
      <c r="B7" s="18" t="s">
        <v>120</v>
      </c>
      <c r="C7" s="19">
        <v>0</v>
      </c>
      <c r="D7" s="19">
        <v>0</v>
      </c>
      <c r="E7" s="18" t="s">
        <v>116</v>
      </c>
      <c r="I7" s="16"/>
      <c r="J7" s="16"/>
      <c r="K7" s="12"/>
      <c r="L7" s="16"/>
    </row>
    <row r="8" spans="1:14" s="15" customFormat="1" x14ac:dyDescent="0.35">
      <c r="A8" s="18">
        <v>102101</v>
      </c>
      <c r="B8" s="18" t="s">
        <v>119</v>
      </c>
      <c r="C8" s="19">
        <v>0</v>
      </c>
      <c r="D8" s="19">
        <v>0</v>
      </c>
      <c r="E8" s="18" t="s">
        <v>116</v>
      </c>
      <c r="I8" s="16"/>
      <c r="J8" s="16"/>
      <c r="K8" s="12"/>
      <c r="L8" s="16"/>
    </row>
    <row r="9" spans="1:14" s="15" customFormat="1" x14ac:dyDescent="0.35">
      <c r="A9" s="18">
        <v>105901</v>
      </c>
      <c r="B9" s="18" t="s">
        <v>118</v>
      </c>
      <c r="C9" s="19">
        <v>0</v>
      </c>
      <c r="D9" s="19">
        <v>-5509.5</v>
      </c>
      <c r="E9" s="18" t="s">
        <v>116</v>
      </c>
      <c r="I9" s="16"/>
      <c r="J9" s="16"/>
      <c r="K9" s="12"/>
      <c r="L9" s="16"/>
    </row>
    <row r="10" spans="1:14" s="15" customFormat="1" x14ac:dyDescent="0.35">
      <c r="A10" s="18">
        <v>110101</v>
      </c>
      <c r="B10" s="18" t="s">
        <v>117</v>
      </c>
      <c r="C10" s="19">
        <v>0</v>
      </c>
      <c r="D10" s="19">
        <v>0</v>
      </c>
      <c r="E10" s="18" t="s">
        <v>116</v>
      </c>
      <c r="I10" s="16" t="e">
        <f>VLOOKUP(#REF!,#REF!,9,FALSE)</f>
        <v>#REF!</v>
      </c>
      <c r="J10" s="16"/>
      <c r="K10" s="12"/>
      <c r="L10" s="16"/>
    </row>
    <row r="11" spans="1:14" s="15" customFormat="1" x14ac:dyDescent="0.35">
      <c r="A11" s="18">
        <v>120140</v>
      </c>
      <c r="B11" s="18" t="s">
        <v>115</v>
      </c>
      <c r="C11" s="19">
        <v>0</v>
      </c>
      <c r="D11" s="19">
        <v>0</v>
      </c>
      <c r="E11" s="18" t="s">
        <v>70</v>
      </c>
      <c r="I11" s="16"/>
      <c r="J11" s="16"/>
      <c r="K11" s="12"/>
      <c r="L11" s="16"/>
    </row>
    <row r="12" spans="1:14" s="20" customFormat="1" x14ac:dyDescent="0.35">
      <c r="A12" s="23">
        <v>120180</v>
      </c>
      <c r="B12" s="23" t="s">
        <v>114</v>
      </c>
      <c r="C12" s="19">
        <v>0</v>
      </c>
      <c r="D12" s="19">
        <v>0</v>
      </c>
      <c r="E12" s="18" t="s">
        <v>83</v>
      </c>
      <c r="I12" s="22"/>
      <c r="J12" s="22"/>
      <c r="K12" s="3"/>
      <c r="L12" s="22"/>
    </row>
    <row r="13" spans="1:14" s="15" customFormat="1" x14ac:dyDescent="0.35">
      <c r="A13" s="18">
        <v>120214</v>
      </c>
      <c r="B13" s="18" t="s">
        <v>113</v>
      </c>
      <c r="C13" s="19">
        <v>0</v>
      </c>
      <c r="D13" s="19">
        <v>0</v>
      </c>
      <c r="E13" s="18" t="s">
        <v>83</v>
      </c>
      <c r="I13" s="16"/>
      <c r="J13" s="16"/>
      <c r="K13" s="12"/>
      <c r="L13" s="16"/>
    </row>
    <row r="14" spans="1:14" s="15" customFormat="1" x14ac:dyDescent="0.35">
      <c r="A14" s="18">
        <v>120310</v>
      </c>
      <c r="B14" s="18" t="s">
        <v>112</v>
      </c>
      <c r="C14" s="19">
        <v>0</v>
      </c>
      <c r="D14" s="19">
        <v>0</v>
      </c>
      <c r="E14" s="18" t="s">
        <v>83</v>
      </c>
      <c r="I14" s="16" t="e">
        <f>VLOOKUP(#REF!,#REF!,9,FALSE)</f>
        <v>#REF!</v>
      </c>
      <c r="J14" s="16"/>
      <c r="K14" s="12"/>
      <c r="L14" s="16"/>
    </row>
    <row r="15" spans="1:14" s="15" customFormat="1" x14ac:dyDescent="0.35">
      <c r="A15" s="18">
        <v>120330</v>
      </c>
      <c r="B15" s="18" t="s">
        <v>111</v>
      </c>
      <c r="C15" s="19">
        <v>556958.06000000006</v>
      </c>
      <c r="D15" s="19">
        <v>513398.54</v>
      </c>
      <c r="E15" s="18" t="s">
        <v>83</v>
      </c>
      <c r="I15" s="16" t="e">
        <f>VLOOKUP(#REF!,#REF!,9,FALSE)</f>
        <v>#REF!</v>
      </c>
      <c r="J15" s="16"/>
      <c r="K15" s="12"/>
      <c r="L15" s="16"/>
    </row>
    <row r="16" spans="1:14" s="15" customFormat="1" x14ac:dyDescent="0.35">
      <c r="A16" s="18">
        <v>121010</v>
      </c>
      <c r="B16" s="18" t="s">
        <v>110</v>
      </c>
      <c r="C16" s="19">
        <v>0</v>
      </c>
      <c r="D16" s="19">
        <v>0</v>
      </c>
      <c r="E16" s="18" t="s">
        <v>70</v>
      </c>
      <c r="I16" s="16"/>
      <c r="J16" s="16"/>
      <c r="K16" s="12"/>
      <c r="L16" s="16"/>
    </row>
    <row r="17" spans="1:12" s="15" customFormat="1" x14ac:dyDescent="0.35">
      <c r="A17" s="18">
        <v>125110</v>
      </c>
      <c r="B17" s="18" t="s">
        <v>109</v>
      </c>
      <c r="C17" s="19">
        <v>0</v>
      </c>
      <c r="D17" s="19">
        <v>0</v>
      </c>
      <c r="E17" s="18" t="s">
        <v>83</v>
      </c>
      <c r="I17" s="16" t="e">
        <f>VLOOKUP(#REF!,#REF!,9,FALSE)</f>
        <v>#REF!</v>
      </c>
      <c r="J17" s="16"/>
      <c r="K17" s="12"/>
      <c r="L17" s="16"/>
    </row>
    <row r="18" spans="1:12" s="15" customFormat="1" x14ac:dyDescent="0.35">
      <c r="A18" s="18">
        <v>126510</v>
      </c>
      <c r="B18" s="18" t="s">
        <v>108</v>
      </c>
      <c r="C18" s="19">
        <v>127749.33</v>
      </c>
      <c r="D18" s="19">
        <v>88030.1</v>
      </c>
      <c r="E18" s="18" t="s">
        <v>83</v>
      </c>
      <c r="I18" s="16"/>
      <c r="J18" s="16"/>
      <c r="K18" s="12"/>
      <c r="L18" s="16"/>
    </row>
    <row r="19" spans="1:12" s="15" customFormat="1" x14ac:dyDescent="0.35">
      <c r="A19" s="18">
        <v>126550</v>
      </c>
      <c r="B19" s="18" t="s">
        <v>107</v>
      </c>
      <c r="C19" s="19">
        <v>21920.52</v>
      </c>
      <c r="D19" s="19">
        <v>14877.11</v>
      </c>
      <c r="E19" s="18" t="s">
        <v>83</v>
      </c>
      <c r="I19" s="16"/>
      <c r="J19" s="16"/>
      <c r="K19" s="12"/>
      <c r="L19" s="16"/>
    </row>
    <row r="20" spans="1:12" s="20" customFormat="1" x14ac:dyDescent="0.35">
      <c r="A20" s="23">
        <v>130112</v>
      </c>
      <c r="B20" s="23" t="s">
        <v>106</v>
      </c>
      <c r="C20" s="19">
        <v>0</v>
      </c>
      <c r="D20" s="19">
        <v>0</v>
      </c>
      <c r="E20" s="18" t="s">
        <v>83</v>
      </c>
      <c r="I20" s="22"/>
      <c r="J20" s="22"/>
      <c r="K20" s="3"/>
      <c r="L20" s="22"/>
    </row>
    <row r="21" spans="1:12" s="20" customFormat="1" x14ac:dyDescent="0.35">
      <c r="A21" s="23">
        <v>132021</v>
      </c>
      <c r="B21" s="23" t="s">
        <v>105</v>
      </c>
      <c r="C21" s="19">
        <v>0</v>
      </c>
      <c r="D21" s="19">
        <v>0</v>
      </c>
      <c r="E21" s="18" t="s">
        <v>83</v>
      </c>
      <c r="I21" s="22"/>
      <c r="J21" s="22"/>
      <c r="K21" s="3"/>
      <c r="L21" s="22"/>
    </row>
    <row r="22" spans="1:12" s="20" customFormat="1" x14ac:dyDescent="0.35">
      <c r="A22" s="23">
        <v>132020</v>
      </c>
      <c r="B22" s="23" t="s">
        <v>104</v>
      </c>
      <c r="C22" s="19">
        <v>0</v>
      </c>
      <c r="D22" s="19">
        <v>0</v>
      </c>
      <c r="E22" s="18" t="s">
        <v>83</v>
      </c>
      <c r="I22" s="22"/>
      <c r="J22" s="22"/>
      <c r="K22" s="3"/>
      <c r="L22" s="22"/>
    </row>
    <row r="23" spans="1:12" s="20" customFormat="1" x14ac:dyDescent="0.35">
      <c r="A23" s="23">
        <v>133090</v>
      </c>
      <c r="B23" s="23" t="s">
        <v>103</v>
      </c>
      <c r="C23" s="19">
        <v>0</v>
      </c>
      <c r="D23" s="19">
        <v>0</v>
      </c>
      <c r="E23" s="18" t="s">
        <v>83</v>
      </c>
      <c r="I23" s="22"/>
      <c r="J23" s="22"/>
      <c r="K23" s="3"/>
      <c r="L23" s="22"/>
    </row>
    <row r="24" spans="1:12" s="15" customFormat="1" x14ac:dyDescent="0.35">
      <c r="A24" s="18">
        <v>171050</v>
      </c>
      <c r="B24" s="18" t="s">
        <v>102</v>
      </c>
      <c r="C24" s="19">
        <v>0</v>
      </c>
      <c r="D24" s="19">
        <v>0</v>
      </c>
      <c r="E24" s="18" t="s">
        <v>88</v>
      </c>
      <c r="F24" s="17"/>
      <c r="I24" s="16"/>
      <c r="J24" s="16"/>
      <c r="K24" s="12"/>
      <c r="L24" s="16"/>
    </row>
    <row r="25" spans="1:12" s="15" customFormat="1" x14ac:dyDescent="0.35">
      <c r="A25" s="18">
        <v>171220</v>
      </c>
      <c r="B25" s="18" t="s">
        <v>101</v>
      </c>
      <c r="C25" s="19">
        <v>7277144.4199999999</v>
      </c>
      <c r="D25" s="19">
        <v>7277144.4199999999</v>
      </c>
      <c r="E25" s="18" t="s">
        <v>88</v>
      </c>
      <c r="F25" s="21"/>
      <c r="I25" s="16" t="e">
        <f>VLOOKUP(#REF!,#REF!,9,FALSE)</f>
        <v>#REF!</v>
      </c>
      <c r="J25" s="16"/>
      <c r="K25" s="12"/>
      <c r="L25" s="16"/>
    </row>
    <row r="26" spans="1:12" s="15" customFormat="1" x14ac:dyDescent="0.35">
      <c r="A26" s="18">
        <v>171221</v>
      </c>
      <c r="B26" s="18" t="s">
        <v>100</v>
      </c>
      <c r="C26" s="19">
        <v>0</v>
      </c>
      <c r="D26" s="19">
        <v>0</v>
      </c>
      <c r="E26" s="18" t="s">
        <v>88</v>
      </c>
      <c r="I26" s="16"/>
      <c r="J26" s="16"/>
      <c r="K26" s="12"/>
      <c r="L26" s="16"/>
    </row>
    <row r="27" spans="1:12" s="15" customFormat="1" x14ac:dyDescent="0.35">
      <c r="A27" s="18">
        <v>171230</v>
      </c>
      <c r="B27" s="18" t="s">
        <v>99</v>
      </c>
      <c r="C27" s="19">
        <v>0</v>
      </c>
      <c r="D27" s="19">
        <v>0</v>
      </c>
      <c r="E27" s="18" t="s">
        <v>88</v>
      </c>
      <c r="F27" s="17"/>
      <c r="I27" s="16" t="e">
        <f>VLOOKUP(#REF!,#REF!,9,FALSE)</f>
        <v>#REF!</v>
      </c>
      <c r="J27" s="16"/>
      <c r="K27" s="12"/>
      <c r="L27" s="16"/>
    </row>
    <row r="28" spans="1:12" s="15" customFormat="1" x14ac:dyDescent="0.35">
      <c r="A28" s="18">
        <v>171260</v>
      </c>
      <c r="B28" s="18" t="s">
        <v>98</v>
      </c>
      <c r="C28" s="19">
        <v>-1815200.08</v>
      </c>
      <c r="D28" s="19">
        <v>-1450937.77</v>
      </c>
      <c r="E28" s="18" t="s">
        <v>88</v>
      </c>
      <c r="F28" s="21"/>
      <c r="I28" s="16"/>
      <c r="J28" s="16"/>
      <c r="K28" s="12"/>
      <c r="L28" s="16"/>
    </row>
    <row r="29" spans="1:12" s="15" customFormat="1" x14ac:dyDescent="0.35">
      <c r="A29" s="18">
        <v>171320</v>
      </c>
      <c r="B29" s="18" t="s">
        <v>97</v>
      </c>
      <c r="C29" s="19">
        <v>6183421.3099999996</v>
      </c>
      <c r="D29" s="19">
        <v>6119400.6900000004</v>
      </c>
      <c r="E29" s="18" t="s">
        <v>88</v>
      </c>
      <c r="F29" s="21"/>
      <c r="I29" s="16"/>
      <c r="J29" s="16"/>
      <c r="K29" s="12"/>
      <c r="L29" s="16"/>
    </row>
    <row r="30" spans="1:12" s="15" customFormat="1" x14ac:dyDescent="0.35">
      <c r="A30" s="18">
        <v>171321</v>
      </c>
      <c r="B30" s="18" t="s">
        <v>96</v>
      </c>
      <c r="C30" s="19">
        <v>0</v>
      </c>
      <c r="D30" s="19">
        <v>0</v>
      </c>
      <c r="E30" s="18" t="s">
        <v>88</v>
      </c>
      <c r="F30" s="17"/>
      <c r="I30" s="16"/>
      <c r="J30" s="16"/>
      <c r="K30" s="12"/>
      <c r="L30" s="16"/>
    </row>
    <row r="31" spans="1:12" s="15" customFormat="1" x14ac:dyDescent="0.35">
      <c r="A31" s="18">
        <v>171360</v>
      </c>
      <c r="B31" s="18" t="s">
        <v>95</v>
      </c>
      <c r="C31" s="19">
        <v>-5630550.2699999996</v>
      </c>
      <c r="D31" s="19">
        <v>-4820946.99</v>
      </c>
      <c r="E31" s="18" t="s">
        <v>88</v>
      </c>
      <c r="F31" s="21"/>
      <c r="I31" s="16"/>
      <c r="J31" s="16"/>
      <c r="K31" s="12"/>
      <c r="L31" s="16"/>
    </row>
    <row r="32" spans="1:12" s="15" customFormat="1" x14ac:dyDescent="0.35">
      <c r="A32" s="18">
        <v>172020</v>
      </c>
      <c r="B32" s="18" t="s">
        <v>94</v>
      </c>
      <c r="C32" s="19">
        <v>112725</v>
      </c>
      <c r="D32" s="19">
        <v>112725</v>
      </c>
      <c r="E32" s="18" t="s">
        <v>88</v>
      </c>
      <c r="F32" s="21"/>
      <c r="I32" s="16"/>
      <c r="J32" s="16"/>
      <c r="K32" s="12"/>
      <c r="L32" s="16"/>
    </row>
    <row r="33" spans="1:12" s="15" customFormat="1" x14ac:dyDescent="0.35">
      <c r="A33" s="18">
        <v>172021</v>
      </c>
      <c r="B33" s="18" t="s">
        <v>93</v>
      </c>
      <c r="C33" s="19">
        <v>0</v>
      </c>
      <c r="D33" s="19">
        <v>0</v>
      </c>
      <c r="E33" s="18" t="s">
        <v>88</v>
      </c>
      <c r="I33" s="16"/>
      <c r="J33" s="16"/>
      <c r="K33" s="12"/>
      <c r="L33" s="16"/>
    </row>
    <row r="34" spans="1:12" s="15" customFormat="1" x14ac:dyDescent="0.35">
      <c r="A34" s="18">
        <v>172060</v>
      </c>
      <c r="B34" s="18" t="s">
        <v>92</v>
      </c>
      <c r="C34" s="19">
        <v>-108973.62</v>
      </c>
      <c r="D34" s="19">
        <v>-95557.6</v>
      </c>
      <c r="E34" s="18" t="s">
        <v>88</v>
      </c>
      <c r="F34" s="21"/>
      <c r="I34" s="16"/>
      <c r="J34" s="16"/>
      <c r="K34" s="12"/>
      <c r="L34" s="16"/>
    </row>
    <row r="35" spans="1:12" s="15" customFormat="1" x14ac:dyDescent="0.35">
      <c r="A35" s="18">
        <v>173120</v>
      </c>
      <c r="B35" s="18" t="s">
        <v>91</v>
      </c>
      <c r="C35" s="19">
        <v>436988.01</v>
      </c>
      <c r="D35" s="19">
        <v>436988.01</v>
      </c>
      <c r="E35" s="18" t="s">
        <v>88</v>
      </c>
      <c r="F35" s="21"/>
      <c r="I35" s="16" t="e">
        <f>VLOOKUP(#REF!,#REF!,9,FALSE)</f>
        <v>#REF!</v>
      </c>
      <c r="J35" s="16"/>
      <c r="K35" s="12"/>
      <c r="L35" s="16"/>
    </row>
    <row r="36" spans="1:12" s="15" customFormat="1" x14ac:dyDescent="0.35">
      <c r="A36" s="18">
        <v>173121</v>
      </c>
      <c r="B36" s="18" t="s">
        <v>90</v>
      </c>
      <c r="C36" s="19">
        <v>0</v>
      </c>
      <c r="D36" s="19">
        <v>0</v>
      </c>
      <c r="E36" s="18" t="s">
        <v>88</v>
      </c>
      <c r="I36" s="16"/>
      <c r="J36" s="16"/>
      <c r="K36" s="12"/>
      <c r="L36" s="16"/>
    </row>
    <row r="37" spans="1:12" s="15" customFormat="1" x14ac:dyDescent="0.35">
      <c r="A37" s="18">
        <v>173160</v>
      </c>
      <c r="B37" s="18" t="s">
        <v>89</v>
      </c>
      <c r="C37" s="19">
        <v>-436988.01</v>
      </c>
      <c r="D37" s="19">
        <v>-378285.44</v>
      </c>
      <c r="E37" s="18" t="s">
        <v>88</v>
      </c>
      <c r="F37" s="21"/>
      <c r="I37" s="16" t="e">
        <f>VLOOKUP(#REF!,#REF!,9,FALSE)</f>
        <v>#REF!</v>
      </c>
      <c r="J37" s="16"/>
      <c r="K37" s="12"/>
      <c r="L37" s="16"/>
    </row>
    <row r="38" spans="1:12" s="15" customFormat="1" x14ac:dyDescent="0.35">
      <c r="A38" s="18">
        <v>200110</v>
      </c>
      <c r="B38" s="18" t="s">
        <v>87</v>
      </c>
      <c r="C38" s="19">
        <v>0</v>
      </c>
      <c r="D38" s="19">
        <v>-108346.12</v>
      </c>
      <c r="E38" s="18" t="s">
        <v>77</v>
      </c>
      <c r="F38" s="21"/>
      <c r="I38" s="16" t="e">
        <f>VLOOKUP(#REF!,#REF!,9,FALSE)</f>
        <v>#REF!</v>
      </c>
      <c r="J38" s="16"/>
      <c r="K38" s="12"/>
      <c r="L38" s="16"/>
    </row>
    <row r="39" spans="1:12" s="15" customFormat="1" x14ac:dyDescent="0.35">
      <c r="A39" s="18">
        <v>200130</v>
      </c>
      <c r="B39" s="18" t="s">
        <v>86</v>
      </c>
      <c r="C39" s="19">
        <v>-460720.33</v>
      </c>
      <c r="D39" s="19">
        <v>-477395.44</v>
      </c>
      <c r="E39" s="18" t="s">
        <v>77</v>
      </c>
      <c r="I39" s="16">
        <v>-20000</v>
      </c>
      <c r="J39" s="16"/>
      <c r="K39" s="12"/>
      <c r="L39" s="16"/>
    </row>
    <row r="40" spans="1:12" s="15" customFormat="1" x14ac:dyDescent="0.35">
      <c r="A40" s="18">
        <v>202510</v>
      </c>
      <c r="B40" s="18" t="s">
        <v>85</v>
      </c>
      <c r="C40" s="19">
        <v>-95238.1</v>
      </c>
      <c r="D40" s="19">
        <v>-47619.05</v>
      </c>
      <c r="E40" s="18" t="s">
        <v>83</v>
      </c>
      <c r="I40" s="16"/>
      <c r="J40" s="16"/>
      <c r="K40" s="12"/>
      <c r="L40" s="16"/>
    </row>
    <row r="41" spans="1:12" s="15" customFormat="1" x14ac:dyDescent="0.35">
      <c r="A41" s="18">
        <v>202550</v>
      </c>
      <c r="B41" s="18" t="s">
        <v>84</v>
      </c>
      <c r="C41" s="19">
        <v>-21920.52</v>
      </c>
      <c r="D41" s="19">
        <v>-14877.11</v>
      </c>
      <c r="E41" s="18" t="s">
        <v>83</v>
      </c>
      <c r="I41" s="16"/>
      <c r="J41" s="16"/>
      <c r="K41" s="12"/>
      <c r="L41" s="16"/>
    </row>
    <row r="42" spans="1:12" s="15" customFormat="1" x14ac:dyDescent="0.35">
      <c r="A42" s="18">
        <v>211111</v>
      </c>
      <c r="B42" s="18" t="s">
        <v>82</v>
      </c>
      <c r="C42" s="19">
        <v>-48334</v>
      </c>
      <c r="D42" s="19">
        <v>-55785</v>
      </c>
      <c r="E42" s="18" t="s">
        <v>77</v>
      </c>
      <c r="I42" s="16"/>
      <c r="J42" s="16"/>
      <c r="K42" s="12"/>
      <c r="L42" s="16"/>
    </row>
    <row r="43" spans="1:12" s="15" customFormat="1" x14ac:dyDescent="0.35">
      <c r="A43" s="18">
        <v>213600</v>
      </c>
      <c r="B43" s="18" t="s">
        <v>81</v>
      </c>
      <c r="C43" s="19">
        <v>0</v>
      </c>
      <c r="D43" s="19">
        <v>0</v>
      </c>
      <c r="E43" s="18" t="s">
        <v>77</v>
      </c>
      <c r="I43" s="16"/>
      <c r="J43" s="16"/>
      <c r="K43" s="12"/>
      <c r="L43" s="16"/>
    </row>
    <row r="44" spans="1:12" s="15" customFormat="1" x14ac:dyDescent="0.35">
      <c r="A44" s="18">
        <v>215100</v>
      </c>
      <c r="B44" s="18" t="s">
        <v>80</v>
      </c>
      <c r="C44" s="19">
        <v>0</v>
      </c>
      <c r="D44" s="19">
        <v>0</v>
      </c>
      <c r="E44" s="18" t="s">
        <v>77</v>
      </c>
      <c r="I44" s="16"/>
      <c r="J44" s="16"/>
      <c r="K44" s="12"/>
      <c r="L44" s="16"/>
    </row>
    <row r="45" spans="1:12" s="15" customFormat="1" x14ac:dyDescent="0.35">
      <c r="A45" s="18">
        <v>215401</v>
      </c>
      <c r="B45" s="18" t="s">
        <v>79</v>
      </c>
      <c r="C45" s="19">
        <v>-91650.86</v>
      </c>
      <c r="D45" s="19">
        <v>-82177.06</v>
      </c>
      <c r="E45" s="18" t="s">
        <v>77</v>
      </c>
      <c r="F45" s="21"/>
      <c r="I45" s="16"/>
      <c r="J45" s="16"/>
      <c r="K45" s="12"/>
      <c r="L45" s="16"/>
    </row>
    <row r="46" spans="1:12" s="15" customFormat="1" x14ac:dyDescent="0.35">
      <c r="A46" s="18">
        <v>235210</v>
      </c>
      <c r="B46" s="18" t="s">
        <v>78</v>
      </c>
      <c r="C46" s="19">
        <v>0</v>
      </c>
      <c r="D46" s="19">
        <v>0</v>
      </c>
      <c r="E46" s="18" t="s">
        <v>77</v>
      </c>
      <c r="I46" s="16" t="e">
        <f>VLOOKUP(#REF!,#REF!,9,FALSE)</f>
        <v>#REF!</v>
      </c>
      <c r="J46" s="16"/>
      <c r="K46" s="12"/>
      <c r="L46" s="16"/>
    </row>
    <row r="47" spans="1:12" s="15" customFormat="1" x14ac:dyDescent="0.35">
      <c r="A47" s="18">
        <v>265501</v>
      </c>
      <c r="B47" s="18" t="s">
        <v>76</v>
      </c>
      <c r="C47" s="19">
        <v>-109471.81</v>
      </c>
      <c r="D47" s="19">
        <v>-166556.28</v>
      </c>
      <c r="E47" s="18" t="s">
        <v>75</v>
      </c>
      <c r="F47" s="21"/>
      <c r="I47" s="16" t="e">
        <f>VLOOKUP(#REF!,#REF!,9,FALSE)</f>
        <v>#REF!</v>
      </c>
      <c r="J47" s="16"/>
      <c r="K47" s="12"/>
      <c r="L47" s="16"/>
    </row>
    <row r="48" spans="1:12" s="15" customFormat="1" x14ac:dyDescent="0.35">
      <c r="A48" s="18">
        <v>230400</v>
      </c>
      <c r="B48" s="18" t="s">
        <v>74</v>
      </c>
      <c r="C48" s="19">
        <v>-1079181.17</v>
      </c>
      <c r="D48" s="19">
        <v>-2364245.87</v>
      </c>
      <c r="E48" s="18" t="s">
        <v>72</v>
      </c>
      <c r="F48" s="17"/>
      <c r="I48" s="16" t="e">
        <f>VLOOKUP(#REF!,#REF!,9,FALSE)</f>
        <v>#REF!</v>
      </c>
      <c r="J48" s="16"/>
      <c r="K48" s="12"/>
      <c r="L48" s="16"/>
    </row>
    <row r="49" spans="1:12" s="15" customFormat="1" x14ac:dyDescent="0.35">
      <c r="A49" s="18">
        <v>502100</v>
      </c>
      <c r="B49" s="18" t="s">
        <v>73</v>
      </c>
      <c r="C49" s="19">
        <v>-6018566.7599999998</v>
      </c>
      <c r="D49" s="19">
        <v>-7200530.3200000003</v>
      </c>
      <c r="E49" s="18" t="s">
        <v>72</v>
      </c>
      <c r="F49" s="21"/>
      <c r="I49" s="16" t="e">
        <f>VLOOKUP(#REF!,#REF!,9,FALSE)</f>
        <v>#REF!</v>
      </c>
      <c r="J49" s="16"/>
      <c r="K49" s="12"/>
      <c r="L49" s="16"/>
    </row>
    <row r="50" spans="1:12" s="15" customFormat="1" x14ac:dyDescent="0.35">
      <c r="A50" s="18">
        <v>235990</v>
      </c>
      <c r="B50" s="18" t="s">
        <v>71</v>
      </c>
      <c r="C50" s="19">
        <v>0</v>
      </c>
      <c r="D50" s="19">
        <v>0</v>
      </c>
      <c r="E50" s="18" t="s">
        <v>70</v>
      </c>
      <c r="F50" s="17"/>
      <c r="I50" s="16"/>
      <c r="J50" s="16"/>
      <c r="K50" s="12"/>
      <c r="L50" s="16"/>
    </row>
    <row r="51" spans="1:12" s="15" customFormat="1" x14ac:dyDescent="0.35">
      <c r="A51" s="18">
        <v>357111</v>
      </c>
      <c r="B51" s="18" t="s">
        <v>69</v>
      </c>
      <c r="C51" s="19">
        <v>-3419409.21</v>
      </c>
      <c r="D51" s="19">
        <v>-4034539.86</v>
      </c>
      <c r="E51" s="18" t="s">
        <v>68</v>
      </c>
      <c r="I51" s="16" t="e">
        <f>VLOOKUP(#REF!,#REF!,9,FALSE)</f>
        <v>#REF!</v>
      </c>
      <c r="J51" s="16"/>
      <c r="K51" s="12"/>
      <c r="L51" s="16"/>
    </row>
    <row r="52" spans="1:12" s="15" customFormat="1" x14ac:dyDescent="0.35">
      <c r="A52" s="18">
        <v>351233</v>
      </c>
      <c r="B52" s="18" t="s">
        <v>67</v>
      </c>
      <c r="C52" s="19">
        <v>0</v>
      </c>
      <c r="D52" s="19">
        <v>0</v>
      </c>
      <c r="E52" s="18" t="s">
        <v>66</v>
      </c>
      <c r="I52" s="16"/>
      <c r="J52" s="16"/>
      <c r="K52" s="12"/>
      <c r="L52" s="16"/>
    </row>
    <row r="53" spans="1:12" s="15" customFormat="1" x14ac:dyDescent="0.35">
      <c r="A53" s="18">
        <v>382020</v>
      </c>
      <c r="B53" s="18" t="s">
        <v>65</v>
      </c>
      <c r="C53" s="19">
        <v>1000.46</v>
      </c>
      <c r="D53" s="19">
        <v>1745.18</v>
      </c>
      <c r="E53" s="18" t="s">
        <v>12</v>
      </c>
      <c r="I53" s="16" t="e">
        <f>VLOOKUP(#REF!,#REF!,9,FALSE)</f>
        <v>#REF!</v>
      </c>
      <c r="J53" s="16"/>
      <c r="K53" s="12"/>
      <c r="L53" s="16"/>
    </row>
    <row r="54" spans="1:12" s="15" customFormat="1" x14ac:dyDescent="0.35">
      <c r="A54" s="18">
        <v>385100</v>
      </c>
      <c r="B54" s="18" t="s">
        <v>64</v>
      </c>
      <c r="C54" s="19">
        <v>0</v>
      </c>
      <c r="D54" s="19">
        <v>0</v>
      </c>
      <c r="E54" s="18" t="s">
        <v>12</v>
      </c>
      <c r="I54" s="16"/>
      <c r="J54" s="16"/>
      <c r="K54" s="12"/>
      <c r="L54" s="16"/>
    </row>
    <row r="55" spans="1:12" s="15" customFormat="1" x14ac:dyDescent="0.35">
      <c r="A55" s="18">
        <v>412110</v>
      </c>
      <c r="B55" s="18" t="s">
        <v>63</v>
      </c>
      <c r="C55" s="19">
        <v>0</v>
      </c>
      <c r="D55" s="19">
        <v>0</v>
      </c>
      <c r="E55" s="18" t="s">
        <v>47</v>
      </c>
      <c r="I55" s="16"/>
      <c r="J55" s="16"/>
      <c r="K55" s="12"/>
      <c r="L55" s="16"/>
    </row>
    <row r="56" spans="1:12" s="15" customFormat="1" x14ac:dyDescent="0.35">
      <c r="A56" s="18">
        <v>412121</v>
      </c>
      <c r="B56" s="18" t="s">
        <v>62</v>
      </c>
      <c r="C56" s="19">
        <v>977772.23</v>
      </c>
      <c r="D56" s="19">
        <v>1110358.93</v>
      </c>
      <c r="E56" s="18" t="s">
        <v>47</v>
      </c>
      <c r="I56" s="16"/>
      <c r="J56" s="16"/>
      <c r="K56" s="12"/>
      <c r="L56" s="16"/>
    </row>
    <row r="57" spans="1:12" s="15" customFormat="1" x14ac:dyDescent="0.35">
      <c r="A57" s="18">
        <v>412125</v>
      </c>
      <c r="B57" s="18" t="s">
        <v>61</v>
      </c>
      <c r="C57" s="19">
        <v>484465.59</v>
      </c>
      <c r="D57" s="19">
        <v>576098.27</v>
      </c>
      <c r="E57" s="18" t="s">
        <v>47</v>
      </c>
      <c r="I57" s="16"/>
      <c r="J57" s="16"/>
      <c r="K57" s="12"/>
      <c r="L57" s="16"/>
    </row>
    <row r="58" spans="1:12" s="15" customFormat="1" x14ac:dyDescent="0.35">
      <c r="A58" s="18">
        <v>412184</v>
      </c>
      <c r="B58" s="18" t="s">
        <v>60</v>
      </c>
      <c r="C58" s="19">
        <v>20553.310000000001</v>
      </c>
      <c r="D58" s="19">
        <v>31595.77</v>
      </c>
      <c r="E58" s="18" t="s">
        <v>47</v>
      </c>
      <c r="I58" s="16"/>
      <c r="J58" s="16"/>
      <c r="K58" s="12"/>
      <c r="L58" s="16"/>
    </row>
    <row r="59" spans="1:12" s="15" customFormat="1" x14ac:dyDescent="0.35">
      <c r="A59" s="18">
        <v>412521</v>
      </c>
      <c r="B59" s="18" t="s">
        <v>59</v>
      </c>
      <c r="C59" s="19">
        <v>23883.33</v>
      </c>
      <c r="D59" s="19">
        <v>24000</v>
      </c>
      <c r="E59" s="18" t="s">
        <v>47</v>
      </c>
      <c r="I59" s="16"/>
      <c r="J59" s="16"/>
      <c r="K59" s="12"/>
      <c r="L59" s="16"/>
    </row>
    <row r="60" spans="1:12" s="15" customFormat="1" x14ac:dyDescent="0.35">
      <c r="A60" s="18">
        <v>412534</v>
      </c>
      <c r="B60" s="18" t="s">
        <v>58</v>
      </c>
      <c r="C60" s="19">
        <v>26155.63</v>
      </c>
      <c r="D60" s="19">
        <v>-19319.82</v>
      </c>
      <c r="E60" s="18" t="s">
        <v>47</v>
      </c>
      <c r="I60" s="16"/>
      <c r="J60" s="16"/>
      <c r="K60" s="12"/>
      <c r="L60" s="16"/>
    </row>
    <row r="61" spans="1:12" s="15" customFormat="1" x14ac:dyDescent="0.35">
      <c r="A61" s="18">
        <v>412542</v>
      </c>
      <c r="B61" s="18" t="s">
        <v>57</v>
      </c>
      <c r="C61" s="19">
        <v>0</v>
      </c>
      <c r="D61" s="19">
        <v>0</v>
      </c>
      <c r="E61" s="18" t="s">
        <v>47</v>
      </c>
      <c r="I61" s="16"/>
      <c r="J61" s="16"/>
      <c r="K61" s="12"/>
      <c r="L61" s="16"/>
    </row>
    <row r="62" spans="1:12" s="15" customFormat="1" x14ac:dyDescent="0.35">
      <c r="A62" s="18">
        <v>412590</v>
      </c>
      <c r="B62" s="18" t="s">
        <v>56</v>
      </c>
      <c r="C62" s="19">
        <v>0.76</v>
      </c>
      <c r="D62" s="19">
        <v>0.04</v>
      </c>
      <c r="E62" s="18" t="s">
        <v>47</v>
      </c>
      <c r="I62" s="16"/>
      <c r="J62" s="16"/>
      <c r="K62" s="12"/>
      <c r="L62" s="16"/>
    </row>
    <row r="63" spans="1:12" s="15" customFormat="1" x14ac:dyDescent="0.35">
      <c r="A63" s="18">
        <v>413121</v>
      </c>
      <c r="B63" s="18" t="s">
        <v>55</v>
      </c>
      <c r="C63" s="19">
        <v>0</v>
      </c>
      <c r="D63" s="19">
        <v>0</v>
      </c>
      <c r="E63" s="18" t="s">
        <v>47</v>
      </c>
      <c r="I63" s="16"/>
      <c r="J63" s="16"/>
      <c r="K63" s="12"/>
      <c r="L63" s="16"/>
    </row>
    <row r="64" spans="1:12" s="15" customFormat="1" x14ac:dyDescent="0.35">
      <c r="A64" s="18">
        <v>414120</v>
      </c>
      <c r="B64" s="18" t="s">
        <v>54</v>
      </c>
      <c r="C64" s="19">
        <v>73238.080000000002</v>
      </c>
      <c r="D64" s="19">
        <v>25887.47</v>
      </c>
      <c r="E64" s="18" t="s">
        <v>47</v>
      </c>
      <c r="I64" s="16"/>
      <c r="J64" s="16"/>
      <c r="K64" s="12"/>
      <c r="L64" s="16"/>
    </row>
    <row r="65" spans="1:12" s="15" customFormat="1" x14ac:dyDescent="0.35">
      <c r="A65" s="18">
        <v>415210</v>
      </c>
      <c r="B65" s="18" t="s">
        <v>53</v>
      </c>
      <c r="C65" s="19">
        <v>0</v>
      </c>
      <c r="D65" s="19">
        <v>0</v>
      </c>
      <c r="E65" s="18" t="s">
        <v>47</v>
      </c>
      <c r="I65" s="16" t="e">
        <f>VLOOKUP(#REF!,#REF!,9,FALSE)</f>
        <v>#REF!</v>
      </c>
      <c r="J65" s="16"/>
      <c r="K65" s="12"/>
      <c r="L65" s="16"/>
    </row>
    <row r="66" spans="1:12" s="15" customFormat="1" x14ac:dyDescent="0.35">
      <c r="A66" s="18">
        <v>415220</v>
      </c>
      <c r="B66" s="18" t="s">
        <v>52</v>
      </c>
      <c r="C66" s="19">
        <v>0</v>
      </c>
      <c r="D66" s="19">
        <v>0</v>
      </c>
      <c r="E66" s="18" t="s">
        <v>47</v>
      </c>
      <c r="I66" s="16"/>
      <c r="J66" s="16"/>
      <c r="K66" s="12"/>
      <c r="L66" s="16"/>
    </row>
    <row r="67" spans="1:12" s="15" customFormat="1" x14ac:dyDescent="0.35">
      <c r="A67" s="18">
        <v>415230</v>
      </c>
      <c r="B67" s="18" t="s">
        <v>51</v>
      </c>
      <c r="C67" s="19">
        <v>0</v>
      </c>
      <c r="D67" s="19">
        <v>0</v>
      </c>
      <c r="E67" s="18" t="s">
        <v>47</v>
      </c>
      <c r="I67" s="16"/>
      <c r="J67" s="16"/>
      <c r="K67" s="12"/>
      <c r="L67" s="16"/>
    </row>
    <row r="68" spans="1:12" s="15" customFormat="1" x14ac:dyDescent="0.35">
      <c r="A68" s="18">
        <v>415320</v>
      </c>
      <c r="B68" s="18" t="s">
        <v>50</v>
      </c>
      <c r="C68" s="19">
        <v>0</v>
      </c>
      <c r="D68" s="19">
        <v>0</v>
      </c>
      <c r="E68" s="18" t="s">
        <v>47</v>
      </c>
      <c r="I68" s="16" t="e">
        <f>VLOOKUP(#REF!,#REF!,9,FALSE)</f>
        <v>#REF!</v>
      </c>
      <c r="J68" s="16"/>
      <c r="K68" s="12"/>
      <c r="L68" s="16"/>
    </row>
    <row r="69" spans="1:12" s="15" customFormat="1" x14ac:dyDescent="0.35">
      <c r="A69" s="18">
        <v>416110</v>
      </c>
      <c r="B69" s="18" t="s">
        <v>49</v>
      </c>
      <c r="C69" s="19">
        <v>31475.75</v>
      </c>
      <c r="D69" s="19">
        <v>46413.57</v>
      </c>
      <c r="E69" s="18" t="s">
        <v>47</v>
      </c>
      <c r="I69" s="16" t="e">
        <f>VLOOKUP(#REF!,#REF!,9,FALSE)</f>
        <v>#REF!</v>
      </c>
      <c r="J69" s="16"/>
      <c r="K69" s="12"/>
      <c r="L69" s="16"/>
    </row>
    <row r="70" spans="1:12" s="15" customFormat="1" x14ac:dyDescent="0.35">
      <c r="A70" s="18">
        <v>416310</v>
      </c>
      <c r="B70" s="18" t="s">
        <v>48</v>
      </c>
      <c r="C70" s="19">
        <v>35302.720000000001</v>
      </c>
      <c r="D70" s="19">
        <v>40142.449999999997</v>
      </c>
      <c r="E70" s="18" t="s">
        <v>47</v>
      </c>
      <c r="I70" s="16" t="e">
        <f>VLOOKUP(#REF!,#REF!,9,FALSE)</f>
        <v>#REF!</v>
      </c>
      <c r="J70" s="16"/>
      <c r="K70" s="12"/>
      <c r="L70" s="16"/>
    </row>
    <row r="71" spans="1:12" s="15" customFormat="1" x14ac:dyDescent="0.35">
      <c r="A71" s="18">
        <v>420130</v>
      </c>
      <c r="B71" s="18" t="s">
        <v>46</v>
      </c>
      <c r="C71" s="19">
        <v>50450</v>
      </c>
      <c r="D71" s="19">
        <v>40200</v>
      </c>
      <c r="E71" s="18" t="s">
        <v>42</v>
      </c>
      <c r="I71" s="16"/>
      <c r="J71" s="16"/>
      <c r="K71" s="12"/>
      <c r="L71" s="16"/>
    </row>
    <row r="72" spans="1:12" s="15" customFormat="1" x14ac:dyDescent="0.35">
      <c r="A72" s="18">
        <v>420550</v>
      </c>
      <c r="B72" s="18" t="s">
        <v>45</v>
      </c>
      <c r="C72" s="19">
        <v>0</v>
      </c>
      <c r="D72" s="19">
        <v>0</v>
      </c>
      <c r="E72" s="18" t="s">
        <v>42</v>
      </c>
      <c r="I72" s="16"/>
      <c r="J72" s="16"/>
      <c r="K72" s="12"/>
      <c r="L72" s="16"/>
    </row>
    <row r="73" spans="1:12" s="15" customFormat="1" x14ac:dyDescent="0.35">
      <c r="A73" s="18">
        <v>420900</v>
      </c>
      <c r="B73" s="18" t="s">
        <v>44</v>
      </c>
      <c r="C73" s="19">
        <v>0</v>
      </c>
      <c r="D73" s="19">
        <v>36762.31</v>
      </c>
      <c r="E73" s="18" t="s">
        <v>42</v>
      </c>
      <c r="I73" s="16" t="e">
        <f>VLOOKUP(#REF!,#REF!,9,FALSE)</f>
        <v>#REF!</v>
      </c>
      <c r="J73" s="16"/>
      <c r="K73" s="12"/>
      <c r="L73" s="16"/>
    </row>
    <row r="74" spans="1:12" s="15" customFormat="1" x14ac:dyDescent="0.35">
      <c r="A74" s="18">
        <v>421000</v>
      </c>
      <c r="B74" s="18" t="s">
        <v>43</v>
      </c>
      <c r="C74" s="19">
        <v>0</v>
      </c>
      <c r="D74" s="19">
        <v>0</v>
      </c>
      <c r="E74" s="18" t="s">
        <v>42</v>
      </c>
      <c r="I74" s="16"/>
      <c r="J74" s="16"/>
      <c r="K74" s="12"/>
      <c r="L74" s="16"/>
    </row>
    <row r="75" spans="1:12" s="15" customFormat="1" x14ac:dyDescent="0.35">
      <c r="A75" s="18">
        <v>425100</v>
      </c>
      <c r="B75" s="18" t="s">
        <v>41</v>
      </c>
      <c r="C75" s="19">
        <v>0</v>
      </c>
      <c r="D75" s="19">
        <v>0</v>
      </c>
      <c r="E75" s="18" t="s">
        <v>40</v>
      </c>
      <c r="I75" s="16"/>
      <c r="J75" s="16"/>
      <c r="K75" s="12"/>
      <c r="L75" s="16"/>
    </row>
    <row r="76" spans="1:12" s="15" customFormat="1" x14ac:dyDescent="0.35">
      <c r="A76" s="18">
        <v>425300</v>
      </c>
      <c r="B76" s="18" t="s">
        <v>39</v>
      </c>
      <c r="C76" s="19">
        <v>0</v>
      </c>
      <c r="D76" s="19">
        <v>0</v>
      </c>
      <c r="E76" s="18" t="s">
        <v>38</v>
      </c>
      <c r="I76" s="16" t="e">
        <f>VLOOKUP(#REF!,#REF!,9,FALSE)</f>
        <v>#REF!</v>
      </c>
      <c r="J76" s="16"/>
      <c r="K76" s="12"/>
      <c r="L76" s="16"/>
    </row>
    <row r="77" spans="1:12" s="15" customFormat="1" x14ac:dyDescent="0.35">
      <c r="A77" s="18">
        <v>425510</v>
      </c>
      <c r="B77" s="18" t="s">
        <v>37</v>
      </c>
      <c r="C77" s="19">
        <v>2100</v>
      </c>
      <c r="D77" s="19">
        <v>0</v>
      </c>
      <c r="E77" s="18" t="s">
        <v>18</v>
      </c>
      <c r="I77" s="16"/>
      <c r="J77" s="16"/>
      <c r="K77" s="12"/>
      <c r="L77" s="16"/>
    </row>
    <row r="78" spans="1:12" s="15" customFormat="1" x14ac:dyDescent="0.35">
      <c r="A78" s="18">
        <v>425760</v>
      </c>
      <c r="B78" s="18" t="s">
        <v>36</v>
      </c>
      <c r="C78" s="19">
        <v>0</v>
      </c>
      <c r="D78" s="19">
        <v>0</v>
      </c>
      <c r="E78" s="18" t="s">
        <v>12</v>
      </c>
      <c r="I78" s="16"/>
      <c r="J78" s="16"/>
      <c r="K78" s="12"/>
      <c r="L78" s="16"/>
    </row>
    <row r="79" spans="1:12" s="15" customFormat="1" x14ac:dyDescent="0.35">
      <c r="A79" s="18">
        <v>425770</v>
      </c>
      <c r="B79" s="18" t="s">
        <v>35</v>
      </c>
      <c r="C79" s="19">
        <v>0</v>
      </c>
      <c r="D79" s="19">
        <v>0</v>
      </c>
      <c r="E79" s="18" t="s">
        <v>28</v>
      </c>
      <c r="I79" s="16"/>
      <c r="J79" s="16"/>
      <c r="K79" s="12"/>
      <c r="L79" s="16"/>
    </row>
    <row r="80" spans="1:12" s="15" customFormat="1" x14ac:dyDescent="0.35">
      <c r="A80" s="18">
        <v>425900</v>
      </c>
      <c r="B80" s="18" t="s">
        <v>34</v>
      </c>
      <c r="C80" s="19">
        <v>0</v>
      </c>
      <c r="D80" s="19">
        <v>0</v>
      </c>
      <c r="E80" s="18" t="s">
        <v>28</v>
      </c>
      <c r="I80" s="16"/>
      <c r="J80" s="16"/>
      <c r="K80" s="12"/>
      <c r="L80" s="16"/>
    </row>
    <row r="81" spans="1:12" s="15" customFormat="1" x14ac:dyDescent="0.35">
      <c r="A81" s="18">
        <v>426610</v>
      </c>
      <c r="B81" s="18" t="s">
        <v>33</v>
      </c>
      <c r="C81" s="19">
        <v>0</v>
      </c>
      <c r="D81" s="19">
        <v>266.10000000000002</v>
      </c>
      <c r="E81" s="18" t="s">
        <v>12</v>
      </c>
      <c r="I81" s="16" t="e">
        <f>VLOOKUP(#REF!,#REF!,9,FALSE)</f>
        <v>#REF!</v>
      </c>
      <c r="J81" s="16"/>
      <c r="K81" s="12"/>
      <c r="L81" s="16"/>
    </row>
    <row r="82" spans="1:12" s="15" customFormat="1" x14ac:dyDescent="0.35">
      <c r="A82" s="18">
        <v>426900</v>
      </c>
      <c r="B82" s="18" t="s">
        <v>32</v>
      </c>
      <c r="C82" s="19">
        <v>0</v>
      </c>
      <c r="D82" s="19">
        <v>162.94999999999999</v>
      </c>
      <c r="E82" s="18" t="s">
        <v>12</v>
      </c>
      <c r="I82" s="16"/>
      <c r="J82" s="16"/>
      <c r="K82" s="12"/>
      <c r="L82" s="16"/>
    </row>
    <row r="83" spans="1:12" s="15" customFormat="1" x14ac:dyDescent="0.35">
      <c r="A83" s="18">
        <v>427340</v>
      </c>
      <c r="B83" s="18" t="s">
        <v>31</v>
      </c>
      <c r="C83" s="19">
        <v>0</v>
      </c>
      <c r="D83" s="19">
        <v>0</v>
      </c>
      <c r="E83" s="18" t="s">
        <v>12</v>
      </c>
      <c r="I83" s="16" t="e">
        <f>VLOOKUP(#REF!,#REF!,9,FALSE)</f>
        <v>#REF!</v>
      </c>
      <c r="J83" s="16"/>
      <c r="K83" s="12"/>
      <c r="L83" s="16"/>
    </row>
    <row r="84" spans="1:12" s="15" customFormat="1" x14ac:dyDescent="0.35">
      <c r="A84" s="18">
        <v>427810</v>
      </c>
      <c r="B84" s="18" t="s">
        <v>30</v>
      </c>
      <c r="C84" s="19">
        <v>0</v>
      </c>
      <c r="D84" s="19">
        <v>0</v>
      </c>
      <c r="E84" s="18" t="s">
        <v>12</v>
      </c>
      <c r="I84" s="16" t="e">
        <f>VLOOKUP(#REF!,#REF!,9,FALSE)</f>
        <v>#REF!</v>
      </c>
      <c r="J84" s="16"/>
      <c r="K84" s="12"/>
      <c r="L84" s="16"/>
    </row>
    <row r="85" spans="1:12" s="15" customFormat="1" x14ac:dyDescent="0.35">
      <c r="A85" s="18">
        <v>428090</v>
      </c>
      <c r="B85" s="18" t="s">
        <v>29</v>
      </c>
      <c r="C85" s="19">
        <v>0</v>
      </c>
      <c r="D85" s="19">
        <v>0</v>
      </c>
      <c r="E85" s="18" t="s">
        <v>28</v>
      </c>
      <c r="I85" s="16" t="e">
        <f>VLOOKUP(#REF!,#REF!,9,FALSE)</f>
        <v>#REF!</v>
      </c>
      <c r="J85" s="16"/>
      <c r="K85" s="12"/>
      <c r="L85" s="16"/>
    </row>
    <row r="86" spans="1:12" s="15" customFormat="1" x14ac:dyDescent="0.35">
      <c r="A86" s="18">
        <v>428200</v>
      </c>
      <c r="B86" s="18" t="s">
        <v>27</v>
      </c>
      <c r="C86" s="19">
        <v>0</v>
      </c>
      <c r="D86" s="19">
        <v>0</v>
      </c>
      <c r="E86" s="18" t="s">
        <v>12</v>
      </c>
      <c r="I86" s="16" t="e">
        <f>VLOOKUP(#REF!,#REF!,9,FALSE)</f>
        <v>#REF!</v>
      </c>
      <c r="J86" s="16"/>
      <c r="K86" s="12"/>
      <c r="L86" s="16"/>
    </row>
    <row r="87" spans="1:12" s="15" customFormat="1" x14ac:dyDescent="0.35">
      <c r="A87" s="18">
        <v>428400</v>
      </c>
      <c r="B87" s="18" t="s">
        <v>26</v>
      </c>
      <c r="C87" s="19">
        <v>0</v>
      </c>
      <c r="D87" s="19">
        <v>108294.68</v>
      </c>
      <c r="E87" s="18" t="s">
        <v>12</v>
      </c>
      <c r="I87" s="16"/>
      <c r="J87" s="16"/>
      <c r="K87" s="12"/>
      <c r="L87" s="16"/>
    </row>
    <row r="88" spans="1:12" s="15" customFormat="1" x14ac:dyDescent="0.35">
      <c r="A88" s="18">
        <v>429900</v>
      </c>
      <c r="B88" s="18" t="s">
        <v>25</v>
      </c>
      <c r="C88" s="19">
        <v>0</v>
      </c>
      <c r="D88" s="19">
        <v>0</v>
      </c>
      <c r="E88" s="18" t="s">
        <v>12</v>
      </c>
      <c r="I88" s="16" t="e">
        <f>VLOOKUP(#REF!,#REF!,9,FALSE)</f>
        <v>#REF!</v>
      </c>
      <c r="J88" s="16"/>
      <c r="K88" s="12"/>
      <c r="L88" s="16"/>
    </row>
    <row r="89" spans="1:12" s="15" customFormat="1" x14ac:dyDescent="0.35">
      <c r="A89" s="18">
        <v>430330</v>
      </c>
      <c r="B89" s="18" t="s">
        <v>24</v>
      </c>
      <c r="C89" s="19">
        <v>0</v>
      </c>
      <c r="D89" s="19">
        <v>0</v>
      </c>
      <c r="E89" s="18" t="s">
        <v>12</v>
      </c>
      <c r="I89" s="16" t="e">
        <f>VLOOKUP(#REF!,#REF!,9,FALSE)</f>
        <v>#REF!</v>
      </c>
      <c r="J89" s="16"/>
      <c r="K89" s="12"/>
      <c r="L89" s="16"/>
    </row>
    <row r="90" spans="1:12" s="15" customFormat="1" x14ac:dyDescent="0.35">
      <c r="A90" s="18">
        <v>432120</v>
      </c>
      <c r="B90" s="18" t="s">
        <v>23</v>
      </c>
      <c r="C90" s="19">
        <v>0</v>
      </c>
      <c r="D90" s="19">
        <v>0</v>
      </c>
      <c r="E90" s="18" t="s">
        <v>16</v>
      </c>
      <c r="I90" s="16" t="e">
        <f>VLOOKUP(#REF!,#REF!,9,FALSE)</f>
        <v>#REF!</v>
      </c>
      <c r="J90" s="16"/>
      <c r="K90" s="12"/>
      <c r="L90" s="16"/>
    </row>
    <row r="91" spans="1:12" s="15" customFormat="1" x14ac:dyDescent="0.35">
      <c r="A91" s="18">
        <v>432690</v>
      </c>
      <c r="B91" s="18" t="s">
        <v>22</v>
      </c>
      <c r="C91" s="19">
        <v>0</v>
      </c>
      <c r="D91" s="19">
        <v>0</v>
      </c>
      <c r="E91" s="18" t="s">
        <v>16</v>
      </c>
      <c r="I91" s="16" t="e">
        <f>VLOOKUP(#REF!,#REF!,9,FALSE)</f>
        <v>#REF!</v>
      </c>
      <c r="J91" s="16"/>
      <c r="K91" s="12"/>
      <c r="L91" s="16"/>
    </row>
    <row r="92" spans="1:12" s="15" customFormat="1" x14ac:dyDescent="0.35">
      <c r="A92" s="18">
        <v>435350</v>
      </c>
      <c r="B92" s="18" t="s">
        <v>21</v>
      </c>
      <c r="C92" s="19">
        <v>15642.98</v>
      </c>
      <c r="D92" s="19"/>
      <c r="E92" s="18" t="s">
        <v>12</v>
      </c>
      <c r="I92" s="16"/>
      <c r="J92" s="16"/>
      <c r="K92" s="12"/>
      <c r="L92" s="16"/>
    </row>
    <row r="93" spans="1:12" s="15" customFormat="1" x14ac:dyDescent="0.35">
      <c r="A93" s="18">
        <v>435508</v>
      </c>
      <c r="B93" s="18" t="s">
        <v>20</v>
      </c>
      <c r="C93" s="19">
        <v>396733.33</v>
      </c>
      <c r="D93" s="19">
        <v>450999.13</v>
      </c>
      <c r="E93" s="18" t="s">
        <v>12</v>
      </c>
      <c r="I93" s="16" t="e">
        <f>VLOOKUP(#REF!,#REF!,9,FALSE)</f>
        <v>#REF!</v>
      </c>
      <c r="J93" s="16"/>
      <c r="K93" s="12"/>
      <c r="L93" s="16"/>
    </row>
    <row r="94" spans="1:12" s="15" customFormat="1" x14ac:dyDescent="0.35">
      <c r="A94" s="18">
        <v>435519</v>
      </c>
      <c r="B94" s="18" t="s">
        <v>19</v>
      </c>
      <c r="C94" s="19">
        <v>0</v>
      </c>
      <c r="D94" s="19">
        <v>0</v>
      </c>
      <c r="E94" s="18" t="s">
        <v>18</v>
      </c>
      <c r="I94" s="16"/>
      <c r="J94" s="16"/>
      <c r="K94" s="12"/>
      <c r="L94" s="16"/>
    </row>
    <row r="95" spans="1:12" s="15" customFormat="1" x14ac:dyDescent="0.35">
      <c r="A95" s="18">
        <v>435910</v>
      </c>
      <c r="B95" s="18" t="s">
        <v>17</v>
      </c>
      <c r="C95" s="19">
        <v>0</v>
      </c>
      <c r="D95" s="19">
        <v>0</v>
      </c>
      <c r="E95" s="18" t="s">
        <v>16</v>
      </c>
      <c r="I95" s="16" t="e">
        <f>VLOOKUP(#REF!,#REF!,9,FALSE)</f>
        <v>#REF!</v>
      </c>
      <c r="J95" s="16"/>
      <c r="K95" s="12"/>
      <c r="L95" s="16"/>
    </row>
    <row r="96" spans="1:12" s="15" customFormat="1" x14ac:dyDescent="0.35">
      <c r="A96" s="18">
        <v>436110</v>
      </c>
      <c r="B96" s="18" t="s">
        <v>15</v>
      </c>
      <c r="C96" s="19">
        <v>0</v>
      </c>
      <c r="D96" s="19">
        <v>0</v>
      </c>
      <c r="E96" s="18" t="s">
        <v>12</v>
      </c>
      <c r="I96" s="16"/>
      <c r="J96" s="16"/>
      <c r="K96" s="12"/>
      <c r="L96" s="16"/>
    </row>
    <row r="97" spans="1:14" s="15" customFormat="1" x14ac:dyDescent="0.35">
      <c r="A97" s="18">
        <v>436120</v>
      </c>
      <c r="B97" s="18" t="s">
        <v>14</v>
      </c>
      <c r="C97" s="19">
        <v>0</v>
      </c>
      <c r="D97" s="19">
        <v>0</v>
      </c>
      <c r="E97" s="18" t="s">
        <v>12</v>
      </c>
      <c r="I97" s="16"/>
      <c r="J97" s="16"/>
      <c r="K97" s="12"/>
      <c r="L97" s="16"/>
    </row>
    <row r="98" spans="1:14" s="20" customFormat="1" x14ac:dyDescent="0.35">
      <c r="A98" s="18">
        <v>473050</v>
      </c>
      <c r="B98" s="18" t="s">
        <v>13</v>
      </c>
      <c r="C98" s="19">
        <v>0</v>
      </c>
      <c r="D98" s="19">
        <v>0</v>
      </c>
      <c r="E98" s="18" t="s">
        <v>12</v>
      </c>
      <c r="I98" s="16" t="e">
        <f>VLOOKUP(#REF!,#REF!,9,FALSE)</f>
        <v>#REF!</v>
      </c>
      <c r="J98" s="16"/>
      <c r="K98" s="12"/>
      <c r="L98" s="16"/>
    </row>
    <row r="99" spans="1:14" s="20" customFormat="1" x14ac:dyDescent="0.35">
      <c r="A99" s="18">
        <v>475210</v>
      </c>
      <c r="B99" s="18" t="s">
        <v>11</v>
      </c>
      <c r="C99" s="19">
        <v>364262.31</v>
      </c>
      <c r="D99" s="19">
        <v>364262.31</v>
      </c>
      <c r="E99" s="18" t="s">
        <v>0</v>
      </c>
      <c r="I99" s="16" t="e">
        <f>VLOOKUP(#REF!,#REF!,9,FALSE)</f>
        <v>#REF!</v>
      </c>
      <c r="J99" s="16"/>
      <c r="K99" s="12"/>
      <c r="L99" s="16"/>
    </row>
    <row r="100" spans="1:14" s="15" customFormat="1" x14ac:dyDescent="0.35">
      <c r="A100" s="18">
        <v>475220</v>
      </c>
      <c r="B100" s="18" t="s">
        <v>10</v>
      </c>
      <c r="C100" s="19">
        <v>809603.28</v>
      </c>
      <c r="D100" s="19">
        <v>1058153.4099999999</v>
      </c>
      <c r="E100" s="18" t="s">
        <v>0</v>
      </c>
      <c r="I100" s="16"/>
      <c r="J100" s="16"/>
      <c r="K100" s="12"/>
      <c r="L100" s="16"/>
    </row>
    <row r="101" spans="1:14" s="20" customFormat="1" x14ac:dyDescent="0.35">
      <c r="A101" s="18">
        <v>475240</v>
      </c>
      <c r="B101" s="18" t="s">
        <v>9</v>
      </c>
      <c r="C101" s="19">
        <v>13416.02</v>
      </c>
      <c r="D101" s="19">
        <v>22236.240000000002</v>
      </c>
      <c r="E101" s="18" t="s">
        <v>0</v>
      </c>
      <c r="I101" s="16" t="e">
        <f>VLOOKUP(#REF!,#REF!,9,FALSE)</f>
        <v>#REF!</v>
      </c>
      <c r="J101" s="16"/>
      <c r="K101" s="12"/>
      <c r="L101" s="16"/>
    </row>
    <row r="102" spans="1:14" s="20" customFormat="1" x14ac:dyDescent="0.35">
      <c r="A102" s="18">
        <v>475250</v>
      </c>
      <c r="B102" s="18" t="s">
        <v>8</v>
      </c>
      <c r="C102" s="19">
        <v>58702.57</v>
      </c>
      <c r="D102" s="19">
        <v>84105.27</v>
      </c>
      <c r="E102" s="18" t="s">
        <v>0</v>
      </c>
      <c r="I102" s="16"/>
      <c r="J102" s="16"/>
      <c r="K102" s="12"/>
      <c r="L102" s="16"/>
    </row>
    <row r="103" spans="1:14" s="20" customFormat="1" x14ac:dyDescent="0.35">
      <c r="A103" s="18">
        <v>492200</v>
      </c>
      <c r="B103" s="18" t="s">
        <v>7</v>
      </c>
      <c r="C103" s="19">
        <v>0</v>
      </c>
      <c r="D103" s="19">
        <v>0</v>
      </c>
      <c r="E103" s="18" t="s">
        <v>2</v>
      </c>
      <c r="I103" s="16" t="e">
        <f>VLOOKUP(#REF!,#REF!,9,FALSE)</f>
        <v>#REF!</v>
      </c>
      <c r="J103" s="16"/>
      <c r="K103" s="12"/>
      <c r="L103" s="16"/>
    </row>
    <row r="104" spans="1:14" s="20" customFormat="1" x14ac:dyDescent="0.35">
      <c r="A104" s="18">
        <v>492308</v>
      </c>
      <c r="B104" s="18" t="s">
        <v>6</v>
      </c>
      <c r="C104" s="19">
        <v>0</v>
      </c>
      <c r="D104" s="19">
        <v>0</v>
      </c>
      <c r="E104" s="18" t="s">
        <v>2</v>
      </c>
      <c r="I104" s="16" t="e">
        <f>VLOOKUP(#REF!,#REF!,9,FALSE)</f>
        <v>#REF!</v>
      </c>
      <c r="J104" s="16"/>
      <c r="K104" s="12"/>
      <c r="L104" s="16"/>
    </row>
    <row r="105" spans="1:14" s="20" customFormat="1" x14ac:dyDescent="0.35">
      <c r="A105" s="18">
        <v>492316</v>
      </c>
      <c r="B105" s="18" t="s">
        <v>5</v>
      </c>
      <c r="C105" s="19">
        <v>34650.86</v>
      </c>
      <c r="D105" s="19">
        <v>32348</v>
      </c>
      <c r="E105" s="18" t="s">
        <v>2</v>
      </c>
      <c r="I105" s="16"/>
      <c r="J105" s="16"/>
      <c r="K105" s="12"/>
      <c r="L105" s="16"/>
    </row>
    <row r="106" spans="1:14" s="20" customFormat="1" x14ac:dyDescent="0.35">
      <c r="A106" s="18">
        <v>492610</v>
      </c>
      <c r="B106" s="18" t="s">
        <v>4</v>
      </c>
      <c r="C106" s="19">
        <v>0</v>
      </c>
      <c r="D106" s="19">
        <v>0</v>
      </c>
      <c r="E106" s="18" t="s">
        <v>2</v>
      </c>
      <c r="I106" s="16"/>
      <c r="J106" s="16"/>
      <c r="K106" s="12"/>
      <c r="L106" s="16"/>
    </row>
    <row r="107" spans="1:14" s="15" customFormat="1" x14ac:dyDescent="0.35">
      <c r="A107" s="18">
        <v>495140</v>
      </c>
      <c r="B107" s="18" t="s">
        <v>3</v>
      </c>
      <c r="C107" s="19">
        <v>0</v>
      </c>
      <c r="D107" s="19">
        <v>-172.4</v>
      </c>
      <c r="E107" s="18" t="s">
        <v>2</v>
      </c>
      <c r="F107" s="17"/>
      <c r="I107" s="16" t="e">
        <f>VLOOKUP(#REF!,#REF!,9,FALSE)</f>
        <v>#REF!</v>
      </c>
      <c r="J107" s="16"/>
      <c r="K107" s="12"/>
      <c r="L107" s="16"/>
    </row>
    <row r="108" spans="1:14" s="4" customFormat="1" x14ac:dyDescent="0.35">
      <c r="A108" s="14"/>
      <c r="B108" s="14"/>
      <c r="C108" s="14"/>
      <c r="D108" s="14"/>
      <c r="E108" s="13"/>
      <c r="F108" s="13"/>
      <c r="H108" s="7" t="e">
        <f>+#REF!+F107</f>
        <v>#REF!</v>
      </c>
      <c r="K108" s="5"/>
      <c r="L108" s="5"/>
      <c r="M108" s="12"/>
      <c r="N108" s="5"/>
    </row>
    <row r="109" spans="1:14" s="6" customFormat="1" ht="15" thickBot="1" x14ac:dyDescent="0.4">
      <c r="A109" s="11" t="s">
        <v>1</v>
      </c>
      <c r="C109" s="10">
        <f>SUM(C5:C107)</f>
        <v>3.0777300707995892E-9</v>
      </c>
      <c r="D109" s="10">
        <f>SUM(D5:D107)</f>
        <v>1.7695072074275231E-9</v>
      </c>
      <c r="K109" s="10">
        <f>SUM(K5:K108)</f>
        <v>0</v>
      </c>
      <c r="L109" s="8"/>
      <c r="M109" s="9"/>
      <c r="N109" s="8"/>
    </row>
    <row r="110" spans="1:14" ht="15" thickTop="1" x14ac:dyDescent="0.35">
      <c r="F110" s="7"/>
    </row>
    <row r="112" spans="1:14" x14ac:dyDescent="0.35">
      <c r="F112" s="7"/>
    </row>
  </sheetData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KUJ TB-Dec21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Khuloud AlOthali</dc:creator>
  <cp:lastModifiedBy>Khuloud AlOthali</cp:lastModifiedBy>
  <dcterms:created xsi:type="dcterms:W3CDTF">2022-03-23T07:06:11Z</dcterms:created>
  <dcterms:modified xsi:type="dcterms:W3CDTF">2022-03-24T06:08:24Z</dcterms:modified>
</cp:coreProperties>
</file>