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 filterPrivacy="1" defaultThemeVersion="124226"/>
  <xr:revisionPtr revIDLastSave="0" documentId="13_ncr:1_{C4863398-4A38-482F-B681-510AD84E0F85}" xr6:coauthVersionLast="47" xr6:coauthVersionMax="47" xr10:uidLastSave="{00000000-0000-0000-0000-000000000000}"/>
  <bookViews>
    <workbookView xWindow="0" yWindow="0" windowWidth="23040" windowHeight="9060" firstSheet="1" activeTab="1" xr2:uid="{00000000-000D-0000-FFFF-FFFF00000000}"/>
  </bookViews>
  <sheets>
    <sheet name="CH1 ARIC" sheetId="1" r:id="rId1"/>
    <sheet name="Budget 2023" sheetId="4" r:id="rId2"/>
    <sheet name="ARIC PERSONNEL FROM HR" sheetId="5" r:id="rId3"/>
    <sheet name="CH2 ARIC" sheetId="2" r:id="rId4"/>
    <sheet name="CH3 ARIC" sheetId="3" r:id="rId5"/>
  </sheets>
  <externalReferences>
    <externalReference r:id="rId6"/>
  </externalReferences>
  <definedNames>
    <definedName name="company">[1]Data!$B$2</definedName>
    <definedName name="emirates">[1]Data!$B$5</definedName>
    <definedName name="pobox">[1]Data!$B$4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P2" i="5"/>
  <c r="S7" i="5"/>
  <c r="R7" i="5"/>
  <c r="O7" i="5"/>
  <c r="J7" i="5"/>
  <c r="Q6" i="5"/>
  <c r="P6" i="5"/>
  <c r="L6" i="5"/>
  <c r="K6" i="5"/>
  <c r="M6" i="5" s="1"/>
  <c r="J6" i="5"/>
  <c r="Q5" i="5"/>
  <c r="P5" i="5"/>
  <c r="L5" i="5"/>
  <c r="K5" i="5"/>
  <c r="M5" i="5" s="1"/>
  <c r="T5" i="5" s="1"/>
  <c r="J5" i="5"/>
  <c r="Q4" i="5"/>
  <c r="P4" i="5"/>
  <c r="L4" i="5"/>
  <c r="K4" i="5"/>
  <c r="J4" i="5"/>
  <c r="Q3" i="5"/>
  <c r="P3" i="5"/>
  <c r="L3" i="5"/>
  <c r="K3" i="5"/>
  <c r="M3" i="5" s="1"/>
  <c r="J3" i="5"/>
  <c r="Q2" i="5"/>
  <c r="Q7" i="5" s="1"/>
  <c r="P7" i="5"/>
  <c r="L2" i="5"/>
  <c r="K2" i="5"/>
  <c r="M2" i="5" s="1"/>
  <c r="J2" i="5"/>
  <c r="F38" i="4"/>
  <c r="I36" i="4"/>
  <c r="H36" i="4"/>
  <c r="G36" i="4"/>
  <c r="F29" i="4"/>
  <c r="M29" i="4" s="1"/>
  <c r="F28" i="4"/>
  <c r="F27" i="4"/>
  <c r="F26" i="4"/>
  <c r="N26" i="4" s="1"/>
  <c r="F25" i="4"/>
  <c r="O25" i="4" s="1"/>
  <c r="F24" i="4"/>
  <c r="N24" i="4" s="1"/>
  <c r="F23" i="4"/>
  <c r="K23" i="4" s="1"/>
  <c r="O23" i="4" s="1"/>
  <c r="F21" i="4"/>
  <c r="K22" i="4" s="1"/>
  <c r="O22" i="4" s="1"/>
  <c r="F19" i="4"/>
  <c r="H20" i="4" s="1"/>
  <c r="N20" i="4" s="1"/>
  <c r="E17" i="4"/>
  <c r="F17" i="4" s="1"/>
  <c r="G18" i="4" s="1"/>
  <c r="M18" i="4" s="1"/>
  <c r="F15" i="4"/>
  <c r="G16" i="4" s="1"/>
  <c r="M16" i="4" s="1"/>
  <c r="F13" i="4"/>
  <c r="H14" i="4" s="1"/>
  <c r="N14" i="4" s="1"/>
  <c r="F11" i="4"/>
  <c r="H12" i="4" s="1"/>
  <c r="N12" i="4" s="1"/>
  <c r="F9" i="4"/>
  <c r="I10" i="4" s="1"/>
  <c r="F7" i="4"/>
  <c r="F30" i="4" s="1"/>
  <c r="N30" i="4" l="1"/>
  <c r="M4" i="5"/>
  <c r="T4" i="5" s="1"/>
  <c r="T3" i="5"/>
  <c r="T6" i="5"/>
  <c r="G8" i="4"/>
  <c r="M8" i="4" s="1"/>
  <c r="M30" i="4" s="1"/>
  <c r="K8" i="4"/>
  <c r="O8" i="4" s="1"/>
  <c r="O30" i="4" s="1"/>
  <c r="L7" i="5"/>
  <c r="F42" i="4"/>
  <c r="F46" i="4" s="1"/>
  <c r="M7" i="5"/>
  <c r="T2" i="5"/>
  <c r="T7" i="5" s="1"/>
  <c r="K7" i="5"/>
  <c r="O32" i="4" l="1"/>
  <c r="O31" i="4"/>
  <c r="M31" i="4"/>
  <c r="M32" i="4"/>
  <c r="N32" i="4"/>
  <c r="N31" i="4"/>
  <c r="E30" i="4"/>
</calcChain>
</file>

<file path=xl/sharedStrings.xml><?xml version="1.0" encoding="utf-8"?>
<sst xmlns="http://schemas.openxmlformats.org/spreadsheetml/2006/main" count="322" uniqueCount="182">
  <si>
    <t>Budget performance - Personal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</si>
  <si>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</si>
  <si>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</si>
  <si>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</si>
  <si>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</si>
  <si>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</si>
  <si>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</si>
  <si>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</si>
  <si>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</si>
  <si>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</si>
  <si>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</si>
  <si>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</si>
  <si>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</si>
  <si>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</si>
  <si>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ARIC budget 2023</t>
  </si>
  <si>
    <t>KUJ - Ledger</t>
  </si>
  <si>
    <t>8436010</t>
  </si>
  <si>
    <t>KU - Joint Ventures-ARIC</t>
  </si>
  <si>
    <t>412110</t>
  </si>
  <si>
    <t>Consolidated pay (combined salaries and allowances)</t>
  </si>
  <si>
    <t>843.8436010.1.412110.000000.843106.000000</t>
  </si>
  <si>
    <t>412121</t>
  </si>
  <si>
    <t>Basic salary</t>
  </si>
  <si>
    <t>843.8436010.1.412121.000000.843102.000000</t>
  </si>
  <si>
    <t>843.8436010.1.412121.000000.843104.000000</t>
  </si>
  <si>
    <t>843.8436010.1.412121.000000.843106.000000</t>
  </si>
  <si>
    <t>412125</t>
  </si>
  <si>
    <t>Cost of living adjustment pay (COLA)</t>
  </si>
  <si>
    <t>843.8436010.1.412125.000000.843102.000000</t>
  </si>
  <si>
    <t>843.8436010.1.412125.000000.843104.000000</t>
  </si>
  <si>
    <t>843.8436010.1.412125.000000.843106.000000</t>
  </si>
  <si>
    <t>412521</t>
  </si>
  <si>
    <t>Administration allowance (including Mansab)</t>
  </si>
  <si>
    <t>843.8436010.1.412521.000000.843106.000000</t>
  </si>
  <si>
    <t>412534</t>
  </si>
  <si>
    <t>School fee reimbursements</t>
  </si>
  <si>
    <t>843.8436010.1.412534.000000.843102.000000</t>
  </si>
  <si>
    <t>843.8436010.1.412534.000000.843106.000000</t>
  </si>
  <si>
    <t>412590</t>
  </si>
  <si>
    <t>Rounding up cost of net pay</t>
  </si>
  <si>
    <t>843.8436010.1.412590.000000.843104.000000</t>
  </si>
  <si>
    <t>843.8436010.1.412590.000000.843106.000000</t>
  </si>
  <si>
    <t>414120</t>
  </si>
  <si>
    <t>Gratuity - Non-pensionable employees</t>
  </si>
  <si>
    <t>843.8436010.1.414120.000000.843102.000000</t>
  </si>
  <si>
    <t>843.8436010.1.414120.000000.843104.000000</t>
  </si>
  <si>
    <t>843.8436010.1.414120.000000.843106.000000</t>
  </si>
  <si>
    <t>416110</t>
  </si>
  <si>
    <t>Employee travel costs - Fares</t>
  </si>
  <si>
    <t>843.8436010.1.416110.000000.843102.000000</t>
  </si>
  <si>
    <t>843.8436010.1.416110.000000.843106.000000</t>
  </si>
  <si>
    <t>843.8436010.1.416310.000000.843106.000000</t>
  </si>
  <si>
    <t>Grand Total</t>
  </si>
  <si>
    <t>ARIC 2023 Budget</t>
  </si>
  <si>
    <t>MANPOWER BUDGET</t>
  </si>
  <si>
    <t xml:space="preserve">MANPOWER ALLOCATION </t>
  </si>
  <si>
    <t xml:space="preserve">Create Code </t>
  </si>
  <si>
    <t xml:space="preserve">Andreas </t>
  </si>
  <si>
    <t xml:space="preserve">Yahya </t>
  </si>
  <si>
    <t>Yahya</t>
  </si>
  <si>
    <t>xxx</t>
  </si>
  <si>
    <t>Name</t>
  </si>
  <si>
    <t xml:space="preserve">Joining Date </t>
  </si>
  <si>
    <t xml:space="preserve">Position </t>
  </si>
  <si>
    <t>Grade</t>
  </si>
  <si>
    <t xml:space="preserve">Monthly Salary </t>
  </si>
  <si>
    <t>Annual Salary 2023</t>
  </si>
  <si>
    <t>1) Advanced Materials*</t>
  </si>
  <si>
    <t>2) Robotics and Digital Systems**</t>
  </si>
  <si>
    <t>3) Health Technologies***</t>
  </si>
  <si>
    <t>4) Energy and Environmental Technologies****</t>
  </si>
  <si>
    <t>Central</t>
  </si>
  <si>
    <t>Pradeep George^^^ (1)</t>
  </si>
  <si>
    <t>Lab Engineer</t>
  </si>
  <si>
    <t>SG14</t>
  </si>
  <si>
    <t>Ahmad Al-Jarah (3)</t>
  </si>
  <si>
    <t>Research Associate</t>
  </si>
  <si>
    <t>XXX</t>
  </si>
  <si>
    <t>Laith Abu Assi (2-STRATA)</t>
  </si>
  <si>
    <t>Abdulla Ayyad^^ (2-STRATA)</t>
  </si>
  <si>
    <t>Mohamed Al-Krunz (1)</t>
  </si>
  <si>
    <t>Research Assistant</t>
  </si>
  <si>
    <t xml:space="preserve"> Satish Verenkar^ (bicycle project, 1)</t>
  </si>
  <si>
    <t>Research Technician</t>
  </si>
  <si>
    <t>Mohammed Ramadan (2-SANAD)</t>
  </si>
  <si>
    <t>10% Director's contribution</t>
  </si>
  <si>
    <t>Director</t>
  </si>
  <si>
    <t>Strata Mgr by contract</t>
  </si>
  <si>
    <t>STRATA Mgr</t>
  </si>
  <si>
    <t>RA-Strata Focal  (2)</t>
  </si>
  <si>
    <t>Lab engineer  (5)</t>
  </si>
  <si>
    <t xml:space="preserve">Lab assistant </t>
  </si>
  <si>
    <t>RA-Sanad Focal (2)</t>
  </si>
  <si>
    <t>Postdoc (3)</t>
  </si>
  <si>
    <t>Postdoc</t>
  </si>
  <si>
    <t xml:space="preserve">RA (3) </t>
  </si>
  <si>
    <t>RA (1)</t>
  </si>
  <si>
    <t>Total Personnel</t>
  </si>
  <si>
    <t>total</t>
  </si>
  <si>
    <t>OPEX BUDGET</t>
  </si>
  <si>
    <t>basic salary</t>
  </si>
  <si>
    <t>Materials &amp; Consumables-3DP</t>
  </si>
  <si>
    <t>Already hired</t>
  </si>
  <si>
    <t>cola</t>
  </si>
  <si>
    <t>Tooling &amp; Consumables-Exoskeleton</t>
  </si>
  <si>
    <t>To be hired</t>
  </si>
  <si>
    <t>Tooling &amp; Consumables-Robotics</t>
  </si>
  <si>
    <t xml:space="preserve">To be discussed </t>
  </si>
  <si>
    <t>Software upgrade expenses for 3D  metal  printer</t>
  </si>
  <si>
    <t>Materials &amp; Consumables-TP</t>
  </si>
  <si>
    <t xml:space="preserve">Travel/Events </t>
  </si>
  <si>
    <t>Total OPEX</t>
  </si>
  <si>
    <t>CAPEX BUDGET</t>
  </si>
  <si>
    <t>Total CAPEX</t>
  </si>
  <si>
    <t>TOTAL BUDGET</t>
  </si>
  <si>
    <t>Defecit</t>
  </si>
  <si>
    <t>Total with defecit</t>
  </si>
  <si>
    <t>*: includes Additive Manufacturing,
Advanced Composite Processing Techniques, Thermoplastic Materials and Processes,
Graphene Applications, and Multi-Functional Materials;</t>
  </si>
  <si>
    <t>**: includes Robotic Manufacturing and Assembly Technologies, Robotic Inspection
Systems, Industrial Internet of Things (IIOT), Artificial intelligence (AI), Virtual Intelligence
(VI), and Blockchain;</t>
  </si>
  <si>
    <t>***: includes Digital Solutions such as Artificial
Intelligence (AI), Virtual Reality (VR), and Blockchain, Robotic Solutions at Point of (POC), Additive Manufacturing for Medical Devices and Surgical Tools, Bio-sensing, and
Exoskeleton</t>
  </si>
  <si>
    <t>****: includes Water Filtration and Desalination,
Energy Storage, Alternative Energy Solutions, Highly Efficient Heat Exchangers for Cooling,
and Cathode and Anode Materials for Batteries and Energy Storage Systems.</t>
  </si>
  <si>
    <t xml:space="preserve">^ Satish: will be covered through ARIC for 2023.  </t>
  </si>
  <si>
    <t xml:space="preserve">^^ Abdulla Ayyad: we budgeted an extra 5073/month (+30%) for promotion as a retention strategy. In 2023 his salary should be 21-22K/month. </t>
  </si>
  <si>
    <t>^^^Annual salary includes allowances</t>
  </si>
  <si>
    <t>Employee Number</t>
  </si>
  <si>
    <t>Joining Date</t>
  </si>
  <si>
    <t>Position</t>
  </si>
  <si>
    <t>Section</t>
  </si>
  <si>
    <t>Nationality</t>
  </si>
  <si>
    <t>Basic Salary</t>
  </si>
  <si>
    <t>Cost of Living Subsidy</t>
  </si>
  <si>
    <t>Gross Salary</t>
  </si>
  <si>
    <t>Basic Salary(Yearly)</t>
  </si>
  <si>
    <t>COLA (Yearly)</t>
  </si>
  <si>
    <t>Gross Salary  (yearly)</t>
  </si>
  <si>
    <t>Annual Leave Entitlement ( Working Days)</t>
  </si>
  <si>
    <t>Annual Ticket Allowance ( Based on 2022 payment)</t>
  </si>
  <si>
    <t>Leave Encashment ( Basic + Cols)</t>
  </si>
  <si>
    <t>Gratuity ( Expat - One Basic every year of Service)</t>
  </si>
  <si>
    <t>Education Claims Processed  ( Academic Year 2021-2022)</t>
  </si>
  <si>
    <t>Health Insurance (estimation based on 2022)</t>
  </si>
  <si>
    <t>Total yearly cost Per Employee</t>
  </si>
  <si>
    <t>KU500020</t>
  </si>
  <si>
    <t>Mr.  Pradeep George</t>
  </si>
  <si>
    <t>ARIC</t>
  </si>
  <si>
    <t>KU14</t>
  </si>
  <si>
    <t>India</t>
  </si>
  <si>
    <t>KU500324</t>
  </si>
  <si>
    <t>Mr.  Abdulla Amer Hasan Ayyad</t>
  </si>
  <si>
    <t>KU12</t>
  </si>
  <si>
    <t>Jordan</t>
  </si>
  <si>
    <t>KU500377</t>
  </si>
  <si>
    <t>Mr.  Mohammed M M Alkrunz</t>
  </si>
  <si>
    <t>KU11</t>
  </si>
  <si>
    <t>Palestine</t>
  </si>
  <si>
    <t>KU500539</t>
  </si>
  <si>
    <t>Mr.  Laith Faisal Hussein Abuassi</t>
  </si>
  <si>
    <t>Temp Researcher External Fund</t>
  </si>
  <si>
    <t>KU500559</t>
  </si>
  <si>
    <t>Mr.  Ahmad Adnan Rashid Al Jarah</t>
  </si>
  <si>
    <t>Budget Performance Opex</t>
  </si>
  <si>
    <t>425510</t>
  </si>
  <si>
    <t>Conferences, seminars and exhibitions and other events: - Local Events</t>
  </si>
  <si>
    <t>843.8436010.1.425510.000000.843106.000000</t>
  </si>
  <si>
    <t>428400</t>
  </si>
  <si>
    <t>Sponsorship expenses/contributions</t>
  </si>
  <si>
    <t>843.8436010.1.428400.000000.843106.000000</t>
  </si>
  <si>
    <t>435508</t>
  </si>
  <si>
    <t>Laboratory - Scientific</t>
  </si>
  <si>
    <t>843.8436010.1.435508.000000.843101.000000</t>
  </si>
  <si>
    <t>843.8436010.1.435508.000000.843102.000000</t>
  </si>
  <si>
    <t>843.8436010.1.435508.000000.843104.000000</t>
  </si>
  <si>
    <t>843.8436010.1.435508.000000.843106.000000</t>
  </si>
  <si>
    <t>843.8436010.1.435508.000000.843107.000000</t>
  </si>
  <si>
    <t>843.8436010.1.435508.000000.843111.000000</t>
  </si>
  <si>
    <t>8436010 Total</t>
  </si>
  <si>
    <t>Budget performance - Capex</t>
  </si>
  <si>
    <t>492316</t>
  </si>
  <si>
    <t>Laboratory equipment</t>
  </si>
  <si>
    <t>843.8436010.1.492316.000000.843101.000000</t>
  </si>
  <si>
    <t>843.8436010.1.492316.000000.843104.000000</t>
  </si>
  <si>
    <t>843.8436010.1.492316.000000.843106.000000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</si>
</sst>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2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rgb="FF333399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1F497D"/>
      <name val="Times New Roman"/>
      <family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u val="singleAccounting"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3" fontId="3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4" fillId="2" borderId="0" xfId="0" applyNumberFormat="1" applyFont="1" applyFill="1" applyAlignment="1">
      <alignment horizontal="right" vertical="top" wrapText="1"/>
    </xf>
    <xf numFmtId="0" fontId="0" fillId="2" borderId="0" xfId="0" applyFill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4" borderId="0" xfId="0" applyFill="1"/>
    <xf numFmtId="0" fontId="0" fillId="4" borderId="7" xfId="0" applyFill="1" applyBorder="1"/>
    <xf numFmtId="0" fontId="0" fillId="5" borderId="0" xfId="0" applyFill="1"/>
    <xf numFmtId="0" fontId="3" fillId="3" borderId="0" xfId="0" applyFont="1" applyFill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0" fillId="0" borderId="8" xfId="0" applyBorder="1"/>
    <xf numFmtId="0" fontId="9" fillId="0" borderId="0" xfId="0" applyFont="1"/>
    <xf numFmtId="0" fontId="0" fillId="0" borderId="9" xfId="0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3" xfId="0" applyFont="1" applyBorder="1" applyAlignment="1">
      <alignment horizontal="center" wrapText="1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0" fillId="6" borderId="27" xfId="0" applyFont="1" applyFill="1" applyBorder="1" applyAlignment="1">
      <alignment vertical="top" wrapText="1"/>
    </xf>
    <xf numFmtId="15" fontId="10" fillId="6" borderId="28" xfId="0" applyNumberFormat="1" applyFont="1" applyFill="1" applyBorder="1" applyAlignment="1">
      <alignment horizontal="right" vertical="top" wrapText="1"/>
    </xf>
    <xf numFmtId="0" fontId="11" fillId="6" borderId="29" xfId="0" applyFont="1" applyFill="1" applyBorder="1" applyAlignment="1">
      <alignment horizontal="left" vertical="top" wrapText="1"/>
    </xf>
    <xf numFmtId="0" fontId="10" fillId="6" borderId="7" xfId="0" applyFont="1" applyFill="1" applyBorder="1" applyAlignment="1">
      <alignment horizontal="left" vertical="top" wrapText="1"/>
    </xf>
    <xf numFmtId="3" fontId="10" fillId="6" borderId="29" xfId="0" applyNumberFormat="1" applyFont="1" applyFill="1" applyBorder="1" applyAlignment="1">
      <alignment horizontal="left" vertical="top" wrapText="1"/>
    </xf>
    <xf numFmtId="3" fontId="10" fillId="6" borderId="30" xfId="0" applyNumberFormat="1" applyFont="1" applyFill="1" applyBorder="1" applyAlignment="1">
      <alignment horizontal="left" vertical="top" wrapText="1"/>
    </xf>
    <xf numFmtId="9" fontId="0" fillId="7" borderId="31" xfId="2" applyNumberFormat="1" applyFont="1" applyFill="1" applyBorder="1"/>
    <xf numFmtId="9" fontId="0" fillId="7" borderId="7" xfId="2" applyNumberFormat="1" applyFont="1" applyFill="1" applyBorder="1"/>
    <xf numFmtId="9" fontId="0" fillId="7" borderId="32" xfId="2" applyNumberFormat="1" applyFont="1" applyFill="1" applyBorder="1"/>
    <xf numFmtId="15" fontId="10" fillId="6" borderId="28" xfId="0" applyNumberFormat="1" applyFont="1" applyFill="1" applyBorder="1" applyAlignment="1">
      <alignment horizontal="left" vertical="top" wrapText="1"/>
    </xf>
    <xf numFmtId="0" fontId="11" fillId="6" borderId="7" xfId="0" applyFont="1" applyFill="1" applyBorder="1" applyAlignment="1">
      <alignment vertical="top" wrapText="1"/>
    </xf>
    <xf numFmtId="15" fontId="0" fillId="6" borderId="20" xfId="0" applyNumberFormat="1" applyFill="1" applyBorder="1" applyAlignment="1">
      <alignment horizontal="right"/>
    </xf>
    <xf numFmtId="0" fontId="0" fillId="6" borderId="33" xfId="0" applyFill="1" applyBorder="1"/>
    <xf numFmtId="15" fontId="0" fillId="6" borderId="25" xfId="0" applyNumberFormat="1" applyFill="1" applyBorder="1" applyAlignment="1">
      <alignment horizontal="right"/>
    </xf>
    <xf numFmtId="0" fontId="0" fillId="6" borderId="16" xfId="0" applyFill="1" applyBorder="1"/>
    <xf numFmtId="0" fontId="11" fillId="6" borderId="0" xfId="0" applyFont="1" applyFill="1" applyAlignment="1">
      <alignment horizontal="left" vertical="top" wrapText="1"/>
    </xf>
    <xf numFmtId="0" fontId="11" fillId="6" borderId="20" xfId="0" applyFont="1" applyFill="1" applyBorder="1" applyAlignment="1">
      <alignment vertical="top" wrapText="1"/>
    </xf>
    <xf numFmtId="3" fontId="10" fillId="6" borderId="34" xfId="0" applyNumberFormat="1" applyFont="1" applyFill="1" applyBorder="1" applyAlignment="1">
      <alignment horizontal="left" vertical="top" wrapText="1"/>
    </xf>
    <xf numFmtId="3" fontId="10" fillId="6" borderId="19" xfId="0" applyNumberFormat="1" applyFont="1" applyFill="1" applyBorder="1" applyAlignment="1">
      <alignment horizontal="left" vertical="top" wrapText="1"/>
    </xf>
    <xf numFmtId="9" fontId="0" fillId="7" borderId="17" xfId="2" applyNumberFormat="1" applyFont="1" applyFill="1" applyBorder="1"/>
    <xf numFmtId="9" fontId="0" fillId="7" borderId="20" xfId="2" applyNumberFormat="1" applyFont="1" applyFill="1" applyBorder="1"/>
    <xf numFmtId="9" fontId="0" fillId="7" borderId="21" xfId="2" applyNumberFormat="1" applyFont="1" applyFill="1" applyBorder="1"/>
    <xf numFmtId="0" fontId="0" fillId="6" borderId="7" xfId="0" applyFill="1" applyBorder="1"/>
    <xf numFmtId="0" fontId="11" fillId="6" borderId="7" xfId="0" applyFont="1" applyFill="1" applyBorder="1" applyAlignment="1">
      <alignment horizontal="left" vertical="top" wrapText="1"/>
    </xf>
    <xf numFmtId="3" fontId="10" fillId="6" borderId="35" xfId="0" applyNumberFormat="1" applyFont="1" applyFill="1" applyBorder="1" applyAlignment="1">
      <alignment horizontal="left" vertical="top" wrapText="1"/>
    </xf>
    <xf numFmtId="15" fontId="0" fillId="6" borderId="7" xfId="0" applyNumberFormat="1" applyFill="1" applyBorder="1" applyAlignment="1">
      <alignment horizontal="right"/>
    </xf>
    <xf numFmtId="3" fontId="0" fillId="6" borderId="30" xfId="0" applyNumberFormat="1" applyFill="1" applyBorder="1" applyAlignment="1">
      <alignment horizontal="left" vertical="top" wrapText="1"/>
    </xf>
    <xf numFmtId="15" fontId="0" fillId="4" borderId="20" xfId="0" applyNumberFormat="1" applyFill="1" applyBorder="1" applyAlignment="1">
      <alignment horizontal="right"/>
    </xf>
    <xf numFmtId="0" fontId="11" fillId="4" borderId="7" xfId="0" applyFont="1" applyFill="1" applyBorder="1" applyAlignment="1">
      <alignment horizontal="left" vertical="top" wrapText="1"/>
    </xf>
    <xf numFmtId="0" fontId="11" fillId="4" borderId="7" xfId="0" applyFont="1" applyFill="1" applyBorder="1" applyAlignment="1">
      <alignment vertical="top" wrapText="1"/>
    </xf>
    <xf numFmtId="3" fontId="10" fillId="4" borderId="35" xfId="0" applyNumberFormat="1" applyFont="1" applyFill="1" applyBorder="1" applyAlignment="1">
      <alignment horizontal="left" vertical="top" wrapText="1"/>
    </xf>
    <xf numFmtId="3" fontId="10" fillId="4" borderId="30" xfId="0" applyNumberFormat="1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vertical="top" wrapText="1"/>
    </xf>
    <xf numFmtId="3" fontId="1" fillId="4" borderId="35" xfId="0" applyNumberFormat="1" applyFont="1" applyFill="1" applyBorder="1" applyAlignment="1">
      <alignment horizontal="left" vertical="top" wrapText="1"/>
    </xf>
    <xf numFmtId="3" fontId="1" fillId="4" borderId="30" xfId="0" applyNumberFormat="1" applyFont="1" applyFill="1" applyBorder="1" applyAlignment="1">
      <alignment horizontal="left" vertical="top" wrapText="1"/>
    </xf>
    <xf numFmtId="0" fontId="7" fillId="8" borderId="36" xfId="0" applyFont="1" applyFill="1" applyBorder="1"/>
    <xf numFmtId="0" fontId="7" fillId="8" borderId="37" xfId="0" applyFont="1" applyFill="1" applyBorder="1"/>
    <xf numFmtId="3" fontId="7" fillId="8" borderId="38" xfId="0" applyNumberFormat="1" applyFont="1" applyFill="1" applyBorder="1"/>
    <xf numFmtId="3" fontId="7" fillId="8" borderId="9" xfId="0" applyNumberFormat="1" applyFont="1" applyFill="1" applyBorder="1"/>
    <xf numFmtId="165" fontId="7" fillId="0" borderId="0" xfId="2" applyNumberFormat="1" applyFont="1" applyFill="1" applyBorder="1"/>
    <xf numFmtId="0" fontId="9" fillId="0" borderId="33" xfId="0" applyFont="1" applyBorder="1"/>
    <xf numFmtId="0" fontId="7" fillId="0" borderId="7" xfId="0" applyFont="1" applyBorder="1"/>
    <xf numFmtId="0" fontId="7" fillId="0" borderId="35" xfId="0" applyFont="1" applyBorder="1"/>
    <xf numFmtId="3" fontId="7" fillId="0" borderId="9" xfId="0" applyNumberFormat="1" applyFont="1" applyBorder="1"/>
    <xf numFmtId="0" fontId="0" fillId="9" borderId="33" xfId="0" applyFill="1" applyBorder="1"/>
    <xf numFmtId="0" fontId="0" fillId="9" borderId="7" xfId="0" applyFill="1" applyBorder="1"/>
    <xf numFmtId="0" fontId="0" fillId="9" borderId="35" xfId="0" applyFill="1" applyBorder="1"/>
    <xf numFmtId="165" fontId="0" fillId="0" borderId="0" xfId="2" applyNumberFormat="1" applyFont="1" applyFill="1" applyBorder="1"/>
    <xf numFmtId="165" fontId="0" fillId="6" borderId="0" xfId="2" applyNumberFormat="1" applyFont="1" applyFill="1" applyBorder="1"/>
    <xf numFmtId="165" fontId="0" fillId="4" borderId="0" xfId="2" applyNumberFormat="1" applyFont="1" applyFill="1" applyBorder="1"/>
    <xf numFmtId="165" fontId="0" fillId="10" borderId="0" xfId="2" applyNumberFormat="1" applyFont="1" applyFill="1" applyBorder="1"/>
    <xf numFmtId="165" fontId="1" fillId="9" borderId="30" xfId="2" applyNumberFormat="1" applyFont="1" applyFill="1" applyBorder="1"/>
    <xf numFmtId="0" fontId="7" fillId="8" borderId="33" xfId="0" applyFont="1" applyFill="1" applyBorder="1"/>
    <xf numFmtId="0" fontId="7" fillId="8" borderId="7" xfId="0" applyFont="1" applyFill="1" applyBorder="1"/>
    <xf numFmtId="0" fontId="7" fillId="8" borderId="35" xfId="0" applyFont="1" applyFill="1" applyBorder="1"/>
    <xf numFmtId="165" fontId="0" fillId="0" borderId="0" xfId="2" applyNumberFormat="1" applyFont="1"/>
    <xf numFmtId="0" fontId="13" fillId="0" borderId="0" xfId="0" applyFont="1"/>
    <xf numFmtId="3" fontId="0" fillId="0" borderId="0" xfId="0" applyNumberFormat="1"/>
    <xf numFmtId="0" fontId="0" fillId="0" borderId="40" xfId="0" applyBorder="1"/>
    <xf numFmtId="0" fontId="7" fillId="11" borderId="22" xfId="0" applyFont="1" applyFill="1" applyBorder="1"/>
    <xf numFmtId="0" fontId="7" fillId="11" borderId="25" xfId="0" applyFont="1" applyFill="1" applyBorder="1"/>
    <xf numFmtId="0" fontId="7" fillId="11" borderId="41" xfId="0" applyFont="1" applyFill="1" applyBorder="1"/>
    <xf numFmtId="3" fontId="7" fillId="11" borderId="9" xfId="0" applyNumberFormat="1" applyFont="1" applyFill="1" applyBorder="1"/>
    <xf numFmtId="3" fontId="7" fillId="12" borderId="9" xfId="0" applyNumberFormat="1" applyFont="1" applyFill="1" applyBorder="1"/>
    <xf numFmtId="0" fontId="7" fillId="10" borderId="22" xfId="0" applyFont="1" applyFill="1" applyBorder="1"/>
    <xf numFmtId="0" fontId="7" fillId="10" borderId="25" xfId="0" applyFont="1" applyFill="1" applyBorder="1"/>
    <xf numFmtId="0" fontId="7" fillId="10" borderId="41" xfId="0" applyFont="1" applyFill="1" applyBorder="1"/>
    <xf numFmtId="0" fontId="0" fillId="10" borderId="0" xfId="0" applyFill="1"/>
    <xf numFmtId="3" fontId="0" fillId="13" borderId="9" xfId="0" applyNumberFormat="1" applyFill="1" applyBorder="1"/>
    <xf numFmtId="0" fontId="0" fillId="0" borderId="0" xfId="0" applyAlignment="1">
      <alignment wrapText="1"/>
    </xf>
    <xf numFmtId="0" fontId="15" fillId="6" borderId="7" xfId="0" applyFont="1" applyFill="1" applyBorder="1"/>
    <xf numFmtId="0" fontId="16" fillId="14" borderId="42" xfId="3" applyFont="1" applyFill="1" applyBorder="1" applyAlignment="1">
      <alignment horizontal="left" vertical="top" wrapText="1"/>
    </xf>
    <xf numFmtId="0" fontId="16" fillId="14" borderId="43" xfId="3" applyFont="1" applyFill="1" applyBorder="1" applyAlignment="1">
      <alignment horizontal="left" vertical="top" wrapText="1"/>
    </xf>
    <xf numFmtId="0" fontId="16" fillId="14" borderId="34" xfId="3" applyFont="1" applyFill="1" applyBorder="1" applyAlignment="1">
      <alignment horizontal="left" vertical="top" wrapText="1"/>
    </xf>
    <xf numFmtId="0" fontId="16" fillId="14" borderId="43" xfId="3" applyFont="1" applyFill="1" applyBorder="1" applyAlignment="1">
      <alignment horizontal="left" wrapText="1"/>
    </xf>
    <xf numFmtId="0" fontId="16" fillId="15" borderId="7" xfId="3" applyFont="1" applyFill="1" applyBorder="1" applyAlignment="1">
      <alignment horizontal="left" wrapText="1"/>
    </xf>
    <xf numFmtId="165" fontId="16" fillId="14" borderId="7" xfId="4" applyNumberFormat="1" applyFont="1" applyFill="1" applyBorder="1" applyAlignment="1">
      <alignment horizontal="center" wrapText="1"/>
    </xf>
    <xf numFmtId="43" fontId="16" fillId="14" borderId="7" xfId="4" applyFont="1" applyFill="1" applyBorder="1" applyAlignment="1">
      <alignment horizontal="left" wrapText="1"/>
    </xf>
    <xf numFmtId="0" fontId="16" fillId="14" borderId="7" xfId="3" applyFont="1" applyFill="1" applyBorder="1" applyAlignment="1">
      <alignment horizontal="left" wrapText="1"/>
    </xf>
    <xf numFmtId="0" fontId="12" fillId="0" borderId="0" xfId="3" applyFont="1" applyAlignment="1">
      <alignment horizontal="left"/>
    </xf>
    <xf numFmtId="0" fontId="11" fillId="16" borderId="29" xfId="3" applyFont="1" applyFill="1" applyBorder="1" applyAlignment="1">
      <alignment horizontal="left" vertical="top" wrapText="1"/>
    </xf>
    <xf numFmtId="0" fontId="11" fillId="17" borderId="28" xfId="3" applyFont="1" applyFill="1" applyBorder="1" applyAlignment="1">
      <alignment horizontal="left" vertical="top" wrapText="1"/>
    </xf>
    <xf numFmtId="15" fontId="11" fillId="17" borderId="28" xfId="3" applyNumberFormat="1" applyFont="1" applyFill="1" applyBorder="1" applyAlignment="1">
      <alignment horizontal="left" vertical="top" wrapText="1"/>
    </xf>
    <xf numFmtId="4" fontId="11" fillId="17" borderId="44" xfId="3" applyNumberFormat="1" applyFont="1" applyFill="1" applyBorder="1" applyAlignment="1">
      <alignment horizontal="left" vertical="top" wrapText="1"/>
    </xf>
    <xf numFmtId="4" fontId="11" fillId="17" borderId="29" xfId="3" applyNumberFormat="1" applyFont="1" applyFill="1" applyBorder="1" applyAlignment="1">
      <alignment horizontal="left" vertical="top" wrapText="1"/>
    </xf>
    <xf numFmtId="43" fontId="12" fillId="0" borderId="7" xfId="4" applyFont="1" applyBorder="1" applyAlignment="1">
      <alignment horizontal="left"/>
    </xf>
    <xf numFmtId="0" fontId="12" fillId="0" borderId="7" xfId="3" applyFont="1" applyBorder="1" applyAlignment="1">
      <alignment horizontal="center"/>
    </xf>
    <xf numFmtId="43" fontId="12" fillId="0" borderId="7" xfId="4" applyFont="1" applyBorder="1" applyAlignment="1"/>
    <xf numFmtId="0" fontId="12" fillId="16" borderId="28" xfId="3" applyFont="1" applyFill="1" applyBorder="1" applyAlignment="1">
      <alignment horizontal="left" vertical="top" wrapText="1"/>
    </xf>
    <xf numFmtId="0" fontId="16" fillId="16" borderId="1" xfId="3" applyFont="1" applyFill="1" applyBorder="1" applyAlignment="1">
      <alignment horizontal="left" vertical="top" wrapText="1"/>
    </xf>
    <xf numFmtId="4" fontId="11" fillId="16" borderId="44" xfId="3" applyNumberFormat="1" applyFont="1" applyFill="1" applyBorder="1" applyAlignment="1">
      <alignment horizontal="left" vertical="top" wrapText="1"/>
    </xf>
    <xf numFmtId="0" fontId="12" fillId="0" borderId="0" xfId="3" applyFont="1" applyAlignment="1">
      <alignment horizontal="center"/>
    </xf>
    <xf numFmtId="43" fontId="12" fillId="0" borderId="0" xfId="4" applyFont="1" applyAlignment="1">
      <alignment horizontal="left"/>
    </xf>
    <xf numFmtId="15" fontId="10" fillId="6" borderId="44" xfId="0" applyNumberFormat="1" applyFont="1" applyFill="1" applyBorder="1" applyAlignment="1">
      <alignment horizontal="left" vertical="top" wrapText="1"/>
    </xf>
    <xf numFmtId="15" fontId="10" fillId="6" borderId="0" xfId="0" applyNumberFormat="1" applyFont="1" applyFill="1" applyAlignment="1">
      <alignment horizontal="right" vertical="top" wrapText="1"/>
    </xf>
    <xf numFmtId="0" fontId="10" fillId="6" borderId="40" xfId="0" applyFont="1" applyFill="1" applyBorder="1" applyAlignment="1">
      <alignment vertical="top" wrapText="1"/>
    </xf>
    <xf numFmtId="0" fontId="0" fillId="6" borderId="17" xfId="0" applyFill="1" applyBorder="1"/>
    <xf numFmtId="3" fontId="10" fillId="6" borderId="0" xfId="0" applyNumberFormat="1" applyFont="1" applyFill="1" applyAlignment="1">
      <alignment horizontal="left" vertical="top" wrapText="1"/>
    </xf>
    <xf numFmtId="9" fontId="0" fillId="7" borderId="45" xfId="2" applyNumberFormat="1" applyFont="1" applyFill="1" applyBorder="1"/>
    <xf numFmtId="0" fontId="10" fillId="7" borderId="44" xfId="0" applyFont="1" applyFill="1" applyBorder="1" applyAlignment="1">
      <alignment vertical="top" wrapText="1"/>
    </xf>
    <xf numFmtId="15" fontId="10" fillId="7" borderId="28" xfId="0" applyNumberFormat="1" applyFont="1" applyFill="1" applyBorder="1" applyAlignment="1">
      <alignment horizontal="right" vertical="top" wrapText="1"/>
    </xf>
    <xf numFmtId="0" fontId="11" fillId="7" borderId="29" xfId="0" applyFont="1" applyFill="1" applyBorder="1" applyAlignment="1">
      <alignment horizontal="left" vertical="top" wrapText="1"/>
    </xf>
    <xf numFmtId="0" fontId="10" fillId="7" borderId="7" xfId="0" applyFont="1" applyFill="1" applyBorder="1" applyAlignment="1">
      <alignment horizontal="left" vertical="top" wrapText="1"/>
    </xf>
    <xf numFmtId="3" fontId="10" fillId="7" borderId="29" xfId="0" applyNumberFormat="1" applyFont="1" applyFill="1" applyBorder="1" applyAlignment="1">
      <alignment horizontal="left" vertical="top" wrapText="1"/>
    </xf>
    <xf numFmtId="3" fontId="10" fillId="7" borderId="30" xfId="0" applyNumberFormat="1" applyFont="1" applyFill="1" applyBorder="1" applyAlignment="1">
      <alignment horizontal="left" vertical="top" wrapText="1"/>
    </xf>
    <xf numFmtId="0" fontId="0" fillId="7" borderId="0" xfId="0" applyFill="1"/>
    <xf numFmtId="43" fontId="0" fillId="7" borderId="0" xfId="0" applyNumberFormat="1" applyFill="1"/>
    <xf numFmtId="43" fontId="17" fillId="7" borderId="7" xfId="1" applyFont="1" applyFill="1" applyBorder="1"/>
    <xf numFmtId="43" fontId="17" fillId="7" borderId="31" xfId="1" applyFont="1" applyFill="1" applyBorder="1"/>
    <xf numFmtId="43" fontId="17" fillId="7" borderId="32" xfId="1" applyFont="1" applyFill="1" applyBorder="1"/>
    <xf numFmtId="43" fontId="17" fillId="7" borderId="20" xfId="1" applyFont="1" applyFill="1" applyBorder="1"/>
    <xf numFmtId="43" fontId="17" fillId="7" borderId="17" xfId="1" applyFont="1" applyFill="1" applyBorder="1"/>
    <xf numFmtId="43" fontId="0" fillId="0" borderId="0" xfId="0" applyNumberFormat="1"/>
    <xf numFmtId="43" fontId="18" fillId="0" borderId="0" xfId="1" applyFont="1"/>
    <xf numFmtId="0" fontId="0" fillId="5" borderId="12" xfId="0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9" fontId="0" fillId="5" borderId="0" xfId="2" applyNumberFormat="1" applyFont="1" applyFill="1" applyBorder="1"/>
    <xf numFmtId="43" fontId="17" fillId="5" borderId="0" xfId="1" applyFont="1" applyFill="1" applyBorder="1"/>
    <xf numFmtId="165" fontId="7" fillId="5" borderId="0" xfId="2" applyNumberFormat="1" applyFont="1" applyFill="1" applyBorder="1"/>
    <xf numFmtId="165" fontId="0" fillId="5" borderId="0" xfId="2" applyNumberFormat="1" applyFont="1" applyFill="1" applyBorder="1"/>
    <xf numFmtId="3" fontId="0" fillId="5" borderId="0" xfId="0" applyNumberFormat="1" applyFill="1"/>
    <xf numFmtId="165" fontId="14" fillId="5" borderId="0" xfId="2" applyNumberFormat="1" applyFont="1" applyFill="1" applyBorder="1"/>
    <xf numFmtId="0" fontId="0" fillId="12" borderId="0" xfId="0" applyFill="1"/>
    <xf numFmtId="0" fontId="19" fillId="4" borderId="7" xfId="0" applyFont="1" applyFill="1" applyBorder="1" applyAlignment="1">
      <alignment horizontal="left" vertical="top" wrapText="1"/>
    </xf>
    <xf numFmtId="0" fontId="20" fillId="4" borderId="7" xfId="0" applyFont="1" applyFill="1" applyBorder="1"/>
    <xf numFmtId="43" fontId="19" fillId="4" borderId="7" xfId="1" applyFont="1" applyFill="1" applyBorder="1"/>
    <xf numFmtId="0" fontId="0" fillId="12" borderId="7" xfId="0" applyFill="1" applyBorder="1"/>
    <xf numFmtId="3" fontId="0" fillId="12" borderId="0" xfId="0" applyNumberFormat="1" applyFill="1"/>
    <xf numFmtId="0" fontId="14" fillId="12" borderId="7" xfId="0" applyFont="1" applyFill="1" applyBorder="1"/>
    <xf numFmtId="0" fontId="14" fillId="0" borderId="0" xfId="0" applyFont="1"/>
    <xf numFmtId="0" fontId="4" fillId="18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18" borderId="3" xfId="0" applyFont="1" applyFill="1" applyBorder="1" applyAlignment="1">
      <alignment horizontal="left" vertical="top" wrapText="1"/>
    </xf>
    <xf numFmtId="43" fontId="19" fillId="4" borderId="7" xfId="1" applyFont="1" applyFill="1" applyBorder="1" applyAlignment="1">
      <alignment vertical="top"/>
    </xf>
    <xf numFmtId="0" fontId="19" fillId="12" borderId="7" xfId="0" applyFont="1" applyFill="1" applyBorder="1" applyAlignment="1">
      <alignment vertical="top"/>
    </xf>
    <xf numFmtId="0" fontId="19" fillId="18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43" fontId="19" fillId="4" borderId="7" xfId="1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165" fontId="1" fillId="9" borderId="19" xfId="2" applyNumberFormat="1" applyFont="1" applyFill="1" applyBorder="1" applyAlignment="1">
      <alignment horizontal="center" vertical="center"/>
    </xf>
    <xf numFmtId="165" fontId="1" fillId="9" borderId="9" xfId="2" applyNumberFormat="1" applyFont="1" applyFill="1" applyBorder="1" applyAlignment="1">
      <alignment horizontal="center" vertical="center"/>
    </xf>
    <xf numFmtId="165" fontId="1" fillId="9" borderId="39" xfId="2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7" xfId="0" applyFont="1" applyFill="1" applyBorder="1"/>
    <xf numFmtId="15" fontId="6" fillId="4" borderId="20" xfId="0" applyNumberFormat="1" applyFont="1" applyFill="1" applyBorder="1" applyAlignment="1">
      <alignment horizontal="right"/>
    </xf>
    <xf numFmtId="165" fontId="6" fillId="0" borderId="0" xfId="2" applyNumberFormat="1" applyFont="1" applyFill="1" applyBorder="1"/>
    <xf numFmtId="0" fontId="6" fillId="9" borderId="33" xfId="0" applyFont="1" applyFill="1" applyBorder="1"/>
    <xf numFmtId="0" fontId="6" fillId="9" borderId="35" xfId="0" applyFont="1" applyFill="1" applyBorder="1"/>
    <xf numFmtId="3" fontId="6" fillId="0" borderId="0" xfId="0" applyNumberFormat="1" applyFont="1"/>
    <xf numFmtId="0" fontId="6" fillId="0" borderId="0" xfId="0" applyFont="1" applyAlignment="1">
      <alignment wrapText="1"/>
    </xf>
  </cellXfs>
  <cellStyles count="5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L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789"/>
  <sheetViews>
    <sheetView showGridLines="0" topLeftCell="A10" zoomScale="83" zoomScaleNormal="83" workbookViewId="0">
      <selection activeCell="F10" sqref="F10"/>
    </sheetView>
  </sheetViews>
  <sheetFormatPr defaultRowHeight="14.45"/>
  <cols>
    <col min="1" max="1" width="28.42578125" customWidth="1"/>
    <col min="2" max="2" width="7.28515625" customWidth="1"/>
    <col min="3" max="3" width="11.5703125" customWidth="1"/>
    <col min="4" max="4" width="6.7109375" customWidth="1"/>
    <col min="5" max="5" width="12.7109375" customWidth="1"/>
    <col min="6" max="6" width="33.5703125" customWidth="1"/>
    <col min="7" max="9" width="8.28515625" customWidth="1"/>
    <col min="10" max="10" width="3.42578125" customWidth="1"/>
    <col min="11" max="11" width="3.5703125" customWidth="1"/>
    <col min="12" max="12" width="7.5703125" customWidth="1"/>
    <col min="13" max="13" width="25.7109375" style="15" customWidth="1"/>
  </cols>
  <sheetData>
    <row r="1" spans="1:15">
      <c r="A1" s="1" t="s">
        <v>0</v>
      </c>
      <c r="M1" s="164"/>
    </row>
    <row r="2" spans="1:15">
      <c r="A2" s="2" t="s">
        <v>1</v>
      </c>
      <c r="M2" s="164"/>
    </row>
    <row r="3" spans="1:15" ht="30.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65" t="s">
        <v>14</v>
      </c>
    </row>
    <row r="4" spans="1:15" ht="30.6">
      <c r="A4" s="180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5">
        <v>3400</v>
      </c>
      <c r="H4" s="5">
        <v>3400</v>
      </c>
      <c r="I4" s="6"/>
      <c r="J4" s="6"/>
      <c r="K4" s="6"/>
      <c r="L4" s="5">
        <v>3400</v>
      </c>
      <c r="M4" s="170"/>
    </row>
    <row r="5" spans="1:15" ht="20.45">
      <c r="A5" s="181"/>
      <c r="B5" s="4" t="s">
        <v>16</v>
      </c>
      <c r="C5" s="4" t="s">
        <v>17</v>
      </c>
      <c r="D5" s="173" t="s">
        <v>21</v>
      </c>
      <c r="E5" s="18" t="s">
        <v>22</v>
      </c>
      <c r="F5" s="178" t="s">
        <v>23</v>
      </c>
      <c r="G5" s="5">
        <v>93694</v>
      </c>
      <c r="H5" s="5">
        <v>93694</v>
      </c>
      <c r="I5" s="5">
        <v>87490</v>
      </c>
      <c r="J5" s="6"/>
      <c r="K5" s="6"/>
      <c r="L5" s="5">
        <v>6204</v>
      </c>
      <c r="M5" s="175">
        <v>536793</v>
      </c>
    </row>
    <row r="6" spans="1:15" ht="20.45">
      <c r="A6" s="181"/>
      <c r="B6" s="4" t="s">
        <v>16</v>
      </c>
      <c r="C6" s="4" t="s">
        <v>17</v>
      </c>
      <c r="D6" s="18"/>
      <c r="E6" s="18"/>
      <c r="F6" s="178" t="s">
        <v>24</v>
      </c>
      <c r="G6" s="5">
        <v>286597.13</v>
      </c>
      <c r="H6" s="5">
        <v>286597.13</v>
      </c>
      <c r="I6" s="5">
        <v>253346</v>
      </c>
      <c r="J6" s="6"/>
      <c r="K6" s="6"/>
      <c r="L6" s="5">
        <v>33251.129999999997</v>
      </c>
      <c r="M6" s="175">
        <v>787049.28000000014</v>
      </c>
    </row>
    <row r="7" spans="1:15" ht="20.45">
      <c r="A7" s="181"/>
      <c r="B7" s="4" t="s">
        <v>16</v>
      </c>
      <c r="C7" s="4" t="s">
        <v>17</v>
      </c>
      <c r="D7" s="18"/>
      <c r="E7" s="18"/>
      <c r="F7" s="178" t="s">
        <v>25</v>
      </c>
      <c r="G7" s="5">
        <v>390631</v>
      </c>
      <c r="H7" s="5">
        <v>390631</v>
      </c>
      <c r="I7" s="5">
        <v>373295.67</v>
      </c>
      <c r="J7" s="6"/>
      <c r="K7" s="6"/>
      <c r="L7" s="5">
        <v>17335.330000000002</v>
      </c>
      <c r="M7" s="175">
        <v>630157.24800000014</v>
      </c>
    </row>
    <row r="8" spans="1:15" ht="22.5" customHeight="1">
      <c r="A8" s="181"/>
      <c r="B8" s="4" t="s">
        <v>16</v>
      </c>
      <c r="C8" s="4" t="s">
        <v>17</v>
      </c>
      <c r="D8" s="172" t="s">
        <v>26</v>
      </c>
      <c r="E8" s="18" t="s">
        <v>27</v>
      </c>
      <c r="F8" s="174" t="s">
        <v>28</v>
      </c>
      <c r="G8" s="5">
        <v>79915</v>
      </c>
      <c r="H8" s="5">
        <v>79915</v>
      </c>
      <c r="I8" s="5">
        <v>72650</v>
      </c>
      <c r="J8" s="6"/>
      <c r="K8" s="6"/>
      <c r="L8" s="5">
        <v>7265</v>
      </c>
      <c r="M8" s="175">
        <v>134198</v>
      </c>
    </row>
    <row r="9" spans="1:15" ht="20.45">
      <c r="A9" s="181"/>
      <c r="B9" s="4" t="s">
        <v>16</v>
      </c>
      <c r="C9" s="4" t="s">
        <v>17</v>
      </c>
      <c r="D9" s="18"/>
      <c r="E9" s="18"/>
      <c r="F9" s="174" t="s">
        <v>29</v>
      </c>
      <c r="G9" s="5">
        <v>222875</v>
      </c>
      <c r="H9" s="5">
        <v>222875</v>
      </c>
      <c r="I9" s="5">
        <v>173828.02</v>
      </c>
      <c r="J9" s="6"/>
      <c r="K9" s="6"/>
      <c r="L9" s="5">
        <v>49046.98</v>
      </c>
      <c r="M9" s="175">
        <v>196762.32000000004</v>
      </c>
    </row>
    <row r="10" spans="1:15" ht="20.45">
      <c r="A10" s="181"/>
      <c r="B10" s="4" t="s">
        <v>16</v>
      </c>
      <c r="C10" s="4" t="s">
        <v>17</v>
      </c>
      <c r="D10" s="18"/>
      <c r="E10" s="18"/>
      <c r="F10" s="174" t="s">
        <v>30</v>
      </c>
      <c r="G10" s="5">
        <v>64099</v>
      </c>
      <c r="H10" s="5">
        <v>64099</v>
      </c>
      <c r="I10" s="5">
        <v>57248</v>
      </c>
      <c r="J10" s="6"/>
      <c r="K10" s="6"/>
      <c r="L10" s="5">
        <v>6851</v>
      </c>
      <c r="M10" s="175">
        <v>157539.31200000003</v>
      </c>
    </row>
    <row r="11" spans="1:15" ht="30.6">
      <c r="A11" s="181"/>
      <c r="B11" s="4" t="s">
        <v>16</v>
      </c>
      <c r="C11" s="4" t="s">
        <v>17</v>
      </c>
      <c r="D11" s="4" t="s">
        <v>31</v>
      </c>
      <c r="E11" s="4" t="s">
        <v>32</v>
      </c>
      <c r="F11" s="4" t="s">
        <v>33</v>
      </c>
      <c r="G11" s="5">
        <v>18100</v>
      </c>
      <c r="H11" s="5">
        <v>18100</v>
      </c>
      <c r="I11" s="5">
        <v>15000</v>
      </c>
      <c r="J11" s="6"/>
      <c r="K11" s="6"/>
      <c r="L11" s="5">
        <v>3100</v>
      </c>
      <c r="M11" s="168"/>
    </row>
    <row r="12" spans="1:15" ht="20.45">
      <c r="A12" s="181"/>
      <c r="B12" s="4" t="s">
        <v>16</v>
      </c>
      <c r="C12" s="4" t="s">
        <v>17</v>
      </c>
      <c r="D12" s="18" t="s">
        <v>34</v>
      </c>
      <c r="E12" s="18" t="s">
        <v>35</v>
      </c>
      <c r="F12" s="4" t="s">
        <v>36</v>
      </c>
      <c r="G12" s="5">
        <v>9280.2999999999993</v>
      </c>
      <c r="H12" s="5">
        <v>9280.2999999999993</v>
      </c>
      <c r="I12" s="5">
        <v>7887.88</v>
      </c>
      <c r="J12" s="6"/>
      <c r="K12" s="6"/>
      <c r="L12" s="5">
        <v>1392.42</v>
      </c>
      <c r="M12" s="168"/>
    </row>
    <row r="13" spans="1:15" ht="20.45">
      <c r="A13" s="181"/>
      <c r="B13" s="4" t="s">
        <v>16</v>
      </c>
      <c r="C13" s="4" t="s">
        <v>17</v>
      </c>
      <c r="D13" s="18"/>
      <c r="E13" s="18"/>
      <c r="F13" s="4" t="s">
        <v>37</v>
      </c>
      <c r="G13" s="5">
        <v>8980.4</v>
      </c>
      <c r="H13" s="5">
        <v>8980.4</v>
      </c>
      <c r="I13" s="5">
        <v>7887.88</v>
      </c>
      <c r="J13" s="6"/>
      <c r="K13" s="6"/>
      <c r="L13" s="5">
        <v>1092.52</v>
      </c>
      <c r="M13" s="168"/>
    </row>
    <row r="14" spans="1:15" ht="20.45">
      <c r="A14" s="181"/>
      <c r="B14" s="4" t="s">
        <v>16</v>
      </c>
      <c r="C14" s="4" t="s">
        <v>17</v>
      </c>
      <c r="D14" s="18" t="s">
        <v>38</v>
      </c>
      <c r="E14" s="18" t="s">
        <v>39</v>
      </c>
      <c r="F14" s="4" t="s">
        <v>40</v>
      </c>
      <c r="G14" s="5">
        <v>10</v>
      </c>
      <c r="H14" s="5">
        <v>10</v>
      </c>
      <c r="I14" s="5">
        <v>0.08</v>
      </c>
      <c r="J14" s="6"/>
      <c r="K14" s="6"/>
      <c r="L14" s="5">
        <v>9.92</v>
      </c>
      <c r="M14" s="168"/>
    </row>
    <row r="15" spans="1:15" ht="20.45">
      <c r="A15" s="181"/>
      <c r="B15" s="4" t="s">
        <v>16</v>
      </c>
      <c r="C15" s="4" t="s">
        <v>17</v>
      </c>
      <c r="D15" s="19"/>
      <c r="E15" s="19"/>
      <c r="F15" s="4" t="s">
        <v>41</v>
      </c>
      <c r="G15" s="6"/>
      <c r="H15" s="6"/>
      <c r="I15" s="5">
        <v>0</v>
      </c>
      <c r="J15" s="6"/>
      <c r="K15" s="6"/>
      <c r="L15" s="5">
        <v>0</v>
      </c>
      <c r="M15" s="168"/>
      <c r="O15" s="171"/>
    </row>
    <row r="16" spans="1:15" ht="22.5" customHeight="1">
      <c r="A16" s="181"/>
      <c r="B16" s="4" t="s">
        <v>16</v>
      </c>
      <c r="C16" s="4" t="s">
        <v>17</v>
      </c>
      <c r="D16" s="18" t="s">
        <v>42</v>
      </c>
      <c r="E16" s="18" t="s">
        <v>43</v>
      </c>
      <c r="F16" s="4" t="s">
        <v>44</v>
      </c>
      <c r="G16" s="5">
        <v>7290.82</v>
      </c>
      <c r="H16" s="5">
        <v>7290.82</v>
      </c>
      <c r="I16" s="6"/>
      <c r="J16" s="6"/>
      <c r="K16" s="6"/>
      <c r="L16" s="5">
        <v>7290.82</v>
      </c>
      <c r="M16" s="168"/>
    </row>
    <row r="17" spans="1:13" ht="20.45">
      <c r="A17" s="181"/>
      <c r="B17" s="4" t="s">
        <v>16</v>
      </c>
      <c r="C17" s="4" t="s">
        <v>17</v>
      </c>
      <c r="D17" s="18"/>
      <c r="E17" s="18"/>
      <c r="F17" s="4" t="s">
        <v>45</v>
      </c>
      <c r="G17" s="5">
        <v>17445.8</v>
      </c>
      <c r="H17" s="5">
        <v>17445.8</v>
      </c>
      <c r="I17" s="6"/>
      <c r="J17" s="6"/>
      <c r="K17" s="6"/>
      <c r="L17" s="5">
        <v>17445.8</v>
      </c>
      <c r="M17" s="168"/>
    </row>
    <row r="18" spans="1:13" ht="20.45">
      <c r="A18" s="181"/>
      <c r="B18" s="4" t="s">
        <v>16</v>
      </c>
      <c r="C18" s="4" t="s">
        <v>17</v>
      </c>
      <c r="D18" s="18"/>
      <c r="E18" s="18"/>
      <c r="F18" s="4" t="s">
        <v>46</v>
      </c>
      <c r="G18" s="5">
        <v>5441.7</v>
      </c>
      <c r="H18" s="5">
        <v>5441.7</v>
      </c>
      <c r="I18" s="5">
        <v>4530.8</v>
      </c>
      <c r="J18" s="6"/>
      <c r="K18" s="6"/>
      <c r="L18" s="5">
        <v>910.900000000001</v>
      </c>
      <c r="M18" s="168"/>
    </row>
    <row r="19" spans="1:13" ht="20.45">
      <c r="A19" s="181"/>
      <c r="B19" s="4" t="s">
        <v>16</v>
      </c>
      <c r="C19" s="4" t="s">
        <v>17</v>
      </c>
      <c r="D19" s="18" t="s">
        <v>47</v>
      </c>
      <c r="E19" s="18" t="s">
        <v>48</v>
      </c>
      <c r="F19" s="4" t="s">
        <v>49</v>
      </c>
      <c r="G19" s="5">
        <v>4080</v>
      </c>
      <c r="H19" s="5">
        <v>4080</v>
      </c>
      <c r="I19" s="6"/>
      <c r="J19" s="6"/>
      <c r="K19" s="6"/>
      <c r="L19" s="5">
        <v>4080</v>
      </c>
      <c r="M19" s="168"/>
    </row>
    <row r="20" spans="1:13" ht="20.45">
      <c r="A20" s="181"/>
      <c r="B20" s="4" t="s">
        <v>16</v>
      </c>
      <c r="C20" s="4" t="s">
        <v>17</v>
      </c>
      <c r="D20" s="18"/>
      <c r="E20" s="18"/>
      <c r="F20" s="4" t="s">
        <v>50</v>
      </c>
      <c r="G20" s="5">
        <v>5440</v>
      </c>
      <c r="H20" s="5">
        <v>5440</v>
      </c>
      <c r="I20" s="5">
        <v>2866.6</v>
      </c>
      <c r="J20" s="6"/>
      <c r="K20" s="6"/>
      <c r="L20" s="5">
        <v>2573.4</v>
      </c>
      <c r="M20" s="168"/>
    </row>
    <row r="21" spans="1:13" ht="20.45">
      <c r="A21" s="181"/>
      <c r="B21" s="4" t="s">
        <v>16</v>
      </c>
      <c r="C21" s="4" t="s">
        <v>17</v>
      </c>
      <c r="D21" s="19"/>
      <c r="E21" s="19"/>
      <c r="F21" s="4" t="s">
        <v>51</v>
      </c>
      <c r="G21" s="5">
        <v>36880</v>
      </c>
      <c r="H21" s="5">
        <v>36880</v>
      </c>
      <c r="I21" s="5">
        <v>32082.400000000001</v>
      </c>
      <c r="J21" s="6"/>
      <c r="K21" s="6"/>
      <c r="L21" s="5">
        <v>4797.6000000000004</v>
      </c>
      <c r="M21" s="168"/>
    </row>
    <row r="22" spans="1:13">
      <c r="A22" s="10" t="s">
        <v>52</v>
      </c>
      <c r="B22" s="11"/>
      <c r="C22" s="11"/>
      <c r="D22" s="11"/>
      <c r="E22" s="11"/>
      <c r="F22" s="11"/>
      <c r="G22" s="12">
        <v>1626120.75</v>
      </c>
      <c r="H22" s="12">
        <v>1626120.75</v>
      </c>
      <c r="I22" s="12">
        <v>1392929.07</v>
      </c>
      <c r="J22" s="13"/>
      <c r="K22" s="13"/>
      <c r="L22" s="12">
        <v>233191.67999999999</v>
      </c>
      <c r="M22" s="167">
        <f>SUM(M4:M21)</f>
        <v>2442499.16</v>
      </c>
    </row>
    <row r="23" spans="1:13">
      <c r="A23" s="2" t="s">
        <v>1</v>
      </c>
      <c r="M23" s="169"/>
    </row>
    <row r="24" spans="1:13">
      <c r="M24" s="164"/>
    </row>
    <row r="25" spans="1:13">
      <c r="M25" s="164"/>
    </row>
    <row r="26" spans="1:13">
      <c r="M26" s="164"/>
    </row>
    <row r="27" spans="1:13">
      <c r="M27" s="164"/>
    </row>
    <row r="28" spans="1:13">
      <c r="M28" s="164"/>
    </row>
    <row r="29" spans="1:13">
      <c r="M29" s="164"/>
    </row>
    <row r="30" spans="1:13">
      <c r="M30" s="164"/>
    </row>
    <row r="31" spans="1:13">
      <c r="M31" s="164"/>
    </row>
    <row r="32" spans="1:13">
      <c r="M32" s="164"/>
    </row>
    <row r="33" spans="13:13">
      <c r="M33" s="164"/>
    </row>
    <row r="34" spans="13:13">
      <c r="M34" s="164"/>
    </row>
    <row r="35" spans="13:13">
      <c r="M35" s="164"/>
    </row>
    <row r="36" spans="13:13">
      <c r="M36" s="164"/>
    </row>
    <row r="37" spans="13:13">
      <c r="M37" s="164"/>
    </row>
    <row r="38" spans="13:13">
      <c r="M38" s="164"/>
    </row>
    <row r="39" spans="13:13">
      <c r="M39" s="164"/>
    </row>
    <row r="40" spans="13:13">
      <c r="M40" s="164"/>
    </row>
    <row r="41" spans="13:13">
      <c r="M41" s="164"/>
    </row>
    <row r="42" spans="13:13">
      <c r="M42" s="164"/>
    </row>
    <row r="43" spans="13:13">
      <c r="M43" s="164"/>
    </row>
    <row r="44" spans="13:13">
      <c r="M44" s="164"/>
    </row>
    <row r="45" spans="13:13">
      <c r="M45" s="164"/>
    </row>
    <row r="46" spans="13:13">
      <c r="M46" s="164"/>
    </row>
    <row r="47" spans="13:13">
      <c r="M47" s="164"/>
    </row>
    <row r="48" spans="13:13">
      <c r="M48" s="164"/>
    </row>
    <row r="49" spans="13:13">
      <c r="M49" s="164"/>
    </row>
    <row r="50" spans="13:13">
      <c r="M50" s="164"/>
    </row>
    <row r="51" spans="13:13">
      <c r="M51" s="164"/>
    </row>
    <row r="52" spans="13:13">
      <c r="M52" s="164"/>
    </row>
    <row r="53" spans="13:13">
      <c r="M53" s="164"/>
    </row>
    <row r="54" spans="13:13">
      <c r="M54" s="164"/>
    </row>
    <row r="55" spans="13:13">
      <c r="M55" s="164"/>
    </row>
    <row r="56" spans="13:13">
      <c r="M56" s="164"/>
    </row>
    <row r="57" spans="13:13">
      <c r="M57" s="164"/>
    </row>
    <row r="58" spans="13:13">
      <c r="M58" s="164"/>
    </row>
    <row r="59" spans="13:13">
      <c r="M59" s="164"/>
    </row>
    <row r="60" spans="13:13">
      <c r="M60" s="164"/>
    </row>
    <row r="61" spans="13:13">
      <c r="M61" s="164"/>
    </row>
    <row r="62" spans="13:13">
      <c r="M62" s="164"/>
    </row>
    <row r="63" spans="13:13">
      <c r="M63" s="164"/>
    </row>
    <row r="64" spans="13:13">
      <c r="M64" s="164"/>
    </row>
    <row r="65" spans="13:13">
      <c r="M65" s="164"/>
    </row>
    <row r="66" spans="13:13">
      <c r="M66" s="164"/>
    </row>
    <row r="67" spans="13:13">
      <c r="M67" s="164"/>
    </row>
    <row r="68" spans="13:13">
      <c r="M68" s="164"/>
    </row>
    <row r="69" spans="13:13">
      <c r="M69" s="164"/>
    </row>
    <row r="70" spans="13:13">
      <c r="M70" s="164"/>
    </row>
    <row r="71" spans="13:13">
      <c r="M71" s="164"/>
    </row>
    <row r="72" spans="13:13">
      <c r="M72" s="164"/>
    </row>
    <row r="73" spans="13:13">
      <c r="M73" s="164"/>
    </row>
    <row r="74" spans="13:13">
      <c r="M74" s="164"/>
    </row>
    <row r="75" spans="13:13">
      <c r="M75" s="164"/>
    </row>
    <row r="76" spans="13:13">
      <c r="M76" s="164"/>
    </row>
    <row r="77" spans="13:13">
      <c r="M77" s="164"/>
    </row>
    <row r="78" spans="13:13">
      <c r="M78" s="164"/>
    </row>
    <row r="79" spans="13:13">
      <c r="M79" s="164"/>
    </row>
    <row r="80" spans="13:13">
      <c r="M80" s="164"/>
    </row>
    <row r="81" spans="13:13">
      <c r="M81" s="164"/>
    </row>
    <row r="82" spans="13:13">
      <c r="M82" s="164"/>
    </row>
    <row r="83" spans="13:13">
      <c r="M83" s="164"/>
    </row>
    <row r="84" spans="13:13">
      <c r="M84" s="164"/>
    </row>
    <row r="85" spans="13:13">
      <c r="M85" s="164"/>
    </row>
    <row r="86" spans="13:13">
      <c r="M86" s="164"/>
    </row>
    <row r="87" spans="13:13">
      <c r="M87" s="164"/>
    </row>
    <row r="88" spans="13:13">
      <c r="M88" s="164"/>
    </row>
    <row r="89" spans="13:13">
      <c r="M89" s="164"/>
    </row>
    <row r="90" spans="13:13">
      <c r="M90" s="164"/>
    </row>
    <row r="91" spans="13:13">
      <c r="M91" s="164"/>
    </row>
    <row r="92" spans="13:13">
      <c r="M92" s="164"/>
    </row>
    <row r="93" spans="13:13">
      <c r="M93" s="164"/>
    </row>
    <row r="94" spans="13:13">
      <c r="M94" s="164"/>
    </row>
    <row r="95" spans="13:13">
      <c r="M95" s="164"/>
    </row>
    <row r="96" spans="13:13">
      <c r="M96" s="164"/>
    </row>
    <row r="97" spans="13:13">
      <c r="M97" s="164"/>
    </row>
    <row r="98" spans="13:13">
      <c r="M98" s="164"/>
    </row>
    <row r="99" spans="13:13">
      <c r="M99" s="164"/>
    </row>
    <row r="100" spans="13:13">
      <c r="M100" s="164"/>
    </row>
    <row r="101" spans="13:13">
      <c r="M101" s="164"/>
    </row>
    <row r="102" spans="13:13">
      <c r="M102" s="164"/>
    </row>
    <row r="103" spans="13:13">
      <c r="M103" s="164"/>
    </row>
    <row r="104" spans="13:13">
      <c r="M104" s="164"/>
    </row>
    <row r="105" spans="13:13">
      <c r="M105" s="164"/>
    </row>
    <row r="106" spans="13:13">
      <c r="M106" s="164"/>
    </row>
    <row r="107" spans="13:13">
      <c r="M107" s="164"/>
    </row>
    <row r="108" spans="13:13">
      <c r="M108" s="164"/>
    </row>
    <row r="109" spans="13:13">
      <c r="M109" s="164"/>
    </row>
    <row r="110" spans="13:13">
      <c r="M110" s="164"/>
    </row>
    <row r="111" spans="13:13">
      <c r="M111" s="164"/>
    </row>
    <row r="112" spans="13:13">
      <c r="M112" s="164"/>
    </row>
    <row r="113" spans="13:13">
      <c r="M113" s="164"/>
    </row>
    <row r="114" spans="13:13">
      <c r="M114" s="164"/>
    </row>
    <row r="115" spans="13:13">
      <c r="M115" s="164"/>
    </row>
    <row r="116" spans="13:13">
      <c r="M116" s="164"/>
    </row>
    <row r="117" spans="13:13">
      <c r="M117" s="164"/>
    </row>
    <row r="118" spans="13:13">
      <c r="M118" s="164"/>
    </row>
    <row r="119" spans="13:13">
      <c r="M119" s="164"/>
    </row>
    <row r="120" spans="13:13">
      <c r="M120" s="164"/>
    </row>
    <row r="121" spans="13:13">
      <c r="M121" s="164"/>
    </row>
    <row r="122" spans="13:13">
      <c r="M122" s="164"/>
    </row>
    <row r="123" spans="13:13">
      <c r="M123" s="164"/>
    </row>
    <row r="124" spans="13:13">
      <c r="M124" s="164"/>
    </row>
    <row r="125" spans="13:13">
      <c r="M125" s="164"/>
    </row>
    <row r="126" spans="13:13">
      <c r="M126" s="164"/>
    </row>
    <row r="127" spans="13:13">
      <c r="M127" s="164"/>
    </row>
    <row r="128" spans="13:13">
      <c r="M128" s="164"/>
    </row>
    <row r="129" spans="13:13">
      <c r="M129" s="164"/>
    </row>
    <row r="130" spans="13:13">
      <c r="M130" s="164"/>
    </row>
    <row r="131" spans="13:13">
      <c r="M131" s="164"/>
    </row>
    <row r="132" spans="13:13">
      <c r="M132" s="164"/>
    </row>
    <row r="133" spans="13:13">
      <c r="M133" s="164"/>
    </row>
    <row r="134" spans="13:13">
      <c r="M134" s="164"/>
    </row>
    <row r="135" spans="13:13">
      <c r="M135" s="164"/>
    </row>
    <row r="136" spans="13:13">
      <c r="M136" s="164"/>
    </row>
    <row r="137" spans="13:13">
      <c r="M137" s="164"/>
    </row>
    <row r="138" spans="13:13">
      <c r="M138" s="164"/>
    </row>
    <row r="139" spans="13:13">
      <c r="M139" s="164"/>
    </row>
    <row r="140" spans="13:13">
      <c r="M140" s="164"/>
    </row>
    <row r="141" spans="13:13">
      <c r="M141" s="164"/>
    </row>
    <row r="142" spans="13:13">
      <c r="M142" s="164"/>
    </row>
    <row r="143" spans="13:13">
      <c r="M143" s="164"/>
    </row>
    <row r="144" spans="13:13">
      <c r="M144" s="164"/>
    </row>
    <row r="145" spans="13:13">
      <c r="M145" s="164"/>
    </row>
    <row r="146" spans="13:13">
      <c r="M146" s="164"/>
    </row>
    <row r="147" spans="13:13">
      <c r="M147" s="164"/>
    </row>
    <row r="148" spans="13:13">
      <c r="M148" s="164"/>
    </row>
    <row r="149" spans="13:13">
      <c r="M149" s="164"/>
    </row>
    <row r="150" spans="13:13">
      <c r="M150" s="164"/>
    </row>
    <row r="151" spans="13:13">
      <c r="M151" s="164"/>
    </row>
    <row r="152" spans="13:13">
      <c r="M152" s="164"/>
    </row>
    <row r="153" spans="13:13">
      <c r="M153" s="164"/>
    </row>
    <row r="154" spans="13:13">
      <c r="M154" s="164"/>
    </row>
    <row r="155" spans="13:13">
      <c r="M155" s="164"/>
    </row>
    <row r="156" spans="13:13">
      <c r="M156" s="164"/>
    </row>
    <row r="157" spans="13:13">
      <c r="M157" s="164"/>
    </row>
    <row r="158" spans="13:13">
      <c r="M158" s="164"/>
    </row>
    <row r="159" spans="13:13">
      <c r="M159" s="164"/>
    </row>
    <row r="160" spans="13:13">
      <c r="M160" s="164"/>
    </row>
    <row r="161" spans="13:13">
      <c r="M161" s="164"/>
    </row>
    <row r="162" spans="13:13">
      <c r="M162" s="164"/>
    </row>
    <row r="163" spans="13:13">
      <c r="M163" s="164"/>
    </row>
    <row r="164" spans="13:13">
      <c r="M164" s="164"/>
    </row>
    <row r="165" spans="13:13">
      <c r="M165" s="164"/>
    </row>
    <row r="166" spans="13:13">
      <c r="M166" s="164"/>
    </row>
    <row r="167" spans="13:13">
      <c r="M167" s="164"/>
    </row>
    <row r="168" spans="13:13">
      <c r="M168" s="164"/>
    </row>
    <row r="169" spans="13:13">
      <c r="M169" s="164"/>
    </row>
    <row r="170" spans="13:13">
      <c r="M170" s="164"/>
    </row>
    <row r="171" spans="13:13">
      <c r="M171" s="164"/>
    </row>
    <row r="172" spans="13:13">
      <c r="M172" s="164"/>
    </row>
    <row r="173" spans="13:13">
      <c r="M173" s="164"/>
    </row>
    <row r="174" spans="13:13">
      <c r="M174" s="164"/>
    </row>
    <row r="175" spans="13:13">
      <c r="M175" s="164"/>
    </row>
    <row r="176" spans="13:13">
      <c r="M176" s="164"/>
    </row>
    <row r="177" spans="13:13">
      <c r="M177" s="164"/>
    </row>
    <row r="178" spans="13:13">
      <c r="M178" s="164"/>
    </row>
    <row r="179" spans="13:13">
      <c r="M179" s="164"/>
    </row>
    <row r="180" spans="13:13">
      <c r="M180" s="164"/>
    </row>
    <row r="181" spans="13:13">
      <c r="M181" s="164"/>
    </row>
    <row r="182" spans="13:13">
      <c r="M182" s="164"/>
    </row>
    <row r="183" spans="13:13">
      <c r="M183" s="164"/>
    </row>
    <row r="184" spans="13:13">
      <c r="M184" s="164"/>
    </row>
    <row r="185" spans="13:13">
      <c r="M185" s="164"/>
    </row>
    <row r="186" spans="13:13">
      <c r="M186" s="164"/>
    </row>
    <row r="187" spans="13:13">
      <c r="M187" s="164"/>
    </row>
    <row r="188" spans="13:13">
      <c r="M188" s="164"/>
    </row>
    <row r="189" spans="13:13">
      <c r="M189" s="164"/>
    </row>
    <row r="190" spans="13:13">
      <c r="M190" s="164"/>
    </row>
    <row r="191" spans="13:13">
      <c r="M191" s="164"/>
    </row>
    <row r="192" spans="13:13">
      <c r="M192" s="164"/>
    </row>
    <row r="193" spans="13:13">
      <c r="M193" s="164"/>
    </row>
    <row r="194" spans="13:13">
      <c r="M194" s="164"/>
    </row>
    <row r="195" spans="13:13">
      <c r="M195" s="164"/>
    </row>
    <row r="196" spans="13:13">
      <c r="M196" s="164"/>
    </row>
    <row r="197" spans="13:13">
      <c r="M197" s="164"/>
    </row>
    <row r="198" spans="13:13">
      <c r="M198" s="164"/>
    </row>
    <row r="199" spans="13:13">
      <c r="M199" s="164"/>
    </row>
    <row r="200" spans="13:13">
      <c r="M200" s="164"/>
    </row>
    <row r="201" spans="13:13">
      <c r="M201" s="164"/>
    </row>
    <row r="202" spans="13:13">
      <c r="M202" s="164"/>
    </row>
    <row r="203" spans="13:13">
      <c r="M203" s="164"/>
    </row>
    <row r="204" spans="13:13">
      <c r="M204" s="164"/>
    </row>
    <row r="205" spans="13:13">
      <c r="M205" s="164"/>
    </row>
    <row r="206" spans="13:13">
      <c r="M206" s="164"/>
    </row>
    <row r="207" spans="13:13">
      <c r="M207" s="164"/>
    </row>
    <row r="208" spans="13:13">
      <c r="M208" s="164"/>
    </row>
    <row r="209" spans="13:13">
      <c r="M209" s="164"/>
    </row>
    <row r="210" spans="13:13">
      <c r="M210" s="164"/>
    </row>
    <row r="211" spans="13:13">
      <c r="M211" s="164"/>
    </row>
    <row r="212" spans="13:13">
      <c r="M212" s="164"/>
    </row>
    <row r="213" spans="13:13">
      <c r="M213" s="164"/>
    </row>
    <row r="214" spans="13:13">
      <c r="M214" s="164"/>
    </row>
    <row r="215" spans="13:13">
      <c r="M215" s="164"/>
    </row>
    <row r="216" spans="13:13">
      <c r="M216" s="164"/>
    </row>
    <row r="217" spans="13:13">
      <c r="M217" s="164"/>
    </row>
    <row r="218" spans="13:13">
      <c r="M218" s="164"/>
    </row>
    <row r="219" spans="13:13">
      <c r="M219" s="164"/>
    </row>
    <row r="220" spans="13:13">
      <c r="M220" s="164"/>
    </row>
    <row r="221" spans="13:13">
      <c r="M221" s="164"/>
    </row>
    <row r="222" spans="13:13">
      <c r="M222" s="164"/>
    </row>
    <row r="223" spans="13:13">
      <c r="M223" s="164"/>
    </row>
    <row r="224" spans="13:13">
      <c r="M224" s="164"/>
    </row>
    <row r="225" spans="13:13">
      <c r="M225" s="164"/>
    </row>
    <row r="226" spans="13:13">
      <c r="M226" s="164"/>
    </row>
    <row r="227" spans="13:13">
      <c r="M227" s="164"/>
    </row>
    <row r="228" spans="13:13">
      <c r="M228" s="164"/>
    </row>
    <row r="229" spans="13:13">
      <c r="M229" s="164"/>
    </row>
    <row r="230" spans="13:13">
      <c r="M230" s="164"/>
    </row>
    <row r="231" spans="13:13">
      <c r="M231" s="164"/>
    </row>
    <row r="232" spans="13:13">
      <c r="M232" s="164"/>
    </row>
    <row r="233" spans="13:13">
      <c r="M233" s="164"/>
    </row>
    <row r="234" spans="13:13">
      <c r="M234" s="164"/>
    </row>
    <row r="235" spans="13:13">
      <c r="M235" s="164"/>
    </row>
    <row r="236" spans="13:13">
      <c r="M236" s="164"/>
    </row>
    <row r="237" spans="13:13">
      <c r="M237" s="164"/>
    </row>
    <row r="238" spans="13:13">
      <c r="M238" s="164"/>
    </row>
    <row r="239" spans="13:13">
      <c r="M239" s="164"/>
    </row>
    <row r="240" spans="13:13">
      <c r="M240" s="164"/>
    </row>
    <row r="241" spans="13:13">
      <c r="M241" s="164"/>
    </row>
    <row r="242" spans="13:13">
      <c r="M242" s="164"/>
    </row>
    <row r="243" spans="13:13">
      <c r="M243" s="164"/>
    </row>
    <row r="244" spans="13:13">
      <c r="M244" s="164"/>
    </row>
    <row r="245" spans="13:13">
      <c r="M245" s="164"/>
    </row>
    <row r="246" spans="13:13">
      <c r="M246" s="164"/>
    </row>
    <row r="247" spans="13:13">
      <c r="M247" s="164"/>
    </row>
    <row r="248" spans="13:13">
      <c r="M248" s="164"/>
    </row>
    <row r="249" spans="13:13">
      <c r="M249" s="164"/>
    </row>
    <row r="250" spans="13:13">
      <c r="M250" s="164"/>
    </row>
    <row r="251" spans="13:13">
      <c r="M251" s="164"/>
    </row>
    <row r="252" spans="13:13">
      <c r="M252" s="164"/>
    </row>
    <row r="253" spans="13:13">
      <c r="M253" s="164"/>
    </row>
    <row r="254" spans="13:13">
      <c r="M254" s="164"/>
    </row>
    <row r="255" spans="13:13">
      <c r="M255" s="164"/>
    </row>
    <row r="256" spans="13:13">
      <c r="M256" s="164"/>
    </row>
    <row r="257" spans="13:13">
      <c r="M257" s="164"/>
    </row>
    <row r="258" spans="13:13">
      <c r="M258" s="164"/>
    </row>
    <row r="259" spans="13:13">
      <c r="M259" s="164"/>
    </row>
    <row r="260" spans="13:13">
      <c r="M260" s="164"/>
    </row>
    <row r="261" spans="13:13">
      <c r="M261" s="164"/>
    </row>
    <row r="262" spans="13:13">
      <c r="M262" s="164"/>
    </row>
    <row r="263" spans="13:13">
      <c r="M263" s="164"/>
    </row>
    <row r="264" spans="13:13">
      <c r="M264" s="164"/>
    </row>
    <row r="265" spans="13:13">
      <c r="M265" s="164"/>
    </row>
    <row r="266" spans="13:13">
      <c r="M266" s="164"/>
    </row>
    <row r="267" spans="13:13">
      <c r="M267" s="164"/>
    </row>
    <row r="268" spans="13:13">
      <c r="M268" s="164"/>
    </row>
    <row r="269" spans="13:13">
      <c r="M269" s="164"/>
    </row>
    <row r="270" spans="13:13">
      <c r="M270" s="164"/>
    </row>
    <row r="271" spans="13:13">
      <c r="M271" s="164"/>
    </row>
    <row r="272" spans="13:13">
      <c r="M272" s="164"/>
    </row>
    <row r="273" spans="13:13">
      <c r="M273" s="164"/>
    </row>
    <row r="274" spans="13:13">
      <c r="M274" s="164"/>
    </row>
    <row r="275" spans="13:13">
      <c r="M275" s="164"/>
    </row>
    <row r="276" spans="13:13">
      <c r="M276" s="164"/>
    </row>
    <row r="277" spans="13:13">
      <c r="M277" s="164"/>
    </row>
    <row r="278" spans="13:13">
      <c r="M278" s="164"/>
    </row>
    <row r="279" spans="13:13">
      <c r="M279" s="164"/>
    </row>
    <row r="280" spans="13:13">
      <c r="M280" s="164"/>
    </row>
    <row r="281" spans="13:13">
      <c r="M281" s="164"/>
    </row>
    <row r="282" spans="13:13">
      <c r="M282" s="164"/>
    </row>
    <row r="283" spans="13:13">
      <c r="M283" s="164"/>
    </row>
    <row r="284" spans="13:13">
      <c r="M284" s="164"/>
    </row>
    <row r="285" spans="13:13">
      <c r="M285" s="164"/>
    </row>
    <row r="286" spans="13:13">
      <c r="M286" s="164"/>
    </row>
    <row r="287" spans="13:13">
      <c r="M287" s="164"/>
    </row>
    <row r="288" spans="13:13">
      <c r="M288" s="164"/>
    </row>
    <row r="289" spans="13:13">
      <c r="M289" s="164"/>
    </row>
    <row r="290" spans="13:13">
      <c r="M290" s="164"/>
    </row>
    <row r="291" spans="13:13">
      <c r="M291" s="164"/>
    </row>
    <row r="292" spans="13:13">
      <c r="M292" s="164"/>
    </row>
    <row r="293" spans="13:13">
      <c r="M293" s="164"/>
    </row>
    <row r="294" spans="13:13">
      <c r="M294" s="164"/>
    </row>
    <row r="295" spans="13:13">
      <c r="M295" s="164"/>
    </row>
    <row r="296" spans="13:13">
      <c r="M296" s="164"/>
    </row>
    <row r="297" spans="13:13">
      <c r="M297" s="164"/>
    </row>
    <row r="298" spans="13:13">
      <c r="M298" s="164"/>
    </row>
    <row r="299" spans="13:13">
      <c r="M299" s="164"/>
    </row>
    <row r="300" spans="13:13">
      <c r="M300" s="164"/>
    </row>
    <row r="301" spans="13:13">
      <c r="M301" s="164"/>
    </row>
    <row r="302" spans="13:13">
      <c r="M302" s="164"/>
    </row>
    <row r="303" spans="13:13">
      <c r="M303" s="164"/>
    </row>
    <row r="304" spans="13:13">
      <c r="M304" s="164"/>
    </row>
    <row r="305" spans="13:13">
      <c r="M305" s="164"/>
    </row>
    <row r="306" spans="13:13">
      <c r="M306" s="164"/>
    </row>
    <row r="307" spans="13:13">
      <c r="M307" s="164"/>
    </row>
    <row r="308" spans="13:13">
      <c r="M308" s="164"/>
    </row>
    <row r="309" spans="13:13">
      <c r="M309" s="164"/>
    </row>
    <row r="310" spans="13:13">
      <c r="M310" s="164"/>
    </row>
    <row r="311" spans="13:13">
      <c r="M311" s="164"/>
    </row>
    <row r="312" spans="13:13">
      <c r="M312" s="164"/>
    </row>
    <row r="313" spans="13:13">
      <c r="M313" s="164"/>
    </row>
    <row r="314" spans="13:13">
      <c r="M314" s="164"/>
    </row>
    <row r="315" spans="13:13">
      <c r="M315" s="164"/>
    </row>
    <row r="316" spans="13:13">
      <c r="M316" s="164"/>
    </row>
    <row r="317" spans="13:13">
      <c r="M317" s="164"/>
    </row>
    <row r="318" spans="13:13">
      <c r="M318" s="164"/>
    </row>
    <row r="319" spans="13:13">
      <c r="M319" s="164"/>
    </row>
    <row r="320" spans="13:13">
      <c r="M320" s="164"/>
    </row>
    <row r="321" spans="13:13">
      <c r="M321" s="164"/>
    </row>
    <row r="322" spans="13:13">
      <c r="M322" s="164"/>
    </row>
    <row r="323" spans="13:13">
      <c r="M323" s="164"/>
    </row>
    <row r="324" spans="13:13">
      <c r="M324" s="164"/>
    </row>
    <row r="325" spans="13:13">
      <c r="M325" s="164"/>
    </row>
    <row r="326" spans="13:13">
      <c r="M326" s="164"/>
    </row>
    <row r="327" spans="13:13">
      <c r="M327" s="164"/>
    </row>
    <row r="328" spans="13:13">
      <c r="M328" s="164"/>
    </row>
    <row r="329" spans="13:13">
      <c r="M329" s="164"/>
    </row>
    <row r="330" spans="13:13">
      <c r="M330" s="164"/>
    </row>
    <row r="331" spans="13:13">
      <c r="M331" s="164"/>
    </row>
    <row r="332" spans="13:13">
      <c r="M332" s="164"/>
    </row>
    <row r="333" spans="13:13">
      <c r="M333" s="164"/>
    </row>
    <row r="334" spans="13:13">
      <c r="M334" s="164"/>
    </row>
    <row r="335" spans="13:13">
      <c r="M335" s="164"/>
    </row>
    <row r="336" spans="13:13">
      <c r="M336" s="164"/>
    </row>
    <row r="337" spans="13:13">
      <c r="M337" s="164"/>
    </row>
    <row r="338" spans="13:13">
      <c r="M338" s="164"/>
    </row>
    <row r="339" spans="13:13">
      <c r="M339" s="164"/>
    </row>
    <row r="340" spans="13:13">
      <c r="M340" s="164"/>
    </row>
    <row r="341" spans="13:13">
      <c r="M341" s="164"/>
    </row>
    <row r="342" spans="13:13">
      <c r="M342" s="164"/>
    </row>
    <row r="343" spans="13:13">
      <c r="M343" s="164"/>
    </row>
    <row r="344" spans="13:13">
      <c r="M344" s="164"/>
    </row>
    <row r="345" spans="13:13">
      <c r="M345" s="164"/>
    </row>
    <row r="346" spans="13:13">
      <c r="M346" s="164"/>
    </row>
    <row r="347" spans="13:13">
      <c r="M347" s="164"/>
    </row>
    <row r="348" spans="13:13">
      <c r="M348" s="164"/>
    </row>
    <row r="349" spans="13:13">
      <c r="M349" s="164"/>
    </row>
    <row r="350" spans="13:13">
      <c r="M350" s="164"/>
    </row>
    <row r="351" spans="13:13">
      <c r="M351" s="164"/>
    </row>
    <row r="352" spans="13:13">
      <c r="M352" s="164"/>
    </row>
    <row r="353" spans="13:13">
      <c r="M353" s="164"/>
    </row>
    <row r="354" spans="13:13">
      <c r="M354" s="164"/>
    </row>
    <row r="355" spans="13:13">
      <c r="M355" s="164"/>
    </row>
    <row r="356" spans="13:13">
      <c r="M356" s="164"/>
    </row>
    <row r="357" spans="13:13">
      <c r="M357" s="164"/>
    </row>
    <row r="358" spans="13:13">
      <c r="M358" s="164"/>
    </row>
    <row r="359" spans="13:13">
      <c r="M359" s="164"/>
    </row>
    <row r="360" spans="13:13">
      <c r="M360" s="164"/>
    </row>
    <row r="361" spans="13:13">
      <c r="M361" s="164"/>
    </row>
    <row r="362" spans="13:13">
      <c r="M362" s="164"/>
    </row>
    <row r="363" spans="13:13">
      <c r="M363" s="164"/>
    </row>
    <row r="364" spans="13:13">
      <c r="M364" s="164"/>
    </row>
    <row r="365" spans="13:13">
      <c r="M365" s="164"/>
    </row>
    <row r="366" spans="13:13">
      <c r="M366" s="164"/>
    </row>
    <row r="367" spans="13:13">
      <c r="M367" s="164"/>
    </row>
    <row r="368" spans="13:13">
      <c r="M368" s="164"/>
    </row>
    <row r="369" spans="13:13">
      <c r="M369" s="164"/>
    </row>
    <row r="370" spans="13:13">
      <c r="M370" s="164"/>
    </row>
    <row r="371" spans="13:13">
      <c r="M371" s="164"/>
    </row>
    <row r="372" spans="13:13">
      <c r="M372" s="164"/>
    </row>
    <row r="373" spans="13:13">
      <c r="M373" s="164"/>
    </row>
    <row r="374" spans="13:13">
      <c r="M374" s="164"/>
    </row>
    <row r="375" spans="13:13">
      <c r="M375" s="164"/>
    </row>
    <row r="376" spans="13:13">
      <c r="M376" s="164"/>
    </row>
    <row r="377" spans="13:13">
      <c r="M377" s="164"/>
    </row>
    <row r="378" spans="13:13">
      <c r="M378" s="164"/>
    </row>
    <row r="379" spans="13:13">
      <c r="M379" s="164"/>
    </row>
    <row r="380" spans="13:13">
      <c r="M380" s="164"/>
    </row>
    <row r="381" spans="13:13">
      <c r="M381" s="164"/>
    </row>
    <row r="382" spans="13:13">
      <c r="M382" s="164"/>
    </row>
    <row r="383" spans="13:13">
      <c r="M383" s="164"/>
    </row>
    <row r="384" spans="13:13">
      <c r="M384" s="164"/>
    </row>
    <row r="385" spans="13:13">
      <c r="M385" s="164"/>
    </row>
    <row r="386" spans="13:13">
      <c r="M386" s="164"/>
    </row>
    <row r="387" spans="13:13">
      <c r="M387" s="164"/>
    </row>
    <row r="388" spans="13:13">
      <c r="M388" s="164"/>
    </row>
    <row r="389" spans="13:13">
      <c r="M389" s="164"/>
    </row>
    <row r="390" spans="13:13">
      <c r="M390" s="164"/>
    </row>
    <row r="391" spans="13:13">
      <c r="M391" s="164"/>
    </row>
    <row r="392" spans="13:13">
      <c r="M392" s="164"/>
    </row>
    <row r="393" spans="13:13">
      <c r="M393" s="164"/>
    </row>
    <row r="394" spans="13:13">
      <c r="M394" s="164"/>
    </row>
    <row r="395" spans="13:13">
      <c r="M395" s="164"/>
    </row>
    <row r="396" spans="13:13">
      <c r="M396" s="164"/>
    </row>
    <row r="397" spans="13:13">
      <c r="M397" s="164"/>
    </row>
    <row r="398" spans="13:13">
      <c r="M398" s="164"/>
    </row>
    <row r="399" spans="13:13">
      <c r="M399" s="164"/>
    </row>
    <row r="400" spans="13:13">
      <c r="M400" s="164"/>
    </row>
    <row r="401" spans="13:13">
      <c r="M401" s="164"/>
    </row>
    <row r="402" spans="13:13">
      <c r="M402" s="164"/>
    </row>
    <row r="403" spans="13:13">
      <c r="M403" s="164"/>
    </row>
    <row r="404" spans="13:13">
      <c r="M404" s="164"/>
    </row>
    <row r="405" spans="13:13">
      <c r="M405" s="164"/>
    </row>
    <row r="406" spans="13:13">
      <c r="M406" s="164"/>
    </row>
    <row r="407" spans="13:13">
      <c r="M407" s="164"/>
    </row>
    <row r="408" spans="13:13">
      <c r="M408" s="164"/>
    </row>
    <row r="409" spans="13:13">
      <c r="M409" s="164"/>
    </row>
    <row r="410" spans="13:13">
      <c r="M410" s="164"/>
    </row>
    <row r="411" spans="13:13">
      <c r="M411" s="164"/>
    </row>
    <row r="412" spans="13:13">
      <c r="M412" s="164"/>
    </row>
    <row r="413" spans="13:13">
      <c r="M413" s="164"/>
    </row>
    <row r="414" spans="13:13">
      <c r="M414" s="164"/>
    </row>
    <row r="415" spans="13:13">
      <c r="M415" s="164"/>
    </row>
    <row r="416" spans="13:13">
      <c r="M416" s="164"/>
    </row>
    <row r="417" spans="13:13">
      <c r="M417" s="164"/>
    </row>
    <row r="418" spans="13:13">
      <c r="M418" s="164"/>
    </row>
    <row r="419" spans="13:13">
      <c r="M419" s="164"/>
    </row>
    <row r="420" spans="13:13">
      <c r="M420" s="164"/>
    </row>
    <row r="421" spans="13:13">
      <c r="M421" s="164"/>
    </row>
    <row r="422" spans="13:13">
      <c r="M422" s="164"/>
    </row>
    <row r="423" spans="13:13">
      <c r="M423" s="164"/>
    </row>
    <row r="424" spans="13:13">
      <c r="M424" s="164"/>
    </row>
    <row r="425" spans="13:13">
      <c r="M425" s="164"/>
    </row>
    <row r="426" spans="13:13">
      <c r="M426" s="164"/>
    </row>
    <row r="427" spans="13:13">
      <c r="M427" s="164"/>
    </row>
    <row r="428" spans="13:13">
      <c r="M428" s="164"/>
    </row>
    <row r="429" spans="13:13">
      <c r="M429" s="164"/>
    </row>
    <row r="430" spans="13:13">
      <c r="M430" s="164"/>
    </row>
    <row r="431" spans="13:13">
      <c r="M431" s="164"/>
    </row>
    <row r="432" spans="13:13">
      <c r="M432" s="164"/>
    </row>
    <row r="433" spans="13:13">
      <c r="M433" s="164"/>
    </row>
    <row r="434" spans="13:13">
      <c r="M434" s="164"/>
    </row>
    <row r="435" spans="13:13">
      <c r="M435" s="164"/>
    </row>
    <row r="436" spans="13:13">
      <c r="M436" s="164"/>
    </row>
    <row r="437" spans="13:13">
      <c r="M437" s="164"/>
    </row>
    <row r="438" spans="13:13">
      <c r="M438" s="164"/>
    </row>
    <row r="439" spans="13:13">
      <c r="M439" s="164"/>
    </row>
    <row r="440" spans="13:13">
      <c r="M440" s="164"/>
    </row>
    <row r="441" spans="13:13">
      <c r="M441" s="164"/>
    </row>
    <row r="442" spans="13:13">
      <c r="M442" s="164"/>
    </row>
    <row r="443" spans="13:13">
      <c r="M443" s="164"/>
    </row>
    <row r="444" spans="13:13">
      <c r="M444" s="164"/>
    </row>
    <row r="445" spans="13:13">
      <c r="M445" s="164"/>
    </row>
    <row r="446" spans="13:13">
      <c r="M446" s="164"/>
    </row>
    <row r="447" spans="13:13">
      <c r="M447" s="164"/>
    </row>
    <row r="448" spans="13:13">
      <c r="M448" s="164"/>
    </row>
    <row r="449" spans="13:13">
      <c r="M449" s="164"/>
    </row>
    <row r="450" spans="13:13">
      <c r="M450" s="164"/>
    </row>
    <row r="451" spans="13:13">
      <c r="M451" s="164"/>
    </row>
    <row r="452" spans="13:13">
      <c r="M452" s="164"/>
    </row>
    <row r="453" spans="13:13">
      <c r="M453" s="164"/>
    </row>
    <row r="454" spans="13:13">
      <c r="M454" s="164"/>
    </row>
    <row r="455" spans="13:13">
      <c r="M455" s="164"/>
    </row>
    <row r="456" spans="13:13">
      <c r="M456" s="164"/>
    </row>
    <row r="457" spans="13:13">
      <c r="M457" s="164"/>
    </row>
    <row r="458" spans="13:13">
      <c r="M458" s="164"/>
    </row>
    <row r="459" spans="13:13">
      <c r="M459" s="164"/>
    </row>
    <row r="460" spans="13:13">
      <c r="M460" s="164"/>
    </row>
    <row r="461" spans="13:13">
      <c r="M461" s="164"/>
    </row>
    <row r="462" spans="13:13">
      <c r="M462" s="164"/>
    </row>
    <row r="463" spans="13:13">
      <c r="M463" s="164"/>
    </row>
    <row r="464" spans="13:13">
      <c r="M464" s="164"/>
    </row>
    <row r="465" spans="13:13">
      <c r="M465" s="164"/>
    </row>
    <row r="466" spans="13:13">
      <c r="M466" s="164"/>
    </row>
    <row r="467" spans="13:13">
      <c r="M467" s="164"/>
    </row>
    <row r="468" spans="13:13">
      <c r="M468" s="164"/>
    </row>
    <row r="469" spans="13:13">
      <c r="M469" s="164"/>
    </row>
    <row r="470" spans="13:13">
      <c r="M470" s="164"/>
    </row>
    <row r="471" spans="13:13">
      <c r="M471" s="164"/>
    </row>
    <row r="472" spans="13:13">
      <c r="M472" s="164"/>
    </row>
    <row r="473" spans="13:13">
      <c r="M473" s="164"/>
    </row>
    <row r="474" spans="13:13">
      <c r="M474" s="164"/>
    </row>
    <row r="475" spans="13:13">
      <c r="M475" s="164"/>
    </row>
    <row r="476" spans="13:13">
      <c r="M476" s="164"/>
    </row>
    <row r="477" spans="13:13">
      <c r="M477" s="164"/>
    </row>
    <row r="478" spans="13:13">
      <c r="M478" s="164"/>
    </row>
    <row r="479" spans="13:13">
      <c r="M479" s="164"/>
    </row>
    <row r="480" spans="13:13">
      <c r="M480" s="164"/>
    </row>
    <row r="481" spans="13:13">
      <c r="M481" s="164"/>
    </row>
    <row r="482" spans="13:13">
      <c r="M482" s="164"/>
    </row>
    <row r="483" spans="13:13">
      <c r="M483" s="164"/>
    </row>
    <row r="484" spans="13:13">
      <c r="M484" s="164"/>
    </row>
    <row r="485" spans="13:13">
      <c r="M485" s="164"/>
    </row>
    <row r="486" spans="13:13">
      <c r="M486" s="164"/>
    </row>
    <row r="487" spans="13:13">
      <c r="M487" s="164"/>
    </row>
    <row r="488" spans="13:13">
      <c r="M488" s="164"/>
    </row>
    <row r="489" spans="13:13">
      <c r="M489" s="164"/>
    </row>
    <row r="490" spans="13:13">
      <c r="M490" s="164"/>
    </row>
    <row r="491" spans="13:13">
      <c r="M491" s="164"/>
    </row>
    <row r="492" spans="13:13">
      <c r="M492" s="164"/>
    </row>
    <row r="493" spans="13:13">
      <c r="M493" s="164"/>
    </row>
    <row r="494" spans="13:13">
      <c r="M494" s="164"/>
    </row>
    <row r="495" spans="13:13">
      <c r="M495" s="164"/>
    </row>
    <row r="496" spans="13:13">
      <c r="M496" s="164"/>
    </row>
    <row r="497" spans="13:13">
      <c r="M497" s="164"/>
    </row>
    <row r="498" spans="13:13">
      <c r="M498" s="164"/>
    </row>
    <row r="499" spans="13:13">
      <c r="M499" s="164"/>
    </row>
    <row r="500" spans="13:13">
      <c r="M500" s="164"/>
    </row>
    <row r="501" spans="13:13">
      <c r="M501" s="164"/>
    </row>
    <row r="502" spans="13:13">
      <c r="M502" s="164"/>
    </row>
    <row r="503" spans="13:13">
      <c r="M503" s="164"/>
    </row>
    <row r="504" spans="13:13">
      <c r="M504" s="164"/>
    </row>
    <row r="505" spans="13:13">
      <c r="M505" s="164"/>
    </row>
    <row r="506" spans="13:13">
      <c r="M506" s="164"/>
    </row>
    <row r="507" spans="13:13">
      <c r="M507" s="164"/>
    </row>
    <row r="508" spans="13:13">
      <c r="M508" s="164"/>
    </row>
    <row r="509" spans="13:13">
      <c r="M509" s="164"/>
    </row>
    <row r="510" spans="13:13">
      <c r="M510" s="164"/>
    </row>
    <row r="511" spans="13:13">
      <c r="M511" s="164"/>
    </row>
    <row r="512" spans="13:13">
      <c r="M512" s="164"/>
    </row>
    <row r="513" spans="13:13">
      <c r="M513" s="164"/>
    </row>
    <row r="514" spans="13:13">
      <c r="M514" s="164"/>
    </row>
    <row r="515" spans="13:13">
      <c r="M515" s="164"/>
    </row>
    <row r="516" spans="13:13">
      <c r="M516" s="164"/>
    </row>
    <row r="517" spans="13:13">
      <c r="M517" s="164"/>
    </row>
    <row r="518" spans="13:13">
      <c r="M518" s="164"/>
    </row>
    <row r="519" spans="13:13">
      <c r="M519" s="164"/>
    </row>
    <row r="520" spans="13:13">
      <c r="M520" s="164"/>
    </row>
    <row r="521" spans="13:13">
      <c r="M521" s="164"/>
    </row>
    <row r="522" spans="13:13">
      <c r="M522" s="164"/>
    </row>
    <row r="523" spans="13:13">
      <c r="M523" s="164"/>
    </row>
    <row r="524" spans="13:13">
      <c r="M524" s="164"/>
    </row>
    <row r="525" spans="13:13">
      <c r="M525" s="164"/>
    </row>
    <row r="526" spans="13:13">
      <c r="M526" s="164"/>
    </row>
    <row r="527" spans="13:13">
      <c r="M527" s="164"/>
    </row>
    <row r="528" spans="13:13">
      <c r="M528" s="164"/>
    </row>
    <row r="529" spans="13:13">
      <c r="M529" s="164"/>
    </row>
    <row r="530" spans="13:13">
      <c r="M530" s="164"/>
    </row>
    <row r="531" spans="13:13">
      <c r="M531" s="164"/>
    </row>
    <row r="532" spans="13:13">
      <c r="M532" s="164"/>
    </row>
    <row r="533" spans="13:13">
      <c r="M533" s="164"/>
    </row>
    <row r="534" spans="13:13">
      <c r="M534" s="164"/>
    </row>
    <row r="535" spans="13:13">
      <c r="M535" s="164"/>
    </row>
    <row r="536" spans="13:13">
      <c r="M536" s="164"/>
    </row>
    <row r="537" spans="13:13">
      <c r="M537" s="164"/>
    </row>
    <row r="538" spans="13:13">
      <c r="M538" s="164"/>
    </row>
    <row r="539" spans="13:13">
      <c r="M539" s="164"/>
    </row>
    <row r="540" spans="13:13">
      <c r="M540" s="164"/>
    </row>
    <row r="541" spans="13:13">
      <c r="M541" s="164"/>
    </row>
    <row r="542" spans="13:13">
      <c r="M542" s="164"/>
    </row>
    <row r="543" spans="13:13">
      <c r="M543" s="164"/>
    </row>
    <row r="544" spans="13:13">
      <c r="M544" s="164"/>
    </row>
    <row r="545" spans="13:13">
      <c r="M545" s="164"/>
    </row>
    <row r="546" spans="13:13">
      <c r="M546" s="164"/>
    </row>
    <row r="547" spans="13:13">
      <c r="M547" s="164"/>
    </row>
    <row r="548" spans="13:13">
      <c r="M548" s="164"/>
    </row>
    <row r="549" spans="13:13">
      <c r="M549" s="164"/>
    </row>
    <row r="550" spans="13:13">
      <c r="M550" s="164"/>
    </row>
    <row r="551" spans="13:13">
      <c r="M551" s="164"/>
    </row>
    <row r="552" spans="13:13">
      <c r="M552" s="164"/>
    </row>
    <row r="553" spans="13:13">
      <c r="M553" s="164"/>
    </row>
    <row r="554" spans="13:13">
      <c r="M554" s="164"/>
    </row>
    <row r="555" spans="13:13">
      <c r="M555" s="164"/>
    </row>
    <row r="556" spans="13:13">
      <c r="M556" s="164"/>
    </row>
    <row r="557" spans="13:13">
      <c r="M557" s="164"/>
    </row>
    <row r="558" spans="13:13">
      <c r="M558" s="164"/>
    </row>
    <row r="559" spans="13:13">
      <c r="M559" s="164"/>
    </row>
    <row r="560" spans="13:13">
      <c r="M560" s="164"/>
    </row>
    <row r="561" spans="13:13">
      <c r="M561" s="164"/>
    </row>
    <row r="562" spans="13:13">
      <c r="M562" s="164"/>
    </row>
    <row r="563" spans="13:13">
      <c r="M563" s="164"/>
    </row>
    <row r="564" spans="13:13">
      <c r="M564" s="164"/>
    </row>
    <row r="565" spans="13:13">
      <c r="M565" s="164"/>
    </row>
    <row r="566" spans="13:13">
      <c r="M566" s="164"/>
    </row>
    <row r="567" spans="13:13">
      <c r="M567" s="164"/>
    </row>
    <row r="568" spans="13:13">
      <c r="M568" s="164"/>
    </row>
    <row r="569" spans="13:13">
      <c r="M569" s="164"/>
    </row>
    <row r="570" spans="13:13">
      <c r="M570" s="164"/>
    </row>
    <row r="571" spans="13:13">
      <c r="M571" s="164"/>
    </row>
    <row r="572" spans="13:13">
      <c r="M572" s="164"/>
    </row>
    <row r="573" spans="13:13">
      <c r="M573" s="164"/>
    </row>
    <row r="574" spans="13:13">
      <c r="M574" s="164"/>
    </row>
    <row r="575" spans="13:13">
      <c r="M575" s="164"/>
    </row>
    <row r="576" spans="13:13">
      <c r="M576" s="164"/>
    </row>
    <row r="577" spans="13:13">
      <c r="M577" s="164"/>
    </row>
    <row r="578" spans="13:13">
      <c r="M578" s="164"/>
    </row>
    <row r="579" spans="13:13">
      <c r="M579" s="164"/>
    </row>
    <row r="580" spans="13:13">
      <c r="M580" s="164"/>
    </row>
    <row r="581" spans="13:13">
      <c r="M581" s="164"/>
    </row>
    <row r="582" spans="13:13">
      <c r="M582" s="164"/>
    </row>
    <row r="583" spans="13:13">
      <c r="M583" s="164"/>
    </row>
    <row r="584" spans="13:13">
      <c r="M584" s="164"/>
    </row>
    <row r="585" spans="13:13">
      <c r="M585" s="164"/>
    </row>
    <row r="586" spans="13:13">
      <c r="M586" s="164"/>
    </row>
    <row r="587" spans="13:13">
      <c r="M587" s="164"/>
    </row>
    <row r="588" spans="13:13">
      <c r="M588" s="164"/>
    </row>
    <row r="589" spans="13:13">
      <c r="M589" s="164"/>
    </row>
    <row r="590" spans="13:13">
      <c r="M590" s="164"/>
    </row>
    <row r="591" spans="13:13">
      <c r="M591" s="164"/>
    </row>
    <row r="592" spans="13:13">
      <c r="M592" s="164"/>
    </row>
    <row r="593" spans="13:13">
      <c r="M593" s="164"/>
    </row>
    <row r="594" spans="13:13">
      <c r="M594" s="164"/>
    </row>
    <row r="595" spans="13:13">
      <c r="M595" s="164"/>
    </row>
    <row r="596" spans="13:13">
      <c r="M596" s="164"/>
    </row>
    <row r="597" spans="13:13">
      <c r="M597" s="164"/>
    </row>
    <row r="598" spans="13:13">
      <c r="M598" s="164"/>
    </row>
    <row r="599" spans="13:13">
      <c r="M599" s="164"/>
    </row>
    <row r="600" spans="13:13">
      <c r="M600" s="164"/>
    </row>
    <row r="601" spans="13:13">
      <c r="M601" s="164"/>
    </row>
    <row r="602" spans="13:13">
      <c r="M602" s="164"/>
    </row>
    <row r="603" spans="13:13">
      <c r="M603" s="164"/>
    </row>
    <row r="604" spans="13:13">
      <c r="M604" s="164"/>
    </row>
    <row r="605" spans="13:13">
      <c r="M605" s="164"/>
    </row>
    <row r="606" spans="13:13">
      <c r="M606" s="164"/>
    </row>
    <row r="607" spans="13:13">
      <c r="M607" s="164"/>
    </row>
    <row r="608" spans="13:13">
      <c r="M608" s="164"/>
    </row>
    <row r="609" spans="13:13">
      <c r="M609" s="164"/>
    </row>
    <row r="610" spans="13:13">
      <c r="M610" s="164"/>
    </row>
    <row r="611" spans="13:13">
      <c r="M611" s="164"/>
    </row>
    <row r="612" spans="13:13">
      <c r="M612" s="164"/>
    </row>
    <row r="613" spans="13:13">
      <c r="M613" s="164"/>
    </row>
    <row r="614" spans="13:13">
      <c r="M614" s="164"/>
    </row>
    <row r="615" spans="13:13">
      <c r="M615" s="164"/>
    </row>
    <row r="616" spans="13:13">
      <c r="M616" s="164"/>
    </row>
    <row r="617" spans="13:13">
      <c r="M617" s="164"/>
    </row>
    <row r="618" spans="13:13">
      <c r="M618" s="164"/>
    </row>
    <row r="619" spans="13:13">
      <c r="M619" s="164"/>
    </row>
    <row r="620" spans="13:13">
      <c r="M620" s="164"/>
    </row>
    <row r="621" spans="13:13">
      <c r="M621" s="164"/>
    </row>
    <row r="622" spans="13:13">
      <c r="M622" s="164"/>
    </row>
    <row r="623" spans="13:13">
      <c r="M623" s="164"/>
    </row>
    <row r="624" spans="13:13">
      <c r="M624" s="164"/>
    </row>
    <row r="625" spans="13:13">
      <c r="M625" s="164"/>
    </row>
    <row r="626" spans="13:13">
      <c r="M626" s="164"/>
    </row>
    <row r="627" spans="13:13">
      <c r="M627" s="164"/>
    </row>
    <row r="628" spans="13:13">
      <c r="M628" s="164"/>
    </row>
    <row r="629" spans="13:13">
      <c r="M629" s="164"/>
    </row>
    <row r="630" spans="13:13">
      <c r="M630" s="164"/>
    </row>
    <row r="631" spans="13:13">
      <c r="M631" s="164"/>
    </row>
    <row r="632" spans="13:13">
      <c r="M632" s="164"/>
    </row>
    <row r="633" spans="13:13">
      <c r="M633" s="164"/>
    </row>
    <row r="634" spans="13:13">
      <c r="M634" s="164"/>
    </row>
    <row r="635" spans="13:13">
      <c r="M635" s="164"/>
    </row>
    <row r="636" spans="13:13">
      <c r="M636" s="164"/>
    </row>
    <row r="637" spans="13:13">
      <c r="M637" s="164"/>
    </row>
    <row r="638" spans="13:13">
      <c r="M638" s="164"/>
    </row>
    <row r="639" spans="13:13">
      <c r="M639" s="164"/>
    </row>
    <row r="640" spans="13:13">
      <c r="M640" s="164"/>
    </row>
    <row r="641" spans="13:13">
      <c r="M641" s="164"/>
    </row>
    <row r="642" spans="13:13">
      <c r="M642" s="164"/>
    </row>
    <row r="643" spans="13:13">
      <c r="M643" s="164"/>
    </row>
    <row r="644" spans="13:13">
      <c r="M644" s="164"/>
    </row>
    <row r="645" spans="13:13">
      <c r="M645" s="164"/>
    </row>
    <row r="646" spans="13:13">
      <c r="M646" s="164"/>
    </row>
    <row r="647" spans="13:13">
      <c r="M647" s="164"/>
    </row>
    <row r="648" spans="13:13">
      <c r="M648" s="164"/>
    </row>
    <row r="649" spans="13:13">
      <c r="M649" s="164"/>
    </row>
    <row r="650" spans="13:13">
      <c r="M650" s="164"/>
    </row>
    <row r="651" spans="13:13">
      <c r="M651" s="164"/>
    </row>
    <row r="652" spans="13:13">
      <c r="M652" s="164"/>
    </row>
    <row r="653" spans="13:13">
      <c r="M653" s="164"/>
    </row>
    <row r="654" spans="13:13">
      <c r="M654" s="164"/>
    </row>
    <row r="655" spans="13:13">
      <c r="M655" s="164"/>
    </row>
    <row r="656" spans="13:13">
      <c r="M656" s="164"/>
    </row>
    <row r="657" spans="13:13">
      <c r="M657" s="164"/>
    </row>
    <row r="658" spans="13:13">
      <c r="M658" s="164"/>
    </row>
    <row r="659" spans="13:13">
      <c r="M659" s="164"/>
    </row>
    <row r="660" spans="13:13">
      <c r="M660" s="164"/>
    </row>
    <row r="661" spans="13:13">
      <c r="M661" s="164"/>
    </row>
    <row r="662" spans="13:13">
      <c r="M662" s="164"/>
    </row>
    <row r="663" spans="13:13">
      <c r="M663" s="164"/>
    </row>
    <row r="664" spans="13:13">
      <c r="M664" s="164"/>
    </row>
    <row r="665" spans="13:13">
      <c r="M665" s="164"/>
    </row>
    <row r="666" spans="13:13">
      <c r="M666" s="164"/>
    </row>
    <row r="667" spans="13:13">
      <c r="M667" s="164"/>
    </row>
    <row r="668" spans="13:13">
      <c r="M668" s="164"/>
    </row>
    <row r="669" spans="13:13">
      <c r="M669" s="164"/>
    </row>
    <row r="670" spans="13:13">
      <c r="M670" s="164"/>
    </row>
    <row r="671" spans="13:13">
      <c r="M671" s="164"/>
    </row>
    <row r="672" spans="13:13">
      <c r="M672" s="164"/>
    </row>
    <row r="673" spans="13:13">
      <c r="M673" s="164"/>
    </row>
    <row r="674" spans="13:13">
      <c r="M674" s="164"/>
    </row>
    <row r="675" spans="13:13">
      <c r="M675" s="164"/>
    </row>
    <row r="676" spans="13:13">
      <c r="M676" s="164"/>
    </row>
    <row r="677" spans="13:13">
      <c r="M677" s="164"/>
    </row>
    <row r="678" spans="13:13">
      <c r="M678" s="164"/>
    </row>
    <row r="679" spans="13:13">
      <c r="M679" s="164"/>
    </row>
    <row r="680" spans="13:13">
      <c r="M680" s="164"/>
    </row>
    <row r="681" spans="13:13">
      <c r="M681" s="164"/>
    </row>
    <row r="682" spans="13:13">
      <c r="M682" s="164"/>
    </row>
    <row r="683" spans="13:13">
      <c r="M683" s="164"/>
    </row>
    <row r="684" spans="13:13">
      <c r="M684" s="164"/>
    </row>
    <row r="685" spans="13:13">
      <c r="M685" s="164"/>
    </row>
    <row r="686" spans="13:13">
      <c r="M686" s="164"/>
    </row>
    <row r="687" spans="13:13">
      <c r="M687" s="164"/>
    </row>
    <row r="688" spans="13:13">
      <c r="M688" s="164"/>
    </row>
    <row r="689" spans="13:13">
      <c r="M689" s="164"/>
    </row>
    <row r="690" spans="13:13">
      <c r="M690" s="164"/>
    </row>
    <row r="691" spans="13:13">
      <c r="M691" s="164"/>
    </row>
    <row r="692" spans="13:13">
      <c r="M692" s="164"/>
    </row>
    <row r="693" spans="13:13">
      <c r="M693" s="164"/>
    </row>
    <row r="694" spans="13:13">
      <c r="M694" s="164"/>
    </row>
    <row r="695" spans="13:13">
      <c r="M695" s="164"/>
    </row>
    <row r="696" spans="13:13">
      <c r="M696" s="164"/>
    </row>
    <row r="697" spans="13:13">
      <c r="M697" s="164"/>
    </row>
    <row r="698" spans="13:13">
      <c r="M698" s="164"/>
    </row>
    <row r="699" spans="13:13">
      <c r="M699" s="164"/>
    </row>
    <row r="700" spans="13:13">
      <c r="M700" s="164"/>
    </row>
    <row r="701" spans="13:13">
      <c r="M701" s="164"/>
    </row>
    <row r="702" spans="13:13">
      <c r="M702" s="164"/>
    </row>
    <row r="703" spans="13:13">
      <c r="M703" s="164"/>
    </row>
    <row r="704" spans="13:13">
      <c r="M704" s="164"/>
    </row>
    <row r="705" spans="13:13">
      <c r="M705" s="164"/>
    </row>
    <row r="706" spans="13:13">
      <c r="M706" s="164"/>
    </row>
    <row r="707" spans="13:13">
      <c r="M707" s="164"/>
    </row>
    <row r="708" spans="13:13">
      <c r="M708" s="164"/>
    </row>
    <row r="709" spans="13:13">
      <c r="M709" s="164"/>
    </row>
    <row r="710" spans="13:13">
      <c r="M710" s="164"/>
    </row>
    <row r="711" spans="13:13">
      <c r="M711" s="164"/>
    </row>
    <row r="712" spans="13:13">
      <c r="M712" s="164"/>
    </row>
    <row r="713" spans="13:13">
      <c r="M713" s="164"/>
    </row>
    <row r="714" spans="13:13">
      <c r="M714" s="164"/>
    </row>
    <row r="715" spans="13:13">
      <c r="M715" s="164"/>
    </row>
    <row r="716" spans="13:13">
      <c r="M716" s="164"/>
    </row>
    <row r="717" spans="13:13">
      <c r="M717" s="164"/>
    </row>
    <row r="718" spans="13:13">
      <c r="M718" s="164"/>
    </row>
    <row r="719" spans="13:13">
      <c r="M719" s="164"/>
    </row>
    <row r="720" spans="13:13">
      <c r="M720" s="164"/>
    </row>
    <row r="721" spans="13:13">
      <c r="M721" s="164"/>
    </row>
    <row r="722" spans="13:13">
      <c r="M722" s="164"/>
    </row>
    <row r="723" spans="13:13">
      <c r="M723" s="164"/>
    </row>
    <row r="724" spans="13:13">
      <c r="M724" s="164"/>
    </row>
    <row r="725" spans="13:13">
      <c r="M725" s="164"/>
    </row>
    <row r="726" spans="13:13">
      <c r="M726" s="164"/>
    </row>
    <row r="727" spans="13:13">
      <c r="M727" s="164"/>
    </row>
    <row r="728" spans="13:13">
      <c r="M728" s="164"/>
    </row>
    <row r="729" spans="13:13">
      <c r="M729" s="164"/>
    </row>
    <row r="730" spans="13:13">
      <c r="M730" s="164"/>
    </row>
    <row r="731" spans="13:13">
      <c r="M731" s="164"/>
    </row>
    <row r="732" spans="13:13">
      <c r="M732" s="164"/>
    </row>
    <row r="733" spans="13:13">
      <c r="M733" s="164"/>
    </row>
    <row r="734" spans="13:13">
      <c r="M734" s="164"/>
    </row>
    <row r="735" spans="13:13">
      <c r="M735" s="164"/>
    </row>
    <row r="736" spans="13:13">
      <c r="M736" s="164"/>
    </row>
    <row r="737" spans="13:13">
      <c r="M737" s="164"/>
    </row>
    <row r="738" spans="13:13">
      <c r="M738" s="164"/>
    </row>
    <row r="739" spans="13:13">
      <c r="M739" s="164"/>
    </row>
    <row r="740" spans="13:13">
      <c r="M740" s="164"/>
    </row>
    <row r="741" spans="13:13">
      <c r="M741" s="164"/>
    </row>
    <row r="742" spans="13:13">
      <c r="M742" s="164"/>
    </row>
    <row r="743" spans="13:13">
      <c r="M743" s="164"/>
    </row>
    <row r="744" spans="13:13">
      <c r="M744" s="164"/>
    </row>
    <row r="745" spans="13:13">
      <c r="M745" s="164"/>
    </row>
    <row r="746" spans="13:13">
      <c r="M746" s="164"/>
    </row>
    <row r="747" spans="13:13">
      <c r="M747" s="164"/>
    </row>
    <row r="748" spans="13:13">
      <c r="M748" s="164"/>
    </row>
    <row r="749" spans="13:13">
      <c r="M749" s="164"/>
    </row>
    <row r="750" spans="13:13">
      <c r="M750" s="164"/>
    </row>
    <row r="751" spans="13:13">
      <c r="M751" s="164"/>
    </row>
    <row r="752" spans="13:13">
      <c r="M752" s="164"/>
    </row>
    <row r="753" spans="13:13">
      <c r="M753" s="164"/>
    </row>
    <row r="754" spans="13:13">
      <c r="M754" s="164"/>
    </row>
    <row r="755" spans="13:13">
      <c r="M755" s="164"/>
    </row>
    <row r="756" spans="13:13">
      <c r="M756" s="164"/>
    </row>
    <row r="757" spans="13:13">
      <c r="M757" s="164"/>
    </row>
    <row r="758" spans="13:13">
      <c r="M758" s="164"/>
    </row>
    <row r="759" spans="13:13">
      <c r="M759" s="164"/>
    </row>
    <row r="760" spans="13:13">
      <c r="M760" s="164"/>
    </row>
    <row r="761" spans="13:13">
      <c r="M761" s="164"/>
    </row>
    <row r="762" spans="13:13">
      <c r="M762" s="164"/>
    </row>
    <row r="763" spans="13:13">
      <c r="M763" s="164"/>
    </row>
    <row r="764" spans="13:13">
      <c r="M764" s="164"/>
    </row>
    <row r="765" spans="13:13">
      <c r="M765" s="164"/>
    </row>
    <row r="766" spans="13:13">
      <c r="M766" s="164"/>
    </row>
    <row r="767" spans="13:13">
      <c r="M767" s="164"/>
    </row>
    <row r="768" spans="13:13">
      <c r="M768" s="164"/>
    </row>
    <row r="769" spans="13:13">
      <c r="M769" s="164"/>
    </row>
    <row r="770" spans="13:13">
      <c r="M770" s="164"/>
    </row>
    <row r="771" spans="13:13">
      <c r="M771" s="164"/>
    </row>
    <row r="772" spans="13:13">
      <c r="M772" s="164"/>
    </row>
    <row r="773" spans="13:13">
      <c r="M773" s="164"/>
    </row>
    <row r="774" spans="13:13">
      <c r="M774" s="164"/>
    </row>
    <row r="775" spans="13:13">
      <c r="M775" s="164"/>
    </row>
    <row r="776" spans="13:13">
      <c r="M776" s="164"/>
    </row>
    <row r="777" spans="13:13">
      <c r="M777" s="164"/>
    </row>
    <row r="778" spans="13:13">
      <c r="M778" s="164"/>
    </row>
    <row r="779" spans="13:13">
      <c r="M779" s="164"/>
    </row>
    <row r="780" spans="13:13">
      <c r="M780" s="164"/>
    </row>
    <row r="781" spans="13:13">
      <c r="M781" s="164"/>
    </row>
    <row r="782" spans="13:13">
      <c r="M782" s="164"/>
    </row>
    <row r="783" spans="13:13">
      <c r="M783" s="164"/>
    </row>
    <row r="784" spans="13:13">
      <c r="M784" s="164"/>
    </row>
    <row r="785" spans="13:13">
      <c r="M785" s="164"/>
    </row>
    <row r="786" spans="13:13">
      <c r="M786" s="164"/>
    </row>
    <row r="787" spans="13:13">
      <c r="M787" s="164"/>
    </row>
    <row r="788" spans="13:13">
      <c r="M788" s="164"/>
    </row>
    <row r="789" spans="13:13">
      <c r="M789" s="164"/>
    </row>
  </sheetData>
  <mergeCells count="1">
    <mergeCell ref="A4:A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tabSelected="1" zoomScale="80" zoomScaleNormal="80" workbookViewId="0">
      <selection activeCell="I6" sqref="I6"/>
    </sheetView>
  </sheetViews>
  <sheetFormatPr defaultRowHeight="14.45"/>
  <cols>
    <col min="1" max="1" width="30.7109375" customWidth="1"/>
    <col min="2" max="2" width="15.7109375" customWidth="1"/>
    <col min="5" max="5" width="13.7109375" customWidth="1"/>
    <col min="6" max="6" width="17.28515625" style="22" bestFit="1" customWidth="1"/>
    <col min="7" max="7" width="34.7109375" customWidth="1"/>
    <col min="8" max="8" width="29.28515625" bestFit="1" customWidth="1"/>
    <col min="9" max="9" width="37" bestFit="1" customWidth="1"/>
    <col min="10" max="10" width="40.28515625" bestFit="1" customWidth="1"/>
    <col min="11" max="11" width="16.42578125" customWidth="1"/>
    <col min="12" max="12" width="16.42578125" style="17" customWidth="1"/>
    <col min="13" max="13" width="37.5703125" customWidth="1"/>
    <col min="14" max="14" width="18.7109375" customWidth="1"/>
    <col min="15" max="15" width="19.7109375" customWidth="1"/>
  </cols>
  <sheetData>
    <row r="1" spans="1:15">
      <c r="A1" t="s">
        <v>53</v>
      </c>
      <c r="F1" s="20"/>
    </row>
    <row r="3" spans="1:15" ht="15" thickBot="1">
      <c r="A3" s="21" t="s">
        <v>54</v>
      </c>
      <c r="I3" t="s">
        <v>55</v>
      </c>
    </row>
    <row r="4" spans="1:15">
      <c r="A4" s="23"/>
      <c r="B4" s="24"/>
      <c r="C4" s="24"/>
      <c r="D4" s="24"/>
      <c r="E4" s="25"/>
      <c r="F4" s="26"/>
      <c r="G4" s="27">
        <v>843102</v>
      </c>
      <c r="H4" s="28">
        <v>843104</v>
      </c>
      <c r="I4" s="28">
        <v>843112</v>
      </c>
      <c r="J4" s="28" t="s">
        <v>56</v>
      </c>
      <c r="K4" s="29">
        <v>843106</v>
      </c>
      <c r="L4" s="156"/>
      <c r="M4" s="27">
        <v>843102</v>
      </c>
      <c r="N4" s="28">
        <v>843104</v>
      </c>
      <c r="O4" s="29">
        <v>843106</v>
      </c>
    </row>
    <row r="5" spans="1:15">
      <c r="A5" s="30"/>
      <c r="B5" s="31"/>
      <c r="C5" s="31"/>
      <c r="D5" s="31"/>
      <c r="E5" s="32"/>
      <c r="F5" s="33"/>
      <c r="G5" s="186" t="s">
        <v>57</v>
      </c>
      <c r="H5" s="34" t="s">
        <v>58</v>
      </c>
      <c r="I5" s="34" t="s">
        <v>59</v>
      </c>
      <c r="J5" s="34" t="s">
        <v>60</v>
      </c>
      <c r="K5" s="187" t="s">
        <v>59</v>
      </c>
      <c r="L5" s="188"/>
    </row>
    <row r="6" spans="1:15" ht="15" thickBot="1">
      <c r="A6" s="35" t="s">
        <v>61</v>
      </c>
      <c r="B6" s="36" t="s">
        <v>62</v>
      </c>
      <c r="C6" s="36" t="s">
        <v>63</v>
      </c>
      <c r="D6" s="35" t="s">
        <v>64</v>
      </c>
      <c r="E6" s="37" t="s">
        <v>65</v>
      </c>
      <c r="F6" s="33" t="s">
        <v>66</v>
      </c>
      <c r="G6" s="38" t="s">
        <v>67</v>
      </c>
      <c r="H6" s="39" t="s">
        <v>68</v>
      </c>
      <c r="I6" s="39" t="s">
        <v>69</v>
      </c>
      <c r="J6" s="39" t="s">
        <v>70</v>
      </c>
      <c r="K6" s="40" t="s">
        <v>71</v>
      </c>
      <c r="L6" s="157"/>
    </row>
    <row r="7" spans="1:15" ht="24">
      <c r="A7" s="41" t="s">
        <v>72</v>
      </c>
      <c r="B7" s="42">
        <v>42165</v>
      </c>
      <c r="C7" s="43" t="s">
        <v>73</v>
      </c>
      <c r="D7" s="44" t="s">
        <v>74</v>
      </c>
      <c r="E7" s="45">
        <v>23904</v>
      </c>
      <c r="F7" s="46">
        <f>E7*12*1.05+(22451+13600)</f>
        <v>337241.4</v>
      </c>
      <c r="G7" s="47">
        <v>0.6</v>
      </c>
      <c r="H7" s="48"/>
      <c r="I7" s="48"/>
      <c r="J7" s="48"/>
      <c r="K7" s="49">
        <v>0.4</v>
      </c>
      <c r="L7" s="158"/>
    </row>
    <row r="8" spans="1:15" s="147" customFormat="1">
      <c r="A8" s="141"/>
      <c r="B8" s="142"/>
      <c r="C8" s="143"/>
      <c r="D8" s="144"/>
      <c r="E8" s="145"/>
      <c r="F8" s="146"/>
      <c r="G8" s="150">
        <f>F7*G7</f>
        <v>202344.84</v>
      </c>
      <c r="H8" s="48"/>
      <c r="I8" s="48"/>
      <c r="J8" s="48"/>
      <c r="K8" s="151">
        <f>F7*K7</f>
        <v>134896.56000000003</v>
      </c>
      <c r="L8" s="159"/>
      <c r="M8" s="148">
        <f>G8</f>
        <v>202344.84</v>
      </c>
      <c r="N8" s="148"/>
      <c r="O8" s="148">
        <f>K8</f>
        <v>134896.56000000003</v>
      </c>
    </row>
    <row r="9" spans="1:15" ht="24">
      <c r="A9" s="50" t="s">
        <v>75</v>
      </c>
      <c r="B9" s="42">
        <v>44409</v>
      </c>
      <c r="C9" s="43" t="s">
        <v>76</v>
      </c>
      <c r="D9" s="51" t="s">
        <v>77</v>
      </c>
      <c r="E9" s="45">
        <v>14000</v>
      </c>
      <c r="F9" s="46">
        <f>12*E9*1</f>
        <v>168000</v>
      </c>
      <c r="G9" s="47"/>
      <c r="H9" s="48"/>
      <c r="I9" s="48">
        <v>1</v>
      </c>
      <c r="J9" s="48"/>
      <c r="K9" s="49"/>
      <c r="L9" s="158"/>
    </row>
    <row r="10" spans="1:15">
      <c r="A10" s="135"/>
      <c r="B10" s="136"/>
      <c r="C10" s="43"/>
      <c r="D10" s="51"/>
      <c r="E10" s="45"/>
      <c r="F10" s="46"/>
      <c r="G10" s="47"/>
      <c r="H10" s="48"/>
      <c r="I10" s="149">
        <f>F9</f>
        <v>168000</v>
      </c>
      <c r="J10" s="48"/>
      <c r="K10" s="49"/>
      <c r="L10" s="158"/>
    </row>
    <row r="11" spans="1:15" ht="24">
      <c r="A11" s="41" t="s">
        <v>78</v>
      </c>
      <c r="B11" s="52">
        <v>44378</v>
      </c>
      <c r="C11" s="43" t="s">
        <v>76</v>
      </c>
      <c r="D11" s="51" t="s">
        <v>77</v>
      </c>
      <c r="E11" s="45">
        <v>18000</v>
      </c>
      <c r="F11" s="46">
        <f>12*E11*1</f>
        <v>216000</v>
      </c>
      <c r="G11" s="47"/>
      <c r="H11" s="48">
        <v>1</v>
      </c>
      <c r="I11" s="48"/>
      <c r="J11" s="48"/>
      <c r="K11" s="49"/>
      <c r="L11" s="158"/>
    </row>
    <row r="12" spans="1:15">
      <c r="A12" s="137"/>
      <c r="B12" s="52"/>
      <c r="C12" s="43"/>
      <c r="D12" s="51"/>
      <c r="E12" s="45"/>
      <c r="F12" s="46"/>
      <c r="G12" s="47"/>
      <c r="H12" s="149">
        <f>F11</f>
        <v>216000</v>
      </c>
      <c r="I12" s="48"/>
      <c r="J12" s="48"/>
      <c r="K12" s="49"/>
      <c r="L12" s="158"/>
      <c r="N12" s="154">
        <f>H12</f>
        <v>216000</v>
      </c>
    </row>
    <row r="13" spans="1:15" ht="24.6" thickBot="1">
      <c r="A13" s="53" t="s">
        <v>79</v>
      </c>
      <c r="B13" s="54">
        <v>43745</v>
      </c>
      <c r="C13" s="43" t="s">
        <v>76</v>
      </c>
      <c r="D13" s="51" t="s">
        <v>77</v>
      </c>
      <c r="E13" s="45">
        <v>16911</v>
      </c>
      <c r="F13" s="46">
        <f>E13*12*1.3</f>
        <v>263811.60000000003</v>
      </c>
      <c r="G13" s="47"/>
      <c r="H13" s="48">
        <v>1</v>
      </c>
      <c r="I13" s="48"/>
      <c r="J13" s="48"/>
      <c r="K13" s="49"/>
      <c r="L13" s="158"/>
    </row>
    <row r="14" spans="1:15">
      <c r="A14" s="55"/>
      <c r="B14" s="52"/>
      <c r="C14" s="56"/>
      <c r="D14" s="57"/>
      <c r="E14" s="58"/>
      <c r="F14" s="59"/>
      <c r="G14" s="60"/>
      <c r="H14" s="152">
        <f>F13</f>
        <v>263811.60000000003</v>
      </c>
      <c r="I14" s="61"/>
      <c r="J14" s="61"/>
      <c r="K14" s="62"/>
      <c r="L14" s="158"/>
      <c r="N14" s="154">
        <f>H14</f>
        <v>263811.60000000003</v>
      </c>
    </row>
    <row r="15" spans="1:15" ht="24">
      <c r="A15" s="55" t="s">
        <v>80</v>
      </c>
      <c r="B15" s="52">
        <v>44013</v>
      </c>
      <c r="C15" s="56" t="s">
        <v>81</v>
      </c>
      <c r="D15" s="57" t="s">
        <v>77</v>
      </c>
      <c r="E15" s="58">
        <v>10038</v>
      </c>
      <c r="F15" s="59">
        <f>E15*12*1.05</f>
        <v>126478.8</v>
      </c>
      <c r="G15" s="60">
        <v>1</v>
      </c>
      <c r="H15" s="61"/>
      <c r="I15" s="61"/>
      <c r="J15" s="61"/>
      <c r="K15" s="62"/>
      <c r="L15" s="158"/>
    </row>
    <row r="16" spans="1:15">
      <c r="A16" s="138"/>
      <c r="B16" s="52"/>
      <c r="C16" s="56"/>
      <c r="D16" s="57"/>
      <c r="E16" s="139"/>
      <c r="F16" s="59"/>
      <c r="G16" s="153">
        <f>F15</f>
        <v>126478.8</v>
      </c>
      <c r="H16" s="61"/>
      <c r="I16" s="61"/>
      <c r="J16" s="61"/>
      <c r="K16" s="140"/>
      <c r="L16" s="158"/>
      <c r="M16" s="154">
        <f>G16</f>
        <v>126478.8</v>
      </c>
    </row>
    <row r="17" spans="1:15" ht="24">
      <c r="A17" s="63" t="s">
        <v>82</v>
      </c>
      <c r="B17" s="52">
        <v>44440</v>
      </c>
      <c r="C17" s="64" t="s">
        <v>83</v>
      </c>
      <c r="D17" s="51" t="s">
        <v>77</v>
      </c>
      <c r="E17" s="65">
        <f>14514</f>
        <v>14514</v>
      </c>
      <c r="F17" s="46">
        <f>E17*12*1</f>
        <v>174168</v>
      </c>
      <c r="G17" s="47">
        <v>1</v>
      </c>
      <c r="H17" s="48"/>
      <c r="I17" s="48"/>
      <c r="J17" s="48"/>
      <c r="K17" s="48"/>
      <c r="L17" s="158"/>
    </row>
    <row r="18" spans="1:15">
      <c r="A18" s="63"/>
      <c r="B18" s="52"/>
      <c r="C18" s="64"/>
      <c r="D18" s="51"/>
      <c r="E18" s="65"/>
      <c r="F18" s="46"/>
      <c r="G18" s="150">
        <f>F17</f>
        <v>174168</v>
      </c>
      <c r="H18" s="48"/>
      <c r="I18" s="48"/>
      <c r="J18" s="48"/>
      <c r="K18" s="48"/>
      <c r="L18" s="158"/>
      <c r="M18" s="154">
        <f>G18</f>
        <v>174168</v>
      </c>
    </row>
    <row r="19" spans="1:15" ht="24">
      <c r="A19" s="63" t="s">
        <v>84</v>
      </c>
      <c r="B19" s="52">
        <v>44713</v>
      </c>
      <c r="C19" s="64" t="s">
        <v>76</v>
      </c>
      <c r="D19" s="51" t="s">
        <v>77</v>
      </c>
      <c r="E19" s="65">
        <v>14000</v>
      </c>
      <c r="F19" s="46">
        <f>E19*12*1</f>
        <v>168000</v>
      </c>
      <c r="G19" s="47"/>
      <c r="H19" s="48">
        <v>1</v>
      </c>
      <c r="I19" s="48"/>
      <c r="J19" s="48"/>
      <c r="K19" s="48"/>
      <c r="L19" s="158"/>
    </row>
    <row r="20" spans="1:15">
      <c r="A20" s="63"/>
      <c r="B20" s="52"/>
      <c r="C20" s="64"/>
      <c r="D20" s="51"/>
      <c r="E20" s="65"/>
      <c r="F20" s="46"/>
      <c r="G20" s="47"/>
      <c r="H20" s="149">
        <f>F19</f>
        <v>168000</v>
      </c>
      <c r="I20" s="48"/>
      <c r="J20" s="48"/>
      <c r="K20" s="48"/>
      <c r="L20" s="158"/>
      <c r="N20" s="154">
        <f>H20</f>
        <v>168000</v>
      </c>
    </row>
    <row r="21" spans="1:15" ht="15.6">
      <c r="A21" s="112" t="s">
        <v>85</v>
      </c>
      <c r="B21" s="66"/>
      <c r="C21" s="64" t="s">
        <v>86</v>
      </c>
      <c r="D21" s="51" t="s">
        <v>77</v>
      </c>
      <c r="E21" s="65">
        <v>9400</v>
      </c>
      <c r="F21" s="67">
        <f>E21*12</f>
        <v>112800</v>
      </c>
      <c r="G21" s="47"/>
      <c r="H21" s="48"/>
      <c r="I21" s="48"/>
      <c r="J21" s="48"/>
      <c r="K21" s="48">
        <v>1</v>
      </c>
      <c r="L21" s="158"/>
    </row>
    <row r="22" spans="1:15" ht="15.6">
      <c r="A22" s="112"/>
      <c r="B22" s="52"/>
      <c r="C22" s="64"/>
      <c r="D22" s="51"/>
      <c r="E22" s="65"/>
      <c r="F22" s="67"/>
      <c r="G22" s="47"/>
      <c r="H22" s="48"/>
      <c r="I22" s="48"/>
      <c r="J22" s="48"/>
      <c r="K22" s="149">
        <f>F21</f>
        <v>112800</v>
      </c>
      <c r="L22" s="158"/>
      <c r="O22" s="154">
        <f>K22</f>
        <v>112800</v>
      </c>
    </row>
    <row r="23" spans="1:15" ht="24">
      <c r="A23" s="112" t="s">
        <v>87</v>
      </c>
      <c r="B23" s="52"/>
      <c r="C23" s="64" t="s">
        <v>88</v>
      </c>
      <c r="D23" s="51" t="s">
        <v>77</v>
      </c>
      <c r="E23" s="65">
        <v>25000</v>
      </c>
      <c r="F23" s="67">
        <f>E23*12</f>
        <v>300000</v>
      </c>
      <c r="G23" s="47"/>
      <c r="H23" s="48"/>
      <c r="I23" s="48"/>
      <c r="J23" s="48"/>
      <c r="K23" s="149">
        <f>F23</f>
        <v>300000</v>
      </c>
      <c r="L23" s="159"/>
      <c r="O23" s="154">
        <f>K23</f>
        <v>300000</v>
      </c>
    </row>
    <row r="24" spans="1:15" ht="24">
      <c r="A24" s="16" t="s">
        <v>89</v>
      </c>
      <c r="B24" s="68">
        <v>44927</v>
      </c>
      <c r="C24" s="69" t="s">
        <v>76</v>
      </c>
      <c r="D24" s="70" t="s">
        <v>77</v>
      </c>
      <c r="E24" s="71">
        <v>14000</v>
      </c>
      <c r="F24" s="72">
        <f t="shared" ref="F24:F29" si="0">E24*12*1</f>
        <v>168000</v>
      </c>
      <c r="G24" s="47"/>
      <c r="H24" s="48">
        <v>1</v>
      </c>
      <c r="I24" s="48"/>
      <c r="J24" s="48"/>
      <c r="K24" s="48"/>
      <c r="L24" s="158"/>
      <c r="N24" s="99">
        <f>F24</f>
        <v>168000</v>
      </c>
    </row>
    <row r="25" spans="1:15" ht="24">
      <c r="A25" s="189" t="s">
        <v>90</v>
      </c>
      <c r="B25" s="190">
        <v>44927</v>
      </c>
      <c r="C25" s="73" t="s">
        <v>91</v>
      </c>
      <c r="D25" s="74" t="s">
        <v>77</v>
      </c>
      <c r="E25" s="75">
        <v>20000</v>
      </c>
      <c r="F25" s="76">
        <f t="shared" si="0"/>
        <v>240000</v>
      </c>
      <c r="G25" s="47"/>
      <c r="H25" s="47"/>
      <c r="I25" s="47"/>
      <c r="J25" s="48"/>
      <c r="K25" s="49">
        <v>1</v>
      </c>
      <c r="L25" s="158"/>
      <c r="O25" s="99">
        <f>F25</f>
        <v>240000</v>
      </c>
    </row>
    <row r="26" spans="1:15" ht="24">
      <c r="A26" s="16" t="s">
        <v>92</v>
      </c>
      <c r="B26" s="68">
        <v>44927</v>
      </c>
      <c r="C26" s="69" t="s">
        <v>76</v>
      </c>
      <c r="D26" s="70" t="s">
        <v>77</v>
      </c>
      <c r="E26" s="71">
        <v>14000</v>
      </c>
      <c r="F26" s="72">
        <f t="shared" si="0"/>
        <v>168000</v>
      </c>
      <c r="G26" s="47"/>
      <c r="H26" s="48">
        <v>1</v>
      </c>
      <c r="I26" s="48"/>
      <c r="J26" s="48"/>
      <c r="K26" s="48"/>
      <c r="L26" s="158"/>
      <c r="N26" s="99">
        <f>F26</f>
        <v>168000</v>
      </c>
    </row>
    <row r="27" spans="1:15">
      <c r="A27" s="16" t="s">
        <v>93</v>
      </c>
      <c r="B27" s="68">
        <v>44927</v>
      </c>
      <c r="C27" s="69" t="s">
        <v>94</v>
      </c>
      <c r="D27" s="70"/>
      <c r="E27" s="71">
        <v>22000</v>
      </c>
      <c r="F27" s="72">
        <f t="shared" si="0"/>
        <v>264000</v>
      </c>
      <c r="G27" s="47"/>
      <c r="H27" s="47"/>
      <c r="I27" s="48">
        <v>1</v>
      </c>
      <c r="J27" s="48"/>
      <c r="K27" s="48"/>
      <c r="L27" s="158"/>
    </row>
    <row r="28" spans="1:15" ht="24">
      <c r="A28" s="189" t="s">
        <v>95</v>
      </c>
      <c r="B28" s="190">
        <v>44927</v>
      </c>
      <c r="C28" s="73" t="s">
        <v>76</v>
      </c>
      <c r="D28" s="74" t="s">
        <v>77</v>
      </c>
      <c r="E28" s="75">
        <v>14000</v>
      </c>
      <c r="F28" s="76">
        <f t="shared" si="0"/>
        <v>168000</v>
      </c>
      <c r="G28" s="47"/>
      <c r="H28" s="48"/>
      <c r="I28" s="48">
        <v>1</v>
      </c>
      <c r="J28" s="48"/>
      <c r="K28" s="48"/>
      <c r="L28" s="158"/>
    </row>
    <row r="29" spans="1:15" ht="24">
      <c r="A29" s="189" t="s">
        <v>96</v>
      </c>
      <c r="B29" s="190">
        <v>44927</v>
      </c>
      <c r="C29" s="73" t="s">
        <v>76</v>
      </c>
      <c r="D29" s="74" t="s">
        <v>77</v>
      </c>
      <c r="E29" s="75">
        <v>14000</v>
      </c>
      <c r="F29" s="76">
        <f t="shared" si="0"/>
        <v>168000</v>
      </c>
      <c r="G29" s="47">
        <v>1</v>
      </c>
      <c r="H29" s="48"/>
      <c r="I29" s="48"/>
      <c r="J29" s="48"/>
      <c r="K29" s="48"/>
      <c r="L29" s="158"/>
      <c r="M29" s="99">
        <f>F29</f>
        <v>168000</v>
      </c>
    </row>
    <row r="30" spans="1:15" ht="16.149999999999999">
      <c r="A30" s="77" t="s">
        <v>97</v>
      </c>
      <c r="B30" s="78"/>
      <c r="C30" s="78"/>
      <c r="D30" s="78"/>
      <c r="E30" s="79">
        <f ca="1">SUM(E7:E56)</f>
        <v>244767</v>
      </c>
      <c r="F30" s="80">
        <f>SUM(F7:F29)</f>
        <v>3042499.8</v>
      </c>
      <c r="G30" s="81"/>
      <c r="H30" s="81"/>
      <c r="I30" s="81"/>
      <c r="J30" s="81"/>
      <c r="K30" s="81"/>
      <c r="L30" s="160" t="s">
        <v>98</v>
      </c>
      <c r="M30" s="155">
        <f>SUM(M7:M29)</f>
        <v>670991.64</v>
      </c>
      <c r="N30" s="155">
        <f>SUM(N7:N29)</f>
        <v>983811.60000000009</v>
      </c>
      <c r="O30" s="155">
        <f>SUM(O7:O29)</f>
        <v>787696.56</v>
      </c>
    </row>
    <row r="31" spans="1:15">
      <c r="A31" s="82" t="s">
        <v>99</v>
      </c>
      <c r="B31" s="83"/>
      <c r="C31" s="83"/>
      <c r="D31" s="83"/>
      <c r="E31" s="84"/>
      <c r="F31" s="85"/>
      <c r="G31" s="81"/>
      <c r="H31" s="81"/>
      <c r="I31" s="81"/>
      <c r="J31" s="81"/>
      <c r="K31" s="81"/>
      <c r="L31" s="160" t="s">
        <v>100</v>
      </c>
      <c r="M31" s="154">
        <f>M30*80%</f>
        <v>536793.31200000003</v>
      </c>
      <c r="N31" s="154">
        <f t="shared" ref="N31:O31" si="1">N30*80%</f>
        <v>787049.28000000014</v>
      </c>
      <c r="O31" s="154">
        <f t="shared" si="1"/>
        <v>630157.24800000014</v>
      </c>
    </row>
    <row r="32" spans="1:15">
      <c r="A32" s="86" t="s">
        <v>101</v>
      </c>
      <c r="B32" s="87"/>
      <c r="C32" s="87"/>
      <c r="D32" s="87"/>
      <c r="E32" s="88"/>
      <c r="F32" s="182">
        <v>683658</v>
      </c>
      <c r="G32" s="89"/>
      <c r="H32" s="90"/>
      <c r="I32" s="89" t="s">
        <v>102</v>
      </c>
      <c r="J32" s="89"/>
      <c r="K32" s="89"/>
      <c r="L32" s="163" t="s">
        <v>103</v>
      </c>
      <c r="M32" s="154">
        <f>M30*20%</f>
        <v>134198.32800000001</v>
      </c>
      <c r="N32" s="154">
        <f t="shared" ref="N32:O32" si="2">N30*20%</f>
        <v>196762.32000000004</v>
      </c>
      <c r="O32" s="154">
        <f t="shared" si="2"/>
        <v>157539.31200000003</v>
      </c>
    </row>
    <row r="33" spans="1:12">
      <c r="A33" s="86" t="s">
        <v>104</v>
      </c>
      <c r="B33" s="87"/>
      <c r="C33" s="87"/>
      <c r="D33" s="87"/>
      <c r="E33" s="88"/>
      <c r="F33" s="183"/>
      <c r="G33" s="89"/>
      <c r="H33" s="91"/>
      <c r="I33" s="89" t="s">
        <v>105</v>
      </c>
      <c r="J33" s="89"/>
      <c r="K33" s="89"/>
      <c r="L33" s="161"/>
    </row>
    <row r="34" spans="1:12">
      <c r="A34" s="86" t="s">
        <v>106</v>
      </c>
      <c r="B34" s="87"/>
      <c r="C34" s="87"/>
      <c r="D34" s="87"/>
      <c r="E34" s="88"/>
      <c r="F34" s="183"/>
      <c r="H34" s="92"/>
      <c r="I34" s="191" t="s">
        <v>107</v>
      </c>
      <c r="J34" s="89"/>
      <c r="K34" s="89"/>
      <c r="L34" s="161"/>
    </row>
    <row r="35" spans="1:12">
      <c r="A35" s="192" t="s">
        <v>108</v>
      </c>
      <c r="B35" s="87"/>
      <c r="C35" s="87"/>
      <c r="D35" s="87"/>
      <c r="E35" s="193"/>
      <c r="F35" s="183"/>
      <c r="G35" s="89"/>
      <c r="H35" s="92"/>
      <c r="I35" s="191"/>
      <c r="J35" s="89"/>
      <c r="K35" s="89"/>
      <c r="L35" s="161"/>
    </row>
    <row r="36" spans="1:12">
      <c r="A36" s="86" t="s">
        <v>109</v>
      </c>
      <c r="B36" s="87"/>
      <c r="C36" s="87"/>
      <c r="D36" s="87"/>
      <c r="E36" s="88"/>
      <c r="F36" s="184"/>
      <c r="G36" s="89">
        <f>F32/6 *2</f>
        <v>227886</v>
      </c>
      <c r="H36" s="89">
        <f>F32*2/6</f>
        <v>227886</v>
      </c>
      <c r="I36" s="89">
        <f>F32*2/6</f>
        <v>227886</v>
      </c>
      <c r="J36" s="89"/>
      <c r="K36" s="89"/>
      <c r="L36" s="161"/>
    </row>
    <row r="37" spans="1:12">
      <c r="A37" s="86" t="s">
        <v>110</v>
      </c>
      <c r="B37" s="87"/>
      <c r="C37" s="87"/>
      <c r="D37" s="87"/>
      <c r="E37" s="88"/>
      <c r="F37" s="93">
        <v>20000</v>
      </c>
      <c r="G37" s="89"/>
      <c r="H37" s="89"/>
      <c r="I37" s="89"/>
      <c r="J37" s="89"/>
      <c r="K37" s="89">
        <v>20000</v>
      </c>
      <c r="L37" s="161"/>
    </row>
    <row r="38" spans="1:12">
      <c r="A38" s="94" t="s">
        <v>111</v>
      </c>
      <c r="B38" s="95"/>
      <c r="C38" s="95"/>
      <c r="D38" s="95"/>
      <c r="E38" s="96"/>
      <c r="F38" s="80">
        <f>SUM(F32:F37)</f>
        <v>703658</v>
      </c>
      <c r="G38" s="81"/>
      <c r="H38" s="81"/>
      <c r="I38" s="81"/>
      <c r="J38" s="81"/>
      <c r="K38" s="81"/>
      <c r="L38" s="160"/>
    </row>
    <row r="39" spans="1:12">
      <c r="A39" s="82" t="s">
        <v>112</v>
      </c>
      <c r="F39" s="85"/>
      <c r="G39" s="97"/>
      <c r="H39" s="98"/>
      <c r="I39" s="97"/>
      <c r="J39" s="97"/>
    </row>
    <row r="40" spans="1:12">
      <c r="A40" s="94" t="s">
        <v>113</v>
      </c>
      <c r="B40" s="95"/>
      <c r="C40" s="95"/>
      <c r="D40" s="95"/>
      <c r="E40" s="96"/>
      <c r="F40" s="80">
        <v>50000</v>
      </c>
      <c r="K40" s="99">
        <v>50000</v>
      </c>
      <c r="L40" s="162"/>
    </row>
    <row r="41" spans="1:12">
      <c r="A41" s="100"/>
      <c r="H41" s="194"/>
    </row>
    <row r="42" spans="1:12" ht="15" thickBot="1">
      <c r="A42" s="101" t="s">
        <v>114</v>
      </c>
      <c r="B42" s="102"/>
      <c r="C42" s="102"/>
      <c r="D42" s="102"/>
      <c r="E42" s="103"/>
      <c r="F42" s="104">
        <f>SUM(F30,F38,F40)</f>
        <v>3796157.8</v>
      </c>
      <c r="I42" s="99"/>
    </row>
    <row r="43" spans="1:12">
      <c r="A43" s="100"/>
      <c r="F43" s="105"/>
      <c r="I43" s="99"/>
    </row>
    <row r="44" spans="1:12" ht="15" thickBot="1">
      <c r="A44" s="106" t="s">
        <v>115</v>
      </c>
      <c r="B44" s="107"/>
      <c r="C44" s="107"/>
      <c r="D44" s="107"/>
      <c r="E44" s="108"/>
      <c r="F44" s="109">
        <v>703842</v>
      </c>
      <c r="I44" s="99"/>
    </row>
    <row r="45" spans="1:12">
      <c r="A45" s="100"/>
      <c r="F45"/>
      <c r="I45" s="99"/>
    </row>
    <row r="46" spans="1:12" ht="15" thickBot="1">
      <c r="A46" s="101" t="s">
        <v>116</v>
      </c>
      <c r="B46" s="102"/>
      <c r="C46" s="102"/>
      <c r="D46" s="102"/>
      <c r="E46" s="103"/>
      <c r="F46" s="110">
        <f>F42+F44</f>
        <v>4499999.8</v>
      </c>
      <c r="H46" s="99"/>
      <c r="I46" s="99"/>
    </row>
    <row r="47" spans="1:12" ht="86.45">
      <c r="A47" s="111" t="s">
        <v>117</v>
      </c>
      <c r="K47" s="99"/>
      <c r="L47" s="162"/>
    </row>
    <row r="48" spans="1:12" ht="100.9">
      <c r="A48" s="195" t="s">
        <v>118</v>
      </c>
      <c r="K48" s="99"/>
      <c r="L48" s="162"/>
    </row>
    <row r="49" spans="1:12" ht="115.15">
      <c r="A49" s="111" t="s">
        <v>119</v>
      </c>
      <c r="K49" s="99"/>
      <c r="L49" s="162"/>
    </row>
    <row r="50" spans="1:12" ht="115.15">
      <c r="A50" s="111" t="s">
        <v>120</v>
      </c>
      <c r="K50" s="99"/>
      <c r="L50" s="162"/>
    </row>
    <row r="51" spans="1:12">
      <c r="A51" t="s">
        <v>121</v>
      </c>
    </row>
    <row r="52" spans="1:12">
      <c r="A52" t="s">
        <v>122</v>
      </c>
    </row>
    <row r="53" spans="1:12">
      <c r="A53" t="s">
        <v>123</v>
      </c>
    </row>
  </sheetData>
  <mergeCells count="1">
    <mergeCell ref="F32:F36"/>
  </mergeCells>
  <conditionalFormatting sqref="G38:L38 B38:E3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{800C2FCC-1CEE-4E32-B0ED-CC930A63E9A9}</x14:id>
        </ext>
      </extLst>
    </cfRule>
  </conditionalFormatting>
  <conditionalFormatting sqref="B40:E4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{60805C72-7C6D-4003-9A2F-B08E02AF25B6}</x14:id>
        </ext>
      </extLst>
    </cfRule>
  </conditionalFormatting>
  <conditionalFormatting sqref="B42:E4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{9BFC29D5-27B5-4BFD-B23C-5C4DF3D3AFDE}</x14:id>
        </ext>
      </extLst>
    </cfRule>
  </conditionalFormatting>
  <conditionalFormatting sqref="B46:E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{D1107D89-5614-4FF5-9CEA-893F6B3A8CB2}</x14:id>
        </ext>
      </extLst>
    </cfRule>
  </conditionalFormatting>
  <conditionalFormatting sqref="B44:E4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{FCCACA9B-19D6-45BF-864C-FA7D6F8F04A8}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0C2FCC-1CEE-4E32-B0ED-CC930A63E9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G38:L38 B38:E38</xm:sqref>
        </x14:conditionalFormatting>
        <x14:conditionalFormatting xmlns:xm="http://schemas.microsoft.com/office/excel/2006/main">
          <x14:cfRule type="dataBar" id="{60805C72-7C6D-4003-9A2F-B08E02AF2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B40:E40</xm:sqref>
        </x14:conditionalFormatting>
        <x14:conditionalFormatting xmlns:xm="http://schemas.microsoft.com/office/excel/2006/main">
          <x14:cfRule type="dataBar" id="{9BFC29D5-27B5-4BFD-B23C-5C4DF3D3AF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B42:E42</xm:sqref>
        </x14:conditionalFormatting>
        <x14:conditionalFormatting xmlns:xm="http://schemas.microsoft.com/office/excel/2006/main">
          <x14:cfRule type="dataBar" id="{D1107D89-5614-4FF5-9CEA-893F6B3A8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B46:E46</xm:sqref>
        </x14:conditionalFormatting>
        <x14:conditionalFormatting xmlns:xm="http://schemas.microsoft.com/office/excel/2006/main">
          <x14:cfRule type="dataBar" id="{FCCACA9B-19D6-45BF-864C-FA7D6F8F0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B44:E44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"/>
  <sheetViews>
    <sheetView workbookViewId="0">
      <selection activeCell="J6" sqref="J6"/>
    </sheetView>
  </sheetViews>
  <sheetFormatPr defaultColWidth="11.42578125" defaultRowHeight="12"/>
  <cols>
    <col min="1" max="1" width="11.42578125" style="121" customWidth="1"/>
    <col min="2" max="2" width="19.5703125" style="121" customWidth="1"/>
    <col min="3" max="3" width="11.42578125" style="121" customWidth="1"/>
    <col min="4" max="4" width="21.28515625" style="121" customWidth="1"/>
    <col min="5" max="13" width="11.42578125" style="121" customWidth="1"/>
    <col min="14" max="14" width="11.42578125" style="133" customWidth="1"/>
    <col min="15" max="15" width="10.28515625" style="121" customWidth="1"/>
    <col min="16" max="17" width="12.7109375" style="121" customWidth="1"/>
    <col min="18" max="18" width="14" style="134" customWidth="1"/>
    <col min="19" max="19" width="13.28515625" style="121" customWidth="1"/>
    <col min="20" max="20" width="13.7109375" style="121" customWidth="1"/>
    <col min="21" max="16384" width="11.42578125" style="121"/>
  </cols>
  <sheetData>
    <row r="1" spans="1:20" ht="72">
      <c r="A1" s="113" t="s">
        <v>124</v>
      </c>
      <c r="B1" s="114" t="s">
        <v>61</v>
      </c>
      <c r="C1" s="114" t="s">
        <v>125</v>
      </c>
      <c r="D1" s="114" t="s">
        <v>126</v>
      </c>
      <c r="E1" s="114" t="s">
        <v>127</v>
      </c>
      <c r="F1" s="114" t="s">
        <v>64</v>
      </c>
      <c r="G1" s="114" t="s">
        <v>128</v>
      </c>
      <c r="H1" s="115" t="s">
        <v>129</v>
      </c>
      <c r="I1" s="115" t="s">
        <v>130</v>
      </c>
      <c r="J1" s="116" t="s">
        <v>131</v>
      </c>
      <c r="K1" s="117" t="s">
        <v>132</v>
      </c>
      <c r="L1" s="117" t="s">
        <v>133</v>
      </c>
      <c r="M1" s="117" t="s">
        <v>134</v>
      </c>
      <c r="N1" s="118" t="s">
        <v>135</v>
      </c>
      <c r="O1" s="119" t="s">
        <v>136</v>
      </c>
      <c r="P1" s="119" t="s">
        <v>137</v>
      </c>
      <c r="Q1" s="120" t="s">
        <v>138</v>
      </c>
      <c r="R1" s="119" t="s">
        <v>139</v>
      </c>
      <c r="S1" s="120" t="s">
        <v>140</v>
      </c>
      <c r="T1" s="120" t="s">
        <v>141</v>
      </c>
    </row>
    <row r="2" spans="1:20">
      <c r="A2" s="122" t="s">
        <v>142</v>
      </c>
      <c r="B2" s="123" t="s">
        <v>143</v>
      </c>
      <c r="C2" s="124">
        <v>42165</v>
      </c>
      <c r="D2" s="123" t="s">
        <v>73</v>
      </c>
      <c r="E2" s="123" t="s">
        <v>144</v>
      </c>
      <c r="F2" s="123" t="s">
        <v>145</v>
      </c>
      <c r="G2" s="123" t="s">
        <v>146</v>
      </c>
      <c r="H2" s="125">
        <v>10904</v>
      </c>
      <c r="I2" s="125">
        <v>13000</v>
      </c>
      <c r="J2" s="126">
        <f t="shared" ref="J2:J7" si="0">SUM(H2:I2)</f>
        <v>23904</v>
      </c>
      <c r="K2" s="127">
        <f t="shared" ref="K2:L6" si="1">(H2)*12</f>
        <v>130848</v>
      </c>
      <c r="L2" s="127">
        <f t="shared" si="1"/>
        <v>156000</v>
      </c>
      <c r="M2" s="127">
        <f>SUM(K2:L2)</f>
        <v>286848</v>
      </c>
      <c r="N2" s="128">
        <v>30</v>
      </c>
      <c r="O2" s="127">
        <v>0</v>
      </c>
      <c r="P2" s="129">
        <f>(N2*7/5)*((H2+I2)/30)</f>
        <v>33465.599999999999</v>
      </c>
      <c r="Q2" s="127">
        <f>H2</f>
        <v>10904</v>
      </c>
      <c r="R2" s="127">
        <v>23251.5</v>
      </c>
      <c r="S2" s="127"/>
      <c r="T2" s="127">
        <f>(M2+O2+P2+Q2+R2+S2)</f>
        <v>354469.1</v>
      </c>
    </row>
    <row r="3" spans="1:20" ht="24">
      <c r="A3" s="122" t="s">
        <v>147</v>
      </c>
      <c r="B3" s="123" t="s">
        <v>148</v>
      </c>
      <c r="C3" s="124">
        <v>43745</v>
      </c>
      <c r="D3" s="123" t="s">
        <v>76</v>
      </c>
      <c r="E3" s="123" t="s">
        <v>144</v>
      </c>
      <c r="F3" s="123" t="s">
        <v>149</v>
      </c>
      <c r="G3" s="123" t="s">
        <v>150</v>
      </c>
      <c r="H3" s="125">
        <v>10147</v>
      </c>
      <c r="I3" s="125">
        <v>6764</v>
      </c>
      <c r="J3" s="126">
        <f t="shared" si="0"/>
        <v>16911</v>
      </c>
      <c r="K3" s="127">
        <f t="shared" si="1"/>
        <v>121764</v>
      </c>
      <c r="L3" s="127">
        <f t="shared" si="1"/>
        <v>81168</v>
      </c>
      <c r="M3" s="127">
        <f>SUM(K3:L3)</f>
        <v>202932</v>
      </c>
      <c r="N3" s="128">
        <v>25</v>
      </c>
      <c r="O3" s="127">
        <v>0</v>
      </c>
      <c r="P3" s="129">
        <f>(N3*7/5)*((H3+I3)/30)</f>
        <v>19729.5</v>
      </c>
      <c r="Q3" s="127">
        <f>H3</f>
        <v>10147</v>
      </c>
      <c r="R3" s="127">
        <v>0</v>
      </c>
      <c r="S3" s="127"/>
      <c r="T3" s="127">
        <f>(M3+O3+P3+Q3+R3+S3)</f>
        <v>232808.5</v>
      </c>
    </row>
    <row r="4" spans="1:20" ht="24">
      <c r="A4" s="122" t="s">
        <v>151</v>
      </c>
      <c r="B4" s="123" t="s">
        <v>152</v>
      </c>
      <c r="C4" s="124">
        <v>44013</v>
      </c>
      <c r="D4" s="123" t="s">
        <v>81</v>
      </c>
      <c r="E4" s="123" t="s">
        <v>144</v>
      </c>
      <c r="F4" s="123" t="s">
        <v>153</v>
      </c>
      <c r="G4" s="123" t="s">
        <v>154</v>
      </c>
      <c r="H4" s="125">
        <v>6023</v>
      </c>
      <c r="I4" s="125">
        <v>4015</v>
      </c>
      <c r="J4" s="126">
        <f t="shared" si="0"/>
        <v>10038</v>
      </c>
      <c r="K4" s="127">
        <f t="shared" si="1"/>
        <v>72276</v>
      </c>
      <c r="L4" s="127">
        <f t="shared" si="1"/>
        <v>48180</v>
      </c>
      <c r="M4" s="127">
        <f>SUM(K4:L4)</f>
        <v>120456</v>
      </c>
      <c r="N4" s="128">
        <v>25</v>
      </c>
      <c r="O4" s="127">
        <v>0</v>
      </c>
      <c r="P4" s="129">
        <f>(N4*7/5)*((H4+I4)/30)</f>
        <v>11711</v>
      </c>
      <c r="Q4" s="127">
        <f>H4</f>
        <v>6023</v>
      </c>
      <c r="R4" s="127">
        <v>0</v>
      </c>
      <c r="S4" s="127"/>
      <c r="T4" s="127">
        <f>(M4+O4+P4+Q4+R4+S4)</f>
        <v>138190</v>
      </c>
    </row>
    <row r="5" spans="1:20" ht="36">
      <c r="A5" s="122" t="s">
        <v>155</v>
      </c>
      <c r="B5" s="123" t="s">
        <v>156</v>
      </c>
      <c r="C5" s="124">
        <v>44437</v>
      </c>
      <c r="D5" s="123" t="s">
        <v>76</v>
      </c>
      <c r="E5" s="123" t="s">
        <v>157</v>
      </c>
      <c r="F5" s="123" t="s">
        <v>149</v>
      </c>
      <c r="G5" s="123" t="s">
        <v>150</v>
      </c>
      <c r="H5" s="125">
        <v>10800</v>
      </c>
      <c r="I5" s="125">
        <v>7200</v>
      </c>
      <c r="J5" s="126">
        <f t="shared" si="0"/>
        <v>18000</v>
      </c>
      <c r="K5" s="127">
        <f t="shared" si="1"/>
        <v>129600</v>
      </c>
      <c r="L5" s="127">
        <f t="shared" si="1"/>
        <v>86400</v>
      </c>
      <c r="M5" s="127">
        <f>SUM(K5:L5)</f>
        <v>216000</v>
      </c>
      <c r="N5" s="128">
        <v>25</v>
      </c>
      <c r="O5" s="127">
        <v>0</v>
      </c>
      <c r="P5" s="129">
        <f>(N5*7/5)*((H5+I5)/30)</f>
        <v>21000</v>
      </c>
      <c r="Q5" s="127">
        <f>H5</f>
        <v>10800</v>
      </c>
      <c r="R5" s="127">
        <v>0</v>
      </c>
      <c r="S5" s="127"/>
      <c r="T5" s="127">
        <f>(M5+O5+P5+Q5+R5+S5)</f>
        <v>247800</v>
      </c>
    </row>
    <row r="6" spans="1:20" ht="24">
      <c r="A6" s="122" t="s">
        <v>158</v>
      </c>
      <c r="B6" s="123" t="s">
        <v>159</v>
      </c>
      <c r="C6" s="124">
        <v>44458</v>
      </c>
      <c r="D6" s="123" t="s">
        <v>76</v>
      </c>
      <c r="E6" s="123" t="s">
        <v>144</v>
      </c>
      <c r="F6" s="123" t="s">
        <v>149</v>
      </c>
      <c r="G6" s="123" t="s">
        <v>150</v>
      </c>
      <c r="H6" s="125">
        <v>8400</v>
      </c>
      <c r="I6" s="125">
        <v>5600</v>
      </c>
      <c r="J6" s="126">
        <f t="shared" si="0"/>
        <v>14000</v>
      </c>
      <c r="K6" s="127">
        <f t="shared" si="1"/>
        <v>100800</v>
      </c>
      <c r="L6" s="127">
        <f t="shared" si="1"/>
        <v>67200</v>
      </c>
      <c r="M6" s="127">
        <f>SUM(K6:L6)</f>
        <v>168000</v>
      </c>
      <c r="N6" s="128">
        <v>25</v>
      </c>
      <c r="O6" s="127">
        <v>0</v>
      </c>
      <c r="P6" s="129">
        <f>(N6*7/5)*((H6+I6)/30)</f>
        <v>16333.333333333334</v>
      </c>
      <c r="Q6" s="127">
        <f>H6</f>
        <v>8400</v>
      </c>
      <c r="R6" s="127">
        <v>0</v>
      </c>
      <c r="S6" s="127"/>
      <c r="T6" s="127">
        <f>(M6+O6+P6+Q6+R6+S6)</f>
        <v>192733.33333333334</v>
      </c>
    </row>
    <row r="7" spans="1:20" ht="25.15" customHeight="1">
      <c r="A7" s="130"/>
      <c r="B7" s="131"/>
      <c r="C7" s="131"/>
      <c r="D7" s="131"/>
      <c r="E7" s="131"/>
      <c r="F7" s="131"/>
      <c r="G7" s="131"/>
      <c r="H7" s="132">
        <v>46274</v>
      </c>
      <c r="I7" s="132">
        <v>36579</v>
      </c>
      <c r="J7" s="132">
        <f t="shared" si="0"/>
        <v>82853</v>
      </c>
      <c r="K7" s="132">
        <f>SUM(K2:K6)</f>
        <v>555288</v>
      </c>
      <c r="L7" s="132">
        <f>SUM(L2:L6)</f>
        <v>438948</v>
      </c>
      <c r="M7" s="132">
        <f>SUM(M2:M6)</f>
        <v>994236</v>
      </c>
      <c r="N7" s="132"/>
      <c r="O7" s="132">
        <f t="shared" ref="O7:T7" si="2">SUM(O2:O6)</f>
        <v>0</v>
      </c>
      <c r="P7" s="132">
        <f t="shared" si="2"/>
        <v>102239.43333333333</v>
      </c>
      <c r="Q7" s="132">
        <f t="shared" si="2"/>
        <v>46274</v>
      </c>
      <c r="R7" s="132">
        <f t="shared" si="2"/>
        <v>23251.5</v>
      </c>
      <c r="S7" s="132">
        <f t="shared" si="2"/>
        <v>0</v>
      </c>
      <c r="T7" s="132">
        <f t="shared" si="2"/>
        <v>1166000.9333333333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362"/>
  <sheetViews>
    <sheetView showGridLines="0" workbookViewId="0">
      <selection activeCell="M7" sqref="M7"/>
    </sheetView>
  </sheetViews>
  <sheetFormatPr defaultRowHeight="14.45"/>
  <cols>
    <col min="1" max="1" width="24" customWidth="1"/>
    <col min="2" max="2" width="7.28515625" customWidth="1"/>
    <col min="3" max="3" width="11.5703125" customWidth="1"/>
    <col min="4" max="4" width="6.7109375" customWidth="1"/>
    <col min="5" max="5" width="17" customWidth="1"/>
    <col min="6" max="6" width="33.5703125" customWidth="1"/>
    <col min="7" max="9" width="6.7109375" customWidth="1"/>
    <col min="10" max="11" width="6.5703125" customWidth="1"/>
    <col min="12" max="12" width="7.5703125" customWidth="1"/>
    <col min="13" max="13" width="17.7109375" style="15" customWidth="1"/>
  </cols>
  <sheetData>
    <row r="1" spans="1:13">
      <c r="A1" s="1" t="s">
        <v>160</v>
      </c>
      <c r="M1" s="164"/>
    </row>
    <row r="2" spans="1:13">
      <c r="A2" s="2" t="s">
        <v>1</v>
      </c>
      <c r="M2" s="164"/>
    </row>
    <row r="3" spans="1:13" ht="30.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65" t="s">
        <v>14</v>
      </c>
    </row>
    <row r="4" spans="1:13" ht="30.6">
      <c r="A4" s="180" t="s">
        <v>15</v>
      </c>
      <c r="B4" s="4" t="s">
        <v>16</v>
      </c>
      <c r="C4" s="4" t="s">
        <v>17</v>
      </c>
      <c r="D4" s="174" t="s">
        <v>161</v>
      </c>
      <c r="E4" s="4" t="s">
        <v>162</v>
      </c>
      <c r="F4" s="174" t="s">
        <v>163</v>
      </c>
      <c r="G4" s="5">
        <v>10000</v>
      </c>
      <c r="H4" s="5">
        <v>10000</v>
      </c>
      <c r="I4" s="5">
        <v>350</v>
      </c>
      <c r="J4" s="6"/>
      <c r="K4" s="6"/>
      <c r="L4" s="5">
        <v>9650</v>
      </c>
      <c r="M4" s="175">
        <v>20000</v>
      </c>
    </row>
    <row r="5" spans="1:13" ht="20.45">
      <c r="A5" s="181"/>
      <c r="B5" s="4" t="s">
        <v>16</v>
      </c>
      <c r="C5" s="4" t="s">
        <v>17</v>
      </c>
      <c r="D5" s="4" t="s">
        <v>164</v>
      </c>
      <c r="E5" s="4" t="s">
        <v>165</v>
      </c>
      <c r="F5" s="4" t="s">
        <v>166</v>
      </c>
      <c r="G5" s="5">
        <v>53835</v>
      </c>
      <c r="H5" s="5">
        <v>53835</v>
      </c>
      <c r="I5" s="6"/>
      <c r="J5" s="6"/>
      <c r="K5" s="6"/>
      <c r="L5" s="5">
        <v>53835</v>
      </c>
      <c r="M5" s="176"/>
    </row>
    <row r="6" spans="1:13" ht="20.45">
      <c r="A6" s="181"/>
      <c r="B6" s="4" t="s">
        <v>16</v>
      </c>
      <c r="C6" s="4" t="s">
        <v>17</v>
      </c>
      <c r="D6" s="4" t="s">
        <v>167</v>
      </c>
      <c r="E6" s="4" t="s">
        <v>168</v>
      </c>
      <c r="F6" s="4" t="s">
        <v>169</v>
      </c>
      <c r="G6" s="5">
        <v>20000</v>
      </c>
      <c r="H6" s="5">
        <v>20000</v>
      </c>
      <c r="I6" s="5">
        <v>15437.25</v>
      </c>
      <c r="J6" s="6"/>
      <c r="K6" s="6"/>
      <c r="L6" s="5">
        <v>4562.75</v>
      </c>
      <c r="M6" s="176"/>
    </row>
    <row r="7" spans="1:13" ht="20.45">
      <c r="A7" s="181"/>
      <c r="B7" s="4" t="s">
        <v>16</v>
      </c>
      <c r="C7" s="4" t="s">
        <v>17</v>
      </c>
      <c r="D7" s="174" t="s">
        <v>167</v>
      </c>
      <c r="E7" s="4" t="s">
        <v>168</v>
      </c>
      <c r="F7" s="174" t="s">
        <v>170</v>
      </c>
      <c r="G7" s="5">
        <v>40000</v>
      </c>
      <c r="H7" s="5">
        <v>40000</v>
      </c>
      <c r="I7" s="5">
        <v>107169.12</v>
      </c>
      <c r="J7" s="5">
        <v>-75000</v>
      </c>
      <c r="K7" s="5">
        <v>-8551.7000000000007</v>
      </c>
      <c r="L7" s="5">
        <v>16382.58</v>
      </c>
      <c r="M7" s="175">
        <v>227886</v>
      </c>
    </row>
    <row r="8" spans="1:13" ht="20.45">
      <c r="A8" s="181"/>
      <c r="B8" s="4" t="s">
        <v>16</v>
      </c>
      <c r="C8" s="4" t="s">
        <v>17</v>
      </c>
      <c r="D8" s="174" t="s">
        <v>167</v>
      </c>
      <c r="E8" s="4" t="s">
        <v>168</v>
      </c>
      <c r="F8" s="174" t="s">
        <v>171</v>
      </c>
      <c r="G8" s="5">
        <v>65000</v>
      </c>
      <c r="H8" s="5">
        <v>65000</v>
      </c>
      <c r="I8" s="5">
        <v>62677.98</v>
      </c>
      <c r="J8" s="5">
        <v>0</v>
      </c>
      <c r="K8" s="5">
        <v>2166.46</v>
      </c>
      <c r="L8" s="5">
        <v>155.56000000000401</v>
      </c>
      <c r="M8" s="175">
        <v>227886</v>
      </c>
    </row>
    <row r="9" spans="1:13" ht="20.45">
      <c r="A9" s="181"/>
      <c r="B9" s="4" t="s">
        <v>16</v>
      </c>
      <c r="C9" s="4" t="s">
        <v>17</v>
      </c>
      <c r="D9" s="4" t="s">
        <v>167</v>
      </c>
      <c r="E9" s="4" t="s">
        <v>168</v>
      </c>
      <c r="F9" s="4" t="s">
        <v>172</v>
      </c>
      <c r="G9" s="6"/>
      <c r="H9" s="6"/>
      <c r="I9" s="5">
        <v>4820.75</v>
      </c>
      <c r="J9" s="6"/>
      <c r="K9" s="5">
        <v>-6560</v>
      </c>
      <c r="L9" s="5">
        <v>1739.25</v>
      </c>
      <c r="M9" s="168"/>
    </row>
    <row r="10" spans="1:13" ht="20.45">
      <c r="A10" s="181"/>
      <c r="B10" s="4" t="s">
        <v>16</v>
      </c>
      <c r="C10" s="4" t="s">
        <v>17</v>
      </c>
      <c r="D10" s="4" t="s">
        <v>167</v>
      </c>
      <c r="E10" s="4" t="s">
        <v>168</v>
      </c>
      <c r="F10" s="4" t="s">
        <v>173</v>
      </c>
      <c r="G10" s="5">
        <v>30000</v>
      </c>
      <c r="H10" s="5">
        <v>30000</v>
      </c>
      <c r="I10" s="5">
        <v>24993.1</v>
      </c>
      <c r="J10" s="5">
        <v>0</v>
      </c>
      <c r="K10" s="5">
        <v>0</v>
      </c>
      <c r="L10" s="5">
        <v>5006.8999999999996</v>
      </c>
      <c r="M10" s="168"/>
    </row>
    <row r="11" spans="1:13" ht="20.45">
      <c r="A11" s="181"/>
      <c r="B11" s="4" t="s">
        <v>16</v>
      </c>
      <c r="C11" s="4" t="s">
        <v>17</v>
      </c>
      <c r="D11" s="4" t="s">
        <v>167</v>
      </c>
      <c r="E11" s="4" t="s">
        <v>168</v>
      </c>
      <c r="F11" s="4" t="s">
        <v>174</v>
      </c>
      <c r="G11" s="5">
        <v>35720</v>
      </c>
      <c r="H11" s="5">
        <v>35720</v>
      </c>
      <c r="I11" s="5">
        <v>8302.0300000000007</v>
      </c>
      <c r="J11" s="6"/>
      <c r="K11" s="6"/>
      <c r="L11" s="5">
        <v>27417.97</v>
      </c>
      <c r="M11" s="168"/>
    </row>
    <row r="12" spans="1:13" ht="20.45">
      <c r="A12" s="185"/>
      <c r="B12" s="7" t="s">
        <v>175</v>
      </c>
      <c r="C12" s="8"/>
      <c r="D12" s="8"/>
      <c r="E12" s="8"/>
      <c r="F12" s="8"/>
      <c r="G12" s="9">
        <v>254555</v>
      </c>
      <c r="H12" s="9">
        <v>254555</v>
      </c>
      <c r="I12" s="9">
        <v>223750.23</v>
      </c>
      <c r="J12" s="9">
        <v>-75000</v>
      </c>
      <c r="K12" s="9">
        <v>-12945.24</v>
      </c>
      <c r="L12" s="9">
        <v>118750.01</v>
      </c>
      <c r="M12" s="168"/>
    </row>
    <row r="13" spans="1:13">
      <c r="A13" s="10" t="s">
        <v>52</v>
      </c>
      <c r="B13" s="11"/>
      <c r="C13" s="11"/>
      <c r="D13" s="11"/>
      <c r="E13" s="11"/>
      <c r="F13" s="11"/>
      <c r="G13" s="12">
        <v>254555</v>
      </c>
      <c r="H13" s="12">
        <v>254555</v>
      </c>
      <c r="I13" s="12">
        <v>223750.23</v>
      </c>
      <c r="J13" s="12">
        <v>-75000</v>
      </c>
      <c r="K13" s="12">
        <v>-12945.24</v>
      </c>
      <c r="L13" s="12">
        <v>118750.01</v>
      </c>
      <c r="M13" s="168"/>
    </row>
    <row r="14" spans="1:13">
      <c r="A14" s="2" t="s">
        <v>1</v>
      </c>
      <c r="M14" s="164"/>
    </row>
    <row r="15" spans="1:13">
      <c r="M15" s="164"/>
    </row>
    <row r="16" spans="1:13">
      <c r="M16" s="164"/>
    </row>
    <row r="17" spans="13:13">
      <c r="M17" s="164"/>
    </row>
    <row r="18" spans="13:13">
      <c r="M18" s="164"/>
    </row>
    <row r="19" spans="13:13">
      <c r="M19" s="164"/>
    </row>
    <row r="20" spans="13:13">
      <c r="M20" s="164"/>
    </row>
    <row r="21" spans="13:13">
      <c r="M21" s="164"/>
    </row>
    <row r="22" spans="13:13">
      <c r="M22" s="164"/>
    </row>
    <row r="23" spans="13:13">
      <c r="M23" s="164"/>
    </row>
    <row r="24" spans="13:13">
      <c r="M24" s="164"/>
    </row>
    <row r="25" spans="13:13">
      <c r="M25" s="164"/>
    </row>
    <row r="26" spans="13:13">
      <c r="M26" s="164"/>
    </row>
    <row r="27" spans="13:13">
      <c r="M27" s="164"/>
    </row>
    <row r="28" spans="13:13">
      <c r="M28" s="164"/>
    </row>
    <row r="29" spans="13:13">
      <c r="M29" s="164"/>
    </row>
    <row r="30" spans="13:13">
      <c r="M30" s="164"/>
    </row>
    <row r="31" spans="13:13">
      <c r="M31" s="164"/>
    </row>
    <row r="32" spans="13:13">
      <c r="M32" s="164"/>
    </row>
    <row r="33" spans="13:13">
      <c r="M33" s="164"/>
    </row>
    <row r="34" spans="13:13">
      <c r="M34" s="164"/>
    </row>
    <row r="35" spans="13:13">
      <c r="M35" s="164"/>
    </row>
    <row r="36" spans="13:13">
      <c r="M36" s="164"/>
    </row>
    <row r="37" spans="13:13">
      <c r="M37" s="164"/>
    </row>
    <row r="38" spans="13:13">
      <c r="M38" s="164"/>
    </row>
    <row r="39" spans="13:13">
      <c r="M39" s="164"/>
    </row>
    <row r="40" spans="13:13">
      <c r="M40" s="164"/>
    </row>
    <row r="41" spans="13:13">
      <c r="M41" s="164"/>
    </row>
    <row r="42" spans="13:13">
      <c r="M42" s="164"/>
    </row>
    <row r="43" spans="13:13">
      <c r="M43" s="164"/>
    </row>
    <row r="44" spans="13:13">
      <c r="M44" s="164"/>
    </row>
    <row r="45" spans="13:13">
      <c r="M45" s="164"/>
    </row>
    <row r="46" spans="13:13">
      <c r="M46" s="164"/>
    </row>
    <row r="47" spans="13:13">
      <c r="M47" s="164"/>
    </row>
    <row r="48" spans="13:13">
      <c r="M48" s="164"/>
    </row>
    <row r="49" spans="13:13">
      <c r="M49" s="164"/>
    </row>
    <row r="50" spans="13:13">
      <c r="M50" s="164"/>
    </row>
    <row r="51" spans="13:13">
      <c r="M51" s="164"/>
    </row>
    <row r="52" spans="13:13">
      <c r="M52" s="164"/>
    </row>
    <row r="53" spans="13:13">
      <c r="M53" s="164"/>
    </row>
    <row r="54" spans="13:13">
      <c r="M54" s="164"/>
    </row>
    <row r="55" spans="13:13">
      <c r="M55" s="164"/>
    </row>
    <row r="56" spans="13:13">
      <c r="M56" s="164"/>
    </row>
    <row r="57" spans="13:13">
      <c r="M57" s="164"/>
    </row>
    <row r="58" spans="13:13">
      <c r="M58" s="164"/>
    </row>
    <row r="59" spans="13:13">
      <c r="M59" s="164"/>
    </row>
    <row r="60" spans="13:13">
      <c r="M60" s="164"/>
    </row>
    <row r="61" spans="13:13">
      <c r="M61" s="164"/>
    </row>
    <row r="62" spans="13:13">
      <c r="M62" s="164"/>
    </row>
    <row r="63" spans="13:13">
      <c r="M63" s="164"/>
    </row>
    <row r="64" spans="13:13">
      <c r="M64" s="164"/>
    </row>
    <row r="65" spans="13:13">
      <c r="M65" s="164"/>
    </row>
    <row r="66" spans="13:13">
      <c r="M66" s="164"/>
    </row>
    <row r="67" spans="13:13">
      <c r="M67" s="164"/>
    </row>
    <row r="68" spans="13:13">
      <c r="M68" s="164"/>
    </row>
    <row r="69" spans="13:13">
      <c r="M69" s="164"/>
    </row>
    <row r="70" spans="13:13">
      <c r="M70" s="164"/>
    </row>
    <row r="71" spans="13:13">
      <c r="M71" s="164"/>
    </row>
    <row r="72" spans="13:13">
      <c r="M72" s="164"/>
    </row>
    <row r="73" spans="13:13">
      <c r="M73" s="164"/>
    </row>
    <row r="74" spans="13:13">
      <c r="M74" s="164"/>
    </row>
    <row r="75" spans="13:13">
      <c r="M75" s="164"/>
    </row>
    <row r="76" spans="13:13">
      <c r="M76" s="164"/>
    </row>
    <row r="77" spans="13:13">
      <c r="M77" s="164"/>
    </row>
    <row r="78" spans="13:13">
      <c r="M78" s="164"/>
    </row>
    <row r="79" spans="13:13">
      <c r="M79" s="164"/>
    </row>
    <row r="80" spans="13:13">
      <c r="M80" s="164"/>
    </row>
    <row r="81" spans="13:13">
      <c r="M81" s="164"/>
    </row>
    <row r="82" spans="13:13">
      <c r="M82" s="164"/>
    </row>
    <row r="83" spans="13:13">
      <c r="M83" s="164"/>
    </row>
    <row r="84" spans="13:13">
      <c r="M84" s="164"/>
    </row>
    <row r="85" spans="13:13">
      <c r="M85" s="164"/>
    </row>
    <row r="86" spans="13:13">
      <c r="M86" s="164"/>
    </row>
    <row r="87" spans="13:13">
      <c r="M87" s="164"/>
    </row>
    <row r="88" spans="13:13">
      <c r="M88" s="164"/>
    </row>
    <row r="89" spans="13:13">
      <c r="M89" s="164"/>
    </row>
    <row r="90" spans="13:13">
      <c r="M90" s="164"/>
    </row>
    <row r="91" spans="13:13">
      <c r="M91" s="164"/>
    </row>
    <row r="92" spans="13:13">
      <c r="M92" s="164"/>
    </row>
    <row r="93" spans="13:13">
      <c r="M93" s="164"/>
    </row>
    <row r="94" spans="13:13">
      <c r="M94" s="164"/>
    </row>
    <row r="95" spans="13:13">
      <c r="M95" s="164"/>
    </row>
    <row r="96" spans="13:13">
      <c r="M96" s="164"/>
    </row>
    <row r="97" spans="13:13">
      <c r="M97" s="164"/>
    </row>
    <row r="98" spans="13:13">
      <c r="M98" s="164"/>
    </row>
    <row r="99" spans="13:13">
      <c r="M99" s="164"/>
    </row>
    <row r="100" spans="13:13">
      <c r="M100" s="164"/>
    </row>
    <row r="101" spans="13:13">
      <c r="M101" s="164"/>
    </row>
    <row r="102" spans="13:13">
      <c r="M102" s="164"/>
    </row>
    <row r="103" spans="13:13">
      <c r="M103" s="164"/>
    </row>
    <row r="104" spans="13:13">
      <c r="M104" s="164"/>
    </row>
    <row r="105" spans="13:13">
      <c r="M105" s="164"/>
    </row>
    <row r="106" spans="13:13">
      <c r="M106" s="164"/>
    </row>
    <row r="107" spans="13:13">
      <c r="M107" s="164"/>
    </row>
    <row r="108" spans="13:13">
      <c r="M108" s="164"/>
    </row>
    <row r="109" spans="13:13">
      <c r="M109" s="164"/>
    </row>
    <row r="110" spans="13:13">
      <c r="M110" s="164"/>
    </row>
    <row r="111" spans="13:13">
      <c r="M111" s="164"/>
    </row>
    <row r="112" spans="13:13">
      <c r="M112" s="164"/>
    </row>
    <row r="113" spans="13:13">
      <c r="M113" s="164"/>
    </row>
    <row r="114" spans="13:13">
      <c r="M114" s="164"/>
    </row>
    <row r="115" spans="13:13">
      <c r="M115" s="164"/>
    </row>
    <row r="116" spans="13:13">
      <c r="M116" s="164"/>
    </row>
    <row r="117" spans="13:13">
      <c r="M117" s="164"/>
    </row>
    <row r="118" spans="13:13">
      <c r="M118" s="164"/>
    </row>
    <row r="119" spans="13:13">
      <c r="M119" s="164"/>
    </row>
    <row r="120" spans="13:13">
      <c r="M120" s="164"/>
    </row>
    <row r="121" spans="13:13">
      <c r="M121" s="164"/>
    </row>
    <row r="122" spans="13:13">
      <c r="M122" s="164"/>
    </row>
    <row r="123" spans="13:13">
      <c r="M123" s="164"/>
    </row>
    <row r="124" spans="13:13">
      <c r="M124" s="164"/>
    </row>
    <row r="125" spans="13:13">
      <c r="M125" s="164"/>
    </row>
    <row r="126" spans="13:13">
      <c r="M126" s="164"/>
    </row>
    <row r="127" spans="13:13">
      <c r="M127" s="164"/>
    </row>
    <row r="128" spans="13:13">
      <c r="M128" s="164"/>
    </row>
    <row r="129" spans="13:13">
      <c r="M129" s="164"/>
    </row>
    <row r="130" spans="13:13">
      <c r="M130" s="164"/>
    </row>
    <row r="131" spans="13:13">
      <c r="M131" s="164"/>
    </row>
    <row r="132" spans="13:13">
      <c r="M132" s="164"/>
    </row>
    <row r="133" spans="13:13">
      <c r="M133" s="164"/>
    </row>
    <row r="134" spans="13:13">
      <c r="M134" s="164"/>
    </row>
    <row r="135" spans="13:13">
      <c r="M135" s="164"/>
    </row>
    <row r="136" spans="13:13">
      <c r="M136" s="164"/>
    </row>
    <row r="137" spans="13:13">
      <c r="M137" s="164"/>
    </row>
    <row r="138" spans="13:13">
      <c r="M138" s="164"/>
    </row>
    <row r="139" spans="13:13">
      <c r="M139" s="164"/>
    </row>
    <row r="140" spans="13:13">
      <c r="M140" s="164"/>
    </row>
    <row r="141" spans="13:13">
      <c r="M141" s="164"/>
    </row>
    <row r="142" spans="13:13">
      <c r="M142" s="164"/>
    </row>
    <row r="143" spans="13:13">
      <c r="M143" s="164"/>
    </row>
    <row r="144" spans="13:13">
      <c r="M144" s="164"/>
    </row>
    <row r="145" spans="13:13">
      <c r="M145" s="164"/>
    </row>
    <row r="146" spans="13:13">
      <c r="M146" s="164"/>
    </row>
    <row r="147" spans="13:13">
      <c r="M147" s="164"/>
    </row>
    <row r="148" spans="13:13">
      <c r="M148" s="164"/>
    </row>
    <row r="149" spans="13:13">
      <c r="M149" s="164"/>
    </row>
    <row r="150" spans="13:13">
      <c r="M150" s="164"/>
    </row>
    <row r="151" spans="13:13">
      <c r="M151" s="164"/>
    </row>
    <row r="152" spans="13:13">
      <c r="M152" s="164"/>
    </row>
    <row r="153" spans="13:13">
      <c r="M153" s="164"/>
    </row>
    <row r="154" spans="13:13">
      <c r="M154" s="164"/>
    </row>
    <row r="155" spans="13:13">
      <c r="M155" s="164"/>
    </row>
    <row r="156" spans="13:13">
      <c r="M156" s="164"/>
    </row>
    <row r="157" spans="13:13">
      <c r="M157" s="164"/>
    </row>
    <row r="158" spans="13:13">
      <c r="M158" s="164"/>
    </row>
    <row r="159" spans="13:13">
      <c r="M159" s="164"/>
    </row>
    <row r="160" spans="13:13">
      <c r="M160" s="164"/>
    </row>
    <row r="161" spans="13:13">
      <c r="M161" s="164"/>
    </row>
    <row r="162" spans="13:13">
      <c r="M162" s="164"/>
    </row>
    <row r="163" spans="13:13">
      <c r="M163" s="164"/>
    </row>
    <row r="164" spans="13:13">
      <c r="M164" s="164"/>
    </row>
    <row r="165" spans="13:13">
      <c r="M165" s="164"/>
    </row>
    <row r="166" spans="13:13">
      <c r="M166" s="164"/>
    </row>
    <row r="167" spans="13:13">
      <c r="M167" s="164"/>
    </row>
    <row r="168" spans="13:13">
      <c r="M168" s="164"/>
    </row>
    <row r="169" spans="13:13">
      <c r="M169" s="164"/>
    </row>
    <row r="170" spans="13:13">
      <c r="M170" s="164"/>
    </row>
    <row r="171" spans="13:13">
      <c r="M171" s="164"/>
    </row>
    <row r="172" spans="13:13">
      <c r="M172" s="164"/>
    </row>
    <row r="173" spans="13:13">
      <c r="M173" s="164"/>
    </row>
    <row r="174" spans="13:13">
      <c r="M174" s="164"/>
    </row>
    <row r="175" spans="13:13">
      <c r="M175" s="164"/>
    </row>
    <row r="176" spans="13:13">
      <c r="M176" s="164"/>
    </row>
    <row r="177" spans="13:13">
      <c r="M177" s="164"/>
    </row>
    <row r="178" spans="13:13">
      <c r="M178" s="164"/>
    </row>
    <row r="179" spans="13:13">
      <c r="M179" s="164"/>
    </row>
    <row r="180" spans="13:13">
      <c r="M180" s="164"/>
    </row>
    <row r="181" spans="13:13">
      <c r="M181" s="164"/>
    </row>
    <row r="182" spans="13:13">
      <c r="M182" s="164"/>
    </row>
    <row r="183" spans="13:13">
      <c r="M183" s="164"/>
    </row>
    <row r="184" spans="13:13">
      <c r="M184" s="164"/>
    </row>
    <row r="185" spans="13:13">
      <c r="M185" s="164"/>
    </row>
    <row r="186" spans="13:13">
      <c r="M186" s="164"/>
    </row>
    <row r="187" spans="13:13">
      <c r="M187" s="164"/>
    </row>
    <row r="188" spans="13:13">
      <c r="M188" s="164"/>
    </row>
    <row r="189" spans="13:13">
      <c r="M189" s="164"/>
    </row>
    <row r="190" spans="13:13">
      <c r="M190" s="164"/>
    </row>
    <row r="191" spans="13:13">
      <c r="M191" s="164"/>
    </row>
    <row r="192" spans="13:13">
      <c r="M192" s="164"/>
    </row>
    <row r="193" spans="13:13">
      <c r="M193" s="164"/>
    </row>
    <row r="194" spans="13:13">
      <c r="M194" s="164"/>
    </row>
    <row r="195" spans="13:13">
      <c r="M195" s="164"/>
    </row>
    <row r="196" spans="13:13">
      <c r="M196" s="164"/>
    </row>
    <row r="197" spans="13:13">
      <c r="M197" s="164"/>
    </row>
    <row r="198" spans="13:13">
      <c r="M198" s="164"/>
    </row>
    <row r="199" spans="13:13">
      <c r="M199" s="164"/>
    </row>
    <row r="200" spans="13:13">
      <c r="M200" s="164"/>
    </row>
    <row r="201" spans="13:13">
      <c r="M201" s="164"/>
    </row>
    <row r="202" spans="13:13">
      <c r="M202" s="164"/>
    </row>
    <row r="203" spans="13:13">
      <c r="M203" s="164"/>
    </row>
    <row r="204" spans="13:13">
      <c r="M204" s="164"/>
    </row>
    <row r="205" spans="13:13">
      <c r="M205" s="164"/>
    </row>
    <row r="206" spans="13:13">
      <c r="M206" s="164"/>
    </row>
    <row r="207" spans="13:13">
      <c r="M207" s="164"/>
    </row>
    <row r="208" spans="13:13">
      <c r="M208" s="164"/>
    </row>
    <row r="209" spans="13:13">
      <c r="M209" s="164"/>
    </row>
    <row r="210" spans="13:13">
      <c r="M210" s="164"/>
    </row>
    <row r="211" spans="13:13">
      <c r="M211" s="164"/>
    </row>
    <row r="212" spans="13:13">
      <c r="M212" s="164"/>
    </row>
    <row r="213" spans="13:13">
      <c r="M213" s="164"/>
    </row>
    <row r="214" spans="13:13">
      <c r="M214" s="164"/>
    </row>
    <row r="215" spans="13:13">
      <c r="M215" s="164"/>
    </row>
    <row r="216" spans="13:13">
      <c r="M216" s="164"/>
    </row>
    <row r="217" spans="13:13">
      <c r="M217" s="164"/>
    </row>
    <row r="218" spans="13:13">
      <c r="M218" s="164"/>
    </row>
    <row r="219" spans="13:13">
      <c r="M219" s="164"/>
    </row>
    <row r="220" spans="13:13">
      <c r="M220" s="164"/>
    </row>
    <row r="221" spans="13:13">
      <c r="M221" s="164"/>
    </row>
    <row r="222" spans="13:13">
      <c r="M222" s="164"/>
    </row>
    <row r="223" spans="13:13">
      <c r="M223" s="164"/>
    </row>
    <row r="224" spans="13:13">
      <c r="M224" s="164"/>
    </row>
    <row r="225" spans="13:13">
      <c r="M225" s="164"/>
    </row>
    <row r="226" spans="13:13">
      <c r="M226" s="164"/>
    </row>
    <row r="227" spans="13:13">
      <c r="M227" s="164"/>
    </row>
    <row r="228" spans="13:13">
      <c r="M228" s="164"/>
    </row>
    <row r="229" spans="13:13">
      <c r="M229" s="164"/>
    </row>
    <row r="230" spans="13:13">
      <c r="M230" s="164"/>
    </row>
    <row r="231" spans="13:13">
      <c r="M231" s="164"/>
    </row>
    <row r="232" spans="13:13">
      <c r="M232" s="164"/>
    </row>
    <row r="233" spans="13:13">
      <c r="M233" s="164"/>
    </row>
    <row r="234" spans="13:13">
      <c r="M234" s="164"/>
    </row>
    <row r="235" spans="13:13">
      <c r="M235" s="164"/>
    </row>
    <row r="236" spans="13:13">
      <c r="M236" s="164"/>
    </row>
    <row r="237" spans="13:13">
      <c r="M237" s="164"/>
    </row>
    <row r="238" spans="13:13">
      <c r="M238" s="164"/>
    </row>
    <row r="239" spans="13:13">
      <c r="M239" s="164"/>
    </row>
    <row r="240" spans="13:13">
      <c r="M240" s="164"/>
    </row>
    <row r="241" spans="13:13">
      <c r="M241" s="164"/>
    </row>
    <row r="242" spans="13:13">
      <c r="M242" s="164"/>
    </row>
    <row r="243" spans="13:13">
      <c r="M243" s="164"/>
    </row>
    <row r="244" spans="13:13">
      <c r="M244" s="164"/>
    </row>
    <row r="245" spans="13:13">
      <c r="M245" s="164"/>
    </row>
    <row r="246" spans="13:13">
      <c r="M246" s="164"/>
    </row>
    <row r="247" spans="13:13">
      <c r="M247" s="164"/>
    </row>
    <row r="248" spans="13:13">
      <c r="M248" s="164"/>
    </row>
    <row r="249" spans="13:13">
      <c r="M249" s="164"/>
    </row>
    <row r="250" spans="13:13">
      <c r="M250" s="164"/>
    </row>
    <row r="251" spans="13:13">
      <c r="M251" s="164"/>
    </row>
    <row r="252" spans="13:13">
      <c r="M252" s="164"/>
    </row>
    <row r="253" spans="13:13">
      <c r="M253" s="164"/>
    </row>
    <row r="254" spans="13:13">
      <c r="M254" s="164"/>
    </row>
    <row r="255" spans="13:13">
      <c r="M255" s="164"/>
    </row>
    <row r="256" spans="13:13">
      <c r="M256" s="164"/>
    </row>
    <row r="257" spans="13:13">
      <c r="M257" s="164"/>
    </row>
    <row r="258" spans="13:13">
      <c r="M258" s="164"/>
    </row>
    <row r="259" spans="13:13">
      <c r="M259" s="164"/>
    </row>
    <row r="260" spans="13:13">
      <c r="M260" s="164"/>
    </row>
    <row r="261" spans="13:13">
      <c r="M261" s="164"/>
    </row>
    <row r="262" spans="13:13">
      <c r="M262" s="164"/>
    </row>
    <row r="263" spans="13:13">
      <c r="M263" s="164"/>
    </row>
    <row r="264" spans="13:13">
      <c r="M264" s="164"/>
    </row>
    <row r="265" spans="13:13">
      <c r="M265" s="164"/>
    </row>
    <row r="266" spans="13:13">
      <c r="M266" s="164"/>
    </row>
    <row r="267" spans="13:13">
      <c r="M267" s="164"/>
    </row>
    <row r="268" spans="13:13">
      <c r="M268" s="164"/>
    </row>
    <row r="269" spans="13:13">
      <c r="M269" s="164"/>
    </row>
    <row r="270" spans="13:13">
      <c r="M270" s="164"/>
    </row>
    <row r="271" spans="13:13">
      <c r="M271" s="164"/>
    </row>
    <row r="272" spans="13:13">
      <c r="M272" s="164"/>
    </row>
    <row r="273" spans="13:13">
      <c r="M273" s="164"/>
    </row>
    <row r="274" spans="13:13">
      <c r="M274" s="164"/>
    </row>
    <row r="275" spans="13:13">
      <c r="M275" s="164"/>
    </row>
    <row r="276" spans="13:13">
      <c r="M276" s="164"/>
    </row>
    <row r="277" spans="13:13">
      <c r="M277" s="164"/>
    </row>
    <row r="278" spans="13:13">
      <c r="M278" s="164"/>
    </row>
    <row r="279" spans="13:13">
      <c r="M279" s="164"/>
    </row>
    <row r="280" spans="13:13">
      <c r="M280" s="164"/>
    </row>
    <row r="281" spans="13:13">
      <c r="M281" s="164"/>
    </row>
    <row r="282" spans="13:13">
      <c r="M282" s="164"/>
    </row>
    <row r="283" spans="13:13">
      <c r="M283" s="164"/>
    </row>
    <row r="284" spans="13:13">
      <c r="M284" s="164"/>
    </row>
    <row r="285" spans="13:13">
      <c r="M285" s="164"/>
    </row>
    <row r="286" spans="13:13">
      <c r="M286" s="164"/>
    </row>
    <row r="287" spans="13:13">
      <c r="M287" s="164"/>
    </row>
    <row r="288" spans="13:13">
      <c r="M288" s="164"/>
    </row>
    <row r="289" spans="13:13">
      <c r="M289" s="164"/>
    </row>
    <row r="290" spans="13:13">
      <c r="M290" s="164"/>
    </row>
    <row r="291" spans="13:13">
      <c r="M291" s="164"/>
    </row>
    <row r="292" spans="13:13">
      <c r="M292" s="164"/>
    </row>
    <row r="293" spans="13:13">
      <c r="M293" s="164"/>
    </row>
    <row r="294" spans="13:13">
      <c r="M294" s="164"/>
    </row>
    <row r="295" spans="13:13">
      <c r="M295" s="164"/>
    </row>
    <row r="296" spans="13:13">
      <c r="M296" s="164"/>
    </row>
    <row r="297" spans="13:13">
      <c r="M297" s="164"/>
    </row>
    <row r="298" spans="13:13">
      <c r="M298" s="164"/>
    </row>
    <row r="299" spans="13:13">
      <c r="M299" s="164"/>
    </row>
    <row r="300" spans="13:13">
      <c r="M300" s="164"/>
    </row>
    <row r="301" spans="13:13">
      <c r="M301" s="164"/>
    </row>
    <row r="302" spans="13:13">
      <c r="M302" s="164"/>
    </row>
    <row r="303" spans="13:13">
      <c r="M303" s="164"/>
    </row>
    <row r="304" spans="13:13">
      <c r="M304" s="164"/>
    </row>
    <row r="305" spans="13:13">
      <c r="M305" s="164"/>
    </row>
    <row r="306" spans="13:13">
      <c r="M306" s="164"/>
    </row>
    <row r="307" spans="13:13">
      <c r="M307" s="164"/>
    </row>
    <row r="308" spans="13:13">
      <c r="M308" s="164"/>
    </row>
    <row r="309" spans="13:13">
      <c r="M309" s="164"/>
    </row>
    <row r="310" spans="13:13">
      <c r="M310" s="164"/>
    </row>
    <row r="311" spans="13:13">
      <c r="M311" s="164"/>
    </row>
    <row r="312" spans="13:13">
      <c r="M312" s="164"/>
    </row>
    <row r="313" spans="13:13">
      <c r="M313" s="164"/>
    </row>
    <row r="314" spans="13:13">
      <c r="M314" s="164"/>
    </row>
    <row r="315" spans="13:13">
      <c r="M315" s="164"/>
    </row>
    <row r="316" spans="13:13">
      <c r="M316" s="164"/>
    </row>
    <row r="317" spans="13:13">
      <c r="M317" s="164"/>
    </row>
    <row r="318" spans="13:13">
      <c r="M318" s="164"/>
    </row>
    <row r="319" spans="13:13">
      <c r="M319" s="164"/>
    </row>
    <row r="320" spans="13:13">
      <c r="M320" s="164"/>
    </row>
    <row r="321" spans="13:13">
      <c r="M321" s="164"/>
    </row>
    <row r="322" spans="13:13">
      <c r="M322" s="164"/>
    </row>
    <row r="323" spans="13:13">
      <c r="M323" s="164"/>
    </row>
    <row r="324" spans="13:13">
      <c r="M324" s="164"/>
    </row>
    <row r="325" spans="13:13">
      <c r="M325" s="164"/>
    </row>
    <row r="326" spans="13:13">
      <c r="M326" s="164"/>
    </row>
    <row r="327" spans="13:13">
      <c r="M327" s="164"/>
    </row>
    <row r="328" spans="13:13">
      <c r="M328" s="164"/>
    </row>
    <row r="329" spans="13:13">
      <c r="M329" s="164"/>
    </row>
    <row r="330" spans="13:13">
      <c r="M330" s="164"/>
    </row>
    <row r="331" spans="13:13">
      <c r="M331" s="164"/>
    </row>
    <row r="332" spans="13:13">
      <c r="M332" s="164"/>
    </row>
    <row r="333" spans="13:13">
      <c r="M333" s="164"/>
    </row>
    <row r="334" spans="13:13">
      <c r="M334" s="164"/>
    </row>
    <row r="335" spans="13:13">
      <c r="M335" s="164"/>
    </row>
    <row r="336" spans="13:13">
      <c r="M336" s="164"/>
    </row>
    <row r="337" spans="13:13">
      <c r="M337" s="164"/>
    </row>
    <row r="338" spans="13:13">
      <c r="M338" s="164"/>
    </row>
    <row r="339" spans="13:13">
      <c r="M339" s="164"/>
    </row>
    <row r="340" spans="13:13">
      <c r="M340" s="164"/>
    </row>
    <row r="341" spans="13:13">
      <c r="M341" s="164"/>
    </row>
    <row r="342" spans="13:13">
      <c r="M342" s="164"/>
    </row>
    <row r="343" spans="13:13">
      <c r="M343" s="164"/>
    </row>
    <row r="344" spans="13:13">
      <c r="M344" s="164"/>
    </row>
    <row r="345" spans="13:13">
      <c r="M345" s="164"/>
    </row>
    <row r="346" spans="13:13">
      <c r="M346" s="164"/>
    </row>
    <row r="347" spans="13:13">
      <c r="M347" s="164"/>
    </row>
    <row r="348" spans="13:13">
      <c r="M348" s="164"/>
    </row>
    <row r="349" spans="13:13">
      <c r="M349" s="164"/>
    </row>
    <row r="350" spans="13:13">
      <c r="M350" s="164"/>
    </row>
    <row r="351" spans="13:13">
      <c r="M351" s="164"/>
    </row>
    <row r="352" spans="13:13">
      <c r="M352" s="164"/>
    </row>
    <row r="353" spans="13:13">
      <c r="M353" s="164"/>
    </row>
    <row r="354" spans="13:13">
      <c r="M354" s="164"/>
    </row>
    <row r="355" spans="13:13">
      <c r="M355" s="164"/>
    </row>
    <row r="356" spans="13:13">
      <c r="M356" s="164"/>
    </row>
    <row r="357" spans="13:13">
      <c r="M357" s="164"/>
    </row>
    <row r="358" spans="13:13">
      <c r="M358" s="164"/>
    </row>
    <row r="359" spans="13:13">
      <c r="M359" s="164"/>
    </row>
    <row r="360" spans="13:13">
      <c r="M360" s="164"/>
    </row>
    <row r="361" spans="13:13">
      <c r="M361" s="164"/>
    </row>
    <row r="362" spans="13:13">
      <c r="M362" s="164"/>
    </row>
  </sheetData>
  <mergeCells count="1">
    <mergeCell ref="A4:A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M526"/>
  <sheetViews>
    <sheetView showGridLines="0" workbookViewId="0">
      <selection activeCell="M5" sqref="M5"/>
    </sheetView>
  </sheetViews>
  <sheetFormatPr defaultRowHeight="14.45"/>
  <cols>
    <col min="1" max="1" width="28.5703125" customWidth="1"/>
    <col min="2" max="2" width="7.28515625" customWidth="1"/>
    <col min="3" max="3" width="11.5703125" customWidth="1"/>
    <col min="4" max="4" width="6.7109375" customWidth="1"/>
    <col min="5" max="5" width="9" customWidth="1"/>
    <col min="6" max="6" width="33.5703125" customWidth="1"/>
    <col min="7" max="7" width="6.28515625" customWidth="1"/>
    <col min="8" max="9" width="6.7109375" customWidth="1"/>
    <col min="10" max="11" width="7.42578125" customWidth="1"/>
    <col min="12" max="12" width="7.5703125" customWidth="1"/>
    <col min="13" max="13" width="13.7109375" style="15" customWidth="1"/>
  </cols>
  <sheetData>
    <row r="1" spans="1:13">
      <c r="A1" s="14" t="s">
        <v>176</v>
      </c>
      <c r="M1" s="164"/>
    </row>
    <row r="2" spans="1:13">
      <c r="A2" s="2" t="s">
        <v>1</v>
      </c>
      <c r="M2" s="164"/>
    </row>
    <row r="3" spans="1:13" ht="30.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65" t="s">
        <v>14</v>
      </c>
    </row>
    <row r="4" spans="1:13" ht="20.45">
      <c r="A4" s="180" t="s">
        <v>15</v>
      </c>
      <c r="B4" s="4" t="s">
        <v>16</v>
      </c>
      <c r="C4" s="4" t="s">
        <v>17</v>
      </c>
      <c r="D4" s="4" t="s">
        <v>177</v>
      </c>
      <c r="E4" s="4" t="s">
        <v>178</v>
      </c>
      <c r="F4" s="4" t="s">
        <v>179</v>
      </c>
      <c r="G4" s="6"/>
      <c r="H4" s="6"/>
      <c r="I4" s="5">
        <v>113350</v>
      </c>
      <c r="J4" s="5">
        <v>-197425</v>
      </c>
      <c r="K4" s="5">
        <v>57381</v>
      </c>
      <c r="L4" s="5">
        <v>26694</v>
      </c>
      <c r="M4" s="166"/>
    </row>
    <row r="5" spans="1:13" ht="20.45">
      <c r="A5" s="181"/>
      <c r="B5" s="177" t="s">
        <v>16</v>
      </c>
      <c r="C5" s="4" t="s">
        <v>17</v>
      </c>
      <c r="D5" s="177" t="s">
        <v>177</v>
      </c>
      <c r="E5" s="4" t="s">
        <v>178</v>
      </c>
      <c r="F5" s="177" t="s">
        <v>180</v>
      </c>
      <c r="G5" s="5">
        <v>66900</v>
      </c>
      <c r="H5" s="5">
        <v>66900</v>
      </c>
      <c r="I5" s="5">
        <v>41938</v>
      </c>
      <c r="J5" s="5">
        <v>0</v>
      </c>
      <c r="K5" s="5">
        <v>3430</v>
      </c>
      <c r="L5" s="5">
        <v>21532</v>
      </c>
      <c r="M5" s="179">
        <v>50000</v>
      </c>
    </row>
    <row r="6" spans="1:13" ht="20.45">
      <c r="A6" s="181"/>
      <c r="B6" s="4" t="s">
        <v>16</v>
      </c>
      <c r="C6" s="4" t="s">
        <v>17</v>
      </c>
      <c r="D6" s="4" t="s">
        <v>177</v>
      </c>
      <c r="E6" s="4" t="s">
        <v>178</v>
      </c>
      <c r="F6" s="4" t="s">
        <v>181</v>
      </c>
      <c r="G6" s="6"/>
      <c r="H6" s="6"/>
      <c r="I6" s="5">
        <v>513398.54</v>
      </c>
      <c r="J6" s="6"/>
      <c r="K6" s="5">
        <v>-513398.54</v>
      </c>
      <c r="L6" s="5">
        <v>0</v>
      </c>
      <c r="M6" s="16"/>
    </row>
    <row r="7" spans="1:13" ht="20.45">
      <c r="A7" s="185"/>
      <c r="B7" s="7" t="s">
        <v>175</v>
      </c>
      <c r="C7" s="8"/>
      <c r="D7" s="8"/>
      <c r="E7" s="8"/>
      <c r="F7" s="8"/>
      <c r="G7" s="9">
        <v>66900</v>
      </c>
      <c r="H7" s="9">
        <v>66900</v>
      </c>
      <c r="I7" s="9">
        <v>668686.54</v>
      </c>
      <c r="J7" s="9">
        <v>-197425</v>
      </c>
      <c r="K7" s="9">
        <v>-452587.54</v>
      </c>
      <c r="L7" s="9">
        <v>48226</v>
      </c>
      <c r="M7" s="16"/>
    </row>
    <row r="8" spans="1:13">
      <c r="A8" s="10" t="s">
        <v>52</v>
      </c>
      <c r="B8" s="11"/>
      <c r="C8" s="11"/>
      <c r="D8" s="11"/>
      <c r="E8" s="11"/>
      <c r="F8" s="11"/>
      <c r="G8" s="12">
        <v>66900</v>
      </c>
      <c r="H8" s="12">
        <v>66900</v>
      </c>
      <c r="I8" s="12">
        <v>668686.54</v>
      </c>
      <c r="J8" s="12">
        <v>-197425</v>
      </c>
      <c r="K8" s="12">
        <v>-452587.54</v>
      </c>
      <c r="L8" s="12">
        <v>48226</v>
      </c>
      <c r="M8" s="16"/>
    </row>
    <row r="9" spans="1:13">
      <c r="A9" s="2" t="s">
        <v>1</v>
      </c>
      <c r="M9" s="164"/>
    </row>
    <row r="10" spans="1:13">
      <c r="M10" s="164"/>
    </row>
    <row r="11" spans="1:13">
      <c r="M11" s="164"/>
    </row>
    <row r="12" spans="1:13">
      <c r="M12" s="164"/>
    </row>
    <row r="13" spans="1:13">
      <c r="M13" s="164"/>
    </row>
    <row r="14" spans="1:13">
      <c r="M14" s="164"/>
    </row>
    <row r="15" spans="1:13">
      <c r="M15" s="164"/>
    </row>
    <row r="16" spans="1:13">
      <c r="M16" s="164"/>
    </row>
    <row r="17" spans="13:13">
      <c r="M17" s="164"/>
    </row>
    <row r="18" spans="13:13">
      <c r="M18" s="164"/>
    </row>
    <row r="19" spans="13:13">
      <c r="M19" s="164"/>
    </row>
    <row r="20" spans="13:13">
      <c r="M20" s="164"/>
    </row>
    <row r="21" spans="13:13">
      <c r="M21" s="164"/>
    </row>
    <row r="22" spans="13:13">
      <c r="M22" s="164"/>
    </row>
    <row r="23" spans="13:13">
      <c r="M23" s="164"/>
    </row>
    <row r="24" spans="13:13">
      <c r="M24" s="164"/>
    </row>
    <row r="25" spans="13:13">
      <c r="M25" s="164"/>
    </row>
    <row r="26" spans="13:13">
      <c r="M26" s="164"/>
    </row>
    <row r="27" spans="13:13">
      <c r="M27" s="164"/>
    </row>
    <row r="28" spans="13:13">
      <c r="M28" s="164"/>
    </row>
    <row r="29" spans="13:13">
      <c r="M29" s="164"/>
    </row>
    <row r="30" spans="13:13">
      <c r="M30" s="164"/>
    </row>
    <row r="31" spans="13:13">
      <c r="M31" s="164"/>
    </row>
    <row r="32" spans="13:13">
      <c r="M32" s="164"/>
    </row>
    <row r="33" spans="13:13">
      <c r="M33" s="164"/>
    </row>
    <row r="34" spans="13:13">
      <c r="M34" s="164"/>
    </row>
    <row r="35" spans="13:13">
      <c r="M35" s="164"/>
    </row>
    <row r="36" spans="13:13">
      <c r="M36" s="164"/>
    </row>
    <row r="37" spans="13:13">
      <c r="M37" s="164"/>
    </row>
    <row r="38" spans="13:13">
      <c r="M38" s="164"/>
    </row>
    <row r="39" spans="13:13">
      <c r="M39" s="164"/>
    </row>
    <row r="40" spans="13:13">
      <c r="M40" s="164"/>
    </row>
    <row r="41" spans="13:13">
      <c r="M41" s="164"/>
    </row>
    <row r="42" spans="13:13">
      <c r="M42" s="164"/>
    </row>
    <row r="43" spans="13:13">
      <c r="M43" s="164"/>
    </row>
    <row r="44" spans="13:13">
      <c r="M44" s="164"/>
    </row>
    <row r="45" spans="13:13">
      <c r="M45" s="164"/>
    </row>
    <row r="46" spans="13:13">
      <c r="M46" s="164"/>
    </row>
    <row r="47" spans="13:13">
      <c r="M47" s="164"/>
    </row>
    <row r="48" spans="13:13">
      <c r="M48" s="164"/>
    </row>
    <row r="49" spans="13:13">
      <c r="M49" s="164"/>
    </row>
    <row r="50" spans="13:13">
      <c r="M50" s="164"/>
    </row>
    <row r="51" spans="13:13">
      <c r="M51" s="164"/>
    </row>
    <row r="52" spans="13:13">
      <c r="M52" s="164"/>
    </row>
    <row r="53" spans="13:13">
      <c r="M53" s="164"/>
    </row>
    <row r="54" spans="13:13">
      <c r="M54" s="164"/>
    </row>
    <row r="55" spans="13:13">
      <c r="M55" s="164"/>
    </row>
    <row r="56" spans="13:13">
      <c r="M56" s="164"/>
    </row>
    <row r="57" spans="13:13">
      <c r="M57" s="164"/>
    </row>
    <row r="58" spans="13:13">
      <c r="M58" s="164"/>
    </row>
    <row r="59" spans="13:13">
      <c r="M59" s="164"/>
    </row>
    <row r="60" spans="13:13">
      <c r="M60" s="164"/>
    </row>
    <row r="61" spans="13:13">
      <c r="M61" s="164"/>
    </row>
    <row r="62" spans="13:13">
      <c r="M62" s="164"/>
    </row>
    <row r="63" spans="13:13">
      <c r="M63" s="164"/>
    </row>
    <row r="64" spans="13:13">
      <c r="M64" s="164"/>
    </row>
    <row r="65" spans="13:13">
      <c r="M65" s="164"/>
    </row>
    <row r="66" spans="13:13">
      <c r="M66" s="164"/>
    </row>
    <row r="67" spans="13:13">
      <c r="M67" s="164"/>
    </row>
    <row r="68" spans="13:13">
      <c r="M68" s="164"/>
    </row>
    <row r="69" spans="13:13">
      <c r="M69" s="164"/>
    </row>
    <row r="70" spans="13:13">
      <c r="M70" s="164"/>
    </row>
    <row r="71" spans="13:13">
      <c r="M71" s="164"/>
    </row>
    <row r="72" spans="13:13">
      <c r="M72" s="164"/>
    </row>
    <row r="73" spans="13:13">
      <c r="M73" s="164"/>
    </row>
    <row r="74" spans="13:13">
      <c r="M74" s="164"/>
    </row>
    <row r="75" spans="13:13">
      <c r="M75" s="164"/>
    </row>
    <row r="76" spans="13:13">
      <c r="M76" s="164"/>
    </row>
    <row r="77" spans="13:13">
      <c r="M77" s="164"/>
    </row>
    <row r="78" spans="13:13">
      <c r="M78" s="164"/>
    </row>
    <row r="79" spans="13:13">
      <c r="M79" s="164"/>
    </row>
    <row r="80" spans="13:13">
      <c r="M80" s="164"/>
    </row>
    <row r="81" spans="13:13">
      <c r="M81" s="164"/>
    </row>
    <row r="82" spans="13:13">
      <c r="M82" s="164"/>
    </row>
    <row r="83" spans="13:13">
      <c r="M83" s="164"/>
    </row>
    <row r="84" spans="13:13">
      <c r="M84" s="164"/>
    </row>
    <row r="85" spans="13:13">
      <c r="M85" s="164"/>
    </row>
    <row r="86" spans="13:13">
      <c r="M86" s="164"/>
    </row>
    <row r="87" spans="13:13">
      <c r="M87" s="164"/>
    </row>
    <row r="88" spans="13:13">
      <c r="M88" s="164"/>
    </row>
    <row r="89" spans="13:13">
      <c r="M89" s="164"/>
    </row>
    <row r="90" spans="13:13">
      <c r="M90" s="164"/>
    </row>
    <row r="91" spans="13:13">
      <c r="M91" s="164"/>
    </row>
    <row r="92" spans="13:13">
      <c r="M92" s="164"/>
    </row>
    <row r="93" spans="13:13">
      <c r="M93" s="164"/>
    </row>
    <row r="94" spans="13:13">
      <c r="M94" s="164"/>
    </row>
    <row r="95" spans="13:13">
      <c r="M95" s="164"/>
    </row>
    <row r="96" spans="13:13">
      <c r="M96" s="164"/>
    </row>
    <row r="97" spans="13:13">
      <c r="M97" s="164"/>
    </row>
    <row r="98" spans="13:13">
      <c r="M98" s="164"/>
    </row>
    <row r="99" spans="13:13">
      <c r="M99" s="164"/>
    </row>
    <row r="100" spans="13:13">
      <c r="M100" s="164"/>
    </row>
    <row r="101" spans="13:13">
      <c r="M101" s="164"/>
    </row>
    <row r="102" spans="13:13">
      <c r="M102" s="164"/>
    </row>
    <row r="103" spans="13:13">
      <c r="M103" s="164"/>
    </row>
    <row r="104" spans="13:13">
      <c r="M104" s="164"/>
    </row>
    <row r="105" spans="13:13">
      <c r="M105" s="164"/>
    </row>
    <row r="106" spans="13:13">
      <c r="M106" s="164"/>
    </row>
    <row r="107" spans="13:13">
      <c r="M107" s="164"/>
    </row>
    <row r="108" spans="13:13">
      <c r="M108" s="164"/>
    </row>
    <row r="109" spans="13:13">
      <c r="M109" s="164"/>
    </row>
    <row r="110" spans="13:13">
      <c r="M110" s="164"/>
    </row>
    <row r="111" spans="13:13">
      <c r="M111" s="164"/>
    </row>
    <row r="112" spans="13:13">
      <c r="M112" s="164"/>
    </row>
    <row r="113" spans="13:13">
      <c r="M113" s="164"/>
    </row>
    <row r="114" spans="13:13">
      <c r="M114" s="164"/>
    </row>
    <row r="115" spans="13:13">
      <c r="M115" s="164"/>
    </row>
    <row r="116" spans="13:13">
      <c r="M116" s="164"/>
    </row>
    <row r="117" spans="13:13">
      <c r="M117" s="164"/>
    </row>
    <row r="118" spans="13:13">
      <c r="M118" s="164"/>
    </row>
    <row r="119" spans="13:13">
      <c r="M119" s="164"/>
    </row>
    <row r="120" spans="13:13">
      <c r="M120" s="164"/>
    </row>
    <row r="121" spans="13:13">
      <c r="M121" s="164"/>
    </row>
    <row r="122" spans="13:13">
      <c r="M122" s="164"/>
    </row>
    <row r="123" spans="13:13">
      <c r="M123" s="164"/>
    </row>
    <row r="124" spans="13:13">
      <c r="M124" s="164"/>
    </row>
    <row r="125" spans="13:13">
      <c r="M125" s="164"/>
    </row>
    <row r="126" spans="13:13">
      <c r="M126" s="164"/>
    </row>
    <row r="127" spans="13:13">
      <c r="M127" s="164"/>
    </row>
    <row r="128" spans="13:13">
      <c r="M128" s="164"/>
    </row>
    <row r="129" spans="13:13">
      <c r="M129" s="164"/>
    </row>
    <row r="130" spans="13:13">
      <c r="M130" s="164"/>
    </row>
    <row r="131" spans="13:13">
      <c r="M131" s="164"/>
    </row>
    <row r="132" spans="13:13">
      <c r="M132" s="164"/>
    </row>
    <row r="133" spans="13:13">
      <c r="M133" s="164"/>
    </row>
    <row r="134" spans="13:13">
      <c r="M134" s="164"/>
    </row>
    <row r="135" spans="13:13">
      <c r="M135" s="164"/>
    </row>
    <row r="136" spans="13:13">
      <c r="M136" s="164"/>
    </row>
    <row r="137" spans="13:13">
      <c r="M137" s="164"/>
    </row>
    <row r="138" spans="13:13">
      <c r="M138" s="164"/>
    </row>
    <row r="139" spans="13:13">
      <c r="M139" s="164"/>
    </row>
    <row r="140" spans="13:13">
      <c r="M140" s="164"/>
    </row>
    <row r="141" spans="13:13">
      <c r="M141" s="164"/>
    </row>
    <row r="142" spans="13:13">
      <c r="M142" s="164"/>
    </row>
    <row r="143" spans="13:13">
      <c r="M143" s="164"/>
    </row>
    <row r="144" spans="13:13">
      <c r="M144" s="164"/>
    </row>
    <row r="145" spans="13:13">
      <c r="M145" s="164"/>
    </row>
    <row r="146" spans="13:13">
      <c r="M146" s="164"/>
    </row>
    <row r="147" spans="13:13">
      <c r="M147" s="164"/>
    </row>
    <row r="148" spans="13:13">
      <c r="M148" s="164"/>
    </row>
    <row r="149" spans="13:13">
      <c r="M149" s="164"/>
    </row>
    <row r="150" spans="13:13">
      <c r="M150" s="164"/>
    </row>
    <row r="151" spans="13:13">
      <c r="M151" s="164"/>
    </row>
    <row r="152" spans="13:13">
      <c r="M152" s="164"/>
    </row>
    <row r="153" spans="13:13">
      <c r="M153" s="164"/>
    </row>
    <row r="154" spans="13:13">
      <c r="M154" s="164"/>
    </row>
    <row r="155" spans="13:13">
      <c r="M155" s="164"/>
    </row>
    <row r="156" spans="13:13">
      <c r="M156" s="164"/>
    </row>
    <row r="157" spans="13:13">
      <c r="M157" s="164"/>
    </row>
    <row r="158" spans="13:13">
      <c r="M158" s="164"/>
    </row>
    <row r="159" spans="13:13">
      <c r="M159" s="164"/>
    </row>
    <row r="160" spans="13:13">
      <c r="M160" s="164"/>
    </row>
    <row r="161" spans="13:13">
      <c r="M161" s="164"/>
    </row>
    <row r="162" spans="13:13">
      <c r="M162" s="164"/>
    </row>
    <row r="163" spans="13:13">
      <c r="M163" s="164"/>
    </row>
    <row r="164" spans="13:13">
      <c r="M164" s="164"/>
    </row>
    <row r="165" spans="13:13">
      <c r="M165" s="164"/>
    </row>
    <row r="166" spans="13:13">
      <c r="M166" s="164"/>
    </row>
    <row r="167" spans="13:13">
      <c r="M167" s="164"/>
    </row>
    <row r="168" spans="13:13">
      <c r="M168" s="164"/>
    </row>
    <row r="169" spans="13:13">
      <c r="M169" s="164"/>
    </row>
    <row r="170" spans="13:13">
      <c r="M170" s="164"/>
    </row>
    <row r="171" spans="13:13">
      <c r="M171" s="164"/>
    </row>
    <row r="172" spans="13:13">
      <c r="M172" s="164"/>
    </row>
    <row r="173" spans="13:13">
      <c r="M173" s="164"/>
    </row>
    <row r="174" spans="13:13">
      <c r="M174" s="164"/>
    </row>
    <row r="175" spans="13:13">
      <c r="M175" s="164"/>
    </row>
    <row r="176" spans="13:13">
      <c r="M176" s="164"/>
    </row>
    <row r="177" spans="13:13">
      <c r="M177" s="164"/>
    </row>
    <row r="178" spans="13:13">
      <c r="M178" s="164"/>
    </row>
    <row r="179" spans="13:13">
      <c r="M179" s="164"/>
    </row>
    <row r="180" spans="13:13">
      <c r="M180" s="164"/>
    </row>
    <row r="181" spans="13:13">
      <c r="M181" s="164"/>
    </row>
    <row r="182" spans="13:13">
      <c r="M182" s="164"/>
    </row>
    <row r="183" spans="13:13">
      <c r="M183" s="164"/>
    </row>
    <row r="184" spans="13:13">
      <c r="M184" s="164"/>
    </row>
    <row r="185" spans="13:13">
      <c r="M185" s="164"/>
    </row>
    <row r="186" spans="13:13">
      <c r="M186" s="164"/>
    </row>
    <row r="187" spans="13:13">
      <c r="M187" s="164"/>
    </row>
    <row r="188" spans="13:13">
      <c r="M188" s="164"/>
    </row>
    <row r="189" spans="13:13">
      <c r="M189" s="164"/>
    </row>
    <row r="190" spans="13:13">
      <c r="M190" s="164"/>
    </row>
    <row r="191" spans="13:13">
      <c r="M191" s="164"/>
    </row>
    <row r="192" spans="13:13">
      <c r="M192" s="164"/>
    </row>
    <row r="193" spans="13:13">
      <c r="M193" s="164"/>
    </row>
    <row r="194" spans="13:13">
      <c r="M194" s="164"/>
    </row>
    <row r="195" spans="13:13">
      <c r="M195" s="164"/>
    </row>
    <row r="196" spans="13:13">
      <c r="M196" s="164"/>
    </row>
    <row r="197" spans="13:13">
      <c r="M197" s="164"/>
    </row>
    <row r="198" spans="13:13">
      <c r="M198" s="164"/>
    </row>
    <row r="199" spans="13:13">
      <c r="M199" s="164"/>
    </row>
    <row r="200" spans="13:13">
      <c r="M200" s="164"/>
    </row>
    <row r="201" spans="13:13">
      <c r="M201" s="164"/>
    </row>
    <row r="202" spans="13:13">
      <c r="M202" s="164"/>
    </row>
    <row r="203" spans="13:13">
      <c r="M203" s="164"/>
    </row>
    <row r="204" spans="13:13">
      <c r="M204" s="164"/>
    </row>
    <row r="205" spans="13:13">
      <c r="M205" s="164"/>
    </row>
    <row r="206" spans="13:13">
      <c r="M206" s="164"/>
    </row>
    <row r="207" spans="13:13">
      <c r="M207" s="164"/>
    </row>
    <row r="208" spans="13:13">
      <c r="M208" s="164"/>
    </row>
    <row r="209" spans="13:13">
      <c r="M209" s="164"/>
    </row>
    <row r="210" spans="13:13">
      <c r="M210" s="164"/>
    </row>
    <row r="211" spans="13:13">
      <c r="M211" s="164"/>
    </row>
    <row r="212" spans="13:13">
      <c r="M212" s="164"/>
    </row>
    <row r="213" spans="13:13">
      <c r="M213" s="164"/>
    </row>
    <row r="214" spans="13:13">
      <c r="M214" s="164"/>
    </row>
    <row r="215" spans="13:13">
      <c r="M215" s="164"/>
    </row>
    <row r="216" spans="13:13">
      <c r="M216" s="164"/>
    </row>
    <row r="217" spans="13:13">
      <c r="M217" s="164"/>
    </row>
    <row r="218" spans="13:13">
      <c r="M218" s="164"/>
    </row>
    <row r="219" spans="13:13">
      <c r="M219" s="164"/>
    </row>
    <row r="220" spans="13:13">
      <c r="M220" s="164"/>
    </row>
    <row r="221" spans="13:13">
      <c r="M221" s="164"/>
    </row>
    <row r="222" spans="13:13">
      <c r="M222" s="164"/>
    </row>
    <row r="223" spans="13:13">
      <c r="M223" s="164"/>
    </row>
    <row r="224" spans="13:13">
      <c r="M224" s="164"/>
    </row>
    <row r="225" spans="13:13">
      <c r="M225" s="164"/>
    </row>
    <row r="226" spans="13:13">
      <c r="M226" s="164"/>
    </row>
    <row r="227" spans="13:13">
      <c r="M227" s="164"/>
    </row>
    <row r="228" spans="13:13">
      <c r="M228" s="164"/>
    </row>
    <row r="229" spans="13:13">
      <c r="M229" s="164"/>
    </row>
    <row r="230" spans="13:13">
      <c r="M230" s="164"/>
    </row>
    <row r="231" spans="13:13">
      <c r="M231" s="164"/>
    </row>
    <row r="232" spans="13:13">
      <c r="M232" s="164"/>
    </row>
    <row r="233" spans="13:13">
      <c r="M233" s="164"/>
    </row>
    <row r="234" spans="13:13">
      <c r="M234" s="164"/>
    </row>
    <row r="235" spans="13:13">
      <c r="M235" s="164"/>
    </row>
    <row r="236" spans="13:13">
      <c r="M236" s="164"/>
    </row>
    <row r="237" spans="13:13">
      <c r="M237" s="164"/>
    </row>
    <row r="238" spans="13:13">
      <c r="M238" s="164"/>
    </row>
    <row r="239" spans="13:13">
      <c r="M239" s="164"/>
    </row>
    <row r="240" spans="13:13">
      <c r="M240" s="164"/>
    </row>
    <row r="241" spans="13:13">
      <c r="M241" s="164"/>
    </row>
    <row r="242" spans="13:13">
      <c r="M242" s="164"/>
    </row>
    <row r="243" spans="13:13">
      <c r="M243" s="164"/>
    </row>
    <row r="244" spans="13:13">
      <c r="M244" s="164"/>
    </row>
    <row r="245" spans="13:13">
      <c r="M245" s="164"/>
    </row>
    <row r="246" spans="13:13">
      <c r="M246" s="164"/>
    </row>
    <row r="247" spans="13:13">
      <c r="M247" s="164"/>
    </row>
    <row r="248" spans="13:13">
      <c r="M248" s="164"/>
    </row>
    <row r="249" spans="13:13">
      <c r="M249" s="164"/>
    </row>
    <row r="250" spans="13:13">
      <c r="M250" s="164"/>
    </row>
    <row r="251" spans="13:13">
      <c r="M251" s="164"/>
    </row>
    <row r="252" spans="13:13">
      <c r="M252" s="164"/>
    </row>
    <row r="253" spans="13:13">
      <c r="M253" s="164"/>
    </row>
    <row r="254" spans="13:13">
      <c r="M254" s="164"/>
    </row>
    <row r="255" spans="13:13">
      <c r="M255" s="164"/>
    </row>
    <row r="256" spans="13:13">
      <c r="M256" s="164"/>
    </row>
    <row r="257" spans="13:13">
      <c r="M257" s="164"/>
    </row>
    <row r="258" spans="13:13">
      <c r="M258" s="164"/>
    </row>
    <row r="259" spans="13:13">
      <c r="M259" s="164"/>
    </row>
    <row r="260" spans="13:13">
      <c r="M260" s="164"/>
    </row>
    <row r="261" spans="13:13">
      <c r="M261" s="164"/>
    </row>
    <row r="262" spans="13:13">
      <c r="M262" s="164"/>
    </row>
    <row r="263" spans="13:13">
      <c r="M263" s="164"/>
    </row>
    <row r="264" spans="13:13">
      <c r="M264" s="164"/>
    </row>
    <row r="265" spans="13:13">
      <c r="M265" s="164"/>
    </row>
    <row r="266" spans="13:13">
      <c r="M266" s="164"/>
    </row>
    <row r="267" spans="13:13">
      <c r="M267" s="164"/>
    </row>
    <row r="268" spans="13:13">
      <c r="M268" s="164"/>
    </row>
    <row r="269" spans="13:13">
      <c r="M269" s="164"/>
    </row>
    <row r="270" spans="13:13">
      <c r="M270" s="164"/>
    </row>
    <row r="271" spans="13:13">
      <c r="M271" s="164"/>
    </row>
    <row r="272" spans="13:13">
      <c r="M272" s="164"/>
    </row>
    <row r="273" spans="13:13">
      <c r="M273" s="164"/>
    </row>
    <row r="274" spans="13:13">
      <c r="M274" s="164"/>
    </row>
    <row r="275" spans="13:13">
      <c r="M275" s="164"/>
    </row>
    <row r="276" spans="13:13">
      <c r="M276" s="164"/>
    </row>
    <row r="277" spans="13:13">
      <c r="M277" s="164"/>
    </row>
    <row r="278" spans="13:13">
      <c r="M278" s="164"/>
    </row>
    <row r="279" spans="13:13">
      <c r="M279" s="164"/>
    </row>
    <row r="280" spans="13:13">
      <c r="M280" s="164"/>
    </row>
    <row r="281" spans="13:13">
      <c r="M281" s="164"/>
    </row>
    <row r="282" spans="13:13">
      <c r="M282" s="164"/>
    </row>
    <row r="283" spans="13:13">
      <c r="M283" s="164"/>
    </row>
    <row r="284" spans="13:13">
      <c r="M284" s="164"/>
    </row>
    <row r="285" spans="13:13">
      <c r="M285" s="164"/>
    </row>
    <row r="286" spans="13:13">
      <c r="M286" s="164"/>
    </row>
    <row r="287" spans="13:13">
      <c r="M287" s="164"/>
    </row>
    <row r="288" spans="13:13">
      <c r="M288" s="164"/>
    </row>
    <row r="289" spans="13:13">
      <c r="M289" s="164"/>
    </row>
    <row r="290" spans="13:13">
      <c r="M290" s="164"/>
    </row>
    <row r="291" spans="13:13">
      <c r="M291" s="164"/>
    </row>
    <row r="292" spans="13:13">
      <c r="M292" s="164"/>
    </row>
    <row r="293" spans="13:13">
      <c r="M293" s="164"/>
    </row>
    <row r="294" spans="13:13">
      <c r="M294" s="164"/>
    </row>
    <row r="295" spans="13:13">
      <c r="M295" s="164"/>
    </row>
    <row r="296" spans="13:13">
      <c r="M296" s="164"/>
    </row>
    <row r="297" spans="13:13">
      <c r="M297" s="164"/>
    </row>
    <row r="298" spans="13:13">
      <c r="M298" s="164"/>
    </row>
    <row r="299" spans="13:13">
      <c r="M299" s="164"/>
    </row>
    <row r="300" spans="13:13">
      <c r="M300" s="164"/>
    </row>
    <row r="301" spans="13:13">
      <c r="M301" s="164"/>
    </row>
    <row r="302" spans="13:13">
      <c r="M302" s="164"/>
    </row>
    <row r="303" spans="13:13">
      <c r="M303" s="164"/>
    </row>
    <row r="304" spans="13:13">
      <c r="M304" s="164"/>
    </row>
    <row r="305" spans="13:13">
      <c r="M305" s="164"/>
    </row>
    <row r="306" spans="13:13">
      <c r="M306" s="164"/>
    </row>
    <row r="307" spans="13:13">
      <c r="M307" s="164"/>
    </row>
    <row r="308" spans="13:13">
      <c r="M308" s="164"/>
    </row>
    <row r="309" spans="13:13">
      <c r="M309" s="164"/>
    </row>
    <row r="310" spans="13:13">
      <c r="M310" s="164"/>
    </row>
    <row r="311" spans="13:13">
      <c r="M311" s="164"/>
    </row>
    <row r="312" spans="13:13">
      <c r="M312" s="164"/>
    </row>
    <row r="313" spans="13:13">
      <c r="M313" s="164"/>
    </row>
    <row r="314" spans="13:13">
      <c r="M314" s="164"/>
    </row>
    <row r="315" spans="13:13">
      <c r="M315" s="164"/>
    </row>
    <row r="316" spans="13:13">
      <c r="M316" s="164"/>
    </row>
    <row r="317" spans="13:13">
      <c r="M317" s="164"/>
    </row>
    <row r="318" spans="13:13">
      <c r="M318" s="164"/>
    </row>
    <row r="319" spans="13:13">
      <c r="M319" s="164"/>
    </row>
    <row r="320" spans="13:13">
      <c r="M320" s="164"/>
    </row>
    <row r="321" spans="13:13">
      <c r="M321" s="164"/>
    </row>
    <row r="322" spans="13:13">
      <c r="M322" s="164"/>
    </row>
    <row r="323" spans="13:13">
      <c r="M323" s="164"/>
    </row>
    <row r="324" spans="13:13">
      <c r="M324" s="164"/>
    </row>
    <row r="325" spans="13:13">
      <c r="M325" s="164"/>
    </row>
    <row r="326" spans="13:13">
      <c r="M326" s="164"/>
    </row>
    <row r="327" spans="13:13">
      <c r="M327" s="164"/>
    </row>
    <row r="328" spans="13:13">
      <c r="M328" s="164"/>
    </row>
    <row r="329" spans="13:13">
      <c r="M329" s="164"/>
    </row>
    <row r="330" spans="13:13">
      <c r="M330" s="164"/>
    </row>
    <row r="331" spans="13:13">
      <c r="M331" s="164"/>
    </row>
    <row r="332" spans="13:13">
      <c r="M332" s="164"/>
    </row>
    <row r="333" spans="13:13">
      <c r="M333" s="164"/>
    </row>
    <row r="334" spans="13:13">
      <c r="M334" s="164"/>
    </row>
    <row r="335" spans="13:13">
      <c r="M335" s="164"/>
    </row>
    <row r="336" spans="13:13">
      <c r="M336" s="164"/>
    </row>
    <row r="337" spans="13:13">
      <c r="M337" s="164"/>
    </row>
    <row r="338" spans="13:13">
      <c r="M338" s="164"/>
    </row>
    <row r="339" spans="13:13">
      <c r="M339" s="164"/>
    </row>
    <row r="340" spans="13:13">
      <c r="M340" s="164"/>
    </row>
    <row r="341" spans="13:13">
      <c r="M341" s="164"/>
    </row>
    <row r="342" spans="13:13">
      <c r="M342" s="164"/>
    </row>
    <row r="343" spans="13:13">
      <c r="M343" s="164"/>
    </row>
    <row r="344" spans="13:13">
      <c r="M344" s="164"/>
    </row>
    <row r="345" spans="13:13">
      <c r="M345" s="164"/>
    </row>
    <row r="346" spans="13:13">
      <c r="M346" s="164"/>
    </row>
    <row r="347" spans="13:13">
      <c r="M347" s="164"/>
    </row>
    <row r="348" spans="13:13">
      <c r="M348" s="164"/>
    </row>
    <row r="349" spans="13:13">
      <c r="M349" s="164"/>
    </row>
    <row r="350" spans="13:13">
      <c r="M350" s="164"/>
    </row>
    <row r="351" spans="13:13">
      <c r="M351" s="164"/>
    </row>
    <row r="352" spans="13:13">
      <c r="M352" s="164"/>
    </row>
    <row r="353" spans="13:13">
      <c r="M353" s="164"/>
    </row>
    <row r="354" spans="13:13">
      <c r="M354" s="164"/>
    </row>
    <row r="355" spans="13:13">
      <c r="M355" s="164"/>
    </row>
    <row r="356" spans="13:13">
      <c r="M356" s="164"/>
    </row>
    <row r="357" spans="13:13">
      <c r="M357" s="164"/>
    </row>
    <row r="358" spans="13:13">
      <c r="M358" s="164"/>
    </row>
    <row r="359" spans="13:13">
      <c r="M359" s="164"/>
    </row>
    <row r="360" spans="13:13">
      <c r="M360" s="164"/>
    </row>
    <row r="361" spans="13:13">
      <c r="M361" s="164"/>
    </row>
    <row r="362" spans="13:13">
      <c r="M362" s="164"/>
    </row>
    <row r="363" spans="13:13">
      <c r="M363" s="164"/>
    </row>
    <row r="364" spans="13:13">
      <c r="M364" s="164"/>
    </row>
    <row r="365" spans="13:13">
      <c r="M365" s="164"/>
    </row>
    <row r="366" spans="13:13">
      <c r="M366" s="164"/>
    </row>
    <row r="367" spans="13:13">
      <c r="M367" s="164"/>
    </row>
    <row r="368" spans="13:13">
      <c r="M368" s="164"/>
    </row>
    <row r="369" spans="13:13">
      <c r="M369" s="164"/>
    </row>
    <row r="370" spans="13:13">
      <c r="M370" s="164"/>
    </row>
    <row r="371" spans="13:13">
      <c r="M371" s="164"/>
    </row>
    <row r="372" spans="13:13">
      <c r="M372" s="164"/>
    </row>
    <row r="373" spans="13:13">
      <c r="M373" s="164"/>
    </row>
    <row r="374" spans="13:13">
      <c r="M374" s="164"/>
    </row>
    <row r="375" spans="13:13">
      <c r="M375" s="164"/>
    </row>
    <row r="376" spans="13:13">
      <c r="M376" s="164"/>
    </row>
    <row r="377" spans="13:13">
      <c r="M377" s="164"/>
    </row>
    <row r="378" spans="13:13">
      <c r="M378" s="164"/>
    </row>
    <row r="379" spans="13:13">
      <c r="M379" s="164"/>
    </row>
    <row r="380" spans="13:13">
      <c r="M380" s="164"/>
    </row>
    <row r="381" spans="13:13">
      <c r="M381" s="164"/>
    </row>
    <row r="382" spans="13:13">
      <c r="M382" s="164"/>
    </row>
    <row r="383" spans="13:13">
      <c r="M383" s="164"/>
    </row>
    <row r="384" spans="13:13">
      <c r="M384" s="164"/>
    </row>
    <row r="385" spans="13:13">
      <c r="M385" s="164"/>
    </row>
    <row r="386" spans="13:13">
      <c r="M386" s="164"/>
    </row>
    <row r="387" spans="13:13">
      <c r="M387" s="164"/>
    </row>
    <row r="388" spans="13:13">
      <c r="M388" s="164"/>
    </row>
    <row r="389" spans="13:13">
      <c r="M389" s="164"/>
    </row>
    <row r="390" spans="13:13">
      <c r="M390" s="164"/>
    </row>
    <row r="391" spans="13:13">
      <c r="M391" s="164"/>
    </row>
    <row r="392" spans="13:13">
      <c r="M392" s="164"/>
    </row>
    <row r="393" spans="13:13">
      <c r="M393" s="164"/>
    </row>
    <row r="394" spans="13:13">
      <c r="M394" s="164"/>
    </row>
    <row r="395" spans="13:13">
      <c r="M395" s="164"/>
    </row>
    <row r="396" spans="13:13">
      <c r="M396" s="164"/>
    </row>
    <row r="397" spans="13:13">
      <c r="M397" s="164"/>
    </row>
    <row r="398" spans="13:13">
      <c r="M398" s="164"/>
    </row>
    <row r="399" spans="13:13">
      <c r="M399" s="164"/>
    </row>
    <row r="400" spans="13:13">
      <c r="M400" s="164"/>
    </row>
    <row r="401" spans="13:13">
      <c r="M401" s="164"/>
    </row>
    <row r="402" spans="13:13">
      <c r="M402" s="164"/>
    </row>
    <row r="403" spans="13:13">
      <c r="M403" s="164"/>
    </row>
    <row r="404" spans="13:13">
      <c r="M404" s="164"/>
    </row>
    <row r="405" spans="13:13">
      <c r="M405" s="164"/>
    </row>
    <row r="406" spans="13:13">
      <c r="M406" s="164"/>
    </row>
    <row r="407" spans="13:13">
      <c r="M407" s="164"/>
    </row>
    <row r="408" spans="13:13">
      <c r="M408" s="164"/>
    </row>
    <row r="409" spans="13:13">
      <c r="M409" s="164"/>
    </row>
    <row r="410" spans="13:13">
      <c r="M410" s="164"/>
    </row>
    <row r="411" spans="13:13">
      <c r="M411" s="164"/>
    </row>
    <row r="412" spans="13:13">
      <c r="M412" s="164"/>
    </row>
    <row r="413" spans="13:13">
      <c r="M413" s="164"/>
    </row>
    <row r="414" spans="13:13">
      <c r="M414" s="164"/>
    </row>
    <row r="415" spans="13:13">
      <c r="M415" s="164"/>
    </row>
    <row r="416" spans="13:13">
      <c r="M416" s="164"/>
    </row>
    <row r="417" spans="13:13">
      <c r="M417" s="164"/>
    </row>
    <row r="418" spans="13:13">
      <c r="M418" s="164"/>
    </row>
    <row r="419" spans="13:13">
      <c r="M419" s="164"/>
    </row>
    <row r="420" spans="13:13">
      <c r="M420" s="164"/>
    </row>
    <row r="421" spans="13:13">
      <c r="M421" s="164"/>
    </row>
    <row r="422" spans="13:13">
      <c r="M422" s="164"/>
    </row>
    <row r="423" spans="13:13">
      <c r="M423" s="164"/>
    </row>
    <row r="424" spans="13:13">
      <c r="M424" s="164"/>
    </row>
    <row r="425" spans="13:13">
      <c r="M425" s="164"/>
    </row>
    <row r="426" spans="13:13">
      <c r="M426" s="164"/>
    </row>
    <row r="427" spans="13:13">
      <c r="M427" s="164"/>
    </row>
    <row r="428" spans="13:13">
      <c r="M428" s="164"/>
    </row>
    <row r="429" spans="13:13">
      <c r="M429" s="164"/>
    </row>
    <row r="430" spans="13:13">
      <c r="M430" s="164"/>
    </row>
    <row r="431" spans="13:13">
      <c r="M431" s="164"/>
    </row>
    <row r="432" spans="13:13">
      <c r="M432" s="164"/>
    </row>
    <row r="433" spans="13:13">
      <c r="M433" s="164"/>
    </row>
    <row r="434" spans="13:13">
      <c r="M434" s="164"/>
    </row>
    <row r="435" spans="13:13">
      <c r="M435" s="164"/>
    </row>
    <row r="436" spans="13:13">
      <c r="M436" s="164"/>
    </row>
    <row r="437" spans="13:13">
      <c r="M437" s="164"/>
    </row>
    <row r="438" spans="13:13">
      <c r="M438" s="164"/>
    </row>
    <row r="439" spans="13:13">
      <c r="M439" s="164"/>
    </row>
    <row r="440" spans="13:13">
      <c r="M440" s="164"/>
    </row>
    <row r="441" spans="13:13">
      <c r="M441" s="164"/>
    </row>
    <row r="442" spans="13:13">
      <c r="M442" s="164"/>
    </row>
    <row r="443" spans="13:13">
      <c r="M443" s="164"/>
    </row>
    <row r="444" spans="13:13">
      <c r="M444" s="164"/>
    </row>
    <row r="445" spans="13:13">
      <c r="M445" s="164"/>
    </row>
    <row r="446" spans="13:13">
      <c r="M446" s="164"/>
    </row>
    <row r="447" spans="13:13">
      <c r="M447" s="164"/>
    </row>
    <row r="448" spans="13:13">
      <c r="M448" s="164"/>
    </row>
    <row r="449" spans="13:13">
      <c r="M449" s="164"/>
    </row>
    <row r="450" spans="13:13">
      <c r="M450" s="164"/>
    </row>
    <row r="451" spans="13:13">
      <c r="M451" s="164"/>
    </row>
    <row r="452" spans="13:13">
      <c r="M452" s="164"/>
    </row>
    <row r="453" spans="13:13">
      <c r="M453" s="164"/>
    </row>
    <row r="454" spans="13:13">
      <c r="M454" s="164"/>
    </row>
    <row r="455" spans="13:13">
      <c r="M455" s="164"/>
    </row>
    <row r="456" spans="13:13">
      <c r="M456" s="164"/>
    </row>
    <row r="457" spans="13:13">
      <c r="M457" s="164"/>
    </row>
    <row r="458" spans="13:13">
      <c r="M458" s="164"/>
    </row>
    <row r="459" spans="13:13">
      <c r="M459" s="164"/>
    </row>
    <row r="460" spans="13:13">
      <c r="M460" s="164"/>
    </row>
    <row r="461" spans="13:13">
      <c r="M461" s="164"/>
    </row>
    <row r="462" spans="13:13">
      <c r="M462" s="164"/>
    </row>
    <row r="463" spans="13:13">
      <c r="M463" s="164"/>
    </row>
    <row r="464" spans="13:13">
      <c r="M464" s="164"/>
    </row>
    <row r="465" spans="13:13">
      <c r="M465" s="164"/>
    </row>
    <row r="466" spans="13:13">
      <c r="M466" s="164"/>
    </row>
    <row r="467" spans="13:13">
      <c r="M467" s="164"/>
    </row>
    <row r="468" spans="13:13">
      <c r="M468" s="164"/>
    </row>
    <row r="469" spans="13:13">
      <c r="M469" s="164"/>
    </row>
    <row r="470" spans="13:13">
      <c r="M470" s="164"/>
    </row>
    <row r="471" spans="13:13">
      <c r="M471" s="164"/>
    </row>
    <row r="472" spans="13:13">
      <c r="M472" s="164"/>
    </row>
    <row r="473" spans="13:13">
      <c r="M473" s="164"/>
    </row>
    <row r="474" spans="13:13">
      <c r="M474" s="164"/>
    </row>
    <row r="475" spans="13:13">
      <c r="M475" s="164"/>
    </row>
    <row r="476" spans="13:13">
      <c r="M476" s="164"/>
    </row>
    <row r="477" spans="13:13">
      <c r="M477" s="164"/>
    </row>
    <row r="478" spans="13:13">
      <c r="M478" s="164"/>
    </row>
    <row r="479" spans="13:13">
      <c r="M479" s="164"/>
    </row>
    <row r="480" spans="13:13">
      <c r="M480" s="164"/>
    </row>
    <row r="481" spans="13:13">
      <c r="M481" s="164"/>
    </row>
    <row r="482" spans="13:13">
      <c r="M482" s="164"/>
    </row>
    <row r="483" spans="13:13">
      <c r="M483" s="164"/>
    </row>
    <row r="484" spans="13:13">
      <c r="M484" s="164"/>
    </row>
    <row r="485" spans="13:13">
      <c r="M485" s="164"/>
    </row>
    <row r="486" spans="13:13">
      <c r="M486" s="164"/>
    </row>
    <row r="487" spans="13:13">
      <c r="M487" s="164"/>
    </row>
    <row r="488" spans="13:13">
      <c r="M488" s="164"/>
    </row>
    <row r="489" spans="13:13">
      <c r="M489" s="164"/>
    </row>
    <row r="490" spans="13:13">
      <c r="M490" s="164"/>
    </row>
    <row r="491" spans="13:13">
      <c r="M491" s="164"/>
    </row>
    <row r="492" spans="13:13">
      <c r="M492" s="164"/>
    </row>
    <row r="493" spans="13:13">
      <c r="M493" s="164"/>
    </row>
    <row r="494" spans="13:13">
      <c r="M494" s="164"/>
    </row>
    <row r="495" spans="13:13">
      <c r="M495" s="164"/>
    </row>
    <row r="496" spans="13:13">
      <c r="M496" s="164"/>
    </row>
    <row r="497" spans="13:13">
      <c r="M497" s="164"/>
    </row>
    <row r="498" spans="13:13">
      <c r="M498" s="164"/>
    </row>
    <row r="499" spans="13:13">
      <c r="M499" s="164"/>
    </row>
    <row r="500" spans="13:13">
      <c r="M500" s="164"/>
    </row>
    <row r="501" spans="13:13">
      <c r="M501" s="164"/>
    </row>
    <row r="502" spans="13:13">
      <c r="M502" s="164"/>
    </row>
    <row r="503" spans="13:13">
      <c r="M503" s="164"/>
    </row>
    <row r="504" spans="13:13">
      <c r="M504" s="164"/>
    </row>
    <row r="505" spans="13:13">
      <c r="M505" s="164"/>
    </row>
    <row r="506" spans="13:13">
      <c r="M506" s="164"/>
    </row>
    <row r="507" spans="13:13">
      <c r="M507" s="164"/>
    </row>
    <row r="508" spans="13:13">
      <c r="M508" s="164"/>
    </row>
    <row r="509" spans="13:13">
      <c r="M509" s="164"/>
    </row>
    <row r="510" spans="13:13">
      <c r="M510" s="164"/>
    </row>
    <row r="511" spans="13:13">
      <c r="M511" s="164"/>
    </row>
    <row r="512" spans="13:13">
      <c r="M512" s="164"/>
    </row>
    <row r="513" spans="13:13">
      <c r="M513" s="164"/>
    </row>
    <row r="514" spans="13:13">
      <c r="M514" s="164"/>
    </row>
    <row r="515" spans="13:13">
      <c r="M515" s="164"/>
    </row>
    <row r="516" spans="13:13">
      <c r="M516" s="164"/>
    </row>
    <row r="517" spans="13:13">
      <c r="M517" s="164"/>
    </row>
    <row r="518" spans="13:13">
      <c r="M518" s="164"/>
    </row>
    <row r="519" spans="13:13">
      <c r="M519" s="164"/>
    </row>
    <row r="520" spans="13:13">
      <c r="M520" s="164"/>
    </row>
    <row r="521" spans="13:13">
      <c r="M521" s="164"/>
    </row>
    <row r="522" spans="13:13">
      <c r="M522" s="164"/>
    </row>
    <row r="523" spans="13:13">
      <c r="M523" s="164"/>
    </row>
    <row r="524" spans="13:13">
      <c r="M524" s="164"/>
    </row>
    <row r="525" spans="13:13">
      <c r="M525" s="164"/>
    </row>
    <row r="526" spans="13:13">
      <c r="M526" s="164"/>
    </row>
  </sheetData>
  <mergeCells count="1">
    <mergeCell ref="A4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Anamika Menon</cp:lastModifiedBy>
  <cp:revision/>
  <dcterms:created xsi:type="dcterms:W3CDTF">2022-11-18T09:28:39Z</dcterms:created>
  <dcterms:modified xsi:type="dcterms:W3CDTF">2023-05-23T10:49:09Z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