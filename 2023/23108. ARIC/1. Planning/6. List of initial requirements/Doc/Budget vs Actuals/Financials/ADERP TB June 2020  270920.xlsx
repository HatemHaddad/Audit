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ARIC LEDGER\Fixed Assets\2020\June 2020\"/>
    </mc:Choice>
  </mc:AlternateContent>
  <bookViews>
    <workbookView xWindow="0" yWindow="0" windowWidth="21600" windowHeight="8100"/>
  </bookViews>
  <sheets>
    <sheet name="ADERP_Trial_Balance_270920" sheetId="1" r:id="rId1"/>
  </sheets>
  <calcPr calcId="162913"/>
</workbook>
</file>

<file path=xl/calcChain.xml><?xml version="1.0" encoding="utf-8"?>
<calcChain xmlns="http://schemas.openxmlformats.org/spreadsheetml/2006/main">
  <c r="G23" i="1" l="1"/>
</calcChain>
</file>

<file path=xl/sharedStrings.xml><?xml version="1.0" encoding="utf-8"?>
<sst xmlns="http://schemas.openxmlformats.org/spreadsheetml/2006/main" count="67" uniqueCount="67">
  <si>
    <t>ADERP Trial Balance</t>
  </si>
  <si>
    <t>Ledger: KUJ - Ledger</t>
  </si>
  <si>
    <t>Period: 06-2020</t>
  </si>
  <si>
    <t>Currency: AED</t>
  </si>
  <si>
    <t>Entity:</t>
  </si>
  <si>
    <t>843 Khalifa University</t>
  </si>
  <si>
    <t xml:space="preserve">Budget Group:         </t>
  </si>
  <si>
    <t>Account</t>
  </si>
  <si>
    <t>Description</t>
  </si>
  <si>
    <t>Beginning Balance</t>
  </si>
  <si>
    <t>Debits</t>
  </si>
  <si>
    <t>Credits</t>
  </si>
  <si>
    <t>Ending Balance</t>
  </si>
  <si>
    <t>Cash holdings with collectors</t>
  </si>
  <si>
    <t>Cash holdings - imprest floats for general purpose (replenishable)</t>
  </si>
  <si>
    <t>Cash in Transit - AED</t>
  </si>
  <si>
    <t>AED Bank Acct No.6</t>
  </si>
  <si>
    <t>AED AP Pyt - Clearing Acct</t>
  </si>
  <si>
    <t>Goods and services sales receivable</t>
  </si>
  <si>
    <t>Accounts Receivable - General</t>
  </si>
  <si>
    <t>Other advances to vendors</t>
  </si>
  <si>
    <t>Discrepancies resulting from mispostings / fictitious entries</t>
  </si>
  <si>
    <t>Input VAT recoverable</t>
  </si>
  <si>
    <t>R C input VAT recoverable on Services</t>
  </si>
  <si>
    <t>Material cost:Receipt (pre-inspection)</t>
  </si>
  <si>
    <t>Provisional Asset (all categories for setup acct for accrual</t>
  </si>
  <si>
    <t>Buildings:Asset cost</t>
  </si>
  <si>
    <t>Buildings:Accumulated depreciation/amortization (Provision)</t>
  </si>
  <si>
    <t>Plant, machinery &amp; equipment:Asset cost</t>
  </si>
  <si>
    <t>Plant, machinery &amp; equipment:Asset clearing</t>
  </si>
  <si>
    <t>Plant, machinery &amp; equipment:Accumulated depreciation/amortization (Provision)</t>
  </si>
  <si>
    <t>Furniture &amp; fixtures:Asset cost</t>
  </si>
  <si>
    <t>Furniture &amp; fixtures:Accumulated depreciation/amortization (Provision)</t>
  </si>
  <si>
    <t>Intangible Asset: Asset cost</t>
  </si>
  <si>
    <t>Intangible Asset: Accumulated depreciation/amortization (Provision)</t>
  </si>
  <si>
    <t>Approved invoices - for payment</t>
  </si>
  <si>
    <t>Accrued purchases - Invoice received pending approval</t>
  </si>
  <si>
    <t>Output VAT payable</t>
  </si>
  <si>
    <t>Reverse Charge output VAT payable</t>
  </si>
  <si>
    <t>Expense AP Accrual - Inventories in receiving area (pre-inspection)</t>
  </si>
  <si>
    <t>Other accrued expenses</t>
  </si>
  <si>
    <t>Expense payroll accrual - pending payment</t>
  </si>
  <si>
    <t>Vacation pay</t>
  </si>
  <si>
    <t>Grants and other transfer receipts</t>
  </si>
  <si>
    <t>Other suspense receipts</t>
  </si>
  <si>
    <t>End-of-service gratuity</t>
  </si>
  <si>
    <t>Grants from International Organisations:Current</t>
  </si>
  <si>
    <t>FX translation gain(loss)-Transactions</t>
  </si>
  <si>
    <t>Basic salary</t>
  </si>
  <si>
    <t>Cost of living adjustment pay (COLA)</t>
  </si>
  <si>
    <t>Vacation pay (including cash in lieu payment)</t>
  </si>
  <si>
    <t>Administration allowance (including Mansab)</t>
  </si>
  <si>
    <t>School fee reimbursements</t>
  </si>
  <si>
    <t>Gratuity - Non-pensionable employees</t>
  </si>
  <si>
    <t>Employee travel costs - Fares</t>
  </si>
  <si>
    <t>Medical insurance premium</t>
  </si>
  <si>
    <t>Postal, courier and other document delivery expenses</t>
  </si>
  <si>
    <t>Laboratory - Scientific</t>
  </si>
  <si>
    <t>Depreciation - Buildings</t>
  </si>
  <si>
    <t>Depreciation Chg - Plant, machinery and equipment</t>
  </si>
  <si>
    <t>Depreciation Chg - Furniture and fixtures</t>
  </si>
  <si>
    <t>Depreciation Chg - Computer software</t>
  </si>
  <si>
    <t>Laboratory equipment</t>
  </si>
  <si>
    <t>Copyrights, patents and licenses</t>
  </si>
  <si>
    <t>General Fund (general reserve)</t>
  </si>
  <si>
    <t>Total:</t>
  </si>
  <si>
    <t>FA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</si>
</sst>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33" borderId="0" xfId="0" applyFill="1" applyAlignment="1">
      <alignment vertical="top" wrapText="1"/>
    </xf>
    <xf numFmtId="0" fontId="18" fillId="33" borderId="0" xfId="0" applyFont="1" applyFill="1" applyAlignment="1">
      <alignment horizontal="center" vertical="top" wrapText="1"/>
    </xf>
    <xf numFmtId="0" fontId="19" fillId="33" borderId="0" xfId="0" applyFont="1" applyFill="1" applyAlignment="1">
      <alignment horizontal="center" vertical="top" wrapText="1"/>
    </xf>
    <xf numFmtId="0" fontId="19" fillId="33" borderId="0" xfId="0" applyFont="1" applyFill="1" applyAlignment="1">
      <alignment vertical="top" wrapText="1"/>
    </xf>
    <xf numFmtId="0" fontId="19" fillId="33" borderId="10" xfId="0" applyFont="1" applyFill="1" applyBorder="1" applyAlignment="1">
      <alignment horizontal="justify" vertical="top" wrapText="1"/>
    </xf>
    <xf numFmtId="0" fontId="19" fillId="33" borderId="10" xfId="0" applyFont="1" applyFill="1" applyBorder="1" applyAlignment="1">
      <alignment horizontal="right" vertical="top" wrapText="1"/>
    </xf>
    <xf numFmtId="0" fontId="0" fillId="33" borderId="10" xfId="0" applyFill="1" applyBorder="1" applyAlignment="1">
      <alignment vertical="top" wrapText="1"/>
    </xf>
    <xf numFmtId="0" fontId="19" fillId="33" borderId="10" xfId="0" applyFont="1" applyFill="1" applyBorder="1" applyAlignment="1">
      <alignment vertical="top" wrapText="1"/>
    </xf>
    <xf numFmtId="4" fontId="0" fillId="0" borderId="0" xfId="0" applyNumberFormat="1"/>
    <xf numFmtId="4" fontId="19" fillId="33" borderId="10" xfId="0" applyNumberFormat="1" applyFont="1" applyFill="1" applyBorder="1" applyAlignment="1">
      <alignment horizontal="right" vertical="top" wrapText="1"/>
    </xf>
    <xf numFmtId="4" fontId="19" fillId="34" borderId="10" xfId="0" applyNumberFormat="1" applyFont="1" applyFill="1" applyBorder="1" applyAlignment="1">
      <alignment horizontal="right" vertical="top" wrapText="1"/>
    </xf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showGridLines="0" tabSelected="1" topLeftCell="A16" workbookViewId="0">
      <selection activeCell="E24" sqref="E24"/>
    </sheetView>
  </sheetViews>
  <sheetFormatPr defaultRowHeight="15" x14ac:dyDescent="0.25"/>
  <cols>
    <col min="1" max="1" width="17.85546875" bestFit="1" customWidth="1"/>
    <col min="2" max="2" width="36.5703125" bestFit="1" customWidth="1"/>
    <col min="3" max="3" width="17.42578125" bestFit="1" customWidth="1"/>
    <col min="4" max="5" width="12.7109375" bestFit="1" customWidth="1"/>
    <col min="6" max="6" width="14.42578125" bestFit="1" customWidth="1"/>
    <col min="7" max="7" width="11.7109375" bestFit="1" customWidth="1"/>
    <col min="8" max="8" width="13.28515625" bestFit="1" customWidth="1"/>
  </cols>
  <sheetData>
    <row r="1" spans="1:6" ht="16.149999999999999" customHeight="1" x14ac:dyDescent="0.25">
      <c r="A1" s="1"/>
      <c r="B1" s="1"/>
      <c r="C1" s="2" t="s">
        <v>0</v>
      </c>
      <c r="D1" s="2"/>
      <c r="E1" s="1"/>
      <c r="F1" s="1"/>
    </row>
    <row r="2" spans="1:6" ht="11.1" customHeight="1" x14ac:dyDescent="0.25">
      <c r="A2" s="1"/>
      <c r="B2" s="1"/>
      <c r="C2" s="1"/>
      <c r="D2" s="1"/>
      <c r="E2" s="1"/>
      <c r="F2" s="1"/>
    </row>
    <row r="3" spans="1:6" ht="12.75" customHeight="1" x14ac:dyDescent="0.25">
      <c r="A3" s="1"/>
      <c r="B3" s="1"/>
      <c r="C3" s="3" t="s">
        <v>1</v>
      </c>
      <c r="D3" s="3"/>
      <c r="E3" s="1"/>
      <c r="F3" s="1"/>
    </row>
    <row r="4" spans="1:6" ht="12.75" customHeight="1" x14ac:dyDescent="0.25">
      <c r="A4" s="1"/>
      <c r="B4" s="1"/>
      <c r="C4" s="3" t="s">
        <v>2</v>
      </c>
      <c r="D4" s="3"/>
      <c r="E4" s="1"/>
      <c r="F4" s="1"/>
    </row>
    <row r="5" spans="1:6" ht="12.75" customHeight="1" x14ac:dyDescent="0.25">
      <c r="A5" s="1"/>
      <c r="B5" s="1"/>
      <c r="C5" s="3" t="s">
        <v>3</v>
      </c>
      <c r="D5" s="3"/>
      <c r="E5" s="1"/>
      <c r="F5" s="1"/>
    </row>
    <row r="6" spans="1:6" ht="11.1" customHeight="1" x14ac:dyDescent="0.25">
      <c r="A6" s="1"/>
      <c r="B6" s="1"/>
      <c r="C6" s="1"/>
      <c r="D6" s="1"/>
      <c r="E6" s="1"/>
      <c r="F6" s="1"/>
    </row>
    <row r="8" spans="1:6" ht="12.75" customHeight="1" x14ac:dyDescent="0.25">
      <c r="A8" s="4" t="s">
        <v>4</v>
      </c>
      <c r="B8" s="4" t="s">
        <v>5</v>
      </c>
      <c r="C8" s="1"/>
      <c r="D8" s="1"/>
      <c r="E8" s="1"/>
      <c r="F8" s="1"/>
    </row>
    <row r="9" spans="1:6" ht="12.75" customHeight="1" x14ac:dyDescent="0.25">
      <c r="A9" s="4" t="s">
        <v>6</v>
      </c>
      <c r="B9" s="1"/>
      <c r="C9" s="1"/>
      <c r="D9" s="1"/>
      <c r="E9" s="1"/>
      <c r="F9" s="1"/>
    </row>
    <row r="11" spans="1:6" ht="13.15" customHeight="1" x14ac:dyDescent="0.25">
      <c r="A11" s="5" t="s">
        <v>7</v>
      </c>
      <c r="B11" s="5" t="s">
        <v>8</v>
      </c>
      <c r="C11" s="6" t="s">
        <v>9</v>
      </c>
      <c r="D11" s="6" t="s">
        <v>10</v>
      </c>
      <c r="E11" s="6" t="s">
        <v>11</v>
      </c>
      <c r="F11" s="6" t="s">
        <v>12</v>
      </c>
    </row>
    <row r="12" spans="1:6" ht="13.15" customHeight="1" x14ac:dyDescent="0.25">
      <c r="A12" s="5">
        <v>101101</v>
      </c>
      <c r="B12" s="8" t="s">
        <v>13</v>
      </c>
      <c r="C12" s="6">
        <v>0</v>
      </c>
      <c r="D12" s="10">
        <v>1000000</v>
      </c>
      <c r="E12" s="10">
        <v>1000000</v>
      </c>
      <c r="F12" s="6">
        <v>0</v>
      </c>
    </row>
    <row r="13" spans="1:6" ht="13.15" customHeight="1" x14ac:dyDescent="0.25">
      <c r="A13" s="5">
        <v>101400</v>
      </c>
      <c r="B13" s="8" t="s">
        <v>14</v>
      </c>
      <c r="C13" s="6">
        <v>0</v>
      </c>
      <c r="D13" s="10">
        <v>11361.39</v>
      </c>
      <c r="E13" s="6">
        <v>0</v>
      </c>
      <c r="F13" s="10">
        <v>11361.39</v>
      </c>
    </row>
    <row r="14" spans="1:6" ht="13.15" customHeight="1" x14ac:dyDescent="0.25">
      <c r="A14" s="5">
        <v>101901</v>
      </c>
      <c r="B14" s="8" t="s">
        <v>15</v>
      </c>
      <c r="C14" s="6">
        <v>0</v>
      </c>
      <c r="D14" s="10">
        <v>1800000</v>
      </c>
      <c r="E14" s="10">
        <v>1800000</v>
      </c>
      <c r="F14" s="6">
        <v>0</v>
      </c>
    </row>
    <row r="15" spans="1:6" ht="13.15" customHeight="1" x14ac:dyDescent="0.25">
      <c r="A15" s="5">
        <v>102601</v>
      </c>
      <c r="B15" s="8" t="s">
        <v>16</v>
      </c>
      <c r="C15" s="10">
        <v>2018709.05</v>
      </c>
      <c r="D15" s="10">
        <v>1920563</v>
      </c>
      <c r="E15" s="10">
        <v>2107509.27</v>
      </c>
      <c r="F15" s="10">
        <v>1831762.78</v>
      </c>
    </row>
    <row r="16" spans="1:6" ht="13.15" customHeight="1" x14ac:dyDescent="0.25">
      <c r="A16" s="5">
        <v>105901</v>
      </c>
      <c r="B16" s="8" t="s">
        <v>17</v>
      </c>
      <c r="C16" s="6">
        <v>0</v>
      </c>
      <c r="D16" s="10">
        <v>1314188.94</v>
      </c>
      <c r="E16" s="10">
        <v>1314188.94</v>
      </c>
      <c r="F16" s="6">
        <v>0</v>
      </c>
    </row>
    <row r="17" spans="1:8" ht="13.15" customHeight="1" x14ac:dyDescent="0.25">
      <c r="A17" s="5">
        <v>120140</v>
      </c>
      <c r="B17" s="8" t="s">
        <v>18</v>
      </c>
      <c r="C17" s="6">
        <v>0</v>
      </c>
      <c r="D17" s="10">
        <v>4800000</v>
      </c>
      <c r="E17" s="10">
        <v>4800000</v>
      </c>
      <c r="F17" s="6">
        <v>0</v>
      </c>
    </row>
    <row r="18" spans="1:8" ht="13.15" customHeight="1" x14ac:dyDescent="0.25">
      <c r="A18" s="5">
        <v>120180</v>
      </c>
      <c r="B18" s="8" t="s">
        <v>19</v>
      </c>
      <c r="C18" s="10">
        <v>4976</v>
      </c>
      <c r="D18" s="6">
        <v>0</v>
      </c>
      <c r="E18" s="10">
        <v>4976</v>
      </c>
      <c r="F18" s="6">
        <v>0</v>
      </c>
    </row>
    <row r="19" spans="1:8" ht="13.15" customHeight="1" x14ac:dyDescent="0.25">
      <c r="A19" s="5">
        <v>120330</v>
      </c>
      <c r="B19" s="8" t="s">
        <v>20</v>
      </c>
      <c r="C19" s="10">
        <v>513398.54</v>
      </c>
      <c r="D19" s="10">
        <v>110036.37</v>
      </c>
      <c r="E19" s="6">
        <v>0</v>
      </c>
      <c r="F19" s="10">
        <v>623434.91</v>
      </c>
    </row>
    <row r="20" spans="1:8" ht="13.15" customHeight="1" x14ac:dyDescent="0.25">
      <c r="A20" s="5">
        <v>120985</v>
      </c>
      <c r="B20" s="8" t="s">
        <v>21</v>
      </c>
      <c r="C20" s="6">
        <v>0</v>
      </c>
      <c r="D20" s="10">
        <v>120520.7</v>
      </c>
      <c r="E20" s="10">
        <v>120520.7</v>
      </c>
      <c r="F20" s="6">
        <v>0</v>
      </c>
    </row>
    <row r="21" spans="1:8" ht="13.15" customHeight="1" x14ac:dyDescent="0.25">
      <c r="A21" s="5">
        <v>126510</v>
      </c>
      <c r="B21" s="8" t="s">
        <v>22</v>
      </c>
      <c r="C21" s="10">
        <v>46827.839999999997</v>
      </c>
      <c r="D21" s="10">
        <v>32836.43</v>
      </c>
      <c r="E21" s="6">
        <v>0</v>
      </c>
      <c r="F21" s="10">
        <v>79664.27</v>
      </c>
      <c r="H21" t="s">
        <v>66</v>
      </c>
    </row>
    <row r="22" spans="1:8" ht="13.15" customHeight="1" x14ac:dyDescent="0.25">
      <c r="A22" s="5">
        <v>126550</v>
      </c>
      <c r="B22" s="8" t="s">
        <v>23</v>
      </c>
      <c r="C22" s="10">
        <v>5396.35</v>
      </c>
      <c r="D22" s="10">
        <v>4560.79</v>
      </c>
      <c r="E22" s="6">
        <v>0</v>
      </c>
      <c r="F22" s="10">
        <v>9957.14</v>
      </c>
    </row>
    <row r="23" spans="1:8" ht="13.15" customHeight="1" x14ac:dyDescent="0.25">
      <c r="A23" s="5">
        <v>130112</v>
      </c>
      <c r="B23" s="8" t="s">
        <v>24</v>
      </c>
      <c r="C23" s="6">
        <v>0</v>
      </c>
      <c r="D23" s="10">
        <v>225405.14</v>
      </c>
      <c r="E23" s="10">
        <v>225405.14</v>
      </c>
      <c r="F23" s="6">
        <v>0</v>
      </c>
      <c r="G23" s="9">
        <f>F25+F26+F27+F29+F30+F31+F32+F33</f>
        <v>7855733.0800000001</v>
      </c>
      <c r="H23" s="12">
        <v>7855733.0800000001</v>
      </c>
    </row>
    <row r="24" spans="1:8" ht="13.15" customHeight="1" x14ac:dyDescent="0.25">
      <c r="A24" s="5">
        <v>171050</v>
      </c>
      <c r="B24" s="8" t="s">
        <v>25</v>
      </c>
      <c r="C24" s="6">
        <v>0</v>
      </c>
      <c r="D24" s="10">
        <v>83540</v>
      </c>
      <c r="E24" s="10">
        <v>83540</v>
      </c>
      <c r="F24" s="6">
        <v>0</v>
      </c>
    </row>
    <row r="25" spans="1:8" ht="13.15" customHeight="1" x14ac:dyDescent="0.25">
      <c r="A25" s="5">
        <v>171220</v>
      </c>
      <c r="B25" s="8" t="s">
        <v>26</v>
      </c>
      <c r="C25" s="10">
        <v>7277144.4199999999</v>
      </c>
      <c r="D25" s="6">
        <v>0</v>
      </c>
      <c r="E25" s="6">
        <v>0</v>
      </c>
      <c r="F25" s="11">
        <v>7277144.4199999999</v>
      </c>
    </row>
    <row r="26" spans="1:8" ht="13.15" customHeight="1" x14ac:dyDescent="0.25">
      <c r="A26" s="5">
        <v>171260</v>
      </c>
      <c r="B26" s="8" t="s">
        <v>27</v>
      </c>
      <c r="C26" s="10">
        <v>-1086675.46</v>
      </c>
      <c r="D26" s="6">
        <v>0</v>
      </c>
      <c r="E26" s="10">
        <v>181135.91</v>
      </c>
      <c r="F26" s="11">
        <v>-1267811.3700000001</v>
      </c>
    </row>
    <row r="27" spans="1:8" ht="13.15" customHeight="1" x14ac:dyDescent="0.25">
      <c r="A27" s="5">
        <v>171320</v>
      </c>
      <c r="B27" s="8" t="s">
        <v>28</v>
      </c>
      <c r="C27" s="10">
        <v>6014183.6900000004</v>
      </c>
      <c r="D27" s="6">
        <v>0</v>
      </c>
      <c r="E27" s="6">
        <v>0</v>
      </c>
      <c r="F27" s="11">
        <v>6014183.6900000004</v>
      </c>
    </row>
    <row r="28" spans="1:8" ht="13.15" customHeight="1" x14ac:dyDescent="0.25">
      <c r="A28" s="5">
        <v>171321</v>
      </c>
      <c r="B28" s="8" t="s">
        <v>29</v>
      </c>
      <c r="C28" s="6">
        <v>0</v>
      </c>
      <c r="D28" s="10">
        <v>83540</v>
      </c>
      <c r="E28" s="10">
        <v>19940</v>
      </c>
      <c r="F28" s="10">
        <v>63600</v>
      </c>
    </row>
    <row r="29" spans="1:8" ht="13.15" customHeight="1" x14ac:dyDescent="0.25">
      <c r="A29" s="5">
        <v>171360</v>
      </c>
      <c r="B29" s="8" t="s">
        <v>30</v>
      </c>
      <c r="C29" s="10">
        <v>-3762793.58</v>
      </c>
      <c r="D29" s="6">
        <v>0</v>
      </c>
      <c r="E29" s="10">
        <v>534321.37</v>
      </c>
      <c r="F29" s="11">
        <v>-4297114.95</v>
      </c>
    </row>
    <row r="30" spans="1:8" ht="13.15" customHeight="1" x14ac:dyDescent="0.25">
      <c r="A30" s="5">
        <v>172020</v>
      </c>
      <c r="B30" s="8" t="s">
        <v>31</v>
      </c>
      <c r="C30" s="10">
        <v>112725</v>
      </c>
      <c r="D30" s="6">
        <v>0</v>
      </c>
      <c r="E30" s="6">
        <v>0</v>
      </c>
      <c r="F30" s="11">
        <v>112725</v>
      </c>
    </row>
    <row r="31" spans="1:8" ht="13.15" customHeight="1" x14ac:dyDescent="0.25">
      <c r="A31" s="5">
        <v>172060</v>
      </c>
      <c r="B31" s="8" t="s">
        <v>32</v>
      </c>
      <c r="C31" s="10">
        <v>-73321.36</v>
      </c>
      <c r="D31" s="6">
        <v>0</v>
      </c>
      <c r="E31" s="10">
        <v>11057.34</v>
      </c>
      <c r="F31" s="11">
        <v>-84378.7</v>
      </c>
    </row>
    <row r="32" spans="1:8" ht="13.15" customHeight="1" x14ac:dyDescent="0.25">
      <c r="A32" s="5">
        <v>173120</v>
      </c>
      <c r="B32" s="8" t="s">
        <v>33</v>
      </c>
      <c r="C32" s="10">
        <v>436988.01</v>
      </c>
      <c r="D32" s="6">
        <v>0</v>
      </c>
      <c r="E32" s="6">
        <v>0</v>
      </c>
      <c r="F32" s="11">
        <v>436988.01</v>
      </c>
    </row>
    <row r="33" spans="1:6" ht="13.15" customHeight="1" x14ac:dyDescent="0.25">
      <c r="A33" s="5">
        <v>173160</v>
      </c>
      <c r="B33" s="8" t="s">
        <v>34</v>
      </c>
      <c r="C33" s="10">
        <v>-294180.17</v>
      </c>
      <c r="D33" s="6">
        <v>0</v>
      </c>
      <c r="E33" s="10">
        <v>41822.85</v>
      </c>
      <c r="F33" s="11">
        <v>-336003.02</v>
      </c>
    </row>
    <row r="34" spans="1:6" ht="13.15" customHeight="1" x14ac:dyDescent="0.25">
      <c r="A34" s="5">
        <v>200110</v>
      </c>
      <c r="B34" s="8" t="s">
        <v>35</v>
      </c>
      <c r="C34" s="10">
        <v>-154227.14000000001</v>
      </c>
      <c r="D34" s="10">
        <v>1796166.23</v>
      </c>
      <c r="E34" s="10">
        <v>1645702.27</v>
      </c>
      <c r="F34" s="10">
        <v>-3763.18</v>
      </c>
    </row>
    <row r="35" spans="1:6" ht="13.15" customHeight="1" x14ac:dyDescent="0.25">
      <c r="A35" s="5">
        <v>200130</v>
      </c>
      <c r="B35" s="8" t="s">
        <v>36</v>
      </c>
      <c r="C35" s="10">
        <v>-547842.57999999996</v>
      </c>
      <c r="D35" s="10">
        <v>642060.57999999996</v>
      </c>
      <c r="E35" s="10">
        <v>517660.83</v>
      </c>
      <c r="F35" s="10">
        <v>-423442.83</v>
      </c>
    </row>
    <row r="36" spans="1:6" ht="13.15" customHeight="1" x14ac:dyDescent="0.25">
      <c r="A36" s="5">
        <v>202510</v>
      </c>
      <c r="B36" s="8" t="s">
        <v>37</v>
      </c>
      <c r="C36" s="6">
        <v>0</v>
      </c>
      <c r="D36" s="6">
        <v>0</v>
      </c>
      <c r="E36" s="10">
        <v>47619.05</v>
      </c>
      <c r="F36" s="10">
        <v>-47619.05</v>
      </c>
    </row>
    <row r="37" spans="1:6" ht="13.15" customHeight="1" x14ac:dyDescent="0.25">
      <c r="A37" s="5">
        <v>202550</v>
      </c>
      <c r="B37" s="8" t="s">
        <v>38</v>
      </c>
      <c r="C37" s="10">
        <v>-5396.35</v>
      </c>
      <c r="D37" s="6">
        <v>0</v>
      </c>
      <c r="E37" s="10">
        <v>4560.79</v>
      </c>
      <c r="F37" s="10">
        <v>-9957.14</v>
      </c>
    </row>
    <row r="38" spans="1:6" ht="13.15" customHeight="1" x14ac:dyDescent="0.25">
      <c r="A38" s="5">
        <v>211111</v>
      </c>
      <c r="B38" s="8" t="s">
        <v>39</v>
      </c>
      <c r="C38" s="10">
        <v>-67392.23</v>
      </c>
      <c r="D38" s="10">
        <v>313274.59000000003</v>
      </c>
      <c r="E38" s="10">
        <v>354749.85</v>
      </c>
      <c r="F38" s="10">
        <v>-108867.49</v>
      </c>
    </row>
    <row r="39" spans="1:6" ht="13.15" customHeight="1" x14ac:dyDescent="0.25">
      <c r="A39" s="5">
        <v>213600</v>
      </c>
      <c r="B39" s="8" t="s">
        <v>40</v>
      </c>
      <c r="C39" s="6">
        <v>0</v>
      </c>
      <c r="D39" s="6">
        <v>0</v>
      </c>
      <c r="E39" s="10">
        <v>21057.3</v>
      </c>
      <c r="F39" s="10">
        <v>-21057.3</v>
      </c>
    </row>
    <row r="40" spans="1:6" ht="13.15" customHeight="1" x14ac:dyDescent="0.25">
      <c r="A40" s="5">
        <v>215100</v>
      </c>
      <c r="B40" s="8" t="s">
        <v>41</v>
      </c>
      <c r="C40" s="6">
        <v>0</v>
      </c>
      <c r="D40" s="10">
        <v>792708.13</v>
      </c>
      <c r="E40" s="10">
        <v>792708.13</v>
      </c>
      <c r="F40" s="6">
        <v>0</v>
      </c>
    </row>
    <row r="41" spans="1:6" ht="13.15" customHeight="1" x14ac:dyDescent="0.25">
      <c r="A41" s="5">
        <v>215401</v>
      </c>
      <c r="B41" s="8" t="s">
        <v>42</v>
      </c>
      <c r="C41" s="10">
        <v>-50581.29</v>
      </c>
      <c r="D41" s="10">
        <v>9055.2000000000007</v>
      </c>
      <c r="E41" s="10">
        <v>24724</v>
      </c>
      <c r="F41" s="10">
        <v>-66250.09</v>
      </c>
    </row>
    <row r="42" spans="1:6" ht="13.15" customHeight="1" x14ac:dyDescent="0.25">
      <c r="A42" s="5">
        <v>230400</v>
      </c>
      <c r="B42" s="8" t="s">
        <v>43</v>
      </c>
      <c r="C42" s="10">
        <v>-1622864.55</v>
      </c>
      <c r="D42" s="6">
        <v>0</v>
      </c>
      <c r="E42" s="6">
        <v>0</v>
      </c>
      <c r="F42" s="10">
        <v>-1622864.55</v>
      </c>
    </row>
    <row r="43" spans="1:6" ht="13.15" customHeight="1" x14ac:dyDescent="0.25">
      <c r="A43" s="5">
        <v>235990</v>
      </c>
      <c r="B43" s="8" t="s">
        <v>44</v>
      </c>
      <c r="C43" s="6">
        <v>0</v>
      </c>
      <c r="D43" s="10">
        <v>241126</v>
      </c>
      <c r="E43" s="10">
        <v>241126</v>
      </c>
      <c r="F43" s="6">
        <v>0</v>
      </c>
    </row>
    <row r="44" spans="1:6" ht="13.15" customHeight="1" x14ac:dyDescent="0.25">
      <c r="A44" s="5">
        <v>265501</v>
      </c>
      <c r="B44" s="8" t="s">
        <v>45</v>
      </c>
      <c r="C44" s="10">
        <v>-141003.64000000001</v>
      </c>
      <c r="D44" s="6">
        <v>0</v>
      </c>
      <c r="E44" s="10">
        <v>34339.14</v>
      </c>
      <c r="F44" s="10">
        <v>-175342.78</v>
      </c>
    </row>
    <row r="45" spans="1:6" ht="13.15" customHeight="1" x14ac:dyDescent="0.25">
      <c r="A45" s="5">
        <v>357111</v>
      </c>
      <c r="B45" s="8" t="s">
        <v>46</v>
      </c>
      <c r="C45" s="6">
        <v>0</v>
      </c>
      <c r="D45" s="6">
        <v>0</v>
      </c>
      <c r="E45" s="10">
        <v>1752380.95</v>
      </c>
      <c r="F45" s="10">
        <v>-1752380.95</v>
      </c>
    </row>
    <row r="46" spans="1:6" ht="13.15" customHeight="1" x14ac:dyDescent="0.25">
      <c r="A46" s="5">
        <v>382020</v>
      </c>
      <c r="B46" s="8" t="s">
        <v>47</v>
      </c>
      <c r="C46" s="6">
        <v>0</v>
      </c>
      <c r="D46" s="10">
        <v>2943.88</v>
      </c>
      <c r="E46" s="10">
        <v>1233.55</v>
      </c>
      <c r="F46" s="10">
        <v>1710.33</v>
      </c>
    </row>
    <row r="47" spans="1:6" ht="13.15" customHeight="1" x14ac:dyDescent="0.25">
      <c r="A47" s="5">
        <v>412121</v>
      </c>
      <c r="B47" s="8" t="s">
        <v>48</v>
      </c>
      <c r="C47" s="6">
        <v>0</v>
      </c>
      <c r="D47" s="10">
        <v>730402.15</v>
      </c>
      <c r="E47" s="6">
        <v>0</v>
      </c>
      <c r="F47" s="10">
        <v>730402.15</v>
      </c>
    </row>
    <row r="48" spans="1:6" ht="13.15" customHeight="1" x14ac:dyDescent="0.25">
      <c r="A48" s="5">
        <v>412125</v>
      </c>
      <c r="B48" s="8" t="s">
        <v>49</v>
      </c>
      <c r="C48" s="6">
        <v>0</v>
      </c>
      <c r="D48" s="10">
        <v>478019.65</v>
      </c>
      <c r="E48" s="6">
        <v>0</v>
      </c>
      <c r="F48" s="10">
        <v>478019.65</v>
      </c>
    </row>
    <row r="49" spans="1:6" ht="13.15" customHeight="1" x14ac:dyDescent="0.25">
      <c r="A49" s="5">
        <v>412184</v>
      </c>
      <c r="B49" s="8" t="s">
        <v>50</v>
      </c>
      <c r="C49" s="6">
        <v>0</v>
      </c>
      <c r="D49" s="10">
        <v>24724</v>
      </c>
      <c r="E49" s="10">
        <v>9055.2000000000007</v>
      </c>
      <c r="F49" s="10">
        <v>15668.8</v>
      </c>
    </row>
    <row r="50" spans="1:6" ht="13.15" customHeight="1" x14ac:dyDescent="0.25">
      <c r="A50" s="5">
        <v>412521</v>
      </c>
      <c r="B50" s="8" t="s">
        <v>51</v>
      </c>
      <c r="C50" s="6">
        <v>0</v>
      </c>
      <c r="D50" s="10">
        <v>12000</v>
      </c>
      <c r="E50" s="6">
        <v>0</v>
      </c>
      <c r="F50" s="10">
        <v>12000</v>
      </c>
    </row>
    <row r="51" spans="1:6" ht="13.15" customHeight="1" x14ac:dyDescent="0.25">
      <c r="A51" s="5">
        <v>412534</v>
      </c>
      <c r="B51" s="8" t="s">
        <v>52</v>
      </c>
      <c r="C51" s="6">
        <v>0</v>
      </c>
      <c r="D51" s="10">
        <v>18574.8</v>
      </c>
      <c r="E51" s="6">
        <v>0</v>
      </c>
      <c r="F51" s="10">
        <v>18574.8</v>
      </c>
    </row>
    <row r="52" spans="1:6" ht="13.15" customHeight="1" x14ac:dyDescent="0.25">
      <c r="A52" s="5">
        <v>414120</v>
      </c>
      <c r="B52" s="8" t="s">
        <v>53</v>
      </c>
      <c r="C52" s="6">
        <v>0</v>
      </c>
      <c r="D52" s="10">
        <v>47868.51</v>
      </c>
      <c r="E52" s="6">
        <v>0</v>
      </c>
      <c r="F52" s="10">
        <v>47868.51</v>
      </c>
    </row>
    <row r="53" spans="1:6" ht="13.15" customHeight="1" x14ac:dyDescent="0.25">
      <c r="A53" s="5">
        <v>416110</v>
      </c>
      <c r="B53" s="8" t="s">
        <v>54</v>
      </c>
      <c r="C53" s="6">
        <v>0</v>
      </c>
      <c r="D53" s="10">
        <v>63759.21</v>
      </c>
      <c r="E53" s="6">
        <v>0</v>
      </c>
      <c r="F53" s="10">
        <v>63759.21</v>
      </c>
    </row>
    <row r="54" spans="1:6" ht="13.15" customHeight="1" x14ac:dyDescent="0.25">
      <c r="A54" s="5">
        <v>416310</v>
      </c>
      <c r="B54" s="8" t="s">
        <v>55</v>
      </c>
      <c r="C54" s="6">
        <v>0</v>
      </c>
      <c r="D54" s="10">
        <v>30061.61</v>
      </c>
      <c r="E54" s="6">
        <v>0</v>
      </c>
      <c r="F54" s="10">
        <v>30061.61</v>
      </c>
    </row>
    <row r="55" spans="1:6" ht="13.15" customHeight="1" x14ac:dyDescent="0.25">
      <c r="A55" s="5">
        <v>426900</v>
      </c>
      <c r="B55" s="8" t="s">
        <v>56</v>
      </c>
      <c r="C55" s="6">
        <v>0</v>
      </c>
      <c r="D55" s="6">
        <v>89.69</v>
      </c>
      <c r="E55" s="6">
        <v>0</v>
      </c>
      <c r="F55" s="6">
        <v>89.69</v>
      </c>
    </row>
    <row r="56" spans="1:6" ht="13.15" customHeight="1" x14ac:dyDescent="0.25">
      <c r="A56" s="5">
        <v>435508</v>
      </c>
      <c r="B56" s="8" t="s">
        <v>57</v>
      </c>
      <c r="C56" s="6">
        <v>0</v>
      </c>
      <c r="D56" s="10">
        <v>201134.52</v>
      </c>
      <c r="E56" s="10">
        <v>10900</v>
      </c>
      <c r="F56" s="10">
        <v>190234.52</v>
      </c>
    </row>
    <row r="57" spans="1:6" ht="13.15" customHeight="1" x14ac:dyDescent="0.25">
      <c r="A57" s="5">
        <v>475210</v>
      </c>
      <c r="B57" s="8" t="s">
        <v>58</v>
      </c>
      <c r="C57" s="6">
        <v>0</v>
      </c>
      <c r="D57" s="10">
        <v>181135.91</v>
      </c>
      <c r="E57" s="6">
        <v>0</v>
      </c>
      <c r="F57" s="10">
        <v>181135.91</v>
      </c>
    </row>
    <row r="58" spans="1:6" ht="13.15" customHeight="1" x14ac:dyDescent="0.25">
      <c r="A58" s="5">
        <v>475220</v>
      </c>
      <c r="B58" s="8" t="s">
        <v>59</v>
      </c>
      <c r="C58" s="6">
        <v>0</v>
      </c>
      <c r="D58" s="10">
        <v>534321.37</v>
      </c>
      <c r="E58" s="6">
        <v>0</v>
      </c>
      <c r="F58" s="10">
        <v>534321.37</v>
      </c>
    </row>
    <row r="59" spans="1:6" ht="13.15" customHeight="1" x14ac:dyDescent="0.25">
      <c r="A59" s="5">
        <v>475240</v>
      </c>
      <c r="B59" s="8" t="s">
        <v>60</v>
      </c>
      <c r="C59" s="6">
        <v>0</v>
      </c>
      <c r="D59" s="10">
        <v>11057.34</v>
      </c>
      <c r="E59" s="6">
        <v>0</v>
      </c>
      <c r="F59" s="10">
        <v>11057.34</v>
      </c>
    </row>
    <row r="60" spans="1:6" ht="13.15" customHeight="1" x14ac:dyDescent="0.25">
      <c r="A60" s="5">
        <v>475250</v>
      </c>
      <c r="B60" s="8" t="s">
        <v>61</v>
      </c>
      <c r="C60" s="6">
        <v>0</v>
      </c>
      <c r="D60" s="10">
        <v>41822.85</v>
      </c>
      <c r="E60" s="6">
        <v>0</v>
      </c>
      <c r="F60" s="10">
        <v>41822.85</v>
      </c>
    </row>
    <row r="61" spans="1:6" ht="13.15" customHeight="1" x14ac:dyDescent="0.25">
      <c r="A61" s="5">
        <v>492316</v>
      </c>
      <c r="B61" s="8" t="s">
        <v>62</v>
      </c>
      <c r="C61" s="6">
        <v>0</v>
      </c>
      <c r="D61" s="10">
        <v>98008</v>
      </c>
      <c r="E61" s="10">
        <v>74460</v>
      </c>
      <c r="F61" s="10">
        <v>23548</v>
      </c>
    </row>
    <row r="62" spans="1:6" ht="13.15" customHeight="1" x14ac:dyDescent="0.25">
      <c r="A62" s="5">
        <v>495140</v>
      </c>
      <c r="B62" s="8" t="s">
        <v>63</v>
      </c>
      <c r="C62" s="6">
        <v>0</v>
      </c>
      <c r="D62" s="6">
        <v>0</v>
      </c>
      <c r="E62" s="6">
        <v>172.4</v>
      </c>
      <c r="F62" s="6">
        <v>-172.4</v>
      </c>
    </row>
    <row r="63" spans="1:6" ht="13.15" customHeight="1" x14ac:dyDescent="0.25">
      <c r="A63" s="5">
        <v>502100</v>
      </c>
      <c r="B63" s="8" t="s">
        <v>64</v>
      </c>
      <c r="C63" s="10">
        <v>-8624070.5500000007</v>
      </c>
      <c r="D63" s="6">
        <v>0</v>
      </c>
      <c r="E63" s="6">
        <v>0</v>
      </c>
      <c r="F63" s="10">
        <v>-8624070.5500000007</v>
      </c>
    </row>
    <row r="64" spans="1:6" ht="13.15" customHeight="1" x14ac:dyDescent="0.25">
      <c r="A64" s="7"/>
      <c r="B64" s="6" t="s">
        <v>65</v>
      </c>
      <c r="C64" s="6">
        <v>0</v>
      </c>
      <c r="D64" s="10">
        <v>17776866.98</v>
      </c>
      <c r="E64" s="10">
        <v>17776866.98</v>
      </c>
      <c r="F64" s="6">
        <v>0</v>
      </c>
    </row>
  </sheetData>
  <mergeCells count="4">
    <mergeCell ref="C1:D1"/>
    <mergeCell ref="C3:D3"/>
    <mergeCell ref="C4:D4"/>
    <mergeCell ref="C5:D5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ADERP_Trial_Balance_270920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Rajesh Raj</dc:creator>
  <cp:lastModifiedBy>rajesh.raj</cp:lastModifiedBy>
  <dcterms:created xsi:type="dcterms:W3CDTF">2020-09-27T06:05:47Z</dcterms:created>
  <dcterms:modified xsi:type="dcterms:W3CDTF">2020-09-27T06:05:47Z</dcterms:modified>
</cp:coreProperties>
</file>