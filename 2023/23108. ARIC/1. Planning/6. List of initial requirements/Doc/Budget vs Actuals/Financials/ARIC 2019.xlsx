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050" activeTab="2"/>
  </bookViews>
  <sheets>
    <sheet name="2019 manpower" sheetId="2" r:id="rId1"/>
    <sheet name="2019 opex" sheetId="3" r:id="rId2"/>
    <sheet name="2019 capex" sheetId="1" r:id="rId3"/>
  </sheets>
  <calcPr calcId="162913"/>
</workbook>
</file>

<file path=xl/calcChain.xml><?xml version="1.0" encoding="utf-8"?>
<calcChain xmlns="http://schemas.openxmlformats.org/spreadsheetml/2006/main">
  <c r="L26" i="1" l="1"/>
  <c r="L24" i="1" l="1"/>
  <c r="K24" i="1"/>
  <c r="N24" i="1" l="1"/>
  <c r="O24" i="1"/>
</calcChain>
</file>

<file path=xl/sharedStrings.xml><?xml version="1.0" encoding="utf-8"?>
<sst xmlns="http://schemas.openxmlformats.org/spreadsheetml/2006/main" count="1184" uniqueCount="129">
  <si>
    <t>ARIC Performance Report - Capex- Cost Center by Groups-2019</t>
  </si>
  <si>
    <t/>
  </si>
  <si>
    <t>Chapter Name</t>
  </si>
  <si>
    <t>Budget</t>
  </si>
  <si>
    <t>Actual</t>
  </si>
  <si>
    <t>Encumbrance</t>
  </si>
  <si>
    <t>Fund Available</t>
  </si>
  <si>
    <t>% Fund Available</t>
  </si>
  <si>
    <t>3 Capital Payments</t>
  </si>
  <si>
    <t>Cost Center Code - Group</t>
  </si>
  <si>
    <t>Cost Center Description</t>
  </si>
  <si>
    <t>Cost Center Code</t>
  </si>
  <si>
    <t>Account Code</t>
  </si>
  <si>
    <t>Account Code Description</t>
  </si>
  <si>
    <t>Future1</t>
  </si>
  <si>
    <t>Future1 Description</t>
  </si>
  <si>
    <t>Future2</t>
  </si>
  <si>
    <t>Future2 Description</t>
  </si>
  <si>
    <t>8436010</t>
  </si>
  <si>
    <t>KU - Joint Ventures-ARIC</t>
  </si>
  <si>
    <t>492200</t>
  </si>
  <si>
    <t>Capital expense - Buildings</t>
  </si>
  <si>
    <t>843106</t>
  </si>
  <si>
    <t>ARIC Central</t>
  </si>
  <si>
    <t>000000</t>
  </si>
  <si>
    <t>Un Specified</t>
  </si>
  <si>
    <t>492308</t>
  </si>
  <si>
    <t>Farming equipment &amp; machinery</t>
  </si>
  <si>
    <t>492316</t>
  </si>
  <si>
    <t>Laboratory equipment</t>
  </si>
  <si>
    <t>843102</t>
  </si>
  <si>
    <t>Thermoplastics/OOA</t>
  </si>
  <si>
    <t>843104</t>
  </si>
  <si>
    <t>Automation</t>
  </si>
  <si>
    <t>843107</t>
  </si>
  <si>
    <t>HDF/Bicycle</t>
  </si>
  <si>
    <t>843108</t>
  </si>
  <si>
    <t>Spring back</t>
  </si>
  <si>
    <t>843111</t>
  </si>
  <si>
    <t>3DP</t>
  </si>
  <si>
    <t>492610</t>
  </si>
  <si>
    <t>Furniture &amp; Fixtures - Offices</t>
  </si>
  <si>
    <t>495140</t>
  </si>
  <si>
    <t>Copyrights, patents and licenses</t>
  </si>
  <si>
    <t>8436010 Total</t>
  </si>
  <si>
    <t>Grand Total</t>
  </si>
  <si>
    <t>ARIC Performance Report - Manpower- Cost Center by Groups-2019</t>
  </si>
  <si>
    <t>1 Personnel Costs</t>
  </si>
  <si>
    <t>412110</t>
  </si>
  <si>
    <t>Consolidated pay (combined salaries and allowances)</t>
  </si>
  <si>
    <t>412121</t>
  </si>
  <si>
    <t>Basic salary</t>
  </si>
  <si>
    <t>843103</t>
  </si>
  <si>
    <t>Digital Technologies</t>
  </si>
  <si>
    <t>843109</t>
  </si>
  <si>
    <t>Solar</t>
  </si>
  <si>
    <t>412125</t>
  </si>
  <si>
    <t>Cost of living adjustment pay (COLA)</t>
  </si>
  <si>
    <t>843101</t>
  </si>
  <si>
    <t>ARIC Joint Venture</t>
  </si>
  <si>
    <t>412184</t>
  </si>
  <si>
    <t>Vacation pay (including cash in lieu payment)</t>
  </si>
  <si>
    <t>412534</t>
  </si>
  <si>
    <t>School fee reimbursements</t>
  </si>
  <si>
    <t>412542</t>
  </si>
  <si>
    <t>Other allowances (miscellaneous)</t>
  </si>
  <si>
    <t>412590</t>
  </si>
  <si>
    <t>Rounding up cost of net pay</t>
  </si>
  <si>
    <t>414120</t>
  </si>
  <si>
    <t>Gratuity - Non-pensionable employees</t>
  </si>
  <si>
    <t>415110</t>
  </si>
  <si>
    <t>Govt contr - ADRB&amp;Pension</t>
  </si>
  <si>
    <t>415220</t>
  </si>
  <si>
    <t>UAE visa requirement costs</t>
  </si>
  <si>
    <t>415320</t>
  </si>
  <si>
    <t>Employee Training costs - Travel and Accommodation</t>
  </si>
  <si>
    <t>416110</t>
  </si>
  <si>
    <t>Employee travel costs - Fares</t>
  </si>
  <si>
    <t>416310</t>
  </si>
  <si>
    <t>Medical insurance premium</t>
  </si>
  <si>
    <t>ARIC Performance Report - Opex- Cost Center by Groups-2019</t>
  </si>
  <si>
    <t>2 Other Operating Costs</t>
  </si>
  <si>
    <t>8434010</t>
  </si>
  <si>
    <t>KU- CEO Ankabut</t>
  </si>
  <si>
    <t>425510</t>
  </si>
  <si>
    <t>Conferences, seminars and exhibitions and other events: - Local Events</t>
  </si>
  <si>
    <t>843201</t>
  </si>
  <si>
    <t>ANKABUT Operations</t>
  </si>
  <si>
    <t>8434010 Total</t>
  </si>
  <si>
    <t>420130</t>
  </si>
  <si>
    <t>External Audit service</t>
  </si>
  <si>
    <t>420900</t>
  </si>
  <si>
    <t>Legal services</t>
  </si>
  <si>
    <t>421000</t>
  </si>
  <si>
    <t>Management consultancy</t>
  </si>
  <si>
    <t>425100</t>
  </si>
  <si>
    <t>Advertising</t>
  </si>
  <si>
    <t>425300</t>
  </si>
  <si>
    <t>Banking service charges</t>
  </si>
  <si>
    <t>425741</t>
  </si>
  <si>
    <t>Student stipend</t>
  </si>
  <si>
    <t>425770</t>
  </si>
  <si>
    <t>Academic Missions - Combined expenses</t>
  </si>
  <si>
    <t>426610</t>
  </si>
  <si>
    <t>Computer software licenses</t>
  </si>
  <si>
    <t>426900</t>
  </si>
  <si>
    <t>Postal, courier and other document delivery expenses</t>
  </si>
  <si>
    <t>428090</t>
  </si>
  <si>
    <t>Business Travel - Combined expenses</t>
  </si>
  <si>
    <t>428200</t>
  </si>
  <si>
    <t>Health,safety&amp;environment awareness</t>
  </si>
  <si>
    <t>428400</t>
  </si>
  <si>
    <t>Sponsorship expenses/contributions</t>
  </si>
  <si>
    <t>429900</t>
  </si>
  <si>
    <t>Other services, not specifically mentioned elsewhere</t>
  </si>
  <si>
    <t>430330</t>
  </si>
  <si>
    <t>Rental - Motor vehicles</t>
  </si>
  <si>
    <t>432120</t>
  </si>
  <si>
    <t>Bldg maintenance-Business premises</t>
  </si>
  <si>
    <t>432690</t>
  </si>
  <si>
    <t>Plant, machinery and heavy equipment, not mentioned elsewhere</t>
  </si>
  <si>
    <t>435350</t>
  </si>
  <si>
    <t>Academic Publications</t>
  </si>
  <si>
    <t>435508</t>
  </si>
  <si>
    <t>Laboratory - Scientific</t>
  </si>
  <si>
    <t>435910</t>
  </si>
  <si>
    <t>Furnishings</t>
  </si>
  <si>
    <t>436110</t>
  </si>
  <si>
    <t>Printing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</si>
</sst>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</font>
    <font>
      <b/>
      <sz val="10"/>
      <color rgb="FF333399"/>
      <name val="Calibri"/>
    </font>
    <font>
      <sz val="8"/>
      <color theme="1"/>
      <name val="Calibri"/>
    </font>
    <font>
      <b/>
      <sz val="8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  <fill>
      <patternFill patternType="solid">
        <fgColor rgb="FFE7F2E6"/>
      </patternFill>
    </fill>
  </fills>
  <borders count="7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  <border>
      <left style="thin">
        <color rgb="FF979991"/>
      </left>
      <right/>
      <top/>
      <bottom/>
      <diagonal/>
    </border>
    <border>
      <left style="thin">
        <color rgb="FF979991"/>
      </left>
      <right/>
      <top/>
      <bottom style="thin">
        <color rgb="FF97999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3" fontId="2" fillId="3" borderId="2" xfId="0" applyNumberFormat="1" applyFont="1" applyFill="1" applyBorder="1" applyAlignment="1">
      <alignment horizontal="right" vertical="top" wrapText="1"/>
    </xf>
    <xf numFmtId="3" fontId="2" fillId="3" borderId="3" xfId="0" applyNumberFormat="1" applyFont="1" applyFill="1" applyBorder="1" applyAlignment="1">
      <alignment horizontal="righ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 wrapText="1"/>
    </xf>
    <xf numFmtId="3" fontId="2" fillId="4" borderId="2" xfId="0" applyNumberFormat="1" applyFont="1" applyFill="1" applyBorder="1" applyAlignment="1">
      <alignment horizontal="right" vertical="top" wrapText="1"/>
    </xf>
    <xf numFmtId="3" fontId="2" fillId="4" borderId="3" xfId="0" applyNumberFormat="1" applyFont="1" applyFill="1" applyBorder="1" applyAlignment="1">
      <alignment horizontal="right" vertical="top" wrapText="1"/>
    </xf>
    <xf numFmtId="0" fontId="2" fillId="3" borderId="2" xfId="0" applyFont="1" applyFill="1" applyBorder="1" applyAlignment="1">
      <alignment horizontal="left" vertical="top" wrapText="1"/>
    </xf>
    <xf numFmtId="0" fontId="0" fillId="4" borderId="2" xfId="0" applyFill="1" applyBorder="1" applyAlignment="1">
      <alignment horizontal="right" vertical="top" wrapText="1"/>
    </xf>
    <xf numFmtId="0" fontId="0" fillId="3" borderId="2" xfId="0" applyFill="1" applyBorder="1" applyAlignment="1">
      <alignment horizontal="right" vertical="top" wrapText="1"/>
    </xf>
    <xf numFmtId="0" fontId="3" fillId="2" borderId="2" xfId="0" applyFont="1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3" fontId="3" fillId="2" borderId="2" xfId="0" applyNumberFormat="1" applyFont="1" applyFill="1" applyBorder="1" applyAlignment="1">
      <alignment horizontal="right" vertical="top" wrapText="1"/>
    </xf>
    <xf numFmtId="3" fontId="3" fillId="2" borderId="3" xfId="0" applyNumberFormat="1" applyFont="1" applyFill="1" applyBorder="1" applyAlignment="1">
      <alignment horizontal="right" vertical="top" wrapText="1"/>
    </xf>
    <xf numFmtId="0" fontId="0" fillId="2" borderId="2" xfId="0" applyFill="1" applyBorder="1" applyAlignment="1">
      <alignment horizontal="right" vertical="top" wrapText="1"/>
    </xf>
    <xf numFmtId="3" fontId="0" fillId="0" borderId="0" xfId="0" applyNumberFormat="1"/>
    <xf numFmtId="0" fontId="1" fillId="0" borderId="0" xfId="0" applyFont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4" borderId="5" xfId="0" applyFont="1" applyFill="1" applyBorder="1" applyAlignment="1">
      <alignment horizontal="left" vertical="top" wrapText="1"/>
    </xf>
    <xf numFmtId="0" fontId="2" fillId="4" borderId="6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3" borderId="5" xfId="0" applyFont="1" applyFill="1" applyBorder="1" applyAlignment="1">
      <alignment horizontal="left" vertical="top" wrapText="1"/>
    </xf>
    <xf numFmtId="0" fontId="2" fillId="3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2"/>
  <sheetViews>
    <sheetView showGridLines="0" topLeftCell="A19" workbookViewId="0">
      <selection activeCell="K19" sqref="K19"/>
    </sheetView>
  </sheetViews>
  <sheetFormatPr defaultRowHeight="14.5" x14ac:dyDescent="0.35"/>
  <cols>
    <col min="1" max="1" width="13.7265625" customWidth="1"/>
    <col min="2" max="2" width="11.453125" customWidth="1"/>
    <col min="3" max="3" width="8" customWidth="1"/>
    <col min="4" max="4" width="10.54296875" customWidth="1"/>
    <col min="5" max="5" width="11.26953125" customWidth="1"/>
    <col min="6" max="6" width="13.1796875" customWidth="1"/>
    <col min="7" max="7" width="6.453125" customWidth="1"/>
    <col min="8" max="8" width="15.453125" customWidth="1"/>
    <col min="9" max="9" width="6.453125" customWidth="1"/>
    <col min="10" max="10" width="8.81640625" customWidth="1"/>
    <col min="11" max="12" width="8" customWidth="1"/>
    <col min="13" max="13" width="10.54296875" customWidth="1"/>
    <col min="14" max="14" width="7.54296875" customWidth="1"/>
    <col min="15" max="15" width="0.7265625" customWidth="1"/>
  </cols>
  <sheetData>
    <row r="1" spans="1:14" x14ac:dyDescent="0.35">
      <c r="A1" s="21" t="s">
        <v>46</v>
      </c>
      <c r="B1" s="21"/>
      <c r="C1" s="21"/>
      <c r="D1" s="21"/>
      <c r="E1" s="21"/>
      <c r="F1" s="21"/>
      <c r="G1" s="21"/>
    </row>
    <row r="2" spans="1:14" x14ac:dyDescent="0.35">
      <c r="A2" s="2" t="s">
        <v>1</v>
      </c>
    </row>
    <row r="3" spans="1:14" x14ac:dyDescent="0.35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5" t="s">
        <v>7</v>
      </c>
    </row>
    <row r="4" spans="1:14" x14ac:dyDescent="0.35">
      <c r="A4" s="4" t="s">
        <v>47</v>
      </c>
      <c r="B4" s="6">
        <v>3220150</v>
      </c>
      <c r="C4" s="6">
        <v>2370259.44</v>
      </c>
      <c r="D4" s="6">
        <v>0</v>
      </c>
      <c r="E4" s="6">
        <v>849890.56</v>
      </c>
      <c r="F4" s="7">
        <v>26.3928872878592</v>
      </c>
    </row>
    <row r="5" spans="1:14" x14ac:dyDescent="0.35">
      <c r="A5" s="2" t="s">
        <v>1</v>
      </c>
    </row>
    <row r="6" spans="1:14" ht="21" x14ac:dyDescent="0.35">
      <c r="A6" s="3" t="s">
        <v>9</v>
      </c>
      <c r="B6" s="3" t="s">
        <v>10</v>
      </c>
      <c r="C6" s="3" t="s">
        <v>11</v>
      </c>
      <c r="D6" s="3" t="s">
        <v>2</v>
      </c>
      <c r="E6" s="3" t="s">
        <v>12</v>
      </c>
      <c r="F6" s="3" t="s">
        <v>13</v>
      </c>
      <c r="G6" s="3" t="s">
        <v>14</v>
      </c>
      <c r="H6" s="3" t="s">
        <v>15</v>
      </c>
      <c r="I6" s="3" t="s">
        <v>16</v>
      </c>
      <c r="J6" s="3" t="s">
        <v>17</v>
      </c>
      <c r="K6" s="3" t="s">
        <v>3</v>
      </c>
      <c r="L6" s="3" t="s">
        <v>4</v>
      </c>
      <c r="M6" s="3" t="s">
        <v>5</v>
      </c>
      <c r="N6" s="8" t="s">
        <v>6</v>
      </c>
    </row>
    <row r="7" spans="1:14" ht="31.5" x14ac:dyDescent="0.35">
      <c r="A7" s="22" t="s">
        <v>18</v>
      </c>
      <c r="B7" s="9" t="s">
        <v>19</v>
      </c>
      <c r="C7" s="9" t="s">
        <v>18</v>
      </c>
      <c r="D7" s="9" t="s">
        <v>47</v>
      </c>
      <c r="E7" s="9" t="s">
        <v>48</v>
      </c>
      <c r="F7" s="9" t="s">
        <v>49</v>
      </c>
      <c r="G7" s="9" t="s">
        <v>30</v>
      </c>
      <c r="H7" s="9" t="s">
        <v>31</v>
      </c>
      <c r="I7" s="9" t="s">
        <v>24</v>
      </c>
      <c r="J7" s="9" t="s">
        <v>25</v>
      </c>
      <c r="K7" s="10">
        <v>0</v>
      </c>
      <c r="L7" s="10">
        <v>0</v>
      </c>
      <c r="M7" s="13"/>
      <c r="N7" s="11">
        <v>0</v>
      </c>
    </row>
    <row r="8" spans="1:14" ht="31.5" x14ac:dyDescent="0.35">
      <c r="A8" s="23"/>
      <c r="B8" s="12" t="s">
        <v>19</v>
      </c>
      <c r="C8" s="12" t="s">
        <v>18</v>
      </c>
      <c r="D8" s="12" t="s">
        <v>47</v>
      </c>
      <c r="E8" s="12" t="s">
        <v>48</v>
      </c>
      <c r="F8" s="12" t="s">
        <v>49</v>
      </c>
      <c r="G8" s="12" t="s">
        <v>32</v>
      </c>
      <c r="H8" s="12" t="s">
        <v>33</v>
      </c>
      <c r="I8" s="12" t="s">
        <v>24</v>
      </c>
      <c r="J8" s="12" t="s">
        <v>25</v>
      </c>
      <c r="K8" s="6">
        <v>20700</v>
      </c>
      <c r="L8" s="6">
        <v>20700</v>
      </c>
      <c r="M8" s="6">
        <v>0</v>
      </c>
      <c r="N8" s="7">
        <v>0</v>
      </c>
    </row>
    <row r="9" spans="1:14" ht="31.5" x14ac:dyDescent="0.35">
      <c r="A9" s="23"/>
      <c r="B9" s="9" t="s">
        <v>19</v>
      </c>
      <c r="C9" s="9" t="s">
        <v>18</v>
      </c>
      <c r="D9" s="9" t="s">
        <v>47</v>
      </c>
      <c r="E9" s="9" t="s">
        <v>48</v>
      </c>
      <c r="F9" s="9" t="s">
        <v>49</v>
      </c>
      <c r="G9" s="9" t="s">
        <v>22</v>
      </c>
      <c r="H9" s="9" t="s">
        <v>23</v>
      </c>
      <c r="I9" s="9" t="s">
        <v>24</v>
      </c>
      <c r="J9" s="9" t="s">
        <v>25</v>
      </c>
      <c r="K9" s="10">
        <v>0</v>
      </c>
      <c r="L9" s="10">
        <v>0</v>
      </c>
      <c r="M9" s="10">
        <v>0</v>
      </c>
      <c r="N9" s="11">
        <v>0</v>
      </c>
    </row>
    <row r="10" spans="1:14" ht="21" x14ac:dyDescent="0.35">
      <c r="A10" s="23"/>
      <c r="B10" s="12" t="s">
        <v>19</v>
      </c>
      <c r="C10" s="12" t="s">
        <v>18</v>
      </c>
      <c r="D10" s="12" t="s">
        <v>47</v>
      </c>
      <c r="E10" s="12" t="s">
        <v>50</v>
      </c>
      <c r="F10" s="12" t="s">
        <v>51</v>
      </c>
      <c r="G10" s="12" t="s">
        <v>30</v>
      </c>
      <c r="H10" s="12" t="s">
        <v>31</v>
      </c>
      <c r="I10" s="12" t="s">
        <v>24</v>
      </c>
      <c r="J10" s="12" t="s">
        <v>25</v>
      </c>
      <c r="K10" s="6">
        <v>316248</v>
      </c>
      <c r="L10" s="6">
        <v>316248</v>
      </c>
      <c r="M10" s="6">
        <v>0</v>
      </c>
      <c r="N10" s="7">
        <v>0</v>
      </c>
    </row>
    <row r="11" spans="1:14" ht="21" x14ac:dyDescent="0.35">
      <c r="A11" s="23"/>
      <c r="B11" s="9" t="s">
        <v>19</v>
      </c>
      <c r="C11" s="9" t="s">
        <v>18</v>
      </c>
      <c r="D11" s="9" t="s">
        <v>47</v>
      </c>
      <c r="E11" s="9" t="s">
        <v>50</v>
      </c>
      <c r="F11" s="9" t="s">
        <v>51</v>
      </c>
      <c r="G11" s="9" t="s">
        <v>52</v>
      </c>
      <c r="H11" s="9" t="s">
        <v>53</v>
      </c>
      <c r="I11" s="9" t="s">
        <v>24</v>
      </c>
      <c r="J11" s="9" t="s">
        <v>25</v>
      </c>
      <c r="K11" s="10">
        <v>0</v>
      </c>
      <c r="L11" s="10">
        <v>0</v>
      </c>
      <c r="M11" s="13"/>
      <c r="N11" s="11">
        <v>0</v>
      </c>
    </row>
    <row r="12" spans="1:14" ht="21" x14ac:dyDescent="0.35">
      <c r="A12" s="23"/>
      <c r="B12" s="12" t="s">
        <v>19</v>
      </c>
      <c r="C12" s="12" t="s">
        <v>18</v>
      </c>
      <c r="D12" s="12" t="s">
        <v>47</v>
      </c>
      <c r="E12" s="12" t="s">
        <v>50</v>
      </c>
      <c r="F12" s="12" t="s">
        <v>51</v>
      </c>
      <c r="G12" s="12" t="s">
        <v>32</v>
      </c>
      <c r="H12" s="12" t="s">
        <v>33</v>
      </c>
      <c r="I12" s="12" t="s">
        <v>24</v>
      </c>
      <c r="J12" s="12" t="s">
        <v>25</v>
      </c>
      <c r="K12" s="6">
        <v>389972</v>
      </c>
      <c r="L12" s="6">
        <v>384171.03</v>
      </c>
      <c r="M12" s="6">
        <v>0</v>
      </c>
      <c r="N12" s="7">
        <v>5800.9699999999702</v>
      </c>
    </row>
    <row r="13" spans="1:14" ht="21" x14ac:dyDescent="0.35">
      <c r="A13" s="23"/>
      <c r="B13" s="9" t="s">
        <v>19</v>
      </c>
      <c r="C13" s="9" t="s">
        <v>18</v>
      </c>
      <c r="D13" s="9" t="s">
        <v>47</v>
      </c>
      <c r="E13" s="9" t="s">
        <v>50</v>
      </c>
      <c r="F13" s="9" t="s">
        <v>51</v>
      </c>
      <c r="G13" s="9" t="s">
        <v>22</v>
      </c>
      <c r="H13" s="9" t="s">
        <v>23</v>
      </c>
      <c r="I13" s="9" t="s">
        <v>24</v>
      </c>
      <c r="J13" s="9" t="s">
        <v>25</v>
      </c>
      <c r="K13" s="10">
        <v>394828</v>
      </c>
      <c r="L13" s="10">
        <v>366006.28</v>
      </c>
      <c r="M13" s="10">
        <v>0</v>
      </c>
      <c r="N13" s="11">
        <v>28821.72</v>
      </c>
    </row>
    <row r="14" spans="1:14" ht="21" x14ac:dyDescent="0.35">
      <c r="A14" s="23"/>
      <c r="B14" s="12" t="s">
        <v>19</v>
      </c>
      <c r="C14" s="12" t="s">
        <v>18</v>
      </c>
      <c r="D14" s="12" t="s">
        <v>47</v>
      </c>
      <c r="E14" s="12" t="s">
        <v>50</v>
      </c>
      <c r="F14" s="12" t="s">
        <v>51</v>
      </c>
      <c r="G14" s="12" t="s">
        <v>34</v>
      </c>
      <c r="H14" s="12" t="s">
        <v>35</v>
      </c>
      <c r="I14" s="12" t="s">
        <v>24</v>
      </c>
      <c r="J14" s="12" t="s">
        <v>25</v>
      </c>
      <c r="K14" s="6">
        <v>181472</v>
      </c>
      <c r="L14" s="6">
        <v>181472</v>
      </c>
      <c r="M14" s="6">
        <v>0</v>
      </c>
      <c r="N14" s="7">
        <v>0</v>
      </c>
    </row>
    <row r="15" spans="1:14" ht="21" x14ac:dyDescent="0.35">
      <c r="A15" s="23"/>
      <c r="B15" s="9" t="s">
        <v>19</v>
      </c>
      <c r="C15" s="9" t="s">
        <v>18</v>
      </c>
      <c r="D15" s="9" t="s">
        <v>47</v>
      </c>
      <c r="E15" s="9" t="s">
        <v>50</v>
      </c>
      <c r="F15" s="9" t="s">
        <v>51</v>
      </c>
      <c r="G15" s="9" t="s">
        <v>36</v>
      </c>
      <c r="H15" s="9" t="s">
        <v>37</v>
      </c>
      <c r="I15" s="9" t="s">
        <v>24</v>
      </c>
      <c r="J15" s="9" t="s">
        <v>25</v>
      </c>
      <c r="K15" s="10">
        <v>0</v>
      </c>
      <c r="L15" s="13"/>
      <c r="M15" s="13"/>
      <c r="N15" s="11">
        <v>0</v>
      </c>
    </row>
    <row r="16" spans="1:14" ht="21" x14ac:dyDescent="0.35">
      <c r="A16" s="23"/>
      <c r="B16" s="12" t="s">
        <v>19</v>
      </c>
      <c r="C16" s="12" t="s">
        <v>18</v>
      </c>
      <c r="D16" s="12" t="s">
        <v>47</v>
      </c>
      <c r="E16" s="12" t="s">
        <v>50</v>
      </c>
      <c r="F16" s="12" t="s">
        <v>51</v>
      </c>
      <c r="G16" s="12" t="s">
        <v>54</v>
      </c>
      <c r="H16" s="12" t="s">
        <v>55</v>
      </c>
      <c r="I16" s="12" t="s">
        <v>24</v>
      </c>
      <c r="J16" s="12" t="s">
        <v>25</v>
      </c>
      <c r="K16" s="6">
        <v>16000</v>
      </c>
      <c r="L16" s="14"/>
      <c r="M16" s="14"/>
      <c r="N16" s="7">
        <v>16000</v>
      </c>
    </row>
    <row r="17" spans="1:14" ht="21" x14ac:dyDescent="0.35">
      <c r="A17" s="23"/>
      <c r="B17" s="9" t="s">
        <v>19</v>
      </c>
      <c r="C17" s="9" t="s">
        <v>18</v>
      </c>
      <c r="D17" s="9" t="s">
        <v>47</v>
      </c>
      <c r="E17" s="9" t="s">
        <v>50</v>
      </c>
      <c r="F17" s="9" t="s">
        <v>51</v>
      </c>
      <c r="G17" s="9" t="s">
        <v>38</v>
      </c>
      <c r="H17" s="9" t="s">
        <v>39</v>
      </c>
      <c r="I17" s="9" t="s">
        <v>24</v>
      </c>
      <c r="J17" s="9" t="s">
        <v>25</v>
      </c>
      <c r="K17" s="10">
        <v>238754</v>
      </c>
      <c r="L17" s="10">
        <v>65424</v>
      </c>
      <c r="M17" s="13"/>
      <c r="N17" s="11">
        <v>173330</v>
      </c>
    </row>
    <row r="18" spans="1:14" ht="31.5" x14ac:dyDescent="0.35">
      <c r="A18" s="23"/>
      <c r="B18" s="12" t="s">
        <v>19</v>
      </c>
      <c r="C18" s="12" t="s">
        <v>18</v>
      </c>
      <c r="D18" s="12" t="s">
        <v>47</v>
      </c>
      <c r="E18" s="12" t="s">
        <v>56</v>
      </c>
      <c r="F18" s="12" t="s">
        <v>57</v>
      </c>
      <c r="G18" s="12" t="s">
        <v>58</v>
      </c>
      <c r="H18" s="12" t="s">
        <v>59</v>
      </c>
      <c r="I18" s="12" t="s">
        <v>24</v>
      </c>
      <c r="J18" s="12" t="s">
        <v>25</v>
      </c>
      <c r="K18" s="14"/>
      <c r="L18" s="6">
        <v>0</v>
      </c>
      <c r="M18" s="14"/>
      <c r="N18" s="7">
        <v>0</v>
      </c>
    </row>
    <row r="19" spans="1:14" ht="31.5" x14ac:dyDescent="0.35">
      <c r="A19" s="23"/>
      <c r="B19" s="9" t="s">
        <v>19</v>
      </c>
      <c r="C19" s="9" t="s">
        <v>18</v>
      </c>
      <c r="D19" s="9" t="s">
        <v>47</v>
      </c>
      <c r="E19" s="9" t="s">
        <v>56</v>
      </c>
      <c r="F19" s="9" t="s">
        <v>57</v>
      </c>
      <c r="G19" s="9" t="s">
        <v>30</v>
      </c>
      <c r="H19" s="9" t="s">
        <v>31</v>
      </c>
      <c r="I19" s="9" t="s">
        <v>24</v>
      </c>
      <c r="J19" s="9" t="s">
        <v>25</v>
      </c>
      <c r="K19" s="10">
        <v>299150</v>
      </c>
      <c r="L19" s="10">
        <v>299147.33</v>
      </c>
      <c r="M19" s="10">
        <v>0</v>
      </c>
      <c r="N19" s="11">
        <v>2.6699999999837001</v>
      </c>
    </row>
    <row r="20" spans="1:14" ht="31.5" x14ac:dyDescent="0.35">
      <c r="A20" s="23"/>
      <c r="B20" s="12" t="s">
        <v>19</v>
      </c>
      <c r="C20" s="12" t="s">
        <v>18</v>
      </c>
      <c r="D20" s="12" t="s">
        <v>47</v>
      </c>
      <c r="E20" s="12" t="s">
        <v>56</v>
      </c>
      <c r="F20" s="12" t="s">
        <v>57</v>
      </c>
      <c r="G20" s="12" t="s">
        <v>52</v>
      </c>
      <c r="H20" s="12" t="s">
        <v>53</v>
      </c>
      <c r="I20" s="12" t="s">
        <v>24</v>
      </c>
      <c r="J20" s="12" t="s">
        <v>25</v>
      </c>
      <c r="K20" s="6">
        <v>0</v>
      </c>
      <c r="L20" s="6">
        <v>0</v>
      </c>
      <c r="M20" s="14"/>
      <c r="N20" s="7">
        <v>0</v>
      </c>
    </row>
    <row r="21" spans="1:14" ht="31.5" x14ac:dyDescent="0.35">
      <c r="A21" s="23"/>
      <c r="B21" s="9" t="s">
        <v>19</v>
      </c>
      <c r="C21" s="9" t="s">
        <v>18</v>
      </c>
      <c r="D21" s="9" t="s">
        <v>47</v>
      </c>
      <c r="E21" s="9" t="s">
        <v>56</v>
      </c>
      <c r="F21" s="9" t="s">
        <v>57</v>
      </c>
      <c r="G21" s="9" t="s">
        <v>32</v>
      </c>
      <c r="H21" s="9" t="s">
        <v>33</v>
      </c>
      <c r="I21" s="9" t="s">
        <v>24</v>
      </c>
      <c r="J21" s="9" t="s">
        <v>25</v>
      </c>
      <c r="K21" s="10">
        <v>383900</v>
      </c>
      <c r="L21" s="10">
        <v>257959.96</v>
      </c>
      <c r="M21" s="10">
        <v>0</v>
      </c>
      <c r="N21" s="11">
        <v>125940.04</v>
      </c>
    </row>
    <row r="22" spans="1:14" ht="31.5" x14ac:dyDescent="0.35">
      <c r="A22" s="23"/>
      <c r="B22" s="12" t="s">
        <v>19</v>
      </c>
      <c r="C22" s="12" t="s">
        <v>18</v>
      </c>
      <c r="D22" s="12" t="s">
        <v>47</v>
      </c>
      <c r="E22" s="12" t="s">
        <v>56</v>
      </c>
      <c r="F22" s="12" t="s">
        <v>57</v>
      </c>
      <c r="G22" s="12" t="s">
        <v>22</v>
      </c>
      <c r="H22" s="12" t="s">
        <v>23</v>
      </c>
      <c r="I22" s="12" t="s">
        <v>24</v>
      </c>
      <c r="J22" s="12" t="s">
        <v>25</v>
      </c>
      <c r="K22" s="6">
        <v>42400</v>
      </c>
      <c r="L22" s="6">
        <v>42360</v>
      </c>
      <c r="M22" s="14"/>
      <c r="N22" s="7">
        <v>40</v>
      </c>
    </row>
    <row r="23" spans="1:14" ht="31.5" x14ac:dyDescent="0.35">
      <c r="A23" s="23"/>
      <c r="B23" s="9" t="s">
        <v>19</v>
      </c>
      <c r="C23" s="9" t="s">
        <v>18</v>
      </c>
      <c r="D23" s="9" t="s">
        <v>47</v>
      </c>
      <c r="E23" s="9" t="s">
        <v>56</v>
      </c>
      <c r="F23" s="9" t="s">
        <v>57</v>
      </c>
      <c r="G23" s="9" t="s">
        <v>34</v>
      </c>
      <c r="H23" s="9" t="s">
        <v>35</v>
      </c>
      <c r="I23" s="9" t="s">
        <v>24</v>
      </c>
      <c r="J23" s="9" t="s">
        <v>25</v>
      </c>
      <c r="K23" s="10">
        <v>192000</v>
      </c>
      <c r="L23" s="10">
        <v>153865.99</v>
      </c>
      <c r="M23" s="13"/>
      <c r="N23" s="11">
        <v>38134.01</v>
      </c>
    </row>
    <row r="24" spans="1:14" ht="31.5" x14ac:dyDescent="0.35">
      <c r="A24" s="23"/>
      <c r="B24" s="12" t="s">
        <v>19</v>
      </c>
      <c r="C24" s="12" t="s">
        <v>18</v>
      </c>
      <c r="D24" s="12" t="s">
        <v>47</v>
      </c>
      <c r="E24" s="12" t="s">
        <v>56</v>
      </c>
      <c r="F24" s="12" t="s">
        <v>57</v>
      </c>
      <c r="G24" s="12" t="s">
        <v>36</v>
      </c>
      <c r="H24" s="12" t="s">
        <v>37</v>
      </c>
      <c r="I24" s="12" t="s">
        <v>24</v>
      </c>
      <c r="J24" s="12" t="s">
        <v>25</v>
      </c>
      <c r="K24" s="6">
        <v>0</v>
      </c>
      <c r="L24" s="14"/>
      <c r="M24" s="14"/>
      <c r="N24" s="7">
        <v>0</v>
      </c>
    </row>
    <row r="25" spans="1:14" ht="31.5" x14ac:dyDescent="0.35">
      <c r="A25" s="23"/>
      <c r="B25" s="9" t="s">
        <v>19</v>
      </c>
      <c r="C25" s="9" t="s">
        <v>18</v>
      </c>
      <c r="D25" s="9" t="s">
        <v>47</v>
      </c>
      <c r="E25" s="9" t="s">
        <v>56</v>
      </c>
      <c r="F25" s="9" t="s">
        <v>57</v>
      </c>
      <c r="G25" s="9" t="s">
        <v>54</v>
      </c>
      <c r="H25" s="9" t="s">
        <v>55</v>
      </c>
      <c r="I25" s="9" t="s">
        <v>24</v>
      </c>
      <c r="J25" s="9" t="s">
        <v>25</v>
      </c>
      <c r="K25" s="10">
        <v>20000</v>
      </c>
      <c r="L25" s="13"/>
      <c r="M25" s="13"/>
      <c r="N25" s="11">
        <v>20000</v>
      </c>
    </row>
    <row r="26" spans="1:14" ht="31.5" x14ac:dyDescent="0.35">
      <c r="A26" s="23"/>
      <c r="B26" s="12" t="s">
        <v>19</v>
      </c>
      <c r="C26" s="12" t="s">
        <v>18</v>
      </c>
      <c r="D26" s="12" t="s">
        <v>47</v>
      </c>
      <c r="E26" s="12" t="s">
        <v>56</v>
      </c>
      <c r="F26" s="12" t="s">
        <v>57</v>
      </c>
      <c r="G26" s="12" t="s">
        <v>38</v>
      </c>
      <c r="H26" s="12" t="s">
        <v>39</v>
      </c>
      <c r="I26" s="12" t="s">
        <v>24</v>
      </c>
      <c r="J26" s="12" t="s">
        <v>25</v>
      </c>
      <c r="K26" s="6">
        <v>276000</v>
      </c>
      <c r="L26" s="6">
        <v>78000</v>
      </c>
      <c r="M26" s="14"/>
      <c r="N26" s="7">
        <v>198000</v>
      </c>
    </row>
    <row r="27" spans="1:14" ht="31.5" x14ac:dyDescent="0.35">
      <c r="A27" s="23"/>
      <c r="B27" s="9" t="s">
        <v>19</v>
      </c>
      <c r="C27" s="9" t="s">
        <v>18</v>
      </c>
      <c r="D27" s="9" t="s">
        <v>47</v>
      </c>
      <c r="E27" s="9" t="s">
        <v>60</v>
      </c>
      <c r="F27" s="9" t="s">
        <v>61</v>
      </c>
      <c r="G27" s="9" t="s">
        <v>32</v>
      </c>
      <c r="H27" s="9" t="s">
        <v>33</v>
      </c>
      <c r="I27" s="9" t="s">
        <v>24</v>
      </c>
      <c r="J27" s="9" t="s">
        <v>25</v>
      </c>
      <c r="K27" s="10">
        <v>0</v>
      </c>
      <c r="L27" s="10">
        <v>0</v>
      </c>
      <c r="M27" s="13"/>
      <c r="N27" s="11">
        <v>0</v>
      </c>
    </row>
    <row r="28" spans="1:14" ht="31.5" x14ac:dyDescent="0.35">
      <c r="A28" s="23"/>
      <c r="B28" s="12" t="s">
        <v>19</v>
      </c>
      <c r="C28" s="12" t="s">
        <v>18</v>
      </c>
      <c r="D28" s="12" t="s">
        <v>47</v>
      </c>
      <c r="E28" s="12" t="s">
        <v>60</v>
      </c>
      <c r="F28" s="12" t="s">
        <v>61</v>
      </c>
      <c r="G28" s="12" t="s">
        <v>22</v>
      </c>
      <c r="H28" s="12" t="s">
        <v>23</v>
      </c>
      <c r="I28" s="12" t="s">
        <v>24</v>
      </c>
      <c r="J28" s="12" t="s">
        <v>25</v>
      </c>
      <c r="K28" s="6">
        <v>1200</v>
      </c>
      <c r="L28" s="6">
        <v>1200</v>
      </c>
      <c r="M28" s="14"/>
      <c r="N28" s="7">
        <v>0</v>
      </c>
    </row>
    <row r="29" spans="1:14" ht="21" x14ac:dyDescent="0.35">
      <c r="A29" s="23"/>
      <c r="B29" s="9" t="s">
        <v>19</v>
      </c>
      <c r="C29" s="9" t="s">
        <v>18</v>
      </c>
      <c r="D29" s="9" t="s">
        <v>47</v>
      </c>
      <c r="E29" s="9" t="s">
        <v>62</v>
      </c>
      <c r="F29" s="9" t="s">
        <v>63</v>
      </c>
      <c r="G29" s="9" t="s">
        <v>30</v>
      </c>
      <c r="H29" s="9" t="s">
        <v>31</v>
      </c>
      <c r="I29" s="9" t="s">
        <v>24</v>
      </c>
      <c r="J29" s="9" t="s">
        <v>25</v>
      </c>
      <c r="K29" s="10">
        <v>29549.75</v>
      </c>
      <c r="L29" s="10">
        <v>29549.38</v>
      </c>
      <c r="M29" s="13"/>
      <c r="N29" s="11">
        <v>0.36999999999898098</v>
      </c>
    </row>
    <row r="30" spans="1:14" ht="21" x14ac:dyDescent="0.35">
      <c r="A30" s="23"/>
      <c r="B30" s="12" t="s">
        <v>19</v>
      </c>
      <c r="C30" s="12" t="s">
        <v>18</v>
      </c>
      <c r="D30" s="12" t="s">
        <v>47</v>
      </c>
      <c r="E30" s="12" t="s">
        <v>62</v>
      </c>
      <c r="F30" s="12" t="s">
        <v>63</v>
      </c>
      <c r="G30" s="12" t="s">
        <v>52</v>
      </c>
      <c r="H30" s="12" t="s">
        <v>53</v>
      </c>
      <c r="I30" s="12" t="s">
        <v>24</v>
      </c>
      <c r="J30" s="12" t="s">
        <v>25</v>
      </c>
      <c r="K30" s="6">
        <v>0</v>
      </c>
      <c r="L30" s="14"/>
      <c r="M30" s="14"/>
      <c r="N30" s="7">
        <v>0</v>
      </c>
    </row>
    <row r="31" spans="1:14" ht="21" x14ac:dyDescent="0.35">
      <c r="A31" s="23"/>
      <c r="B31" s="9" t="s">
        <v>19</v>
      </c>
      <c r="C31" s="9" t="s">
        <v>18</v>
      </c>
      <c r="D31" s="9" t="s">
        <v>47</v>
      </c>
      <c r="E31" s="9" t="s">
        <v>62</v>
      </c>
      <c r="F31" s="9" t="s">
        <v>63</v>
      </c>
      <c r="G31" s="9" t="s">
        <v>32</v>
      </c>
      <c r="H31" s="9" t="s">
        <v>33</v>
      </c>
      <c r="I31" s="9" t="s">
        <v>24</v>
      </c>
      <c r="J31" s="9" t="s">
        <v>25</v>
      </c>
      <c r="K31" s="10">
        <v>60000</v>
      </c>
      <c r="L31" s="10">
        <v>0</v>
      </c>
      <c r="M31" s="13"/>
      <c r="N31" s="11">
        <v>60000</v>
      </c>
    </row>
    <row r="32" spans="1:14" ht="21" x14ac:dyDescent="0.35">
      <c r="A32" s="23"/>
      <c r="B32" s="12" t="s">
        <v>19</v>
      </c>
      <c r="C32" s="12" t="s">
        <v>18</v>
      </c>
      <c r="D32" s="12" t="s">
        <v>47</v>
      </c>
      <c r="E32" s="12" t="s">
        <v>62</v>
      </c>
      <c r="F32" s="12" t="s">
        <v>63</v>
      </c>
      <c r="G32" s="12" t="s">
        <v>22</v>
      </c>
      <c r="H32" s="12" t="s">
        <v>23</v>
      </c>
      <c r="I32" s="12" t="s">
        <v>24</v>
      </c>
      <c r="J32" s="12" t="s">
        <v>25</v>
      </c>
      <c r="K32" s="6">
        <v>9058.75</v>
      </c>
      <c r="L32" s="6">
        <v>6485.37</v>
      </c>
      <c r="M32" s="14"/>
      <c r="N32" s="7">
        <v>2573.38</v>
      </c>
    </row>
    <row r="33" spans="1:14" ht="21" x14ac:dyDescent="0.35">
      <c r="A33" s="23"/>
      <c r="B33" s="9" t="s">
        <v>19</v>
      </c>
      <c r="C33" s="9" t="s">
        <v>18</v>
      </c>
      <c r="D33" s="9" t="s">
        <v>47</v>
      </c>
      <c r="E33" s="9" t="s">
        <v>62</v>
      </c>
      <c r="F33" s="9" t="s">
        <v>63</v>
      </c>
      <c r="G33" s="9" t="s">
        <v>34</v>
      </c>
      <c r="H33" s="9" t="s">
        <v>35</v>
      </c>
      <c r="I33" s="9" t="s">
        <v>24</v>
      </c>
      <c r="J33" s="9" t="s">
        <v>25</v>
      </c>
      <c r="K33" s="10">
        <v>23065</v>
      </c>
      <c r="L33" s="10">
        <v>23064</v>
      </c>
      <c r="M33" s="13"/>
      <c r="N33" s="11">
        <v>1</v>
      </c>
    </row>
    <row r="34" spans="1:14" ht="21" x14ac:dyDescent="0.35">
      <c r="A34" s="23"/>
      <c r="B34" s="12" t="s">
        <v>19</v>
      </c>
      <c r="C34" s="12" t="s">
        <v>18</v>
      </c>
      <c r="D34" s="12" t="s">
        <v>47</v>
      </c>
      <c r="E34" s="12" t="s">
        <v>62</v>
      </c>
      <c r="F34" s="12" t="s">
        <v>63</v>
      </c>
      <c r="G34" s="12" t="s">
        <v>38</v>
      </c>
      <c r="H34" s="12" t="s">
        <v>39</v>
      </c>
      <c r="I34" s="12" t="s">
        <v>24</v>
      </c>
      <c r="J34" s="12" t="s">
        <v>25</v>
      </c>
      <c r="K34" s="6">
        <v>18107.5</v>
      </c>
      <c r="L34" s="6">
        <v>12970.75</v>
      </c>
      <c r="M34" s="14"/>
      <c r="N34" s="7">
        <v>5136.75</v>
      </c>
    </row>
    <row r="35" spans="1:14" ht="21" x14ac:dyDescent="0.35">
      <c r="A35" s="23"/>
      <c r="B35" s="9" t="s">
        <v>19</v>
      </c>
      <c r="C35" s="9" t="s">
        <v>18</v>
      </c>
      <c r="D35" s="9" t="s">
        <v>47</v>
      </c>
      <c r="E35" s="9" t="s">
        <v>64</v>
      </c>
      <c r="F35" s="9" t="s">
        <v>65</v>
      </c>
      <c r="G35" s="9" t="s">
        <v>30</v>
      </c>
      <c r="H35" s="9" t="s">
        <v>31</v>
      </c>
      <c r="I35" s="9" t="s">
        <v>24</v>
      </c>
      <c r="J35" s="9" t="s">
        <v>25</v>
      </c>
      <c r="K35" s="10">
        <v>0</v>
      </c>
      <c r="L35" s="13"/>
      <c r="M35" s="13"/>
      <c r="N35" s="11">
        <v>0</v>
      </c>
    </row>
    <row r="36" spans="1:14" ht="21" x14ac:dyDescent="0.35">
      <c r="A36" s="23"/>
      <c r="B36" s="12" t="s">
        <v>19</v>
      </c>
      <c r="C36" s="12" t="s">
        <v>18</v>
      </c>
      <c r="D36" s="12" t="s">
        <v>47</v>
      </c>
      <c r="E36" s="12" t="s">
        <v>64</v>
      </c>
      <c r="F36" s="12" t="s">
        <v>65</v>
      </c>
      <c r="G36" s="12" t="s">
        <v>52</v>
      </c>
      <c r="H36" s="12" t="s">
        <v>53</v>
      </c>
      <c r="I36" s="12" t="s">
        <v>24</v>
      </c>
      <c r="J36" s="12" t="s">
        <v>25</v>
      </c>
      <c r="K36" s="6">
        <v>0</v>
      </c>
      <c r="L36" s="14"/>
      <c r="M36" s="14"/>
      <c r="N36" s="7">
        <v>0</v>
      </c>
    </row>
    <row r="37" spans="1:14" ht="21" x14ac:dyDescent="0.35">
      <c r="A37" s="23"/>
      <c r="B37" s="9" t="s">
        <v>19</v>
      </c>
      <c r="C37" s="9" t="s">
        <v>18</v>
      </c>
      <c r="D37" s="9" t="s">
        <v>47</v>
      </c>
      <c r="E37" s="9" t="s">
        <v>64</v>
      </c>
      <c r="F37" s="9" t="s">
        <v>65</v>
      </c>
      <c r="G37" s="9" t="s">
        <v>32</v>
      </c>
      <c r="H37" s="9" t="s">
        <v>33</v>
      </c>
      <c r="I37" s="9" t="s">
        <v>24</v>
      </c>
      <c r="J37" s="9" t="s">
        <v>25</v>
      </c>
      <c r="K37" s="10">
        <v>0</v>
      </c>
      <c r="L37" s="13"/>
      <c r="M37" s="13"/>
      <c r="N37" s="11">
        <v>0</v>
      </c>
    </row>
    <row r="38" spans="1:14" ht="21" x14ac:dyDescent="0.35">
      <c r="A38" s="23"/>
      <c r="B38" s="12" t="s">
        <v>19</v>
      </c>
      <c r="C38" s="12" t="s">
        <v>18</v>
      </c>
      <c r="D38" s="12" t="s">
        <v>47</v>
      </c>
      <c r="E38" s="12" t="s">
        <v>64</v>
      </c>
      <c r="F38" s="12" t="s">
        <v>65</v>
      </c>
      <c r="G38" s="12" t="s">
        <v>22</v>
      </c>
      <c r="H38" s="12" t="s">
        <v>23</v>
      </c>
      <c r="I38" s="12" t="s">
        <v>24</v>
      </c>
      <c r="J38" s="12" t="s">
        <v>25</v>
      </c>
      <c r="K38" s="6">
        <v>0</v>
      </c>
      <c r="L38" s="6">
        <v>0</v>
      </c>
      <c r="M38" s="6">
        <v>0</v>
      </c>
      <c r="N38" s="7">
        <v>0</v>
      </c>
    </row>
    <row r="39" spans="1:14" ht="21" x14ac:dyDescent="0.35">
      <c r="A39" s="23"/>
      <c r="B39" s="9" t="s">
        <v>19</v>
      </c>
      <c r="C39" s="9" t="s">
        <v>18</v>
      </c>
      <c r="D39" s="9" t="s">
        <v>47</v>
      </c>
      <c r="E39" s="9" t="s">
        <v>64</v>
      </c>
      <c r="F39" s="9" t="s">
        <v>65</v>
      </c>
      <c r="G39" s="9" t="s">
        <v>34</v>
      </c>
      <c r="H39" s="9" t="s">
        <v>35</v>
      </c>
      <c r="I39" s="9" t="s">
        <v>24</v>
      </c>
      <c r="J39" s="9" t="s">
        <v>25</v>
      </c>
      <c r="K39" s="10">
        <v>0</v>
      </c>
      <c r="L39" s="13"/>
      <c r="M39" s="13"/>
      <c r="N39" s="11">
        <v>0</v>
      </c>
    </row>
    <row r="40" spans="1:14" ht="21" x14ac:dyDescent="0.35">
      <c r="A40" s="23"/>
      <c r="B40" s="12" t="s">
        <v>19</v>
      </c>
      <c r="C40" s="12" t="s">
        <v>18</v>
      </c>
      <c r="D40" s="12" t="s">
        <v>47</v>
      </c>
      <c r="E40" s="12" t="s">
        <v>66</v>
      </c>
      <c r="F40" s="12" t="s">
        <v>67</v>
      </c>
      <c r="G40" s="12" t="s">
        <v>30</v>
      </c>
      <c r="H40" s="12" t="s">
        <v>31</v>
      </c>
      <c r="I40" s="12" t="s">
        <v>24</v>
      </c>
      <c r="J40" s="12" t="s">
        <v>25</v>
      </c>
      <c r="K40" s="6">
        <v>100</v>
      </c>
      <c r="L40" s="6">
        <v>0.67</v>
      </c>
      <c r="M40" s="14"/>
      <c r="N40" s="7">
        <v>99.33</v>
      </c>
    </row>
    <row r="41" spans="1:14" ht="21" x14ac:dyDescent="0.35">
      <c r="A41" s="23"/>
      <c r="B41" s="9" t="s">
        <v>19</v>
      </c>
      <c r="C41" s="9" t="s">
        <v>18</v>
      </c>
      <c r="D41" s="9" t="s">
        <v>47</v>
      </c>
      <c r="E41" s="9" t="s">
        <v>66</v>
      </c>
      <c r="F41" s="9" t="s">
        <v>67</v>
      </c>
      <c r="G41" s="9" t="s">
        <v>32</v>
      </c>
      <c r="H41" s="9" t="s">
        <v>33</v>
      </c>
      <c r="I41" s="9" t="s">
        <v>24</v>
      </c>
      <c r="J41" s="9" t="s">
        <v>25</v>
      </c>
      <c r="K41" s="10">
        <v>100</v>
      </c>
      <c r="L41" s="10">
        <v>3.22</v>
      </c>
      <c r="M41" s="13"/>
      <c r="N41" s="11">
        <v>96.78</v>
      </c>
    </row>
    <row r="42" spans="1:14" ht="21" x14ac:dyDescent="0.35">
      <c r="A42" s="23"/>
      <c r="B42" s="12" t="s">
        <v>19</v>
      </c>
      <c r="C42" s="12" t="s">
        <v>18</v>
      </c>
      <c r="D42" s="12" t="s">
        <v>47</v>
      </c>
      <c r="E42" s="12" t="s">
        <v>66</v>
      </c>
      <c r="F42" s="12" t="s">
        <v>67</v>
      </c>
      <c r="G42" s="12" t="s">
        <v>22</v>
      </c>
      <c r="H42" s="12" t="s">
        <v>23</v>
      </c>
      <c r="I42" s="12" t="s">
        <v>24</v>
      </c>
      <c r="J42" s="12" t="s">
        <v>25</v>
      </c>
      <c r="K42" s="6">
        <v>100</v>
      </c>
      <c r="L42" s="6">
        <v>0.5</v>
      </c>
      <c r="M42" s="14"/>
      <c r="N42" s="7">
        <v>99.5</v>
      </c>
    </row>
    <row r="43" spans="1:14" ht="21" x14ac:dyDescent="0.35">
      <c r="A43" s="23"/>
      <c r="B43" s="9" t="s">
        <v>19</v>
      </c>
      <c r="C43" s="9" t="s">
        <v>18</v>
      </c>
      <c r="D43" s="9" t="s">
        <v>47</v>
      </c>
      <c r="E43" s="9" t="s">
        <v>66</v>
      </c>
      <c r="F43" s="9" t="s">
        <v>67</v>
      </c>
      <c r="G43" s="9" t="s">
        <v>34</v>
      </c>
      <c r="H43" s="9" t="s">
        <v>35</v>
      </c>
      <c r="I43" s="9" t="s">
        <v>24</v>
      </c>
      <c r="J43" s="9" t="s">
        <v>25</v>
      </c>
      <c r="K43" s="10">
        <v>100</v>
      </c>
      <c r="L43" s="10">
        <v>0.67</v>
      </c>
      <c r="M43" s="13"/>
      <c r="N43" s="11">
        <v>99.33</v>
      </c>
    </row>
    <row r="44" spans="1:14" ht="21" x14ac:dyDescent="0.35">
      <c r="A44" s="23"/>
      <c r="B44" s="12" t="s">
        <v>19</v>
      </c>
      <c r="C44" s="12" t="s">
        <v>18</v>
      </c>
      <c r="D44" s="12" t="s">
        <v>47</v>
      </c>
      <c r="E44" s="12" t="s">
        <v>66</v>
      </c>
      <c r="F44" s="12" t="s">
        <v>67</v>
      </c>
      <c r="G44" s="12" t="s">
        <v>36</v>
      </c>
      <c r="H44" s="12" t="s">
        <v>37</v>
      </c>
      <c r="I44" s="12" t="s">
        <v>24</v>
      </c>
      <c r="J44" s="12" t="s">
        <v>25</v>
      </c>
      <c r="K44" s="6">
        <v>0</v>
      </c>
      <c r="L44" s="14"/>
      <c r="M44" s="14"/>
      <c r="N44" s="7">
        <v>0</v>
      </c>
    </row>
    <row r="45" spans="1:14" ht="31.5" x14ac:dyDescent="0.35">
      <c r="A45" s="23"/>
      <c r="B45" s="9" t="s">
        <v>19</v>
      </c>
      <c r="C45" s="9" t="s">
        <v>18</v>
      </c>
      <c r="D45" s="9" t="s">
        <v>47</v>
      </c>
      <c r="E45" s="9" t="s">
        <v>68</v>
      </c>
      <c r="F45" s="9" t="s">
        <v>69</v>
      </c>
      <c r="G45" s="9" t="s">
        <v>30</v>
      </c>
      <c r="H45" s="9" t="s">
        <v>31</v>
      </c>
      <c r="I45" s="9" t="s">
        <v>24</v>
      </c>
      <c r="J45" s="9" t="s">
        <v>25</v>
      </c>
      <c r="K45" s="10">
        <v>18994</v>
      </c>
      <c r="L45" s="10">
        <v>8908.02</v>
      </c>
      <c r="M45" s="10">
        <v>0</v>
      </c>
      <c r="N45" s="11">
        <v>10085.98</v>
      </c>
    </row>
    <row r="46" spans="1:14" ht="31.5" x14ac:dyDescent="0.35">
      <c r="A46" s="23"/>
      <c r="B46" s="12" t="s">
        <v>19</v>
      </c>
      <c r="C46" s="12" t="s">
        <v>18</v>
      </c>
      <c r="D46" s="12" t="s">
        <v>47</v>
      </c>
      <c r="E46" s="12" t="s">
        <v>68</v>
      </c>
      <c r="F46" s="12" t="s">
        <v>69</v>
      </c>
      <c r="G46" s="12" t="s">
        <v>52</v>
      </c>
      <c r="H46" s="12" t="s">
        <v>53</v>
      </c>
      <c r="I46" s="12" t="s">
        <v>24</v>
      </c>
      <c r="J46" s="12" t="s">
        <v>25</v>
      </c>
      <c r="K46" s="6">
        <v>0</v>
      </c>
      <c r="L46" s="6">
        <v>0</v>
      </c>
      <c r="M46" s="14"/>
      <c r="N46" s="7">
        <v>0</v>
      </c>
    </row>
    <row r="47" spans="1:14" ht="31.5" x14ac:dyDescent="0.35">
      <c r="A47" s="23"/>
      <c r="B47" s="9" t="s">
        <v>19</v>
      </c>
      <c r="C47" s="9" t="s">
        <v>18</v>
      </c>
      <c r="D47" s="9" t="s">
        <v>47</v>
      </c>
      <c r="E47" s="9" t="s">
        <v>68</v>
      </c>
      <c r="F47" s="9" t="s">
        <v>69</v>
      </c>
      <c r="G47" s="9" t="s">
        <v>32</v>
      </c>
      <c r="H47" s="9" t="s">
        <v>33</v>
      </c>
      <c r="I47" s="9" t="s">
        <v>24</v>
      </c>
      <c r="J47" s="9" t="s">
        <v>25</v>
      </c>
      <c r="K47" s="10">
        <v>33456</v>
      </c>
      <c r="L47" s="10">
        <v>0</v>
      </c>
      <c r="M47" s="13"/>
      <c r="N47" s="11">
        <v>33456</v>
      </c>
    </row>
    <row r="48" spans="1:14" ht="31.5" x14ac:dyDescent="0.35">
      <c r="A48" s="23"/>
      <c r="B48" s="12" t="s">
        <v>19</v>
      </c>
      <c r="C48" s="12" t="s">
        <v>18</v>
      </c>
      <c r="D48" s="12" t="s">
        <v>47</v>
      </c>
      <c r="E48" s="12" t="s">
        <v>68</v>
      </c>
      <c r="F48" s="12" t="s">
        <v>69</v>
      </c>
      <c r="G48" s="12" t="s">
        <v>22</v>
      </c>
      <c r="H48" s="12" t="s">
        <v>23</v>
      </c>
      <c r="I48" s="12" t="s">
        <v>24</v>
      </c>
      <c r="J48" s="12" t="s">
        <v>25</v>
      </c>
      <c r="K48" s="6">
        <v>2726</v>
      </c>
      <c r="L48" s="6">
        <v>0</v>
      </c>
      <c r="M48" s="14"/>
      <c r="N48" s="7">
        <v>2726</v>
      </c>
    </row>
    <row r="49" spans="1:14" ht="31.5" x14ac:dyDescent="0.35">
      <c r="A49" s="23"/>
      <c r="B49" s="9" t="s">
        <v>19</v>
      </c>
      <c r="C49" s="9" t="s">
        <v>18</v>
      </c>
      <c r="D49" s="9" t="s">
        <v>47</v>
      </c>
      <c r="E49" s="9" t="s">
        <v>68</v>
      </c>
      <c r="F49" s="9" t="s">
        <v>69</v>
      </c>
      <c r="G49" s="9" t="s">
        <v>34</v>
      </c>
      <c r="H49" s="9" t="s">
        <v>35</v>
      </c>
      <c r="I49" s="9" t="s">
        <v>24</v>
      </c>
      <c r="J49" s="9" t="s">
        <v>25</v>
      </c>
      <c r="K49" s="10">
        <v>22908</v>
      </c>
      <c r="L49" s="10">
        <v>8908.02</v>
      </c>
      <c r="M49" s="13"/>
      <c r="N49" s="11">
        <v>13999.98</v>
      </c>
    </row>
    <row r="50" spans="1:14" ht="31.5" x14ac:dyDescent="0.35">
      <c r="A50" s="23"/>
      <c r="B50" s="12" t="s">
        <v>19</v>
      </c>
      <c r="C50" s="12" t="s">
        <v>18</v>
      </c>
      <c r="D50" s="12" t="s">
        <v>47</v>
      </c>
      <c r="E50" s="12" t="s">
        <v>68</v>
      </c>
      <c r="F50" s="12" t="s">
        <v>69</v>
      </c>
      <c r="G50" s="12" t="s">
        <v>36</v>
      </c>
      <c r="H50" s="12" t="s">
        <v>37</v>
      </c>
      <c r="I50" s="12" t="s">
        <v>24</v>
      </c>
      <c r="J50" s="12" t="s">
        <v>25</v>
      </c>
      <c r="K50" s="6">
        <v>0</v>
      </c>
      <c r="L50" s="14"/>
      <c r="M50" s="14"/>
      <c r="N50" s="7">
        <v>0</v>
      </c>
    </row>
    <row r="51" spans="1:14" ht="31.5" x14ac:dyDescent="0.35">
      <c r="A51" s="23"/>
      <c r="B51" s="9" t="s">
        <v>19</v>
      </c>
      <c r="C51" s="9" t="s">
        <v>18</v>
      </c>
      <c r="D51" s="9" t="s">
        <v>47</v>
      </c>
      <c r="E51" s="9" t="s">
        <v>68</v>
      </c>
      <c r="F51" s="9" t="s">
        <v>69</v>
      </c>
      <c r="G51" s="9" t="s">
        <v>38</v>
      </c>
      <c r="H51" s="9" t="s">
        <v>39</v>
      </c>
      <c r="I51" s="9" t="s">
        <v>24</v>
      </c>
      <c r="J51" s="9" t="s">
        <v>25</v>
      </c>
      <c r="K51" s="10">
        <v>20812</v>
      </c>
      <c r="L51" s="13"/>
      <c r="M51" s="13"/>
      <c r="N51" s="11">
        <v>20812</v>
      </c>
    </row>
    <row r="52" spans="1:14" ht="21" x14ac:dyDescent="0.35">
      <c r="A52" s="23"/>
      <c r="B52" s="12" t="s">
        <v>19</v>
      </c>
      <c r="C52" s="12" t="s">
        <v>18</v>
      </c>
      <c r="D52" s="12" t="s">
        <v>47</v>
      </c>
      <c r="E52" s="12" t="s">
        <v>70</v>
      </c>
      <c r="F52" s="12" t="s">
        <v>71</v>
      </c>
      <c r="G52" s="12" t="s">
        <v>34</v>
      </c>
      <c r="H52" s="12" t="s">
        <v>35</v>
      </c>
      <c r="I52" s="12" t="s">
        <v>24</v>
      </c>
      <c r="J52" s="12" t="s">
        <v>25</v>
      </c>
      <c r="K52" s="6">
        <v>0</v>
      </c>
      <c r="L52" s="14"/>
      <c r="M52" s="14"/>
      <c r="N52" s="7">
        <v>0</v>
      </c>
    </row>
    <row r="53" spans="1:14" ht="21" x14ac:dyDescent="0.35">
      <c r="A53" s="23"/>
      <c r="B53" s="9" t="s">
        <v>19</v>
      </c>
      <c r="C53" s="9" t="s">
        <v>18</v>
      </c>
      <c r="D53" s="9" t="s">
        <v>47</v>
      </c>
      <c r="E53" s="9" t="s">
        <v>72</v>
      </c>
      <c r="F53" s="9" t="s">
        <v>73</v>
      </c>
      <c r="G53" s="9" t="s">
        <v>58</v>
      </c>
      <c r="H53" s="9" t="s">
        <v>59</v>
      </c>
      <c r="I53" s="9" t="s">
        <v>24</v>
      </c>
      <c r="J53" s="9" t="s">
        <v>25</v>
      </c>
      <c r="K53" s="10">
        <v>0</v>
      </c>
      <c r="L53" s="10">
        <v>0</v>
      </c>
      <c r="M53" s="10">
        <v>0</v>
      </c>
      <c r="N53" s="11">
        <v>0</v>
      </c>
    </row>
    <row r="54" spans="1:14" ht="21" x14ac:dyDescent="0.35">
      <c r="A54" s="23"/>
      <c r="B54" s="12" t="s">
        <v>19</v>
      </c>
      <c r="C54" s="12" t="s">
        <v>18</v>
      </c>
      <c r="D54" s="12" t="s">
        <v>47</v>
      </c>
      <c r="E54" s="12" t="s">
        <v>72</v>
      </c>
      <c r="F54" s="12" t="s">
        <v>73</v>
      </c>
      <c r="G54" s="12" t="s">
        <v>32</v>
      </c>
      <c r="H54" s="12" t="s">
        <v>33</v>
      </c>
      <c r="I54" s="12" t="s">
        <v>24</v>
      </c>
      <c r="J54" s="12" t="s">
        <v>25</v>
      </c>
      <c r="K54" s="6">
        <v>0</v>
      </c>
      <c r="L54" s="6">
        <v>0</v>
      </c>
      <c r="M54" s="14"/>
      <c r="N54" s="7">
        <v>0</v>
      </c>
    </row>
    <row r="55" spans="1:14" ht="21" x14ac:dyDescent="0.35">
      <c r="A55" s="23"/>
      <c r="B55" s="9" t="s">
        <v>19</v>
      </c>
      <c r="C55" s="9" t="s">
        <v>18</v>
      </c>
      <c r="D55" s="9" t="s">
        <v>47</v>
      </c>
      <c r="E55" s="9" t="s">
        <v>72</v>
      </c>
      <c r="F55" s="9" t="s">
        <v>73</v>
      </c>
      <c r="G55" s="9" t="s">
        <v>22</v>
      </c>
      <c r="H55" s="9" t="s">
        <v>23</v>
      </c>
      <c r="I55" s="9" t="s">
        <v>24</v>
      </c>
      <c r="J55" s="9" t="s">
        <v>25</v>
      </c>
      <c r="K55" s="10">
        <v>0</v>
      </c>
      <c r="L55" s="10">
        <v>0</v>
      </c>
      <c r="M55" s="13"/>
      <c r="N55" s="11">
        <v>0</v>
      </c>
    </row>
    <row r="56" spans="1:14" ht="31.5" x14ac:dyDescent="0.35">
      <c r="A56" s="23"/>
      <c r="B56" s="12" t="s">
        <v>19</v>
      </c>
      <c r="C56" s="12" t="s">
        <v>18</v>
      </c>
      <c r="D56" s="12" t="s">
        <v>47</v>
      </c>
      <c r="E56" s="12" t="s">
        <v>74</v>
      </c>
      <c r="F56" s="12" t="s">
        <v>75</v>
      </c>
      <c r="G56" s="12" t="s">
        <v>22</v>
      </c>
      <c r="H56" s="12" t="s">
        <v>23</v>
      </c>
      <c r="I56" s="12" t="s">
        <v>24</v>
      </c>
      <c r="J56" s="12" t="s">
        <v>25</v>
      </c>
      <c r="K56" s="6">
        <v>0</v>
      </c>
      <c r="L56" s="6">
        <v>0</v>
      </c>
      <c r="M56" s="6">
        <v>0</v>
      </c>
      <c r="N56" s="7">
        <v>0</v>
      </c>
    </row>
    <row r="57" spans="1:14" ht="21" x14ac:dyDescent="0.35">
      <c r="A57" s="23"/>
      <c r="B57" s="9" t="s">
        <v>19</v>
      </c>
      <c r="C57" s="9" t="s">
        <v>18</v>
      </c>
      <c r="D57" s="9" t="s">
        <v>47</v>
      </c>
      <c r="E57" s="9" t="s">
        <v>76</v>
      </c>
      <c r="F57" s="9" t="s">
        <v>77</v>
      </c>
      <c r="G57" s="9" t="s">
        <v>30</v>
      </c>
      <c r="H57" s="9" t="s">
        <v>31</v>
      </c>
      <c r="I57" s="9" t="s">
        <v>24</v>
      </c>
      <c r="J57" s="9" t="s">
        <v>25</v>
      </c>
      <c r="K57" s="10">
        <v>22685</v>
      </c>
      <c r="L57" s="10">
        <v>22684.02</v>
      </c>
      <c r="M57" s="13"/>
      <c r="N57" s="11">
        <v>0.979999999999563</v>
      </c>
    </row>
    <row r="58" spans="1:14" ht="21" x14ac:dyDescent="0.35">
      <c r="A58" s="23"/>
      <c r="B58" s="12" t="s">
        <v>19</v>
      </c>
      <c r="C58" s="12" t="s">
        <v>18</v>
      </c>
      <c r="D58" s="12" t="s">
        <v>47</v>
      </c>
      <c r="E58" s="12" t="s">
        <v>76</v>
      </c>
      <c r="F58" s="12" t="s">
        <v>77</v>
      </c>
      <c r="G58" s="12" t="s">
        <v>52</v>
      </c>
      <c r="H58" s="12" t="s">
        <v>53</v>
      </c>
      <c r="I58" s="12" t="s">
        <v>24</v>
      </c>
      <c r="J58" s="12" t="s">
        <v>25</v>
      </c>
      <c r="K58" s="6">
        <v>0</v>
      </c>
      <c r="L58" s="6">
        <v>0</v>
      </c>
      <c r="M58" s="14"/>
      <c r="N58" s="7">
        <v>0</v>
      </c>
    </row>
    <row r="59" spans="1:14" ht="21" x14ac:dyDescent="0.35">
      <c r="A59" s="23"/>
      <c r="B59" s="9" t="s">
        <v>19</v>
      </c>
      <c r="C59" s="9" t="s">
        <v>18</v>
      </c>
      <c r="D59" s="9" t="s">
        <v>47</v>
      </c>
      <c r="E59" s="9" t="s">
        <v>76</v>
      </c>
      <c r="F59" s="9" t="s">
        <v>77</v>
      </c>
      <c r="G59" s="9" t="s">
        <v>32</v>
      </c>
      <c r="H59" s="9" t="s">
        <v>33</v>
      </c>
      <c r="I59" s="9" t="s">
        <v>24</v>
      </c>
      <c r="J59" s="9" t="s">
        <v>25</v>
      </c>
      <c r="K59" s="10">
        <v>17046</v>
      </c>
      <c r="L59" s="10">
        <v>8000</v>
      </c>
      <c r="M59" s="10">
        <v>0</v>
      </c>
      <c r="N59" s="11">
        <v>9046</v>
      </c>
    </row>
    <row r="60" spans="1:14" ht="21" x14ac:dyDescent="0.35">
      <c r="A60" s="23"/>
      <c r="B60" s="12" t="s">
        <v>19</v>
      </c>
      <c r="C60" s="12" t="s">
        <v>18</v>
      </c>
      <c r="D60" s="12" t="s">
        <v>47</v>
      </c>
      <c r="E60" s="12" t="s">
        <v>76</v>
      </c>
      <c r="F60" s="12" t="s">
        <v>77</v>
      </c>
      <c r="G60" s="12" t="s">
        <v>22</v>
      </c>
      <c r="H60" s="12" t="s">
        <v>23</v>
      </c>
      <c r="I60" s="12" t="s">
        <v>24</v>
      </c>
      <c r="J60" s="12" t="s">
        <v>25</v>
      </c>
      <c r="K60" s="6">
        <v>2225</v>
      </c>
      <c r="L60" s="6">
        <v>0</v>
      </c>
      <c r="M60" s="14"/>
      <c r="N60" s="7">
        <v>2225</v>
      </c>
    </row>
    <row r="61" spans="1:14" ht="21" x14ac:dyDescent="0.35">
      <c r="A61" s="23"/>
      <c r="B61" s="9" t="s">
        <v>19</v>
      </c>
      <c r="C61" s="9" t="s">
        <v>18</v>
      </c>
      <c r="D61" s="9" t="s">
        <v>47</v>
      </c>
      <c r="E61" s="9" t="s">
        <v>76</v>
      </c>
      <c r="F61" s="9" t="s">
        <v>77</v>
      </c>
      <c r="G61" s="9" t="s">
        <v>34</v>
      </c>
      <c r="H61" s="9" t="s">
        <v>35</v>
      </c>
      <c r="I61" s="9" t="s">
        <v>24</v>
      </c>
      <c r="J61" s="9" t="s">
        <v>25</v>
      </c>
      <c r="K61" s="10">
        <v>22685</v>
      </c>
      <c r="L61" s="10">
        <v>22684.02</v>
      </c>
      <c r="M61" s="13"/>
      <c r="N61" s="11">
        <v>0.979999999999563</v>
      </c>
    </row>
    <row r="62" spans="1:14" ht="21" x14ac:dyDescent="0.35">
      <c r="A62" s="23"/>
      <c r="B62" s="12" t="s">
        <v>19</v>
      </c>
      <c r="C62" s="12" t="s">
        <v>18</v>
      </c>
      <c r="D62" s="12" t="s">
        <v>47</v>
      </c>
      <c r="E62" s="12" t="s">
        <v>76</v>
      </c>
      <c r="F62" s="12" t="s">
        <v>77</v>
      </c>
      <c r="G62" s="12" t="s">
        <v>38</v>
      </c>
      <c r="H62" s="12" t="s">
        <v>39</v>
      </c>
      <c r="I62" s="12" t="s">
        <v>24</v>
      </c>
      <c r="J62" s="12" t="s">
        <v>25</v>
      </c>
      <c r="K62" s="6">
        <v>12973</v>
      </c>
      <c r="L62" s="14"/>
      <c r="M62" s="14"/>
      <c r="N62" s="7">
        <v>12973</v>
      </c>
    </row>
    <row r="63" spans="1:14" ht="21" x14ac:dyDescent="0.35">
      <c r="A63" s="23"/>
      <c r="B63" s="9" t="s">
        <v>19</v>
      </c>
      <c r="C63" s="9" t="s">
        <v>18</v>
      </c>
      <c r="D63" s="9" t="s">
        <v>47</v>
      </c>
      <c r="E63" s="9" t="s">
        <v>78</v>
      </c>
      <c r="F63" s="9" t="s">
        <v>79</v>
      </c>
      <c r="G63" s="9" t="s">
        <v>30</v>
      </c>
      <c r="H63" s="9" t="s">
        <v>31</v>
      </c>
      <c r="I63" s="9" t="s">
        <v>24</v>
      </c>
      <c r="J63" s="9" t="s">
        <v>25</v>
      </c>
      <c r="K63" s="10">
        <v>30660.5</v>
      </c>
      <c r="L63" s="10">
        <v>30660.240000000002</v>
      </c>
      <c r="M63" s="10">
        <v>0</v>
      </c>
      <c r="N63" s="11">
        <v>0.25999999999839901</v>
      </c>
    </row>
    <row r="64" spans="1:14" ht="21" x14ac:dyDescent="0.35">
      <c r="A64" s="23"/>
      <c r="B64" s="12" t="s">
        <v>19</v>
      </c>
      <c r="C64" s="12" t="s">
        <v>18</v>
      </c>
      <c r="D64" s="12" t="s">
        <v>47</v>
      </c>
      <c r="E64" s="12" t="s">
        <v>78</v>
      </c>
      <c r="F64" s="12" t="s">
        <v>79</v>
      </c>
      <c r="G64" s="12" t="s">
        <v>52</v>
      </c>
      <c r="H64" s="12" t="s">
        <v>53</v>
      </c>
      <c r="I64" s="12" t="s">
        <v>24</v>
      </c>
      <c r="J64" s="12" t="s">
        <v>25</v>
      </c>
      <c r="K64" s="6">
        <v>0</v>
      </c>
      <c r="L64" s="6">
        <v>0</v>
      </c>
      <c r="M64" s="14"/>
      <c r="N64" s="7">
        <v>0</v>
      </c>
    </row>
    <row r="65" spans="1:14" ht="21" x14ac:dyDescent="0.35">
      <c r="A65" s="23"/>
      <c r="B65" s="9" t="s">
        <v>19</v>
      </c>
      <c r="C65" s="9" t="s">
        <v>18</v>
      </c>
      <c r="D65" s="9" t="s">
        <v>47</v>
      </c>
      <c r="E65" s="9" t="s">
        <v>78</v>
      </c>
      <c r="F65" s="9" t="s">
        <v>79</v>
      </c>
      <c r="G65" s="9" t="s">
        <v>32</v>
      </c>
      <c r="H65" s="9" t="s">
        <v>33</v>
      </c>
      <c r="I65" s="9" t="s">
        <v>24</v>
      </c>
      <c r="J65" s="9" t="s">
        <v>25</v>
      </c>
      <c r="K65" s="10">
        <v>39960</v>
      </c>
      <c r="L65" s="10">
        <v>23125.73</v>
      </c>
      <c r="M65" s="10">
        <v>0</v>
      </c>
      <c r="N65" s="11">
        <v>16834.27</v>
      </c>
    </row>
    <row r="66" spans="1:14" ht="21" x14ac:dyDescent="0.35">
      <c r="A66" s="23"/>
      <c r="B66" s="12" t="s">
        <v>19</v>
      </c>
      <c r="C66" s="12" t="s">
        <v>18</v>
      </c>
      <c r="D66" s="12" t="s">
        <v>47</v>
      </c>
      <c r="E66" s="12" t="s">
        <v>78</v>
      </c>
      <c r="F66" s="12" t="s">
        <v>79</v>
      </c>
      <c r="G66" s="12" t="s">
        <v>22</v>
      </c>
      <c r="H66" s="12" t="s">
        <v>23</v>
      </c>
      <c r="I66" s="12" t="s">
        <v>24</v>
      </c>
      <c r="J66" s="12" t="s">
        <v>25</v>
      </c>
      <c r="K66" s="6">
        <v>3201.5</v>
      </c>
      <c r="L66" s="6">
        <v>0</v>
      </c>
      <c r="M66" s="6">
        <v>0</v>
      </c>
      <c r="N66" s="7">
        <v>3201.5</v>
      </c>
    </row>
    <row r="67" spans="1:14" ht="21" x14ac:dyDescent="0.35">
      <c r="A67" s="23"/>
      <c r="B67" s="9" t="s">
        <v>19</v>
      </c>
      <c r="C67" s="9" t="s">
        <v>18</v>
      </c>
      <c r="D67" s="9" t="s">
        <v>47</v>
      </c>
      <c r="E67" s="9" t="s">
        <v>78</v>
      </c>
      <c r="F67" s="9" t="s">
        <v>79</v>
      </c>
      <c r="G67" s="9" t="s">
        <v>34</v>
      </c>
      <c r="H67" s="9" t="s">
        <v>35</v>
      </c>
      <c r="I67" s="9" t="s">
        <v>24</v>
      </c>
      <c r="J67" s="9" t="s">
        <v>25</v>
      </c>
      <c r="K67" s="10">
        <v>19980</v>
      </c>
      <c r="L67" s="10">
        <v>6660.24</v>
      </c>
      <c r="M67" s="13"/>
      <c r="N67" s="11">
        <v>13319.76</v>
      </c>
    </row>
    <row r="68" spans="1:14" ht="21" x14ac:dyDescent="0.35">
      <c r="A68" s="23"/>
      <c r="B68" s="12" t="s">
        <v>19</v>
      </c>
      <c r="C68" s="12" t="s">
        <v>18</v>
      </c>
      <c r="D68" s="12" t="s">
        <v>47</v>
      </c>
      <c r="E68" s="12" t="s">
        <v>78</v>
      </c>
      <c r="F68" s="12" t="s">
        <v>79</v>
      </c>
      <c r="G68" s="12" t="s">
        <v>36</v>
      </c>
      <c r="H68" s="12" t="s">
        <v>37</v>
      </c>
      <c r="I68" s="12" t="s">
        <v>24</v>
      </c>
      <c r="J68" s="12" t="s">
        <v>25</v>
      </c>
      <c r="K68" s="6">
        <v>0</v>
      </c>
      <c r="L68" s="6">
        <v>0</v>
      </c>
      <c r="M68" s="6">
        <v>0</v>
      </c>
      <c r="N68" s="7">
        <v>0</v>
      </c>
    </row>
    <row r="69" spans="1:14" ht="21" x14ac:dyDescent="0.35">
      <c r="A69" s="24"/>
      <c r="B69" s="9" t="s">
        <v>19</v>
      </c>
      <c r="C69" s="9" t="s">
        <v>18</v>
      </c>
      <c r="D69" s="9" t="s">
        <v>47</v>
      </c>
      <c r="E69" s="9" t="s">
        <v>78</v>
      </c>
      <c r="F69" s="9" t="s">
        <v>79</v>
      </c>
      <c r="G69" s="9" t="s">
        <v>38</v>
      </c>
      <c r="H69" s="9" t="s">
        <v>39</v>
      </c>
      <c r="I69" s="9" t="s">
        <v>24</v>
      </c>
      <c r="J69" s="9" t="s">
        <v>25</v>
      </c>
      <c r="K69" s="10">
        <v>37033</v>
      </c>
      <c r="L69" s="13"/>
      <c r="M69" s="13"/>
      <c r="N69" s="11">
        <v>37033</v>
      </c>
    </row>
    <row r="70" spans="1:14" x14ac:dyDescent="0.35">
      <c r="A70" s="15" t="s">
        <v>44</v>
      </c>
      <c r="B70" s="16"/>
      <c r="C70" s="16"/>
      <c r="D70" s="16"/>
      <c r="E70" s="16"/>
      <c r="F70" s="16"/>
      <c r="G70" s="16"/>
      <c r="H70" s="16"/>
      <c r="I70" s="16"/>
      <c r="J70" s="16"/>
      <c r="K70" s="17">
        <v>3220150</v>
      </c>
      <c r="L70" s="17">
        <v>2370259.44</v>
      </c>
      <c r="M70" s="17">
        <v>0</v>
      </c>
      <c r="N70" s="18">
        <v>849890.56</v>
      </c>
    </row>
    <row r="71" spans="1:14" x14ac:dyDescent="0.35">
      <c r="A71" s="15" t="s">
        <v>45</v>
      </c>
      <c r="B71" s="16"/>
      <c r="C71" s="16"/>
      <c r="D71" s="16"/>
      <c r="E71" s="16"/>
      <c r="F71" s="16"/>
      <c r="G71" s="16"/>
      <c r="H71" s="16"/>
      <c r="I71" s="16"/>
      <c r="J71" s="16"/>
      <c r="K71" s="17">
        <v>3220150</v>
      </c>
      <c r="L71" s="17">
        <v>2370259.44</v>
      </c>
      <c r="M71" s="17">
        <v>0</v>
      </c>
      <c r="N71" s="18">
        <v>849890.56</v>
      </c>
    </row>
    <row r="72" spans="1:14" x14ac:dyDescent="0.35">
      <c r="A72" s="2" t="s">
        <v>1</v>
      </c>
    </row>
  </sheetData>
  <mergeCells count="2">
    <mergeCell ref="A1:G1"/>
    <mergeCell ref="A7:A6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7"/>
  <sheetViews>
    <sheetView showGridLines="0" topLeftCell="B1" workbookViewId="0">
      <selection activeCell="K12" sqref="K12"/>
    </sheetView>
  </sheetViews>
  <sheetFormatPr defaultRowHeight="14.5" x14ac:dyDescent="0.35"/>
  <cols>
    <col min="1" max="1" width="56.81640625" customWidth="1"/>
    <col min="2" max="2" width="11.453125" customWidth="1"/>
    <col min="3" max="3" width="7.1796875" customWidth="1"/>
    <col min="4" max="4" width="10.54296875" customWidth="1"/>
    <col min="5" max="5" width="11.26953125" customWidth="1"/>
    <col min="6" max="6" width="19.54296875" customWidth="1"/>
    <col min="7" max="7" width="6.453125" customWidth="1"/>
    <col min="8" max="8" width="15.453125" customWidth="1"/>
    <col min="9" max="9" width="6.453125" customWidth="1"/>
    <col min="10" max="10" width="8.81640625" customWidth="1"/>
    <col min="11" max="11" width="8" customWidth="1"/>
    <col min="12" max="12" width="6.7265625" customWidth="1"/>
    <col min="13" max="13" width="10.54296875" customWidth="1"/>
    <col min="14" max="14" width="7.54296875" customWidth="1"/>
    <col min="15" max="15" width="0.7265625" customWidth="1"/>
  </cols>
  <sheetData>
    <row r="1" spans="1:14" x14ac:dyDescent="0.35">
      <c r="A1" s="1" t="s">
        <v>80</v>
      </c>
      <c r="B1" s="6">
        <v>1379904</v>
      </c>
      <c r="C1" s="6">
        <v>195300.57</v>
      </c>
      <c r="D1" s="6">
        <v>33858.879999999997</v>
      </c>
      <c r="E1" s="6">
        <v>1150744.55</v>
      </c>
      <c r="F1" s="7">
        <v>83.393087490144197</v>
      </c>
    </row>
    <row r="2" spans="1:14" x14ac:dyDescent="0.35">
      <c r="A2" s="2" t="s">
        <v>1</v>
      </c>
      <c r="B2" s="6">
        <v>3220150</v>
      </c>
      <c r="C2" s="6">
        <v>2370259.44</v>
      </c>
      <c r="D2" s="6">
        <v>0</v>
      </c>
      <c r="E2" s="6">
        <v>849890.56</v>
      </c>
      <c r="F2" s="7">
        <v>26.3928872878592</v>
      </c>
    </row>
    <row r="3" spans="1:14" x14ac:dyDescent="0.35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5" t="s">
        <v>7</v>
      </c>
    </row>
    <row r="4" spans="1:14" x14ac:dyDescent="0.35">
      <c r="A4" s="4" t="s">
        <v>81</v>
      </c>
      <c r="B4" s="6">
        <v>1219700</v>
      </c>
      <c r="C4" s="6">
        <v>501766.15</v>
      </c>
      <c r="D4" s="6">
        <v>-71898.69</v>
      </c>
      <c r="E4" s="6">
        <v>789832.54</v>
      </c>
      <c r="F4" s="7">
        <v>64.756295810445195</v>
      </c>
    </row>
    <row r="5" spans="1:14" x14ac:dyDescent="0.35">
      <c r="A5" s="2" t="s">
        <v>1</v>
      </c>
    </row>
    <row r="6" spans="1:14" ht="31.5" x14ac:dyDescent="0.35">
      <c r="A6" s="3" t="s">
        <v>9</v>
      </c>
      <c r="B6" s="3" t="s">
        <v>10</v>
      </c>
      <c r="C6" s="3" t="s">
        <v>11</v>
      </c>
      <c r="D6" s="3" t="s">
        <v>2</v>
      </c>
      <c r="E6" s="3" t="s">
        <v>12</v>
      </c>
      <c r="F6" s="3" t="s">
        <v>13</v>
      </c>
      <c r="G6" s="3" t="s">
        <v>14</v>
      </c>
      <c r="H6" s="3" t="s">
        <v>15</v>
      </c>
      <c r="I6" s="3" t="s">
        <v>16</v>
      </c>
      <c r="J6" s="3" t="s">
        <v>17</v>
      </c>
      <c r="K6" s="3" t="s">
        <v>3</v>
      </c>
      <c r="L6" s="3" t="s">
        <v>4</v>
      </c>
      <c r="M6" s="3" t="s">
        <v>5</v>
      </c>
      <c r="N6" s="8" t="s">
        <v>6</v>
      </c>
    </row>
    <row r="7" spans="1:14" ht="31.5" x14ac:dyDescent="0.35">
      <c r="A7" s="9" t="s">
        <v>82</v>
      </c>
      <c r="B7" s="9" t="s">
        <v>83</v>
      </c>
      <c r="C7" s="9" t="s">
        <v>82</v>
      </c>
      <c r="D7" s="9" t="s">
        <v>81</v>
      </c>
      <c r="E7" s="9" t="s">
        <v>84</v>
      </c>
      <c r="F7" s="9" t="s">
        <v>85</v>
      </c>
      <c r="G7" s="9" t="s">
        <v>86</v>
      </c>
      <c r="H7" s="9" t="s">
        <v>87</v>
      </c>
      <c r="I7" s="9" t="s">
        <v>24</v>
      </c>
      <c r="J7" s="9" t="s">
        <v>25</v>
      </c>
      <c r="K7" s="13"/>
      <c r="L7" s="10">
        <v>0</v>
      </c>
      <c r="M7" s="13"/>
      <c r="N7" s="11">
        <v>0</v>
      </c>
    </row>
    <row r="8" spans="1:14" x14ac:dyDescent="0.35">
      <c r="A8" s="15" t="s">
        <v>88</v>
      </c>
      <c r="B8" s="16"/>
      <c r="C8" s="16"/>
      <c r="D8" s="16"/>
      <c r="E8" s="16"/>
      <c r="F8" s="16"/>
      <c r="G8" s="16"/>
      <c r="H8" s="16"/>
      <c r="I8" s="16"/>
      <c r="J8" s="16"/>
      <c r="K8" s="19"/>
      <c r="L8" s="17">
        <v>0</v>
      </c>
      <c r="M8" s="19"/>
      <c r="N8" s="18">
        <v>0</v>
      </c>
    </row>
    <row r="9" spans="1:14" ht="21" x14ac:dyDescent="0.35">
      <c r="A9" s="25" t="s">
        <v>18</v>
      </c>
      <c r="B9" s="12" t="s">
        <v>19</v>
      </c>
      <c r="C9" s="12" t="s">
        <v>18</v>
      </c>
      <c r="D9" s="12" t="s">
        <v>81</v>
      </c>
      <c r="E9" s="12" t="s">
        <v>89</v>
      </c>
      <c r="F9" s="12" t="s">
        <v>90</v>
      </c>
      <c r="G9" s="12" t="s">
        <v>22</v>
      </c>
      <c r="H9" s="12" t="s">
        <v>23</v>
      </c>
      <c r="I9" s="12" t="s">
        <v>24</v>
      </c>
      <c r="J9" s="12" t="s">
        <v>25</v>
      </c>
      <c r="K9" s="6">
        <v>38700</v>
      </c>
      <c r="L9" s="6">
        <v>38700</v>
      </c>
      <c r="M9" s="14"/>
      <c r="N9" s="7">
        <v>0</v>
      </c>
    </row>
    <row r="10" spans="1:14" ht="21" x14ac:dyDescent="0.35">
      <c r="A10" s="26"/>
      <c r="B10" s="9" t="s">
        <v>19</v>
      </c>
      <c r="C10" s="9" t="s">
        <v>18</v>
      </c>
      <c r="D10" s="9" t="s">
        <v>81</v>
      </c>
      <c r="E10" s="9" t="s">
        <v>91</v>
      </c>
      <c r="F10" s="9" t="s">
        <v>92</v>
      </c>
      <c r="G10" s="9" t="s">
        <v>58</v>
      </c>
      <c r="H10" s="9" t="s">
        <v>59</v>
      </c>
      <c r="I10" s="9" t="s">
        <v>24</v>
      </c>
      <c r="J10" s="9" t="s">
        <v>25</v>
      </c>
      <c r="K10" s="10">
        <v>44600</v>
      </c>
      <c r="L10" s="10">
        <v>39301.42</v>
      </c>
      <c r="M10" s="10">
        <v>0</v>
      </c>
      <c r="N10" s="11">
        <v>5298.58</v>
      </c>
    </row>
    <row r="11" spans="1:14" ht="21" x14ac:dyDescent="0.35">
      <c r="A11" s="26"/>
      <c r="B11" s="12" t="s">
        <v>19</v>
      </c>
      <c r="C11" s="12" t="s">
        <v>18</v>
      </c>
      <c r="D11" s="12" t="s">
        <v>81</v>
      </c>
      <c r="E11" s="12" t="s">
        <v>91</v>
      </c>
      <c r="F11" s="12" t="s">
        <v>92</v>
      </c>
      <c r="G11" s="12" t="s">
        <v>22</v>
      </c>
      <c r="H11" s="12" t="s">
        <v>23</v>
      </c>
      <c r="I11" s="12" t="s">
        <v>24</v>
      </c>
      <c r="J11" s="12" t="s">
        <v>25</v>
      </c>
      <c r="K11" s="6">
        <v>0</v>
      </c>
      <c r="L11" s="6">
        <v>0</v>
      </c>
      <c r="M11" s="6">
        <v>0</v>
      </c>
      <c r="N11" s="7">
        <v>0</v>
      </c>
    </row>
    <row r="12" spans="1:14" ht="21" x14ac:dyDescent="0.35">
      <c r="A12" s="26"/>
      <c r="B12" s="9" t="s">
        <v>19</v>
      </c>
      <c r="C12" s="9" t="s">
        <v>18</v>
      </c>
      <c r="D12" s="9" t="s">
        <v>81</v>
      </c>
      <c r="E12" s="9" t="s">
        <v>93</v>
      </c>
      <c r="F12" s="9" t="s">
        <v>94</v>
      </c>
      <c r="G12" s="9" t="s">
        <v>22</v>
      </c>
      <c r="H12" s="9" t="s">
        <v>23</v>
      </c>
      <c r="I12" s="9" t="s">
        <v>24</v>
      </c>
      <c r="J12" s="9" t="s">
        <v>25</v>
      </c>
      <c r="K12" s="10">
        <v>0</v>
      </c>
      <c r="L12" s="13"/>
      <c r="M12" s="13"/>
      <c r="N12" s="11">
        <v>0</v>
      </c>
    </row>
    <row r="13" spans="1:14" ht="21" x14ac:dyDescent="0.35">
      <c r="A13" s="26"/>
      <c r="B13" s="12" t="s">
        <v>19</v>
      </c>
      <c r="C13" s="12" t="s">
        <v>18</v>
      </c>
      <c r="D13" s="12" t="s">
        <v>81</v>
      </c>
      <c r="E13" s="12" t="s">
        <v>93</v>
      </c>
      <c r="F13" s="12" t="s">
        <v>94</v>
      </c>
      <c r="G13" s="12" t="s">
        <v>34</v>
      </c>
      <c r="H13" s="12" t="s">
        <v>35</v>
      </c>
      <c r="I13" s="12" t="s">
        <v>24</v>
      </c>
      <c r="J13" s="12" t="s">
        <v>25</v>
      </c>
      <c r="K13" s="6">
        <v>0</v>
      </c>
      <c r="L13" s="6">
        <v>0</v>
      </c>
      <c r="M13" s="6">
        <v>0</v>
      </c>
      <c r="N13" s="7">
        <v>0</v>
      </c>
    </row>
    <row r="14" spans="1:14" ht="21" x14ac:dyDescent="0.35">
      <c r="A14" s="26"/>
      <c r="B14" s="9" t="s">
        <v>19</v>
      </c>
      <c r="C14" s="9" t="s">
        <v>18</v>
      </c>
      <c r="D14" s="9" t="s">
        <v>81</v>
      </c>
      <c r="E14" s="9" t="s">
        <v>95</v>
      </c>
      <c r="F14" s="9" t="s">
        <v>96</v>
      </c>
      <c r="G14" s="9" t="s">
        <v>22</v>
      </c>
      <c r="H14" s="9" t="s">
        <v>23</v>
      </c>
      <c r="I14" s="9" t="s">
        <v>24</v>
      </c>
      <c r="J14" s="9" t="s">
        <v>25</v>
      </c>
      <c r="K14" s="10">
        <v>0</v>
      </c>
      <c r="L14" s="10">
        <v>0</v>
      </c>
      <c r="M14" s="10">
        <v>0</v>
      </c>
      <c r="N14" s="11">
        <v>0</v>
      </c>
    </row>
    <row r="15" spans="1:14" ht="21" x14ac:dyDescent="0.35">
      <c r="A15" s="26"/>
      <c r="B15" s="12" t="s">
        <v>19</v>
      </c>
      <c r="C15" s="12" t="s">
        <v>18</v>
      </c>
      <c r="D15" s="12" t="s">
        <v>81</v>
      </c>
      <c r="E15" s="12" t="s">
        <v>97</v>
      </c>
      <c r="F15" s="12" t="s">
        <v>98</v>
      </c>
      <c r="G15" s="12" t="s">
        <v>22</v>
      </c>
      <c r="H15" s="12" t="s">
        <v>23</v>
      </c>
      <c r="I15" s="12" t="s">
        <v>24</v>
      </c>
      <c r="J15" s="12" t="s">
        <v>25</v>
      </c>
      <c r="K15" s="6">
        <v>1000</v>
      </c>
      <c r="L15" s="6">
        <v>168</v>
      </c>
      <c r="M15" s="14"/>
      <c r="N15" s="7">
        <v>832</v>
      </c>
    </row>
    <row r="16" spans="1:14" ht="31.5" x14ac:dyDescent="0.35">
      <c r="A16" s="26"/>
      <c r="B16" s="9" t="s">
        <v>19</v>
      </c>
      <c r="C16" s="9" t="s">
        <v>18</v>
      </c>
      <c r="D16" s="9" t="s">
        <v>81</v>
      </c>
      <c r="E16" s="9" t="s">
        <v>84</v>
      </c>
      <c r="F16" s="9" t="s">
        <v>85</v>
      </c>
      <c r="G16" s="9" t="s">
        <v>22</v>
      </c>
      <c r="H16" s="9" t="s">
        <v>23</v>
      </c>
      <c r="I16" s="9" t="s">
        <v>24</v>
      </c>
      <c r="J16" s="9" t="s">
        <v>25</v>
      </c>
      <c r="K16" s="10">
        <v>39000</v>
      </c>
      <c r="L16" s="10">
        <v>4200</v>
      </c>
      <c r="M16" s="10">
        <v>0</v>
      </c>
      <c r="N16" s="11">
        <v>34800</v>
      </c>
    </row>
    <row r="17" spans="1:14" ht="21" x14ac:dyDescent="0.35">
      <c r="A17" s="26"/>
      <c r="B17" s="12" t="s">
        <v>19</v>
      </c>
      <c r="C17" s="12" t="s">
        <v>18</v>
      </c>
      <c r="D17" s="12" t="s">
        <v>81</v>
      </c>
      <c r="E17" s="12" t="s">
        <v>99</v>
      </c>
      <c r="F17" s="12" t="s">
        <v>100</v>
      </c>
      <c r="G17" s="12" t="s">
        <v>30</v>
      </c>
      <c r="H17" s="12" t="s">
        <v>31</v>
      </c>
      <c r="I17" s="12" t="s">
        <v>24</v>
      </c>
      <c r="J17" s="12" t="s">
        <v>25</v>
      </c>
      <c r="K17" s="6">
        <v>0</v>
      </c>
      <c r="L17" s="14"/>
      <c r="M17" s="14"/>
      <c r="N17" s="7">
        <v>0</v>
      </c>
    </row>
    <row r="18" spans="1:14" ht="21" x14ac:dyDescent="0.35">
      <c r="A18" s="26"/>
      <c r="B18" s="9" t="s">
        <v>19</v>
      </c>
      <c r="C18" s="9" t="s">
        <v>18</v>
      </c>
      <c r="D18" s="9" t="s">
        <v>81</v>
      </c>
      <c r="E18" s="9" t="s">
        <v>99</v>
      </c>
      <c r="F18" s="9" t="s">
        <v>100</v>
      </c>
      <c r="G18" s="9" t="s">
        <v>34</v>
      </c>
      <c r="H18" s="9" t="s">
        <v>35</v>
      </c>
      <c r="I18" s="9" t="s">
        <v>24</v>
      </c>
      <c r="J18" s="9" t="s">
        <v>25</v>
      </c>
      <c r="K18" s="10">
        <v>0</v>
      </c>
      <c r="L18" s="13"/>
      <c r="M18" s="13"/>
      <c r="N18" s="11">
        <v>0</v>
      </c>
    </row>
    <row r="19" spans="1:14" ht="21" x14ac:dyDescent="0.35">
      <c r="A19" s="26"/>
      <c r="B19" s="12" t="s">
        <v>19</v>
      </c>
      <c r="C19" s="12" t="s">
        <v>18</v>
      </c>
      <c r="D19" s="12" t="s">
        <v>81</v>
      </c>
      <c r="E19" s="12" t="s">
        <v>101</v>
      </c>
      <c r="F19" s="12" t="s">
        <v>102</v>
      </c>
      <c r="G19" s="12" t="s">
        <v>58</v>
      </c>
      <c r="H19" s="12" t="s">
        <v>59</v>
      </c>
      <c r="I19" s="12" t="s">
        <v>24</v>
      </c>
      <c r="J19" s="12" t="s">
        <v>25</v>
      </c>
      <c r="K19" s="6">
        <v>0</v>
      </c>
      <c r="L19" s="6">
        <v>0</v>
      </c>
      <c r="M19" s="6">
        <v>0</v>
      </c>
      <c r="N19" s="7">
        <v>0</v>
      </c>
    </row>
    <row r="20" spans="1:14" ht="21" x14ac:dyDescent="0.35">
      <c r="A20" s="26"/>
      <c r="B20" s="9" t="s">
        <v>19</v>
      </c>
      <c r="C20" s="9" t="s">
        <v>18</v>
      </c>
      <c r="D20" s="9" t="s">
        <v>81</v>
      </c>
      <c r="E20" s="9" t="s">
        <v>101</v>
      </c>
      <c r="F20" s="9" t="s">
        <v>102</v>
      </c>
      <c r="G20" s="9" t="s">
        <v>22</v>
      </c>
      <c r="H20" s="9" t="s">
        <v>23</v>
      </c>
      <c r="I20" s="9" t="s">
        <v>24</v>
      </c>
      <c r="J20" s="9" t="s">
        <v>25</v>
      </c>
      <c r="K20" s="10">
        <v>0</v>
      </c>
      <c r="L20" s="10">
        <v>0</v>
      </c>
      <c r="M20" s="10">
        <v>0</v>
      </c>
      <c r="N20" s="11">
        <v>0</v>
      </c>
    </row>
    <row r="21" spans="1:14" ht="21" x14ac:dyDescent="0.35">
      <c r="A21" s="26"/>
      <c r="B21" s="12" t="s">
        <v>19</v>
      </c>
      <c r="C21" s="12" t="s">
        <v>18</v>
      </c>
      <c r="D21" s="12" t="s">
        <v>81</v>
      </c>
      <c r="E21" s="12" t="s">
        <v>103</v>
      </c>
      <c r="F21" s="12" t="s">
        <v>104</v>
      </c>
      <c r="G21" s="12" t="s">
        <v>30</v>
      </c>
      <c r="H21" s="12" t="s">
        <v>31</v>
      </c>
      <c r="I21" s="12" t="s">
        <v>24</v>
      </c>
      <c r="J21" s="12" t="s">
        <v>25</v>
      </c>
      <c r="K21" s="6">
        <v>0</v>
      </c>
      <c r="L21" s="6">
        <v>0</v>
      </c>
      <c r="M21" s="6">
        <v>0</v>
      </c>
      <c r="N21" s="7">
        <v>0</v>
      </c>
    </row>
    <row r="22" spans="1:14" ht="21" x14ac:dyDescent="0.35">
      <c r="A22" s="26"/>
      <c r="B22" s="9" t="s">
        <v>19</v>
      </c>
      <c r="C22" s="9" t="s">
        <v>18</v>
      </c>
      <c r="D22" s="9" t="s">
        <v>81</v>
      </c>
      <c r="E22" s="9" t="s">
        <v>103</v>
      </c>
      <c r="F22" s="9" t="s">
        <v>104</v>
      </c>
      <c r="G22" s="9" t="s">
        <v>52</v>
      </c>
      <c r="H22" s="9" t="s">
        <v>53</v>
      </c>
      <c r="I22" s="9" t="s">
        <v>24</v>
      </c>
      <c r="J22" s="9" t="s">
        <v>25</v>
      </c>
      <c r="K22" s="10">
        <v>0</v>
      </c>
      <c r="L22" s="13"/>
      <c r="M22" s="13"/>
      <c r="N22" s="11">
        <v>0</v>
      </c>
    </row>
    <row r="23" spans="1:14" ht="21" x14ac:dyDescent="0.35">
      <c r="A23" s="26"/>
      <c r="B23" s="12" t="s">
        <v>19</v>
      </c>
      <c r="C23" s="12" t="s">
        <v>18</v>
      </c>
      <c r="D23" s="12" t="s">
        <v>81</v>
      </c>
      <c r="E23" s="12" t="s">
        <v>103</v>
      </c>
      <c r="F23" s="12" t="s">
        <v>104</v>
      </c>
      <c r="G23" s="12" t="s">
        <v>32</v>
      </c>
      <c r="H23" s="12" t="s">
        <v>33</v>
      </c>
      <c r="I23" s="12" t="s">
        <v>24</v>
      </c>
      <c r="J23" s="12" t="s">
        <v>25</v>
      </c>
      <c r="K23" s="6">
        <v>10000</v>
      </c>
      <c r="L23" s="6">
        <v>3856.65</v>
      </c>
      <c r="M23" s="6">
        <v>0</v>
      </c>
      <c r="N23" s="7">
        <v>6143.35</v>
      </c>
    </row>
    <row r="24" spans="1:14" ht="21" x14ac:dyDescent="0.35">
      <c r="A24" s="26"/>
      <c r="B24" s="9" t="s">
        <v>19</v>
      </c>
      <c r="C24" s="9" t="s">
        <v>18</v>
      </c>
      <c r="D24" s="9" t="s">
        <v>81</v>
      </c>
      <c r="E24" s="9" t="s">
        <v>103</v>
      </c>
      <c r="F24" s="9" t="s">
        <v>104</v>
      </c>
      <c r="G24" s="9" t="s">
        <v>22</v>
      </c>
      <c r="H24" s="9" t="s">
        <v>23</v>
      </c>
      <c r="I24" s="9" t="s">
        <v>24</v>
      </c>
      <c r="J24" s="9" t="s">
        <v>25</v>
      </c>
      <c r="K24" s="10">
        <v>0</v>
      </c>
      <c r="L24" s="10">
        <v>12129.3</v>
      </c>
      <c r="M24" s="10">
        <v>-12609.6</v>
      </c>
      <c r="N24" s="11">
        <v>480.29999999999899</v>
      </c>
    </row>
    <row r="25" spans="1:14" ht="21" x14ac:dyDescent="0.35">
      <c r="A25" s="26"/>
      <c r="B25" s="12" t="s">
        <v>19</v>
      </c>
      <c r="C25" s="12" t="s">
        <v>18</v>
      </c>
      <c r="D25" s="12" t="s">
        <v>81</v>
      </c>
      <c r="E25" s="12" t="s">
        <v>103</v>
      </c>
      <c r="F25" s="12" t="s">
        <v>104</v>
      </c>
      <c r="G25" s="12" t="s">
        <v>34</v>
      </c>
      <c r="H25" s="12" t="s">
        <v>35</v>
      </c>
      <c r="I25" s="12" t="s">
        <v>24</v>
      </c>
      <c r="J25" s="12" t="s">
        <v>25</v>
      </c>
      <c r="K25" s="6">
        <v>0</v>
      </c>
      <c r="L25" s="14"/>
      <c r="M25" s="14"/>
      <c r="N25" s="7">
        <v>0</v>
      </c>
    </row>
    <row r="26" spans="1:14" ht="21" x14ac:dyDescent="0.35">
      <c r="A26" s="26"/>
      <c r="B26" s="9" t="s">
        <v>19</v>
      </c>
      <c r="C26" s="9" t="s">
        <v>18</v>
      </c>
      <c r="D26" s="9" t="s">
        <v>81</v>
      </c>
      <c r="E26" s="9" t="s">
        <v>105</v>
      </c>
      <c r="F26" s="9" t="s">
        <v>106</v>
      </c>
      <c r="G26" s="9" t="s">
        <v>52</v>
      </c>
      <c r="H26" s="9" t="s">
        <v>53</v>
      </c>
      <c r="I26" s="9" t="s">
        <v>24</v>
      </c>
      <c r="J26" s="9" t="s">
        <v>25</v>
      </c>
      <c r="K26" s="10">
        <v>0</v>
      </c>
      <c r="L26" s="10">
        <v>0</v>
      </c>
      <c r="M26" s="10">
        <v>0</v>
      </c>
      <c r="N26" s="11">
        <v>0</v>
      </c>
    </row>
    <row r="27" spans="1:14" ht="21" x14ac:dyDescent="0.35">
      <c r="A27" s="26"/>
      <c r="B27" s="12" t="s">
        <v>19</v>
      </c>
      <c r="C27" s="12" t="s">
        <v>18</v>
      </c>
      <c r="D27" s="12" t="s">
        <v>81</v>
      </c>
      <c r="E27" s="12" t="s">
        <v>105</v>
      </c>
      <c r="F27" s="12" t="s">
        <v>106</v>
      </c>
      <c r="G27" s="12" t="s">
        <v>22</v>
      </c>
      <c r="H27" s="12" t="s">
        <v>23</v>
      </c>
      <c r="I27" s="12" t="s">
        <v>24</v>
      </c>
      <c r="J27" s="12" t="s">
        <v>25</v>
      </c>
      <c r="K27" s="6">
        <v>3000</v>
      </c>
      <c r="L27" s="6">
        <v>2619.4299999999998</v>
      </c>
      <c r="M27" s="6">
        <v>0</v>
      </c>
      <c r="N27" s="7">
        <v>380.57</v>
      </c>
    </row>
    <row r="28" spans="1:14" ht="21" x14ac:dyDescent="0.35">
      <c r="A28" s="26"/>
      <c r="B28" s="9" t="s">
        <v>19</v>
      </c>
      <c r="C28" s="9" t="s">
        <v>18</v>
      </c>
      <c r="D28" s="9" t="s">
        <v>81</v>
      </c>
      <c r="E28" s="9" t="s">
        <v>107</v>
      </c>
      <c r="F28" s="9" t="s">
        <v>108</v>
      </c>
      <c r="G28" s="9" t="s">
        <v>30</v>
      </c>
      <c r="H28" s="9" t="s">
        <v>31</v>
      </c>
      <c r="I28" s="9" t="s">
        <v>24</v>
      </c>
      <c r="J28" s="9" t="s">
        <v>25</v>
      </c>
      <c r="K28" s="10">
        <v>0</v>
      </c>
      <c r="L28" s="13"/>
      <c r="M28" s="13"/>
      <c r="N28" s="11">
        <v>0</v>
      </c>
    </row>
    <row r="29" spans="1:14" ht="21" x14ac:dyDescent="0.35">
      <c r="A29" s="26"/>
      <c r="B29" s="12" t="s">
        <v>19</v>
      </c>
      <c r="C29" s="12" t="s">
        <v>18</v>
      </c>
      <c r="D29" s="12" t="s">
        <v>81</v>
      </c>
      <c r="E29" s="12" t="s">
        <v>107</v>
      </c>
      <c r="F29" s="12" t="s">
        <v>108</v>
      </c>
      <c r="G29" s="12" t="s">
        <v>52</v>
      </c>
      <c r="H29" s="12" t="s">
        <v>53</v>
      </c>
      <c r="I29" s="12" t="s">
        <v>24</v>
      </c>
      <c r="J29" s="12" t="s">
        <v>25</v>
      </c>
      <c r="K29" s="6">
        <v>0</v>
      </c>
      <c r="L29" s="6">
        <v>0</v>
      </c>
      <c r="M29" s="6">
        <v>0</v>
      </c>
      <c r="N29" s="7">
        <v>0</v>
      </c>
    </row>
    <row r="30" spans="1:14" ht="21" x14ac:dyDescent="0.35">
      <c r="A30" s="26"/>
      <c r="B30" s="9" t="s">
        <v>19</v>
      </c>
      <c r="C30" s="9" t="s">
        <v>18</v>
      </c>
      <c r="D30" s="9" t="s">
        <v>81</v>
      </c>
      <c r="E30" s="9" t="s">
        <v>107</v>
      </c>
      <c r="F30" s="9" t="s">
        <v>108</v>
      </c>
      <c r="G30" s="9" t="s">
        <v>32</v>
      </c>
      <c r="H30" s="9" t="s">
        <v>33</v>
      </c>
      <c r="I30" s="9" t="s">
        <v>24</v>
      </c>
      <c r="J30" s="9" t="s">
        <v>25</v>
      </c>
      <c r="K30" s="10">
        <v>0</v>
      </c>
      <c r="L30" s="10">
        <v>0</v>
      </c>
      <c r="M30" s="10">
        <v>0</v>
      </c>
      <c r="N30" s="11">
        <v>0</v>
      </c>
    </row>
    <row r="31" spans="1:14" ht="21" x14ac:dyDescent="0.35">
      <c r="A31" s="26"/>
      <c r="B31" s="12" t="s">
        <v>19</v>
      </c>
      <c r="C31" s="12" t="s">
        <v>18</v>
      </c>
      <c r="D31" s="12" t="s">
        <v>81</v>
      </c>
      <c r="E31" s="12" t="s">
        <v>107</v>
      </c>
      <c r="F31" s="12" t="s">
        <v>108</v>
      </c>
      <c r="G31" s="12" t="s">
        <v>22</v>
      </c>
      <c r="H31" s="12" t="s">
        <v>23</v>
      </c>
      <c r="I31" s="12" t="s">
        <v>24</v>
      </c>
      <c r="J31" s="12" t="s">
        <v>25</v>
      </c>
      <c r="K31" s="6">
        <v>74400</v>
      </c>
      <c r="L31" s="6">
        <v>0</v>
      </c>
      <c r="M31" s="6">
        <v>0</v>
      </c>
      <c r="N31" s="7">
        <v>74400</v>
      </c>
    </row>
    <row r="32" spans="1:14" ht="21" x14ac:dyDescent="0.35">
      <c r="A32" s="26"/>
      <c r="B32" s="9" t="s">
        <v>19</v>
      </c>
      <c r="C32" s="9" t="s">
        <v>18</v>
      </c>
      <c r="D32" s="9" t="s">
        <v>81</v>
      </c>
      <c r="E32" s="9" t="s">
        <v>107</v>
      </c>
      <c r="F32" s="9" t="s">
        <v>108</v>
      </c>
      <c r="G32" s="9" t="s">
        <v>34</v>
      </c>
      <c r="H32" s="9" t="s">
        <v>35</v>
      </c>
      <c r="I32" s="9" t="s">
        <v>24</v>
      </c>
      <c r="J32" s="9" t="s">
        <v>25</v>
      </c>
      <c r="K32" s="10">
        <v>30000</v>
      </c>
      <c r="L32" s="10">
        <v>12730.98</v>
      </c>
      <c r="M32" s="10">
        <v>0</v>
      </c>
      <c r="N32" s="11">
        <v>17269.02</v>
      </c>
    </row>
    <row r="33" spans="1:14" ht="21" x14ac:dyDescent="0.35">
      <c r="A33" s="26"/>
      <c r="B33" s="12" t="s">
        <v>19</v>
      </c>
      <c r="C33" s="12" t="s">
        <v>18</v>
      </c>
      <c r="D33" s="12" t="s">
        <v>81</v>
      </c>
      <c r="E33" s="12" t="s">
        <v>107</v>
      </c>
      <c r="F33" s="12" t="s">
        <v>108</v>
      </c>
      <c r="G33" s="12" t="s">
        <v>36</v>
      </c>
      <c r="H33" s="12" t="s">
        <v>37</v>
      </c>
      <c r="I33" s="12" t="s">
        <v>24</v>
      </c>
      <c r="J33" s="12" t="s">
        <v>25</v>
      </c>
      <c r="K33" s="6">
        <v>0</v>
      </c>
      <c r="L33" s="14"/>
      <c r="M33" s="14"/>
      <c r="N33" s="7">
        <v>0</v>
      </c>
    </row>
    <row r="34" spans="1:14" ht="21" x14ac:dyDescent="0.35">
      <c r="A34" s="26"/>
      <c r="B34" s="9" t="s">
        <v>19</v>
      </c>
      <c r="C34" s="9" t="s">
        <v>18</v>
      </c>
      <c r="D34" s="9" t="s">
        <v>81</v>
      </c>
      <c r="E34" s="9" t="s">
        <v>109</v>
      </c>
      <c r="F34" s="9" t="s">
        <v>110</v>
      </c>
      <c r="G34" s="9" t="s">
        <v>22</v>
      </c>
      <c r="H34" s="9" t="s">
        <v>23</v>
      </c>
      <c r="I34" s="9" t="s">
        <v>24</v>
      </c>
      <c r="J34" s="9" t="s">
        <v>25</v>
      </c>
      <c r="K34" s="10">
        <v>0</v>
      </c>
      <c r="L34" s="10">
        <v>0</v>
      </c>
      <c r="M34" s="10">
        <v>0</v>
      </c>
      <c r="N34" s="11">
        <v>0</v>
      </c>
    </row>
    <row r="35" spans="1:14" ht="21" x14ac:dyDescent="0.35">
      <c r="A35" s="26"/>
      <c r="B35" s="12" t="s">
        <v>19</v>
      </c>
      <c r="C35" s="12" t="s">
        <v>18</v>
      </c>
      <c r="D35" s="12" t="s">
        <v>81</v>
      </c>
      <c r="E35" s="12" t="s">
        <v>111</v>
      </c>
      <c r="F35" s="12" t="s">
        <v>112</v>
      </c>
      <c r="G35" s="12" t="s">
        <v>22</v>
      </c>
      <c r="H35" s="12" t="s">
        <v>23</v>
      </c>
      <c r="I35" s="12" t="s">
        <v>24</v>
      </c>
      <c r="J35" s="12" t="s">
        <v>25</v>
      </c>
      <c r="K35" s="6">
        <v>0</v>
      </c>
      <c r="L35" s="6">
        <v>0</v>
      </c>
      <c r="M35" s="6">
        <v>0</v>
      </c>
      <c r="N35" s="7">
        <v>0</v>
      </c>
    </row>
    <row r="36" spans="1:14" ht="21" x14ac:dyDescent="0.35">
      <c r="A36" s="26"/>
      <c r="B36" s="9" t="s">
        <v>19</v>
      </c>
      <c r="C36" s="9" t="s">
        <v>18</v>
      </c>
      <c r="D36" s="9" t="s">
        <v>81</v>
      </c>
      <c r="E36" s="9" t="s">
        <v>113</v>
      </c>
      <c r="F36" s="9" t="s">
        <v>114</v>
      </c>
      <c r="G36" s="9" t="s">
        <v>30</v>
      </c>
      <c r="H36" s="9" t="s">
        <v>31</v>
      </c>
      <c r="I36" s="9" t="s">
        <v>24</v>
      </c>
      <c r="J36" s="9" t="s">
        <v>25</v>
      </c>
      <c r="K36" s="10">
        <v>0</v>
      </c>
      <c r="L36" s="13"/>
      <c r="M36" s="13"/>
      <c r="N36" s="11">
        <v>0</v>
      </c>
    </row>
    <row r="37" spans="1:14" ht="21" x14ac:dyDescent="0.35">
      <c r="A37" s="26"/>
      <c r="B37" s="12" t="s">
        <v>19</v>
      </c>
      <c r="C37" s="12" t="s">
        <v>18</v>
      </c>
      <c r="D37" s="12" t="s">
        <v>81</v>
      </c>
      <c r="E37" s="12" t="s">
        <v>113</v>
      </c>
      <c r="F37" s="12" t="s">
        <v>114</v>
      </c>
      <c r="G37" s="12" t="s">
        <v>52</v>
      </c>
      <c r="H37" s="12" t="s">
        <v>53</v>
      </c>
      <c r="I37" s="12" t="s">
        <v>24</v>
      </c>
      <c r="J37" s="12" t="s">
        <v>25</v>
      </c>
      <c r="K37" s="6">
        <v>0</v>
      </c>
      <c r="L37" s="14"/>
      <c r="M37" s="14"/>
      <c r="N37" s="7">
        <v>0</v>
      </c>
    </row>
    <row r="38" spans="1:14" ht="21" x14ac:dyDescent="0.35">
      <c r="A38" s="26"/>
      <c r="B38" s="9" t="s">
        <v>19</v>
      </c>
      <c r="C38" s="9" t="s">
        <v>18</v>
      </c>
      <c r="D38" s="9" t="s">
        <v>81</v>
      </c>
      <c r="E38" s="9" t="s">
        <v>113</v>
      </c>
      <c r="F38" s="9" t="s">
        <v>114</v>
      </c>
      <c r="G38" s="9" t="s">
        <v>32</v>
      </c>
      <c r="H38" s="9" t="s">
        <v>33</v>
      </c>
      <c r="I38" s="9" t="s">
        <v>24</v>
      </c>
      <c r="J38" s="9" t="s">
        <v>25</v>
      </c>
      <c r="K38" s="10">
        <v>0</v>
      </c>
      <c r="L38" s="13"/>
      <c r="M38" s="13"/>
      <c r="N38" s="11">
        <v>0</v>
      </c>
    </row>
    <row r="39" spans="1:14" ht="21" x14ac:dyDescent="0.35">
      <c r="A39" s="26"/>
      <c r="B39" s="12" t="s">
        <v>19</v>
      </c>
      <c r="C39" s="12" t="s">
        <v>18</v>
      </c>
      <c r="D39" s="12" t="s">
        <v>81</v>
      </c>
      <c r="E39" s="12" t="s">
        <v>113</v>
      </c>
      <c r="F39" s="12" t="s">
        <v>114</v>
      </c>
      <c r="G39" s="12" t="s">
        <v>22</v>
      </c>
      <c r="H39" s="12" t="s">
        <v>23</v>
      </c>
      <c r="I39" s="12" t="s">
        <v>24</v>
      </c>
      <c r="J39" s="12" t="s">
        <v>25</v>
      </c>
      <c r="K39" s="6">
        <v>70000</v>
      </c>
      <c r="L39" s="6">
        <v>8006.04</v>
      </c>
      <c r="M39" s="6">
        <v>0</v>
      </c>
      <c r="N39" s="7">
        <v>61993.96</v>
      </c>
    </row>
    <row r="40" spans="1:14" ht="21" x14ac:dyDescent="0.35">
      <c r="A40" s="26"/>
      <c r="B40" s="9" t="s">
        <v>19</v>
      </c>
      <c r="C40" s="9" t="s">
        <v>18</v>
      </c>
      <c r="D40" s="9" t="s">
        <v>81</v>
      </c>
      <c r="E40" s="9" t="s">
        <v>113</v>
      </c>
      <c r="F40" s="9" t="s">
        <v>114</v>
      </c>
      <c r="G40" s="9" t="s">
        <v>34</v>
      </c>
      <c r="H40" s="9" t="s">
        <v>35</v>
      </c>
      <c r="I40" s="9" t="s">
        <v>24</v>
      </c>
      <c r="J40" s="9" t="s">
        <v>25</v>
      </c>
      <c r="K40" s="10">
        <v>0</v>
      </c>
      <c r="L40" s="10">
        <v>0</v>
      </c>
      <c r="M40" s="10">
        <v>0</v>
      </c>
      <c r="N40" s="11">
        <v>0</v>
      </c>
    </row>
    <row r="41" spans="1:14" ht="21" x14ac:dyDescent="0.35">
      <c r="A41" s="26"/>
      <c r="B41" s="12" t="s">
        <v>19</v>
      </c>
      <c r="C41" s="12" t="s">
        <v>18</v>
      </c>
      <c r="D41" s="12" t="s">
        <v>81</v>
      </c>
      <c r="E41" s="12" t="s">
        <v>113</v>
      </c>
      <c r="F41" s="12" t="s">
        <v>114</v>
      </c>
      <c r="G41" s="12" t="s">
        <v>36</v>
      </c>
      <c r="H41" s="12" t="s">
        <v>37</v>
      </c>
      <c r="I41" s="12" t="s">
        <v>24</v>
      </c>
      <c r="J41" s="12" t="s">
        <v>25</v>
      </c>
      <c r="K41" s="6">
        <v>0</v>
      </c>
      <c r="L41" s="14"/>
      <c r="M41" s="14"/>
      <c r="N41" s="7">
        <v>0</v>
      </c>
    </row>
    <row r="42" spans="1:14" ht="21" x14ac:dyDescent="0.35">
      <c r="A42" s="26"/>
      <c r="B42" s="9" t="s">
        <v>19</v>
      </c>
      <c r="C42" s="9" t="s">
        <v>18</v>
      </c>
      <c r="D42" s="9" t="s">
        <v>81</v>
      </c>
      <c r="E42" s="9" t="s">
        <v>115</v>
      </c>
      <c r="F42" s="9" t="s">
        <v>116</v>
      </c>
      <c r="G42" s="9" t="s">
        <v>22</v>
      </c>
      <c r="H42" s="9" t="s">
        <v>23</v>
      </c>
      <c r="I42" s="9" t="s">
        <v>24</v>
      </c>
      <c r="J42" s="9" t="s">
        <v>25</v>
      </c>
      <c r="K42" s="10">
        <v>0</v>
      </c>
      <c r="L42" s="10">
        <v>0</v>
      </c>
      <c r="M42" s="10">
        <v>0</v>
      </c>
      <c r="N42" s="11">
        <v>0</v>
      </c>
    </row>
    <row r="43" spans="1:14" ht="21" x14ac:dyDescent="0.35">
      <c r="A43" s="26"/>
      <c r="B43" s="12" t="s">
        <v>19</v>
      </c>
      <c r="C43" s="12" t="s">
        <v>18</v>
      </c>
      <c r="D43" s="12" t="s">
        <v>81</v>
      </c>
      <c r="E43" s="12" t="s">
        <v>117</v>
      </c>
      <c r="F43" s="12" t="s">
        <v>118</v>
      </c>
      <c r="G43" s="12" t="s">
        <v>32</v>
      </c>
      <c r="H43" s="12" t="s">
        <v>33</v>
      </c>
      <c r="I43" s="12" t="s">
        <v>24</v>
      </c>
      <c r="J43" s="12" t="s">
        <v>25</v>
      </c>
      <c r="K43" s="6">
        <v>99000</v>
      </c>
      <c r="L43" s="6">
        <v>44795</v>
      </c>
      <c r="M43" s="6">
        <v>0</v>
      </c>
      <c r="N43" s="7">
        <v>54205</v>
      </c>
    </row>
    <row r="44" spans="1:14" ht="31.5" x14ac:dyDescent="0.35">
      <c r="A44" s="26"/>
      <c r="B44" s="9" t="s">
        <v>19</v>
      </c>
      <c r="C44" s="9" t="s">
        <v>18</v>
      </c>
      <c r="D44" s="9" t="s">
        <v>81</v>
      </c>
      <c r="E44" s="9" t="s">
        <v>119</v>
      </c>
      <c r="F44" s="9" t="s">
        <v>120</v>
      </c>
      <c r="G44" s="9" t="s">
        <v>22</v>
      </c>
      <c r="H44" s="9" t="s">
        <v>23</v>
      </c>
      <c r="I44" s="9" t="s">
        <v>24</v>
      </c>
      <c r="J44" s="9" t="s">
        <v>25</v>
      </c>
      <c r="K44" s="10">
        <v>0</v>
      </c>
      <c r="L44" s="10">
        <v>63910.2</v>
      </c>
      <c r="M44" s="10">
        <v>-63910.2</v>
      </c>
      <c r="N44" s="11">
        <v>0</v>
      </c>
    </row>
    <row r="45" spans="1:14" ht="21" x14ac:dyDescent="0.35">
      <c r="A45" s="26"/>
      <c r="B45" s="12" t="s">
        <v>19</v>
      </c>
      <c r="C45" s="12" t="s">
        <v>18</v>
      </c>
      <c r="D45" s="12" t="s">
        <v>81</v>
      </c>
      <c r="E45" s="12" t="s">
        <v>121</v>
      </c>
      <c r="F45" s="12" t="s">
        <v>122</v>
      </c>
      <c r="G45" s="12" t="s">
        <v>22</v>
      </c>
      <c r="H45" s="12" t="s">
        <v>23</v>
      </c>
      <c r="I45" s="12" t="s">
        <v>24</v>
      </c>
      <c r="J45" s="12" t="s">
        <v>25</v>
      </c>
      <c r="K45" s="6">
        <v>0</v>
      </c>
      <c r="L45" s="14"/>
      <c r="M45" s="14"/>
      <c r="N45" s="7">
        <v>0</v>
      </c>
    </row>
    <row r="46" spans="1:14" ht="21" x14ac:dyDescent="0.35">
      <c r="A46" s="26"/>
      <c r="B46" s="9" t="s">
        <v>19</v>
      </c>
      <c r="C46" s="9" t="s">
        <v>18</v>
      </c>
      <c r="D46" s="9" t="s">
        <v>81</v>
      </c>
      <c r="E46" s="9" t="s">
        <v>123</v>
      </c>
      <c r="F46" s="9" t="s">
        <v>124</v>
      </c>
      <c r="G46" s="9" t="s">
        <v>30</v>
      </c>
      <c r="H46" s="9" t="s">
        <v>31</v>
      </c>
      <c r="I46" s="9" t="s">
        <v>24</v>
      </c>
      <c r="J46" s="9" t="s">
        <v>25</v>
      </c>
      <c r="K46" s="10">
        <v>0</v>
      </c>
      <c r="L46" s="10">
        <v>0</v>
      </c>
      <c r="M46" s="10">
        <v>0</v>
      </c>
      <c r="N46" s="11">
        <v>0</v>
      </c>
    </row>
    <row r="47" spans="1:14" ht="21" x14ac:dyDescent="0.35">
      <c r="A47" s="26"/>
      <c r="B47" s="12" t="s">
        <v>19</v>
      </c>
      <c r="C47" s="12" t="s">
        <v>18</v>
      </c>
      <c r="D47" s="12" t="s">
        <v>81</v>
      </c>
      <c r="E47" s="12" t="s">
        <v>123</v>
      </c>
      <c r="F47" s="12" t="s">
        <v>124</v>
      </c>
      <c r="G47" s="12" t="s">
        <v>52</v>
      </c>
      <c r="H47" s="12" t="s">
        <v>53</v>
      </c>
      <c r="I47" s="12" t="s">
        <v>24</v>
      </c>
      <c r="J47" s="12" t="s">
        <v>25</v>
      </c>
      <c r="K47" s="6">
        <v>0</v>
      </c>
      <c r="L47" s="14"/>
      <c r="M47" s="14"/>
      <c r="N47" s="7">
        <v>0</v>
      </c>
    </row>
    <row r="48" spans="1:14" ht="21" x14ac:dyDescent="0.35">
      <c r="A48" s="26"/>
      <c r="B48" s="9" t="s">
        <v>19</v>
      </c>
      <c r="C48" s="9" t="s">
        <v>18</v>
      </c>
      <c r="D48" s="9" t="s">
        <v>81</v>
      </c>
      <c r="E48" s="9" t="s">
        <v>123</v>
      </c>
      <c r="F48" s="9" t="s">
        <v>124</v>
      </c>
      <c r="G48" s="9" t="s">
        <v>32</v>
      </c>
      <c r="H48" s="9" t="s">
        <v>33</v>
      </c>
      <c r="I48" s="9" t="s">
        <v>24</v>
      </c>
      <c r="J48" s="9" t="s">
        <v>25</v>
      </c>
      <c r="K48" s="10">
        <v>0</v>
      </c>
      <c r="L48" s="10">
        <v>0</v>
      </c>
      <c r="M48" s="10">
        <v>0</v>
      </c>
      <c r="N48" s="11">
        <v>0</v>
      </c>
    </row>
    <row r="49" spans="1:14" ht="21" x14ac:dyDescent="0.35">
      <c r="A49" s="26"/>
      <c r="B49" s="12" t="s">
        <v>19</v>
      </c>
      <c r="C49" s="12" t="s">
        <v>18</v>
      </c>
      <c r="D49" s="12" t="s">
        <v>81</v>
      </c>
      <c r="E49" s="12" t="s">
        <v>123</v>
      </c>
      <c r="F49" s="12" t="s">
        <v>124</v>
      </c>
      <c r="G49" s="12" t="s">
        <v>22</v>
      </c>
      <c r="H49" s="12" t="s">
        <v>23</v>
      </c>
      <c r="I49" s="12" t="s">
        <v>24</v>
      </c>
      <c r="J49" s="12" t="s">
        <v>25</v>
      </c>
      <c r="K49" s="6">
        <v>300000</v>
      </c>
      <c r="L49" s="6">
        <v>268891.62</v>
      </c>
      <c r="M49" s="6">
        <v>4621.1099999999997</v>
      </c>
      <c r="N49" s="7">
        <v>26487.27</v>
      </c>
    </row>
    <row r="50" spans="1:14" ht="21" x14ac:dyDescent="0.35">
      <c r="A50" s="26"/>
      <c r="B50" s="9" t="s">
        <v>19</v>
      </c>
      <c r="C50" s="9" t="s">
        <v>18</v>
      </c>
      <c r="D50" s="9" t="s">
        <v>81</v>
      </c>
      <c r="E50" s="9" t="s">
        <v>123</v>
      </c>
      <c r="F50" s="9" t="s">
        <v>124</v>
      </c>
      <c r="G50" s="9" t="s">
        <v>34</v>
      </c>
      <c r="H50" s="9" t="s">
        <v>35</v>
      </c>
      <c r="I50" s="9" t="s">
        <v>24</v>
      </c>
      <c r="J50" s="9" t="s">
        <v>25</v>
      </c>
      <c r="K50" s="10">
        <v>10000</v>
      </c>
      <c r="L50" s="10">
        <v>2457.5100000000002</v>
      </c>
      <c r="M50" s="10">
        <v>0</v>
      </c>
      <c r="N50" s="11">
        <v>7542.49</v>
      </c>
    </row>
    <row r="51" spans="1:14" ht="21" x14ac:dyDescent="0.35">
      <c r="A51" s="26"/>
      <c r="B51" s="12" t="s">
        <v>19</v>
      </c>
      <c r="C51" s="12" t="s">
        <v>18</v>
      </c>
      <c r="D51" s="12" t="s">
        <v>81</v>
      </c>
      <c r="E51" s="12" t="s">
        <v>123</v>
      </c>
      <c r="F51" s="12" t="s">
        <v>124</v>
      </c>
      <c r="G51" s="12" t="s">
        <v>36</v>
      </c>
      <c r="H51" s="12" t="s">
        <v>37</v>
      </c>
      <c r="I51" s="12" t="s">
        <v>24</v>
      </c>
      <c r="J51" s="12" t="s">
        <v>25</v>
      </c>
      <c r="K51" s="6">
        <v>0</v>
      </c>
      <c r="L51" s="14"/>
      <c r="M51" s="14"/>
      <c r="N51" s="7">
        <v>0</v>
      </c>
    </row>
    <row r="52" spans="1:14" ht="21" x14ac:dyDescent="0.35">
      <c r="A52" s="26"/>
      <c r="B52" s="9" t="s">
        <v>19</v>
      </c>
      <c r="C52" s="9" t="s">
        <v>18</v>
      </c>
      <c r="D52" s="9" t="s">
        <v>81</v>
      </c>
      <c r="E52" s="9" t="s">
        <v>123</v>
      </c>
      <c r="F52" s="9" t="s">
        <v>124</v>
      </c>
      <c r="G52" s="9" t="s">
        <v>38</v>
      </c>
      <c r="H52" s="9" t="s">
        <v>39</v>
      </c>
      <c r="I52" s="9" t="s">
        <v>24</v>
      </c>
      <c r="J52" s="9" t="s">
        <v>25</v>
      </c>
      <c r="K52" s="10">
        <v>500000</v>
      </c>
      <c r="L52" s="13"/>
      <c r="M52" s="10">
        <v>0</v>
      </c>
      <c r="N52" s="11">
        <v>500000</v>
      </c>
    </row>
    <row r="53" spans="1:14" ht="21" x14ac:dyDescent="0.35">
      <c r="A53" s="26"/>
      <c r="B53" s="12" t="s">
        <v>19</v>
      </c>
      <c r="C53" s="12" t="s">
        <v>18</v>
      </c>
      <c r="D53" s="12" t="s">
        <v>81</v>
      </c>
      <c r="E53" s="12" t="s">
        <v>125</v>
      </c>
      <c r="F53" s="12" t="s">
        <v>126</v>
      </c>
      <c r="G53" s="12" t="s">
        <v>22</v>
      </c>
      <c r="H53" s="12" t="s">
        <v>23</v>
      </c>
      <c r="I53" s="12" t="s">
        <v>24</v>
      </c>
      <c r="J53" s="12" t="s">
        <v>25</v>
      </c>
      <c r="K53" s="6">
        <v>0</v>
      </c>
      <c r="L53" s="14"/>
      <c r="M53" s="14"/>
      <c r="N53" s="7">
        <v>0</v>
      </c>
    </row>
    <row r="54" spans="1:14" ht="21" x14ac:dyDescent="0.35">
      <c r="A54" s="27"/>
      <c r="B54" s="9" t="s">
        <v>19</v>
      </c>
      <c r="C54" s="9" t="s">
        <v>18</v>
      </c>
      <c r="D54" s="9" t="s">
        <v>81</v>
      </c>
      <c r="E54" s="9" t="s">
        <v>127</v>
      </c>
      <c r="F54" s="9" t="s">
        <v>128</v>
      </c>
      <c r="G54" s="9" t="s">
        <v>58</v>
      </c>
      <c r="H54" s="9" t="s">
        <v>59</v>
      </c>
      <c r="I54" s="9" t="s">
        <v>24</v>
      </c>
      <c r="J54" s="9" t="s">
        <v>25</v>
      </c>
      <c r="K54" s="10">
        <v>0</v>
      </c>
      <c r="L54" s="10">
        <v>0</v>
      </c>
      <c r="M54" s="10">
        <v>0</v>
      </c>
      <c r="N54" s="11">
        <v>0</v>
      </c>
    </row>
    <row r="55" spans="1:14" x14ac:dyDescent="0.35">
      <c r="A55" s="15" t="s">
        <v>44</v>
      </c>
      <c r="B55" s="16"/>
      <c r="C55" s="16"/>
      <c r="D55" s="16"/>
      <c r="E55" s="16"/>
      <c r="F55" s="16"/>
      <c r="G55" s="16"/>
      <c r="H55" s="16"/>
      <c r="I55" s="16"/>
      <c r="J55" s="16"/>
      <c r="K55" s="17">
        <v>1219700</v>
      </c>
      <c r="L55" s="17">
        <v>501766.15</v>
      </c>
      <c r="M55" s="17">
        <v>-71898.69</v>
      </c>
      <c r="N55" s="18">
        <v>789832.54</v>
      </c>
    </row>
    <row r="56" spans="1:14" x14ac:dyDescent="0.35">
      <c r="A56" s="15" t="s">
        <v>45</v>
      </c>
      <c r="B56" s="16"/>
      <c r="C56" s="16"/>
      <c r="D56" s="16"/>
      <c r="E56" s="16"/>
      <c r="F56" s="16"/>
      <c r="G56" s="16"/>
      <c r="H56" s="16"/>
      <c r="I56" s="16"/>
      <c r="J56" s="16"/>
      <c r="K56" s="17">
        <v>1219700</v>
      </c>
      <c r="L56" s="17">
        <v>501766.15</v>
      </c>
      <c r="M56" s="17">
        <v>-71898.69</v>
      </c>
      <c r="N56" s="18">
        <v>789832.54</v>
      </c>
    </row>
    <row r="57" spans="1:14" x14ac:dyDescent="0.35">
      <c r="A57" s="2" t="s">
        <v>1</v>
      </c>
    </row>
  </sheetData>
  <mergeCells count="1">
    <mergeCell ref="A9:A5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showGridLines="0" tabSelected="1" topLeftCell="A10" workbookViewId="0">
      <selection activeCell="L26" sqref="L26"/>
    </sheetView>
  </sheetViews>
  <sheetFormatPr defaultRowHeight="14.5" x14ac:dyDescent="0.35"/>
  <cols>
    <col min="1" max="1" width="14.453125" customWidth="1"/>
    <col min="2" max="2" width="11.453125" customWidth="1"/>
    <col min="3" max="3" width="7.1796875" customWidth="1"/>
    <col min="4" max="4" width="10.54296875" customWidth="1"/>
    <col min="5" max="5" width="11.26953125" customWidth="1"/>
    <col min="6" max="6" width="13.1796875" customWidth="1"/>
    <col min="7" max="7" width="6.453125" customWidth="1"/>
    <col min="8" max="8" width="15.453125" customWidth="1"/>
    <col min="9" max="9" width="6.453125" customWidth="1"/>
    <col min="10" max="10" width="8.81640625" customWidth="1"/>
    <col min="11" max="11" width="8.7265625" bestFit="1" customWidth="1"/>
    <col min="12" max="12" width="10.90625" customWidth="1"/>
    <col min="13" max="13" width="10.54296875" customWidth="1"/>
    <col min="14" max="14" width="8.7265625" bestFit="1" customWidth="1"/>
    <col min="15" max="15" width="0.7265625" customWidth="1"/>
  </cols>
  <sheetData>
    <row r="1" spans="1:14" x14ac:dyDescent="0.35">
      <c r="A1" s="21" t="s">
        <v>0</v>
      </c>
      <c r="B1" s="21"/>
      <c r="C1" s="21"/>
      <c r="D1" s="21"/>
      <c r="E1" s="21"/>
      <c r="F1" s="21"/>
      <c r="G1" s="21"/>
    </row>
    <row r="2" spans="1:14" x14ac:dyDescent="0.35">
      <c r="A2" s="2" t="s">
        <v>1</v>
      </c>
    </row>
    <row r="3" spans="1:14" x14ac:dyDescent="0.35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5" t="s">
        <v>7</v>
      </c>
    </row>
    <row r="4" spans="1:14" x14ac:dyDescent="0.35">
      <c r="A4" s="4" t="s">
        <v>8</v>
      </c>
      <c r="B4" s="6">
        <v>1379904</v>
      </c>
      <c r="C4" s="6">
        <v>195300.57</v>
      </c>
      <c r="D4" s="6">
        <v>33858.879999999997</v>
      </c>
      <c r="E4" s="6">
        <v>1150744.55</v>
      </c>
      <c r="F4" s="7">
        <v>83.393087490144197</v>
      </c>
    </row>
    <row r="5" spans="1:14" x14ac:dyDescent="0.35">
      <c r="A5" s="2" t="s">
        <v>1</v>
      </c>
    </row>
    <row r="6" spans="1:14" ht="31.5" x14ac:dyDescent="0.35">
      <c r="A6" s="3" t="s">
        <v>9</v>
      </c>
      <c r="B6" s="3" t="s">
        <v>10</v>
      </c>
      <c r="C6" s="3" t="s">
        <v>11</v>
      </c>
      <c r="D6" s="3" t="s">
        <v>2</v>
      </c>
      <c r="E6" s="3" t="s">
        <v>12</v>
      </c>
      <c r="F6" s="3" t="s">
        <v>13</v>
      </c>
      <c r="G6" s="3" t="s">
        <v>14</v>
      </c>
      <c r="H6" s="3" t="s">
        <v>15</v>
      </c>
      <c r="I6" s="3" t="s">
        <v>16</v>
      </c>
      <c r="J6" s="3" t="s">
        <v>17</v>
      </c>
      <c r="K6" s="3" t="s">
        <v>3</v>
      </c>
      <c r="L6" s="3" t="s">
        <v>4</v>
      </c>
      <c r="M6" s="3" t="s">
        <v>5</v>
      </c>
      <c r="N6" s="8" t="s">
        <v>6</v>
      </c>
    </row>
    <row r="7" spans="1:14" ht="21" x14ac:dyDescent="0.35">
      <c r="A7" s="22" t="s">
        <v>18</v>
      </c>
      <c r="B7" s="9" t="s">
        <v>19</v>
      </c>
      <c r="C7" s="9" t="s">
        <v>18</v>
      </c>
      <c r="D7" s="9" t="s">
        <v>8</v>
      </c>
      <c r="E7" s="9" t="s">
        <v>20</v>
      </c>
      <c r="F7" s="9" t="s">
        <v>21</v>
      </c>
      <c r="G7" s="9" t="s">
        <v>22</v>
      </c>
      <c r="H7" s="9" t="s">
        <v>23</v>
      </c>
      <c r="I7" s="9" t="s">
        <v>24</v>
      </c>
      <c r="J7" s="9" t="s">
        <v>25</v>
      </c>
      <c r="K7" s="10">
        <v>0</v>
      </c>
      <c r="L7" s="10">
        <v>0</v>
      </c>
      <c r="M7" s="10">
        <v>0</v>
      </c>
      <c r="N7" s="11">
        <v>0</v>
      </c>
    </row>
    <row r="8" spans="1:14" ht="21" x14ac:dyDescent="0.35">
      <c r="A8" s="23"/>
      <c r="B8" s="12" t="s">
        <v>19</v>
      </c>
      <c r="C8" s="12" t="s">
        <v>18</v>
      </c>
      <c r="D8" s="12" t="s">
        <v>8</v>
      </c>
      <c r="E8" s="12" t="s">
        <v>26</v>
      </c>
      <c r="F8" s="12" t="s">
        <v>27</v>
      </c>
      <c r="G8" s="12" t="s">
        <v>22</v>
      </c>
      <c r="H8" s="12" t="s">
        <v>23</v>
      </c>
      <c r="I8" s="12" t="s">
        <v>24</v>
      </c>
      <c r="J8" s="12" t="s">
        <v>25</v>
      </c>
      <c r="K8" s="6">
        <v>0</v>
      </c>
      <c r="L8" s="6">
        <v>0</v>
      </c>
      <c r="M8" s="6">
        <v>0</v>
      </c>
      <c r="N8" s="7">
        <v>0</v>
      </c>
    </row>
    <row r="9" spans="1:14" ht="21" x14ac:dyDescent="0.35">
      <c r="A9" s="23"/>
      <c r="B9" s="9" t="s">
        <v>19</v>
      </c>
      <c r="C9" s="9" t="s">
        <v>18</v>
      </c>
      <c r="D9" s="9" t="s">
        <v>8</v>
      </c>
      <c r="E9" s="9" t="s">
        <v>28</v>
      </c>
      <c r="F9" s="9" t="s">
        <v>29</v>
      </c>
      <c r="G9" s="9" t="s">
        <v>30</v>
      </c>
      <c r="H9" s="9" t="s">
        <v>31</v>
      </c>
      <c r="I9" s="9" t="s">
        <v>24</v>
      </c>
      <c r="J9" s="9" t="s">
        <v>25</v>
      </c>
      <c r="K9" s="10">
        <v>300000</v>
      </c>
      <c r="L9" s="13"/>
      <c r="M9" s="13"/>
      <c r="N9" s="11">
        <v>300000</v>
      </c>
    </row>
    <row r="10" spans="1:14" ht="21" x14ac:dyDescent="0.35">
      <c r="A10" s="23"/>
      <c r="B10" s="12" t="s">
        <v>19</v>
      </c>
      <c r="C10" s="12" t="s">
        <v>18</v>
      </c>
      <c r="D10" s="12" t="s">
        <v>8</v>
      </c>
      <c r="E10" s="12" t="s">
        <v>28</v>
      </c>
      <c r="F10" s="12" t="s">
        <v>29</v>
      </c>
      <c r="G10" s="12" t="s">
        <v>32</v>
      </c>
      <c r="H10" s="12" t="s">
        <v>33</v>
      </c>
      <c r="I10" s="12" t="s">
        <v>24</v>
      </c>
      <c r="J10" s="12" t="s">
        <v>25</v>
      </c>
      <c r="K10" s="6">
        <v>490000</v>
      </c>
      <c r="L10" s="6">
        <v>19975</v>
      </c>
      <c r="M10" s="6">
        <v>116600</v>
      </c>
      <c r="N10" s="7">
        <v>353425</v>
      </c>
    </row>
    <row r="11" spans="1:14" ht="21" x14ac:dyDescent="0.35">
      <c r="A11" s="23"/>
      <c r="B11" s="9" t="s">
        <v>19</v>
      </c>
      <c r="C11" s="9" t="s">
        <v>18</v>
      </c>
      <c r="D11" s="9" t="s">
        <v>8</v>
      </c>
      <c r="E11" s="9" t="s">
        <v>28</v>
      </c>
      <c r="F11" s="9" t="s">
        <v>29</v>
      </c>
      <c r="G11" s="9" t="s">
        <v>22</v>
      </c>
      <c r="H11" s="9" t="s">
        <v>23</v>
      </c>
      <c r="I11" s="9" t="s">
        <v>24</v>
      </c>
      <c r="J11" s="9" t="s">
        <v>25</v>
      </c>
      <c r="K11" s="10">
        <v>11300</v>
      </c>
      <c r="L11" s="10">
        <v>35840</v>
      </c>
      <c r="M11" s="10">
        <v>-78573.52</v>
      </c>
      <c r="N11" s="11">
        <v>54033.52</v>
      </c>
    </row>
    <row r="12" spans="1:14" ht="21" x14ac:dyDescent="0.35">
      <c r="A12" s="23"/>
      <c r="B12" s="12" t="s">
        <v>19</v>
      </c>
      <c r="C12" s="12" t="s">
        <v>18</v>
      </c>
      <c r="D12" s="12" t="s">
        <v>8</v>
      </c>
      <c r="E12" s="12" t="s">
        <v>28</v>
      </c>
      <c r="F12" s="12" t="s">
        <v>29</v>
      </c>
      <c r="G12" s="12" t="s">
        <v>34</v>
      </c>
      <c r="H12" s="12" t="s">
        <v>35</v>
      </c>
      <c r="I12" s="12" t="s">
        <v>24</v>
      </c>
      <c r="J12" s="12" t="s">
        <v>25</v>
      </c>
      <c r="K12" s="6">
        <v>290000</v>
      </c>
      <c r="L12" s="6">
        <v>65768.17</v>
      </c>
      <c r="M12" s="6">
        <v>12500</v>
      </c>
      <c r="N12" s="7">
        <v>211731.83</v>
      </c>
    </row>
    <row r="13" spans="1:14" ht="21" x14ac:dyDescent="0.35">
      <c r="A13" s="23"/>
      <c r="B13" s="9" t="s">
        <v>19</v>
      </c>
      <c r="C13" s="9" t="s">
        <v>18</v>
      </c>
      <c r="D13" s="9" t="s">
        <v>8</v>
      </c>
      <c r="E13" s="9" t="s">
        <v>28</v>
      </c>
      <c r="F13" s="9" t="s">
        <v>29</v>
      </c>
      <c r="G13" s="9" t="s">
        <v>36</v>
      </c>
      <c r="H13" s="9" t="s">
        <v>37</v>
      </c>
      <c r="I13" s="9" t="s">
        <v>24</v>
      </c>
      <c r="J13" s="9" t="s">
        <v>25</v>
      </c>
      <c r="K13" s="10">
        <v>0</v>
      </c>
      <c r="L13" s="10">
        <v>0</v>
      </c>
      <c r="M13" s="10">
        <v>0</v>
      </c>
      <c r="N13" s="11">
        <v>0</v>
      </c>
    </row>
    <row r="14" spans="1:14" ht="21" x14ac:dyDescent="0.35">
      <c r="A14" s="23"/>
      <c r="B14" s="12" t="s">
        <v>19</v>
      </c>
      <c r="C14" s="12" t="s">
        <v>18</v>
      </c>
      <c r="D14" s="12" t="s">
        <v>8</v>
      </c>
      <c r="E14" s="12" t="s">
        <v>28</v>
      </c>
      <c r="F14" s="12" t="s">
        <v>29</v>
      </c>
      <c r="G14" s="12" t="s">
        <v>38</v>
      </c>
      <c r="H14" s="12" t="s">
        <v>39</v>
      </c>
      <c r="I14" s="12" t="s">
        <v>24</v>
      </c>
      <c r="J14" s="12" t="s">
        <v>25</v>
      </c>
      <c r="K14" s="6">
        <v>288604</v>
      </c>
      <c r="L14" s="6">
        <v>57545</v>
      </c>
      <c r="M14" s="6">
        <v>0</v>
      </c>
      <c r="N14" s="7">
        <v>231059</v>
      </c>
    </row>
    <row r="15" spans="1:14" ht="21" x14ac:dyDescent="0.35">
      <c r="A15" s="23"/>
      <c r="B15" s="9" t="s">
        <v>19</v>
      </c>
      <c r="C15" s="9" t="s">
        <v>18</v>
      </c>
      <c r="D15" s="9" t="s">
        <v>8</v>
      </c>
      <c r="E15" s="9" t="s">
        <v>40</v>
      </c>
      <c r="F15" s="9" t="s">
        <v>41</v>
      </c>
      <c r="G15" s="9" t="s">
        <v>22</v>
      </c>
      <c r="H15" s="9" t="s">
        <v>23</v>
      </c>
      <c r="I15" s="9" t="s">
        <v>24</v>
      </c>
      <c r="J15" s="9" t="s">
        <v>25</v>
      </c>
      <c r="K15" s="10">
        <v>0</v>
      </c>
      <c r="L15" s="10">
        <v>0</v>
      </c>
      <c r="M15" s="10">
        <v>0</v>
      </c>
      <c r="N15" s="11">
        <v>0</v>
      </c>
    </row>
    <row r="16" spans="1:14" ht="21" x14ac:dyDescent="0.35">
      <c r="A16" s="23"/>
      <c r="B16" s="12" t="s">
        <v>19</v>
      </c>
      <c r="C16" s="12" t="s">
        <v>18</v>
      </c>
      <c r="D16" s="12" t="s">
        <v>8</v>
      </c>
      <c r="E16" s="12" t="s">
        <v>42</v>
      </c>
      <c r="F16" s="12" t="s">
        <v>43</v>
      </c>
      <c r="G16" s="12" t="s">
        <v>32</v>
      </c>
      <c r="H16" s="12" t="s">
        <v>33</v>
      </c>
      <c r="I16" s="12" t="s">
        <v>24</v>
      </c>
      <c r="J16" s="12" t="s">
        <v>25</v>
      </c>
      <c r="K16" s="6">
        <v>0</v>
      </c>
      <c r="L16" s="14"/>
      <c r="M16" s="14"/>
      <c r="N16" s="7">
        <v>0</v>
      </c>
    </row>
    <row r="17" spans="1:15" ht="21" x14ac:dyDescent="0.35">
      <c r="A17" s="23"/>
      <c r="B17" s="9" t="s">
        <v>19</v>
      </c>
      <c r="C17" s="9" t="s">
        <v>18</v>
      </c>
      <c r="D17" s="9" t="s">
        <v>8</v>
      </c>
      <c r="E17" s="9" t="s">
        <v>42</v>
      </c>
      <c r="F17" s="9" t="s">
        <v>43</v>
      </c>
      <c r="G17" s="9" t="s">
        <v>22</v>
      </c>
      <c r="H17" s="9" t="s">
        <v>23</v>
      </c>
      <c r="I17" s="9" t="s">
        <v>24</v>
      </c>
      <c r="J17" s="9" t="s">
        <v>25</v>
      </c>
      <c r="K17" s="10">
        <v>0</v>
      </c>
      <c r="L17" s="10">
        <v>16172.4</v>
      </c>
      <c r="M17" s="10">
        <v>-16667.599999999999</v>
      </c>
      <c r="N17" s="11">
        <v>495.19999999999902</v>
      </c>
    </row>
    <row r="18" spans="1:15" ht="21" x14ac:dyDescent="0.35">
      <c r="A18" s="24"/>
      <c r="B18" s="12" t="s">
        <v>19</v>
      </c>
      <c r="C18" s="12" t="s">
        <v>18</v>
      </c>
      <c r="D18" s="12" t="s">
        <v>8</v>
      </c>
      <c r="E18" s="12" t="s">
        <v>42</v>
      </c>
      <c r="F18" s="12" t="s">
        <v>43</v>
      </c>
      <c r="G18" s="12" t="s">
        <v>36</v>
      </c>
      <c r="H18" s="12" t="s">
        <v>37</v>
      </c>
      <c r="I18" s="12" t="s">
        <v>24</v>
      </c>
      <c r="J18" s="12" t="s">
        <v>25</v>
      </c>
      <c r="K18" s="6">
        <v>0</v>
      </c>
      <c r="L18" s="6">
        <v>0</v>
      </c>
      <c r="M18" s="6">
        <v>0</v>
      </c>
      <c r="N18" s="7">
        <v>0</v>
      </c>
    </row>
    <row r="19" spans="1:15" x14ac:dyDescent="0.35">
      <c r="A19" s="15" t="s">
        <v>44</v>
      </c>
      <c r="B19" s="16"/>
      <c r="C19" s="16"/>
      <c r="D19" s="16"/>
      <c r="E19" s="16"/>
      <c r="F19" s="16"/>
      <c r="G19" s="16"/>
      <c r="H19" s="16"/>
      <c r="I19" s="16"/>
      <c r="J19" s="16"/>
      <c r="K19" s="17">
        <v>1379904</v>
      </c>
      <c r="L19" s="17">
        <v>195300.57</v>
      </c>
      <c r="M19" s="17">
        <v>33858.879999999997</v>
      </c>
      <c r="N19" s="18">
        <v>1150744.55</v>
      </c>
    </row>
    <row r="20" spans="1:15" x14ac:dyDescent="0.35">
      <c r="A20" s="15" t="s">
        <v>45</v>
      </c>
      <c r="B20" s="16"/>
      <c r="C20" s="16"/>
      <c r="D20" s="16"/>
      <c r="E20" s="16"/>
      <c r="F20" s="16"/>
      <c r="G20" s="16"/>
      <c r="H20" s="16"/>
      <c r="I20" s="16"/>
      <c r="J20" s="16"/>
      <c r="K20" s="17">
        <v>1379904</v>
      </c>
      <c r="L20" s="17">
        <v>195300.57</v>
      </c>
      <c r="M20" s="17">
        <v>33858.879999999997</v>
      </c>
      <c r="N20" s="18">
        <v>1150744.55</v>
      </c>
    </row>
    <row r="21" spans="1:15" x14ac:dyDescent="0.35">
      <c r="A21" s="2" t="s">
        <v>1</v>
      </c>
      <c r="K21" s="17">
        <v>1219700</v>
      </c>
      <c r="L21" s="17">
        <v>501766.15</v>
      </c>
      <c r="M21" s="17">
        <v>-71898.69</v>
      </c>
      <c r="N21" s="18">
        <v>789832.54</v>
      </c>
    </row>
    <row r="22" spans="1:15" x14ac:dyDescent="0.35">
      <c r="K22" s="17">
        <v>3220150</v>
      </c>
      <c r="L22" s="17">
        <v>2370259.44</v>
      </c>
      <c r="M22" s="17">
        <v>0</v>
      </c>
      <c r="N22" s="18">
        <v>849890.56</v>
      </c>
    </row>
    <row r="24" spans="1:15" x14ac:dyDescent="0.35">
      <c r="K24" s="20">
        <f>SUM(K20:K22)</f>
        <v>5819754</v>
      </c>
      <c r="L24" s="20">
        <f>SUM(L20:L22)</f>
        <v>3067326.16</v>
      </c>
      <c r="N24" s="20">
        <f>N20+'2019 opex'!N56+'2019 manpower'!N71</f>
        <v>2790467.6500000004</v>
      </c>
      <c r="O24" s="20">
        <f>'2019 capex'!O20+'2019 opex'!O56+'2019 manpower'!O71</f>
        <v>0</v>
      </c>
    </row>
    <row r="25" spans="1:15" x14ac:dyDescent="0.35">
      <c r="L25" s="17">
        <v>-71898.69</v>
      </c>
    </row>
    <row r="26" spans="1:15" x14ac:dyDescent="0.35">
      <c r="L26" s="20">
        <f>SUM(L24:L25)</f>
        <v>2995427.47</v>
      </c>
    </row>
  </sheetData>
  <mergeCells count="2">
    <mergeCell ref="A1:G1"/>
    <mergeCell ref="A7:A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2019 manpower</vt:lpstr>
      <vt:lpstr>2019 opex</vt:lpstr>
      <vt:lpstr>2019 capex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2020-09-30T07:54:40Z</dcterms:created>
  <dcterms:modified xsi:type="dcterms:W3CDTF">2020-10-11T07:37:32Z</dcterms:modified>
</cp:coreProperties>
</file>