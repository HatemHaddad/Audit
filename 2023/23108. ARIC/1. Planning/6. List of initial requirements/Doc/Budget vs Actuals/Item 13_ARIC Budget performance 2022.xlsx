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492" windowHeight="6432" firstSheet="1" activeTab="1"/>
  </bookViews>
  <sheets>
    <sheet name="2020 Budget Load" sheetId="6" state="hidden" r:id="rId1"/>
    <sheet name="Budget 2022" sheetId="10" r:id="rId2"/>
    <sheet name="2020 allocation done before" sheetId="5" r:id="rId3"/>
    <sheet name="personnel matrix details" sheetId="4" r:id="rId4"/>
    <sheet name="Personnel" sheetId="1" r:id="rId5"/>
    <sheet name="Opex" sheetId="2" r:id="rId6"/>
  </sheets>
  <definedNames>
    <definedName name="_xlnm.Print_Area" localSheetId="0">'2020 Budget Load'!$A$1:$L$30</definedName>
  </definedNames>
  <calcPr calcId="162913"/>
</workbook>
</file>

<file path=xl/calcChain.xml><?xml version="1.0" encoding="utf-8"?>
<calcChain xmlns="http://schemas.openxmlformats.org/spreadsheetml/2006/main">
  <c r="F23" i="10" l="1"/>
  <c r="I9" i="4"/>
  <c r="I8" i="4"/>
  <c r="F13" i="10"/>
  <c r="K18" i="4"/>
  <c r="K17" i="4"/>
  <c r="F7" i="10"/>
  <c r="F14" i="10"/>
  <c r="F11" i="10"/>
  <c r="F10" i="10"/>
  <c r="F9" i="10"/>
  <c r="F8" i="10"/>
  <c r="O15" i="2" l="1"/>
  <c r="O5" i="2"/>
  <c r="G3" i="4"/>
  <c r="I3" i="4" s="1"/>
  <c r="I10" i="4"/>
  <c r="I7" i="4"/>
  <c r="I5" i="4"/>
  <c r="I4" i="4"/>
  <c r="I2" i="4"/>
  <c r="I6" i="4"/>
  <c r="K13" i="4"/>
  <c r="P15" i="5" l="1"/>
  <c r="N16" i="2"/>
  <c r="F25" i="10"/>
  <c r="E12" i="10"/>
  <c r="E15" i="10" l="1"/>
  <c r="F12" i="10"/>
  <c r="F15" i="10" s="1"/>
  <c r="G22" i="10" l="1"/>
  <c r="F27" i="10"/>
  <c r="F8" i="6" l="1"/>
  <c r="O3" i="4" l="1"/>
  <c r="O7" i="4"/>
  <c r="O9" i="4"/>
  <c r="N3" i="4"/>
  <c r="N7" i="4"/>
  <c r="N9" i="4"/>
  <c r="O2" i="4"/>
  <c r="N2" i="4"/>
  <c r="F26" i="6"/>
  <c r="F24" i="6"/>
  <c r="E16" i="6"/>
  <c r="F15" i="6"/>
  <c r="F12" i="6"/>
  <c r="F11" i="6"/>
  <c r="F10" i="6"/>
  <c r="F9" i="6"/>
  <c r="O7" i="5"/>
  <c r="O15" i="5" s="1"/>
  <c r="Q3" i="4" l="1"/>
  <c r="F16" i="6"/>
  <c r="G23" i="6" s="1"/>
  <c r="M16" i="2"/>
  <c r="F28" i="6" l="1"/>
  <c r="K34" i="6" s="1"/>
  <c r="K35" i="6" s="1"/>
  <c r="O14" i="2"/>
  <c r="O13" i="2"/>
  <c r="O12" i="2"/>
  <c r="O6" i="2"/>
  <c r="O7" i="2"/>
  <c r="O8" i="2"/>
  <c r="O9" i="2"/>
  <c r="O11" i="2"/>
  <c r="O4" i="2"/>
  <c r="O16" i="2" s="1"/>
  <c r="P16" i="2" s="1"/>
</calcChain>
</file>

<file path=xl/sharedStrings.xml><?xml version="1.0" encoding="utf-8"?>
<sst xmlns="http://schemas.openxmlformats.org/spreadsheetml/2006/main" count="502" uniqueCount="244">
  <si>
    <t>Budget performance - Personal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</si>
  <si>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</si>
  <si>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</si>
  <si>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</si>
  <si>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</si>
  <si>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</si>
  <si>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</si>
  <si>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</si>
  <si>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</si>
  <si>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</si>
  <si>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</si>
  <si>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</si>
  <si>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</si>
  <si>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</si>
  <si>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KUJ - Ledger</t>
  </si>
  <si>
    <t>8436010</t>
  </si>
  <si>
    <t>KU - Joint Ventures-ARIC</t>
  </si>
  <si>
    <t>412110</t>
  </si>
  <si>
    <t>Consolidated pay (combined salaries and allowances)</t>
  </si>
  <si>
    <t>843.8436010.1.412110.000000.843104.000000</t>
  </si>
  <si>
    <t>843.8436010.1.412110.000000.843106.000000</t>
  </si>
  <si>
    <t>412121</t>
  </si>
  <si>
    <t>Basic salary</t>
  </si>
  <si>
    <t>843.8436010.1.412121.000000.843102.000000</t>
  </si>
  <si>
    <t>843.8436010.1.412121.000000.843104.000000</t>
  </si>
  <si>
    <t>843.8436010.1.412121.000000.843106.000000</t>
  </si>
  <si>
    <t>843.8436010.1.412121.000000.843107.000000</t>
  </si>
  <si>
    <t>843.8436010.1.412121.000000.843111.000000</t>
  </si>
  <si>
    <t>412125</t>
  </si>
  <si>
    <t>Cost of living adjustment pay (COLA)</t>
  </si>
  <si>
    <t>843.8436010.1.412125.000000.843102.000000</t>
  </si>
  <si>
    <t>843.8436010.1.412125.000000.843104.000000</t>
  </si>
  <si>
    <t>843.8436010.1.412125.000000.843106.000000</t>
  </si>
  <si>
    <t>843.8436010.1.412125.000000.843107.000000</t>
  </si>
  <si>
    <t>843.8436010.1.412125.000000.843111.000000</t>
  </si>
  <si>
    <t>412521</t>
  </si>
  <si>
    <t>Administration allowance (including Mansab)</t>
  </si>
  <si>
    <t>843.8436010.1.412521.000000.843106.000000</t>
  </si>
  <si>
    <t>412534</t>
  </si>
  <si>
    <t>School fee reimbursements</t>
  </si>
  <si>
    <t>843.8436010.1.412534.000000.843102.000000</t>
  </si>
  <si>
    <t>843.8436010.1.412534.000000.843106.000000</t>
  </si>
  <si>
    <t>843.8436010.1.412534.000000.843107.000000</t>
  </si>
  <si>
    <t>843.8436010.1.412534.000000.843111.000000</t>
  </si>
  <si>
    <t>412590</t>
  </si>
  <si>
    <t>Rounding up cost of net pay</t>
  </si>
  <si>
    <t>843.8436010.1.412590.000000.843107.000000</t>
  </si>
  <si>
    <t>414120</t>
  </si>
  <si>
    <t>Gratuity - Non-pensionable employees</t>
  </si>
  <si>
    <t>843.8436010.1.414120.000000.843102.000000</t>
  </si>
  <si>
    <t>843.8436010.1.414120.000000.843104.000000</t>
  </si>
  <si>
    <t>843.8436010.1.414120.000000.843106.000000</t>
  </si>
  <si>
    <t>843.8436010.1.414120.000000.843107.000000</t>
  </si>
  <si>
    <t>416110</t>
  </si>
  <si>
    <t>Employee travel costs - Fares</t>
  </si>
  <si>
    <t>843.8436010.1.416110.000000.843102.000000</t>
  </si>
  <si>
    <t>843.8436010.1.416110.000000.843106.000000</t>
  </si>
  <si>
    <t>843.8436010.1.416110.000000.843107.000000</t>
  </si>
  <si>
    <t>843.8436010.1.416110.000000.843111.000000</t>
  </si>
  <si>
    <t>416310</t>
  </si>
  <si>
    <t>Medical insurance premium</t>
  </si>
  <si>
    <t>843.8436010.1.416310.000000.843102.000000</t>
  </si>
  <si>
    <t>843.8436010.1.416310.000000.843106.000000</t>
  </si>
  <si>
    <t>843.8436010.1.416310.000000.843107.000000</t>
  </si>
  <si>
    <t>8436010 Total</t>
  </si>
  <si>
    <t>Grand Total</t>
  </si>
  <si>
    <t>Budget Performance Opex</t>
  </si>
  <si>
    <t>420900</t>
  </si>
  <si>
    <t>Legal services</t>
  </si>
  <si>
    <t>843.8436010.1.420900.000000.843101.000000</t>
  </si>
  <si>
    <t>425510</t>
  </si>
  <si>
    <t>Conferences, seminars and exhibitions and other events: - Local Events</t>
  </si>
  <si>
    <t>843.8436010.1.425510.000000.843106.000000</t>
  </si>
  <si>
    <t>426610</t>
  </si>
  <si>
    <t>Computer software licenses</t>
  </si>
  <si>
    <t>843.8436010.1.426610.000000.843106.000000</t>
  </si>
  <si>
    <t>426900</t>
  </si>
  <si>
    <t>Postal, courier and other document delivery expenses</t>
  </si>
  <si>
    <t>843.8436010.1.426900.000000.843106.000000</t>
  </si>
  <si>
    <t>428090</t>
  </si>
  <si>
    <t>Business Travel - Combined expenses</t>
  </si>
  <si>
    <t>843.8436010.1.428090.000000.843106.000000</t>
  </si>
  <si>
    <t>428400</t>
  </si>
  <si>
    <t>Sponsorship expenses/contributions</t>
  </si>
  <si>
    <t>843.8436010.1.428400.000000.843106.000000</t>
  </si>
  <si>
    <t>429900</t>
  </si>
  <si>
    <t>Other services, not specifically mentioned elsewhere</t>
  </si>
  <si>
    <t>843.8436010.1.429900.000000.843106.000000</t>
  </si>
  <si>
    <t>435508</t>
  </si>
  <si>
    <t>Laboratory - Scientific</t>
  </si>
  <si>
    <t>843.8436010.1.435508.000000.843106.000000</t>
  </si>
  <si>
    <t>843.8436010.1.435508.000000.843107.000000</t>
  </si>
  <si>
    <t>comments if any</t>
  </si>
  <si>
    <t>2021 budget</t>
  </si>
  <si>
    <t>Employee Number</t>
  </si>
  <si>
    <t>Name</t>
  </si>
  <si>
    <t>Joining Date</t>
  </si>
  <si>
    <t>Position</t>
  </si>
  <si>
    <t>Section</t>
  </si>
  <si>
    <t>Nationality</t>
  </si>
  <si>
    <t>Basic Salary</t>
  </si>
  <si>
    <t>Cost of Living Subsidy</t>
  </si>
  <si>
    <t>Gross Salary</t>
  </si>
  <si>
    <t>Education Claim Processed for Academic year 2020_2021</t>
  </si>
  <si>
    <t>Air Tickets Processed for Year 2020</t>
  </si>
  <si>
    <t>KU500020</t>
  </si>
  <si>
    <t>Mr.  Pradeep George</t>
  </si>
  <si>
    <t>Lab Engineer</t>
  </si>
  <si>
    <t>ARIC</t>
  </si>
  <si>
    <t>India</t>
  </si>
  <si>
    <t>Post Doctoral Fellow</t>
  </si>
  <si>
    <t>Research Associate</t>
  </si>
  <si>
    <t>KU500324</t>
  </si>
  <si>
    <t>Jordan</t>
  </si>
  <si>
    <t>KU500377</t>
  </si>
  <si>
    <t>Mr.  Mohammed M M Alkrunz</t>
  </si>
  <si>
    <t>Research Assistant</t>
  </si>
  <si>
    <t>Palestine</t>
  </si>
  <si>
    <r>
      <t>843.8436010.1.435508.000000.</t>
    </r>
    <r>
      <rPr>
        <sz val="11"/>
        <color rgb="FFFF0000"/>
        <rFont val="Calibri"/>
        <family val="2"/>
      </rPr>
      <t>843111.</t>
    </r>
    <r>
      <rPr>
        <sz val="11"/>
        <color theme="1"/>
        <rFont val="Calibri"/>
        <family val="2"/>
      </rPr>
      <t>000000</t>
    </r>
  </si>
  <si>
    <r>
      <t>843.8436010.1.435508.000000.843</t>
    </r>
    <r>
      <rPr>
        <sz val="11"/>
        <color rgb="FFFF0000"/>
        <rFont val="Calibri"/>
        <family val="2"/>
      </rPr>
      <t>102</t>
    </r>
    <r>
      <rPr>
        <sz val="11"/>
        <color theme="1"/>
        <rFont val="Calibri"/>
        <family val="2"/>
      </rPr>
      <t>.000000</t>
    </r>
  </si>
  <si>
    <t>Please rename Future 1 (843107)  from HDF Bicycle to Exoskeleton for ARIC (KUJ)</t>
  </si>
  <si>
    <t>3DP</t>
  </si>
  <si>
    <t>Thermoplastics</t>
  </si>
  <si>
    <t>Additional Research Associate</t>
  </si>
  <si>
    <t>Strata Engineering Support</t>
  </si>
  <si>
    <t>10% Director's contribution</t>
  </si>
  <si>
    <t>Director</t>
  </si>
  <si>
    <t>ARIC Performance Report - Manpower- Cost Center by Groups-2019</t>
  </si>
  <si>
    <t>Chapter Name</t>
  </si>
  <si>
    <t>Budget</t>
  </si>
  <si>
    <t>Actual</t>
  </si>
  <si>
    <t>Encumbrance</t>
  </si>
  <si>
    <t>% Fund Available</t>
  </si>
  <si>
    <t>1 Personnel Costs</t>
  </si>
  <si>
    <t>Cost Center Code - Group</t>
  </si>
  <si>
    <t>Account Code Description</t>
  </si>
  <si>
    <t>Future1</t>
  </si>
  <si>
    <t>Future1 Description</t>
  </si>
  <si>
    <t>Future2</t>
  </si>
  <si>
    <t>Future2 Description</t>
  </si>
  <si>
    <t>Budget 2019</t>
  </si>
  <si>
    <t>Actual 2019</t>
  </si>
  <si>
    <t>Encumbrance 2019</t>
  </si>
  <si>
    <t>Fund Available 2019</t>
  </si>
  <si>
    <t>2020 budget</t>
  </si>
  <si>
    <t xml:space="preserve">Consolidated pay </t>
  </si>
  <si>
    <t>843106</t>
  </si>
  <si>
    <t>ARIC Central</t>
  </si>
  <si>
    <t>000000</t>
  </si>
  <si>
    <t>Un Specified</t>
  </si>
  <si>
    <t>843102</t>
  </si>
  <si>
    <t>Thermoplastic</t>
  </si>
  <si>
    <t>843104</t>
  </si>
  <si>
    <t>Automation</t>
  </si>
  <si>
    <t>Abdulla Ayyad</t>
  </si>
  <si>
    <t>843107</t>
  </si>
  <si>
    <t>HDF/Bicycle</t>
  </si>
  <si>
    <t>843111</t>
  </si>
  <si>
    <t>ARIC CY 2020 Budget</t>
  </si>
  <si>
    <t>MANPOWER BUDGET</t>
  </si>
  <si>
    <t xml:space="preserve">MANPOWER ALLOCATION </t>
  </si>
  <si>
    <t xml:space="preserve">Wesley/Sanjeev </t>
  </si>
  <si>
    <t xml:space="preserve">Cessare/Yehya </t>
  </si>
  <si>
    <t>Cesare</t>
  </si>
  <si>
    <t xml:space="preserve">Wesley </t>
  </si>
  <si>
    <t xml:space="preserve">Joining Date </t>
  </si>
  <si>
    <t xml:space="preserve">Position </t>
  </si>
  <si>
    <t>Grade</t>
  </si>
  <si>
    <t xml:space="preserve">Monthly Salary </t>
  </si>
  <si>
    <t>Annual Salary</t>
  </si>
  <si>
    <t xml:space="preserve">Robotics/Digital </t>
  </si>
  <si>
    <t>Exoskeleton</t>
  </si>
  <si>
    <t>Central</t>
  </si>
  <si>
    <t>Pradeep George</t>
  </si>
  <si>
    <t>SG14</t>
  </si>
  <si>
    <t xml:space="preserve"> Alia Ruzanna Binti Aziz</t>
  </si>
  <si>
    <t>SG15</t>
  </si>
  <si>
    <t>Meena Periya Samy</t>
  </si>
  <si>
    <t>FA6</t>
  </si>
  <si>
    <t>XXX</t>
  </si>
  <si>
    <t>Mohamed Al-Krunz</t>
  </si>
  <si>
    <t>Total Personnel</t>
  </si>
  <si>
    <t>OPEX BUDGET</t>
  </si>
  <si>
    <t>Materials &amp; Consumables-3DP</t>
  </si>
  <si>
    <t>Tooling &amp; Consumables-Exoskeleton</t>
  </si>
  <si>
    <t>Tooling &amp; Consumables-Robotics/Digital</t>
  </si>
  <si>
    <t>Materials &amp; Consumables-Thermoplastics</t>
  </si>
  <si>
    <t xml:space="preserve">Travel/Events </t>
  </si>
  <si>
    <t>Salaries + Strata Mgr.</t>
  </si>
  <si>
    <t>Strata Mgr by contract</t>
  </si>
  <si>
    <t>Total OPEX</t>
  </si>
  <si>
    <t>CAPEX BUDGET</t>
  </si>
  <si>
    <t>Total CAPEX</t>
  </si>
  <si>
    <t>TOTAL BUDGET</t>
  </si>
  <si>
    <t>Carry Over from 2019 (Estimate)</t>
  </si>
  <si>
    <t>AHC Contribution 2020</t>
  </si>
  <si>
    <t>KU Contribution 2020</t>
  </si>
  <si>
    <t>2020 Expenditure (based on budget)</t>
  </si>
  <si>
    <t xml:space="preserve">Balance at end of 2020 </t>
  </si>
  <si>
    <t>D</t>
  </si>
  <si>
    <t>d</t>
  </si>
  <si>
    <t>project code captured</t>
  </si>
  <si>
    <t xml:space="preserve">for now </t>
  </si>
  <si>
    <t>changed to 843102</t>
  </si>
  <si>
    <t>111 until HR change to 106</t>
  </si>
  <si>
    <t>2022 budget</t>
  </si>
  <si>
    <t>ARIC 2022 Budget</t>
  </si>
  <si>
    <t>Create Code</t>
  </si>
  <si>
    <t>Wesley</t>
  </si>
  <si>
    <t xml:space="preserve">Yahya </t>
  </si>
  <si>
    <t>Irfan</t>
  </si>
  <si>
    <t>Thermop/OOA</t>
  </si>
  <si>
    <t>Ahmad Al-Jarah</t>
  </si>
  <si>
    <t>Laith Abu Assi</t>
  </si>
  <si>
    <t>Abdulla Ayyad**</t>
  </si>
  <si>
    <t xml:space="preserve"> Satish Verenkar (all ARIC)*</t>
  </si>
  <si>
    <t>Research Technician</t>
  </si>
  <si>
    <t>New Research Engineer</t>
  </si>
  <si>
    <t>Tooling &amp; Consumables-Robotics</t>
  </si>
  <si>
    <t>Materials &amp; Consumables-TP</t>
  </si>
  <si>
    <t>TOTAL BUDGET***</t>
  </si>
  <si>
    <t xml:space="preserve">** Abdulla Ayyad: we budgetted extra 4000/month for promotion as a retention strategy. In 2022 his salary should be 20-21K/month. </t>
  </si>
  <si>
    <t xml:space="preserve">Create Code </t>
  </si>
  <si>
    <t>Mr.  Abdulla Ayyad**</t>
  </si>
  <si>
    <t>Research Engineer</t>
  </si>
  <si>
    <t>Directors</t>
  </si>
  <si>
    <t>*</t>
  </si>
  <si>
    <t>**</t>
  </si>
  <si>
    <t>***</t>
  </si>
  <si>
    <t>*** New Research Engineer to start in March 2022</t>
  </si>
  <si>
    <t>Mohammed Al Krunz</t>
  </si>
  <si>
    <t>Pradeep George****</t>
  </si>
  <si>
    <t>****Annual salary includes allowances</t>
  </si>
  <si>
    <t>KU500539</t>
  </si>
  <si>
    <t>KU500559</t>
  </si>
  <si>
    <r>
      <t>843.8436010.1.435508.000000.843</t>
    </r>
    <r>
      <rPr>
        <sz val="11"/>
        <color rgb="FFFF0000"/>
        <rFont val="Calibri"/>
        <family val="2"/>
      </rPr>
      <t>104</t>
    </r>
    <r>
      <rPr>
        <sz val="11"/>
        <color theme="1"/>
        <rFont val="Calibri"/>
        <family val="2"/>
      </rPr>
      <t>.000000</t>
    </r>
  </si>
  <si>
    <t>Tooling and consummables Robotics</t>
  </si>
  <si>
    <t>New Research Engineer*</t>
  </si>
  <si>
    <t>* Budgeted for 10 months</t>
  </si>
  <si>
    <t>Satish Verenkar**</t>
  </si>
  <si>
    <t xml:space="preserve">* Satish: will be covered through ARIC for 2022. Currently, according to John Radkowski, he has budget to carry him through to the end of April 2022. </t>
  </si>
  <si>
    <t>** Budgeted for 8 months after funding on the bicycle project has been depleted</t>
  </si>
  <si>
    <t>Satish Verenkar (all ARIC)*</t>
  </si>
  <si>
    <t>* Satish Verenkar:  Currently, according to John Radkowski, he has budget to carry him through April 2022. ARIC funds will support him thereafter.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</si>
</sst>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33399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F2E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253">
    <xf numFmtId="0" fontId="0" fillId="0" borderId="0" xfId="0"/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7" fillId="0" borderId="2" xfId="0" applyFont="1" applyBorder="1"/>
    <xf numFmtId="0" fontId="0" fillId="4" borderId="0" xfId="0" applyFill="1"/>
    <xf numFmtId="0" fontId="7" fillId="4" borderId="2" xfId="0" applyFont="1" applyFill="1" applyBorder="1"/>
    <xf numFmtId="0" fontId="7" fillId="2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3" fontId="7" fillId="3" borderId="2" xfId="0" applyNumberFormat="1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left" vertical="top" wrapText="1"/>
    </xf>
    <xf numFmtId="3" fontId="8" fillId="2" borderId="2" xfId="0" applyNumberFormat="1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horizontal="right" vertical="top" wrapText="1"/>
    </xf>
    <xf numFmtId="0" fontId="8" fillId="2" borderId="0" xfId="0" applyFont="1" applyFill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3" fontId="8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4" borderId="2" xfId="0" applyFont="1" applyFill="1" applyBorder="1" applyAlignment="1">
      <alignment horizontal="left" vertical="top" wrapText="1"/>
    </xf>
    <xf numFmtId="0" fontId="9" fillId="5" borderId="3" xfId="3" applyFont="1" applyFill="1" applyBorder="1" applyAlignment="1">
      <alignment horizontal="left" vertical="top" wrapText="1"/>
    </xf>
    <xf numFmtId="0" fontId="9" fillId="5" borderId="4" xfId="3" applyFont="1" applyFill="1" applyBorder="1" applyAlignment="1">
      <alignment horizontal="left" vertical="top" wrapText="1"/>
    </xf>
    <xf numFmtId="0" fontId="9" fillId="5" borderId="5" xfId="3" applyFont="1" applyFill="1" applyBorder="1" applyAlignment="1">
      <alignment horizontal="left" vertical="top" wrapText="1"/>
    </xf>
    <xf numFmtId="0" fontId="9" fillId="6" borderId="0" xfId="3" applyFont="1" applyFill="1" applyAlignment="1">
      <alignment horizontal="left" vertical="top" wrapText="1"/>
    </xf>
    <xf numFmtId="0" fontId="9" fillId="6" borderId="6" xfId="3" applyFont="1" applyFill="1" applyBorder="1" applyAlignment="1">
      <alignment horizontal="left" vertical="top" wrapText="1"/>
    </xf>
    <xf numFmtId="0" fontId="9" fillId="6" borderId="6" xfId="3" applyFont="1" applyFill="1" applyBorder="1" applyAlignment="1">
      <alignment horizontal="left" wrapText="1"/>
    </xf>
    <xf numFmtId="0" fontId="9" fillId="5" borderId="6" xfId="3" applyFont="1" applyFill="1" applyBorder="1" applyAlignment="1">
      <alignment horizontal="left" wrapText="1"/>
    </xf>
    <xf numFmtId="0" fontId="10" fillId="0" borderId="0" xfId="3" applyFont="1" applyAlignment="1">
      <alignment horizontal="left"/>
    </xf>
    <xf numFmtId="0" fontId="10" fillId="7" borderId="7" xfId="3" applyFont="1" applyFill="1" applyBorder="1" applyAlignment="1">
      <alignment horizontal="left" vertical="top" wrapText="1"/>
    </xf>
    <xf numFmtId="0" fontId="10" fillId="8" borderId="8" xfId="3" applyFont="1" applyFill="1" applyBorder="1" applyAlignment="1">
      <alignment horizontal="left" vertical="top" wrapText="1"/>
    </xf>
    <xf numFmtId="15" fontId="10" fillId="8" borderId="9" xfId="3" applyNumberFormat="1" applyFont="1" applyFill="1" applyBorder="1" applyAlignment="1">
      <alignment horizontal="left" vertical="top" wrapText="1"/>
    </xf>
    <xf numFmtId="0" fontId="10" fillId="8" borderId="9" xfId="3" applyFont="1" applyFill="1" applyBorder="1" applyAlignment="1">
      <alignment horizontal="left" vertical="top" wrapText="1"/>
    </xf>
    <xf numFmtId="4" fontId="10" fillId="8" borderId="9" xfId="3" applyNumberFormat="1" applyFont="1" applyFill="1" applyBorder="1" applyAlignment="1">
      <alignment horizontal="left" vertical="top" wrapText="1"/>
    </xf>
    <xf numFmtId="4" fontId="10" fillId="8" borderId="6" xfId="3" applyNumberFormat="1" applyFont="1" applyFill="1" applyBorder="1" applyAlignment="1">
      <alignment horizontal="left" vertical="top" wrapText="1"/>
    </xf>
    <xf numFmtId="164" fontId="10" fillId="0" borderId="6" xfId="4" applyFont="1" applyBorder="1" applyAlignment="1">
      <alignment horizontal="left" wrapText="1"/>
    </xf>
    <xf numFmtId="0" fontId="10" fillId="7" borderId="8" xfId="3" applyFont="1" applyFill="1" applyBorder="1" applyAlignment="1">
      <alignment horizontal="left" vertical="top" wrapText="1"/>
    </xf>
    <xf numFmtId="0" fontId="9" fillId="7" borderId="10" xfId="3" applyFont="1" applyFill="1" applyBorder="1" applyAlignment="1">
      <alignment horizontal="left" vertical="top" wrapText="1"/>
    </xf>
    <xf numFmtId="4" fontId="10" fillId="7" borderId="9" xfId="3" applyNumberFormat="1" applyFont="1" applyFill="1" applyBorder="1" applyAlignment="1">
      <alignment horizontal="left" vertical="top" wrapText="1"/>
    </xf>
    <xf numFmtId="43" fontId="10" fillId="0" borderId="0" xfId="3" applyNumberFormat="1" applyFont="1" applyAlignment="1">
      <alignment horizontal="left" wrapText="1"/>
    </xf>
    <xf numFmtId="0" fontId="10" fillId="0" borderId="0" xfId="3" applyFont="1" applyAlignment="1">
      <alignment horizontal="left" wrapText="1"/>
    </xf>
    <xf numFmtId="3" fontId="7" fillId="4" borderId="2" xfId="0" applyNumberFormat="1" applyFont="1" applyFill="1" applyBorder="1"/>
    <xf numFmtId="43" fontId="10" fillId="0" borderId="0" xfId="3" applyNumberFormat="1" applyFont="1" applyAlignment="1">
      <alignment horizontal="left"/>
    </xf>
    <xf numFmtId="3" fontId="7" fillId="0" borderId="2" xfId="0" applyNumberFormat="1" applyFont="1" applyBorder="1"/>
    <xf numFmtId="3" fontId="0" fillId="0" borderId="0" xfId="0" applyNumberFormat="1"/>
    <xf numFmtId="43" fontId="7" fillId="4" borderId="2" xfId="5" applyFont="1" applyFill="1" applyBorder="1"/>
    <xf numFmtId="0" fontId="10" fillId="8" borderId="10" xfId="3" applyFont="1" applyFill="1" applyBorder="1" applyAlignment="1">
      <alignment horizontal="left" vertical="top" wrapText="1"/>
    </xf>
    <xf numFmtId="15" fontId="10" fillId="8" borderId="10" xfId="3" applyNumberFormat="1" applyFont="1" applyFill="1" applyBorder="1" applyAlignment="1">
      <alignment horizontal="left" vertical="top" wrapText="1"/>
    </xf>
    <xf numFmtId="164" fontId="10" fillId="0" borderId="9" xfId="4" applyFont="1" applyBorder="1" applyAlignment="1">
      <alignment horizontal="left" wrapText="1"/>
    </xf>
    <xf numFmtId="0" fontId="0" fillId="4" borderId="2" xfId="0" applyFill="1" applyBorder="1"/>
    <xf numFmtId="0" fontId="14" fillId="4" borderId="2" xfId="0" applyFont="1" applyFill="1" applyBorder="1" applyAlignment="1">
      <alignment horizontal="left" vertical="top" wrapText="1"/>
    </xf>
    <xf numFmtId="3" fontId="15" fillId="4" borderId="2" xfId="0" applyNumberFormat="1" applyFont="1" applyFill="1" applyBorder="1" applyAlignment="1">
      <alignment horizontal="left" vertical="top" wrapText="1"/>
    </xf>
    <xf numFmtId="0" fontId="7" fillId="0" borderId="0" xfId="6"/>
    <xf numFmtId="0" fontId="7" fillId="0" borderId="0" xfId="6" applyFill="1"/>
    <xf numFmtId="0" fontId="7" fillId="0" borderId="0" xfId="6" applyAlignment="1">
      <alignment horizontal="center" vertical="top" wrapText="1"/>
    </xf>
    <xf numFmtId="0" fontId="16" fillId="2" borderId="11" xfId="6" applyFont="1" applyFill="1" applyBorder="1" applyAlignment="1">
      <alignment horizontal="left" vertical="top" wrapText="1"/>
    </xf>
    <xf numFmtId="0" fontId="16" fillId="2" borderId="12" xfId="6" applyFont="1" applyFill="1" applyBorder="1" applyAlignment="1">
      <alignment horizontal="left" vertical="top" wrapText="1"/>
    </xf>
    <xf numFmtId="0" fontId="16" fillId="2" borderId="13" xfId="6" applyFont="1" applyFill="1" applyBorder="1" applyAlignment="1">
      <alignment horizontal="left" vertical="top" wrapText="1"/>
    </xf>
    <xf numFmtId="3" fontId="16" fillId="3" borderId="12" xfId="6" applyNumberFormat="1" applyFont="1" applyFill="1" applyBorder="1" applyAlignment="1">
      <alignment horizontal="right" vertical="top" wrapText="1"/>
    </xf>
    <xf numFmtId="3" fontId="16" fillId="3" borderId="13" xfId="6" applyNumberFormat="1" applyFont="1" applyFill="1" applyBorder="1" applyAlignment="1">
      <alignment horizontal="right" vertical="top" wrapText="1"/>
    </xf>
    <xf numFmtId="0" fontId="16" fillId="4" borderId="11" xfId="6" applyFont="1" applyFill="1" applyBorder="1" applyAlignment="1">
      <alignment horizontal="left" vertical="top" wrapText="1"/>
    </xf>
    <xf numFmtId="0" fontId="16" fillId="2" borderId="14" xfId="6" applyFont="1" applyFill="1" applyBorder="1" applyAlignment="1">
      <alignment horizontal="left" vertical="top" wrapText="1"/>
    </xf>
    <xf numFmtId="0" fontId="7" fillId="0" borderId="2" xfId="6" applyBorder="1"/>
    <xf numFmtId="0" fontId="16" fillId="9" borderId="12" xfId="6" applyFont="1" applyFill="1" applyBorder="1" applyAlignment="1">
      <alignment horizontal="left" vertical="top" wrapText="1"/>
    </xf>
    <xf numFmtId="0" fontId="16" fillId="4" borderId="12" xfId="6" applyFont="1" applyFill="1" applyBorder="1" applyAlignment="1">
      <alignment horizontal="left" vertical="top" wrapText="1"/>
    </xf>
    <xf numFmtId="3" fontId="16" fillId="9" borderId="12" xfId="6" applyNumberFormat="1" applyFont="1" applyFill="1" applyBorder="1" applyAlignment="1">
      <alignment horizontal="right" vertical="top" wrapText="1"/>
    </xf>
    <xf numFmtId="3" fontId="16" fillId="9" borderId="13" xfId="6" applyNumberFormat="1" applyFont="1" applyFill="1" applyBorder="1" applyAlignment="1">
      <alignment horizontal="right" vertical="top" wrapText="1"/>
    </xf>
    <xf numFmtId="0" fontId="7" fillId="0" borderId="2" xfId="6" applyFont="1" applyBorder="1" applyAlignment="1">
      <alignment vertical="center"/>
    </xf>
    <xf numFmtId="0" fontId="16" fillId="3" borderId="12" xfId="6" applyFont="1" applyFill="1" applyBorder="1" applyAlignment="1">
      <alignment horizontal="left" vertical="top" wrapText="1"/>
    </xf>
    <xf numFmtId="0" fontId="17" fillId="9" borderId="12" xfId="6" applyFont="1" applyFill="1" applyBorder="1" applyAlignment="1">
      <alignment horizontal="left" vertical="top" wrapText="1"/>
    </xf>
    <xf numFmtId="0" fontId="7" fillId="9" borderId="12" xfId="6" applyFill="1" applyBorder="1" applyAlignment="1">
      <alignment horizontal="right" vertical="top" wrapText="1"/>
    </xf>
    <xf numFmtId="0" fontId="18" fillId="2" borderId="12" xfId="6" applyFont="1" applyFill="1" applyBorder="1" applyAlignment="1">
      <alignment horizontal="left" vertical="top" wrapText="1"/>
    </xf>
    <xf numFmtId="0" fontId="7" fillId="2" borderId="12" xfId="6" applyFill="1" applyBorder="1" applyAlignment="1">
      <alignment horizontal="left" vertical="top" wrapText="1"/>
    </xf>
    <xf numFmtId="0" fontId="7" fillId="4" borderId="12" xfId="6" applyFill="1" applyBorder="1" applyAlignment="1">
      <alignment horizontal="left" vertical="top" wrapText="1"/>
    </xf>
    <xf numFmtId="3" fontId="18" fillId="2" borderId="12" xfId="6" applyNumberFormat="1" applyFont="1" applyFill="1" applyBorder="1" applyAlignment="1">
      <alignment horizontal="right" vertical="top" wrapText="1"/>
    </xf>
    <xf numFmtId="165" fontId="18" fillId="4" borderId="2" xfId="6" applyNumberFormat="1" applyFont="1" applyFill="1" applyBorder="1" applyAlignment="1">
      <alignment horizontal="left" vertical="top" wrapText="1"/>
    </xf>
    <xf numFmtId="0" fontId="16" fillId="4" borderId="2" xfId="6" applyFont="1" applyFill="1" applyBorder="1" applyAlignment="1">
      <alignment horizontal="left" vertical="top" wrapText="1"/>
    </xf>
    <xf numFmtId="0" fontId="3" fillId="0" borderId="0" xfId="8"/>
    <xf numFmtId="0" fontId="3" fillId="0" borderId="0" xfId="8" applyFill="1"/>
    <xf numFmtId="0" fontId="19" fillId="0" borderId="0" xfId="8" applyFont="1"/>
    <xf numFmtId="0" fontId="13" fillId="0" borderId="16" xfId="8" applyFont="1" applyBorder="1" applyAlignment="1">
      <alignment horizontal="center"/>
    </xf>
    <xf numFmtId="0" fontId="13" fillId="0" borderId="17" xfId="8" applyFont="1" applyBorder="1" applyAlignment="1">
      <alignment horizontal="center"/>
    </xf>
    <xf numFmtId="0" fontId="13" fillId="0" borderId="18" xfId="8" applyFont="1" applyBorder="1" applyAlignment="1">
      <alignment horizontal="center"/>
    </xf>
    <xf numFmtId="0" fontId="3" fillId="0" borderId="16" xfId="8" applyFont="1" applyBorder="1" applyAlignment="1">
      <alignment horizontal="center"/>
    </xf>
    <xf numFmtId="0" fontId="3" fillId="0" borderId="19" xfId="8" applyFont="1" applyBorder="1" applyAlignment="1">
      <alignment horizontal="center"/>
    </xf>
    <xf numFmtId="0" fontId="13" fillId="0" borderId="20" xfId="8" applyFont="1" applyBorder="1" applyAlignment="1">
      <alignment horizontal="center"/>
    </xf>
    <xf numFmtId="0" fontId="13" fillId="0" borderId="21" xfId="8" applyFont="1" applyBorder="1" applyAlignment="1">
      <alignment horizontal="center"/>
    </xf>
    <xf numFmtId="0" fontId="13" fillId="0" borderId="22" xfId="8" applyFont="1" applyBorder="1" applyAlignment="1">
      <alignment horizontal="center"/>
    </xf>
    <xf numFmtId="0" fontId="3" fillId="0" borderId="20" xfId="8" applyFont="1" applyBorder="1" applyAlignment="1">
      <alignment horizontal="center"/>
    </xf>
    <xf numFmtId="0" fontId="3" fillId="0" borderId="23" xfId="8" applyFont="1" applyBorder="1" applyAlignment="1">
      <alignment horizontal="center"/>
    </xf>
    <xf numFmtId="0" fontId="13" fillId="0" borderId="24" xfId="8" applyFont="1" applyBorder="1" applyAlignment="1">
      <alignment horizontal="center"/>
    </xf>
    <xf numFmtId="0" fontId="13" fillId="0" borderId="25" xfId="8" applyFont="1" applyBorder="1" applyAlignment="1">
      <alignment horizontal="center"/>
    </xf>
    <xf numFmtId="0" fontId="13" fillId="0" borderId="26" xfId="8" applyFont="1" applyBorder="1" applyAlignment="1">
      <alignment horizontal="center"/>
    </xf>
    <xf numFmtId="0" fontId="13" fillId="0" borderId="27" xfId="8" applyFont="1" applyBorder="1" applyAlignment="1">
      <alignment horizontal="center"/>
    </xf>
    <xf numFmtId="0" fontId="15" fillId="4" borderId="29" xfId="8" applyFont="1" applyFill="1" applyBorder="1" applyAlignment="1">
      <alignment vertical="top" wrapText="1"/>
    </xf>
    <xf numFmtId="15" fontId="15" fillId="4" borderId="6" xfId="8" applyNumberFormat="1" applyFont="1" applyFill="1" applyBorder="1" applyAlignment="1">
      <alignment horizontal="right" vertical="top" wrapText="1"/>
    </xf>
    <xf numFmtId="0" fontId="14" fillId="4" borderId="30" xfId="8" applyFont="1" applyFill="1" applyBorder="1" applyAlignment="1">
      <alignment horizontal="left" vertical="top" wrapText="1"/>
    </xf>
    <xf numFmtId="0" fontId="15" fillId="4" borderId="2" xfId="8" applyFont="1" applyFill="1" applyBorder="1" applyAlignment="1">
      <alignment horizontal="left" vertical="top" wrapText="1"/>
    </xf>
    <xf numFmtId="3" fontId="15" fillId="4" borderId="6" xfId="8" applyNumberFormat="1" applyFont="1" applyFill="1" applyBorder="1" applyAlignment="1">
      <alignment horizontal="left" vertical="top" wrapText="1"/>
    </xf>
    <xf numFmtId="3" fontId="15" fillId="4" borderId="31" xfId="8" applyNumberFormat="1" applyFont="1" applyFill="1" applyBorder="1" applyAlignment="1">
      <alignment horizontal="left" vertical="top" wrapText="1"/>
    </xf>
    <xf numFmtId="9" fontId="0" fillId="10" borderId="32" xfId="9" applyNumberFormat="1" applyFont="1" applyFill="1" applyBorder="1"/>
    <xf numFmtId="9" fontId="0" fillId="10" borderId="2" xfId="9" applyNumberFormat="1" applyFont="1" applyFill="1" applyBorder="1"/>
    <xf numFmtId="0" fontId="15" fillId="4" borderId="29" xfId="8" applyFont="1" applyFill="1" applyBorder="1" applyAlignment="1">
      <alignment horizontal="left" vertical="top" wrapText="1"/>
    </xf>
    <xf numFmtId="0" fontId="3" fillId="4" borderId="32" xfId="8" applyFill="1" applyBorder="1"/>
    <xf numFmtId="15" fontId="3" fillId="4" borderId="27" xfId="8" applyNumberFormat="1" applyFill="1" applyBorder="1" applyAlignment="1">
      <alignment horizontal="right"/>
    </xf>
    <xf numFmtId="0" fontId="14" fillId="4" borderId="2" xfId="8" applyFont="1" applyFill="1" applyBorder="1" applyAlignment="1">
      <alignment vertical="top" wrapText="1"/>
    </xf>
    <xf numFmtId="0" fontId="3" fillId="4" borderId="20" xfId="8" applyFill="1" applyBorder="1"/>
    <xf numFmtId="15" fontId="3" fillId="4" borderId="23" xfId="8" applyNumberFormat="1" applyFill="1" applyBorder="1" applyAlignment="1">
      <alignment horizontal="right"/>
    </xf>
    <xf numFmtId="0" fontId="14" fillId="4" borderId="0" xfId="8" applyFont="1" applyFill="1" applyBorder="1" applyAlignment="1">
      <alignment horizontal="left" vertical="top" wrapText="1"/>
    </xf>
    <xf numFmtId="0" fontId="14" fillId="4" borderId="23" xfId="8" applyFont="1" applyFill="1" applyBorder="1" applyAlignment="1">
      <alignment vertical="top" wrapText="1"/>
    </xf>
    <xf numFmtId="3" fontId="15" fillId="4" borderId="34" xfId="8" applyNumberFormat="1" applyFont="1" applyFill="1" applyBorder="1" applyAlignment="1">
      <alignment horizontal="left" vertical="top" wrapText="1"/>
    </xf>
    <xf numFmtId="3" fontId="15" fillId="4" borderId="35" xfId="8" applyNumberFormat="1" applyFont="1" applyFill="1" applyBorder="1" applyAlignment="1">
      <alignment horizontal="left" vertical="top" wrapText="1"/>
    </xf>
    <xf numFmtId="9" fontId="0" fillId="10" borderId="20" xfId="9" applyNumberFormat="1" applyFont="1" applyFill="1" applyBorder="1"/>
    <xf numFmtId="9" fontId="0" fillId="10" borderId="23" xfId="9" applyNumberFormat="1" applyFont="1" applyFill="1" applyBorder="1"/>
    <xf numFmtId="0" fontId="3" fillId="4" borderId="2" xfId="8" applyFill="1" applyBorder="1"/>
    <xf numFmtId="0" fontId="14" fillId="4" borderId="2" xfId="8" applyFont="1" applyFill="1" applyBorder="1" applyAlignment="1">
      <alignment horizontal="left" vertical="top" wrapText="1"/>
    </xf>
    <xf numFmtId="3" fontId="15" fillId="4" borderId="2" xfId="8" applyNumberFormat="1" applyFont="1" applyFill="1" applyBorder="1" applyAlignment="1">
      <alignment horizontal="left" vertical="top" wrapText="1"/>
    </xf>
    <xf numFmtId="15" fontId="3" fillId="4" borderId="2" xfId="8" applyNumberFormat="1" applyFill="1" applyBorder="1" applyAlignment="1">
      <alignment horizontal="right"/>
    </xf>
    <xf numFmtId="0" fontId="13" fillId="11" borderId="36" xfId="8" applyFont="1" applyFill="1" applyBorder="1"/>
    <xf numFmtId="0" fontId="13" fillId="11" borderId="37" xfId="8" applyFont="1" applyFill="1" applyBorder="1"/>
    <xf numFmtId="3" fontId="13" fillId="11" borderId="38" xfId="8" applyNumberFormat="1" applyFont="1" applyFill="1" applyBorder="1"/>
    <xf numFmtId="165" fontId="13" fillId="0" borderId="0" xfId="9" applyNumberFormat="1" applyFont="1" applyFill="1" applyBorder="1"/>
    <xf numFmtId="0" fontId="19" fillId="0" borderId="32" xfId="8" applyFont="1" applyFill="1" applyBorder="1"/>
    <xf numFmtId="0" fontId="13" fillId="0" borderId="2" xfId="8" applyFont="1" applyFill="1" applyBorder="1"/>
    <xf numFmtId="3" fontId="13" fillId="0" borderId="33" xfId="8" applyNumberFormat="1" applyFont="1" applyFill="1" applyBorder="1"/>
    <xf numFmtId="0" fontId="3" fillId="12" borderId="32" xfId="8" applyFill="1" applyBorder="1"/>
    <xf numFmtId="0" fontId="3" fillId="12" borderId="2" xfId="8" applyFill="1" applyBorder="1"/>
    <xf numFmtId="165" fontId="0" fillId="12" borderId="33" xfId="9" applyNumberFormat="1" applyFont="1" applyFill="1" applyBorder="1"/>
    <xf numFmtId="165" fontId="0" fillId="0" borderId="0" xfId="9" applyNumberFormat="1" applyFont="1" applyFill="1" applyBorder="1"/>
    <xf numFmtId="0" fontId="13" fillId="11" borderId="32" xfId="8" applyFont="1" applyFill="1" applyBorder="1"/>
    <xf numFmtId="0" fontId="13" fillId="11" borderId="2" xfId="8" applyFont="1" applyFill="1" applyBorder="1"/>
    <xf numFmtId="0" fontId="3" fillId="0" borderId="0" xfId="8" applyBorder="1"/>
    <xf numFmtId="3" fontId="13" fillId="0" borderId="38" xfId="8" applyNumberFormat="1" applyFont="1" applyFill="1" applyBorder="1"/>
    <xf numFmtId="165" fontId="0" fillId="0" borderId="0" xfId="9" applyNumberFormat="1" applyFont="1"/>
    <xf numFmtId="0" fontId="3" fillId="0" borderId="39" xfId="8" applyBorder="1"/>
    <xf numFmtId="0" fontId="3" fillId="0" borderId="40" xfId="8" applyBorder="1"/>
    <xf numFmtId="0" fontId="13" fillId="13" borderId="24" xfId="8" applyFont="1" applyFill="1" applyBorder="1"/>
    <xf numFmtId="0" fontId="13" fillId="13" borderId="27" xfId="8" applyFont="1" applyFill="1" applyBorder="1"/>
    <xf numFmtId="3" fontId="13" fillId="13" borderId="28" xfId="8" applyNumberFormat="1" applyFont="1" applyFill="1" applyBorder="1"/>
    <xf numFmtId="3" fontId="3" fillId="0" borderId="0" xfId="8" applyNumberFormat="1"/>
    <xf numFmtId="165" fontId="0" fillId="0" borderId="2" xfId="9" applyNumberFormat="1" applyFont="1" applyBorder="1"/>
    <xf numFmtId="165" fontId="3" fillId="0" borderId="2" xfId="8" applyNumberFormat="1" applyBorder="1"/>
    <xf numFmtId="3" fontId="3" fillId="0" borderId="2" xfId="8" applyNumberFormat="1" applyBorder="1"/>
    <xf numFmtId="0" fontId="3" fillId="0" borderId="2" xfId="8" applyBorder="1"/>
    <xf numFmtId="0" fontId="7" fillId="14" borderId="2" xfId="0" applyFont="1" applyFill="1" applyBorder="1" applyAlignment="1">
      <alignment horizontal="left" vertical="top" wrapText="1"/>
    </xf>
    <xf numFmtId="3" fontId="7" fillId="14" borderId="2" xfId="0" applyNumberFormat="1" applyFont="1" applyFill="1" applyBorder="1" applyAlignment="1">
      <alignment horizontal="right" vertical="top" wrapText="1"/>
    </xf>
    <xf numFmtId="0" fontId="7" fillId="14" borderId="2" xfId="0" applyFont="1" applyFill="1" applyBorder="1" applyAlignment="1">
      <alignment horizontal="right" vertical="top" wrapText="1"/>
    </xf>
    <xf numFmtId="0" fontId="7" fillId="14" borderId="2" xfId="0" applyFont="1" applyFill="1" applyBorder="1"/>
    <xf numFmtId="3" fontId="0" fillId="14" borderId="2" xfId="0" applyNumberFormat="1" applyFill="1" applyBorder="1"/>
    <xf numFmtId="0" fontId="0" fillId="14" borderId="0" xfId="0" applyFill="1"/>
    <xf numFmtId="0" fontId="0" fillId="14" borderId="2" xfId="0" applyFill="1" applyBorder="1"/>
    <xf numFmtId="43" fontId="0" fillId="0" borderId="0" xfId="0" applyNumberFormat="1"/>
    <xf numFmtId="43" fontId="0" fillId="4" borderId="0" xfId="5" applyFont="1" applyFill="1"/>
    <xf numFmtId="43" fontId="7" fillId="4" borderId="0" xfId="5" applyFont="1" applyFill="1"/>
    <xf numFmtId="3" fontId="7" fillId="14" borderId="2" xfId="0" applyNumberFormat="1" applyFont="1" applyFill="1" applyBorder="1"/>
    <xf numFmtId="0" fontId="20" fillId="0" borderId="0" xfId="3" applyFont="1" applyAlignment="1">
      <alignment horizontal="left"/>
    </xf>
    <xf numFmtId="0" fontId="13" fillId="0" borderId="39" xfId="8" applyFont="1" applyBorder="1" applyAlignment="1">
      <alignment horizontal="center"/>
    </xf>
    <xf numFmtId="0" fontId="13" fillId="0" borderId="0" xfId="8" applyFont="1" applyBorder="1" applyAlignment="1">
      <alignment horizontal="center"/>
    </xf>
    <xf numFmtId="0" fontId="13" fillId="0" borderId="40" xfId="8" applyFont="1" applyBorder="1" applyAlignment="1">
      <alignment horizontal="center"/>
    </xf>
    <xf numFmtId="0" fontId="13" fillId="0" borderId="23" xfId="8" applyFont="1" applyBorder="1" applyAlignment="1">
      <alignment horizontal="center"/>
    </xf>
    <xf numFmtId="0" fontId="13" fillId="0" borderId="41" xfId="8" applyFont="1" applyBorder="1" applyAlignment="1">
      <alignment horizontal="center"/>
    </xf>
    <xf numFmtId="0" fontId="7" fillId="15" borderId="2" xfId="0" applyFont="1" applyFill="1" applyBorder="1" applyAlignment="1">
      <alignment horizontal="left" vertical="top" wrapText="1"/>
    </xf>
    <xf numFmtId="3" fontId="7" fillId="15" borderId="2" xfId="0" applyNumberFormat="1" applyFont="1" applyFill="1" applyBorder="1" applyAlignment="1">
      <alignment horizontal="right" vertical="top" wrapText="1"/>
    </xf>
    <xf numFmtId="0" fontId="7" fillId="15" borderId="2" xfId="0" applyFont="1" applyFill="1" applyBorder="1" applyAlignment="1">
      <alignment horizontal="right" vertical="top" wrapText="1"/>
    </xf>
    <xf numFmtId="43" fontId="7" fillId="15" borderId="2" xfId="5" applyFont="1" applyFill="1" applyBorder="1"/>
    <xf numFmtId="0" fontId="3" fillId="0" borderId="42" xfId="8" applyFont="1" applyBorder="1" applyAlignment="1">
      <alignment horizontal="center"/>
    </xf>
    <xf numFmtId="0" fontId="3" fillId="0" borderId="43" xfId="8" applyFont="1" applyBorder="1" applyAlignment="1">
      <alignment horizontal="center"/>
    </xf>
    <xf numFmtId="0" fontId="13" fillId="0" borderId="44" xfId="8" applyFont="1" applyBorder="1" applyAlignment="1">
      <alignment horizontal="center"/>
    </xf>
    <xf numFmtId="9" fontId="0" fillId="10" borderId="45" xfId="9" applyNumberFormat="1" applyFont="1" applyFill="1" applyBorder="1"/>
    <xf numFmtId="9" fontId="0" fillId="10" borderId="46" xfId="9" applyNumberFormat="1" applyFont="1" applyFill="1" applyBorder="1"/>
    <xf numFmtId="9" fontId="0" fillId="10" borderId="43" xfId="9" applyNumberFormat="1" applyFont="1" applyFill="1" applyBorder="1"/>
    <xf numFmtId="0" fontId="13" fillId="15" borderId="2" xfId="8" applyFont="1" applyFill="1" applyBorder="1" applyAlignment="1">
      <alignment horizontal="left"/>
    </xf>
    <xf numFmtId="9" fontId="13" fillId="15" borderId="2" xfId="8" applyNumberFormat="1" applyFont="1" applyFill="1" applyBorder="1" applyAlignment="1">
      <alignment horizontal="left"/>
    </xf>
    <xf numFmtId="0" fontId="13" fillId="15" borderId="2" xfId="8" applyNumberFormat="1" applyFont="1" applyFill="1" applyBorder="1" applyAlignment="1">
      <alignment horizontal="left"/>
    </xf>
    <xf numFmtId="0" fontId="2" fillId="0" borderId="0" xfId="8" applyFont="1"/>
    <xf numFmtId="0" fontId="7" fillId="3" borderId="2" xfId="0" applyFont="1" applyFill="1" applyBorder="1" applyAlignment="1">
      <alignment horizontal="left" vertical="top" wrapText="1"/>
    </xf>
    <xf numFmtId="0" fontId="16" fillId="4" borderId="0" xfId="6" applyFont="1" applyFill="1" applyBorder="1" applyAlignment="1">
      <alignment horizontal="left" vertical="top" wrapText="1"/>
    </xf>
    <xf numFmtId="165" fontId="16" fillId="4" borderId="0" xfId="7" applyNumberFormat="1" applyFont="1" applyFill="1" applyBorder="1" applyAlignment="1">
      <alignment horizontal="left" vertical="center" wrapText="1"/>
    </xf>
    <xf numFmtId="0" fontId="0" fillId="0" borderId="0" xfId="0" applyFill="1"/>
    <xf numFmtId="0" fontId="19" fillId="0" borderId="0" xfId="0" applyFont="1"/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5" fillId="4" borderId="29" xfId="0" applyFont="1" applyFill="1" applyBorder="1" applyAlignment="1">
      <alignment vertical="top" wrapText="1"/>
    </xf>
    <xf numFmtId="15" fontId="15" fillId="4" borderId="6" xfId="0" applyNumberFormat="1" applyFont="1" applyFill="1" applyBorder="1" applyAlignment="1">
      <alignment horizontal="right" vertical="top" wrapText="1"/>
    </xf>
    <xf numFmtId="0" fontId="14" fillId="4" borderId="30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 vertical="top" wrapText="1"/>
    </xf>
    <xf numFmtId="3" fontId="15" fillId="4" borderId="30" xfId="0" applyNumberFormat="1" applyFont="1" applyFill="1" applyBorder="1" applyAlignment="1">
      <alignment horizontal="left" vertical="top" wrapText="1"/>
    </xf>
    <xf numFmtId="9" fontId="0" fillId="10" borderId="47" xfId="5" applyNumberFormat="1" applyFont="1" applyFill="1" applyBorder="1"/>
    <xf numFmtId="9" fontId="0" fillId="10" borderId="2" xfId="5" applyNumberFormat="1" applyFont="1" applyFill="1" applyBorder="1"/>
    <xf numFmtId="15" fontId="15" fillId="4" borderId="6" xfId="0" applyNumberFormat="1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vertical="top" wrapText="1"/>
    </xf>
    <xf numFmtId="15" fontId="0" fillId="4" borderId="23" xfId="0" applyNumberFormat="1" applyFont="1" applyFill="1" applyBorder="1" applyAlignment="1">
      <alignment horizontal="right"/>
    </xf>
    <xf numFmtId="0" fontId="0" fillId="4" borderId="32" xfId="0" applyFill="1" applyBorder="1"/>
    <xf numFmtId="15" fontId="0" fillId="4" borderId="27" xfId="0" applyNumberFormat="1" applyFont="1" applyFill="1" applyBorder="1" applyAlignment="1">
      <alignment horizontal="right"/>
    </xf>
    <xf numFmtId="0" fontId="0" fillId="4" borderId="20" xfId="0" applyFill="1" applyBorder="1"/>
    <xf numFmtId="0" fontId="14" fillId="4" borderId="0" xfId="0" applyFont="1" applyFill="1" applyBorder="1" applyAlignment="1">
      <alignment horizontal="left" vertical="top" wrapText="1"/>
    </xf>
    <xf numFmtId="0" fontId="14" fillId="4" borderId="23" xfId="0" applyFont="1" applyFill="1" applyBorder="1" applyAlignment="1">
      <alignment vertical="top" wrapText="1"/>
    </xf>
    <xf numFmtId="3" fontId="15" fillId="4" borderId="48" xfId="0" applyNumberFormat="1" applyFont="1" applyFill="1" applyBorder="1" applyAlignment="1">
      <alignment horizontal="left" vertical="top" wrapText="1"/>
    </xf>
    <xf numFmtId="9" fontId="0" fillId="10" borderId="21" xfId="5" applyNumberFormat="1" applyFont="1" applyFill="1" applyBorder="1"/>
    <xf numFmtId="9" fontId="0" fillId="10" borderId="23" xfId="5" applyNumberFormat="1" applyFont="1" applyFill="1" applyBorder="1"/>
    <xf numFmtId="3" fontId="15" fillId="4" borderId="46" xfId="0" applyNumberFormat="1" applyFont="1" applyFill="1" applyBorder="1" applyAlignment="1">
      <alignment horizontal="left" vertical="top" wrapText="1"/>
    </xf>
    <xf numFmtId="15" fontId="0" fillId="4" borderId="2" xfId="0" applyNumberFormat="1" applyFont="1" applyFill="1" applyBorder="1" applyAlignment="1">
      <alignment horizontal="right"/>
    </xf>
    <xf numFmtId="3" fontId="0" fillId="4" borderId="2" xfId="0" applyNumberFormat="1" applyFont="1" applyFill="1" applyBorder="1" applyAlignment="1">
      <alignment horizontal="left" vertical="top" wrapText="1"/>
    </xf>
    <xf numFmtId="0" fontId="13" fillId="11" borderId="36" xfId="0" applyFont="1" applyFill="1" applyBorder="1"/>
    <xf numFmtId="0" fontId="13" fillId="11" borderId="37" xfId="0" applyFont="1" applyFill="1" applyBorder="1"/>
    <xf numFmtId="3" fontId="13" fillId="11" borderId="38" xfId="0" applyNumberFormat="1" applyFont="1" applyFill="1" applyBorder="1"/>
    <xf numFmtId="165" fontId="13" fillId="0" borderId="0" xfId="5" applyNumberFormat="1" applyFont="1" applyFill="1" applyBorder="1"/>
    <xf numFmtId="0" fontId="19" fillId="0" borderId="32" xfId="0" applyFont="1" applyFill="1" applyBorder="1"/>
    <xf numFmtId="0" fontId="13" fillId="0" borderId="2" xfId="0" applyFont="1" applyFill="1" applyBorder="1"/>
    <xf numFmtId="3" fontId="13" fillId="0" borderId="33" xfId="0" applyNumberFormat="1" applyFont="1" applyFill="1" applyBorder="1"/>
    <xf numFmtId="0" fontId="0" fillId="12" borderId="32" xfId="0" applyFill="1" applyBorder="1"/>
    <xf numFmtId="0" fontId="0" fillId="12" borderId="2" xfId="0" applyFill="1" applyBorder="1"/>
    <xf numFmtId="165" fontId="1" fillId="12" borderId="33" xfId="5" applyNumberFormat="1" applyFont="1" applyFill="1" applyBorder="1"/>
    <xf numFmtId="165" fontId="0" fillId="0" borderId="0" xfId="5" applyNumberFormat="1" applyFont="1" applyFill="1" applyBorder="1"/>
    <xf numFmtId="0" fontId="13" fillId="11" borderId="32" xfId="0" applyFont="1" applyFill="1" applyBorder="1"/>
    <xf numFmtId="0" fontId="13" fillId="11" borderId="2" xfId="0" applyFont="1" applyFill="1" applyBorder="1"/>
    <xf numFmtId="0" fontId="0" fillId="0" borderId="0" xfId="0" applyBorder="1"/>
    <xf numFmtId="3" fontId="13" fillId="0" borderId="38" xfId="0" applyNumberFormat="1" applyFont="1" applyFill="1" applyBorder="1"/>
    <xf numFmtId="165" fontId="0" fillId="0" borderId="0" xfId="5" applyNumberFormat="1" applyFont="1"/>
    <xf numFmtId="0" fontId="0" fillId="0" borderId="39" xfId="0" applyBorder="1"/>
    <xf numFmtId="0" fontId="0" fillId="0" borderId="40" xfId="0" applyBorder="1"/>
    <xf numFmtId="0" fontId="13" fillId="13" borderId="24" xfId="0" applyFont="1" applyFill="1" applyBorder="1"/>
    <xf numFmtId="0" fontId="13" fillId="13" borderId="27" xfId="0" applyFont="1" applyFill="1" applyBorder="1"/>
    <xf numFmtId="3" fontId="13" fillId="13" borderId="28" xfId="0" applyNumberFormat="1" applyFont="1" applyFill="1" applyBorder="1"/>
    <xf numFmtId="0" fontId="0" fillId="0" borderId="49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9" fontId="0" fillId="10" borderId="33" xfId="5" applyNumberFormat="1" applyFont="1" applyFill="1" applyBorder="1"/>
    <xf numFmtId="9" fontId="0" fillId="10" borderId="50" xfId="5" applyNumberFormat="1" applyFont="1" applyFill="1" applyBorder="1"/>
    <xf numFmtId="0" fontId="14" fillId="14" borderId="2" xfId="0" applyFont="1" applyFill="1" applyBorder="1" applyAlignment="1">
      <alignment horizontal="left" vertical="top" wrapText="1"/>
    </xf>
    <xf numFmtId="0" fontId="10" fillId="16" borderId="9" xfId="3" applyFont="1" applyFill="1" applyBorder="1" applyAlignment="1">
      <alignment horizontal="left" vertical="top" wrapText="1"/>
    </xf>
    <xf numFmtId="4" fontId="10" fillId="16" borderId="9" xfId="3" applyNumberFormat="1" applyFont="1" applyFill="1" applyBorder="1" applyAlignment="1">
      <alignment horizontal="left" vertical="top" wrapText="1"/>
    </xf>
    <xf numFmtId="15" fontId="1" fillId="14" borderId="23" xfId="0" applyNumberFormat="1" applyFont="1" applyFill="1" applyBorder="1" applyAlignment="1">
      <alignment horizontal="left"/>
    </xf>
    <xf numFmtId="0" fontId="10" fillId="14" borderId="2" xfId="0" applyFont="1" applyFill="1" applyBorder="1"/>
    <xf numFmtId="15" fontId="21" fillId="14" borderId="6" xfId="0" applyNumberFormat="1" applyFont="1" applyFill="1" applyBorder="1" applyAlignment="1">
      <alignment horizontal="left" vertical="top" wrapText="1"/>
    </xf>
    <xf numFmtId="15" fontId="10" fillId="14" borderId="23" xfId="0" applyNumberFormat="1" applyFont="1" applyFill="1" applyBorder="1" applyAlignment="1">
      <alignment horizontal="left"/>
    </xf>
    <xf numFmtId="3" fontId="21" fillId="14" borderId="46" xfId="0" applyNumberFormat="1" applyFont="1" applyFill="1" applyBorder="1" applyAlignment="1">
      <alignment horizontal="left" vertical="top" wrapText="1"/>
    </xf>
    <xf numFmtId="3" fontId="21" fillId="14" borderId="2" xfId="0" applyNumberFormat="1" applyFont="1" applyFill="1" applyBorder="1" applyAlignment="1">
      <alignment horizontal="left" vertical="top" wrapText="1"/>
    </xf>
    <xf numFmtId="0" fontId="22" fillId="14" borderId="2" xfId="0" applyFont="1" applyFill="1" applyBorder="1"/>
    <xf numFmtId="0" fontId="22" fillId="0" borderId="0" xfId="0" applyFont="1"/>
    <xf numFmtId="165" fontId="7" fillId="0" borderId="2" xfId="6" applyNumberFormat="1" applyBorder="1"/>
    <xf numFmtId="4" fontId="10" fillId="0" borderId="0" xfId="3" applyNumberFormat="1" applyFont="1" applyAlignment="1">
      <alignment horizontal="left" wrapText="1"/>
    </xf>
    <xf numFmtId="0" fontId="6" fillId="0" borderId="0" xfId="6" applyFont="1" applyAlignment="1">
      <alignment horizontal="left" vertical="top" wrapText="1"/>
    </xf>
    <xf numFmtId="0" fontId="16" fillId="9" borderId="15" xfId="6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</cellXfs>
  <cellStyles count="10">
    <cellStyle name="Comma" xfId="5" builtinId="3"/>
    <cellStyle name="Comma 2" xfId="2"/>
    <cellStyle name="Comma 3" xfId="4"/>
    <cellStyle name="Comma 4" xfId="7"/>
    <cellStyle name="Comma 5" xfId="9"/>
    <cellStyle name="Normal" xfId="0" builtinId="0"/>
    <cellStyle name="Normal 2" xfId="1"/>
    <cellStyle name="Normal 3" xfId="3"/>
    <cellStyle name="Normal 4" xfId="6"/>
    <cellStyle name="Normal 5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9" zoomScale="90" zoomScaleNormal="90" workbookViewId="0">
      <selection activeCell="F23" sqref="F23"/>
    </sheetView>
  </sheetViews>
  <sheetFormatPr defaultColWidth="9.15625" defaultRowHeight="14.4" x14ac:dyDescent="0.55000000000000004"/>
  <cols>
    <col min="1" max="1" width="27.5234375" style="74" customWidth="1"/>
    <col min="2" max="2" width="12.26171875" style="74" customWidth="1"/>
    <col min="3" max="3" width="16.734375" style="74" customWidth="1"/>
    <col min="4" max="4" width="10.26171875" style="74" customWidth="1"/>
    <col min="5" max="5" width="14.47265625" style="74" customWidth="1"/>
    <col min="6" max="6" width="15.15625" style="74" customWidth="1"/>
    <col min="7" max="7" width="16.26171875" style="74" customWidth="1"/>
    <col min="8" max="8" width="15.734375" style="74" customWidth="1"/>
    <col min="9" max="9" width="15" style="74" customWidth="1"/>
    <col min="10" max="11" width="11.7890625" style="74" customWidth="1"/>
    <col min="12" max="12" width="38.15625" style="74" customWidth="1"/>
    <col min="13" max="16384" width="9.15625" style="74"/>
  </cols>
  <sheetData>
    <row r="1" spans="1:13" x14ac:dyDescent="0.55000000000000004">
      <c r="A1" s="74" t="s">
        <v>158</v>
      </c>
      <c r="H1" s="75"/>
      <c r="I1" s="75"/>
      <c r="J1" s="75"/>
    </row>
    <row r="3" spans="1:13" ht="14.7" thickBot="1" x14ac:dyDescent="0.6">
      <c r="A3" s="76" t="s">
        <v>159</v>
      </c>
      <c r="G3" s="74" t="s">
        <v>160</v>
      </c>
    </row>
    <row r="4" spans="1:13" x14ac:dyDescent="0.55000000000000004">
      <c r="A4" s="77"/>
      <c r="B4" s="78"/>
      <c r="C4" s="78"/>
      <c r="D4" s="78"/>
      <c r="E4" s="78"/>
      <c r="F4" s="79"/>
      <c r="G4" s="80">
        <v>843102</v>
      </c>
      <c r="H4" s="81">
        <v>843104</v>
      </c>
      <c r="I4" s="74">
        <v>843107</v>
      </c>
      <c r="J4" s="74">
        <v>843111</v>
      </c>
      <c r="K4" s="162">
        <v>843106</v>
      </c>
      <c r="L4" s="168" t="s">
        <v>201</v>
      </c>
    </row>
    <row r="5" spans="1:13" x14ac:dyDescent="0.55000000000000004">
      <c r="A5" s="82"/>
      <c r="B5" s="83"/>
      <c r="C5" s="83"/>
      <c r="D5" s="83"/>
      <c r="E5" s="83"/>
      <c r="F5" s="84"/>
      <c r="G5" s="85" t="s">
        <v>161</v>
      </c>
      <c r="H5" s="86" t="s">
        <v>162</v>
      </c>
      <c r="I5" s="86" t="s">
        <v>163</v>
      </c>
      <c r="J5" s="86" t="s">
        <v>164</v>
      </c>
      <c r="K5" s="163"/>
      <c r="L5" s="168"/>
    </row>
    <row r="6" spans="1:13" ht="14.7" thickBot="1" x14ac:dyDescent="0.6">
      <c r="A6" s="87" t="s">
        <v>95</v>
      </c>
      <c r="B6" s="88" t="s">
        <v>165</v>
      </c>
      <c r="C6" s="88" t="s">
        <v>166</v>
      </c>
      <c r="D6" s="87" t="s">
        <v>167</v>
      </c>
      <c r="E6" s="88" t="s">
        <v>168</v>
      </c>
      <c r="F6" s="89" t="s">
        <v>169</v>
      </c>
      <c r="G6" s="87" t="s">
        <v>122</v>
      </c>
      <c r="H6" s="90" t="s">
        <v>170</v>
      </c>
      <c r="I6" s="90" t="s">
        <v>171</v>
      </c>
      <c r="J6" s="90" t="s">
        <v>121</v>
      </c>
      <c r="K6" s="164" t="s">
        <v>172</v>
      </c>
      <c r="L6" s="168"/>
    </row>
    <row r="7" spans="1:13" x14ac:dyDescent="0.55000000000000004">
      <c r="A7" s="153" t="s">
        <v>201</v>
      </c>
      <c r="B7" s="154"/>
      <c r="C7" s="154"/>
      <c r="D7" s="83"/>
      <c r="E7" s="154"/>
      <c r="F7" s="155"/>
      <c r="G7" s="82"/>
      <c r="H7" s="156"/>
      <c r="I7" s="156"/>
      <c r="J7" s="83"/>
      <c r="K7" s="157"/>
      <c r="L7" s="169"/>
    </row>
    <row r="8" spans="1:13" x14ac:dyDescent="0.55000000000000004">
      <c r="A8" s="91" t="s">
        <v>173</v>
      </c>
      <c r="B8" s="92">
        <v>42165</v>
      </c>
      <c r="C8" s="93" t="s">
        <v>107</v>
      </c>
      <c r="D8" s="94" t="s">
        <v>174</v>
      </c>
      <c r="E8" s="95">
        <v>23904</v>
      </c>
      <c r="F8" s="96">
        <f>E8*12+(15851+12400)</f>
        <v>315099</v>
      </c>
      <c r="G8" s="97">
        <v>0.3</v>
      </c>
      <c r="H8" s="98"/>
      <c r="I8" s="98"/>
      <c r="J8" s="97">
        <v>0.3</v>
      </c>
      <c r="K8" s="165">
        <v>0.4</v>
      </c>
      <c r="L8" s="170">
        <v>843106</v>
      </c>
    </row>
    <row r="9" spans="1:13" x14ac:dyDescent="0.55000000000000004">
      <c r="A9" s="99" t="s">
        <v>175</v>
      </c>
      <c r="B9" s="92">
        <v>42400</v>
      </c>
      <c r="C9" s="93" t="s">
        <v>110</v>
      </c>
      <c r="D9" s="94" t="s">
        <v>176</v>
      </c>
      <c r="E9" s="95">
        <v>27720</v>
      </c>
      <c r="F9" s="96">
        <f>E9*12 +(10800)</f>
        <v>343440</v>
      </c>
      <c r="G9" s="97">
        <v>1</v>
      </c>
      <c r="H9" s="98"/>
      <c r="I9" s="98"/>
      <c r="J9" s="98"/>
      <c r="K9" s="166"/>
      <c r="L9" s="168">
        <v>843102</v>
      </c>
    </row>
    <row r="10" spans="1:13" x14ac:dyDescent="0.55000000000000004">
      <c r="A10" s="91" t="s">
        <v>177</v>
      </c>
      <c r="B10" s="92">
        <v>43521</v>
      </c>
      <c r="C10" s="93" t="s">
        <v>111</v>
      </c>
      <c r="D10" s="94" t="s">
        <v>178</v>
      </c>
      <c r="E10" s="95">
        <v>16000</v>
      </c>
      <c r="F10" s="96">
        <f t="shared" ref="F10:F11" si="0">E10*12</f>
        <v>192000</v>
      </c>
      <c r="G10" s="97"/>
      <c r="H10" s="98">
        <v>0.2</v>
      </c>
      <c r="I10" s="98">
        <v>0.8</v>
      </c>
      <c r="J10" s="98"/>
      <c r="K10" s="166"/>
      <c r="L10" s="168">
        <v>843104</v>
      </c>
    </row>
    <row r="11" spans="1:13" ht="14.7" thickBot="1" x14ac:dyDescent="0.6">
      <c r="A11" s="100" t="s">
        <v>154</v>
      </c>
      <c r="B11" s="101">
        <v>43745</v>
      </c>
      <c r="C11" s="93" t="s">
        <v>111</v>
      </c>
      <c r="D11" s="102" t="s">
        <v>179</v>
      </c>
      <c r="E11" s="95">
        <v>16911</v>
      </c>
      <c r="F11" s="96">
        <f t="shared" si="0"/>
        <v>202932</v>
      </c>
      <c r="G11" s="97"/>
      <c r="H11" s="98">
        <v>1</v>
      </c>
      <c r="I11" s="98"/>
      <c r="J11" s="98"/>
      <c r="K11" s="166"/>
      <c r="L11" s="168">
        <v>843104</v>
      </c>
    </row>
    <row r="12" spans="1:13" x14ac:dyDescent="0.55000000000000004">
      <c r="A12" s="103" t="s">
        <v>180</v>
      </c>
      <c r="B12" s="104">
        <v>44013</v>
      </c>
      <c r="C12" s="105" t="s">
        <v>116</v>
      </c>
      <c r="D12" s="106" t="s">
        <v>179</v>
      </c>
      <c r="E12" s="107">
        <v>10038</v>
      </c>
      <c r="F12" s="108">
        <f>E12*12</f>
        <v>120456</v>
      </c>
      <c r="G12" s="109">
        <v>1</v>
      </c>
      <c r="H12" s="110"/>
      <c r="I12" s="110"/>
      <c r="J12" s="110"/>
      <c r="K12" s="167"/>
      <c r="L12" s="168">
        <v>843102</v>
      </c>
    </row>
    <row r="13" spans="1:13" x14ac:dyDescent="0.55000000000000004">
      <c r="A13" s="111" t="s">
        <v>123</v>
      </c>
      <c r="B13" s="104">
        <v>44287</v>
      </c>
      <c r="C13" s="112" t="s">
        <v>111</v>
      </c>
      <c r="D13" s="102" t="s">
        <v>179</v>
      </c>
      <c r="E13" s="113"/>
      <c r="F13" s="113">
        <v>150000</v>
      </c>
      <c r="G13" s="98"/>
      <c r="H13" s="98"/>
      <c r="I13" s="98">
        <v>1</v>
      </c>
      <c r="J13" s="98"/>
      <c r="K13" s="166"/>
      <c r="L13" s="168">
        <v>843107</v>
      </c>
    </row>
    <row r="14" spans="1:13" x14ac:dyDescent="0.55000000000000004">
      <c r="A14" s="111" t="s">
        <v>124</v>
      </c>
      <c r="B14" s="114"/>
      <c r="C14" s="112"/>
      <c r="D14" s="102" t="s">
        <v>179</v>
      </c>
      <c r="E14" s="113"/>
      <c r="F14" s="113">
        <v>200000</v>
      </c>
      <c r="G14" s="98">
        <v>0.25</v>
      </c>
      <c r="H14" s="98">
        <v>0.25</v>
      </c>
      <c r="I14" s="98">
        <v>0.25</v>
      </c>
      <c r="J14" s="98">
        <v>0.25</v>
      </c>
      <c r="K14" s="166"/>
      <c r="L14" s="168">
        <v>843111</v>
      </c>
      <c r="M14" s="171" t="s">
        <v>202</v>
      </c>
    </row>
    <row r="15" spans="1:13" x14ac:dyDescent="0.55000000000000004">
      <c r="A15" s="111" t="s">
        <v>125</v>
      </c>
      <c r="B15" s="114"/>
      <c r="C15" s="112" t="s">
        <v>126</v>
      </c>
      <c r="D15" s="102" t="s">
        <v>179</v>
      </c>
      <c r="E15" s="113">
        <v>15200</v>
      </c>
      <c r="F15" s="113">
        <f>E15*12</f>
        <v>182400</v>
      </c>
      <c r="G15" s="98"/>
      <c r="H15" s="98"/>
      <c r="I15" s="98"/>
      <c r="J15" s="98"/>
      <c r="K15" s="166"/>
      <c r="L15" s="168">
        <v>843106</v>
      </c>
    </row>
    <row r="16" spans="1:13" x14ac:dyDescent="0.55000000000000004">
      <c r="A16" s="115" t="s">
        <v>181</v>
      </c>
      <c r="B16" s="116"/>
      <c r="C16" s="116"/>
      <c r="D16" s="116"/>
      <c r="E16" s="117">
        <f>SUM(E8:E15)</f>
        <v>109773</v>
      </c>
      <c r="F16" s="117">
        <f>SUM(F8:F15)</f>
        <v>1706327</v>
      </c>
      <c r="G16" s="118"/>
      <c r="H16" s="118"/>
      <c r="I16" s="118"/>
      <c r="J16" s="118"/>
      <c r="K16" s="118"/>
    </row>
    <row r="17" spans="1:12" s="75" customFormat="1" x14ac:dyDescent="0.55000000000000004">
      <c r="A17" s="119" t="s">
        <v>182</v>
      </c>
      <c r="B17" s="120"/>
      <c r="C17" s="120"/>
      <c r="D17" s="120"/>
      <c r="E17" s="120"/>
      <c r="F17" s="121"/>
      <c r="G17" s="118"/>
      <c r="H17" s="118"/>
      <c r="I17" s="118"/>
      <c r="J17" s="118"/>
      <c r="K17" s="118"/>
    </row>
    <row r="18" spans="1:12" x14ac:dyDescent="0.55000000000000004">
      <c r="A18" s="122" t="s">
        <v>183</v>
      </c>
      <c r="B18" s="123"/>
      <c r="C18" s="123"/>
      <c r="D18" s="123"/>
      <c r="E18" s="123"/>
      <c r="F18" s="124">
        <v>150000</v>
      </c>
      <c r="G18" s="125"/>
      <c r="H18" s="125"/>
      <c r="I18" s="125"/>
      <c r="J18" s="125"/>
      <c r="K18" s="125"/>
    </row>
    <row r="19" spans="1:12" x14ac:dyDescent="0.55000000000000004">
      <c r="A19" s="122" t="s">
        <v>184</v>
      </c>
      <c r="B19" s="123"/>
      <c r="C19" s="123"/>
      <c r="D19" s="123"/>
      <c r="E19" s="123"/>
      <c r="F19" s="124">
        <v>250000</v>
      </c>
      <c r="G19" s="125"/>
      <c r="H19" s="125"/>
      <c r="I19" s="125"/>
      <c r="J19" s="125"/>
      <c r="K19" s="125"/>
    </row>
    <row r="20" spans="1:12" x14ac:dyDescent="0.55000000000000004">
      <c r="A20" s="122" t="s">
        <v>185</v>
      </c>
      <c r="B20" s="123"/>
      <c r="C20" s="123"/>
      <c r="D20" s="123"/>
      <c r="E20" s="123"/>
      <c r="F20" s="124">
        <v>130000</v>
      </c>
      <c r="G20" s="125"/>
      <c r="H20" s="125"/>
      <c r="I20" s="125"/>
      <c r="J20" s="125"/>
      <c r="K20" s="125"/>
    </row>
    <row r="21" spans="1:12" x14ac:dyDescent="0.55000000000000004">
      <c r="A21" s="122" t="s">
        <v>186</v>
      </c>
      <c r="B21" s="123"/>
      <c r="C21" s="123"/>
      <c r="D21" s="123"/>
      <c r="E21" s="123"/>
      <c r="F21" s="124">
        <v>200000</v>
      </c>
      <c r="G21" s="125"/>
      <c r="H21" s="125"/>
      <c r="I21" s="125"/>
      <c r="J21" s="125"/>
      <c r="K21" s="125"/>
    </row>
    <row r="22" spans="1:12" x14ac:dyDescent="0.55000000000000004">
      <c r="A22" s="122" t="s">
        <v>187</v>
      </c>
      <c r="B22" s="123"/>
      <c r="C22" s="123"/>
      <c r="D22" s="123"/>
      <c r="E22" s="123"/>
      <c r="F22" s="124">
        <v>50000</v>
      </c>
      <c r="G22" s="125" t="s">
        <v>188</v>
      </c>
      <c r="H22" s="125"/>
      <c r="I22" s="125"/>
      <c r="J22" s="125"/>
      <c r="K22" s="125"/>
    </row>
    <row r="23" spans="1:12" x14ac:dyDescent="0.55000000000000004">
      <c r="A23" s="122" t="s">
        <v>189</v>
      </c>
      <c r="B23" s="123"/>
      <c r="C23" s="123"/>
      <c r="D23" s="123"/>
      <c r="E23" s="123"/>
      <c r="F23" s="124">
        <v>350000</v>
      </c>
      <c r="G23" s="125">
        <f>F16+F23</f>
        <v>2056327</v>
      </c>
      <c r="H23" s="125">
        <v>428400</v>
      </c>
      <c r="I23" s="125"/>
      <c r="J23" s="125"/>
      <c r="K23" s="125"/>
    </row>
    <row r="24" spans="1:12" x14ac:dyDescent="0.55000000000000004">
      <c r="A24" s="126" t="s">
        <v>190</v>
      </c>
      <c r="B24" s="127"/>
      <c r="C24" s="127"/>
      <c r="D24" s="127"/>
      <c r="E24" s="127"/>
      <c r="F24" s="117">
        <f>SUM(F18:F23)</f>
        <v>1130000</v>
      </c>
      <c r="G24" s="118"/>
      <c r="H24" s="118"/>
      <c r="I24" s="118"/>
      <c r="J24" s="118"/>
      <c r="K24" s="118"/>
    </row>
    <row r="25" spans="1:12" x14ac:dyDescent="0.55000000000000004">
      <c r="A25" s="119" t="s">
        <v>191</v>
      </c>
      <c r="B25" s="128"/>
      <c r="C25" s="128"/>
      <c r="D25" s="128"/>
      <c r="E25" s="128"/>
      <c r="F25" s="129"/>
      <c r="G25" s="130"/>
      <c r="H25" s="130"/>
      <c r="I25" s="130"/>
      <c r="J25" s="130"/>
    </row>
    <row r="26" spans="1:12" x14ac:dyDescent="0.55000000000000004">
      <c r="A26" s="126" t="s">
        <v>192</v>
      </c>
      <c r="B26" s="127"/>
      <c r="C26" s="127"/>
      <c r="D26" s="127"/>
      <c r="E26" s="127"/>
      <c r="F26" s="117">
        <f>F25</f>
        <v>0</v>
      </c>
    </row>
    <row r="27" spans="1:12" x14ac:dyDescent="0.55000000000000004">
      <c r="A27" s="131"/>
      <c r="B27" s="128"/>
      <c r="C27" s="128"/>
      <c r="D27" s="128"/>
      <c r="E27" s="128"/>
      <c r="F27" s="132"/>
    </row>
    <row r="28" spans="1:12" ht="14.7" thickBot="1" x14ac:dyDescent="0.6">
      <c r="A28" s="133" t="s">
        <v>193</v>
      </c>
      <c r="B28" s="134"/>
      <c r="C28" s="134"/>
      <c r="D28" s="134"/>
      <c r="E28" s="134"/>
      <c r="F28" s="135">
        <f>F16+F24+F26</f>
        <v>2836327</v>
      </c>
    </row>
    <row r="29" spans="1:12" x14ac:dyDescent="0.55000000000000004">
      <c r="I29" s="136"/>
    </row>
    <row r="30" spans="1:12" x14ac:dyDescent="0.55000000000000004">
      <c r="K30" s="136"/>
    </row>
    <row r="31" spans="1:12" x14ac:dyDescent="0.55000000000000004">
      <c r="K31" s="137">
        <v>7150000</v>
      </c>
      <c r="L31" s="138" t="s">
        <v>194</v>
      </c>
    </row>
    <row r="32" spans="1:12" x14ac:dyDescent="0.55000000000000004">
      <c r="K32" s="139">
        <v>1000000</v>
      </c>
      <c r="L32" s="140" t="s">
        <v>195</v>
      </c>
    </row>
    <row r="33" spans="11:12" x14ac:dyDescent="0.55000000000000004">
      <c r="K33" s="139">
        <v>800000</v>
      </c>
      <c r="L33" s="140" t="s">
        <v>196</v>
      </c>
    </row>
    <row r="34" spans="11:12" x14ac:dyDescent="0.55000000000000004">
      <c r="K34" s="139">
        <f>F28</f>
        <v>2836327</v>
      </c>
      <c r="L34" s="140" t="s">
        <v>197</v>
      </c>
    </row>
    <row r="35" spans="11:12" x14ac:dyDescent="0.55000000000000004">
      <c r="K35" s="139">
        <f>K31+K33-K34</f>
        <v>5113673</v>
      </c>
      <c r="L35" s="140" t="s">
        <v>198</v>
      </c>
    </row>
  </sheetData>
  <conditionalFormatting sqref="B24:E24 G24:K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{57725F58-E3A1-4A33-8513-EF8A644D9D97}</x14:id>
        </ext>
      </extLst>
    </cfRule>
  </conditionalFormatting>
  <conditionalFormatting sqref="B26: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{1A37FC3B-2669-44F5-B24B-6DFE159419B5}</x14:id>
        </ext>
      </extLst>
    </cfRule>
  </conditionalFormatting>
  <conditionalFormatting sqref="B28:E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{265B689D-DE65-44D5-B8BA-9CEC73F6410D}</x14:id>
        </ext>
      </extLst>
    </cfRule>
  </conditionalFormatting>
  <pageMargins left="0.7" right="0.7" top="0.75" bottom="0.75" header="0.3" footer="0.3"/>
  <pageSetup paperSize="9" scale="8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725F58-E3A1-4A33-8513-EF8A644D9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B24:E24 G24:K24</xm:sqref>
        </x14:conditionalFormatting>
        <x14:conditionalFormatting xmlns:xm="http://schemas.microsoft.com/office/excel/2006/main">
          <x14:cfRule type="dataBar" id="{1A37FC3B-2669-44F5-B24B-6DFE15941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B26:E26</xm:sqref>
        </x14:conditionalFormatting>
        <x14:conditionalFormatting xmlns:xm="http://schemas.microsoft.com/office/excel/2006/main">
          <x14:cfRule type="dataBar" id="{265B689D-DE65-44D5-B8BA-9CEC73F64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B28:E28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B2" sqref="B2"/>
    </sheetView>
  </sheetViews>
  <sheetFormatPr defaultRowHeight="14.4" x14ac:dyDescent="0.55000000000000004"/>
  <cols>
    <col min="1" max="1" width="24.734375" customWidth="1"/>
    <col min="2" max="2" width="15.7890625" customWidth="1"/>
    <col min="5" max="5" width="13.7890625" customWidth="1"/>
    <col min="6" max="6" width="13.734375" customWidth="1"/>
    <col min="7" max="7" width="18.15625" customWidth="1"/>
    <col min="8" max="8" width="19.47265625" customWidth="1"/>
    <col min="9" max="9" width="14" customWidth="1"/>
    <col min="10" max="11" width="16.47265625" customWidth="1"/>
  </cols>
  <sheetData>
    <row r="1" spans="1:11" x14ac:dyDescent="0.55000000000000004">
      <c r="A1" t="s">
        <v>206</v>
      </c>
      <c r="H1" s="175"/>
      <c r="I1" s="175"/>
      <c r="J1" s="175"/>
    </row>
    <row r="3" spans="1:11" ht="14.7" thickBot="1" x14ac:dyDescent="0.6">
      <c r="A3" s="176" t="s">
        <v>159</v>
      </c>
      <c r="G3" t="s">
        <v>160</v>
      </c>
    </row>
    <row r="4" spans="1:11" x14ac:dyDescent="0.55000000000000004">
      <c r="A4" s="177"/>
      <c r="B4" s="178"/>
      <c r="C4" s="178"/>
      <c r="D4" s="178"/>
      <c r="E4" s="178"/>
      <c r="F4" s="179"/>
      <c r="G4" s="180">
        <v>843102</v>
      </c>
      <c r="H4" s="181">
        <v>843104</v>
      </c>
      <c r="I4" s="181" t="s">
        <v>207</v>
      </c>
      <c r="J4" s="181" t="s">
        <v>222</v>
      </c>
      <c r="K4" s="232">
        <v>843106</v>
      </c>
    </row>
    <row r="5" spans="1:11" x14ac:dyDescent="0.55000000000000004">
      <c r="A5" s="182"/>
      <c r="B5" s="183"/>
      <c r="C5" s="183"/>
      <c r="D5" s="183"/>
      <c r="E5" s="183"/>
      <c r="F5" s="184"/>
      <c r="G5" s="185" t="s">
        <v>208</v>
      </c>
      <c r="H5" s="186" t="s">
        <v>209</v>
      </c>
      <c r="I5" s="186" t="s">
        <v>210</v>
      </c>
      <c r="J5" s="186" t="s">
        <v>164</v>
      </c>
      <c r="K5" s="233"/>
    </row>
    <row r="6" spans="1:11" ht="14.7" thickBot="1" x14ac:dyDescent="0.6">
      <c r="A6" s="187" t="s">
        <v>95</v>
      </c>
      <c r="B6" s="188" t="s">
        <v>165</v>
      </c>
      <c r="C6" s="188" t="s">
        <v>166</v>
      </c>
      <c r="D6" s="187" t="s">
        <v>167</v>
      </c>
      <c r="E6" s="188" t="s">
        <v>168</v>
      </c>
      <c r="F6" s="184" t="s">
        <v>169</v>
      </c>
      <c r="G6" s="187" t="s">
        <v>211</v>
      </c>
      <c r="H6" s="189" t="s">
        <v>170</v>
      </c>
      <c r="I6" s="189" t="s">
        <v>171</v>
      </c>
      <c r="J6" s="189" t="s">
        <v>121</v>
      </c>
      <c r="K6" s="234" t="s">
        <v>172</v>
      </c>
    </row>
    <row r="7" spans="1:11" ht="23.4" x14ac:dyDescent="0.55000000000000004">
      <c r="A7" s="190" t="s">
        <v>231</v>
      </c>
      <c r="B7" s="191">
        <v>42165</v>
      </c>
      <c r="C7" s="192" t="s">
        <v>107</v>
      </c>
      <c r="D7" s="193" t="s">
        <v>174</v>
      </c>
      <c r="E7" s="194">
        <v>23904</v>
      </c>
      <c r="F7" s="48">
        <f>E7*11+(22451+13600)</f>
        <v>298995</v>
      </c>
      <c r="G7" s="195">
        <v>0.3</v>
      </c>
      <c r="H7" s="196"/>
      <c r="I7" s="196"/>
      <c r="J7" s="196">
        <v>0.3</v>
      </c>
      <c r="K7" s="235">
        <v>0.4</v>
      </c>
    </row>
    <row r="8" spans="1:11" ht="23.4" x14ac:dyDescent="0.55000000000000004">
      <c r="A8" s="197" t="s">
        <v>212</v>
      </c>
      <c r="B8" s="191">
        <v>44409</v>
      </c>
      <c r="C8" s="192" t="s">
        <v>111</v>
      </c>
      <c r="D8" s="198" t="s">
        <v>179</v>
      </c>
      <c r="E8" s="194">
        <v>14000</v>
      </c>
      <c r="F8" s="48">
        <f>E8*11</f>
        <v>154000</v>
      </c>
      <c r="G8" s="195"/>
      <c r="H8" s="196"/>
      <c r="I8" s="196">
        <v>1</v>
      </c>
      <c r="J8" s="196"/>
      <c r="K8" s="235"/>
    </row>
    <row r="9" spans="1:11" ht="23.4" x14ac:dyDescent="0.55000000000000004">
      <c r="A9" s="190" t="s">
        <v>213</v>
      </c>
      <c r="B9" s="199">
        <v>44378</v>
      </c>
      <c r="C9" s="192" t="s">
        <v>111</v>
      </c>
      <c r="D9" s="198" t="s">
        <v>179</v>
      </c>
      <c r="E9" s="194">
        <v>18000</v>
      </c>
      <c r="F9" s="48">
        <f>E9*11</f>
        <v>198000</v>
      </c>
      <c r="G9" s="195"/>
      <c r="H9" s="196">
        <v>1</v>
      </c>
      <c r="I9" s="196"/>
      <c r="J9" s="196"/>
      <c r="K9" s="235"/>
    </row>
    <row r="10" spans="1:11" ht="23.7" thickBot="1" x14ac:dyDescent="0.6">
      <c r="A10" s="200" t="s">
        <v>214</v>
      </c>
      <c r="B10" s="201">
        <v>43745</v>
      </c>
      <c r="C10" s="192" t="s">
        <v>111</v>
      </c>
      <c r="D10" s="198" t="s">
        <v>179</v>
      </c>
      <c r="E10" s="194">
        <v>20911</v>
      </c>
      <c r="F10" s="48">
        <f>E10*11</f>
        <v>230021</v>
      </c>
      <c r="G10" s="195"/>
      <c r="H10" s="196">
        <v>1</v>
      </c>
      <c r="I10" s="196"/>
      <c r="J10" s="196"/>
      <c r="K10" s="235"/>
    </row>
    <row r="11" spans="1:11" ht="23.4" x14ac:dyDescent="0.55000000000000004">
      <c r="A11" s="202" t="s">
        <v>180</v>
      </c>
      <c r="B11" s="199">
        <v>44013</v>
      </c>
      <c r="C11" s="203" t="s">
        <v>116</v>
      </c>
      <c r="D11" s="204" t="s">
        <v>179</v>
      </c>
      <c r="E11" s="205">
        <v>10038</v>
      </c>
      <c r="F11" s="48">
        <f>E11*11</f>
        <v>110418</v>
      </c>
      <c r="G11" s="206">
        <v>0.8</v>
      </c>
      <c r="H11" s="207"/>
      <c r="I11" s="207"/>
      <c r="J11" s="207">
        <v>0.2</v>
      </c>
      <c r="K11" s="236"/>
    </row>
    <row r="12" spans="1:11" ht="23.4" x14ac:dyDescent="0.55000000000000004">
      <c r="A12" s="46" t="s">
        <v>215</v>
      </c>
      <c r="B12" s="199">
        <v>44440</v>
      </c>
      <c r="C12" s="47" t="s">
        <v>216</v>
      </c>
      <c r="D12" s="198" t="s">
        <v>179</v>
      </c>
      <c r="E12" s="208">
        <f>14514</f>
        <v>14514</v>
      </c>
      <c r="F12" s="48">
        <f>E12*7</f>
        <v>101598</v>
      </c>
      <c r="G12" s="195">
        <v>0.5</v>
      </c>
      <c r="H12" s="196"/>
      <c r="I12" s="196"/>
      <c r="J12" s="196"/>
      <c r="K12" s="196"/>
    </row>
    <row r="13" spans="1:11" x14ac:dyDescent="0.55000000000000004">
      <c r="A13" s="46" t="s">
        <v>217</v>
      </c>
      <c r="B13" s="199"/>
      <c r="C13" s="47"/>
      <c r="D13" s="198"/>
      <c r="E13" s="208">
        <v>14000</v>
      </c>
      <c r="F13" s="48">
        <f>E13*8</f>
        <v>112000</v>
      </c>
      <c r="G13" s="195"/>
      <c r="H13" s="196">
        <v>1</v>
      </c>
      <c r="I13" s="196"/>
      <c r="J13" s="196"/>
      <c r="K13" s="196"/>
    </row>
    <row r="14" spans="1:11" x14ac:dyDescent="0.55000000000000004">
      <c r="A14" s="46" t="s">
        <v>125</v>
      </c>
      <c r="B14" s="209"/>
      <c r="C14" s="47" t="s">
        <v>126</v>
      </c>
      <c r="D14" s="198" t="s">
        <v>179</v>
      </c>
      <c r="E14" s="208">
        <v>9400</v>
      </c>
      <c r="F14" s="210">
        <f>E14*11</f>
        <v>103400</v>
      </c>
      <c r="G14" s="195"/>
      <c r="H14" s="196"/>
      <c r="I14" s="196"/>
      <c r="J14" s="196"/>
      <c r="K14" s="196"/>
    </row>
    <row r="15" spans="1:11" x14ac:dyDescent="0.55000000000000004">
      <c r="A15" s="211" t="s">
        <v>181</v>
      </c>
      <c r="B15" s="212"/>
      <c r="C15" s="212"/>
      <c r="D15" s="212"/>
      <c r="E15" s="213">
        <f>SUM(E7:E14)</f>
        <v>124767</v>
      </c>
      <c r="F15" s="213">
        <f>SUM(F7:F14)</f>
        <v>1308432</v>
      </c>
      <c r="G15" s="214"/>
      <c r="H15" s="214"/>
      <c r="I15" s="214"/>
      <c r="J15" s="214"/>
      <c r="K15" s="214"/>
    </row>
    <row r="16" spans="1:11" x14ac:dyDescent="0.55000000000000004">
      <c r="A16" s="215" t="s">
        <v>182</v>
      </c>
      <c r="B16" s="216"/>
      <c r="C16" s="216"/>
      <c r="D16" s="216"/>
      <c r="E16" s="216"/>
      <c r="F16" s="217"/>
      <c r="G16" s="214"/>
      <c r="H16" s="214"/>
      <c r="I16" s="214"/>
      <c r="J16" s="214"/>
      <c r="K16" s="214"/>
    </row>
    <row r="17" spans="1:11" x14ac:dyDescent="0.55000000000000004">
      <c r="A17" s="218" t="s">
        <v>183</v>
      </c>
      <c r="B17" s="219"/>
      <c r="C17" s="219"/>
      <c r="D17" s="219"/>
      <c r="E17" s="219"/>
      <c r="F17" s="220">
        <v>43000</v>
      </c>
      <c r="G17" s="221"/>
      <c r="H17" s="221"/>
      <c r="I17" s="221"/>
      <c r="J17" s="221"/>
      <c r="K17" s="221"/>
    </row>
    <row r="18" spans="1:11" x14ac:dyDescent="0.55000000000000004">
      <c r="A18" s="218" t="s">
        <v>184</v>
      </c>
      <c r="B18" s="219"/>
      <c r="C18" s="219"/>
      <c r="D18" s="219"/>
      <c r="E18" s="219"/>
      <c r="F18" s="220">
        <v>50000</v>
      </c>
      <c r="G18" s="221"/>
      <c r="H18" s="221"/>
      <c r="I18" s="221"/>
      <c r="J18" s="221"/>
      <c r="K18" s="221"/>
    </row>
    <row r="19" spans="1:11" x14ac:dyDescent="0.55000000000000004">
      <c r="A19" s="218" t="s">
        <v>218</v>
      </c>
      <c r="B19" s="219"/>
      <c r="C19" s="219"/>
      <c r="D19" s="219"/>
      <c r="E19" s="219"/>
      <c r="F19" s="220">
        <v>150000</v>
      </c>
      <c r="G19" s="221"/>
      <c r="H19" s="221"/>
      <c r="I19" s="221"/>
      <c r="J19" s="221"/>
      <c r="K19" s="221"/>
    </row>
    <row r="20" spans="1:11" x14ac:dyDescent="0.55000000000000004">
      <c r="A20" s="218" t="s">
        <v>219</v>
      </c>
      <c r="B20" s="219"/>
      <c r="C20" s="219"/>
      <c r="D20" s="219"/>
      <c r="E20" s="219"/>
      <c r="F20" s="220">
        <v>40000</v>
      </c>
      <c r="G20" s="221"/>
      <c r="H20" s="221"/>
      <c r="I20" s="221"/>
      <c r="J20" s="221"/>
      <c r="K20" s="221"/>
    </row>
    <row r="21" spans="1:11" x14ac:dyDescent="0.55000000000000004">
      <c r="A21" s="218" t="s">
        <v>187</v>
      </c>
      <c r="B21" s="219"/>
      <c r="C21" s="219"/>
      <c r="D21" s="219"/>
      <c r="E21" s="219"/>
      <c r="F21" s="220">
        <v>10000</v>
      </c>
      <c r="G21" s="221" t="s">
        <v>188</v>
      </c>
      <c r="H21" s="221"/>
      <c r="I21" s="221"/>
      <c r="J21" s="221"/>
      <c r="K21" s="221"/>
    </row>
    <row r="22" spans="1:11" x14ac:dyDescent="0.55000000000000004">
      <c r="A22" s="218" t="s">
        <v>189</v>
      </c>
      <c r="B22" s="219"/>
      <c r="C22" s="219"/>
      <c r="D22" s="219"/>
      <c r="E22" s="219"/>
      <c r="F22" s="220">
        <v>350000</v>
      </c>
      <c r="G22" s="221">
        <f>F15+F22</f>
        <v>1658432</v>
      </c>
      <c r="H22" s="221"/>
      <c r="I22" s="221"/>
      <c r="J22" s="221"/>
      <c r="K22" s="221"/>
    </row>
    <row r="23" spans="1:11" x14ac:dyDescent="0.55000000000000004">
      <c r="A23" s="222" t="s">
        <v>190</v>
      </c>
      <c r="B23" s="223"/>
      <c r="C23" s="223"/>
      <c r="D23" s="223"/>
      <c r="E23" s="223"/>
      <c r="F23" s="213">
        <f>SUM(F17:F22)</f>
        <v>643000</v>
      </c>
      <c r="G23" s="214"/>
      <c r="H23" s="214"/>
      <c r="I23" s="214"/>
      <c r="J23" s="214"/>
      <c r="K23" s="214"/>
    </row>
    <row r="24" spans="1:11" x14ac:dyDescent="0.55000000000000004">
      <c r="A24" s="215" t="s">
        <v>191</v>
      </c>
      <c r="B24" s="224"/>
      <c r="C24" s="224"/>
      <c r="D24" s="224"/>
      <c r="E24" s="224"/>
      <c r="F24" s="225"/>
      <c r="G24" s="226"/>
      <c r="H24" s="226"/>
      <c r="I24" s="226"/>
      <c r="J24" s="226"/>
    </row>
    <row r="25" spans="1:11" x14ac:dyDescent="0.55000000000000004">
      <c r="A25" s="222" t="s">
        <v>192</v>
      </c>
      <c r="B25" s="223"/>
      <c r="C25" s="223"/>
      <c r="D25" s="223"/>
      <c r="E25" s="223"/>
      <c r="F25" s="213">
        <f>F24</f>
        <v>0</v>
      </c>
    </row>
    <row r="26" spans="1:11" x14ac:dyDescent="0.55000000000000004">
      <c r="A26" s="227"/>
      <c r="B26" s="224"/>
      <c r="C26" s="224"/>
      <c r="D26" s="224"/>
      <c r="E26" s="224"/>
      <c r="F26" s="228"/>
    </row>
    <row r="27" spans="1:11" ht="14.7" thickBot="1" x14ac:dyDescent="0.6">
      <c r="A27" s="229" t="s">
        <v>220</v>
      </c>
      <c r="B27" s="230"/>
      <c r="C27" s="230"/>
      <c r="D27" s="230"/>
      <c r="E27" s="230"/>
      <c r="F27" s="231">
        <f>F15+F23+F25</f>
        <v>1951432</v>
      </c>
      <c r="I27" s="41"/>
    </row>
    <row r="28" spans="1:11" x14ac:dyDescent="0.55000000000000004">
      <c r="I28" s="41"/>
    </row>
    <row r="29" spans="1:11" x14ac:dyDescent="0.55000000000000004">
      <c r="K29" s="41"/>
    </row>
    <row r="30" spans="1:11" x14ac:dyDescent="0.55000000000000004">
      <c r="A30" t="s">
        <v>240</v>
      </c>
    </row>
    <row r="31" spans="1:11" x14ac:dyDescent="0.55000000000000004">
      <c r="A31" t="s">
        <v>221</v>
      </c>
    </row>
    <row r="32" spans="1:11" x14ac:dyDescent="0.55000000000000004">
      <c r="A32" t="s">
        <v>232</v>
      </c>
    </row>
  </sheetData>
  <conditionalFormatting sqref="G23:K23 B23:E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{B65E8013-569C-48E0-BA26-E02FFC7C3031}</x14:id>
        </ext>
      </extLst>
    </cfRule>
  </conditionalFormatting>
  <conditionalFormatting sqref="B25:E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{039D3506-583E-4203-8E50-267A2179E0DF}</x14:id>
        </ext>
      </extLst>
    </cfRule>
  </conditionalFormatting>
  <conditionalFormatting sqref="B27:E2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{C0688CC8-939B-4199-893B-6D28F24347CB}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E8013-569C-48E0-BA26-E02FFC7C3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G23:K23 B23:E23</xm:sqref>
        </x14:conditionalFormatting>
        <x14:conditionalFormatting xmlns:xm="http://schemas.microsoft.com/office/excel/2006/main">
          <x14:cfRule type="dataBar" id="{039D3506-583E-4203-8E50-267A2179E0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B25:E25</xm:sqref>
        </x14:conditionalFormatting>
        <x14:conditionalFormatting xmlns:xm="http://schemas.microsoft.com/office/excel/2006/main">
          <x14:cfRule type="dataBar" id="{C0688CC8-939B-4199-893B-6D28F2434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B27:E27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showGridLines="0" topLeftCell="D5" workbookViewId="0">
      <selection activeCell="M18" sqref="M18"/>
    </sheetView>
  </sheetViews>
  <sheetFormatPr defaultColWidth="9.15625" defaultRowHeight="14.4" x14ac:dyDescent="0.55000000000000004"/>
  <cols>
    <col min="1" max="1" width="27.734375" style="49" customWidth="1"/>
    <col min="2" max="2" width="11.47265625" style="49" customWidth="1"/>
    <col min="3" max="3" width="10.26171875" style="49" customWidth="1"/>
    <col min="4" max="4" width="10.5234375" style="49" customWidth="1"/>
    <col min="5" max="5" width="11.26171875" style="49" customWidth="1"/>
    <col min="6" max="6" width="13.15625" style="49" customWidth="1"/>
    <col min="7" max="7" width="6.47265625" style="49" customWidth="1"/>
    <col min="8" max="8" width="12.7890625" style="49" customWidth="1"/>
    <col min="9" max="9" width="6.47265625" style="49" customWidth="1"/>
    <col min="10" max="10" width="8.7890625" style="49" customWidth="1"/>
    <col min="11" max="12" width="8" style="49" customWidth="1"/>
    <col min="13" max="13" width="10.5234375" style="49" customWidth="1"/>
    <col min="14" max="14" width="8.15625" style="49" customWidth="1"/>
    <col min="15" max="16" width="13.7890625" style="50" customWidth="1"/>
    <col min="17" max="17" width="20.734375" style="49" customWidth="1"/>
    <col min="18" max="16384" width="9.15625" style="49"/>
  </cols>
  <sheetData>
    <row r="1" spans="1:17" x14ac:dyDescent="0.55000000000000004">
      <c r="A1" s="250" t="s">
        <v>127</v>
      </c>
      <c r="B1" s="250"/>
      <c r="C1" s="250"/>
      <c r="D1" s="250"/>
      <c r="E1" s="250"/>
      <c r="F1" s="250"/>
      <c r="G1" s="250"/>
    </row>
    <row r="2" spans="1:17" x14ac:dyDescent="0.55000000000000004">
      <c r="A2" s="51" t="s">
        <v>1</v>
      </c>
    </row>
    <row r="3" spans="1:17" x14ac:dyDescent="0.55000000000000004">
      <c r="A3" s="52" t="s">
        <v>128</v>
      </c>
      <c r="B3" s="53" t="s">
        <v>129</v>
      </c>
      <c r="C3" s="53" t="s">
        <v>130</v>
      </c>
      <c r="D3" s="53" t="s">
        <v>131</v>
      </c>
      <c r="E3" s="53" t="s">
        <v>13</v>
      </c>
      <c r="F3" s="54" t="s">
        <v>132</v>
      </c>
    </row>
    <row r="4" spans="1:17" x14ac:dyDescent="0.55000000000000004">
      <c r="A4" s="53" t="s">
        <v>133</v>
      </c>
      <c r="B4" s="55">
        <v>2608754</v>
      </c>
      <c r="C4" s="55">
        <v>1492483.4</v>
      </c>
      <c r="D4" s="55">
        <v>0</v>
      </c>
      <c r="E4" s="55">
        <v>1116270.6000000001</v>
      </c>
      <c r="F4" s="56">
        <v>42.789415943396698</v>
      </c>
    </row>
    <row r="5" spans="1:17" x14ac:dyDescent="0.55000000000000004">
      <c r="A5" s="51" t="s">
        <v>1</v>
      </c>
    </row>
    <row r="6" spans="1:17" ht="31.5" x14ac:dyDescent="0.55000000000000004">
      <c r="A6" s="52" t="s">
        <v>134</v>
      </c>
      <c r="B6" s="52" t="s">
        <v>4</v>
      </c>
      <c r="C6" s="52" t="s">
        <v>3</v>
      </c>
      <c r="D6" s="52" t="s">
        <v>128</v>
      </c>
      <c r="E6" s="52" t="s">
        <v>5</v>
      </c>
      <c r="F6" s="52" t="s">
        <v>135</v>
      </c>
      <c r="G6" s="57" t="s">
        <v>136</v>
      </c>
      <c r="H6" s="52" t="s">
        <v>137</v>
      </c>
      <c r="I6" s="52" t="s">
        <v>138</v>
      </c>
      <c r="J6" s="52" t="s">
        <v>139</v>
      </c>
      <c r="K6" s="52" t="s">
        <v>140</v>
      </c>
      <c r="L6" s="52" t="s">
        <v>141</v>
      </c>
      <c r="M6" s="52" t="s">
        <v>142</v>
      </c>
      <c r="N6" s="58" t="s">
        <v>143</v>
      </c>
      <c r="O6" s="58" t="s">
        <v>144</v>
      </c>
      <c r="P6" s="173" t="s">
        <v>205</v>
      </c>
      <c r="Q6" s="59"/>
    </row>
    <row r="7" spans="1:17" ht="21" x14ac:dyDescent="0.55000000000000004">
      <c r="A7" s="251" t="s">
        <v>15</v>
      </c>
      <c r="B7" s="60" t="s">
        <v>16</v>
      </c>
      <c r="C7" s="60" t="s">
        <v>15</v>
      </c>
      <c r="D7" s="60" t="s">
        <v>133</v>
      </c>
      <c r="E7" s="60" t="s">
        <v>17</v>
      </c>
      <c r="F7" s="60" t="s">
        <v>145</v>
      </c>
      <c r="G7" s="61" t="s">
        <v>146</v>
      </c>
      <c r="H7" s="60" t="s">
        <v>147</v>
      </c>
      <c r="I7" s="60" t="s">
        <v>148</v>
      </c>
      <c r="J7" s="60" t="s">
        <v>149</v>
      </c>
      <c r="K7" s="62"/>
      <c r="L7" s="62"/>
      <c r="M7" s="62"/>
      <c r="N7" s="63"/>
      <c r="O7" s="63">
        <f>287000</f>
        <v>287000</v>
      </c>
      <c r="P7" s="174">
        <v>287000</v>
      </c>
      <c r="Q7" s="64" t="s">
        <v>173</v>
      </c>
    </row>
    <row r="8" spans="1:17" ht="21" x14ac:dyDescent="0.55000000000000004">
      <c r="A8" s="251"/>
      <c r="B8" s="65" t="s">
        <v>16</v>
      </c>
      <c r="C8" s="65" t="s">
        <v>15</v>
      </c>
      <c r="D8" s="65" t="s">
        <v>133</v>
      </c>
      <c r="E8" s="65" t="s">
        <v>21</v>
      </c>
      <c r="F8" s="60" t="s">
        <v>145</v>
      </c>
      <c r="G8" s="61" t="s">
        <v>150</v>
      </c>
      <c r="H8" s="66" t="s">
        <v>151</v>
      </c>
      <c r="I8" s="65" t="s">
        <v>148</v>
      </c>
      <c r="J8" s="65" t="s">
        <v>149</v>
      </c>
      <c r="K8" s="55"/>
      <c r="L8" s="55"/>
      <c r="M8" s="55"/>
      <c r="N8" s="56"/>
      <c r="O8" s="56"/>
      <c r="P8" s="174">
        <v>120456</v>
      </c>
      <c r="Q8" s="64" t="s">
        <v>230</v>
      </c>
    </row>
    <row r="9" spans="1:17" ht="21" x14ac:dyDescent="0.55000000000000004">
      <c r="A9" s="251"/>
      <c r="B9" s="65" t="s">
        <v>16</v>
      </c>
      <c r="C9" s="65" t="s">
        <v>15</v>
      </c>
      <c r="D9" s="65" t="s">
        <v>133</v>
      </c>
      <c r="E9" s="65" t="s">
        <v>21</v>
      </c>
      <c r="F9" s="60" t="s">
        <v>145</v>
      </c>
      <c r="G9" s="61" t="s">
        <v>152</v>
      </c>
      <c r="H9" s="65" t="s">
        <v>153</v>
      </c>
      <c r="I9" s="65" t="s">
        <v>148</v>
      </c>
      <c r="J9" s="65" t="s">
        <v>149</v>
      </c>
      <c r="K9" s="55"/>
      <c r="L9" s="55"/>
      <c r="M9" s="55"/>
      <c r="N9" s="56"/>
      <c r="O9" s="56"/>
      <c r="P9" s="174">
        <v>216000</v>
      </c>
      <c r="Q9" s="64" t="s">
        <v>213</v>
      </c>
    </row>
    <row r="10" spans="1:17" ht="21" x14ac:dyDescent="0.55000000000000004">
      <c r="A10" s="251"/>
      <c r="B10" s="65" t="s">
        <v>16</v>
      </c>
      <c r="C10" s="65" t="s">
        <v>15</v>
      </c>
      <c r="D10" s="65" t="s">
        <v>133</v>
      </c>
      <c r="E10" s="65" t="s">
        <v>17</v>
      </c>
      <c r="F10" s="65" t="s">
        <v>145</v>
      </c>
      <c r="G10" s="61" t="s">
        <v>152</v>
      </c>
      <c r="H10" s="65" t="s">
        <v>153</v>
      </c>
      <c r="I10" s="65" t="s">
        <v>148</v>
      </c>
      <c r="J10" s="65" t="s">
        <v>149</v>
      </c>
      <c r="K10" s="55"/>
      <c r="L10" s="55"/>
      <c r="M10" s="55"/>
      <c r="N10" s="56"/>
      <c r="O10" s="56">
        <v>192000</v>
      </c>
      <c r="P10" s="174">
        <v>252000</v>
      </c>
      <c r="Q10" s="64" t="s">
        <v>154</v>
      </c>
    </row>
    <row r="11" spans="1:17" ht="21" x14ac:dyDescent="0.55000000000000004">
      <c r="A11" s="251"/>
      <c r="B11" s="65" t="s">
        <v>16</v>
      </c>
      <c r="C11" s="65" t="s">
        <v>15</v>
      </c>
      <c r="D11" s="65" t="s">
        <v>133</v>
      </c>
      <c r="E11" s="65">
        <v>412121</v>
      </c>
      <c r="F11" s="60" t="s">
        <v>145</v>
      </c>
      <c r="G11" s="61" t="s">
        <v>152</v>
      </c>
      <c r="H11" s="65" t="s">
        <v>153</v>
      </c>
      <c r="I11" s="65" t="s">
        <v>148</v>
      </c>
      <c r="J11" s="65" t="s">
        <v>149</v>
      </c>
      <c r="K11" s="55"/>
      <c r="L11" s="55"/>
      <c r="M11" s="55"/>
      <c r="N11" s="56"/>
      <c r="O11" s="56"/>
      <c r="P11" s="174">
        <v>168000</v>
      </c>
      <c r="Q11" s="64" t="s">
        <v>212</v>
      </c>
    </row>
    <row r="12" spans="1:17" ht="21" x14ac:dyDescent="0.55000000000000004">
      <c r="A12" s="251"/>
      <c r="B12" s="65" t="s">
        <v>16</v>
      </c>
      <c r="C12" s="65" t="s">
        <v>15</v>
      </c>
      <c r="D12" s="65" t="s">
        <v>133</v>
      </c>
      <c r="E12" s="65" t="s">
        <v>21</v>
      </c>
      <c r="F12" s="60" t="s">
        <v>145</v>
      </c>
      <c r="G12" s="61" t="s">
        <v>155</v>
      </c>
      <c r="H12" s="65" t="s">
        <v>156</v>
      </c>
      <c r="I12" s="65" t="s">
        <v>148</v>
      </c>
      <c r="J12" s="65" t="s">
        <v>149</v>
      </c>
      <c r="K12" s="55"/>
      <c r="L12" s="55"/>
      <c r="M12" s="55"/>
      <c r="N12" s="56"/>
      <c r="O12" s="56"/>
      <c r="P12" s="174">
        <v>116112</v>
      </c>
      <c r="Q12" s="64" t="s">
        <v>239</v>
      </c>
    </row>
    <row r="13" spans="1:17" ht="21" x14ac:dyDescent="0.55000000000000004">
      <c r="A13" s="251"/>
      <c r="B13" s="65" t="s">
        <v>16</v>
      </c>
      <c r="C13" s="65" t="s">
        <v>15</v>
      </c>
      <c r="D13" s="65" t="s">
        <v>133</v>
      </c>
      <c r="E13" s="65" t="s">
        <v>21</v>
      </c>
      <c r="F13" s="60" t="s">
        <v>145</v>
      </c>
      <c r="G13" s="61" t="s">
        <v>155</v>
      </c>
      <c r="H13" s="65" t="s">
        <v>156</v>
      </c>
      <c r="I13" s="65" t="s">
        <v>148</v>
      </c>
      <c r="J13" s="65" t="s">
        <v>149</v>
      </c>
      <c r="K13" s="55"/>
      <c r="L13" s="55"/>
      <c r="M13" s="55"/>
      <c r="N13" s="56"/>
      <c r="O13" s="56"/>
      <c r="P13" s="174">
        <v>140000</v>
      </c>
      <c r="Q13" s="64" t="s">
        <v>237</v>
      </c>
    </row>
    <row r="14" spans="1:17" ht="21" x14ac:dyDescent="0.55000000000000004">
      <c r="A14" s="251"/>
      <c r="B14" s="60" t="s">
        <v>16</v>
      </c>
      <c r="C14" s="60" t="s">
        <v>15</v>
      </c>
      <c r="D14" s="60" t="s">
        <v>133</v>
      </c>
      <c r="E14" s="60" t="s">
        <v>21</v>
      </c>
      <c r="F14" s="60" t="s">
        <v>145</v>
      </c>
      <c r="G14" s="61" t="s">
        <v>157</v>
      </c>
      <c r="H14" s="60" t="s">
        <v>121</v>
      </c>
      <c r="I14" s="60" t="s">
        <v>148</v>
      </c>
      <c r="J14" s="60" t="s">
        <v>149</v>
      </c>
      <c r="K14" s="62"/>
      <c r="L14" s="62"/>
      <c r="M14" s="67"/>
      <c r="N14" s="63"/>
      <c r="O14" s="63"/>
      <c r="P14" s="174"/>
      <c r="Q14" s="64"/>
    </row>
    <row r="15" spans="1:17" x14ac:dyDescent="0.55000000000000004">
      <c r="A15" s="68" t="s">
        <v>64</v>
      </c>
      <c r="B15" s="69"/>
      <c r="C15" s="69"/>
      <c r="D15" s="69"/>
      <c r="E15" s="69"/>
      <c r="F15" s="69"/>
      <c r="G15" s="70"/>
      <c r="H15" s="69"/>
      <c r="I15" s="69"/>
      <c r="J15" s="69"/>
      <c r="K15" s="71"/>
      <c r="L15" s="71"/>
      <c r="M15" s="71"/>
      <c r="N15" s="71"/>
      <c r="O15" s="71">
        <f>SUM(O7:O14)</f>
        <v>479000</v>
      </c>
      <c r="P15" s="72">
        <f>SUM(P7:P13)</f>
        <v>1299568</v>
      </c>
      <c r="Q15" s="59"/>
    </row>
    <row r="16" spans="1:17" x14ac:dyDescent="0.55000000000000004">
      <c r="A16" s="68" t="s">
        <v>65</v>
      </c>
      <c r="B16" s="69"/>
      <c r="D16" s="69"/>
      <c r="E16" s="69"/>
      <c r="F16" s="69"/>
      <c r="G16" s="70"/>
      <c r="H16" s="69"/>
      <c r="I16" s="69"/>
      <c r="J16" s="69"/>
      <c r="K16" s="71"/>
      <c r="L16" s="71"/>
      <c r="M16" s="71"/>
      <c r="N16" s="71"/>
      <c r="O16" s="73"/>
      <c r="P16" s="73"/>
      <c r="Q16" s="248"/>
    </row>
    <row r="17" spans="1:1" x14ac:dyDescent="0.55000000000000004">
      <c r="A17" s="69" t="s">
        <v>238</v>
      </c>
    </row>
    <row r="18" spans="1:1" x14ac:dyDescent="0.55000000000000004">
      <c r="A18" s="49" t="s">
        <v>241</v>
      </c>
    </row>
  </sheetData>
  <mergeCells count="2">
    <mergeCell ref="A1:G1"/>
    <mergeCell ref="A7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opLeftCell="B1" workbookViewId="0">
      <selection activeCell="I9" sqref="I9"/>
    </sheetView>
  </sheetViews>
  <sheetFormatPr defaultColWidth="8.734375" defaultRowHeight="12.9" x14ac:dyDescent="0.5"/>
  <cols>
    <col min="1" max="1" width="28.15625" style="25" bestFit="1" customWidth="1"/>
    <col min="2" max="2" width="24.15625" style="25" customWidth="1"/>
    <col min="3" max="3" width="11" style="25" customWidth="1"/>
    <col min="4" max="4" width="17.7890625" style="25" customWidth="1"/>
    <col min="5" max="5" width="16.5234375" style="25" customWidth="1"/>
    <col min="6" max="6" width="10" style="25" customWidth="1"/>
    <col min="7" max="7" width="16.26171875" style="25" customWidth="1"/>
    <col min="8" max="8" width="13.7890625" style="25" customWidth="1"/>
    <col min="9" max="9" width="14.47265625" style="25" customWidth="1"/>
    <col min="10" max="10" width="4.7890625" style="25" customWidth="1"/>
    <col min="11" max="11" width="18.47265625" style="37" customWidth="1"/>
    <col min="12" max="12" width="17.47265625" style="37" customWidth="1"/>
    <col min="13" max="16" width="8.734375" style="25"/>
    <col min="17" max="17" width="21.47265625" style="25" bestFit="1" customWidth="1"/>
    <col min="18" max="16384" width="8.734375" style="25"/>
  </cols>
  <sheetData>
    <row r="1" spans="1:17" ht="38.700000000000003" x14ac:dyDescent="0.5">
      <c r="A1" s="18" t="s">
        <v>94</v>
      </c>
      <c r="B1" s="19" t="s">
        <v>95</v>
      </c>
      <c r="C1" s="20" t="s">
        <v>96</v>
      </c>
      <c r="D1" s="20" t="s">
        <v>97</v>
      </c>
      <c r="E1" s="20" t="s">
        <v>98</v>
      </c>
      <c r="F1" s="20" t="s">
        <v>99</v>
      </c>
      <c r="G1" s="21" t="s">
        <v>100</v>
      </c>
      <c r="H1" s="22" t="s">
        <v>101</v>
      </c>
      <c r="I1" s="23" t="s">
        <v>102</v>
      </c>
      <c r="J1" s="23"/>
      <c r="K1" s="24" t="s">
        <v>103</v>
      </c>
      <c r="L1" s="24" t="s">
        <v>104</v>
      </c>
    </row>
    <row r="2" spans="1:17" x14ac:dyDescent="0.5">
      <c r="A2" s="26" t="s">
        <v>105</v>
      </c>
      <c r="B2" s="27" t="s">
        <v>106</v>
      </c>
      <c r="C2" s="28">
        <v>42165</v>
      </c>
      <c r="D2" s="29" t="s">
        <v>107</v>
      </c>
      <c r="E2" s="29" t="s">
        <v>108</v>
      </c>
      <c r="F2" s="29" t="s">
        <v>109</v>
      </c>
      <c r="G2" s="30">
        <v>10904</v>
      </c>
      <c r="H2" s="31">
        <v>13000</v>
      </c>
      <c r="I2" s="31">
        <f>SUM(G2:H2)*11</f>
        <v>262944</v>
      </c>
      <c r="J2" s="31"/>
      <c r="K2" s="32">
        <v>22451</v>
      </c>
      <c r="L2" s="32">
        <v>13600</v>
      </c>
      <c r="N2" s="152">
        <f>10904*12</f>
        <v>130848</v>
      </c>
      <c r="O2" s="152">
        <f>13000*12</f>
        <v>156000</v>
      </c>
    </row>
    <row r="3" spans="1:17" x14ac:dyDescent="0.5">
      <c r="A3" s="26" t="s">
        <v>112</v>
      </c>
      <c r="B3" s="27" t="s">
        <v>223</v>
      </c>
      <c r="C3" s="28">
        <v>43745</v>
      </c>
      <c r="D3" s="29" t="s">
        <v>111</v>
      </c>
      <c r="E3" s="29" t="s">
        <v>108</v>
      </c>
      <c r="F3" s="29" t="s">
        <v>113</v>
      </c>
      <c r="G3" s="30">
        <f>10147+4000</f>
        <v>14147</v>
      </c>
      <c r="H3" s="31">
        <v>6764</v>
      </c>
      <c r="I3" s="31">
        <f>SUM(G3:H3)*11</f>
        <v>230021</v>
      </c>
      <c r="J3" s="31" t="s">
        <v>227</v>
      </c>
      <c r="K3" s="32">
        <v>0</v>
      </c>
      <c r="L3" s="32">
        <v>0</v>
      </c>
      <c r="N3" s="152">
        <f>G3*12</f>
        <v>169764</v>
      </c>
      <c r="O3" s="152">
        <f>H3*12</f>
        <v>81168</v>
      </c>
      <c r="Q3" s="25">
        <f>N3+N2</f>
        <v>300612</v>
      </c>
    </row>
    <row r="4" spans="1:17" ht="14.4" x14ac:dyDescent="0.55000000000000004">
      <c r="A4" s="26" t="s">
        <v>233</v>
      </c>
      <c r="B4" s="27" t="s">
        <v>213</v>
      </c>
      <c r="C4" s="240">
        <v>44378</v>
      </c>
      <c r="D4" s="29" t="s">
        <v>111</v>
      </c>
      <c r="E4" s="29" t="s">
        <v>108</v>
      </c>
      <c r="F4" s="29" t="s">
        <v>113</v>
      </c>
      <c r="G4" s="30">
        <v>10800</v>
      </c>
      <c r="H4" s="31">
        <v>7200</v>
      </c>
      <c r="I4" s="31">
        <f>SUM(G4:H4)*11</f>
        <v>198000</v>
      </c>
      <c r="J4" s="31"/>
      <c r="K4" s="32"/>
      <c r="L4" s="32"/>
      <c r="N4" s="152"/>
      <c r="O4" s="152"/>
    </row>
    <row r="5" spans="1:17" x14ac:dyDescent="0.5">
      <c r="A5" s="26" t="s">
        <v>234</v>
      </c>
      <c r="B5" s="27" t="s">
        <v>212</v>
      </c>
      <c r="C5" s="242">
        <v>44409</v>
      </c>
      <c r="D5" s="29" t="s">
        <v>111</v>
      </c>
      <c r="E5" s="29" t="s">
        <v>108</v>
      </c>
      <c r="F5" s="29" t="s">
        <v>113</v>
      </c>
      <c r="G5" s="30">
        <v>8400</v>
      </c>
      <c r="H5" s="31">
        <v>5600</v>
      </c>
      <c r="I5" s="31">
        <f>SUM(G5:H5)*11</f>
        <v>154000</v>
      </c>
      <c r="J5" s="31"/>
      <c r="K5" s="32"/>
      <c r="L5" s="32"/>
      <c r="N5" s="152"/>
      <c r="O5" s="152"/>
    </row>
    <row r="6" spans="1:17" x14ac:dyDescent="0.5">
      <c r="A6" s="26"/>
      <c r="B6" s="241" t="s">
        <v>242</v>
      </c>
      <c r="C6" s="243">
        <v>44440</v>
      </c>
      <c r="D6" s="237" t="s">
        <v>216</v>
      </c>
      <c r="E6" s="238" t="s">
        <v>108</v>
      </c>
      <c r="F6" s="238" t="s">
        <v>109</v>
      </c>
      <c r="G6" s="239">
        <v>11800</v>
      </c>
      <c r="H6" s="244">
        <v>2714</v>
      </c>
      <c r="I6" s="31">
        <f>SUM(G6:H6)*7</f>
        <v>101598</v>
      </c>
      <c r="J6" s="31" t="s">
        <v>226</v>
      </c>
      <c r="K6" s="32"/>
      <c r="L6" s="32"/>
      <c r="N6" s="152"/>
      <c r="O6" s="152"/>
    </row>
    <row r="7" spans="1:17" x14ac:dyDescent="0.5">
      <c r="A7" s="26" t="s">
        <v>114</v>
      </c>
      <c r="B7" s="27" t="s">
        <v>115</v>
      </c>
      <c r="C7" s="28">
        <v>44013</v>
      </c>
      <c r="D7" s="29" t="s">
        <v>116</v>
      </c>
      <c r="E7" s="29" t="s">
        <v>108</v>
      </c>
      <c r="F7" s="29" t="s">
        <v>117</v>
      </c>
      <c r="G7" s="30">
        <v>6023</v>
      </c>
      <c r="H7" s="31">
        <v>4015</v>
      </c>
      <c r="I7" s="31">
        <f>SUM(G7:H7)*11</f>
        <v>110418</v>
      </c>
      <c r="J7" s="31"/>
      <c r="K7" s="32">
        <v>0</v>
      </c>
      <c r="L7" s="32">
        <v>0</v>
      </c>
      <c r="N7" s="152">
        <f>G7*12</f>
        <v>72276</v>
      </c>
      <c r="O7" s="152">
        <f>H7*12</f>
        <v>48180</v>
      </c>
      <c r="Q7" s="25" t="s">
        <v>203</v>
      </c>
    </row>
    <row r="8" spans="1:17" x14ac:dyDescent="0.5">
      <c r="A8" s="26"/>
      <c r="B8" s="246" t="s">
        <v>217</v>
      </c>
      <c r="C8" s="28">
        <v>43891</v>
      </c>
      <c r="D8" s="237" t="s">
        <v>224</v>
      </c>
      <c r="E8" s="43" t="s">
        <v>108</v>
      </c>
      <c r="F8" s="43"/>
      <c r="G8" s="30"/>
      <c r="H8" s="30">
        <v>14000</v>
      </c>
      <c r="I8" s="31">
        <f>SUM(G8:H8)*8</f>
        <v>112000</v>
      </c>
      <c r="J8" s="30" t="s">
        <v>228</v>
      </c>
      <c r="K8" s="45"/>
      <c r="L8" s="45"/>
      <c r="N8" s="152">
        <v>150000</v>
      </c>
      <c r="O8" s="152"/>
      <c r="Q8" s="25">
        <v>107</v>
      </c>
    </row>
    <row r="9" spans="1:17" ht="14.4" x14ac:dyDescent="0.55000000000000004">
      <c r="A9" s="46" t="s">
        <v>125</v>
      </c>
      <c r="B9" s="43"/>
      <c r="C9" s="44"/>
      <c r="D9" s="237" t="s">
        <v>225</v>
      </c>
      <c r="E9" s="43"/>
      <c r="F9" s="43"/>
      <c r="G9" s="245"/>
      <c r="H9" s="30"/>
      <c r="I9" s="31">
        <f>9400*11</f>
        <v>103400</v>
      </c>
      <c r="K9" s="45"/>
      <c r="L9" s="45"/>
      <c r="N9" s="25">
        <f>G9*12</f>
        <v>0</v>
      </c>
      <c r="O9" s="25">
        <f>H9*12</f>
        <v>0</v>
      </c>
      <c r="Q9" s="25" t="s">
        <v>204</v>
      </c>
    </row>
    <row r="10" spans="1:17" ht="25.15" customHeight="1" x14ac:dyDescent="0.5">
      <c r="A10" s="33"/>
      <c r="B10" s="34"/>
      <c r="C10" s="34"/>
      <c r="D10" s="34"/>
      <c r="E10" s="34"/>
      <c r="F10" s="34"/>
      <c r="G10" s="35">
        <v>51394</v>
      </c>
      <c r="H10" s="35">
        <v>43179</v>
      </c>
      <c r="I10" s="35">
        <f>SUM(I2:I9)+K2+L2</f>
        <v>1308432</v>
      </c>
      <c r="J10" s="35"/>
      <c r="K10" s="35"/>
      <c r="L10" s="35"/>
    </row>
    <row r="11" spans="1:17" x14ac:dyDescent="0.5">
      <c r="K11" s="36"/>
    </row>
    <row r="13" spans="1:17" x14ac:dyDescent="0.5">
      <c r="B13" s="247" t="s">
        <v>243</v>
      </c>
      <c r="I13" s="39"/>
      <c r="J13" s="39"/>
      <c r="K13" s="37">
        <f>12-4</f>
        <v>8</v>
      </c>
    </row>
    <row r="14" spans="1:17" x14ac:dyDescent="0.5">
      <c r="B14" s="247" t="s">
        <v>221</v>
      </c>
    </row>
    <row r="15" spans="1:17" x14ac:dyDescent="0.5">
      <c r="B15" s="25" t="s">
        <v>229</v>
      </c>
    </row>
    <row r="17" spans="11:11" x14ac:dyDescent="0.5">
      <c r="K17" s="249">
        <f>(G6+H6)*7</f>
        <v>101598</v>
      </c>
    </row>
    <row r="18" spans="11:11" x14ac:dyDescent="0.5">
      <c r="K18" s="249">
        <f>(G3+H3)</f>
        <v>20911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5"/>
  <sheetViews>
    <sheetView showGridLines="0" topLeftCell="B1" workbookViewId="0">
      <selection activeCell="M3" sqref="M3"/>
    </sheetView>
  </sheetViews>
  <sheetFormatPr defaultRowHeight="14.4" x14ac:dyDescent="0.55000000000000004"/>
  <cols>
    <col min="1" max="1" width="28.47265625" customWidth="1"/>
    <col min="2" max="2" width="11" customWidth="1"/>
    <col min="3" max="3" width="11.5234375" customWidth="1"/>
    <col min="4" max="4" width="6.7890625" customWidth="1"/>
    <col min="5" max="5" width="12.7890625" customWidth="1"/>
    <col min="6" max="6" width="33.5234375" customWidth="1"/>
    <col min="7" max="9" width="9.15625" bestFit="1" customWidth="1"/>
    <col min="10" max="10" width="6.5234375" customWidth="1"/>
    <col min="11" max="11" width="8.47265625" customWidth="1"/>
    <col min="12" max="12" width="9.15625" bestFit="1" customWidth="1"/>
    <col min="13" max="14" width="15.5234375" style="149" customWidth="1"/>
    <col min="15" max="15" width="15.734375" style="146" bestFit="1" customWidth="1"/>
    <col min="16" max="16" width="10.5234375" bestFit="1" customWidth="1"/>
    <col min="17" max="17" width="13.26171875" bestFit="1" customWidth="1"/>
    <col min="18" max="18" width="10.5234375" bestFit="1" customWidth="1"/>
  </cols>
  <sheetData>
    <row r="1" spans="1:18" x14ac:dyDescent="0.55000000000000004">
      <c r="A1" s="1" t="s">
        <v>0</v>
      </c>
    </row>
    <row r="2" spans="1:18" x14ac:dyDescent="0.55000000000000004">
      <c r="A2" s="2" t="s">
        <v>1</v>
      </c>
    </row>
    <row r="3" spans="1:18" ht="28.8" x14ac:dyDescent="0.55000000000000004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93</v>
      </c>
      <c r="N3" s="42" t="s">
        <v>205</v>
      </c>
      <c r="O3" s="144"/>
    </row>
    <row r="4" spans="1:18" ht="43.2" x14ac:dyDescent="0.55000000000000004">
      <c r="A4" s="252" t="s">
        <v>14</v>
      </c>
      <c r="B4" s="7" t="s">
        <v>15</v>
      </c>
      <c r="C4" s="7" t="s">
        <v>16</v>
      </c>
      <c r="D4" s="252" t="s">
        <v>17</v>
      </c>
      <c r="E4" s="252" t="s">
        <v>18</v>
      </c>
      <c r="F4" s="7" t="s">
        <v>19</v>
      </c>
      <c r="G4" s="8">
        <v>3926</v>
      </c>
      <c r="H4" s="8">
        <v>3926</v>
      </c>
      <c r="I4" s="9"/>
      <c r="J4" s="9"/>
      <c r="K4" s="9"/>
      <c r="L4" s="8">
        <v>3926</v>
      </c>
      <c r="M4" s="8">
        <v>3926</v>
      </c>
      <c r="N4" s="42"/>
      <c r="O4" s="151" t="s">
        <v>199</v>
      </c>
    </row>
    <row r="5" spans="1:18" ht="43.2" x14ac:dyDescent="0.55000000000000004">
      <c r="A5" s="252"/>
      <c r="B5" s="7" t="s">
        <v>15</v>
      </c>
      <c r="C5" s="7" t="s">
        <v>16</v>
      </c>
      <c r="D5" s="252"/>
      <c r="E5" s="252"/>
      <c r="F5" s="7" t="s">
        <v>20</v>
      </c>
      <c r="G5" s="8">
        <v>80061</v>
      </c>
      <c r="H5" s="8">
        <v>80061</v>
      </c>
      <c r="I5" s="9"/>
      <c r="J5" s="9"/>
      <c r="K5" s="9"/>
      <c r="L5" s="8">
        <v>80061</v>
      </c>
      <c r="M5" s="8">
        <v>80061</v>
      </c>
      <c r="N5" s="42"/>
      <c r="O5" s="151" t="s">
        <v>199</v>
      </c>
    </row>
    <row r="6" spans="1:18" ht="43.2" x14ac:dyDescent="0.55000000000000004">
      <c r="A6" s="252"/>
      <c r="B6" s="7" t="s">
        <v>15</v>
      </c>
      <c r="C6" s="7" t="s">
        <v>16</v>
      </c>
      <c r="D6" s="252" t="s">
        <v>21</v>
      </c>
      <c r="E6" s="252" t="s">
        <v>22</v>
      </c>
      <c r="F6" s="158" t="s">
        <v>23</v>
      </c>
      <c r="G6" s="159">
        <v>246112</v>
      </c>
      <c r="H6" s="159">
        <v>246112</v>
      </c>
      <c r="I6" s="159">
        <v>192042</v>
      </c>
      <c r="J6" s="160"/>
      <c r="K6" s="160"/>
      <c r="L6" s="159">
        <v>54070</v>
      </c>
      <c r="M6" s="159">
        <v>54070</v>
      </c>
      <c r="N6" s="161"/>
      <c r="O6" s="151" t="s">
        <v>200</v>
      </c>
    </row>
    <row r="7" spans="1:18" ht="43.2" x14ac:dyDescent="0.55000000000000004">
      <c r="A7" s="252"/>
      <c r="B7" s="7" t="s">
        <v>15</v>
      </c>
      <c r="C7" s="7" t="s">
        <v>16</v>
      </c>
      <c r="D7" s="252"/>
      <c r="E7" s="252"/>
      <c r="F7" s="158" t="s">
        <v>24</v>
      </c>
      <c r="G7" s="159">
        <v>512891</v>
      </c>
      <c r="H7" s="159">
        <v>512891</v>
      </c>
      <c r="I7" s="159">
        <v>399402</v>
      </c>
      <c r="J7" s="160"/>
      <c r="K7" s="160"/>
      <c r="L7" s="159">
        <v>113489</v>
      </c>
      <c r="M7" s="159">
        <v>113489</v>
      </c>
      <c r="N7" s="161"/>
      <c r="O7" s="151" t="s">
        <v>200</v>
      </c>
    </row>
    <row r="8" spans="1:18" ht="43.2" x14ac:dyDescent="0.55000000000000004">
      <c r="A8" s="252"/>
      <c r="B8" s="7" t="s">
        <v>15</v>
      </c>
      <c r="C8" s="7" t="s">
        <v>16</v>
      </c>
      <c r="D8" s="252"/>
      <c r="E8" s="252"/>
      <c r="F8" s="7" t="s">
        <v>25</v>
      </c>
      <c r="G8" s="8">
        <v>464463</v>
      </c>
      <c r="H8" s="8">
        <v>464463</v>
      </c>
      <c r="I8" s="8">
        <v>464458.93</v>
      </c>
      <c r="J8" s="9"/>
      <c r="K8" s="9"/>
      <c r="L8" s="8">
        <v>4.0700000000069796</v>
      </c>
      <c r="M8" s="8">
        <v>4.0700000000069796</v>
      </c>
      <c r="N8" s="42"/>
      <c r="O8" s="151" t="s">
        <v>200</v>
      </c>
    </row>
    <row r="9" spans="1:18" ht="43.2" x14ac:dyDescent="0.55000000000000004">
      <c r="A9" s="252"/>
      <c r="B9" s="7" t="s">
        <v>15</v>
      </c>
      <c r="C9" s="7" t="s">
        <v>16</v>
      </c>
      <c r="D9" s="252"/>
      <c r="E9" s="252"/>
      <c r="F9" s="7" t="s">
        <v>26</v>
      </c>
      <c r="G9" s="8">
        <v>188754</v>
      </c>
      <c r="H9" s="8">
        <v>188754</v>
      </c>
      <c r="I9" s="8">
        <v>-10968</v>
      </c>
      <c r="J9" s="9"/>
      <c r="K9" s="9"/>
      <c r="L9" s="8">
        <v>199722</v>
      </c>
      <c r="M9" s="8">
        <v>199722</v>
      </c>
      <c r="N9" s="42"/>
      <c r="O9" s="151" t="s">
        <v>200</v>
      </c>
    </row>
    <row r="10" spans="1:18" ht="43.2" x14ac:dyDescent="0.55000000000000004">
      <c r="A10" s="252"/>
      <c r="B10" s="7" t="s">
        <v>15</v>
      </c>
      <c r="C10" s="7" t="s">
        <v>16</v>
      </c>
      <c r="D10" s="252"/>
      <c r="E10" s="252"/>
      <c r="F10" s="7" t="s">
        <v>27</v>
      </c>
      <c r="G10" s="8">
        <v>104184</v>
      </c>
      <c r="H10" s="8">
        <v>104184</v>
      </c>
      <c r="I10" s="8">
        <v>65424</v>
      </c>
      <c r="J10" s="9"/>
      <c r="K10" s="9"/>
      <c r="L10" s="8">
        <v>38760</v>
      </c>
      <c r="M10" s="8">
        <v>38760</v>
      </c>
      <c r="N10" s="42"/>
      <c r="O10" s="151" t="s">
        <v>200</v>
      </c>
    </row>
    <row r="11" spans="1:18" ht="43.2" x14ac:dyDescent="0.55000000000000004">
      <c r="A11" s="252"/>
      <c r="B11" s="7" t="s">
        <v>15</v>
      </c>
      <c r="C11" s="7" t="s">
        <v>16</v>
      </c>
      <c r="D11" s="252" t="s">
        <v>28</v>
      </c>
      <c r="E11" s="252" t="s">
        <v>29</v>
      </c>
      <c r="F11" s="158" t="s">
        <v>30</v>
      </c>
      <c r="G11" s="159">
        <v>219093</v>
      </c>
      <c r="H11" s="159">
        <v>219093</v>
      </c>
      <c r="I11" s="159">
        <v>162941.34</v>
      </c>
      <c r="J11" s="160"/>
      <c r="K11" s="160"/>
      <c r="L11" s="159">
        <v>56151.66</v>
      </c>
      <c r="M11" s="159">
        <v>56151.66</v>
      </c>
      <c r="N11" s="161"/>
      <c r="O11" s="151" t="s">
        <v>200</v>
      </c>
    </row>
    <row r="12" spans="1:18" ht="43.2" x14ac:dyDescent="0.55000000000000004">
      <c r="A12" s="252"/>
      <c r="B12" s="7" t="s">
        <v>15</v>
      </c>
      <c r="C12" s="7" t="s">
        <v>16</v>
      </c>
      <c r="D12" s="252"/>
      <c r="E12" s="252"/>
      <c r="F12" s="158" t="s">
        <v>31</v>
      </c>
      <c r="G12" s="159">
        <v>353585</v>
      </c>
      <c r="H12" s="159">
        <v>353585</v>
      </c>
      <c r="I12" s="159">
        <v>277932.59000000003</v>
      </c>
      <c r="J12" s="160"/>
      <c r="K12" s="160"/>
      <c r="L12" s="159">
        <v>75652.41</v>
      </c>
      <c r="M12" s="159">
        <v>75652.41</v>
      </c>
      <c r="N12" s="161"/>
      <c r="O12" s="151" t="s">
        <v>200</v>
      </c>
    </row>
    <row r="13" spans="1:18" ht="43.2" x14ac:dyDescent="0.55000000000000004">
      <c r="A13" s="252"/>
      <c r="B13" s="7" t="s">
        <v>15</v>
      </c>
      <c r="C13" s="7" t="s">
        <v>16</v>
      </c>
      <c r="D13" s="252"/>
      <c r="E13" s="252"/>
      <c r="F13" s="7" t="s">
        <v>32</v>
      </c>
      <c r="G13" s="8">
        <v>92703</v>
      </c>
      <c r="H13" s="8">
        <v>92703</v>
      </c>
      <c r="I13" s="8">
        <v>92697.600000000006</v>
      </c>
      <c r="J13" s="9"/>
      <c r="K13" s="9"/>
      <c r="L13" s="8">
        <v>5.3999999999941801</v>
      </c>
      <c r="M13" s="8">
        <v>5.3999999999941801</v>
      </c>
      <c r="N13" s="42"/>
      <c r="O13" s="151" t="s">
        <v>200</v>
      </c>
      <c r="Q13" s="148"/>
      <c r="R13" s="148"/>
    </row>
    <row r="14" spans="1:18" ht="43.2" x14ac:dyDescent="0.55000000000000004">
      <c r="A14" s="252"/>
      <c r="B14" s="7" t="s">
        <v>15</v>
      </c>
      <c r="C14" s="7" t="s">
        <v>16</v>
      </c>
      <c r="D14" s="252"/>
      <c r="E14" s="252"/>
      <c r="F14" s="7" t="s">
        <v>33</v>
      </c>
      <c r="G14" s="8">
        <v>281241</v>
      </c>
      <c r="H14" s="8">
        <v>281241</v>
      </c>
      <c r="I14" s="8">
        <v>-27828.66</v>
      </c>
      <c r="J14" s="9"/>
      <c r="K14" s="9"/>
      <c r="L14" s="8">
        <v>309069.65999999997</v>
      </c>
      <c r="M14" s="8">
        <v>309069.65999999997</v>
      </c>
      <c r="N14" s="42"/>
      <c r="O14" s="145"/>
    </row>
    <row r="15" spans="1:18" ht="43.2" x14ac:dyDescent="0.55000000000000004">
      <c r="A15" s="252"/>
      <c r="B15" s="7" t="s">
        <v>15</v>
      </c>
      <c r="C15" s="7" t="s">
        <v>16</v>
      </c>
      <c r="D15" s="252"/>
      <c r="E15" s="252"/>
      <c r="F15" s="7" t="s">
        <v>34</v>
      </c>
      <c r="G15" s="8">
        <v>78005</v>
      </c>
      <c r="H15" s="8">
        <v>78005</v>
      </c>
      <c r="I15" s="8">
        <v>78000</v>
      </c>
      <c r="J15" s="9"/>
      <c r="K15" s="9"/>
      <c r="L15" s="8">
        <v>5</v>
      </c>
      <c r="M15" s="8">
        <v>5</v>
      </c>
      <c r="N15" s="42"/>
      <c r="O15" s="151" t="s">
        <v>200</v>
      </c>
    </row>
    <row r="16" spans="1:18" ht="57.6" x14ac:dyDescent="0.55000000000000004">
      <c r="A16" s="252"/>
      <c r="B16" s="7" t="s">
        <v>15</v>
      </c>
      <c r="C16" s="7" t="s">
        <v>16</v>
      </c>
      <c r="D16" s="7" t="s">
        <v>35</v>
      </c>
      <c r="E16" s="7" t="s">
        <v>36</v>
      </c>
      <c r="F16" s="7" t="s">
        <v>37</v>
      </c>
      <c r="G16" s="8">
        <v>24010</v>
      </c>
      <c r="H16" s="8">
        <v>24010</v>
      </c>
      <c r="I16" s="8">
        <v>24000</v>
      </c>
      <c r="J16" s="9"/>
      <c r="K16" s="9"/>
      <c r="L16" s="8">
        <v>10</v>
      </c>
      <c r="M16" s="8">
        <v>10</v>
      </c>
      <c r="N16" s="42"/>
      <c r="O16" s="145"/>
    </row>
    <row r="17" spans="1:15" ht="43.2" x14ac:dyDescent="0.55000000000000004">
      <c r="A17" s="252"/>
      <c r="B17" s="7" t="s">
        <v>15</v>
      </c>
      <c r="C17" s="7" t="s">
        <v>16</v>
      </c>
      <c r="D17" s="252" t="s">
        <v>38</v>
      </c>
      <c r="E17" s="252" t="s">
        <v>39</v>
      </c>
      <c r="F17" s="7" t="s">
        <v>40</v>
      </c>
      <c r="G17" s="8">
        <v>5193</v>
      </c>
      <c r="H17" s="8">
        <v>5193</v>
      </c>
      <c r="I17" s="8">
        <v>-17878.62</v>
      </c>
      <c r="J17" s="9"/>
      <c r="K17" s="9"/>
      <c r="L17" s="8">
        <v>23071.62</v>
      </c>
      <c r="M17" s="8">
        <v>23071.62</v>
      </c>
      <c r="N17" s="42"/>
      <c r="O17" s="145"/>
    </row>
    <row r="18" spans="1:15" s="146" customFormat="1" ht="43.2" x14ac:dyDescent="0.55000000000000004">
      <c r="A18" s="252"/>
      <c r="B18" s="141" t="s">
        <v>15</v>
      </c>
      <c r="C18" s="141" t="s">
        <v>16</v>
      </c>
      <c r="D18" s="252"/>
      <c r="E18" s="252"/>
      <c r="F18" s="141" t="s">
        <v>41</v>
      </c>
      <c r="G18" s="142">
        <v>12888</v>
      </c>
      <c r="H18" s="142">
        <v>12888</v>
      </c>
      <c r="I18" s="142">
        <v>11252.06</v>
      </c>
      <c r="J18" s="143"/>
      <c r="K18" s="143"/>
      <c r="L18" s="142">
        <v>1635.94</v>
      </c>
      <c r="M18" s="142">
        <v>1635.94</v>
      </c>
      <c r="N18" s="42"/>
      <c r="O18" s="145"/>
    </row>
    <row r="19" spans="1:15" ht="43.2" x14ac:dyDescent="0.55000000000000004">
      <c r="A19" s="252"/>
      <c r="B19" s="7" t="s">
        <v>15</v>
      </c>
      <c r="C19" s="7" t="s">
        <v>16</v>
      </c>
      <c r="D19" s="252"/>
      <c r="E19" s="252"/>
      <c r="F19" s="7" t="s">
        <v>42</v>
      </c>
      <c r="G19" s="9"/>
      <c r="H19" s="9"/>
      <c r="I19" s="8">
        <v>-23064</v>
      </c>
      <c r="J19" s="9"/>
      <c r="K19" s="9"/>
      <c r="L19" s="8">
        <v>23064</v>
      </c>
      <c r="M19" s="8">
        <v>23064</v>
      </c>
      <c r="N19" s="42"/>
      <c r="O19" s="145"/>
    </row>
    <row r="20" spans="1:15" ht="43.2" x14ac:dyDescent="0.55000000000000004">
      <c r="A20" s="252"/>
      <c r="B20" s="7" t="s">
        <v>15</v>
      </c>
      <c r="C20" s="7" t="s">
        <v>16</v>
      </c>
      <c r="D20" s="252"/>
      <c r="E20" s="252"/>
      <c r="F20" s="7" t="s">
        <v>43</v>
      </c>
      <c r="G20" s="8">
        <v>10381</v>
      </c>
      <c r="H20" s="8">
        <v>10381</v>
      </c>
      <c r="I20" s="8">
        <v>10370.74</v>
      </c>
      <c r="J20" s="9"/>
      <c r="K20" s="9"/>
      <c r="L20" s="8">
        <v>10.260000000000201</v>
      </c>
      <c r="M20" s="8">
        <v>10.260000000000201</v>
      </c>
      <c r="N20" s="42"/>
      <c r="O20" s="145"/>
    </row>
    <row r="21" spans="1:15" ht="43.2" x14ac:dyDescent="0.55000000000000004">
      <c r="A21" s="252"/>
      <c r="B21" s="7" t="s">
        <v>15</v>
      </c>
      <c r="C21" s="7" t="s">
        <v>16</v>
      </c>
      <c r="D21" s="7" t="s">
        <v>44</v>
      </c>
      <c r="E21" s="7" t="s">
        <v>45</v>
      </c>
      <c r="F21" s="7" t="s">
        <v>46</v>
      </c>
      <c r="G21" s="8">
        <v>10</v>
      </c>
      <c r="H21" s="8">
        <v>10</v>
      </c>
      <c r="I21" s="8">
        <v>0.04</v>
      </c>
      <c r="J21" s="9"/>
      <c r="K21" s="9"/>
      <c r="L21" s="8">
        <v>9.9600000000000009</v>
      </c>
      <c r="M21" s="8">
        <v>9.9600000000000009</v>
      </c>
      <c r="N21" s="42"/>
      <c r="O21" s="145"/>
    </row>
    <row r="22" spans="1:15" ht="43.2" x14ac:dyDescent="0.55000000000000004">
      <c r="A22" s="252"/>
      <c r="B22" s="7" t="s">
        <v>15</v>
      </c>
      <c r="C22" s="7" t="s">
        <v>16</v>
      </c>
      <c r="D22" s="252" t="s">
        <v>47</v>
      </c>
      <c r="E22" s="252" t="s">
        <v>48</v>
      </c>
      <c r="F22" s="7" t="s">
        <v>49</v>
      </c>
      <c r="G22" s="9"/>
      <c r="H22" s="9"/>
      <c r="I22" s="8">
        <v>-4453.9799999999996</v>
      </c>
      <c r="J22" s="9"/>
      <c r="K22" s="9"/>
      <c r="L22" s="8">
        <v>4453.9799999999996</v>
      </c>
      <c r="M22" s="8">
        <v>4453.9799999999996</v>
      </c>
      <c r="N22" s="42"/>
      <c r="O22" s="145"/>
    </row>
    <row r="23" spans="1:15" ht="43.2" x14ac:dyDescent="0.55000000000000004">
      <c r="A23" s="252"/>
      <c r="B23" s="7" t="s">
        <v>15</v>
      </c>
      <c r="C23" s="7" t="s">
        <v>16</v>
      </c>
      <c r="D23" s="252"/>
      <c r="E23" s="252"/>
      <c r="F23" s="7" t="s">
        <v>50</v>
      </c>
      <c r="G23" s="9"/>
      <c r="H23" s="9"/>
      <c r="I23" s="8">
        <v>-5284.6</v>
      </c>
      <c r="J23" s="9"/>
      <c r="K23" s="9"/>
      <c r="L23" s="8">
        <v>5284.6</v>
      </c>
      <c r="M23" s="8">
        <v>5284.6</v>
      </c>
      <c r="N23" s="42"/>
      <c r="O23" s="145"/>
    </row>
    <row r="24" spans="1:15" ht="43.2" x14ac:dyDescent="0.55000000000000004">
      <c r="A24" s="252"/>
      <c r="B24" s="7" t="s">
        <v>15</v>
      </c>
      <c r="C24" s="7" t="s">
        <v>16</v>
      </c>
      <c r="D24" s="252"/>
      <c r="E24" s="252"/>
      <c r="F24" s="7" t="s">
        <v>51</v>
      </c>
      <c r="G24" s="8">
        <v>9280</v>
      </c>
      <c r="H24" s="8">
        <v>9280</v>
      </c>
      <c r="I24" s="8">
        <v>9242.85</v>
      </c>
      <c r="J24" s="9"/>
      <c r="K24" s="9"/>
      <c r="L24" s="8">
        <v>37.150000000001498</v>
      </c>
      <c r="M24" s="8">
        <v>37.150000000001498</v>
      </c>
      <c r="N24" s="42"/>
      <c r="O24" s="145"/>
    </row>
    <row r="25" spans="1:15" ht="43.2" x14ac:dyDescent="0.55000000000000004">
      <c r="A25" s="252"/>
      <c r="B25" s="7" t="s">
        <v>15</v>
      </c>
      <c r="C25" s="7" t="s">
        <v>16</v>
      </c>
      <c r="D25" s="252"/>
      <c r="E25" s="252"/>
      <c r="F25" s="7" t="s">
        <v>52</v>
      </c>
      <c r="G25" s="8">
        <v>17820</v>
      </c>
      <c r="H25" s="8">
        <v>17820</v>
      </c>
      <c r="I25" s="8">
        <v>-6814.04</v>
      </c>
      <c r="J25" s="9"/>
      <c r="K25" s="9"/>
      <c r="L25" s="8">
        <v>24634.04</v>
      </c>
      <c r="M25" s="8">
        <v>24634.04</v>
      </c>
      <c r="N25" s="42"/>
      <c r="O25" s="145"/>
    </row>
    <row r="26" spans="1:15" ht="43.2" x14ac:dyDescent="0.55000000000000004">
      <c r="A26" s="252"/>
      <c r="B26" s="7" t="s">
        <v>15</v>
      </c>
      <c r="C26" s="7" t="s">
        <v>16</v>
      </c>
      <c r="D26" s="252" t="s">
        <v>53</v>
      </c>
      <c r="E26" s="252" t="s">
        <v>54</v>
      </c>
      <c r="F26" s="7" t="s">
        <v>55</v>
      </c>
      <c r="G26" s="8">
        <v>38050</v>
      </c>
      <c r="H26" s="8">
        <v>38050</v>
      </c>
      <c r="I26" s="8">
        <v>26702.71</v>
      </c>
      <c r="J26" s="9"/>
      <c r="K26" s="9"/>
      <c r="L26" s="8">
        <v>11347.29</v>
      </c>
      <c r="M26" s="8">
        <v>11347.29</v>
      </c>
      <c r="N26" s="42"/>
      <c r="O26" s="145"/>
    </row>
    <row r="27" spans="1:15" ht="43.2" x14ac:dyDescent="0.55000000000000004">
      <c r="A27" s="252"/>
      <c r="B27" s="7" t="s">
        <v>15</v>
      </c>
      <c r="C27" s="7" t="s">
        <v>16</v>
      </c>
      <c r="D27" s="252"/>
      <c r="E27" s="252"/>
      <c r="F27" s="7" t="s">
        <v>56</v>
      </c>
      <c r="G27" s="8">
        <v>16382</v>
      </c>
      <c r="H27" s="8">
        <v>16382</v>
      </c>
      <c r="I27" s="8">
        <v>15430.96</v>
      </c>
      <c r="J27" s="9"/>
      <c r="K27" s="9"/>
      <c r="L27" s="8">
        <v>951.04000000000099</v>
      </c>
      <c r="M27" s="8">
        <v>951.04000000000099</v>
      </c>
      <c r="N27" s="42"/>
      <c r="O27" s="145"/>
    </row>
    <row r="28" spans="1:15" ht="43.2" x14ac:dyDescent="0.55000000000000004">
      <c r="A28" s="252"/>
      <c r="B28" s="7" t="s">
        <v>15</v>
      </c>
      <c r="C28" s="7" t="s">
        <v>16</v>
      </c>
      <c r="D28" s="252"/>
      <c r="E28" s="252"/>
      <c r="F28" s="7" t="s">
        <v>57</v>
      </c>
      <c r="G28" s="8">
        <v>25270</v>
      </c>
      <c r="H28" s="8">
        <v>25270</v>
      </c>
      <c r="I28" s="8">
        <v>-11342.02</v>
      </c>
      <c r="J28" s="9"/>
      <c r="K28" s="9"/>
      <c r="L28" s="8">
        <v>36612.019999999997</v>
      </c>
      <c r="M28" s="8">
        <v>36612.019999999997</v>
      </c>
      <c r="N28" s="42"/>
      <c r="O28" s="145"/>
    </row>
    <row r="29" spans="1:15" ht="43.2" x14ac:dyDescent="0.55000000000000004">
      <c r="A29" s="252"/>
      <c r="B29" s="7" t="s">
        <v>15</v>
      </c>
      <c r="C29" s="7" t="s">
        <v>16</v>
      </c>
      <c r="D29" s="252"/>
      <c r="E29" s="252"/>
      <c r="F29" s="7" t="s">
        <v>58</v>
      </c>
      <c r="G29" s="8">
        <v>15625</v>
      </c>
      <c r="H29" s="8">
        <v>15625</v>
      </c>
      <c r="I29" s="8">
        <v>15621.92</v>
      </c>
      <c r="J29" s="9"/>
      <c r="K29" s="9"/>
      <c r="L29" s="8">
        <v>3.0799999999999299</v>
      </c>
      <c r="M29" s="8">
        <v>3.0799999999999299</v>
      </c>
      <c r="N29" s="42"/>
      <c r="O29" s="145"/>
    </row>
    <row r="30" spans="1:15" ht="43.2" x14ac:dyDescent="0.55000000000000004">
      <c r="A30" s="252"/>
      <c r="B30" s="7" t="s">
        <v>15</v>
      </c>
      <c r="C30" s="7" t="s">
        <v>16</v>
      </c>
      <c r="D30" s="252" t="s">
        <v>59</v>
      </c>
      <c r="E30" s="252" t="s">
        <v>60</v>
      </c>
      <c r="F30" s="7" t="s">
        <v>61</v>
      </c>
      <c r="G30" s="9"/>
      <c r="H30" s="9"/>
      <c r="I30" s="8">
        <v>-3330.12</v>
      </c>
      <c r="J30" s="9"/>
      <c r="K30" s="9"/>
      <c r="L30" s="8">
        <v>3330.12</v>
      </c>
      <c r="M30" s="8">
        <v>3330.12</v>
      </c>
      <c r="N30" s="42"/>
      <c r="O30" s="145"/>
    </row>
    <row r="31" spans="1:15" ht="43.2" x14ac:dyDescent="0.55000000000000004">
      <c r="A31" s="252"/>
      <c r="B31" s="7" t="s">
        <v>15</v>
      </c>
      <c r="C31" s="7" t="s">
        <v>16</v>
      </c>
      <c r="D31" s="252"/>
      <c r="E31" s="252"/>
      <c r="F31" s="7" t="s">
        <v>62</v>
      </c>
      <c r="G31" s="8">
        <v>46805</v>
      </c>
      <c r="H31" s="8">
        <v>46805</v>
      </c>
      <c r="I31" s="8">
        <v>46802.69</v>
      </c>
      <c r="J31" s="9"/>
      <c r="K31" s="9"/>
      <c r="L31" s="8">
        <v>2.3100000000049499</v>
      </c>
      <c r="M31" s="8">
        <v>2.3100000000049499</v>
      </c>
      <c r="N31" s="42"/>
      <c r="O31" s="145"/>
    </row>
    <row r="32" spans="1:15" ht="43.2" x14ac:dyDescent="0.55000000000000004">
      <c r="A32" s="252"/>
      <c r="B32" s="7" t="s">
        <v>15</v>
      </c>
      <c r="C32" s="7" t="s">
        <v>16</v>
      </c>
      <c r="D32" s="252"/>
      <c r="E32" s="252"/>
      <c r="F32" s="7" t="s">
        <v>63</v>
      </c>
      <c r="G32" s="8">
        <v>13325</v>
      </c>
      <c r="H32" s="8">
        <v>13325</v>
      </c>
      <c r="I32" s="8">
        <v>-3330.12</v>
      </c>
      <c r="J32" s="9"/>
      <c r="K32" s="9"/>
      <c r="L32" s="8">
        <v>16655.12</v>
      </c>
      <c r="M32" s="8">
        <v>16655.12</v>
      </c>
      <c r="N32" s="42"/>
      <c r="O32" s="145"/>
    </row>
    <row r="33" spans="1:16" ht="28.8" x14ac:dyDescent="0.55000000000000004">
      <c r="A33" s="252"/>
      <c r="B33" s="10" t="s">
        <v>64</v>
      </c>
      <c r="C33" s="6"/>
      <c r="D33" s="6"/>
      <c r="E33" s="6"/>
      <c r="F33" s="6"/>
      <c r="G33" s="11">
        <v>2860057</v>
      </c>
      <c r="H33" s="11">
        <v>2860057</v>
      </c>
      <c r="I33" s="11">
        <v>1778028.27</v>
      </c>
      <c r="J33" s="12"/>
      <c r="K33" s="12"/>
      <c r="L33" s="11">
        <v>1082028.73</v>
      </c>
      <c r="M33" s="11">
        <v>1082028.73</v>
      </c>
      <c r="N33" s="42"/>
      <c r="O33" s="147"/>
      <c r="P33" s="148"/>
    </row>
    <row r="34" spans="1:16" x14ac:dyDescent="0.55000000000000004">
      <c r="A34" s="13" t="s">
        <v>65</v>
      </c>
      <c r="B34" s="14"/>
      <c r="C34" s="14"/>
      <c r="D34" s="14"/>
      <c r="E34" s="14"/>
      <c r="F34" s="14"/>
      <c r="G34" s="15">
        <v>2860057</v>
      </c>
      <c r="H34" s="15">
        <v>2860057</v>
      </c>
      <c r="I34" s="15">
        <v>1778028.27</v>
      </c>
      <c r="J34" s="16"/>
      <c r="K34" s="16"/>
      <c r="L34" s="15">
        <v>1082028.73</v>
      </c>
      <c r="M34" s="15">
        <v>1082028.73</v>
      </c>
      <c r="N34" s="150"/>
    </row>
    <row r="35" spans="1:16" x14ac:dyDescent="0.55000000000000004">
      <c r="A35" s="2" t="s">
        <v>1</v>
      </c>
    </row>
  </sheetData>
  <mergeCells count="15">
    <mergeCell ref="A4:A33"/>
    <mergeCell ref="D4:D5"/>
    <mergeCell ref="E4:E5"/>
    <mergeCell ref="D6:D10"/>
    <mergeCell ref="E6:E10"/>
    <mergeCell ref="D11:D15"/>
    <mergeCell ref="E11:E15"/>
    <mergeCell ref="D17:D20"/>
    <mergeCell ref="E17:E20"/>
    <mergeCell ref="D22:D25"/>
    <mergeCell ref="E22:E25"/>
    <mergeCell ref="D26:D29"/>
    <mergeCell ref="E26:E29"/>
    <mergeCell ref="D30:D32"/>
    <mergeCell ref="E30:E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P18"/>
  <sheetViews>
    <sheetView showGridLines="0" topLeftCell="A10" zoomScale="70" zoomScaleNormal="70" workbookViewId="0">
      <selection activeCell="N16" sqref="N16"/>
    </sheetView>
  </sheetViews>
  <sheetFormatPr defaultRowHeight="14.4" x14ac:dyDescent="0.55000000000000004"/>
  <cols>
    <col min="1" max="1" width="24" customWidth="1"/>
    <col min="2" max="2" width="13.5234375" customWidth="1"/>
    <col min="3" max="3" width="11.5234375" customWidth="1"/>
    <col min="4" max="4" width="6.7890625" customWidth="1"/>
    <col min="5" max="5" width="17" customWidth="1"/>
    <col min="6" max="6" width="33.5234375" customWidth="1"/>
    <col min="7" max="8" width="10.734375" bestFit="1" customWidth="1"/>
    <col min="9" max="9" width="11.15625" bestFit="1" customWidth="1"/>
    <col min="10" max="10" width="9.5234375" bestFit="1" customWidth="1"/>
    <col min="11" max="11" width="11" bestFit="1" customWidth="1"/>
    <col min="12" max="12" width="17" customWidth="1"/>
    <col min="13" max="13" width="14.47265625" style="4" bestFit="1" customWidth="1"/>
    <col min="14" max="14" width="14.47265625" style="4" customWidth="1"/>
    <col min="15" max="15" width="18.15625" customWidth="1"/>
  </cols>
  <sheetData>
    <row r="1" spans="1:16" x14ac:dyDescent="0.55000000000000004">
      <c r="A1" s="1" t="s">
        <v>66</v>
      </c>
    </row>
    <row r="2" spans="1:16" x14ac:dyDescent="0.55000000000000004">
      <c r="A2" s="2" t="s">
        <v>1</v>
      </c>
    </row>
    <row r="3" spans="1:16" ht="28.8" x14ac:dyDescent="0.55000000000000004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17" t="s">
        <v>93</v>
      </c>
      <c r="N3" s="17" t="s">
        <v>205</v>
      </c>
      <c r="O3" s="6" t="s">
        <v>92</v>
      </c>
    </row>
    <row r="4" spans="1:16" ht="43.2" x14ac:dyDescent="0.55000000000000004">
      <c r="A4" s="252" t="s">
        <v>14</v>
      </c>
      <c r="B4" s="7" t="s">
        <v>15</v>
      </c>
      <c r="C4" s="7" t="s">
        <v>16</v>
      </c>
      <c r="D4" s="7" t="s">
        <v>67</v>
      </c>
      <c r="E4" s="7" t="s">
        <v>68</v>
      </c>
      <c r="F4" s="7" t="s">
        <v>69</v>
      </c>
      <c r="G4" s="8">
        <v>29350</v>
      </c>
      <c r="H4" s="8">
        <v>29350</v>
      </c>
      <c r="I4" s="8">
        <v>20200.2</v>
      </c>
      <c r="J4" s="9"/>
      <c r="K4" s="9"/>
      <c r="L4" s="8">
        <v>9149.7999999999993</v>
      </c>
      <c r="M4" s="5"/>
      <c r="N4" s="5"/>
      <c r="O4" s="40">
        <f>L4</f>
        <v>9149.7999999999993</v>
      </c>
    </row>
    <row r="5" spans="1:16" ht="72" x14ac:dyDescent="0.55000000000000004">
      <c r="A5" s="252"/>
      <c r="B5" s="7" t="s">
        <v>15</v>
      </c>
      <c r="C5" s="7" t="s">
        <v>16</v>
      </c>
      <c r="D5" s="7" t="s">
        <v>70</v>
      </c>
      <c r="E5" s="7" t="s">
        <v>71</v>
      </c>
      <c r="F5" s="7" t="s">
        <v>72</v>
      </c>
      <c r="G5" s="8">
        <v>500</v>
      </c>
      <c r="H5" s="8">
        <v>500</v>
      </c>
      <c r="I5" s="9"/>
      <c r="J5" s="9"/>
      <c r="K5" s="9"/>
      <c r="L5" s="8">
        <v>500</v>
      </c>
      <c r="M5" s="5">
        <v>50000</v>
      </c>
      <c r="N5" s="5">
        <v>10000</v>
      </c>
      <c r="O5" s="40">
        <f>L5</f>
        <v>500</v>
      </c>
    </row>
    <row r="6" spans="1:16" ht="43.2" x14ac:dyDescent="0.55000000000000004">
      <c r="A6" s="252"/>
      <c r="B6" s="7" t="s">
        <v>15</v>
      </c>
      <c r="C6" s="7" t="s">
        <v>16</v>
      </c>
      <c r="D6" s="7" t="s">
        <v>73</v>
      </c>
      <c r="E6" s="7" t="s">
        <v>74</v>
      </c>
      <c r="F6" s="7" t="s">
        <v>75</v>
      </c>
      <c r="G6" s="8">
        <v>1000</v>
      </c>
      <c r="H6" s="8">
        <v>1000</v>
      </c>
      <c r="I6" s="8">
        <v>266.10000000000002</v>
      </c>
      <c r="J6" s="9"/>
      <c r="K6" s="9"/>
      <c r="L6" s="8">
        <v>733.9</v>
      </c>
      <c r="M6" s="5"/>
      <c r="N6" s="5"/>
      <c r="O6" s="40">
        <f t="shared" ref="O6:O11" si="0">L6</f>
        <v>733.9</v>
      </c>
    </row>
    <row r="7" spans="1:16" ht="43.2" x14ac:dyDescent="0.55000000000000004">
      <c r="A7" s="252"/>
      <c r="B7" s="7" t="s">
        <v>15</v>
      </c>
      <c r="C7" s="7" t="s">
        <v>16</v>
      </c>
      <c r="D7" s="7" t="s">
        <v>76</v>
      </c>
      <c r="E7" s="7" t="s">
        <v>77</v>
      </c>
      <c r="F7" s="7" t="s">
        <v>78</v>
      </c>
      <c r="G7" s="8">
        <v>1000</v>
      </c>
      <c r="H7" s="8">
        <v>1000</v>
      </c>
      <c r="I7" s="8">
        <v>162.94999999999999</v>
      </c>
      <c r="J7" s="9"/>
      <c r="K7" s="9"/>
      <c r="L7" s="8">
        <v>837.05</v>
      </c>
      <c r="M7" s="5"/>
      <c r="N7" s="5"/>
      <c r="O7" s="40">
        <f t="shared" si="0"/>
        <v>837.05</v>
      </c>
    </row>
    <row r="8" spans="1:16" ht="43.2" x14ac:dyDescent="0.55000000000000004">
      <c r="A8" s="252"/>
      <c r="B8" s="7" t="s">
        <v>15</v>
      </c>
      <c r="C8" s="7" t="s">
        <v>16</v>
      </c>
      <c r="D8" s="7" t="s">
        <v>79</v>
      </c>
      <c r="E8" s="7" t="s">
        <v>80</v>
      </c>
      <c r="F8" s="7" t="s">
        <v>81</v>
      </c>
      <c r="G8" s="8">
        <v>550</v>
      </c>
      <c r="H8" s="8">
        <v>550</v>
      </c>
      <c r="I8" s="9"/>
      <c r="J8" s="9"/>
      <c r="K8" s="9"/>
      <c r="L8" s="8">
        <v>550</v>
      </c>
      <c r="M8" s="5"/>
      <c r="N8" s="5"/>
      <c r="O8" s="40">
        <f t="shared" si="0"/>
        <v>550</v>
      </c>
    </row>
    <row r="9" spans="1:16" ht="43.2" x14ac:dyDescent="0.55000000000000004">
      <c r="A9" s="252"/>
      <c r="B9" s="7" t="s">
        <v>15</v>
      </c>
      <c r="C9" s="7" t="s">
        <v>16</v>
      </c>
      <c r="D9" s="7" t="s">
        <v>82</v>
      </c>
      <c r="E9" s="7" t="s">
        <v>83</v>
      </c>
      <c r="F9" s="7" t="s">
        <v>84</v>
      </c>
      <c r="G9" s="8">
        <v>110000</v>
      </c>
      <c r="H9" s="8">
        <v>110000</v>
      </c>
      <c r="I9" s="8">
        <v>108294.68</v>
      </c>
      <c r="J9" s="9"/>
      <c r="K9" s="9"/>
      <c r="L9" s="8">
        <v>1705.3199999999899</v>
      </c>
      <c r="M9" s="5">
        <v>350000</v>
      </c>
      <c r="N9" s="38">
        <v>350000</v>
      </c>
      <c r="O9" s="40">
        <f t="shared" si="0"/>
        <v>1705.3199999999899</v>
      </c>
    </row>
    <row r="10" spans="1:16" ht="43.2" x14ac:dyDescent="0.55000000000000004">
      <c r="A10" s="252"/>
      <c r="B10" s="172" t="s">
        <v>15</v>
      </c>
      <c r="C10" s="172" t="s">
        <v>16</v>
      </c>
      <c r="D10" s="172"/>
      <c r="E10" s="172" t="s">
        <v>89</v>
      </c>
      <c r="F10" s="172" t="s">
        <v>235</v>
      </c>
      <c r="G10" s="8"/>
      <c r="H10" s="8"/>
      <c r="I10" s="8"/>
      <c r="J10" s="9"/>
      <c r="K10" s="9"/>
      <c r="L10" s="8"/>
      <c r="M10" s="5"/>
      <c r="N10" s="38">
        <v>150000</v>
      </c>
      <c r="O10" s="40"/>
      <c r="P10" t="s">
        <v>236</v>
      </c>
    </row>
    <row r="11" spans="1:16" ht="57.6" x14ac:dyDescent="0.55000000000000004">
      <c r="A11" s="252"/>
      <c r="B11" s="7" t="s">
        <v>15</v>
      </c>
      <c r="C11" s="7" t="s">
        <v>16</v>
      </c>
      <c r="D11" s="7" t="s">
        <v>85</v>
      </c>
      <c r="E11" s="7" t="s">
        <v>86</v>
      </c>
      <c r="F11" s="7" t="s">
        <v>87</v>
      </c>
      <c r="G11" s="8">
        <v>750</v>
      </c>
      <c r="H11" s="8">
        <v>750</v>
      </c>
      <c r="I11" s="9"/>
      <c r="J11" s="9"/>
      <c r="K11" s="9"/>
      <c r="L11" s="8">
        <v>750</v>
      </c>
      <c r="M11" s="5"/>
      <c r="N11" s="5"/>
      <c r="O11" s="40">
        <f t="shared" si="0"/>
        <v>750</v>
      </c>
    </row>
    <row r="12" spans="1:16" ht="43.2" x14ac:dyDescent="0.55000000000000004">
      <c r="A12" s="252"/>
      <c r="B12" s="7" t="s">
        <v>15</v>
      </c>
      <c r="C12" s="7" t="s">
        <v>16</v>
      </c>
      <c r="D12" s="7" t="s">
        <v>88</v>
      </c>
      <c r="E12" s="7" t="s">
        <v>89</v>
      </c>
      <c r="F12" s="7" t="s">
        <v>119</v>
      </c>
      <c r="G12" s="8">
        <v>116350</v>
      </c>
      <c r="H12" s="8">
        <v>116350</v>
      </c>
      <c r="I12" s="8">
        <v>13546.02</v>
      </c>
      <c r="J12" s="8">
        <v>83880</v>
      </c>
      <c r="K12" s="8">
        <v>18920</v>
      </c>
      <c r="L12" s="8">
        <v>3.9799999999959299</v>
      </c>
      <c r="M12" s="38">
        <v>200000</v>
      </c>
      <c r="N12" s="38">
        <v>40000</v>
      </c>
      <c r="O12" s="40">
        <f>M12+L12</f>
        <v>200003.97999999998</v>
      </c>
      <c r="P12" s="3" t="s">
        <v>122</v>
      </c>
    </row>
    <row r="13" spans="1:16" ht="43.2" x14ac:dyDescent="0.55000000000000004">
      <c r="A13" s="252"/>
      <c r="B13" s="7" t="s">
        <v>15</v>
      </c>
      <c r="C13" s="7" t="s">
        <v>16</v>
      </c>
      <c r="D13" s="7" t="s">
        <v>88</v>
      </c>
      <c r="E13" s="7" t="s">
        <v>89</v>
      </c>
      <c r="F13" s="7" t="s">
        <v>90</v>
      </c>
      <c r="G13" s="8">
        <v>102180</v>
      </c>
      <c r="H13" s="8">
        <v>102180</v>
      </c>
      <c r="I13" s="8">
        <v>230924.02</v>
      </c>
      <c r="J13" s="8">
        <v>-75110</v>
      </c>
      <c r="K13" s="8">
        <v>-53778.69</v>
      </c>
      <c r="L13" s="8">
        <v>144.67000000004199</v>
      </c>
      <c r="M13" s="5"/>
      <c r="N13" s="5"/>
      <c r="O13" s="40">
        <f>L13</f>
        <v>144.67000000004199</v>
      </c>
    </row>
    <row r="14" spans="1:16" ht="43.2" x14ac:dyDescent="0.55000000000000004">
      <c r="A14" s="252"/>
      <c r="B14" s="7" t="s">
        <v>15</v>
      </c>
      <c r="C14" s="7" t="s">
        <v>16</v>
      </c>
      <c r="D14" s="7" t="s">
        <v>88</v>
      </c>
      <c r="E14" s="7" t="s">
        <v>89</v>
      </c>
      <c r="F14" s="7" t="s">
        <v>91</v>
      </c>
      <c r="G14" s="8">
        <v>12390</v>
      </c>
      <c r="H14" s="8">
        <v>12390</v>
      </c>
      <c r="I14" s="8">
        <v>12341.21</v>
      </c>
      <c r="J14" s="9"/>
      <c r="K14" s="9"/>
      <c r="L14" s="8">
        <v>48.789999999999097</v>
      </c>
      <c r="M14" s="38">
        <v>150000</v>
      </c>
      <c r="N14" s="38">
        <v>50000</v>
      </c>
      <c r="O14" s="40">
        <f>M14+L14</f>
        <v>150048.79</v>
      </c>
      <c r="P14" s="3" t="s">
        <v>120</v>
      </c>
    </row>
    <row r="15" spans="1:16" ht="43.2" x14ac:dyDescent="0.55000000000000004">
      <c r="A15" s="252"/>
      <c r="B15" s="7" t="s">
        <v>15</v>
      </c>
      <c r="C15" s="7" t="s">
        <v>16</v>
      </c>
      <c r="D15" s="7" t="s">
        <v>88</v>
      </c>
      <c r="E15" s="7" t="s">
        <v>89</v>
      </c>
      <c r="F15" s="7" t="s">
        <v>118</v>
      </c>
      <c r="G15" s="8">
        <v>183445</v>
      </c>
      <c r="H15" s="8">
        <v>183445</v>
      </c>
      <c r="I15" s="8">
        <v>194187.88</v>
      </c>
      <c r="J15" s="8">
        <v>-15363.85</v>
      </c>
      <c r="K15" s="8">
        <v>-1.45519152283669E-11</v>
      </c>
      <c r="L15" s="8">
        <v>4620.97</v>
      </c>
      <c r="M15" s="38">
        <v>150000</v>
      </c>
      <c r="N15" s="38">
        <v>43000</v>
      </c>
      <c r="O15" s="40">
        <f>M15+L15</f>
        <v>154620.97</v>
      </c>
      <c r="P15" s="3" t="s">
        <v>121</v>
      </c>
    </row>
    <row r="16" spans="1:16" x14ac:dyDescent="0.55000000000000004">
      <c r="A16" s="252"/>
      <c r="B16" s="10" t="s">
        <v>64</v>
      </c>
      <c r="C16" s="6"/>
      <c r="D16" s="6"/>
      <c r="E16" s="6"/>
      <c r="F16" s="6"/>
      <c r="G16" s="11">
        <v>557515</v>
      </c>
      <c r="H16" s="11">
        <v>557515</v>
      </c>
      <c r="I16" s="11">
        <v>579923.06000000006</v>
      </c>
      <c r="J16" s="11">
        <v>-6593.8500000000104</v>
      </c>
      <c r="K16" s="11">
        <v>-34858.69</v>
      </c>
      <c r="L16" s="11">
        <v>19044.480000000101</v>
      </c>
      <c r="M16" s="42">
        <f>SUM(M4:M15)</f>
        <v>900000</v>
      </c>
      <c r="N16" s="42">
        <f>SUM(N5:N15)</f>
        <v>643000</v>
      </c>
      <c r="O16" s="40">
        <f>SUM(O4:O15)</f>
        <v>519044.48</v>
      </c>
      <c r="P16" s="41">
        <f>O16</f>
        <v>519044.48</v>
      </c>
    </row>
    <row r="17" spans="1:15" x14ac:dyDescent="0.55000000000000004">
      <c r="A17" s="10" t="s">
        <v>65</v>
      </c>
      <c r="B17" s="6"/>
      <c r="C17" s="6"/>
      <c r="D17" s="6"/>
      <c r="E17" s="6"/>
      <c r="F17" s="6"/>
      <c r="G17" s="11">
        <v>557515</v>
      </c>
      <c r="H17" s="11">
        <v>557515</v>
      </c>
      <c r="I17" s="11">
        <v>579923.06000000006</v>
      </c>
      <c r="J17" s="11">
        <v>-6593.8500000000104</v>
      </c>
      <c r="K17" s="11">
        <v>-34858.69</v>
      </c>
      <c r="L17" s="11">
        <v>19044.480000000101</v>
      </c>
      <c r="M17" s="5"/>
      <c r="N17" s="5"/>
      <c r="O17" s="3"/>
    </row>
    <row r="18" spans="1:15" x14ac:dyDescent="0.55000000000000004">
      <c r="A18" s="2" t="s">
        <v>1</v>
      </c>
    </row>
  </sheetData>
  <mergeCells count="1">
    <mergeCell ref="A4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2020 Budget Load</vt:lpstr>
      <vt:lpstr>Budget 2022</vt:lpstr>
      <vt:lpstr>2020 allocation done before</vt:lpstr>
      <vt:lpstr>personnel matrix details</vt:lpstr>
      <vt:lpstr>Personnel</vt:lpstr>
      <vt:lpstr>Opex</vt:lpstr>
      <vt:lpstr>'2020 Budget Load'!Print_Area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2021-01-06T07:28:53Z</dcterms:created>
  <dcterms:modified xsi:type="dcterms:W3CDTF">2023-04-10T09:03:18Z</dcterms:modified>
</cp:coreProperties>
</file>