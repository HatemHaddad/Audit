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755" windowHeight="11970" firstSheet="1" activeTab="1"/>
  </bookViews>
  <sheets>
    <sheet name="PO" sheetId="1" state="hidden" r:id="rId1"/>
    <sheet name="Summary" sheetId="2" r:id="rId2"/>
    <sheet name="Payroll Matrix Report - 2022-08" sheetId="3" state="hidden" r:id="rId3"/>
  </sheets>
  <calcPr calcId="162913"/>
</workbook>
</file>

<file path=xl/calcChain.xml><?xml version="1.0" encoding="utf-8"?>
<calcChain xmlns="http://schemas.openxmlformats.org/spreadsheetml/2006/main">
  <c r="T12" i="3" l="1"/>
  <c r="T14" i="3"/>
  <c r="T15" i="3"/>
  <c r="T17" i="3"/>
  <c r="T18" i="3"/>
  <c r="T19" i="3"/>
  <c r="F14" i="2"/>
  <c r="F12" i="2"/>
  <c r="Q7" i="1"/>
</calcChain>
</file>

<file path=xl/sharedStrings.xml><?xml version="1.0" encoding="utf-8"?>
<sst xmlns="http://schemas.openxmlformats.org/spreadsheetml/2006/main" count="136" uniqueCount="94">
  <si>
    <t>PO Summary Report - Standard PO</t>
  </si>
  <si>
    <t/>
  </si>
  <si>
    <t>Ledger Name</t>
  </si>
  <si>
    <t>Purchase Order Number</t>
  </si>
  <si>
    <t>Purchase Order Type</t>
  </si>
  <si>
    <t>Purchase Order Description</t>
  </si>
  <si>
    <t>Promised Date</t>
  </si>
  <si>
    <t>Authorization Status</t>
  </si>
  <si>
    <t>Vendor Name</t>
  </si>
  <si>
    <t>Account Code</t>
  </si>
  <si>
    <t>Closed Code</t>
  </si>
  <si>
    <t>Account Description</t>
  </si>
  <si>
    <t>Cost Center Code</t>
  </si>
  <si>
    <t>Cost Center Description</t>
  </si>
  <si>
    <t>Approved Date</t>
  </si>
  <si>
    <t>Gl Encumbered Date</t>
  </si>
  <si>
    <t>PO Obligation</t>
  </si>
  <si>
    <t>Functional Amount</t>
  </si>
  <si>
    <t>Open PO Obligation</t>
  </si>
  <si>
    <t>KUJ - Ledger</t>
  </si>
  <si>
    <t>8434200100</t>
  </si>
  <si>
    <t>STANDARD</t>
  </si>
  <si>
    <t>Quote No: QT/SC/211112.1</t>
  </si>
  <si>
    <t>APPROVED</t>
  </si>
  <si>
    <t>AVALON DATA SYSTEMS L.L.C.</t>
  </si>
  <si>
    <t>492316</t>
  </si>
  <si>
    <t>OPEN</t>
  </si>
  <si>
    <t>Laboratory equipment</t>
  </si>
  <si>
    <t>8436010</t>
  </si>
  <si>
    <t>KU - Joint Ventures-ARIC</t>
  </si>
  <si>
    <t>8434200102</t>
  </si>
  <si>
    <t>XCT_Phoenix nanotom m service agreement 2022-2023</t>
  </si>
  <si>
    <t>EURO MECHANICAL &amp; ELECTRICAL CONT. CO. L.L.C.</t>
  </si>
  <si>
    <t>435508</t>
  </si>
  <si>
    <t>Laboratory - Scientific</t>
  </si>
  <si>
    <t>8434200107</t>
  </si>
  <si>
    <t>ATI tool changer</t>
  </si>
  <si>
    <t>Grand Total</t>
  </si>
  <si>
    <t>Montly Salary AUG-DEC</t>
  </si>
  <si>
    <t>Aerospace Holding - AHC recharge -Aug to DEC 22</t>
  </si>
  <si>
    <t>medical insurance for the year</t>
  </si>
  <si>
    <t>Audit fee 2022</t>
  </si>
  <si>
    <t>Satish salary recharge Aug-Dec 2022 402000242</t>
  </si>
  <si>
    <t>Wesly salary recharge Aug-DEC 2022 401000435</t>
  </si>
  <si>
    <t xml:space="preserve">PO amount </t>
  </si>
  <si>
    <t>Sub Total</t>
  </si>
  <si>
    <t>AED Amount</t>
  </si>
  <si>
    <t xml:space="preserve">  </t>
  </si>
  <si>
    <t>Date</t>
  </si>
  <si>
    <t xml:space="preserve">Title </t>
  </si>
  <si>
    <t>Name</t>
  </si>
  <si>
    <t>Authorized By</t>
  </si>
  <si>
    <t>Reviewed By</t>
  </si>
  <si>
    <t xml:space="preserve">   </t>
  </si>
  <si>
    <t>HR</t>
  </si>
  <si>
    <t>Finance</t>
  </si>
  <si>
    <t>Total</t>
  </si>
  <si>
    <t>Jordan</t>
  </si>
  <si>
    <t>KU12</t>
  </si>
  <si>
    <t>ARIC</t>
  </si>
  <si>
    <t>Research Associate</t>
  </si>
  <si>
    <t>Mr.  Ahmad Adnan Rashid Al Jarah</t>
  </si>
  <si>
    <t>KU500559</t>
  </si>
  <si>
    <t>Temp Researcher External Fund</t>
  </si>
  <si>
    <t>Mr.  Laith Faisal Hussein Abuassi</t>
  </si>
  <si>
    <t>KU500539</t>
  </si>
  <si>
    <t>Palestine</t>
  </si>
  <si>
    <t>KU11</t>
  </si>
  <si>
    <t>Research Assistant</t>
  </si>
  <si>
    <t>Mr.  Mohammed M M Alkrunz</t>
  </si>
  <si>
    <t>KU500377</t>
  </si>
  <si>
    <t>Mr.  Abdulla Amer Hasan Ayyad</t>
  </si>
  <si>
    <t>KU500324</t>
  </si>
  <si>
    <t>India</t>
  </si>
  <si>
    <t>KU14</t>
  </si>
  <si>
    <t>Lab Engineer</t>
  </si>
  <si>
    <t>Mr.  Pradeep George</t>
  </si>
  <si>
    <t>KU500020</t>
  </si>
  <si>
    <t>Cost of Living Subsidy</t>
  </si>
  <si>
    <t>Basic Salary</t>
  </si>
  <si>
    <t>Employee Number</t>
  </si>
  <si>
    <t>Net Deduction</t>
  </si>
  <si>
    <t>Gross Salary</t>
  </si>
  <si>
    <t>Earnings</t>
  </si>
  <si>
    <t>Last Working Date</t>
  </si>
  <si>
    <t>Contract End Date</t>
  </si>
  <si>
    <t>Nationality</t>
  </si>
  <si>
    <t>Grade</t>
  </si>
  <si>
    <t>Section</t>
  </si>
  <si>
    <t>Position</t>
  </si>
  <si>
    <t>Joining Date</t>
  </si>
  <si>
    <r>
      <t>Payroll Period:-</t>
    </r>
    <r>
      <rPr>
        <b/>
        <sz val="11"/>
        <color indexed="8"/>
        <rFont val="Calibri"/>
        <family val="2"/>
      </rPr>
      <t xml:space="preserve"> 31-AUG-2022</t>
    </r>
  </si>
  <si>
    <t>Budget Available Balance end of July 2022</t>
  </si>
  <si>
    <t xml:space="preserve">Net Forecast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</si>
</sst>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mm/dd/yyyy"/>
  </numFmts>
  <fonts count="11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0"/>
      <color rgb="FF333399"/>
      <name val="Calibri"/>
    </font>
    <font>
      <sz val="8"/>
      <color theme="1"/>
      <name val="Calibri"/>
    </font>
    <font>
      <b/>
      <sz val="8"/>
      <color theme="1"/>
      <name val="Calibri"/>
    </font>
    <font>
      <sz val="11"/>
      <color theme="1"/>
      <name val="Calibri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00000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7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164" fontId="3" fillId="3" borderId="2" xfId="0" applyNumberFormat="1" applyFont="1" applyFill="1" applyBorder="1" applyAlignment="1">
      <alignment horizontal="left" vertical="top" wrapText="1"/>
    </xf>
    <xf numFmtId="3" fontId="3" fillId="3" borderId="2" xfId="0" applyNumberFormat="1" applyFont="1" applyFill="1" applyBorder="1" applyAlignment="1">
      <alignment horizontal="right" vertical="top" wrapText="1"/>
    </xf>
    <xf numFmtId="0" fontId="4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3" fontId="4" fillId="2" borderId="2" xfId="0" applyNumberFormat="1" applyFont="1" applyFill="1" applyBorder="1" applyAlignment="1">
      <alignment horizontal="right" vertical="top" wrapText="1"/>
    </xf>
    <xf numFmtId="43" fontId="0" fillId="0" borderId="0" xfId="1" applyFont="1"/>
    <xf numFmtId="0" fontId="0" fillId="0" borderId="8" xfId="0" applyBorder="1"/>
    <xf numFmtId="0" fontId="0" fillId="0" borderId="0" xfId="0" applyBorder="1"/>
    <xf numFmtId="43" fontId="0" fillId="0" borderId="9" xfId="1" applyFont="1" applyBorder="1"/>
    <xf numFmtId="0" fontId="0" fillId="4" borderId="5" xfId="0" applyFill="1" applyBorder="1"/>
    <xf numFmtId="0" fontId="0" fillId="4" borderId="6" xfId="0" applyFill="1" applyBorder="1"/>
    <xf numFmtId="43" fontId="0" fillId="4" borderId="7" xfId="1" applyFont="1" applyFill="1" applyBorder="1"/>
    <xf numFmtId="0" fontId="0" fillId="5" borderId="8" xfId="0" applyFill="1" applyBorder="1"/>
    <xf numFmtId="0" fontId="0" fillId="5" borderId="0" xfId="0" applyFill="1" applyBorder="1"/>
    <xf numFmtId="43" fontId="0" fillId="5" borderId="9" xfId="1" applyFont="1" applyFill="1" applyBorder="1"/>
    <xf numFmtId="0" fontId="0" fillId="6" borderId="10" xfId="0" applyFill="1" applyBorder="1"/>
    <xf numFmtId="0" fontId="0" fillId="6" borderId="11" xfId="0" applyFill="1" applyBorder="1"/>
    <xf numFmtId="43" fontId="0" fillId="0" borderId="4" xfId="1" applyFont="1" applyBorder="1" applyAlignment="1">
      <alignment horizontal="center"/>
    </xf>
    <xf numFmtId="0" fontId="0" fillId="5" borderId="13" xfId="0" applyFill="1" applyBorder="1"/>
    <xf numFmtId="0" fontId="0" fillId="5" borderId="14" xfId="0" applyFill="1" applyBorder="1"/>
    <xf numFmtId="43" fontId="0" fillId="5" borderId="15" xfId="1" applyFont="1" applyFill="1" applyBorder="1"/>
    <xf numFmtId="0" fontId="1" fillId="0" borderId="0" xfId="2"/>
    <xf numFmtId="43" fontId="1" fillId="0" borderId="0" xfId="2" applyNumberFormat="1"/>
    <xf numFmtId="0" fontId="6" fillId="0" borderId="0" xfId="2" applyFont="1"/>
    <xf numFmtId="43" fontId="0" fillId="0" borderId="0" xfId="3" applyFont="1"/>
    <xf numFmtId="0" fontId="6" fillId="7" borderId="16" xfId="2" applyFont="1" applyFill="1" applyBorder="1" applyAlignment="1">
      <alignment vertical="top" wrapText="1"/>
    </xf>
    <xf numFmtId="0" fontId="1" fillId="7" borderId="16" xfId="2" applyFill="1" applyBorder="1" applyAlignment="1">
      <alignment vertical="top" wrapText="1"/>
    </xf>
    <xf numFmtId="0" fontId="6" fillId="7" borderId="19" xfId="2" applyFont="1" applyFill="1" applyBorder="1" applyAlignment="1">
      <alignment vertical="top" wrapText="1"/>
    </xf>
    <xf numFmtId="0" fontId="1" fillId="7" borderId="19" xfId="2" applyFill="1" applyBorder="1" applyAlignment="1">
      <alignment vertical="top" wrapText="1"/>
    </xf>
    <xf numFmtId="0" fontId="1" fillId="8" borderId="0" xfId="2" applyFill="1" applyAlignment="1">
      <alignment vertical="top" wrapText="1"/>
    </xf>
    <xf numFmtId="0" fontId="6" fillId="8" borderId="0" xfId="2" applyFont="1" applyFill="1" applyAlignment="1">
      <alignment vertical="top" wrapText="1"/>
    </xf>
    <xf numFmtId="4" fontId="6" fillId="8" borderId="16" xfId="2" applyNumberFormat="1" applyFont="1" applyFill="1" applyBorder="1" applyAlignment="1">
      <alignment horizontal="right" vertical="top" wrapText="1"/>
    </xf>
    <xf numFmtId="4" fontId="6" fillId="8" borderId="16" xfId="2" applyNumberFormat="1" applyFont="1" applyFill="1" applyBorder="1" applyAlignment="1">
      <alignment horizontal="center" vertical="top" wrapText="1"/>
    </xf>
    <xf numFmtId="4" fontId="6" fillId="8" borderId="17" xfId="2" applyNumberFormat="1" applyFont="1" applyFill="1" applyBorder="1" applyAlignment="1">
      <alignment horizontal="center" vertical="top" wrapText="1"/>
    </xf>
    <xf numFmtId="0" fontId="1" fillId="8" borderId="1" xfId="2" applyFill="1" applyBorder="1" applyAlignment="1">
      <alignment vertical="top" wrapText="1"/>
    </xf>
    <xf numFmtId="0" fontId="1" fillId="8" borderId="18" xfId="2" applyFill="1" applyBorder="1" applyAlignment="1">
      <alignment vertical="top" wrapText="1"/>
    </xf>
    <xf numFmtId="0" fontId="1" fillId="8" borderId="16" xfId="2" applyFill="1" applyBorder="1" applyAlignment="1">
      <alignment vertical="top" wrapText="1"/>
    </xf>
    <xf numFmtId="4" fontId="6" fillId="7" borderId="16" xfId="2" applyNumberFormat="1" applyFont="1" applyFill="1" applyBorder="1" applyAlignment="1">
      <alignment horizontal="right" vertical="top" wrapText="1"/>
    </xf>
    <xf numFmtId="4" fontId="6" fillId="7" borderId="16" xfId="2" applyNumberFormat="1" applyFont="1" applyFill="1" applyBorder="1" applyAlignment="1">
      <alignment horizontal="center" vertical="top" wrapText="1"/>
    </xf>
    <xf numFmtId="4" fontId="6" fillId="7" borderId="17" xfId="2" applyNumberFormat="1" applyFont="1" applyFill="1" applyBorder="1" applyAlignment="1">
      <alignment horizontal="center" vertical="top" wrapText="1"/>
    </xf>
    <xf numFmtId="0" fontId="1" fillId="7" borderId="1" xfId="2" applyFill="1" applyBorder="1" applyAlignment="1">
      <alignment vertical="top" wrapText="1"/>
    </xf>
    <xf numFmtId="0" fontId="1" fillId="7" borderId="18" xfId="2" applyFill="1" applyBorder="1" applyAlignment="1">
      <alignment vertical="top" wrapText="1"/>
    </xf>
    <xf numFmtId="15" fontId="6" fillId="7" borderId="16" xfId="2" applyNumberFormat="1" applyFont="1" applyFill="1" applyBorder="1" applyAlignment="1">
      <alignment horizontal="right" vertical="top" wrapText="1"/>
    </xf>
    <xf numFmtId="0" fontId="6" fillId="7" borderId="16" xfId="2" applyFont="1" applyFill="1" applyBorder="1" applyAlignment="1">
      <alignment horizontal="right" vertical="top" wrapText="1"/>
    </xf>
    <xf numFmtId="0" fontId="1" fillId="9" borderId="20" xfId="2" applyFill="1" applyBorder="1" applyAlignment="1">
      <alignment wrapText="1"/>
    </xf>
    <xf numFmtId="0" fontId="1" fillId="9" borderId="2" xfId="2" applyFill="1" applyBorder="1" applyAlignment="1">
      <alignment wrapText="1"/>
    </xf>
    <xf numFmtId="0" fontId="1" fillId="9" borderId="21" xfId="2" applyFill="1" applyBorder="1" applyAlignment="1">
      <alignment wrapText="1"/>
    </xf>
    <xf numFmtId="0" fontId="1" fillId="7" borderId="2" xfId="2" applyFill="1" applyBorder="1" applyAlignment="1">
      <alignment vertical="top" wrapText="1"/>
    </xf>
    <xf numFmtId="0" fontId="3" fillId="3" borderId="0" xfId="0" applyFont="1" applyFill="1" applyAlignment="1">
      <alignment horizontal="left" vertical="top" wrapText="1"/>
    </xf>
    <xf numFmtId="0" fontId="1" fillId="7" borderId="18" xfId="2" applyFill="1" applyBorder="1" applyAlignment="1">
      <alignment vertical="top" wrapText="1"/>
    </xf>
    <xf numFmtId="0" fontId="1" fillId="7" borderId="17" xfId="2" applyFill="1" applyBorder="1" applyAlignment="1">
      <alignment vertical="top" wrapText="1"/>
    </xf>
    <xf numFmtId="0" fontId="1" fillId="8" borderId="0" xfId="2" applyFill="1" applyAlignment="1">
      <alignment vertical="top" wrapText="1"/>
    </xf>
    <xf numFmtId="0" fontId="6" fillId="7" borderId="21" xfId="2" applyFont="1" applyFill="1" applyBorder="1" applyAlignment="1">
      <alignment vertical="top" wrapText="1"/>
    </xf>
    <xf numFmtId="0" fontId="6" fillId="7" borderId="20" xfId="2" applyFont="1" applyFill="1" applyBorder="1" applyAlignment="1">
      <alignment vertical="top" wrapText="1"/>
    </xf>
    <xf numFmtId="0" fontId="1" fillId="7" borderId="21" xfId="2" applyFill="1" applyBorder="1" applyAlignment="1">
      <alignment vertical="top" wrapText="1"/>
    </xf>
    <xf numFmtId="0" fontId="1" fillId="7" borderId="2" xfId="2" applyFill="1" applyBorder="1" applyAlignment="1">
      <alignment vertical="top" wrapText="1"/>
    </xf>
    <xf numFmtId="0" fontId="1" fillId="7" borderId="20" xfId="2" applyFill="1" applyBorder="1" applyAlignment="1">
      <alignment vertical="top" wrapText="1"/>
    </xf>
    <xf numFmtId="0" fontId="6" fillId="8" borderId="18" xfId="2" applyFont="1" applyFill="1" applyBorder="1" applyAlignment="1">
      <alignment horizontal="right" vertical="top" wrapText="1"/>
    </xf>
    <xf numFmtId="0" fontId="6" fillId="8" borderId="17" xfId="2" applyFont="1" applyFill="1" applyBorder="1" applyAlignment="1">
      <alignment horizontal="right" vertical="top" wrapText="1"/>
    </xf>
    <xf numFmtId="0" fontId="6" fillId="7" borderId="18" xfId="2" applyFont="1" applyFill="1" applyBorder="1" applyAlignment="1">
      <alignment horizontal="center" vertical="top" wrapText="1"/>
    </xf>
    <xf numFmtId="0" fontId="6" fillId="7" borderId="17" xfId="2" applyFont="1" applyFill="1" applyBorder="1" applyAlignment="1">
      <alignment horizontal="center" vertical="top" wrapText="1"/>
    </xf>
    <xf numFmtId="0" fontId="7" fillId="8" borderId="18" xfId="2" applyFont="1" applyFill="1" applyBorder="1" applyAlignment="1">
      <alignment horizontal="center" vertical="top" wrapText="1"/>
    </xf>
    <xf numFmtId="0" fontId="7" fillId="8" borderId="1" xfId="2" applyFont="1" applyFill="1" applyBorder="1" applyAlignment="1">
      <alignment horizontal="center" vertical="top" wrapText="1"/>
    </xf>
    <xf numFmtId="0" fontId="7" fillId="8" borderId="17" xfId="2" applyFont="1" applyFill="1" applyBorder="1" applyAlignment="1">
      <alignment horizontal="center" vertical="top" wrapText="1"/>
    </xf>
    <xf numFmtId="0" fontId="6" fillId="8" borderId="18" xfId="2" applyFont="1" applyFill="1" applyBorder="1" applyAlignment="1">
      <alignment horizontal="center" vertical="top" wrapText="1"/>
    </xf>
    <xf numFmtId="0" fontId="6" fillId="8" borderId="17" xfId="2" applyFont="1" applyFill="1" applyBorder="1" applyAlignment="1">
      <alignment horizontal="center" vertical="top" wrapText="1"/>
    </xf>
    <xf numFmtId="0" fontId="7" fillId="9" borderId="18" xfId="2" applyFont="1" applyFill="1" applyBorder="1" applyAlignment="1">
      <alignment horizontal="center" vertical="top" wrapText="1"/>
    </xf>
    <xf numFmtId="0" fontId="7" fillId="9" borderId="1" xfId="2" applyFont="1" applyFill="1" applyBorder="1" applyAlignment="1">
      <alignment horizontal="center" vertical="top" wrapText="1"/>
    </xf>
    <xf numFmtId="0" fontId="7" fillId="9" borderId="17" xfId="2" applyFont="1" applyFill="1" applyBorder="1" applyAlignment="1">
      <alignment horizontal="center" vertical="top" wrapText="1"/>
    </xf>
    <xf numFmtId="0" fontId="7" fillId="9" borderId="28" xfId="2" applyFont="1" applyFill="1" applyBorder="1" applyAlignment="1">
      <alignment horizontal="center" wrapText="1"/>
    </xf>
    <xf numFmtId="0" fontId="7" fillId="9" borderId="22" xfId="2" applyFont="1" applyFill="1" applyBorder="1" applyAlignment="1">
      <alignment horizontal="center" wrapText="1"/>
    </xf>
    <xf numFmtId="0" fontId="7" fillId="9" borderId="19" xfId="2" applyFont="1" applyFill="1" applyBorder="1" applyAlignment="1">
      <alignment horizontal="center" wrapText="1"/>
    </xf>
    <xf numFmtId="0" fontId="7" fillId="9" borderId="27" xfId="2" applyFont="1" applyFill="1" applyBorder="1" applyAlignment="1">
      <alignment horizontal="center" wrapText="1"/>
    </xf>
    <xf numFmtId="0" fontId="7" fillId="9" borderId="25" xfId="2" applyFont="1" applyFill="1" applyBorder="1" applyAlignment="1">
      <alignment horizontal="center" wrapText="1"/>
    </xf>
    <xf numFmtId="0" fontId="7" fillId="9" borderId="24" xfId="2" applyFont="1" applyFill="1" applyBorder="1" applyAlignment="1">
      <alignment horizontal="center" wrapText="1"/>
    </xf>
    <xf numFmtId="0" fontId="7" fillId="9" borderId="23" xfId="2" applyFont="1" applyFill="1" applyBorder="1" applyAlignment="1">
      <alignment horizontal="center" wrapText="1"/>
    </xf>
    <xf numFmtId="0" fontId="7" fillId="9" borderId="21" xfId="2" applyFont="1" applyFill="1" applyBorder="1" applyAlignment="1">
      <alignment horizontal="center" wrapText="1"/>
    </xf>
    <xf numFmtId="0" fontId="7" fillId="9" borderId="20" xfId="2" applyFont="1" applyFill="1" applyBorder="1" applyAlignment="1">
      <alignment horizontal="center" wrapText="1"/>
    </xf>
    <xf numFmtId="0" fontId="7" fillId="9" borderId="24" xfId="2" applyFont="1" applyFill="1" applyBorder="1" applyAlignment="1">
      <alignment vertical="top" wrapText="1"/>
    </xf>
    <xf numFmtId="0" fontId="7" fillId="9" borderId="23" xfId="2" applyFont="1" applyFill="1" applyBorder="1" applyAlignment="1">
      <alignment vertical="top" wrapText="1"/>
    </xf>
    <xf numFmtId="0" fontId="7" fillId="9" borderId="27" xfId="2" applyFont="1" applyFill="1" applyBorder="1" applyAlignment="1">
      <alignment horizontal="center" vertical="top" wrapText="1"/>
    </xf>
    <xf numFmtId="0" fontId="7" fillId="9" borderId="26" xfId="2" applyFont="1" applyFill="1" applyBorder="1" applyAlignment="1">
      <alignment horizontal="center" vertical="top" wrapText="1"/>
    </xf>
    <xf numFmtId="0" fontId="7" fillId="9" borderId="25" xfId="2" applyFont="1" applyFill="1" applyBorder="1" applyAlignment="1">
      <alignment horizontal="center" vertical="top" wrapText="1"/>
    </xf>
    <xf numFmtId="0" fontId="1" fillId="9" borderId="21" xfId="2" applyFill="1" applyBorder="1" applyAlignment="1">
      <alignment vertical="top" wrapText="1"/>
    </xf>
    <xf numFmtId="0" fontId="1" fillId="9" borderId="20" xfId="2" applyFill="1" applyBorder="1" applyAlignment="1">
      <alignment vertical="top" wrapText="1"/>
    </xf>
    <xf numFmtId="0" fontId="8" fillId="7" borderId="2" xfId="2" applyFont="1" applyFill="1" applyBorder="1" applyAlignment="1">
      <alignment horizontal="center" vertical="top" wrapText="1"/>
    </xf>
    <xf numFmtId="0" fontId="1" fillId="9" borderId="27" xfId="2" applyFill="1" applyBorder="1" applyAlignment="1">
      <alignment vertical="top" wrapText="1"/>
    </xf>
    <xf numFmtId="0" fontId="1" fillId="9" borderId="25" xfId="2" applyFill="1" applyBorder="1" applyAlignment="1">
      <alignment vertical="top" wrapText="1"/>
    </xf>
    <xf numFmtId="0" fontId="7" fillId="9" borderId="28" xfId="2" applyFont="1" applyFill="1" applyBorder="1" applyAlignment="1">
      <alignment horizontal="center" vertical="top" wrapText="1"/>
    </xf>
    <xf numFmtId="0" fontId="7" fillId="9" borderId="22" xfId="2" applyFont="1" applyFill="1" applyBorder="1" applyAlignment="1">
      <alignment horizontal="center" vertical="top" wrapText="1"/>
    </xf>
    <xf numFmtId="0" fontId="7" fillId="9" borderId="19" xfId="2" applyFont="1" applyFill="1" applyBorder="1" applyAlignment="1">
      <alignment horizontal="center" vertical="top" wrapText="1"/>
    </xf>
    <xf numFmtId="43" fontId="10" fillId="6" borderId="12" xfId="1" applyFont="1" applyFill="1" applyBorder="1"/>
  </cellXfs>
  <cellStyles count="4">
    <cellStyle name="Comma" xfId="1" builtinId="3"/>
    <cellStyle name="Comma 2" xfId="3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showGridLines="0" workbookViewId="0">
      <selection activeCell="Q7" sqref="Q7"/>
    </sheetView>
  </sheetViews>
  <sheetFormatPr defaultRowHeight="15" x14ac:dyDescent="0.25"/>
  <cols>
    <col min="1" max="1" width="31.85546875" customWidth="1"/>
    <col min="2" max="2" width="9.85546875" customWidth="1"/>
    <col min="3" max="3" width="9.7109375" customWidth="1"/>
    <col min="4" max="4" width="12.85546875" customWidth="1"/>
    <col min="5" max="5" width="22.7109375" customWidth="1"/>
    <col min="6" max="6" width="10.28515625" customWidth="1"/>
    <col min="7" max="7" width="14.140625" customWidth="1"/>
    <col min="8" max="8" width="6.85546875" customWidth="1"/>
    <col min="9" max="9" width="7.7109375" customWidth="1"/>
    <col min="10" max="10" width="9" customWidth="1"/>
    <col min="11" max="11" width="7.28515625" customWidth="1"/>
    <col min="12" max="12" width="11.5703125" customWidth="1"/>
    <col min="13" max="13" width="9" customWidth="1"/>
    <col min="14" max="14" width="10" customWidth="1"/>
    <col min="15" max="15" width="8.28515625" customWidth="1"/>
    <col min="16" max="16" width="8.42578125" customWidth="1"/>
    <col min="17" max="17" width="8.140625" customWidth="1"/>
    <col min="18" max="18" width="0.7109375" customWidth="1"/>
  </cols>
  <sheetData>
    <row r="1" spans="1:17" x14ac:dyDescent="0.25">
      <c r="A1" s="1" t="s">
        <v>0</v>
      </c>
    </row>
    <row r="2" spans="1:17" x14ac:dyDescent="0.25">
      <c r="A2" s="2" t="s">
        <v>1</v>
      </c>
    </row>
    <row r="3" spans="1:17" ht="33.7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spans="1:17" ht="22.5" x14ac:dyDescent="0.25">
      <c r="A4" s="53" t="s">
        <v>19</v>
      </c>
      <c r="B4" s="4" t="s">
        <v>20</v>
      </c>
      <c r="C4" s="4" t="s">
        <v>21</v>
      </c>
      <c r="D4" s="4" t="s">
        <v>22</v>
      </c>
      <c r="E4" s="5">
        <v>44748</v>
      </c>
      <c r="F4" s="4" t="s">
        <v>23</v>
      </c>
      <c r="G4" s="4" t="s">
        <v>24</v>
      </c>
      <c r="H4" s="4" t="s">
        <v>25</v>
      </c>
      <c r="I4" s="4" t="s">
        <v>26</v>
      </c>
      <c r="J4" s="4" t="s">
        <v>27</v>
      </c>
      <c r="K4" s="4" t="s">
        <v>28</v>
      </c>
      <c r="L4" s="4" t="s">
        <v>29</v>
      </c>
      <c r="M4" s="5">
        <v>44581</v>
      </c>
      <c r="N4" s="5">
        <v>44580.628171296295</v>
      </c>
      <c r="O4" s="6">
        <v>49116</v>
      </c>
      <c r="P4" s="6">
        <v>49116</v>
      </c>
      <c r="Q4" s="6">
        <v>49116</v>
      </c>
    </row>
    <row r="5" spans="1:17" ht="56.25" x14ac:dyDescent="0.25">
      <c r="A5" s="53"/>
      <c r="B5" s="4" t="s">
        <v>30</v>
      </c>
      <c r="C5" s="4" t="s">
        <v>21</v>
      </c>
      <c r="D5" s="4" t="s">
        <v>31</v>
      </c>
      <c r="E5" s="5">
        <v>44926</v>
      </c>
      <c r="F5" s="4" t="s">
        <v>23</v>
      </c>
      <c r="G5" s="4" t="s">
        <v>32</v>
      </c>
      <c r="H5" s="4" t="s">
        <v>33</v>
      </c>
      <c r="I5" s="4" t="s">
        <v>26</v>
      </c>
      <c r="J5" s="4" t="s">
        <v>34</v>
      </c>
      <c r="K5" s="4" t="s">
        <v>28</v>
      </c>
      <c r="L5" s="4" t="s">
        <v>29</v>
      </c>
      <c r="M5" s="5">
        <v>44599</v>
      </c>
      <c r="N5" s="5">
        <v>44599.552534722221</v>
      </c>
      <c r="O5" s="6">
        <v>73750</v>
      </c>
      <c r="P5" s="6">
        <v>73750</v>
      </c>
      <c r="Q5" s="6">
        <v>36875</v>
      </c>
    </row>
    <row r="6" spans="1:17" ht="22.5" x14ac:dyDescent="0.25">
      <c r="A6" s="53"/>
      <c r="B6" s="4" t="s">
        <v>35</v>
      </c>
      <c r="C6" s="4" t="s">
        <v>21</v>
      </c>
      <c r="D6" s="4" t="s">
        <v>36</v>
      </c>
      <c r="E6" s="5">
        <v>44844</v>
      </c>
      <c r="F6" s="4" t="s">
        <v>23</v>
      </c>
      <c r="G6" s="4" t="s">
        <v>24</v>
      </c>
      <c r="H6" s="4" t="s">
        <v>25</v>
      </c>
      <c r="I6" s="4" t="s">
        <v>26</v>
      </c>
      <c r="J6" s="4" t="s">
        <v>27</v>
      </c>
      <c r="K6" s="4" t="s">
        <v>28</v>
      </c>
      <c r="L6" s="4" t="s">
        <v>29</v>
      </c>
      <c r="M6" s="5">
        <v>44729</v>
      </c>
      <c r="N6" s="5">
        <v>44729.429710648146</v>
      </c>
      <c r="O6" s="6">
        <v>18520</v>
      </c>
      <c r="P6" s="6">
        <v>18520</v>
      </c>
      <c r="Q6" s="6">
        <v>18520</v>
      </c>
    </row>
    <row r="7" spans="1:17" x14ac:dyDescent="0.25">
      <c r="A7" s="7" t="s">
        <v>37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>
        <v>329987.09999999998</v>
      </c>
      <c r="P7" s="9">
        <v>329987.09999999998</v>
      </c>
      <c r="Q7" s="9">
        <f>SUM(Q4:Q6)</f>
        <v>104511</v>
      </c>
    </row>
    <row r="8" spans="1:17" x14ac:dyDescent="0.25">
      <c r="A8" s="2" t="s">
        <v>1</v>
      </c>
    </row>
  </sheetData>
  <mergeCells count="1">
    <mergeCell ref="A4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14"/>
  <sheetViews>
    <sheetView tabSelected="1" workbookViewId="0">
      <selection activeCell="C16" sqref="C16"/>
    </sheetView>
  </sheetViews>
  <sheetFormatPr defaultRowHeight="15" x14ac:dyDescent="0.25"/>
  <cols>
    <col min="3" max="3" width="45.28515625" bestFit="1" customWidth="1"/>
    <col min="6" max="6" width="13.7109375" style="10" bestFit="1" customWidth="1"/>
  </cols>
  <sheetData>
    <row r="1" spans="3:6" ht="15.75" thickBot="1" x14ac:dyDescent="0.3"/>
    <row r="2" spans="3:6" ht="15.75" thickBot="1" x14ac:dyDescent="0.3">
      <c r="F2" s="22" t="s">
        <v>46</v>
      </c>
    </row>
    <row r="3" spans="3:6" x14ac:dyDescent="0.25">
      <c r="C3" s="14" t="s">
        <v>92</v>
      </c>
      <c r="D3" s="15"/>
      <c r="E3" s="15"/>
      <c r="F3" s="16">
        <v>908581.22000000009</v>
      </c>
    </row>
    <row r="4" spans="3:6" x14ac:dyDescent="0.25">
      <c r="C4" s="11"/>
      <c r="D4" s="12"/>
      <c r="E4" s="12"/>
      <c r="F4" s="13"/>
    </row>
    <row r="5" spans="3:6" x14ac:dyDescent="0.25">
      <c r="C5" s="17" t="s">
        <v>38</v>
      </c>
      <c r="D5" s="18"/>
      <c r="E5" s="18"/>
      <c r="F5" s="19">
        <v>414265</v>
      </c>
    </row>
    <row r="6" spans="3:6" x14ac:dyDescent="0.25">
      <c r="C6" s="17" t="s">
        <v>39</v>
      </c>
      <c r="D6" s="18"/>
      <c r="E6" s="18"/>
      <c r="F6" s="19">
        <v>145833.29999999999</v>
      </c>
    </row>
    <row r="7" spans="3:6" x14ac:dyDescent="0.25">
      <c r="C7" s="17" t="s">
        <v>40</v>
      </c>
      <c r="D7" s="18"/>
      <c r="E7" s="18"/>
      <c r="F7" s="19">
        <v>13640.52</v>
      </c>
    </row>
    <row r="8" spans="3:6" x14ac:dyDescent="0.25">
      <c r="C8" s="17" t="s">
        <v>41</v>
      </c>
      <c r="D8" s="18"/>
      <c r="E8" s="18"/>
      <c r="F8" s="19">
        <v>50500</v>
      </c>
    </row>
    <row r="9" spans="3:6" x14ac:dyDescent="0.25">
      <c r="C9" s="17" t="s">
        <v>42</v>
      </c>
      <c r="D9" s="18"/>
      <c r="E9" s="18"/>
      <c r="F9" s="19">
        <v>132020.5</v>
      </c>
    </row>
    <row r="10" spans="3:6" x14ac:dyDescent="0.25">
      <c r="C10" s="17" t="s">
        <v>43</v>
      </c>
      <c r="D10" s="18"/>
      <c r="E10" s="18"/>
      <c r="F10" s="19">
        <v>52301.350000000006</v>
      </c>
    </row>
    <row r="11" spans="3:6" ht="15.75" thickBot="1" x14ac:dyDescent="0.3">
      <c r="C11" s="17" t="s">
        <v>44</v>
      </c>
      <c r="D11" s="18"/>
      <c r="E11" s="18"/>
      <c r="F11" s="19">
        <v>104511</v>
      </c>
    </row>
    <row r="12" spans="3:6" ht="15.75" thickBot="1" x14ac:dyDescent="0.3">
      <c r="C12" s="23" t="s">
        <v>45</v>
      </c>
      <c r="D12" s="24"/>
      <c r="E12" s="24"/>
      <c r="F12" s="25">
        <f>SUM(F5:F11)</f>
        <v>913071.67</v>
      </c>
    </row>
    <row r="13" spans="3:6" x14ac:dyDescent="0.25">
      <c r="C13" s="11"/>
      <c r="D13" s="12"/>
      <c r="E13" s="12"/>
      <c r="F13" s="13"/>
    </row>
    <row r="14" spans="3:6" ht="15.75" thickBot="1" x14ac:dyDescent="0.3">
      <c r="C14" s="20" t="s">
        <v>93</v>
      </c>
      <c r="D14" s="21"/>
      <c r="E14" s="21"/>
      <c r="F14" s="96">
        <f>F3-F12</f>
        <v>-4490.4499999999534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"/>
  <sheetViews>
    <sheetView showGridLines="0" workbookViewId="0">
      <selection activeCell="H26" sqref="H26"/>
    </sheetView>
  </sheetViews>
  <sheetFormatPr defaultRowHeight="15" x14ac:dyDescent="0.25"/>
  <cols>
    <col min="1" max="1" width="11.28515625" style="26" bestFit="1" customWidth="1"/>
    <col min="2" max="2" width="9.140625" style="26"/>
    <col min="3" max="3" width="30.140625" style="26" bestFit="1" customWidth="1"/>
    <col min="4" max="4" width="11" style="26" bestFit="1" customWidth="1"/>
    <col min="5" max="5" width="16.7109375" style="26" bestFit="1" customWidth="1"/>
    <col min="6" max="6" width="27.5703125" style="26" bestFit="1" customWidth="1"/>
    <col min="7" max="7" width="12.42578125" style="26" bestFit="1" customWidth="1"/>
    <col min="8" max="8" width="10" style="26" bestFit="1" customWidth="1"/>
    <col min="9" max="10" width="16.28515625" style="26" bestFit="1" customWidth="1"/>
    <col min="11" max="12" width="9.140625" style="26"/>
    <col min="13" max="13" width="8.85546875" style="26" bestFit="1" customWidth="1"/>
    <col min="14" max="15" width="9.140625" style="26"/>
    <col min="16" max="16" width="8.85546875" style="26" bestFit="1" customWidth="1"/>
    <col min="17" max="17" width="11" style="26" bestFit="1" customWidth="1"/>
    <col min="18" max="19" width="9.140625" style="26"/>
    <col min="20" max="20" width="11.5703125" style="26" bestFit="1" customWidth="1"/>
    <col min="21" max="16384" width="9.140625" style="26"/>
  </cols>
  <sheetData>
    <row r="1" spans="1:20" ht="28.9" customHeight="1" x14ac:dyDescent="0.25">
      <c r="A1" s="52"/>
      <c r="B1" s="90" t="s">
        <v>91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</row>
    <row r="2" spans="1:20" ht="25.15" customHeight="1" x14ac:dyDescent="0.25">
      <c r="A2" s="91"/>
      <c r="B2" s="92"/>
      <c r="C2" s="93" t="s">
        <v>50</v>
      </c>
      <c r="D2" s="93" t="s">
        <v>90</v>
      </c>
      <c r="E2" s="93" t="s">
        <v>89</v>
      </c>
      <c r="F2" s="93" t="s">
        <v>88</v>
      </c>
      <c r="G2" s="93" t="s">
        <v>87</v>
      </c>
      <c r="H2" s="93" t="s">
        <v>86</v>
      </c>
      <c r="I2" s="93" t="s">
        <v>85</v>
      </c>
      <c r="J2" s="93" t="s">
        <v>84</v>
      </c>
      <c r="K2" s="71" t="s">
        <v>83</v>
      </c>
      <c r="L2" s="72"/>
      <c r="M2" s="72"/>
      <c r="N2" s="72"/>
      <c r="O2" s="72"/>
      <c r="P2" s="73"/>
      <c r="Q2" s="74" t="s">
        <v>82</v>
      </c>
      <c r="R2" s="77" t="s">
        <v>81</v>
      </c>
      <c r="S2" s="78"/>
      <c r="T2" s="74" t="s">
        <v>56</v>
      </c>
    </row>
    <row r="3" spans="1:20" ht="24.95" customHeight="1" x14ac:dyDescent="0.25">
      <c r="A3" s="83" t="s">
        <v>80</v>
      </c>
      <c r="B3" s="84"/>
      <c r="C3" s="94"/>
      <c r="D3" s="94"/>
      <c r="E3" s="94"/>
      <c r="F3" s="94"/>
      <c r="G3" s="94"/>
      <c r="H3" s="94"/>
      <c r="I3" s="94"/>
      <c r="J3" s="94"/>
      <c r="K3" s="85" t="s">
        <v>79</v>
      </c>
      <c r="L3" s="86"/>
      <c r="M3" s="87"/>
      <c r="N3" s="85" t="s">
        <v>78</v>
      </c>
      <c r="O3" s="86"/>
      <c r="P3" s="87"/>
      <c r="Q3" s="75"/>
      <c r="R3" s="79"/>
      <c r="S3" s="80"/>
      <c r="T3" s="75"/>
    </row>
    <row r="4" spans="1:20" ht="14.1" customHeight="1" x14ac:dyDescent="0.25">
      <c r="A4" s="88"/>
      <c r="B4" s="89"/>
      <c r="C4" s="95"/>
      <c r="D4" s="95"/>
      <c r="E4" s="95"/>
      <c r="F4" s="95"/>
      <c r="G4" s="95"/>
      <c r="H4" s="95"/>
      <c r="I4" s="95"/>
      <c r="J4" s="95"/>
      <c r="K4" s="51"/>
      <c r="L4" s="50"/>
      <c r="M4" s="49"/>
      <c r="N4" s="51"/>
      <c r="O4" s="50"/>
      <c r="P4" s="49"/>
      <c r="Q4" s="76"/>
      <c r="R4" s="81"/>
      <c r="S4" s="82"/>
      <c r="T4" s="76"/>
    </row>
    <row r="5" spans="1:20" ht="25.15" customHeight="1" x14ac:dyDescent="0.25">
      <c r="A5" s="62" t="s">
        <v>77</v>
      </c>
      <c r="B5" s="63"/>
      <c r="C5" s="48" t="s">
        <v>76</v>
      </c>
      <c r="D5" s="47">
        <v>42165</v>
      </c>
      <c r="E5" s="48" t="s">
        <v>75</v>
      </c>
      <c r="F5" s="48" t="s">
        <v>59</v>
      </c>
      <c r="G5" s="48" t="s">
        <v>74</v>
      </c>
      <c r="H5" s="48" t="s">
        <v>73</v>
      </c>
      <c r="I5" s="47">
        <v>44926</v>
      </c>
      <c r="J5" s="31"/>
      <c r="K5" s="46"/>
      <c r="L5" s="45"/>
      <c r="M5" s="44">
        <v>10904</v>
      </c>
      <c r="N5" s="46"/>
      <c r="O5" s="45"/>
      <c r="P5" s="44">
        <v>13000</v>
      </c>
      <c r="Q5" s="43">
        <v>23904</v>
      </c>
      <c r="R5" s="64">
        <v>0</v>
      </c>
      <c r="S5" s="65"/>
      <c r="T5" s="42">
        <v>23904</v>
      </c>
    </row>
    <row r="6" spans="1:20" ht="25.15" customHeight="1" x14ac:dyDescent="0.25">
      <c r="A6" s="62" t="s">
        <v>72</v>
      </c>
      <c r="B6" s="63"/>
      <c r="C6" s="48" t="s">
        <v>71</v>
      </c>
      <c r="D6" s="47">
        <v>43745</v>
      </c>
      <c r="E6" s="48" t="s">
        <v>60</v>
      </c>
      <c r="F6" s="48" t="s">
        <v>59</v>
      </c>
      <c r="G6" s="48" t="s">
        <v>58</v>
      </c>
      <c r="H6" s="48" t="s">
        <v>57</v>
      </c>
      <c r="I6" s="47">
        <v>45022</v>
      </c>
      <c r="J6" s="31"/>
      <c r="K6" s="46"/>
      <c r="L6" s="45"/>
      <c r="M6" s="44">
        <v>10147</v>
      </c>
      <c r="N6" s="46"/>
      <c r="O6" s="45"/>
      <c r="P6" s="44">
        <v>6764</v>
      </c>
      <c r="Q6" s="43">
        <v>16911</v>
      </c>
      <c r="R6" s="64">
        <v>0</v>
      </c>
      <c r="S6" s="65"/>
      <c r="T6" s="42">
        <v>16911</v>
      </c>
    </row>
    <row r="7" spans="1:20" ht="25.15" customHeight="1" x14ac:dyDescent="0.25">
      <c r="A7" s="62" t="s">
        <v>70</v>
      </c>
      <c r="B7" s="63"/>
      <c r="C7" s="48" t="s">
        <v>69</v>
      </c>
      <c r="D7" s="47">
        <v>44013</v>
      </c>
      <c r="E7" s="48" t="s">
        <v>68</v>
      </c>
      <c r="F7" s="48" t="s">
        <v>59</v>
      </c>
      <c r="G7" s="48" t="s">
        <v>67</v>
      </c>
      <c r="H7" s="48" t="s">
        <v>66</v>
      </c>
      <c r="I7" s="47">
        <v>44895</v>
      </c>
      <c r="J7" s="31"/>
      <c r="K7" s="46"/>
      <c r="L7" s="45"/>
      <c r="M7" s="44">
        <v>6023</v>
      </c>
      <c r="N7" s="46"/>
      <c r="O7" s="45"/>
      <c r="P7" s="44">
        <v>4015</v>
      </c>
      <c r="Q7" s="43">
        <v>10038</v>
      </c>
      <c r="R7" s="64">
        <v>0</v>
      </c>
      <c r="S7" s="65"/>
      <c r="T7" s="42">
        <v>10038</v>
      </c>
    </row>
    <row r="8" spans="1:20" ht="25.15" customHeight="1" x14ac:dyDescent="0.25">
      <c r="A8" s="62" t="s">
        <v>65</v>
      </c>
      <c r="B8" s="63"/>
      <c r="C8" s="48" t="s">
        <v>64</v>
      </c>
      <c r="D8" s="47">
        <v>44437</v>
      </c>
      <c r="E8" s="48" t="s">
        <v>60</v>
      </c>
      <c r="F8" s="48" t="s">
        <v>63</v>
      </c>
      <c r="G8" s="48" t="s">
        <v>58</v>
      </c>
      <c r="H8" s="48" t="s">
        <v>57</v>
      </c>
      <c r="I8" s="47">
        <v>45046</v>
      </c>
      <c r="J8" s="31"/>
      <c r="K8" s="46"/>
      <c r="L8" s="45"/>
      <c r="M8" s="44">
        <v>10800</v>
      </c>
      <c r="N8" s="46"/>
      <c r="O8" s="45"/>
      <c r="P8" s="44">
        <v>7200</v>
      </c>
      <c r="Q8" s="43">
        <v>18000</v>
      </c>
      <c r="R8" s="64">
        <v>0</v>
      </c>
      <c r="S8" s="65"/>
      <c r="T8" s="42">
        <v>18000</v>
      </c>
    </row>
    <row r="9" spans="1:20" ht="25.15" customHeight="1" x14ac:dyDescent="0.25">
      <c r="A9" s="62" t="s">
        <v>62</v>
      </c>
      <c r="B9" s="63"/>
      <c r="C9" s="48" t="s">
        <v>61</v>
      </c>
      <c r="D9" s="47">
        <v>44458</v>
      </c>
      <c r="E9" s="48" t="s">
        <v>60</v>
      </c>
      <c r="F9" s="48" t="s">
        <v>59</v>
      </c>
      <c r="G9" s="48" t="s">
        <v>58</v>
      </c>
      <c r="H9" s="48" t="s">
        <v>57</v>
      </c>
      <c r="I9" s="47">
        <v>44957</v>
      </c>
      <c r="J9" s="31"/>
      <c r="K9" s="46"/>
      <c r="L9" s="45"/>
      <c r="M9" s="44">
        <v>8400</v>
      </c>
      <c r="N9" s="46"/>
      <c r="O9" s="45"/>
      <c r="P9" s="44">
        <v>5600</v>
      </c>
      <c r="Q9" s="43">
        <v>14000</v>
      </c>
      <c r="R9" s="64">
        <v>0</v>
      </c>
      <c r="S9" s="65"/>
      <c r="T9" s="42">
        <v>14000</v>
      </c>
    </row>
    <row r="10" spans="1:20" ht="25.15" customHeight="1" x14ac:dyDescent="0.25">
      <c r="A10" s="41"/>
      <c r="B10" s="66" t="s">
        <v>56</v>
      </c>
      <c r="C10" s="67"/>
      <c r="D10" s="67"/>
      <c r="E10" s="67"/>
      <c r="F10" s="67"/>
      <c r="G10" s="67"/>
      <c r="H10" s="67"/>
      <c r="I10" s="67"/>
      <c r="J10" s="68"/>
      <c r="K10" s="40"/>
      <c r="L10" s="39"/>
      <c r="M10" s="38">
        <v>46274</v>
      </c>
      <c r="N10" s="40"/>
      <c r="O10" s="39"/>
      <c r="P10" s="38">
        <v>36579</v>
      </c>
      <c r="Q10" s="37">
        <v>82853</v>
      </c>
      <c r="R10" s="69">
        <v>0</v>
      </c>
      <c r="S10" s="70"/>
      <c r="T10" s="36">
        <v>82853</v>
      </c>
    </row>
    <row r="12" spans="1:20" x14ac:dyDescent="0.25">
      <c r="Q12" s="26" t="s">
        <v>38</v>
      </c>
      <c r="T12" s="29">
        <f>T10*5</f>
        <v>414265</v>
      </c>
    </row>
    <row r="13" spans="1:20" ht="28.35" customHeight="1" x14ac:dyDescent="0.25">
      <c r="A13" s="35" t="s">
        <v>55</v>
      </c>
      <c r="B13" s="34"/>
      <c r="C13" s="56"/>
      <c r="D13" s="56"/>
      <c r="E13" s="34"/>
      <c r="F13" s="35" t="s">
        <v>54</v>
      </c>
      <c r="G13" s="34"/>
      <c r="T13" s="29"/>
    </row>
    <row r="14" spans="1:20" ht="58.5" customHeight="1" x14ac:dyDescent="0.25">
      <c r="A14" s="57" t="s">
        <v>53</v>
      </c>
      <c r="B14" s="58"/>
      <c r="C14" s="59"/>
      <c r="D14" s="60"/>
      <c r="E14" s="61"/>
      <c r="F14" s="33"/>
      <c r="G14" s="33"/>
      <c r="Q14" s="26" t="s">
        <v>39</v>
      </c>
      <c r="T14" s="29">
        <f>29166.66*5</f>
        <v>145833.29999999999</v>
      </c>
    </row>
    <row r="15" spans="1:20" ht="27" customHeight="1" x14ac:dyDescent="0.25">
      <c r="A15" s="32" t="s">
        <v>52</v>
      </c>
      <c r="B15" s="33"/>
      <c r="C15" s="32" t="s">
        <v>51</v>
      </c>
      <c r="D15" s="54"/>
      <c r="E15" s="55"/>
      <c r="F15" s="32" t="s">
        <v>52</v>
      </c>
      <c r="G15" s="32" t="s">
        <v>51</v>
      </c>
      <c r="Q15" s="26" t="s">
        <v>40</v>
      </c>
      <c r="T15" s="29">
        <f>6820.26*2</f>
        <v>13640.52</v>
      </c>
    </row>
    <row r="16" spans="1:20" ht="21.2" customHeight="1" x14ac:dyDescent="0.25">
      <c r="A16" s="30" t="s">
        <v>50</v>
      </c>
      <c r="B16" s="31"/>
      <c r="C16" s="30" t="s">
        <v>50</v>
      </c>
      <c r="D16" s="54"/>
      <c r="E16" s="55"/>
      <c r="F16" s="30" t="s">
        <v>50</v>
      </c>
      <c r="G16" s="30" t="s">
        <v>50</v>
      </c>
      <c r="Q16" s="26" t="s">
        <v>41</v>
      </c>
      <c r="T16" s="29">
        <v>50500</v>
      </c>
    </row>
    <row r="17" spans="1:20" ht="21.2" customHeight="1" x14ac:dyDescent="0.25">
      <c r="A17" s="30" t="s">
        <v>49</v>
      </c>
      <c r="B17" s="31"/>
      <c r="C17" s="30" t="s">
        <v>49</v>
      </c>
      <c r="D17" s="54"/>
      <c r="E17" s="55"/>
      <c r="F17" s="30" t="s">
        <v>49</v>
      </c>
      <c r="G17" s="30" t="s">
        <v>49</v>
      </c>
      <c r="Q17" s="26" t="s">
        <v>42</v>
      </c>
      <c r="T17" s="29">
        <f>26404.1*5</f>
        <v>132020.5</v>
      </c>
    </row>
    <row r="18" spans="1:20" ht="21.2" customHeight="1" x14ac:dyDescent="0.25">
      <c r="A18" s="30" t="s">
        <v>48</v>
      </c>
      <c r="B18" s="31"/>
      <c r="C18" s="30" t="s">
        <v>48</v>
      </c>
      <c r="D18" s="54"/>
      <c r="E18" s="55"/>
      <c r="F18" s="30" t="s">
        <v>48</v>
      </c>
      <c r="G18" s="30" t="s">
        <v>48</v>
      </c>
      <c r="Q18" s="26" t="s">
        <v>43</v>
      </c>
      <c r="T18" s="29">
        <f>10460.27*5</f>
        <v>52301.350000000006</v>
      </c>
    </row>
    <row r="19" spans="1:20" x14ac:dyDescent="0.25">
      <c r="A19" s="28" t="s">
        <v>47</v>
      </c>
      <c r="T19" s="27">
        <f>SUM(T12:T18)</f>
        <v>808560.67</v>
      </c>
    </row>
  </sheetData>
  <mergeCells count="37">
    <mergeCell ref="B1:O1"/>
    <mergeCell ref="A2:B2"/>
    <mergeCell ref="C2:C4"/>
    <mergeCell ref="D2:D4"/>
    <mergeCell ref="E2:E4"/>
    <mergeCell ref="F2:F4"/>
    <mergeCell ref="G2:G4"/>
    <mergeCell ref="H2:H4"/>
    <mergeCell ref="I2:I4"/>
    <mergeCell ref="J2:J4"/>
    <mergeCell ref="K2:P2"/>
    <mergeCell ref="Q2:Q4"/>
    <mergeCell ref="R2:S4"/>
    <mergeCell ref="T2:T4"/>
    <mergeCell ref="A3:B3"/>
    <mergeCell ref="K3:M3"/>
    <mergeCell ref="N3:P3"/>
    <mergeCell ref="A4:B4"/>
    <mergeCell ref="A5:B5"/>
    <mergeCell ref="R5:S5"/>
    <mergeCell ref="A6:B6"/>
    <mergeCell ref="R6:S6"/>
    <mergeCell ref="A7:B7"/>
    <mergeCell ref="R7:S7"/>
    <mergeCell ref="A8:B8"/>
    <mergeCell ref="R8:S8"/>
    <mergeCell ref="A9:B9"/>
    <mergeCell ref="R9:S9"/>
    <mergeCell ref="B10:J10"/>
    <mergeCell ref="R10:S10"/>
    <mergeCell ref="D18:E18"/>
    <mergeCell ref="C13:D13"/>
    <mergeCell ref="A14:B14"/>
    <mergeCell ref="C14:E14"/>
    <mergeCell ref="D15:E15"/>
    <mergeCell ref="D16:E16"/>
    <mergeCell ref="D17:E17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</vt:lpstr>
      <vt:lpstr>Summary</vt:lpstr>
      <vt:lpstr>Payroll Matrix Report - 2022-08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2022-08-30T05:17:49Z</dcterms:created>
  <dcterms:modified xsi:type="dcterms:W3CDTF">2022-08-30T05:27:38Z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