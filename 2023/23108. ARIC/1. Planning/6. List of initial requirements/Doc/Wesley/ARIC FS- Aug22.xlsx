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KUJ\General Ledger\Financial Reports\2022\08. Aug 2022\Report\"/>
    </mc:Choice>
  </mc:AlternateContent>
  <bookViews>
    <workbookView xWindow="0" yWindow="0" windowWidth="19200" windowHeight="6760" tabRatio="894"/>
  </bookViews>
  <sheets>
    <sheet name="BS" sheetId="12" r:id="rId1"/>
    <sheet name="IS" sheetId="11" r:id="rId2"/>
    <sheet name="Schedules" sheetId="23" r:id="rId3"/>
    <sheet name="Expense Comparison" sheetId="28" r:id="rId4"/>
    <sheet name="Budget Comparison" sheetId="41" r:id="rId5"/>
    <sheet name="In- Kind Summary" sheetId="8" state="hidden" r:id="rId6"/>
    <sheet name="In Kind Calculation" sheetId="10" state="hidden" r:id="rId7"/>
    <sheet name="Other Income" sheetId="26" state="hidden" r:id="rId8"/>
    <sheet name="Fixed Assets" sheetId="15" r:id="rId9"/>
    <sheet name="Petty Cash" sheetId="49" r:id="rId10"/>
    <sheet name="Cash and Bank" sheetId="13" r:id="rId11"/>
    <sheet name="Housing Advances" sheetId="30" state="hidden" r:id="rId12"/>
    <sheet name="Related Party Balance" sheetId="31" state="hidden" r:id="rId13"/>
    <sheet name="AR" sheetId="48" r:id="rId14"/>
    <sheet name="Other Deposits" sheetId="40" state="hidden" r:id="rId15"/>
    <sheet name="Advances to Vendors " sheetId="55" r:id="rId16"/>
    <sheet name="Expense AP Accrual " sheetId="56" r:id="rId17"/>
    <sheet name="AP Ageing " sheetId="57" r:id="rId18"/>
    <sheet name="AP Accruals" sheetId="58" r:id="rId19"/>
    <sheet name="TB" sheetId="19" state="hidden" r:id="rId20"/>
    <sheet name="TB-Aug 22" sheetId="52" state="hidden" r:id="rId21"/>
    <sheet name="TB-Aug21" sheetId="59" state="hidden" r:id="rId22"/>
    <sheet name="Accrued Insurance" sheetId="47" state="hidden" r:id="rId23"/>
    <sheet name="Retention" sheetId="35" state="hidden" r:id="rId24"/>
    <sheet name="Payroll Accrual" sheetId="42" state="hidden" r:id="rId25"/>
    <sheet name="Related Party" sheetId="43" state="hidden" r:id="rId26"/>
  </sheets>
  <externalReferences>
    <externalReference r:id="rId27"/>
    <externalReference r:id="rId28"/>
    <externalReference r:id="rId29"/>
    <externalReference r:id="rId30"/>
  </externalReferences>
  <definedNames>
    <definedName name="_xlnm._FilterDatabase" localSheetId="4" hidden="1">'Budget Comparison'!$A$7:$G$48</definedName>
    <definedName name="_xlnm._FilterDatabase" localSheetId="19" hidden="1">TB!$A$4:$N$111</definedName>
    <definedName name="company">[1]Data!$B$2</definedName>
    <definedName name="emirates">[1]Data!$B$5</definedName>
    <definedName name="pobox">[1]Data!$B$4</definedName>
    <definedName name="_xlnm.Print_Area" localSheetId="18">'AP Accruals'!$B$1:$G$18</definedName>
    <definedName name="_xlnm.Print_Area" localSheetId="10">'Cash and Bank'!$A$5:$G$29</definedName>
    <definedName name="_xlnm.Print_Area" localSheetId="3">'Expense Comparison'!$A$1:$D$23</definedName>
    <definedName name="_xlnm.Print_Area" localSheetId="2">Schedules!$A$1:$E$19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41" l="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8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F9" i="13" l="1"/>
  <c r="F27" i="13" s="1"/>
  <c r="F42" i="13" s="1"/>
  <c r="F47" i="13" s="1"/>
  <c r="F23" i="13"/>
  <c r="F36" i="13"/>
  <c r="F40" i="13"/>
  <c r="F14" i="57" l="1"/>
  <c r="H14" i="57"/>
  <c r="I14" i="57"/>
  <c r="J14" i="57"/>
  <c r="K14" i="57"/>
  <c r="L14" i="57"/>
  <c r="M14" i="57"/>
  <c r="N14" i="57"/>
  <c r="F24" i="58"/>
  <c r="E24" i="58"/>
  <c r="G23" i="58"/>
  <c r="G22" i="58"/>
  <c r="G21" i="58"/>
  <c r="G20" i="58"/>
  <c r="G17" i="58"/>
  <c r="G16" i="58"/>
  <c r="G15" i="58"/>
  <c r="G14" i="58"/>
  <c r="G13" i="58"/>
  <c r="F12" i="58"/>
  <c r="G12" i="58" s="1"/>
  <c r="G11" i="58"/>
  <c r="G10" i="58"/>
  <c r="F9" i="58"/>
  <c r="G9" i="58" s="1"/>
  <c r="G8" i="58"/>
  <c r="G7" i="58"/>
  <c r="G24" i="58" l="1"/>
  <c r="G26" i="58" s="1"/>
  <c r="E15" i="15"/>
  <c r="E16" i="15"/>
  <c r="D7" i="56" l="1"/>
  <c r="C52" i="19" l="1"/>
  <c r="E47" i="23" s="1"/>
  <c r="D52" i="19"/>
  <c r="F47" i="23" s="1"/>
  <c r="C11" i="19"/>
  <c r="E21" i="23" s="1"/>
  <c r="D11" i="19"/>
  <c r="F21" i="23" s="1"/>
  <c r="C12" i="19"/>
  <c r="D12" i="19"/>
  <c r="D6" i="19"/>
  <c r="D7" i="19"/>
  <c r="D8" i="19"/>
  <c r="D9" i="19"/>
  <c r="D10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5" i="19"/>
  <c r="G11" i="41" l="1"/>
  <c r="E7" i="56" l="1"/>
  <c r="D6" i="56"/>
  <c r="E6" i="56" s="1"/>
  <c r="H13" i="15" l="1"/>
  <c r="H12" i="15"/>
  <c r="H11" i="15"/>
  <c r="H10" i="15"/>
  <c r="C10" i="15"/>
  <c r="C12" i="15"/>
  <c r="C13" i="15"/>
  <c r="C11" i="15"/>
  <c r="D48" i="41" l="1"/>
  <c r="D49" i="41" s="1"/>
  <c r="C17" i="15"/>
  <c r="C18" i="15" s="1"/>
  <c r="A3" i="55" l="1"/>
  <c r="A3" i="56"/>
  <c r="A3" i="58"/>
  <c r="A3" i="57"/>
  <c r="G10" i="57" l="1"/>
  <c r="G9" i="57"/>
  <c r="G8" i="57"/>
  <c r="G13" i="57"/>
  <c r="G12" i="57"/>
  <c r="G11" i="57"/>
  <c r="L13" i="57" l="1"/>
  <c r="M13" i="57"/>
  <c r="H13" i="57"/>
  <c r="I13" i="57"/>
  <c r="J13" i="57"/>
  <c r="K13" i="57"/>
  <c r="L10" i="57"/>
  <c r="K10" i="57"/>
  <c r="J10" i="57"/>
  <c r="I10" i="57"/>
  <c r="M10" i="57"/>
  <c r="H10" i="57"/>
  <c r="L12" i="57"/>
  <c r="M12" i="57"/>
  <c r="H12" i="57"/>
  <c r="I12" i="57"/>
  <c r="J12" i="57"/>
  <c r="K12" i="57"/>
  <c r="L8" i="57"/>
  <c r="K8" i="57"/>
  <c r="J8" i="57"/>
  <c r="I8" i="57"/>
  <c r="H8" i="57"/>
  <c r="M8" i="57"/>
  <c r="L9" i="57"/>
  <c r="K9" i="57"/>
  <c r="J9" i="57"/>
  <c r="I9" i="57"/>
  <c r="M9" i="57"/>
  <c r="H9" i="57"/>
  <c r="N9" i="57" s="1"/>
  <c r="G14" i="57"/>
  <c r="M11" i="57"/>
  <c r="N10" i="57" l="1"/>
  <c r="N8" i="57"/>
  <c r="N12" i="57"/>
  <c r="N13" i="57"/>
  <c r="H11" i="57"/>
  <c r="K11" i="57"/>
  <c r="L11" i="57"/>
  <c r="I11" i="57"/>
  <c r="J11" i="57"/>
  <c r="N11" i="57" l="1"/>
  <c r="E7" i="10" l="1"/>
  <c r="E31" i="10" l="1"/>
  <c r="E32" i="10"/>
  <c r="E33" i="10"/>
  <c r="E34" i="10"/>
  <c r="E35" i="10"/>
  <c r="E36" i="10"/>
  <c r="E30" i="10"/>
  <c r="E25" i="10"/>
  <c r="E24" i="10"/>
  <c r="E23" i="10"/>
  <c r="E22" i="10"/>
  <c r="E21" i="10"/>
  <c r="E20" i="10"/>
  <c r="E19" i="10"/>
  <c r="E18" i="10"/>
  <c r="E8" i="10"/>
  <c r="E9" i="10"/>
  <c r="E10" i="10"/>
  <c r="E11" i="10"/>
  <c r="E12" i="10"/>
  <c r="E13" i="10"/>
  <c r="D13" i="10"/>
  <c r="D12" i="10"/>
  <c r="D9" i="10"/>
  <c r="D8" i="10"/>
  <c r="E28" i="28" l="1"/>
  <c r="A4" i="15" l="1"/>
  <c r="C9" i="56" l="1"/>
  <c r="E8" i="56"/>
  <c r="I11" i="55"/>
  <c r="D11" i="55"/>
  <c r="E9" i="56" l="1"/>
  <c r="D9" i="56"/>
  <c r="C94" i="19" l="1"/>
  <c r="D28" i="28" s="1"/>
  <c r="C6" i="19"/>
  <c r="G9" i="13" s="1"/>
  <c r="C7" i="19"/>
  <c r="C8" i="19"/>
  <c r="C9" i="19"/>
  <c r="C10" i="19"/>
  <c r="C13" i="19"/>
  <c r="C14" i="19"/>
  <c r="C15" i="19"/>
  <c r="C16" i="19"/>
  <c r="D13" i="55" s="1"/>
  <c r="D14" i="55" s="1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G12" i="15" s="1"/>
  <c r="E12" i="15" s="1"/>
  <c r="C31" i="19"/>
  <c r="C32" i="19"/>
  <c r="C33" i="19"/>
  <c r="G11" i="15" s="1"/>
  <c r="C34" i="19"/>
  <c r="C35" i="19"/>
  <c r="C36" i="19"/>
  <c r="G13" i="15" s="1"/>
  <c r="C37" i="19"/>
  <c r="C38" i="19"/>
  <c r="C39" i="19"/>
  <c r="C40" i="19"/>
  <c r="C41" i="19"/>
  <c r="C42" i="19"/>
  <c r="C43" i="19"/>
  <c r="E12" i="56" s="1"/>
  <c r="E13" i="56" s="1"/>
  <c r="C44" i="19"/>
  <c r="C45" i="19"/>
  <c r="C46" i="19"/>
  <c r="C47" i="19"/>
  <c r="C48" i="19"/>
  <c r="C49" i="19"/>
  <c r="C50" i="19"/>
  <c r="C51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5" i="19"/>
  <c r="C96" i="19"/>
  <c r="C97" i="19"/>
  <c r="C98" i="19"/>
  <c r="C99" i="19"/>
  <c r="C100" i="19"/>
  <c r="C101" i="19"/>
  <c r="J10" i="15" s="1"/>
  <c r="C102" i="19"/>
  <c r="J12" i="15" s="1"/>
  <c r="C103" i="19"/>
  <c r="J11" i="15" s="1"/>
  <c r="C104" i="19"/>
  <c r="J13" i="15" s="1"/>
  <c r="C105" i="19"/>
  <c r="C106" i="19"/>
  <c r="C107" i="19"/>
  <c r="C108" i="19"/>
  <c r="C109" i="19"/>
  <c r="C5" i="19"/>
  <c r="G10" i="15" l="1"/>
  <c r="E10" i="15" s="1"/>
  <c r="F28" i="28"/>
  <c r="G28" i="28" s="1"/>
  <c r="N16" i="57"/>
  <c r="N17" i="57" s="1"/>
  <c r="L10" i="15"/>
  <c r="E13" i="15"/>
  <c r="D120" i="19"/>
  <c r="E11" i="15"/>
  <c r="D119" i="19"/>
  <c r="C120" i="19"/>
  <c r="C4" i="19"/>
  <c r="D4" i="19" s="1"/>
  <c r="D7" i="11" l="1"/>
  <c r="F10" i="48"/>
  <c r="I10" i="48" s="1"/>
  <c r="G13" i="41" l="1"/>
  <c r="G12" i="41" l="1"/>
  <c r="E26" i="23"/>
  <c r="D26" i="23"/>
  <c r="E45" i="23"/>
  <c r="E46" i="23" l="1"/>
  <c r="F26" i="23" l="1"/>
  <c r="F6" i="23"/>
  <c r="F13" i="23"/>
  <c r="F8" i="23"/>
  <c r="F15" i="23"/>
  <c r="F7" i="23"/>
  <c r="F14" i="23"/>
  <c r="F9" i="23"/>
  <c r="F16" i="23"/>
  <c r="F46" i="23"/>
  <c r="F45" i="23"/>
  <c r="F10" i="23" l="1"/>
  <c r="C8" i="49" l="1"/>
  <c r="E56" i="28" l="1"/>
  <c r="F27" i="23" l="1"/>
  <c r="D115" i="19" l="1"/>
  <c r="E27" i="23" l="1"/>
  <c r="D56" i="28"/>
  <c r="F56" i="28" l="1"/>
  <c r="G56" i="28" s="1"/>
  <c r="C115" i="19"/>
  <c r="G29" i="41"/>
  <c r="G33" i="41"/>
  <c r="G9" i="41" l="1"/>
  <c r="I10" i="30" l="1"/>
  <c r="K10" i="30" s="1"/>
  <c r="F8" i="49" l="1"/>
  <c r="E47" i="28" l="1"/>
  <c r="E46" i="28"/>
  <c r="D46" i="28"/>
  <c r="F46" i="28" s="1"/>
  <c r="D47" i="28"/>
  <c r="F47" i="28" s="1"/>
  <c r="D48" i="28"/>
  <c r="G46" i="28" l="1"/>
  <c r="G47" i="28"/>
  <c r="D68" i="28"/>
  <c r="F68" i="28" s="1"/>
  <c r="D70" i="28"/>
  <c r="D69" i="28"/>
  <c r="D67" i="28"/>
  <c r="F67" i="28" s="1"/>
  <c r="E70" i="28"/>
  <c r="E69" i="28"/>
  <c r="E68" i="28"/>
  <c r="E67" i="28"/>
  <c r="D111" i="19"/>
  <c r="F69" i="28" l="1"/>
  <c r="F70" i="28"/>
  <c r="F71" i="28" s="1"/>
  <c r="C111" i="19"/>
  <c r="K17" i="15" l="1"/>
  <c r="L11" i="15"/>
  <c r="L12" i="15"/>
  <c r="L13" i="15"/>
  <c r="L14" i="15"/>
  <c r="L15" i="15"/>
  <c r="L16" i="15"/>
  <c r="F17" i="15"/>
  <c r="G15" i="15"/>
  <c r="N15" i="15" s="1"/>
  <c r="G40" i="41" l="1"/>
  <c r="G41" i="41"/>
  <c r="G47" i="41"/>
  <c r="G44" i="41"/>
  <c r="G43" i="41"/>
  <c r="G38" i="41"/>
  <c r="G37" i="41"/>
  <c r="G34" i="41"/>
  <c r="G32" i="41"/>
  <c r="G28" i="41"/>
  <c r="G27" i="41"/>
  <c r="G23" i="41"/>
  <c r="G20" i="41"/>
  <c r="G19" i="41"/>
  <c r="G15" i="41"/>
  <c r="G10" i="41"/>
  <c r="G24" i="41"/>
  <c r="G16" i="41"/>
  <c r="G45" i="41"/>
  <c r="G46" i="41"/>
  <c r="G42" i="41"/>
  <c r="G39" i="41"/>
  <c r="G36" i="41"/>
  <c r="G35" i="41"/>
  <c r="G31" i="41"/>
  <c r="G30" i="41"/>
  <c r="G26" i="41"/>
  <c r="G25" i="41"/>
  <c r="G22" i="41"/>
  <c r="G21" i="41"/>
  <c r="G18" i="41"/>
  <c r="G17" i="41"/>
  <c r="G14" i="41"/>
  <c r="G8" i="41"/>
  <c r="N10" i="15" l="1"/>
  <c r="G14" i="15"/>
  <c r="F18" i="23" l="1"/>
  <c r="E11" i="12" s="1"/>
  <c r="D10" i="47" l="1"/>
  <c r="F13" i="43" l="1"/>
  <c r="E13" i="43"/>
  <c r="D9" i="35" l="1"/>
  <c r="E9" i="35"/>
  <c r="F28" i="23" l="1"/>
  <c r="D28" i="23"/>
  <c r="M16" i="15" l="1"/>
  <c r="E28" i="23"/>
  <c r="G16" i="15" l="1"/>
  <c r="N16" i="15" s="1"/>
  <c r="G13" i="43" l="1"/>
  <c r="J13" i="43" s="1"/>
  <c r="A8" i="43"/>
  <c r="A9" i="43" s="1"/>
  <c r="A10" i="43" s="1"/>
  <c r="E8" i="42" l="1"/>
  <c r="F48" i="41" l="1"/>
  <c r="F49" i="41" s="1"/>
  <c r="E48" i="41" l="1"/>
  <c r="E49" i="41" s="1"/>
  <c r="G48" i="41" l="1"/>
  <c r="G49" i="41" s="1"/>
  <c r="E65" i="28" l="1"/>
  <c r="F10" i="11" l="1"/>
  <c r="F8" i="40" l="1"/>
  <c r="F29" i="23" l="1"/>
  <c r="D29" i="23"/>
  <c r="I8" i="40" l="1"/>
  <c r="E29" i="23"/>
  <c r="E9" i="23" l="1"/>
  <c r="E7" i="23"/>
  <c r="I17" i="15"/>
  <c r="D17" i="15"/>
  <c r="H17" i="15" l="1"/>
  <c r="M13" i="15" l="1"/>
  <c r="N14" i="15"/>
  <c r="M14" i="15"/>
  <c r="M12" i="15" l="1"/>
  <c r="F32" i="23" l="1"/>
  <c r="D32" i="23" l="1"/>
  <c r="F35" i="23" l="1"/>
  <c r="D35" i="23"/>
  <c r="F34" i="23"/>
  <c r="D34" i="23"/>
  <c r="D25" i="23"/>
  <c r="F33" i="23"/>
  <c r="F23" i="23"/>
  <c r="F25" i="23" l="1"/>
  <c r="D20" i="23"/>
  <c r="D23" i="23"/>
  <c r="E25" i="23"/>
  <c r="D22" i="23"/>
  <c r="D24" i="23"/>
  <c r="F22" i="23"/>
  <c r="F20" i="23"/>
  <c r="F24" i="23"/>
  <c r="F30" i="23" l="1"/>
  <c r="E34" i="23"/>
  <c r="E35" i="23"/>
  <c r="E20" i="23"/>
  <c r="E22" i="23"/>
  <c r="E24" i="23"/>
  <c r="E23" i="23"/>
  <c r="E32" i="23"/>
  <c r="D57" i="28" l="1"/>
  <c r="C34" i="28"/>
  <c r="E34" i="28"/>
  <c r="D34" i="28"/>
  <c r="F34" i="28" s="1"/>
  <c r="D45" i="28"/>
  <c r="D54" i="28"/>
  <c r="F54" i="28" s="1"/>
  <c r="D55" i="28"/>
  <c r="F55" i="28" s="1"/>
  <c r="D53" i="28"/>
  <c r="F53" i="28" s="1"/>
  <c r="C119" i="19"/>
  <c r="E54" i="28"/>
  <c r="E55" i="28"/>
  <c r="E53" i="28"/>
  <c r="C67" i="28"/>
  <c r="I9" i="35"/>
  <c r="D26" i="28"/>
  <c r="D41" i="23"/>
  <c r="E41" i="23"/>
  <c r="F41" i="23"/>
  <c r="D41" i="28"/>
  <c r="H8" i="42"/>
  <c r="C36" i="28"/>
  <c r="E36" i="28"/>
  <c r="D36" i="28"/>
  <c r="F36" i="28" s="1"/>
  <c r="C68" i="28"/>
  <c r="E16" i="28"/>
  <c r="E14" i="23"/>
  <c r="E30" i="23"/>
  <c r="E33" i="23"/>
  <c r="C9" i="28"/>
  <c r="C18" i="28"/>
  <c r="C21" i="28"/>
  <c r="E17" i="28"/>
  <c r="E8" i="28"/>
  <c r="D8" i="28"/>
  <c r="D17" i="28"/>
  <c r="D51" i="28"/>
  <c r="E20" i="28"/>
  <c r="E24" i="28"/>
  <c r="D24" i="28"/>
  <c r="F24" i="28" s="1"/>
  <c r="E51" i="28"/>
  <c r="D20" i="28"/>
  <c r="C19" i="28"/>
  <c r="E19" i="28"/>
  <c r="D19" i="28"/>
  <c r="D39" i="28"/>
  <c r="C39" i="28"/>
  <c r="E39" i="28"/>
  <c r="D18" i="28"/>
  <c r="D30" i="28"/>
  <c r="C30" i="28"/>
  <c r="E30" i="28"/>
  <c r="D35" i="28"/>
  <c r="F35" i="28" s="1"/>
  <c r="C35" i="28"/>
  <c r="E35" i="28"/>
  <c r="D52" i="28"/>
  <c r="F52" i="28" s="1"/>
  <c r="C52" i="28"/>
  <c r="E52" i="28"/>
  <c r="D9" i="28"/>
  <c r="E18" i="28"/>
  <c r="E21" i="28"/>
  <c r="D31" i="28"/>
  <c r="C31" i="28"/>
  <c r="E31" i="28"/>
  <c r="C48" i="28"/>
  <c r="E48" i="28"/>
  <c r="C8" i="28"/>
  <c r="C17" i="28"/>
  <c r="C51" i="28"/>
  <c r="C24" i="28"/>
  <c r="C20" i="28"/>
  <c r="E9" i="28"/>
  <c r="D21" i="28"/>
  <c r="D27" i="28"/>
  <c r="F27" i="28" s="1"/>
  <c r="C27" i="28"/>
  <c r="E27" i="28"/>
  <c r="D42" i="28"/>
  <c r="C42" i="28"/>
  <c r="E42" i="28"/>
  <c r="D49" i="28"/>
  <c r="C49" i="28"/>
  <c r="E49" i="28"/>
  <c r="F31" i="28" l="1"/>
  <c r="F39" i="28"/>
  <c r="F51" i="28"/>
  <c r="F17" i="28"/>
  <c r="G17" i="28" s="1"/>
  <c r="F49" i="28"/>
  <c r="F42" i="28"/>
  <c r="F9" i="28"/>
  <c r="F8" i="28"/>
  <c r="G8" i="28" s="1"/>
  <c r="F48" i="28"/>
  <c r="G48" i="28" s="1"/>
  <c r="F30" i="28"/>
  <c r="F57" i="28"/>
  <c r="G57" i="28" s="1"/>
  <c r="G53" i="28"/>
  <c r="G54" i="28"/>
  <c r="G34" i="28"/>
  <c r="E45" i="28"/>
  <c r="F45" i="28" s="1"/>
  <c r="C45" i="28"/>
  <c r="G55" i="28"/>
  <c r="C26" i="28"/>
  <c r="E26" i="28"/>
  <c r="F26" i="28" s="1"/>
  <c r="D37" i="28"/>
  <c r="C37" i="28"/>
  <c r="E37" i="28"/>
  <c r="E41" i="28"/>
  <c r="F41" i="28" s="1"/>
  <c r="C41" i="28"/>
  <c r="D38" i="28"/>
  <c r="D25" i="28"/>
  <c r="C38" i="28"/>
  <c r="C25" i="28"/>
  <c r="E25" i="28"/>
  <c r="E38" i="28"/>
  <c r="D65" i="28"/>
  <c r="F64" i="28"/>
  <c r="G64" i="28" s="1"/>
  <c r="D16" i="28"/>
  <c r="F16" i="28" s="1"/>
  <c r="C16" i="28"/>
  <c r="G36" i="28"/>
  <c r="C69" i="28"/>
  <c r="E40" i="23"/>
  <c r="F40" i="23"/>
  <c r="E42" i="23"/>
  <c r="F42" i="23"/>
  <c r="E38" i="23"/>
  <c r="F38" i="23"/>
  <c r="E44" i="23"/>
  <c r="F44" i="23"/>
  <c r="E43" i="23"/>
  <c r="F43" i="23"/>
  <c r="E39" i="23"/>
  <c r="F39" i="23"/>
  <c r="E17" i="15"/>
  <c r="G70" i="28"/>
  <c r="G69" i="28"/>
  <c r="E10" i="28"/>
  <c r="C10" i="28"/>
  <c r="D10" i="28"/>
  <c r="D40" i="23"/>
  <c r="D32" i="28"/>
  <c r="F32" i="28" s="1"/>
  <c r="C32" i="28"/>
  <c r="E32" i="28"/>
  <c r="D42" i="23"/>
  <c r="D33" i="28"/>
  <c r="C33" i="28"/>
  <c r="E33" i="28"/>
  <c r="D44" i="23"/>
  <c r="E12" i="28"/>
  <c r="C12" i="28"/>
  <c r="D12" i="28"/>
  <c r="D39" i="23"/>
  <c r="D29" i="28"/>
  <c r="C29" i="28"/>
  <c r="E29" i="28"/>
  <c r="D44" i="28"/>
  <c r="C44" i="28"/>
  <c r="E44" i="28"/>
  <c r="D43" i="28"/>
  <c r="C43" i="28"/>
  <c r="E43" i="28"/>
  <c r="D14" i="28"/>
  <c r="E14" i="28"/>
  <c r="C14" i="28"/>
  <c r="D43" i="23"/>
  <c r="D50" i="28"/>
  <c r="C50" i="28"/>
  <c r="E50" i="28"/>
  <c r="C11" i="28"/>
  <c r="E11" i="28"/>
  <c r="D11" i="28"/>
  <c r="F11" i="28" s="1"/>
  <c r="D40" i="28"/>
  <c r="C40" i="28"/>
  <c r="E40" i="28"/>
  <c r="D38" i="23"/>
  <c r="C13" i="28"/>
  <c r="E13" i="28"/>
  <c r="D13" i="28"/>
  <c r="D15" i="28"/>
  <c r="C15" i="28"/>
  <c r="E15" i="28"/>
  <c r="C7" i="28"/>
  <c r="E7" i="28"/>
  <c r="D7" i="28"/>
  <c r="E6" i="28"/>
  <c r="D6" i="28"/>
  <c r="F6" i="28" s="1"/>
  <c r="C6" i="28"/>
  <c r="F10" i="28" l="1"/>
  <c r="F43" i="28"/>
  <c r="F25" i="28"/>
  <c r="F38" i="28"/>
  <c r="F12" i="28"/>
  <c r="F50" i="28"/>
  <c r="F15" i="28"/>
  <c r="F13" i="28"/>
  <c r="F40" i="28"/>
  <c r="F44" i="28"/>
  <c r="F7" i="28"/>
  <c r="F14" i="28"/>
  <c r="F29" i="28"/>
  <c r="F33" i="28"/>
  <c r="F37" i="28"/>
  <c r="E48" i="23"/>
  <c r="E58" i="28"/>
  <c r="F17" i="11" s="1"/>
  <c r="D58" i="28"/>
  <c r="F58" i="28" s="1"/>
  <c r="E10" i="23"/>
  <c r="E71" i="28"/>
  <c r="F15" i="11" s="1"/>
  <c r="G68" i="28"/>
  <c r="J17" i="15"/>
  <c r="J18" i="15" s="1"/>
  <c r="D71" i="28"/>
  <c r="D15" i="11" s="1"/>
  <c r="G67" i="28"/>
  <c r="G31" i="28"/>
  <c r="G39" i="28"/>
  <c r="G52" i="28"/>
  <c r="G41" i="28"/>
  <c r="D17" i="11" l="1"/>
  <c r="N13" i="15"/>
  <c r="E16" i="23"/>
  <c r="N12" i="15"/>
  <c r="E15" i="23"/>
  <c r="G71" i="28"/>
  <c r="C9" i="35" l="1"/>
  <c r="D18" i="31" l="1"/>
  <c r="E18" i="31" l="1"/>
  <c r="F19" i="26" l="1"/>
  <c r="I87" i="19" l="1"/>
  <c r="H18" i="31" l="1"/>
  <c r="G27" i="28" l="1"/>
  <c r="G11" i="28" l="1"/>
  <c r="G15" i="28"/>
  <c r="G10" i="28" l="1"/>
  <c r="F63" i="28"/>
  <c r="G63" i="28" s="1"/>
  <c r="F61" i="28"/>
  <c r="F60" i="28"/>
  <c r="G60" i="28" s="1"/>
  <c r="F62" i="28"/>
  <c r="G62" i="28" s="1"/>
  <c r="G29" i="28"/>
  <c r="G35" i="28"/>
  <c r="G42" i="28"/>
  <c r="F20" i="28"/>
  <c r="G20" i="28" s="1"/>
  <c r="G25" i="28"/>
  <c r="G30" i="28"/>
  <c r="G37" i="28"/>
  <c r="G43" i="28"/>
  <c r="G49" i="28"/>
  <c r="G14" i="28"/>
  <c r="F19" i="28"/>
  <c r="F21" i="28"/>
  <c r="G21" i="28" s="1"/>
  <c r="G26" i="28"/>
  <c r="G32" i="28"/>
  <c r="G38" i="28"/>
  <c r="G44" i="28"/>
  <c r="G50" i="28"/>
  <c r="G33" i="28"/>
  <c r="G40" i="28"/>
  <c r="G45" i="28"/>
  <c r="G51" i="28"/>
  <c r="G13" i="28"/>
  <c r="G9" i="28"/>
  <c r="F18" i="28"/>
  <c r="G16" i="28"/>
  <c r="G12" i="28"/>
  <c r="G7" i="28"/>
  <c r="G6" i="28"/>
  <c r="D22" i="28"/>
  <c r="E22" i="28"/>
  <c r="G18" i="28" l="1"/>
  <c r="F22" i="28"/>
  <c r="G22" i="28" s="1"/>
  <c r="G58" i="28"/>
  <c r="F14" i="11"/>
  <c r="G24" i="28"/>
  <c r="G61" i="28"/>
  <c r="F65" i="28"/>
  <c r="D14" i="11"/>
  <c r="G19" i="28"/>
  <c r="G65" i="28" l="1"/>
  <c r="E8" i="23" l="1"/>
  <c r="I92" i="19"/>
  <c r="I19" i="26" l="1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D10" i="11" l="1"/>
  <c r="H10" i="11" s="1"/>
  <c r="I10" i="11" s="1"/>
  <c r="M11" i="15" l="1"/>
  <c r="N11" i="15" l="1"/>
  <c r="N17" i="15" s="1"/>
  <c r="I93" i="19" l="1"/>
  <c r="D116" i="19" l="1"/>
  <c r="C116" i="19"/>
  <c r="D117" i="19"/>
  <c r="C117" i="19"/>
  <c r="G17" i="12" l="1"/>
  <c r="H17" i="12" s="1"/>
  <c r="E28" i="12" l="1"/>
  <c r="C28" i="12"/>
  <c r="F36" i="23"/>
  <c r="E18" i="12" s="1"/>
  <c r="E36" i="23"/>
  <c r="C16" i="12" l="1"/>
  <c r="E16" i="12"/>
  <c r="F11" i="23"/>
  <c r="E10" i="12" s="1"/>
  <c r="C32" i="12"/>
  <c r="G28" i="12"/>
  <c r="F48" i="23"/>
  <c r="E32" i="12" s="1"/>
  <c r="E34" i="12" s="1"/>
  <c r="C18" i="12"/>
  <c r="G16" i="12" l="1"/>
  <c r="H16" i="12" s="1"/>
  <c r="G32" i="12"/>
  <c r="H32" i="12" s="1"/>
  <c r="C34" i="12"/>
  <c r="G34" i="12" l="1"/>
  <c r="H34" i="12" s="1"/>
  <c r="H14" i="11" l="1"/>
  <c r="I14" i="11" s="1"/>
  <c r="E20" i="12" l="1"/>
  <c r="F16" i="11"/>
  <c r="F18" i="11" l="1"/>
  <c r="F9" i="11" s="1"/>
  <c r="F11" i="11" l="1"/>
  <c r="F19" i="11" s="1"/>
  <c r="I88" i="19" l="1"/>
  <c r="M15" i="15" l="1"/>
  <c r="E13" i="12"/>
  <c r="E26" i="12" s="1"/>
  <c r="E27" i="12" s="1"/>
  <c r="E22" i="12" l="1"/>
  <c r="E30" i="12" l="1"/>
  <c r="N18" i="15"/>
  <c r="I67" i="19"/>
  <c r="I70" i="19"/>
  <c r="I109" i="19"/>
  <c r="I106" i="19"/>
  <c r="I105" i="19"/>
  <c r="I103" i="19"/>
  <c r="I101" i="19"/>
  <c r="I100" i="19"/>
  <c r="I97" i="19"/>
  <c r="I95" i="19"/>
  <c r="I91" i="19"/>
  <c r="I90" i="19"/>
  <c r="I86" i="19"/>
  <c r="I85" i="19"/>
  <c r="I83" i="19"/>
  <c r="I78" i="19"/>
  <c r="I75" i="19"/>
  <c r="I72" i="19"/>
  <c r="I71" i="19"/>
  <c r="I55" i="19"/>
  <c r="I53" i="19"/>
  <c r="I50" i="19"/>
  <c r="I49" i="19"/>
  <c r="I48" i="19"/>
  <c r="I47" i="19"/>
  <c r="I39" i="19"/>
  <c r="I15" i="19"/>
  <c r="I38" i="19"/>
  <c r="I36" i="19"/>
  <c r="I28" i="19"/>
  <c r="I26" i="19"/>
  <c r="I18" i="19"/>
  <c r="I16" i="19"/>
  <c r="I10" i="19"/>
  <c r="I6" i="19"/>
  <c r="I5" i="19"/>
  <c r="K111" i="19" s="1"/>
  <c r="F7" i="11" l="1"/>
  <c r="E7" i="12"/>
  <c r="C7" i="12"/>
  <c r="D4" i="28" s="1"/>
  <c r="H110" i="19"/>
  <c r="F4" i="23" l="1"/>
  <c r="E4" i="28"/>
  <c r="H17" i="11"/>
  <c r="I17" i="11" s="1"/>
  <c r="E4" i="23"/>
  <c r="M10" i="15" l="1"/>
  <c r="M17" i="15" s="1"/>
  <c r="E36" i="12" l="1"/>
  <c r="E39" i="12" s="1"/>
  <c r="G17" i="15" l="1"/>
  <c r="E6" i="23"/>
  <c r="L17" i="15"/>
  <c r="E13" i="23"/>
  <c r="E18" i="23" s="1"/>
  <c r="C11" i="12" s="1"/>
  <c r="H15" i="11" l="1"/>
  <c r="I15" i="11" s="1"/>
  <c r="E11" i="23"/>
  <c r="C10" i="12" s="1"/>
  <c r="G10" i="12" s="1"/>
  <c r="H10" i="12" s="1"/>
  <c r="D16" i="11" l="1"/>
  <c r="H16" i="11" s="1"/>
  <c r="I16" i="11" s="1"/>
  <c r="C13" i="12" l="1"/>
  <c r="C26" i="12" s="1"/>
  <c r="G11" i="12"/>
  <c r="H11" i="12" s="1"/>
  <c r="G26" i="12" l="1"/>
  <c r="H26" i="12" s="1"/>
  <c r="G13" i="12"/>
  <c r="H13" i="12" s="1"/>
  <c r="C20" i="12" l="1"/>
  <c r="C22" i="12" s="1"/>
  <c r="G18" i="12"/>
  <c r="H18" i="12" s="1"/>
  <c r="G20" i="12" l="1"/>
  <c r="H20" i="12" s="1"/>
  <c r="G22" i="12" l="1"/>
  <c r="H22" i="12" s="1"/>
  <c r="E44" i="10" l="1"/>
  <c r="D12" i="8" l="1"/>
  <c r="E14" i="10"/>
  <c r="E37" i="10" l="1"/>
  <c r="D11" i="8" s="1"/>
  <c r="E11" i="8" s="1"/>
  <c r="E26" i="10"/>
  <c r="D10" i="8" s="1"/>
  <c r="E12" i="8"/>
  <c r="D9" i="8" l="1"/>
  <c r="E9" i="8" s="1"/>
  <c r="E10" i="8"/>
  <c r="E13" i="8" l="1"/>
  <c r="D13" i="8"/>
  <c r="D18" i="11" l="1"/>
  <c r="H18" i="11" s="1"/>
  <c r="I18" i="11" s="1"/>
  <c r="D9" i="11" l="1"/>
  <c r="C27" i="12" s="1"/>
  <c r="D11" i="11" l="1"/>
  <c r="H9" i="11"/>
  <c r="I9" i="11" s="1"/>
  <c r="H11" i="11" l="1"/>
  <c r="I11" i="11" s="1"/>
  <c r="D19" i="11"/>
  <c r="C30" i="12"/>
  <c r="G27" i="12"/>
  <c r="H27" i="12" s="1"/>
  <c r="G30" i="12" l="1"/>
  <c r="H30" i="12" s="1"/>
  <c r="C36" i="12"/>
  <c r="C39" i="12" s="1"/>
  <c r="G36" i="12" l="1"/>
  <c r="H36" i="12" s="1"/>
</calcChain>
</file>

<file path=xl/sharedStrings.xml><?xml version="1.0" encoding="utf-8"?>
<sst xmlns="http://schemas.openxmlformats.org/spreadsheetml/2006/main" count="794" uniqueCount="412">
  <si>
    <t>ARIC FINANCIAL REPORTING</t>
  </si>
  <si>
    <t>Particulars</t>
  </si>
  <si>
    <t>Personnel</t>
  </si>
  <si>
    <t>Operating</t>
  </si>
  <si>
    <t>Total</t>
  </si>
  <si>
    <t>Capital</t>
  </si>
  <si>
    <t xml:space="preserve"> </t>
  </si>
  <si>
    <t>TOTAL</t>
  </si>
  <si>
    <t>Notes</t>
  </si>
  <si>
    <t>Support Services</t>
  </si>
  <si>
    <t>Actual</t>
  </si>
  <si>
    <t>Balance</t>
  </si>
  <si>
    <t>Finance, HR, Facilities, Management, Marketing etc.</t>
  </si>
  <si>
    <t>Space Cost</t>
  </si>
  <si>
    <t>IT Package</t>
  </si>
  <si>
    <t>Network and Multimedia Facilities</t>
  </si>
  <si>
    <t>In Kind Contribution split</t>
  </si>
  <si>
    <t>Admin Support  Cost</t>
  </si>
  <si>
    <t>Name of Staff</t>
  </si>
  <si>
    <t>No of Months</t>
  </si>
  <si>
    <t>Area in sq mtr</t>
  </si>
  <si>
    <t>Network and Multimedia facilities</t>
  </si>
  <si>
    <t>No of Labs</t>
  </si>
  <si>
    <t>Multimedia cost recharge @ AED 65832</t>
  </si>
  <si>
    <t>Unaudited Statement of Comprehensive Income</t>
  </si>
  <si>
    <t>AED</t>
  </si>
  <si>
    <t>Revenue</t>
  </si>
  <si>
    <t>Operating Contributions recognized as revenue</t>
  </si>
  <si>
    <t>Other Income</t>
  </si>
  <si>
    <t>Expenses</t>
  </si>
  <si>
    <t>Administrative and other costs</t>
  </si>
  <si>
    <t>Unaudited Statement of Financial Position</t>
  </si>
  <si>
    <t>ASSETS</t>
  </si>
  <si>
    <t>Non Current Assets</t>
  </si>
  <si>
    <t>Property and Equipment</t>
  </si>
  <si>
    <t>Accumulated Depreciation</t>
  </si>
  <si>
    <t>Current Assets</t>
  </si>
  <si>
    <t>Accounts Receivables and Prepayments</t>
  </si>
  <si>
    <t>Cash and Bank Balances</t>
  </si>
  <si>
    <t>TOTAL ASSETS</t>
  </si>
  <si>
    <t>LIABILITIES</t>
  </si>
  <si>
    <t>Non Current Liabilities</t>
  </si>
  <si>
    <t>Deferred Grant - Operating</t>
  </si>
  <si>
    <t>Current Liabilities</t>
  </si>
  <si>
    <t>Accounts Payable and Accruals</t>
  </si>
  <si>
    <t>TOTAL LIABILITIES</t>
  </si>
  <si>
    <t>Amount</t>
  </si>
  <si>
    <t xml:space="preserve">  Depreciation</t>
  </si>
  <si>
    <t xml:space="preserve">  Amortisation of deferred capital grant</t>
  </si>
  <si>
    <t>FIXED ASSETS SCHEDULE</t>
  </si>
  <si>
    <t>GROSS BOOK VALUE</t>
  </si>
  <si>
    <t>ACCUMULATED DEPRECIATION</t>
  </si>
  <si>
    <t>NET BOOK VALUE</t>
  </si>
  <si>
    <t>OPENING BALANCE</t>
  </si>
  <si>
    <t>ADDITIONS</t>
  </si>
  <si>
    <t>CLOSING BALANCE</t>
  </si>
  <si>
    <t>Non-current assets</t>
  </si>
  <si>
    <t>TOTAL OPERATING ASSETS</t>
  </si>
  <si>
    <t>Deferred Grant - Capital</t>
  </si>
  <si>
    <t>Vendor Name</t>
  </si>
  <si>
    <t>Grand Total</t>
  </si>
  <si>
    <t>Retention- Short Term</t>
  </si>
  <si>
    <t>TRIAL BALANCE</t>
  </si>
  <si>
    <t>Balance Sheet / Income Statement Classification</t>
  </si>
  <si>
    <t>Petty Cash</t>
  </si>
  <si>
    <t>Bank Balances and Cash</t>
  </si>
  <si>
    <t>Prepayments and Other Receivables</t>
  </si>
  <si>
    <t>NCA-Furniture and Equipment</t>
  </si>
  <si>
    <t>Asset In Progress</t>
  </si>
  <si>
    <t>CL-Accounts Payable and Accruals</t>
  </si>
  <si>
    <t>CL-Amount Due to a Related Party</t>
  </si>
  <si>
    <t>NCL-Employees' EOSB</t>
  </si>
  <si>
    <t>CL-Deferred Operating/Capital Contributions (net of Depreciation)</t>
  </si>
  <si>
    <t>Operating Contributions Recognized as Revenue (Less Depreciation)</t>
  </si>
  <si>
    <t>G &amp; A Exp - Staff Costs</t>
  </si>
  <si>
    <t>G &amp; A - Others</t>
  </si>
  <si>
    <t>G &amp; A Exp - Travel &amp; Entertainment</t>
  </si>
  <si>
    <t>G &amp; A Exp - Marketing</t>
  </si>
  <si>
    <t>G &amp; A Exp - General Service Exp</t>
  </si>
  <si>
    <t>Building improvement</t>
  </si>
  <si>
    <t>FA exp closed to FA</t>
  </si>
  <si>
    <t>Depreciation</t>
  </si>
  <si>
    <t>G &amp; A Exp - Professional Fees</t>
  </si>
  <si>
    <t>G &amp; A Exp - Bank Charges</t>
  </si>
  <si>
    <t>Total Expenses excluding FA &amp; Depreciation</t>
  </si>
  <si>
    <t>Due from Related Party</t>
  </si>
  <si>
    <t>Accrued Insurance</t>
  </si>
  <si>
    <t>Due to Related Party</t>
  </si>
  <si>
    <t>SCHEDULE 1</t>
  </si>
  <si>
    <t>Property, Plant &amp; Eqpt.</t>
  </si>
  <si>
    <t>SCHEDULE 2</t>
  </si>
  <si>
    <t>Accounts receivable and prepayments</t>
  </si>
  <si>
    <t>SCHEDULE 3</t>
  </si>
  <si>
    <t>Cash &amp; Bank Balances</t>
  </si>
  <si>
    <t>SCHEDULE 4</t>
  </si>
  <si>
    <t>Accounts Payables &amp; Accruals</t>
  </si>
  <si>
    <t xml:space="preserve">Employees' end of service benefits </t>
  </si>
  <si>
    <t>s</t>
  </si>
  <si>
    <t>Pradeep George</t>
  </si>
  <si>
    <t>Note</t>
  </si>
  <si>
    <t>Other Support Services</t>
  </si>
  <si>
    <t>Change</t>
  </si>
  <si>
    <t>Percentage</t>
  </si>
  <si>
    <t>FA</t>
  </si>
  <si>
    <t>Furniture &amp; Fixtures</t>
  </si>
  <si>
    <t>Temporary Staff Salary</t>
  </si>
  <si>
    <t>Inv No</t>
  </si>
  <si>
    <t>0-30</t>
  </si>
  <si>
    <t>Date</t>
  </si>
  <si>
    <t>Comment</t>
  </si>
  <si>
    <t>G &amp; A - Repairs &amp; Maintenance</t>
  </si>
  <si>
    <t>Other Income Breakup</t>
  </si>
  <si>
    <t>Sr</t>
  </si>
  <si>
    <t>Client Name</t>
  </si>
  <si>
    <t>School fee reimbursements</t>
  </si>
  <si>
    <t>61-90</t>
  </si>
  <si>
    <t>Remarks</t>
  </si>
  <si>
    <t>Percentage Change</t>
  </si>
  <si>
    <t>Schedules</t>
  </si>
  <si>
    <t>Expense Comparison</t>
  </si>
  <si>
    <t>Housing Advances</t>
  </si>
  <si>
    <t>Cheq-No.</t>
  </si>
  <si>
    <t>Emp No</t>
  </si>
  <si>
    <t>Name</t>
  </si>
  <si>
    <t>Paid Loan</t>
  </si>
  <si>
    <t>Ref</t>
  </si>
  <si>
    <t>Description</t>
  </si>
  <si>
    <t>Amount (AED)</t>
  </si>
  <si>
    <t>Sub Total</t>
  </si>
  <si>
    <t>PO Number</t>
  </si>
  <si>
    <t>Reference</t>
  </si>
  <si>
    <t>Accounts Receivable - General</t>
  </si>
  <si>
    <t>Revenue net of Expenses</t>
  </si>
  <si>
    <t>Net Assets</t>
  </si>
  <si>
    <t>ORACLE ACCOUNT</t>
  </si>
  <si>
    <t>ORACLE ACCOUNT TITLE</t>
  </si>
  <si>
    <t>Cash holdings - imprest floats for general purpose (replenishable)</t>
  </si>
  <si>
    <t>AED Bank Acct No.6</t>
  </si>
  <si>
    <t>Cash in Transit - AED</t>
  </si>
  <si>
    <t>AED Current/Call Bank Acct</t>
  </si>
  <si>
    <t>AED AP Pyt - Clearing Acct</t>
  </si>
  <si>
    <t>AED Term Deposit - Bank No.1</t>
  </si>
  <si>
    <t>Goods and services sales receivable</t>
  </si>
  <si>
    <t>Rent support loans to employees</t>
  </si>
  <si>
    <t>Other advances to vendors</t>
  </si>
  <si>
    <t>Accrued Interest on bank deposits</t>
  </si>
  <si>
    <t>Other deposits</t>
  </si>
  <si>
    <t>Buildings:Asset cost</t>
  </si>
  <si>
    <t>Plant, machinery &amp; equipment:Asset cost</t>
  </si>
  <si>
    <t>Inter-company Receivable(Payable)</t>
  </si>
  <si>
    <t>Plant, machinery &amp; equipment:Asset clearing</t>
  </si>
  <si>
    <t>Intangible Asset: Asset cost</t>
  </si>
  <si>
    <t>Intangible Asset: Asset clearing</t>
  </si>
  <si>
    <t>Intangible Asset: Accumulated depreciation/amortization (Provision)</t>
  </si>
  <si>
    <t>Plant, machinery &amp; equipment:Accumulated depreciation/amortization (Provision)</t>
  </si>
  <si>
    <t>Buildings:CIP cost</t>
  </si>
  <si>
    <t>Furniture &amp; fixtures:Asset cost</t>
  </si>
  <si>
    <t>Furniture &amp; fixtures:Accumulated depreciation/amortization (Provision)</t>
  </si>
  <si>
    <t>Grants from International Organisations:Current</t>
  </si>
  <si>
    <t>Technology Dev Committee-Revenue Transfer</t>
  </si>
  <si>
    <t>FX translation gain(loss)-Transactions</t>
  </si>
  <si>
    <t>Rounding up cost of net pay</t>
  </si>
  <si>
    <t>Employee Training costs - Travel and Accommodation</t>
  </si>
  <si>
    <t>Postal, courier and other document delivery expenses</t>
  </si>
  <si>
    <t>Business Travel - Combined expenses</t>
  </si>
  <si>
    <t>Consolidated pay (combined salaries and allowances)</t>
  </si>
  <si>
    <t>Plant, Machinery &amp; Equipment</t>
  </si>
  <si>
    <t>Intangible</t>
  </si>
  <si>
    <t>Asset In Progress - Building</t>
  </si>
  <si>
    <t>Asset in Clearing</t>
  </si>
  <si>
    <t>RECLASSIFICATIONS</t>
  </si>
  <si>
    <t>Intangible Assets</t>
  </si>
  <si>
    <t>Other Deposits</t>
  </si>
  <si>
    <t>Plant, machinery and equipment</t>
  </si>
  <si>
    <t>Furniture and fixtures</t>
  </si>
  <si>
    <t>Asset Clearing</t>
  </si>
  <si>
    <t>Exp Category</t>
  </si>
  <si>
    <t>Oracle Code</t>
  </si>
  <si>
    <t>Oracle Account</t>
  </si>
  <si>
    <t>Available Balance</t>
  </si>
  <si>
    <t>Basic salary</t>
  </si>
  <si>
    <t>Cost of living adjustment pay (COLA)</t>
  </si>
  <si>
    <t>Vacation pay (including cash in lieu payment)</t>
  </si>
  <si>
    <t>Other allowances (miscellaneous)</t>
  </si>
  <si>
    <t>Medical insurance premium</t>
  </si>
  <si>
    <t>UAE visa requirement costs</t>
  </si>
  <si>
    <t>Govt contr - ADRB&amp;Pension</t>
  </si>
  <si>
    <t>Gratuity - Non-pensionable employees</t>
  </si>
  <si>
    <t>Employee travel costs - Fares</t>
  </si>
  <si>
    <t>Rounding</t>
  </si>
  <si>
    <t>Computer software licenses</t>
  </si>
  <si>
    <t>Rental - Motor vehicles</t>
  </si>
  <si>
    <t>Advertising</t>
  </si>
  <si>
    <t>Conferences, seminars and exhibitions and other events: - Local Events</t>
  </si>
  <si>
    <t>Management consultancy</t>
  </si>
  <si>
    <t>Legal services</t>
  </si>
  <si>
    <t>Banking</t>
  </si>
  <si>
    <t>Laboratory equipment</t>
  </si>
  <si>
    <t>Health,safety&amp;environment awareness</t>
  </si>
  <si>
    <t>Other services, not specifically mentioned elsewhere</t>
  </si>
  <si>
    <t>Bldg maintenance-Business premises</t>
  </si>
  <si>
    <t>Plant, machinery and heavy equipment, not mentioned elsewhere</t>
  </si>
  <si>
    <t>Academic Publications</t>
  </si>
  <si>
    <t>Laboratory - Scientific</t>
  </si>
  <si>
    <t>Furnishings</t>
  </si>
  <si>
    <t>Capital expense - Buildings</t>
  </si>
  <si>
    <t>Farming equipment &amp; machinery</t>
  </si>
  <si>
    <t>Furniture &amp; Fixtures - Offices</t>
  </si>
  <si>
    <t>Copyrights, patents and licenses</t>
  </si>
  <si>
    <t>Payroll Accrual</t>
  </si>
  <si>
    <t>Furniture &amp; fixtures:Asset clearing</t>
  </si>
  <si>
    <t>Expense AP Accrual - Inventories in receiving area (pre-inspection)</t>
  </si>
  <si>
    <t>Other suspense receipts</t>
  </si>
  <si>
    <t>Material cost:Receipt (pre-inspection)</t>
  </si>
  <si>
    <t>Prepayments-Asset Clearing (for setup)</t>
  </si>
  <si>
    <t>91-180</t>
  </si>
  <si>
    <t>Related Party Payable</t>
  </si>
  <si>
    <t>Area details</t>
  </si>
  <si>
    <t>Prepayments-Asset Cost (for setup)</t>
  </si>
  <si>
    <t>Academic Missions - Combined expenses</t>
  </si>
  <si>
    <t>Buildings:Asset clearing</t>
  </si>
  <si>
    <t>Provisional Asset (all categories for setup acct for accrual</t>
  </si>
  <si>
    <t>Net</t>
  </si>
  <si>
    <t>Dec Transactions</t>
  </si>
  <si>
    <t>Alia Ruzanna Binti Aziz</t>
  </si>
  <si>
    <t>Buildings:Accumulated depreciation/amortization (Provision)</t>
  </si>
  <si>
    <t>Party Name</t>
  </si>
  <si>
    <t>Employee Name</t>
  </si>
  <si>
    <t>Party</t>
  </si>
  <si>
    <t>Aerospace Holding</t>
  </si>
  <si>
    <t>Building</t>
  </si>
  <si>
    <t>Accum Depreciation - Building</t>
  </si>
  <si>
    <t>SCHEDULE 5</t>
  </si>
  <si>
    <t>Commitments</t>
  </si>
  <si>
    <t>External Audit service</t>
  </si>
  <si>
    <t>Printing supplies</t>
  </si>
  <si>
    <t>Written down value of assets sold/(disposed):</t>
  </si>
  <si>
    <t>RETIREMENTS</t>
  </si>
  <si>
    <t>Retirements</t>
  </si>
  <si>
    <t>Contract advances</t>
  </si>
  <si>
    <t>Approved invoices - for payment</t>
  </si>
  <si>
    <t>Expense payroll accrual - pending payment</t>
  </si>
  <si>
    <t>Accrued purchases - Invoice received pending approval</t>
  </si>
  <si>
    <t>Other accrued expenses</t>
  </si>
  <si>
    <t>Vacation pay</t>
  </si>
  <si>
    <t>Contract retention deposits</t>
  </si>
  <si>
    <t>End-of-service gratuity</t>
  </si>
  <si>
    <t>Grants and other transfer receipts</t>
  </si>
  <si>
    <t>General Fund (general reserve)</t>
  </si>
  <si>
    <t>Administration allowance (including Mansab)</t>
  </si>
  <si>
    <t>Relocation expenses</t>
  </si>
  <si>
    <t>Recruitment expenses</t>
  </si>
  <si>
    <t>Stationery</t>
  </si>
  <si>
    <t>Telephone and telefax charges</t>
  </si>
  <si>
    <t>Entertainment and hospitality</t>
  </si>
  <si>
    <t>Photography - Consumable materials /Tools</t>
  </si>
  <si>
    <t>Student activities &amp; field trip expenses</t>
  </si>
  <si>
    <t>Buildings</t>
  </si>
  <si>
    <t>Computer software</t>
  </si>
  <si>
    <t>Scientific research</t>
  </si>
  <si>
    <t>Academic Advisory Service</t>
  </si>
  <si>
    <t>Bad Debts - Other</t>
  </si>
  <si>
    <t>Sponsorship expenses/contributions</t>
  </si>
  <si>
    <t xml:space="preserve">Accounts Receivable </t>
  </si>
  <si>
    <t>2017 Balance</t>
  </si>
  <si>
    <t>2018 Costing Report</t>
  </si>
  <si>
    <t>2018 AP</t>
  </si>
  <si>
    <t>2018 Balance</t>
  </si>
  <si>
    <t>Student stipend</t>
  </si>
  <si>
    <t>Input VAT recoverable</t>
  </si>
  <si>
    <t>R C input VAT recoverable on Services</t>
  </si>
  <si>
    <t>Reverse Charge output VAT payable</t>
  </si>
  <si>
    <t xml:space="preserve">HOT ZONE SOLUTIONS MIDDLE EAST MEASUREMENT AND CONTROL EQUIPMENT L.L.C. </t>
  </si>
  <si>
    <t>70% Advance PO (8434200070)</t>
  </si>
  <si>
    <t>VAT Receivable Account</t>
  </si>
  <si>
    <t>L00021A</t>
  </si>
  <si>
    <t>L00021B</t>
  </si>
  <si>
    <t>L00021C</t>
  </si>
  <si>
    <t>L00021D</t>
  </si>
  <si>
    <t>L00021E</t>
  </si>
  <si>
    <t>L01027</t>
  </si>
  <si>
    <t>L01027 A</t>
  </si>
  <si>
    <t>L01027 B</t>
  </si>
  <si>
    <t>Space cost  @ AED 2100</t>
  </si>
  <si>
    <t>Split of budget of AED 200K is not available</t>
  </si>
  <si>
    <t>Rates are taken from the usual rates used by KU for the service pricing for the related parties</t>
  </si>
  <si>
    <t>Output VAT payable</t>
  </si>
  <si>
    <t xml:space="preserve">Pradeep George </t>
  </si>
  <si>
    <t>Asset In Progress - PME</t>
  </si>
  <si>
    <t>VAT Payable Account</t>
  </si>
  <si>
    <t>Related Party Account</t>
  </si>
  <si>
    <t>Accum Depreiation - Furniture &amp; Fixtures</t>
  </si>
  <si>
    <t>Accum Depreiation -Plant, Machinery &amp; Equipment</t>
  </si>
  <si>
    <t>Accum Depreiation -Intangible Assets</t>
  </si>
  <si>
    <t>Abdulla Amer Hasan Ayyad</t>
  </si>
  <si>
    <t>Mohammed M M Alkrunz</t>
  </si>
  <si>
    <t>Meena Periya Samy</t>
  </si>
  <si>
    <t>IT Package cost recharge @ AED 1140</t>
  </si>
  <si>
    <t>Total:</t>
  </si>
  <si>
    <t>Depreciation Chg - Furniture and fixtures</t>
  </si>
  <si>
    <t>Depreciation Chg - Plant, machinery and equipment</t>
  </si>
  <si>
    <t>Depreciation - Buildings</t>
  </si>
  <si>
    <t>Goods and services Tax Receivable</t>
  </si>
  <si>
    <t>Ending Balance</t>
  </si>
  <si>
    <t>Credits</t>
  </si>
  <si>
    <t>Debits</t>
  </si>
  <si>
    <t>Beginning Balance</t>
  </si>
  <si>
    <t>Account</t>
  </si>
  <si>
    <t xml:space="preserve">Budget Group:         </t>
  </si>
  <si>
    <t>843 Khalifa University</t>
  </si>
  <si>
    <t>Entity:</t>
  </si>
  <si>
    <t>Currency: AED</t>
  </si>
  <si>
    <t>Ledger: KUJ - Ledger</t>
  </si>
  <si>
    <t>ADERP Trial Balance</t>
  </si>
  <si>
    <r>
      <t>Advances to Vendors-</t>
    </r>
    <r>
      <rPr>
        <b/>
        <sz val="14"/>
        <color rgb="FFC00000"/>
        <rFont val="Calibri"/>
        <family val="2"/>
        <scheme val="minor"/>
      </rPr>
      <t>120330</t>
    </r>
  </si>
  <si>
    <t xml:space="preserve">TYGAVAC ADVANCED MATERIALS LTD </t>
  </si>
  <si>
    <t>100% Advance payment</t>
  </si>
  <si>
    <t>TB</t>
  </si>
  <si>
    <t>Difference</t>
  </si>
  <si>
    <r>
      <t>Expense AP Accrual ( Material Received, invoice not recorded)-</t>
    </r>
    <r>
      <rPr>
        <b/>
        <sz val="16"/>
        <color rgb="FFC00000"/>
        <rFont val="Calibri"/>
        <family val="2"/>
        <scheme val="minor"/>
      </rPr>
      <t>211111</t>
    </r>
  </si>
  <si>
    <t>2021 Balance</t>
  </si>
  <si>
    <t xml:space="preserve">WOLLSCHLAEGER TECHNICAL SYSTEMS L.L.C. </t>
  </si>
  <si>
    <r>
      <t>AP Aging-</t>
    </r>
    <r>
      <rPr>
        <b/>
        <sz val="16"/>
        <color rgb="FFC00000"/>
        <rFont val="Calibri"/>
        <family val="2"/>
        <scheme val="minor"/>
      </rPr>
      <t>200110</t>
    </r>
  </si>
  <si>
    <t>Supplier Name</t>
  </si>
  <si>
    <t>Transaction Number</t>
  </si>
  <si>
    <t>Voucher Number</t>
  </si>
  <si>
    <t>Invoice Recieved Date</t>
  </si>
  <si>
    <t>Days Due</t>
  </si>
  <si>
    <t>31-60</t>
  </si>
  <si>
    <t>181-360</t>
  </si>
  <si>
    <t>More than 361 Days</t>
  </si>
  <si>
    <r>
      <t>AP Accruals-</t>
    </r>
    <r>
      <rPr>
        <b/>
        <sz val="16"/>
        <color rgb="FFC00000"/>
        <rFont val="Calibri"/>
        <family val="2"/>
        <scheme val="minor"/>
      </rPr>
      <t>200130</t>
    </r>
  </si>
  <si>
    <t>Period</t>
  </si>
  <si>
    <t>Deloitte</t>
  </si>
  <si>
    <t>Audit fee 2021</t>
  </si>
  <si>
    <t>Audit fee 2021 - Translation</t>
  </si>
  <si>
    <t>FAB</t>
  </si>
  <si>
    <t>Laith Faisal Hussein Abuassi</t>
  </si>
  <si>
    <t>Ahmad Adnan Rashid Al Jarah</t>
  </si>
  <si>
    <t>Admin support cost recharge @ AED 5785.16</t>
  </si>
  <si>
    <t>BUDGET COMPARISON - 2022 (BG 1 ONLY)</t>
  </si>
  <si>
    <t>In - Kind Summary - 2022</t>
  </si>
  <si>
    <t>In-Kind through Dec 31, 2022</t>
  </si>
  <si>
    <t>Plan 2022</t>
  </si>
  <si>
    <t>2022 Movement</t>
  </si>
  <si>
    <t>2022 Balance</t>
  </si>
  <si>
    <t>2022 Transactions</t>
  </si>
  <si>
    <t>Discrepancies resulting from mispostings / fictitious entries</t>
  </si>
  <si>
    <t>AHC recharge -Jan/May22</t>
  </si>
  <si>
    <t>Invoice Date</t>
  </si>
  <si>
    <t>Depreciation for 2022</t>
  </si>
  <si>
    <t>AHC recharge -June22</t>
  </si>
  <si>
    <t>KUST</t>
  </si>
  <si>
    <t>KU Recharge- Dr. Wesley-Dn 401000429</t>
  </si>
  <si>
    <t xml:space="preserve">BESOMI ELECTRONIC L.L.C. </t>
  </si>
  <si>
    <t>ARIC</t>
  </si>
  <si>
    <t>Monthly Bank Reconciliation Report</t>
  </si>
  <si>
    <t>FAB A/C: 4021003284369050</t>
  </si>
  <si>
    <t>Balance as per Books</t>
  </si>
  <si>
    <t>Cash Account (102601)</t>
  </si>
  <si>
    <t>Clearing Account  (105901)</t>
  </si>
  <si>
    <t>Add Outstanding Checks issued :</t>
  </si>
  <si>
    <t>Check Number</t>
  </si>
  <si>
    <t>Total Outstanding Checks</t>
  </si>
  <si>
    <t>Subtotal</t>
  </si>
  <si>
    <t>Subtract  Checks to be recorded:</t>
  </si>
  <si>
    <t>Total Checks to be recorded</t>
  </si>
  <si>
    <t>Subtract  Deposits in Transit:</t>
  </si>
  <si>
    <t>Total Deposits in Transit</t>
  </si>
  <si>
    <t>Computed Book Balance</t>
  </si>
  <si>
    <t>Ending Balance from Bank Statement</t>
  </si>
  <si>
    <t>Satish payment chargebacks  For Apr &amp; May22-DN 406000004 &amp; 4060000029,028.005</t>
  </si>
  <si>
    <t>June</t>
  </si>
  <si>
    <t>Cash holdings with collectors</t>
  </si>
  <si>
    <t>Unapplied receipt (invoice unmatched)</t>
  </si>
  <si>
    <t>Depreciation Chg - Computer software</t>
  </si>
  <si>
    <t>AHC recharge -July22</t>
  </si>
  <si>
    <t>July</t>
  </si>
  <si>
    <t>KUX</t>
  </si>
  <si>
    <t>Budget (Jan - Dec 22)</t>
  </si>
  <si>
    <t>Period: 08-2022</t>
  </si>
  <si>
    <t>Period: 08-2021</t>
  </si>
  <si>
    <t>Feb to Dec20 (Remaining Nov&amp;Dec20)</t>
  </si>
  <si>
    <t>Jan to Dec 2021</t>
  </si>
  <si>
    <t>PRECISE TRADING L.L.C.</t>
  </si>
  <si>
    <t>843J000646</t>
  </si>
  <si>
    <t>AHC recharge-Aug22</t>
  </si>
  <si>
    <t>Salary recharge for July 2022 DN-  402000242</t>
  </si>
  <si>
    <t>Salary Recharge of Researchers Payroll Jul 2022- 401000441</t>
  </si>
  <si>
    <t>DN 402000251- Salary recharge Aug</t>
  </si>
  <si>
    <t>DN 401000448- Salary recharge Aug  Dr. Wesley</t>
  </si>
  <si>
    <t>DN 401000452 -Salary recharges for Aug 2022</t>
  </si>
  <si>
    <t>DN 401000458-ARIC medical Insurance 202</t>
  </si>
  <si>
    <t>BESOMI ELECTRONIC L.L.C.</t>
  </si>
  <si>
    <t>SI-21936</t>
  </si>
  <si>
    <t>843J000723</t>
  </si>
  <si>
    <t>BES-2026236-01</t>
  </si>
  <si>
    <t>843J000724</t>
  </si>
  <si>
    <t>SI-32711</t>
  </si>
  <si>
    <t>843J000725</t>
  </si>
  <si>
    <t>SI-31231</t>
  </si>
  <si>
    <t>843J000726</t>
  </si>
  <si>
    <t>KHALIFA UNIVERSITY OF SCIENCE TECHNOLOGY AND RESEARCH</t>
  </si>
  <si>
    <t>843J000728</t>
  </si>
  <si>
    <t>843J000729</t>
  </si>
  <si>
    <t xml:space="preserve">ATLAS COPCO SERVICES MIDDEL EAST OMC - DUBAI </t>
  </si>
  <si>
    <t>Khalifa University of Science and Technology</t>
  </si>
  <si>
    <t>KUJ - ARIC transaction for July 2022</t>
  </si>
  <si>
    <t>Statement Date: 31/Aug/2022</t>
  </si>
  <si>
    <t>As at 31  August 2022</t>
  </si>
  <si>
    <t>Period from 1 January 2022 to 31 August 2022</t>
  </si>
  <si>
    <t>Expenses (Jan - Aug 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</si>
</sst>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0;\(#,##0.00\)"/>
    <numFmt numFmtId="168" formatCode="[$-409]d\-mmm\-yy;@"/>
    <numFmt numFmtId="169" formatCode="0.00%;\(0.00%\)"/>
    <numFmt numFmtId="170" formatCode="_-* #,##0.0_-;\-* #,##0.0_-;_-* &quot;-&quot;??_-;_-@_-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4"/>
      <color theme="1"/>
      <name val="Calibri"/>
      <family val="2"/>
      <scheme val="minor"/>
    </font>
    <font>
      <b/>
      <sz val="9"/>
      <color indexed="8"/>
      <name val="Times New Roman"/>
      <family val="1"/>
    </font>
    <font>
      <b/>
      <i/>
      <sz val="10"/>
      <name val="Times New Roman"/>
      <family val="1"/>
    </font>
    <font>
      <sz val="11"/>
      <name val="Calibri"/>
      <family val="2"/>
      <scheme val="minor"/>
    </font>
    <font>
      <sz val="10"/>
      <color indexed="8"/>
      <name val="Times New Roman"/>
      <family val="1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3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12"/>
      <color indexed="30"/>
      <name val="Calibri"/>
      <family val="2"/>
    </font>
    <font>
      <sz val="11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u/>
      <sz val="10"/>
      <color theme="0"/>
      <name val="Arial"/>
      <family val="2"/>
    </font>
    <font>
      <sz val="11"/>
      <color indexed="8"/>
      <name val="Calibri"/>
      <family val="2"/>
    </font>
    <font>
      <b/>
      <sz val="12"/>
      <color indexed="3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0"/>
      <name val="Arial"/>
      <family val="2"/>
    </font>
    <font>
      <b/>
      <sz val="16"/>
      <color rgb="FFC00000"/>
      <name val="Calibri"/>
      <family val="2"/>
      <scheme val="minor"/>
    </font>
    <font>
      <b/>
      <sz val="10"/>
      <color theme="0"/>
      <name val="Arial"/>
      <family val="2"/>
    </font>
    <font>
      <sz val="9"/>
      <color rgb="FF000000"/>
      <name val="Arial"/>
      <family val="2"/>
    </font>
    <font>
      <b/>
      <i/>
      <sz val="8"/>
      <color theme="0"/>
      <name val="Times New Roman"/>
      <family val="1"/>
    </font>
    <font>
      <b/>
      <sz val="10"/>
      <color theme="0"/>
      <name val="Times New Roman"/>
      <family val="1"/>
    </font>
    <font>
      <b/>
      <sz val="9"/>
      <color theme="0"/>
      <name val="Times New Roman"/>
      <family val="1"/>
    </font>
    <font>
      <b/>
      <sz val="9"/>
      <color theme="0"/>
      <name val="Arial"/>
      <family val="2"/>
    </font>
    <font>
      <b/>
      <i/>
      <sz val="14"/>
      <color indexed="9"/>
      <name val="Arial"/>
      <family val="2"/>
    </font>
    <font>
      <b/>
      <i/>
      <sz val="12"/>
      <color indexed="9"/>
      <name val="Arial"/>
      <family val="2"/>
    </font>
    <font>
      <sz val="11"/>
      <color indexed="8"/>
      <name val="Arial"/>
      <family val="2"/>
    </font>
    <font>
      <sz val="11"/>
      <name val="Arial Unicode MS"/>
      <family val="2"/>
    </font>
    <font>
      <b/>
      <sz val="11"/>
      <color indexed="8"/>
      <name val="Arial"/>
      <family val="2"/>
    </font>
    <font>
      <sz val="10"/>
      <name val="Arial Unicode MS"/>
      <family val="2"/>
    </font>
    <font>
      <u/>
      <sz val="11"/>
      <color indexed="8"/>
      <name val="Arial"/>
      <family val="2"/>
    </font>
    <font>
      <i/>
      <sz val="10"/>
      <name val="Arial Unicode MS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F9"/>
        <bgColor indexed="6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indexed="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2" fillId="0" borderId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</cellStyleXfs>
  <cellXfs count="291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64" fontId="0" fillId="0" borderId="0" xfId="1" applyFont="1"/>
    <xf numFmtId="17" fontId="2" fillId="0" borderId="1" xfId="1" applyNumberFormat="1" applyFont="1" applyBorder="1" applyAlignment="1">
      <alignment horizontal="center" vertical="center" wrapText="1"/>
    </xf>
    <xf numFmtId="0" fontId="2" fillId="0" borderId="0" xfId="0" applyFont="1"/>
    <xf numFmtId="165" fontId="0" fillId="0" borderId="1" xfId="1" applyNumberFormat="1" applyFont="1" applyBorder="1"/>
    <xf numFmtId="0" fontId="8" fillId="0" borderId="0" xfId="0" applyFont="1"/>
    <xf numFmtId="164" fontId="2" fillId="0" borderId="1" xfId="1" applyFont="1" applyBorder="1" applyAlignment="1">
      <alignment horizontal="center" vertical="center" wrapText="1"/>
    </xf>
    <xf numFmtId="164" fontId="0" fillId="0" borderId="1" xfId="1" applyFont="1" applyBorder="1"/>
    <xf numFmtId="164" fontId="2" fillId="0" borderId="1" xfId="1" applyFont="1" applyBorder="1"/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Border="1"/>
    <xf numFmtId="164" fontId="2" fillId="0" borderId="0" xfId="1" applyFont="1" applyBorder="1"/>
    <xf numFmtId="164" fontId="2" fillId="0" borderId="0" xfId="1" applyFont="1" applyAlignment="1">
      <alignment horizontal="center"/>
    </xf>
    <xf numFmtId="17" fontId="2" fillId="0" borderId="0" xfId="1" applyNumberFormat="1" applyFont="1" applyAlignment="1">
      <alignment horizontal="center"/>
    </xf>
    <xf numFmtId="164" fontId="2" fillId="0" borderId="8" xfId="1" applyFont="1" applyBorder="1"/>
    <xf numFmtId="0" fontId="0" fillId="0" borderId="0" xfId="0" applyFont="1"/>
    <xf numFmtId="164" fontId="2" fillId="0" borderId="0" xfId="1" applyFont="1"/>
    <xf numFmtId="0" fontId="11" fillId="0" borderId="0" xfId="0" applyFont="1"/>
    <xf numFmtId="166" fontId="1" fillId="0" borderId="1" xfId="3" applyNumberFormat="1" applyFont="1" applyFill="1" applyBorder="1"/>
    <xf numFmtId="167" fontId="0" fillId="0" borderId="0" xfId="1" applyNumberFormat="1" applyFont="1"/>
    <xf numFmtId="167" fontId="2" fillId="0" borderId="8" xfId="1" applyNumberFormat="1" applyFont="1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3" borderId="0" xfId="0" applyFill="1" applyBorder="1"/>
    <xf numFmtId="0" fontId="10" fillId="0" borderId="0" xfId="0" applyFont="1" applyBorder="1"/>
    <xf numFmtId="164" fontId="0" fillId="0" borderId="0" xfId="0" applyNumberFormat="1"/>
    <xf numFmtId="43" fontId="0" fillId="0" borderId="0" xfId="5" applyFont="1" applyFill="1"/>
    <xf numFmtId="0" fontId="0" fillId="0" borderId="0" xfId="0" applyFont="1" applyFill="1"/>
    <xf numFmtId="43" fontId="1" fillId="0" borderId="0" xfId="5" applyFont="1"/>
    <xf numFmtId="43" fontId="0" fillId="0" borderId="0" xfId="5" applyFont="1"/>
    <xf numFmtId="43" fontId="5" fillId="0" borderId="0" xfId="5" applyFont="1"/>
    <xf numFmtId="15" fontId="4" fillId="0" borderId="0" xfId="0" applyNumberFormat="1" applyFont="1"/>
    <xf numFmtId="0" fontId="18" fillId="0" borderId="0" xfId="0" applyFont="1" applyAlignment="1">
      <alignment horizontal="center"/>
    </xf>
    <xf numFmtId="43" fontId="18" fillId="0" borderId="0" xfId="5" applyFont="1" applyAlignment="1">
      <alignment horizontal="center"/>
    </xf>
    <xf numFmtId="43" fontId="19" fillId="0" borderId="0" xfId="5" applyFont="1" applyAlignment="1">
      <alignment horizontal="center"/>
    </xf>
    <xf numFmtId="0" fontId="14" fillId="0" borderId="1" xfId="0" applyFont="1" applyFill="1" applyBorder="1"/>
    <xf numFmtId="43" fontId="14" fillId="0" borderId="1" xfId="5" applyFont="1" applyFill="1" applyBorder="1"/>
    <xf numFmtId="0" fontId="14" fillId="0" borderId="0" xfId="0" applyFont="1" applyFill="1"/>
    <xf numFmtId="43" fontId="14" fillId="0" borderId="0" xfId="5" applyFont="1" applyFill="1"/>
    <xf numFmtId="43" fontId="5" fillId="0" borderId="0" xfId="5" applyFont="1" applyFill="1"/>
    <xf numFmtId="0" fontId="14" fillId="0" borderId="1" xfId="0" applyFont="1" applyBorder="1"/>
    <xf numFmtId="0" fontId="14" fillId="0" borderId="0" xfId="0" applyFont="1"/>
    <xf numFmtId="43" fontId="14" fillId="0" borderId="0" xfId="5" applyFont="1"/>
    <xf numFmtId="43" fontId="14" fillId="0" borderId="0" xfId="0" applyNumberFormat="1" applyFont="1" applyFill="1"/>
    <xf numFmtId="0" fontId="20" fillId="0" borderId="0" xfId="0" applyFont="1" applyFill="1"/>
    <xf numFmtId="43" fontId="1" fillId="0" borderId="0" xfId="5" applyFont="1" applyFill="1"/>
    <xf numFmtId="43" fontId="0" fillId="0" borderId="0" xfId="0" applyNumberFormat="1" applyFont="1" applyFill="1"/>
    <xf numFmtId="0" fontId="18" fillId="0" borderId="0" xfId="0" applyFont="1"/>
    <xf numFmtId="43" fontId="2" fillId="0" borderId="11" xfId="5" applyFont="1" applyFill="1" applyBorder="1"/>
    <xf numFmtId="43" fontId="2" fillId="0" borderId="0" xfId="5" applyFont="1"/>
    <xf numFmtId="43" fontId="19" fillId="0" borderId="0" xfId="5" applyFont="1"/>
    <xf numFmtId="0" fontId="21" fillId="0" borderId="0" xfId="0" applyFont="1"/>
    <xf numFmtId="43" fontId="21" fillId="0" borderId="0" xfId="5" applyFont="1" applyFill="1"/>
    <xf numFmtId="0" fontId="24" fillId="3" borderId="1" xfId="0" applyFont="1" applyFill="1" applyBorder="1" applyAlignment="1">
      <alignment horizontal="center"/>
    </xf>
    <xf numFmtId="17" fontId="25" fillId="3" borderId="1" xfId="5" applyNumberFormat="1" applyFont="1" applyFill="1" applyBorder="1" applyAlignment="1">
      <alignment horizontal="center"/>
    </xf>
    <xf numFmtId="0" fontId="24" fillId="4" borderId="1" xfId="0" applyFont="1" applyFill="1" applyBorder="1"/>
    <xf numFmtId="164" fontId="24" fillId="4" borderId="1" xfId="1" applyFont="1" applyFill="1" applyBorder="1"/>
    <xf numFmtId="0" fontId="26" fillId="0" borderId="1" xfId="0" applyFont="1" applyFill="1" applyBorder="1"/>
    <xf numFmtId="0" fontId="27" fillId="0" borderId="1" xfId="0" applyFont="1" applyFill="1" applyBorder="1"/>
    <xf numFmtId="0" fontId="28" fillId="0" borderId="0" xfId="0" applyFont="1"/>
    <xf numFmtId="0" fontId="29" fillId="0" borderId="0" xfId="0" applyFont="1"/>
    <xf numFmtId="0" fontId="23" fillId="0" borderId="0" xfId="0" applyFont="1"/>
    <xf numFmtId="164" fontId="0" fillId="0" borderId="0" xfId="1" applyFont="1" applyFill="1"/>
    <xf numFmtId="0" fontId="2" fillId="6" borderId="1" xfId="0" applyFont="1" applyFill="1" applyBorder="1"/>
    <xf numFmtId="164" fontId="2" fillId="6" borderId="1" xfId="1" applyFont="1" applyFill="1" applyBorder="1"/>
    <xf numFmtId="43" fontId="30" fillId="3" borderId="0" xfId="5" applyFont="1" applyFill="1" applyBorder="1" applyAlignment="1">
      <alignment horizontal="center"/>
    </xf>
    <xf numFmtId="0" fontId="31" fillId="3" borderId="0" xfId="9" applyFont="1" applyFill="1" applyAlignment="1">
      <alignment horizontal="center"/>
    </xf>
    <xf numFmtId="17" fontId="32" fillId="3" borderId="0" xfId="5" applyNumberFormat="1" applyFont="1" applyFill="1" applyBorder="1" applyAlignment="1">
      <alignment horizontal="center"/>
    </xf>
    <xf numFmtId="43" fontId="30" fillId="0" borderId="0" xfId="5" applyFont="1" applyFill="1" applyBorder="1"/>
    <xf numFmtId="9" fontId="33" fillId="0" borderId="0" xfId="8" applyFont="1" applyFill="1" applyBorder="1" applyAlignment="1">
      <alignment horizontal="center"/>
    </xf>
    <xf numFmtId="43" fontId="32" fillId="0" borderId="0" xfId="5" applyFont="1" applyFill="1" applyBorder="1"/>
    <xf numFmtId="9" fontId="31" fillId="0" borderId="0" xfId="8" applyFont="1" applyFill="1" applyBorder="1" applyAlignment="1">
      <alignment horizontal="center"/>
    </xf>
    <xf numFmtId="0" fontId="34" fillId="5" borderId="0" xfId="2" applyFont="1" applyFill="1" applyBorder="1" applyAlignment="1">
      <alignment horizontal="justify" wrapText="1" readingOrder="1"/>
    </xf>
    <xf numFmtId="166" fontId="1" fillId="0" borderId="1" xfId="1" applyNumberFormat="1" applyFont="1" applyFill="1" applyBorder="1"/>
    <xf numFmtId="43" fontId="0" fillId="0" borderId="0" xfId="0" applyNumberFormat="1"/>
    <xf numFmtId="4" fontId="0" fillId="0" borderId="0" xfId="0" applyNumberFormat="1"/>
    <xf numFmtId="164" fontId="2" fillId="0" borderId="0" xfId="1" applyFont="1" applyFill="1"/>
    <xf numFmtId="167" fontId="0" fillId="0" borderId="0" xfId="1" applyNumberFormat="1" applyFont="1" applyFill="1"/>
    <xf numFmtId="164" fontId="0" fillId="0" borderId="1" xfId="1" applyFont="1" applyFill="1" applyBorder="1"/>
    <xf numFmtId="0" fontId="0" fillId="0" borderId="1" xfId="0" applyBorder="1" applyAlignment="1">
      <alignment wrapText="1"/>
    </xf>
    <xf numFmtId="0" fontId="35" fillId="3" borderId="1" xfId="0" applyFont="1" applyFill="1" applyBorder="1"/>
    <xf numFmtId="0" fontId="36" fillId="3" borderId="1" xfId="0" applyFont="1" applyFill="1" applyBorder="1" applyAlignment="1">
      <alignment horizontal="center" wrapText="1"/>
    </xf>
    <xf numFmtId="0" fontId="37" fillId="0" borderId="1" xfId="0" applyFont="1" applyFill="1" applyBorder="1" applyAlignment="1" applyProtection="1">
      <alignment horizontal="left" vertical="center"/>
      <protection locked="0"/>
    </xf>
    <xf numFmtId="164" fontId="2" fillId="0" borderId="0" xfId="0" applyNumberFormat="1" applyFont="1"/>
    <xf numFmtId="0" fontId="2" fillId="5" borderId="0" xfId="0" applyFont="1" applyFill="1"/>
    <xf numFmtId="0" fontId="38" fillId="0" borderId="1" xfId="0" applyFont="1" applyFill="1" applyBorder="1" applyAlignment="1" applyProtection="1">
      <alignment horizontal="left" vertical="center"/>
      <protection locked="0"/>
    </xf>
    <xf numFmtId="15" fontId="38" fillId="0" borderId="1" xfId="0" applyNumberFormat="1" applyFont="1" applyFill="1" applyBorder="1" applyAlignment="1" applyProtection="1">
      <alignment horizontal="left" vertical="center"/>
      <protection locked="0"/>
    </xf>
    <xf numFmtId="164" fontId="38" fillId="0" borderId="1" xfId="1" applyFont="1" applyFill="1" applyBorder="1" applyAlignment="1">
      <alignment vertical="center"/>
    </xf>
    <xf numFmtId="43" fontId="26" fillId="0" borderId="1" xfId="1" applyNumberFormat="1" applyFont="1" applyFill="1" applyBorder="1"/>
    <xf numFmtId="43" fontId="27" fillId="0" borderId="1" xfId="1" applyNumberFormat="1" applyFont="1" applyFill="1" applyBorder="1"/>
    <xf numFmtId="43" fontId="24" fillId="4" borderId="1" xfId="1" applyNumberFormat="1" applyFont="1" applyFill="1" applyBorder="1"/>
    <xf numFmtId="17" fontId="25" fillId="3" borderId="1" xfId="5" applyNumberFormat="1" applyFont="1" applyFill="1" applyBorder="1" applyAlignment="1">
      <alignment horizontal="center" vertical="center" wrapText="1"/>
    </xf>
    <xf numFmtId="169" fontId="26" fillId="0" borderId="1" xfId="8" applyNumberFormat="1" applyFont="1" applyFill="1" applyBorder="1"/>
    <xf numFmtId="169" fontId="27" fillId="0" borderId="1" xfId="8" applyNumberFormat="1" applyFont="1" applyFill="1" applyBorder="1"/>
    <xf numFmtId="169" fontId="24" fillId="4" borderId="1" xfId="1" applyNumberFormat="1" applyFont="1" applyFill="1" applyBorder="1"/>
    <xf numFmtId="0" fontId="39" fillId="0" borderId="0" xfId="0" applyFont="1" applyAlignment="1">
      <alignment horizontal="left"/>
    </xf>
    <xf numFmtId="43" fontId="0" fillId="0" borderId="1" xfId="5" applyFont="1" applyBorder="1"/>
    <xf numFmtId="164" fontId="35" fillId="3" borderId="1" xfId="1" applyFont="1" applyFill="1" applyBorder="1"/>
    <xf numFmtId="164" fontId="38" fillId="0" borderId="1" xfId="1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/>
      <protection locked="0"/>
    </xf>
    <xf numFmtId="43" fontId="40" fillId="7" borderId="1" xfId="7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 wrapText="1"/>
      <protection locked="0"/>
    </xf>
    <xf numFmtId="43" fontId="40" fillId="7" borderId="1" xfId="5" applyFont="1" applyFill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/>
    <xf numFmtId="14" fontId="7" fillId="0" borderId="1" xfId="0" applyNumberFormat="1" applyFont="1" applyBorder="1" applyAlignment="1"/>
    <xf numFmtId="0" fontId="7" fillId="0" borderId="1" xfId="0" applyFont="1" applyBorder="1" applyAlignment="1"/>
    <xf numFmtId="0" fontId="6" fillId="0" borderId="1" xfId="0" applyFont="1" applyBorder="1"/>
    <xf numFmtId="43" fontId="6" fillId="0" borderId="1" xfId="0" applyNumberFormat="1" applyFont="1" applyBorder="1"/>
    <xf numFmtId="0" fontId="35" fillId="3" borderId="3" xfId="0" applyFont="1" applyFill="1" applyBorder="1"/>
    <xf numFmtId="0" fontId="37" fillId="0" borderId="3" xfId="0" applyFont="1" applyFill="1" applyBorder="1" applyAlignment="1" applyProtection="1">
      <alignment horizontal="left" vertical="center"/>
      <protection locked="0"/>
    </xf>
    <xf numFmtId="164" fontId="2" fillId="0" borderId="2" xfId="1" applyFont="1" applyBorder="1" applyAlignment="1">
      <alignment horizontal="center" vertical="center" wrapText="1"/>
    </xf>
    <xf numFmtId="14" fontId="0" fillId="0" borderId="0" xfId="0" applyNumberFormat="1"/>
    <xf numFmtId="0" fontId="35" fillId="3" borderId="0" xfId="0" applyFont="1" applyFill="1" applyBorder="1"/>
    <xf numFmtId="0" fontId="0" fillId="0" borderId="13" xfId="0" applyBorder="1"/>
    <xf numFmtId="43" fontId="0" fillId="0" borderId="1" xfId="12" applyFont="1" applyBorder="1"/>
    <xf numFmtId="43" fontId="2" fillId="0" borderId="0" xfId="5" applyFont="1" applyFill="1"/>
    <xf numFmtId="43" fontId="17" fillId="2" borderId="1" xfId="5" applyFont="1" applyFill="1" applyBorder="1" applyAlignment="1">
      <alignment horizontal="center" wrapText="1"/>
    </xf>
    <xf numFmtId="168" fontId="17" fillId="2" borderId="1" xfId="5" applyNumberFormat="1" applyFont="1" applyFill="1" applyBorder="1" applyAlignment="1">
      <alignment horizontal="center" wrapText="1"/>
    </xf>
    <xf numFmtId="0" fontId="9" fillId="0" borderId="1" xfId="2" applyBorder="1"/>
    <xf numFmtId="43" fontId="14" fillId="0" borderId="1" xfId="3" applyFont="1" applyFill="1" applyBorder="1"/>
    <xf numFmtId="166" fontId="13" fillId="0" borderId="1" xfId="3" applyNumberFormat="1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justify"/>
    </xf>
    <xf numFmtId="0" fontId="15" fillId="0" borderId="1" xfId="2" applyFont="1" applyFill="1" applyBorder="1" applyAlignment="1">
      <alignment horizontal="justify"/>
    </xf>
    <xf numFmtId="166" fontId="14" fillId="0" borderId="1" xfId="3" applyNumberFormat="1" applyFont="1" applyFill="1" applyBorder="1"/>
    <xf numFmtId="15" fontId="38" fillId="0" borderId="3" xfId="0" applyNumberFormat="1" applyFont="1" applyFill="1" applyBorder="1" applyAlignment="1" applyProtection="1">
      <alignment horizontal="left" vertical="center"/>
      <protection locked="0"/>
    </xf>
    <xf numFmtId="166" fontId="0" fillId="0" borderId="0" xfId="0" applyNumberFormat="1"/>
    <xf numFmtId="43" fontId="0" fillId="0" borderId="0" xfId="14" applyFont="1"/>
    <xf numFmtId="0" fontId="2" fillId="8" borderId="1" xfId="0" applyFont="1" applyFill="1" applyBorder="1" applyAlignment="1">
      <alignment horizontal="center" vertical="center" wrapText="1"/>
    </xf>
    <xf numFmtId="43" fontId="2" fillId="8" borderId="1" xfId="14" applyFont="1" applyFill="1" applyBorder="1" applyAlignment="1">
      <alignment horizontal="center" vertical="center" wrapText="1"/>
    </xf>
    <xf numFmtId="43" fontId="0" fillId="0" borderId="1" xfId="15" applyFont="1" applyBorder="1"/>
    <xf numFmtId="43" fontId="2" fillId="0" borderId="1" xfId="15" applyFont="1" applyBorder="1"/>
    <xf numFmtId="0" fontId="2" fillId="8" borderId="1" xfId="0" applyFont="1" applyFill="1" applyBorder="1"/>
    <xf numFmtId="43" fontId="2" fillId="8" borderId="1" xfId="15" applyNumberFormat="1" applyFont="1" applyFill="1" applyBorder="1"/>
    <xf numFmtId="0" fontId="37" fillId="0" borderId="0" xfId="0" applyFont="1" applyFill="1" applyBorder="1" applyAlignment="1" applyProtection="1">
      <alignment horizontal="left" vertical="center"/>
      <protection locked="0"/>
    </xf>
    <xf numFmtId="0" fontId="38" fillId="0" borderId="0" xfId="0" applyFont="1" applyFill="1" applyBorder="1" applyAlignment="1" applyProtection="1">
      <alignment horizontal="left" vertical="center"/>
      <protection locked="0"/>
    </xf>
    <xf numFmtId="15" fontId="38" fillId="0" borderId="0" xfId="0" applyNumberFormat="1" applyFont="1" applyFill="1" applyBorder="1" applyAlignment="1" applyProtection="1">
      <alignment horizontal="left" vertical="center"/>
      <protection locked="0"/>
    </xf>
    <xf numFmtId="164" fontId="38" fillId="0" borderId="0" xfId="1" applyFont="1" applyFill="1" applyBorder="1" applyAlignment="1">
      <alignment vertical="center"/>
    </xf>
    <xf numFmtId="165" fontId="0" fillId="0" borderId="0" xfId="1" applyNumberFormat="1" applyFont="1"/>
    <xf numFmtId="165" fontId="2" fillId="0" borderId="2" xfId="1" applyNumberFormat="1" applyFont="1" applyBorder="1" applyAlignment="1">
      <alignment horizontal="center" vertical="center" wrapText="1"/>
    </xf>
    <xf numFmtId="0" fontId="44" fillId="0" borderId="0" xfId="0" applyFont="1"/>
    <xf numFmtId="0" fontId="45" fillId="10" borderId="14" xfId="0" applyFont="1" applyFill="1" applyBorder="1" applyAlignment="1">
      <alignment vertical="top" wrapText="1"/>
    </xf>
    <xf numFmtId="164" fontId="45" fillId="10" borderId="14" xfId="1" applyFont="1" applyFill="1" applyBorder="1" applyAlignment="1">
      <alignment vertical="top" wrapText="1"/>
    </xf>
    <xf numFmtId="0" fontId="43" fillId="9" borderId="14" xfId="0" applyFont="1" applyFill="1" applyBorder="1" applyAlignment="1">
      <alignment vertical="top" wrapText="1"/>
    </xf>
    <xf numFmtId="0" fontId="0" fillId="0" borderId="14" xfId="0" applyBorder="1"/>
    <xf numFmtId="164" fontId="0" fillId="0" borderId="14" xfId="1" applyFont="1" applyBorder="1"/>
    <xf numFmtId="166" fontId="26" fillId="0" borderId="1" xfId="1" applyNumberFormat="1" applyFont="1" applyFill="1" applyBorder="1"/>
    <xf numFmtId="166" fontId="24" fillId="4" borderId="1" xfId="1" applyNumberFormat="1" applyFont="1" applyFill="1" applyBorder="1"/>
    <xf numFmtId="15" fontId="0" fillId="0" borderId="0" xfId="0" applyNumberFormat="1"/>
    <xf numFmtId="43" fontId="35" fillId="3" borderId="1" xfId="3" applyFont="1" applyFill="1" applyBorder="1"/>
    <xf numFmtId="43" fontId="36" fillId="3" borderId="1" xfId="3" applyFont="1" applyFill="1" applyBorder="1" applyAlignment="1">
      <alignment horizontal="center" wrapText="1"/>
    </xf>
    <xf numFmtId="0" fontId="38" fillId="0" borderId="1" xfId="0" applyNumberFormat="1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>
      <alignment vertical="center"/>
    </xf>
    <xf numFmtId="0" fontId="38" fillId="0" borderId="1" xfId="0" quotePrefix="1" applyNumberFormat="1" applyFont="1" applyFill="1" applyBorder="1" applyAlignment="1" applyProtection="1">
      <alignment horizontal="left" vertical="center"/>
      <protection locked="0"/>
    </xf>
    <xf numFmtId="164" fontId="14" fillId="0" borderId="0" xfId="0" applyNumberFormat="1" applyFont="1" applyFill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5" xfId="0" applyFont="1" applyBorder="1"/>
    <xf numFmtId="43" fontId="0" fillId="0" borderId="1" xfId="12" applyFont="1" applyFill="1" applyBorder="1"/>
    <xf numFmtId="17" fontId="0" fillId="0" borderId="1" xfId="0" applyNumberFormat="1" applyBorder="1"/>
    <xf numFmtId="166" fontId="0" fillId="0" borderId="1" xfId="1" applyNumberFormat="1" applyFont="1" applyFill="1" applyBorder="1"/>
    <xf numFmtId="165" fontId="0" fillId="0" borderId="1" xfId="1" applyNumberFormat="1" applyFont="1" applyFill="1" applyBorder="1"/>
    <xf numFmtId="0" fontId="43" fillId="9" borderId="14" xfId="0" applyFont="1" applyFill="1" applyBorder="1" applyAlignment="1">
      <alignment horizontal="right" vertical="top" wrapText="1"/>
    </xf>
    <xf numFmtId="4" fontId="43" fillId="9" borderId="14" xfId="0" applyNumberFormat="1" applyFont="1" applyFill="1" applyBorder="1" applyAlignment="1">
      <alignment horizontal="right" vertical="top" wrapText="1"/>
    </xf>
    <xf numFmtId="0" fontId="0" fillId="9" borderId="14" xfId="0" applyFill="1" applyBorder="1" applyAlignment="1">
      <alignment vertical="top" wrapText="1"/>
    </xf>
    <xf numFmtId="0" fontId="43" fillId="9" borderId="14" xfId="0" applyFont="1" applyFill="1" applyBorder="1" applyAlignment="1">
      <alignment horizontal="justify" vertical="top" wrapText="1"/>
    </xf>
    <xf numFmtId="0" fontId="0" fillId="9" borderId="0" xfId="0" applyFill="1" applyAlignment="1">
      <alignment vertical="top" wrapText="1"/>
    </xf>
    <xf numFmtId="0" fontId="43" fillId="9" borderId="0" xfId="0" applyFont="1" applyFill="1" applyAlignment="1">
      <alignment vertical="top" wrapText="1"/>
    </xf>
    <xf numFmtId="0" fontId="4" fillId="0" borderId="15" xfId="0" applyFont="1" applyBorder="1"/>
    <xf numFmtId="164" fontId="0" fillId="0" borderId="15" xfId="1" applyFont="1" applyBorder="1"/>
    <xf numFmtId="15" fontId="2" fillId="0" borderId="0" xfId="0" applyNumberFormat="1" applyFont="1" applyAlignment="1">
      <alignment horizontal="left"/>
    </xf>
    <xf numFmtId="0" fontId="46" fillId="2" borderId="2" xfId="0" applyFont="1" applyFill="1" applyBorder="1" applyAlignment="1">
      <alignment horizontal="center" vertical="center" wrapText="1"/>
    </xf>
    <xf numFmtId="0" fontId="49" fillId="2" borderId="1" xfId="0" applyFont="1" applyFill="1" applyBorder="1"/>
    <xf numFmtId="17" fontId="46" fillId="2" borderId="1" xfId="1" applyNumberFormat="1" applyFont="1" applyFill="1" applyBorder="1" applyAlignment="1">
      <alignment horizontal="center" vertical="center" wrapText="1"/>
    </xf>
    <xf numFmtId="15" fontId="43" fillId="9" borderId="14" xfId="0" applyNumberFormat="1" applyFont="1" applyFill="1" applyBorder="1" applyAlignment="1">
      <alignment vertical="top" wrapText="1"/>
    </xf>
    <xf numFmtId="164" fontId="43" fillId="9" borderId="14" xfId="1" applyFont="1" applyFill="1" applyBorder="1" applyAlignment="1">
      <alignment vertical="top" wrapText="1"/>
    </xf>
    <xf numFmtId="0" fontId="46" fillId="2" borderId="0" xfId="0" applyFont="1" applyFill="1"/>
    <xf numFmtId="164" fontId="46" fillId="2" borderId="0" xfId="1" applyFont="1" applyFill="1"/>
    <xf numFmtId="164" fontId="46" fillId="2" borderId="0" xfId="0" applyNumberFormat="1" applyFont="1" applyFill="1"/>
    <xf numFmtId="164" fontId="2" fillId="0" borderId="0" xfId="1" applyFont="1" applyAlignment="1">
      <alignment horizontal="left"/>
    </xf>
    <xf numFmtId="164" fontId="2" fillId="0" borderId="15" xfId="1" applyFont="1" applyBorder="1" applyAlignment="1">
      <alignment horizontal="left"/>
    </xf>
    <xf numFmtId="43" fontId="2" fillId="0" borderId="15" xfId="0" applyNumberFormat="1" applyFont="1" applyBorder="1" applyAlignment="1">
      <alignment horizontal="left"/>
    </xf>
    <xf numFmtId="0" fontId="44" fillId="0" borderId="15" xfId="0" applyFont="1" applyBorder="1"/>
    <xf numFmtId="0" fontId="0" fillId="0" borderId="15" xfId="0" applyBorder="1"/>
    <xf numFmtId="0" fontId="46" fillId="2" borderId="14" xfId="0" applyFont="1" applyFill="1" applyBorder="1" applyAlignment="1">
      <alignment vertical="top" wrapText="1"/>
    </xf>
    <xf numFmtId="164" fontId="46" fillId="2" borderId="14" xfId="1" applyFont="1" applyFill="1" applyBorder="1" applyAlignment="1">
      <alignment vertical="top" wrapText="1"/>
    </xf>
    <xf numFmtId="0" fontId="46" fillId="2" borderId="1" xfId="0" applyFont="1" applyFill="1" applyBorder="1"/>
    <xf numFmtId="43" fontId="51" fillId="2" borderId="2" xfId="17" applyFont="1" applyFill="1" applyBorder="1" applyAlignment="1">
      <alignment horizontal="center" vertical="center" wrapText="1" readingOrder="1"/>
    </xf>
    <xf numFmtId="0" fontId="0" fillId="11" borderId="0" xfId="0" applyFill="1"/>
    <xf numFmtId="0" fontId="52" fillId="9" borderId="14" xfId="0" applyFont="1" applyFill="1" applyBorder="1" applyAlignment="1">
      <alignment vertical="top" wrapText="1"/>
    </xf>
    <xf numFmtId="15" fontId="52" fillId="9" borderId="14" xfId="0" applyNumberFormat="1" applyFont="1" applyFill="1" applyBorder="1" applyAlignment="1">
      <alignment vertical="top" wrapText="1"/>
    </xf>
    <xf numFmtId="1" fontId="0" fillId="11" borderId="1" xfId="0" applyNumberFormat="1" applyFill="1" applyBorder="1"/>
    <xf numFmtId="43" fontId="9" fillId="0" borderId="2" xfId="17" applyFont="1" applyFill="1" applyBorder="1" applyAlignment="1">
      <alignment vertical="center" readingOrder="1"/>
    </xf>
    <xf numFmtId="43" fontId="9" fillId="0" borderId="2" xfId="17" applyFont="1" applyFill="1" applyBorder="1" applyAlignment="1">
      <alignment horizontal="center" vertical="center" readingOrder="1"/>
    </xf>
    <xf numFmtId="4" fontId="46" fillId="2" borderId="1" xfId="0" applyNumberFormat="1" applyFont="1" applyFill="1" applyBorder="1"/>
    <xf numFmtId="164" fontId="0" fillId="0" borderId="0" xfId="1" applyFont="1" applyAlignment="1">
      <alignment horizontal="left"/>
    </xf>
    <xf numFmtId="0" fontId="46" fillId="2" borderId="1" xfId="0" applyFont="1" applyFill="1" applyBorder="1" applyAlignment="1">
      <alignment horizontal="left"/>
    </xf>
    <xf numFmtId="43" fontId="53" fillId="2" borderId="1" xfId="3" applyFont="1" applyFill="1" applyBorder="1" applyAlignment="1">
      <alignment horizontal="center" vertical="center" wrapText="1"/>
    </xf>
    <xf numFmtId="166" fontId="53" fillId="2" borderId="1" xfId="3" applyNumberFormat="1" applyFont="1" applyFill="1" applyBorder="1" applyAlignment="1">
      <alignment horizontal="center" vertical="center" wrapText="1"/>
    </xf>
    <xf numFmtId="166" fontId="46" fillId="2" borderId="1" xfId="3" applyNumberFormat="1" applyFont="1" applyFill="1" applyBorder="1"/>
    <xf numFmtId="0" fontId="54" fillId="2" borderId="1" xfId="2" applyFont="1" applyFill="1" applyBorder="1" applyAlignment="1">
      <alignment horizontal="justify"/>
    </xf>
    <xf numFmtId="0" fontId="27" fillId="12" borderId="1" xfId="0" applyFont="1" applyFill="1" applyBorder="1"/>
    <xf numFmtId="166" fontId="27" fillId="12" borderId="1" xfId="1" applyNumberFormat="1" applyFont="1" applyFill="1" applyBorder="1"/>
    <xf numFmtId="0" fontId="0" fillId="0" borderId="4" xfId="0" applyFill="1" applyBorder="1"/>
    <xf numFmtId="15" fontId="2" fillId="0" borderId="0" xfId="0" applyNumberFormat="1" applyFont="1"/>
    <xf numFmtId="15" fontId="3" fillId="0" borderId="0" xfId="0" applyNumberFormat="1" applyFont="1"/>
    <xf numFmtId="17" fontId="0" fillId="0" borderId="1" xfId="0" applyNumberFormat="1" applyBorder="1" applyAlignment="1"/>
    <xf numFmtId="164" fontId="46" fillId="2" borderId="1" xfId="1" applyFont="1" applyFill="1" applyBorder="1"/>
    <xf numFmtId="0" fontId="56" fillId="2" borderId="14" xfId="0" applyFont="1" applyFill="1" applyBorder="1" applyAlignment="1">
      <alignment wrapText="1"/>
    </xf>
    <xf numFmtId="0" fontId="56" fillId="2" borderId="14" xfId="0" applyFont="1" applyFill="1" applyBorder="1" applyAlignment="1">
      <alignment vertical="top" wrapText="1"/>
    </xf>
    <xf numFmtId="43" fontId="0" fillId="0" borderId="0" xfId="0" applyNumberFormat="1" applyBorder="1"/>
    <xf numFmtId="0" fontId="0" fillId="0" borderId="1" xfId="0" applyNumberFormat="1" applyBorder="1" applyAlignment="1"/>
    <xf numFmtId="164" fontId="0" fillId="0" borderId="0" xfId="1" applyFont="1" applyBorder="1"/>
    <xf numFmtId="49" fontId="59" fillId="14" borderId="0" xfId="18" applyNumberFormat="1" applyFont="1" applyFill="1" applyBorder="1" applyAlignment="1" applyProtection="1">
      <protection locked="0" hidden="1"/>
    </xf>
    <xf numFmtId="49" fontId="59" fillId="14" borderId="0" xfId="18" applyNumberFormat="1" applyFont="1" applyFill="1" applyBorder="1" applyAlignment="1" applyProtection="1">
      <alignment horizontal="center"/>
      <protection locked="0" hidden="1"/>
    </xf>
    <xf numFmtId="43" fontId="26" fillId="3" borderId="0" xfId="3" applyFont="1" applyFill="1"/>
    <xf numFmtId="43" fontId="59" fillId="14" borderId="0" xfId="3" applyFont="1" applyFill="1" applyBorder="1" applyAlignment="1" applyProtection="1">
      <alignment horizontal="center"/>
      <protection locked="0" hidden="1"/>
    </xf>
    <xf numFmtId="43" fontId="59" fillId="14" borderId="0" xfId="3" applyFont="1" applyFill="1" applyBorder="1" applyAlignment="1" applyProtection="1">
      <protection locked="0" hidden="1"/>
    </xf>
    <xf numFmtId="49" fontId="37" fillId="0" borderId="0" xfId="0" applyNumberFormat="1" applyFont="1" applyFill="1" applyBorder="1" applyAlignment="1" applyProtection="1">
      <protection locked="0" hidden="1"/>
    </xf>
    <xf numFmtId="4" fontId="60" fillId="0" borderId="0" xfId="0" applyNumberFormat="1" applyFont="1"/>
    <xf numFmtId="0" fontId="26" fillId="3" borderId="0" xfId="18" applyFont="1" applyFill="1"/>
    <xf numFmtId="43" fontId="14" fillId="0" borderId="13" xfId="3" applyFont="1" applyBorder="1" applyAlignment="1">
      <alignment horizontal="right"/>
    </xf>
    <xf numFmtId="43" fontId="61" fillId="14" borderId="0" xfId="3" applyFont="1" applyFill="1" applyBorder="1" applyAlignment="1" applyProtection="1">
      <alignment horizontal="right"/>
      <protection hidden="1"/>
    </xf>
    <xf numFmtId="43" fontId="62" fillId="0" borderId="0" xfId="3" applyFont="1"/>
    <xf numFmtId="49" fontId="63" fillId="14" borderId="0" xfId="18" applyNumberFormat="1" applyFont="1" applyFill="1" applyBorder="1" applyAlignment="1" applyProtection="1">
      <alignment horizontal="center"/>
      <protection locked="0" hidden="1"/>
    </xf>
    <xf numFmtId="168" fontId="59" fillId="14" borderId="0" xfId="18" applyNumberFormat="1" applyFont="1" applyFill="1" applyBorder="1" applyAlignment="1" applyProtection="1">
      <protection locked="0" hidden="1"/>
    </xf>
    <xf numFmtId="0" fontId="62" fillId="0" borderId="0" xfId="0" applyFont="1"/>
    <xf numFmtId="4" fontId="62" fillId="0" borderId="0" xfId="0" applyNumberFormat="1" applyFont="1" applyAlignment="1">
      <alignment horizontal="center"/>
    </xf>
    <xf numFmtId="4" fontId="64" fillId="0" borderId="0" xfId="0" applyNumberFormat="1" applyFont="1"/>
    <xf numFmtId="4" fontId="62" fillId="0" borderId="0" xfId="0" applyNumberFormat="1" applyFont="1"/>
    <xf numFmtId="0" fontId="60" fillId="0" borderId="0" xfId="0" applyFont="1" applyAlignment="1">
      <alignment horizontal="left"/>
    </xf>
    <xf numFmtId="4" fontId="60" fillId="0" borderId="0" xfId="0" applyNumberFormat="1" applyFont="1" applyAlignment="1">
      <alignment horizontal="left" vertical="center"/>
    </xf>
    <xf numFmtId="0" fontId="26" fillId="3" borderId="0" xfId="18" applyFont="1" applyFill="1" applyAlignment="1">
      <alignment horizontal="center" vertical="center"/>
    </xf>
    <xf numFmtId="40" fontId="26" fillId="3" borderId="0" xfId="18" applyNumberFormat="1" applyFont="1" applyFill="1" applyAlignment="1">
      <alignment horizontal="center" vertical="top"/>
    </xf>
    <xf numFmtId="43" fontId="26" fillId="3" borderId="0" xfId="3" applyFont="1" applyFill="1" applyBorder="1"/>
    <xf numFmtId="49" fontId="61" fillId="14" borderId="0" xfId="18" applyNumberFormat="1" applyFont="1" applyFill="1" applyBorder="1" applyAlignment="1" applyProtection="1">
      <protection locked="0" hidden="1"/>
    </xf>
    <xf numFmtId="43" fontId="61" fillId="14" borderId="0" xfId="3" applyFont="1" applyFill="1" applyBorder="1" applyAlignment="1" applyProtection="1">
      <protection locked="0" hidden="1"/>
    </xf>
    <xf numFmtId="43" fontId="61" fillId="14" borderId="13" xfId="3" applyFont="1" applyFill="1" applyBorder="1" applyAlignment="1" applyProtection="1">
      <alignment horizontal="right"/>
      <protection hidden="1"/>
    </xf>
    <xf numFmtId="0" fontId="9" fillId="0" borderId="0" xfId="18" applyFill="1" applyAlignment="1">
      <alignment horizontal="right"/>
    </xf>
    <xf numFmtId="15" fontId="9" fillId="0" borderId="0" xfId="18" applyNumberFormat="1"/>
    <xf numFmtId="0" fontId="9" fillId="0" borderId="0" xfId="18" applyFill="1" applyAlignment="1">
      <alignment horizontal="left"/>
    </xf>
    <xf numFmtId="0" fontId="9" fillId="0" borderId="0" xfId="18" applyAlignment="1">
      <alignment horizontal="right"/>
    </xf>
    <xf numFmtId="0" fontId="9" fillId="0" borderId="0" xfId="18"/>
    <xf numFmtId="4" fontId="65" fillId="0" borderId="0" xfId="0" applyNumberFormat="1" applyFont="1" applyBorder="1" applyAlignment="1">
      <alignment horizontal="right" vertical="center"/>
    </xf>
    <xf numFmtId="43" fontId="61" fillId="14" borderId="11" xfId="3" applyFont="1" applyFill="1" applyBorder="1" applyAlignment="1" applyProtection="1">
      <alignment horizontal="right"/>
      <protection hidden="1"/>
    </xf>
    <xf numFmtId="49" fontId="66" fillId="14" borderId="9" xfId="18" applyNumberFormat="1" applyFont="1" applyFill="1" applyBorder="1" applyAlignment="1" applyProtection="1">
      <protection locked="0" hidden="1"/>
    </xf>
    <xf numFmtId="49" fontId="67" fillId="14" borderId="9" xfId="18" applyNumberFormat="1" applyFont="1" applyFill="1" applyBorder="1" applyAlignment="1" applyProtection="1">
      <protection locked="0" hidden="1"/>
    </xf>
    <xf numFmtId="43" fontId="67" fillId="14" borderId="9" xfId="3" applyFont="1" applyFill="1" applyBorder="1" applyAlignment="1" applyProtection="1">
      <protection locked="0" hidden="1"/>
    </xf>
    <xf numFmtId="0" fontId="68" fillId="3" borderId="0" xfId="18" applyFont="1" applyFill="1"/>
    <xf numFmtId="0" fontId="9" fillId="3" borderId="0" xfId="18" applyFont="1" applyFill="1"/>
    <xf numFmtId="43" fontId="9" fillId="3" borderId="0" xfId="3" applyFont="1" applyFill="1"/>
    <xf numFmtId="43" fontId="16" fillId="3" borderId="0" xfId="3" applyFont="1" applyFill="1"/>
    <xf numFmtId="43" fontId="9" fillId="3" borderId="0" xfId="3" applyFont="1" applyFill="1" applyAlignment="1"/>
    <xf numFmtId="0" fontId="69" fillId="3" borderId="0" xfId="18" applyFont="1" applyFill="1"/>
    <xf numFmtId="0" fontId="9" fillId="3" borderId="0" xfId="18" applyFill="1" applyAlignment="1"/>
    <xf numFmtId="43" fontId="36" fillId="3" borderId="0" xfId="3" applyFont="1" applyFill="1"/>
    <xf numFmtId="43" fontId="9" fillId="0" borderId="0" xfId="3" applyFont="1"/>
    <xf numFmtId="164" fontId="43" fillId="9" borderId="1" xfId="1" applyFont="1" applyFill="1" applyBorder="1" applyAlignment="1">
      <alignment vertical="top" wrapText="1"/>
    </xf>
    <xf numFmtId="43" fontId="0" fillId="11" borderId="1" xfId="12" applyFont="1" applyFill="1" applyBorder="1"/>
    <xf numFmtId="4" fontId="52" fillId="9" borderId="14" xfId="0" applyNumberFormat="1" applyFont="1" applyFill="1" applyBorder="1" applyAlignment="1">
      <alignment horizontal="right" vertical="top" wrapText="1"/>
    </xf>
    <xf numFmtId="0" fontId="9" fillId="3" borderId="0" xfId="2" applyFont="1" applyFill="1"/>
    <xf numFmtId="0" fontId="9" fillId="3" borderId="0" xfId="2" applyFont="1" applyFill="1" applyAlignment="1"/>
    <xf numFmtId="43" fontId="69" fillId="3" borderId="0" xfId="3" applyFont="1" applyFill="1"/>
    <xf numFmtId="0" fontId="4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166" fontId="17" fillId="2" borderId="1" xfId="3" applyNumberFormat="1" applyFont="1" applyFill="1" applyBorder="1" applyAlignment="1">
      <alignment horizontal="center" wrapText="1"/>
    </xf>
    <xf numFmtId="0" fontId="55" fillId="2" borderId="2" xfId="2" applyFont="1" applyFill="1" applyBorder="1" applyAlignment="1">
      <alignment horizontal="center" vertical="center" wrapText="1"/>
    </xf>
    <xf numFmtId="0" fontId="55" fillId="2" borderId="10" xfId="2" applyFont="1" applyFill="1" applyBorder="1" applyAlignment="1">
      <alignment horizontal="center" vertical="center" wrapText="1"/>
    </xf>
    <xf numFmtId="0" fontId="57" fillId="13" borderId="0" xfId="18" applyFont="1" applyFill="1" applyBorder="1" applyAlignment="1" applyProtection="1">
      <alignment horizontal="center"/>
      <protection locked="0" hidden="1"/>
    </xf>
    <xf numFmtId="0" fontId="58" fillId="13" borderId="0" xfId="18" applyFont="1" applyFill="1" applyBorder="1" applyAlignment="1" applyProtection="1">
      <alignment horizontal="center"/>
      <protection locked="0" hidden="1"/>
    </xf>
    <xf numFmtId="14" fontId="58" fillId="13" borderId="0" xfId="18" applyNumberFormat="1" applyFont="1" applyFill="1" applyBorder="1" applyAlignment="1" applyProtection="1">
      <alignment horizontal="center"/>
      <protection locked="0" hidden="1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47" fillId="9" borderId="0" xfId="0" applyFont="1" applyFill="1" applyAlignment="1">
      <alignment horizontal="center" vertical="top" wrapText="1"/>
    </xf>
    <xf numFmtId="0" fontId="43" fillId="9" borderId="0" xfId="0" applyFont="1" applyFill="1" applyAlignment="1">
      <alignment horizontal="center" vertical="top" wrapText="1"/>
    </xf>
    <xf numFmtId="0" fontId="46" fillId="2" borderId="4" xfId="0" applyFont="1" applyFill="1" applyBorder="1"/>
    <xf numFmtId="170" fontId="0" fillId="0" borderId="0" xfId="1" applyNumberFormat="1" applyFont="1"/>
    <xf numFmtId="0" fontId="52" fillId="9" borderId="14" xfId="0" applyFont="1" applyFill="1" applyBorder="1" applyAlignment="1">
      <alignment horizontal="right" vertical="top" wrapText="1"/>
    </xf>
  </cellXfs>
  <cellStyles count="20">
    <cellStyle name="Comma" xfId="1" builtinId="3"/>
    <cellStyle name="Comma 2" xfId="3"/>
    <cellStyle name="Comma 2 2" xfId="4"/>
    <cellStyle name="Comma 2 2 2" xfId="13"/>
    <cellStyle name="Comma 2 3" xfId="11"/>
    <cellStyle name="Comma 2 4" xfId="12"/>
    <cellStyle name="Comma 2 4 2" xfId="15"/>
    <cellStyle name="Comma 3" xfId="5"/>
    <cellStyle name="Comma 4" xfId="14"/>
    <cellStyle name="Comma 8" xfId="7"/>
    <cellStyle name="Comma 8 2" xfId="17"/>
    <cellStyle name="Normal" xfId="0" builtinId="0"/>
    <cellStyle name="Normal 2" xfId="2"/>
    <cellStyle name="Normal 2 2" xfId="10"/>
    <cellStyle name="Normal 2 2 2" xfId="16"/>
    <cellStyle name="Normal 3" xfId="9"/>
    <cellStyle name="Normal 4" xfId="18"/>
    <cellStyle name="Normal 4 3" xfId="19"/>
    <cellStyle name="Normal 7" xfId="6"/>
    <cellStyle name="Percent" xfId="8" builtinId="5"/>
  </cellStyles>
  <dxfs count="0"/>
  <tableStyles count="0" defaultTableStyle="TableStyleMedium2" defaultPivotStyle="PivotStyleLight16"/>
  <colors>
    <mruColors>
      <color rgb="FFFD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Schedules!A1"/><Relationship Id="rId1" Type="http://schemas.openxmlformats.org/officeDocument/2006/relationships/hyperlink" Target="#Schedules!A2"/><Relationship Id="rId5" Type="http://schemas.openxmlformats.org/officeDocument/2006/relationships/hyperlink" Target="#'EOSB 2021'!A1"/><Relationship Id="rId4" Type="http://schemas.openxmlformats.org/officeDocument/2006/relationships/hyperlink" Target="#'AR &amp; Advances'!A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Expense Comparison'!A51"/><Relationship Id="rId2" Type="http://schemas.openxmlformats.org/officeDocument/2006/relationships/hyperlink" Target="#'Expense Comparison'!A2"/><Relationship Id="rId1" Type="http://schemas.openxmlformats.org/officeDocument/2006/relationships/image" Target="../media/image1.png"/><Relationship Id="rId4" Type="http://schemas.openxmlformats.org/officeDocument/2006/relationships/hyperlink" Target="#'Expense Comparison'!A7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AP Accruals'!A1"/><Relationship Id="rId13" Type="http://schemas.openxmlformats.org/officeDocument/2006/relationships/hyperlink" Target="#'AP Ageing '!A1"/><Relationship Id="rId3" Type="http://schemas.openxmlformats.org/officeDocument/2006/relationships/image" Target="../media/image2.jpeg"/><Relationship Id="rId7" Type="http://schemas.openxmlformats.org/officeDocument/2006/relationships/hyperlink" Target="#Accruals!A1"/><Relationship Id="rId12" Type="http://schemas.openxmlformats.org/officeDocument/2006/relationships/hyperlink" Target="#AR!A1"/><Relationship Id="rId2" Type="http://schemas.openxmlformats.org/officeDocument/2006/relationships/hyperlink" Target="#BS!A1"/><Relationship Id="rId1" Type="http://schemas.openxmlformats.org/officeDocument/2006/relationships/image" Target="../media/image1.png"/><Relationship Id="rId6" Type="http://schemas.openxmlformats.org/officeDocument/2006/relationships/hyperlink" Target="#'AR &amp; Advances'!A2"/><Relationship Id="rId11" Type="http://schemas.openxmlformats.org/officeDocument/2006/relationships/hyperlink" Target="#'Advances to Vendors '!A1"/><Relationship Id="rId5" Type="http://schemas.openxmlformats.org/officeDocument/2006/relationships/hyperlink" Target="#'Cash and Bank'!A1"/><Relationship Id="rId10" Type="http://schemas.openxmlformats.org/officeDocument/2006/relationships/hyperlink" Target="#'Expense AP Accrual '!A1"/><Relationship Id="rId4" Type="http://schemas.openxmlformats.org/officeDocument/2006/relationships/hyperlink" Target="#'FIXED ASSETS'!A2"/><Relationship Id="rId9" Type="http://schemas.openxmlformats.org/officeDocument/2006/relationships/hyperlink" Target="#'AP Ageing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IS!A1"/><Relationship Id="rId1" Type="http://schemas.openxmlformats.org/officeDocument/2006/relationships/image" Target="../media/image1.png"/><Relationship Id="rId4" Type="http://schemas.openxmlformats.org/officeDocument/2006/relationships/hyperlink" Target="#'Fixed Assets'!A2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 Kind Calculation'!A2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'In- Kind Summary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IS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BS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9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Schedules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28575</xdr:rowOff>
    </xdr:from>
    <xdr:to>
      <xdr:col>0</xdr:col>
      <xdr:colOff>228600</xdr:colOff>
      <xdr:row>10</xdr:row>
      <xdr:rowOff>9525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10</xdr:row>
      <xdr:rowOff>28575</xdr:rowOff>
    </xdr:from>
    <xdr:to>
      <xdr:col>0</xdr:col>
      <xdr:colOff>228600</xdr:colOff>
      <xdr:row>11</xdr:row>
      <xdr:rowOff>9525</xdr:rowOff>
    </xdr:to>
    <xdr:sp macro="" textlink="">
      <xdr:nvSpPr>
        <xdr:cNvPr id="7" name="Rounded Rectangle 6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17</xdr:row>
      <xdr:rowOff>28575</xdr:rowOff>
    </xdr:from>
    <xdr:to>
      <xdr:col>0</xdr:col>
      <xdr:colOff>228600</xdr:colOff>
      <xdr:row>18</xdr:row>
      <xdr:rowOff>9525</xdr:rowOff>
    </xdr:to>
    <xdr:sp macro="" textlink="">
      <xdr:nvSpPr>
        <xdr:cNvPr id="16" name="Rounded Rectangle 15">
          <a:hlinkClick xmlns:r="http://schemas.openxmlformats.org/officeDocument/2006/relationships" r:id="rId1"/>
        </xdr:cNvPr>
        <xdr:cNvSpPr/>
      </xdr:nvSpPr>
      <xdr:spPr>
        <a:xfrm>
          <a:off x="38100" y="34480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31</xdr:row>
      <xdr:rowOff>28575</xdr:rowOff>
    </xdr:from>
    <xdr:to>
      <xdr:col>0</xdr:col>
      <xdr:colOff>228600</xdr:colOff>
      <xdr:row>32</xdr:row>
      <xdr:rowOff>0</xdr:rowOff>
    </xdr:to>
    <xdr:sp macro="" textlink="">
      <xdr:nvSpPr>
        <xdr:cNvPr id="19" name="Rounded Rectangle 18">
          <a:hlinkClick xmlns:r="http://schemas.openxmlformats.org/officeDocument/2006/relationships" r:id="rId2"/>
        </xdr:cNvPr>
        <xdr:cNvSpPr/>
      </xdr:nvSpPr>
      <xdr:spPr>
        <a:xfrm>
          <a:off x="38100" y="36957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1</xdr:col>
      <xdr:colOff>1428751</xdr:colOff>
      <xdr:row>1</xdr:row>
      <xdr:rowOff>57151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1746250" cy="3873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8" name="Rounded Rectangle 17">
          <a:hlinkClick xmlns:r="http://schemas.openxmlformats.org/officeDocument/2006/relationships" r:id="rId2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27</xdr:row>
      <xdr:rowOff>28575</xdr:rowOff>
    </xdr:from>
    <xdr:to>
      <xdr:col>0</xdr:col>
      <xdr:colOff>228600</xdr:colOff>
      <xdr:row>28</xdr:row>
      <xdr:rowOff>9525</xdr:rowOff>
    </xdr:to>
    <xdr:sp macro="" textlink="">
      <xdr:nvSpPr>
        <xdr:cNvPr id="9" name="Rounded Rectangle 8">
          <a:hlinkClick xmlns:r="http://schemas.openxmlformats.org/officeDocument/2006/relationships" r:id="rId5"/>
        </xdr:cNvPr>
        <xdr:cNvSpPr/>
      </xdr:nvSpPr>
      <xdr:spPr>
        <a:xfrm>
          <a:off x="38100" y="606361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2</xdr:col>
      <xdr:colOff>1479551</xdr:colOff>
      <xdr:row>1</xdr:row>
      <xdr:rowOff>50801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1"/>
          <a:ext cx="1797050" cy="381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190500</xdr:colOff>
      <xdr:row>13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0" y="24003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190500</xdr:colOff>
      <xdr:row>16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190500</xdr:colOff>
      <xdr:row>14</xdr:row>
      <xdr:rowOff>228600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993140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248209</xdr:colOff>
      <xdr:row>4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38100</xdr:colOff>
      <xdr:row>4</xdr:row>
      <xdr:rowOff>28575</xdr:rowOff>
    </xdr:from>
    <xdr:to>
      <xdr:col>2</xdr:col>
      <xdr:colOff>228600</xdr:colOff>
      <xdr:row>5</xdr:row>
      <xdr:rowOff>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38100" y="23812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32</xdr:row>
      <xdr:rowOff>28575</xdr:rowOff>
    </xdr:from>
    <xdr:to>
      <xdr:col>2</xdr:col>
      <xdr:colOff>228600</xdr:colOff>
      <xdr:row>33</xdr:row>
      <xdr:rowOff>0</xdr:rowOff>
    </xdr:to>
    <xdr:sp macro="" textlink="">
      <xdr:nvSpPr>
        <xdr:cNvPr id="19" name="Rounded Rectangle 18">
          <a:hlinkClick xmlns:r="http://schemas.openxmlformats.org/officeDocument/2006/relationships" r:id="rId5"/>
        </xdr:cNvPr>
        <xdr:cNvSpPr/>
      </xdr:nvSpPr>
      <xdr:spPr>
        <a:xfrm>
          <a:off x="666750" y="5648325"/>
          <a:ext cx="17145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3" name="Rounded Rectangle 22">
          <a:hlinkClick xmlns:r="http://schemas.openxmlformats.org/officeDocument/2006/relationships" r:id="rId6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4" name="Rounded Rectangle 23">
          <a:hlinkClick xmlns:r="http://schemas.openxmlformats.org/officeDocument/2006/relationships" r:id="rId7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6" name="Rounded Rectangle 25">
          <a:hlinkClick xmlns:r="http://schemas.openxmlformats.org/officeDocument/2006/relationships" r:id="rId6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9" name="Rounded Rectangle 28">
          <a:hlinkClick xmlns:r="http://schemas.openxmlformats.org/officeDocument/2006/relationships" r:id="rId8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219075</xdr:colOff>
      <xdr:row>39</xdr:row>
      <xdr:rowOff>228600</xdr:rowOff>
    </xdr:to>
    <xdr:sp macro="" textlink="">
      <xdr:nvSpPr>
        <xdr:cNvPr id="30" name="Rounded Rectangle 29">
          <a:hlinkClick xmlns:r="http://schemas.openxmlformats.org/officeDocument/2006/relationships" r:id="rId6"/>
        </xdr:cNvPr>
        <xdr:cNvSpPr/>
      </xdr:nvSpPr>
      <xdr:spPr>
        <a:xfrm>
          <a:off x="647700" y="6886575"/>
          <a:ext cx="180975" cy="20002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11</xdr:row>
      <xdr:rowOff>28575</xdr:rowOff>
    </xdr:from>
    <xdr:to>
      <xdr:col>2</xdr:col>
      <xdr:colOff>228600</xdr:colOff>
      <xdr:row>12</xdr:row>
      <xdr:rowOff>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647700" y="11906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4" name="Rounded Rectangle 33">
          <a:hlinkClick xmlns:r="http://schemas.openxmlformats.org/officeDocument/2006/relationships" r:id="rId6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5" name="Rounded Rectangle 34">
          <a:hlinkClick xmlns:r="http://schemas.openxmlformats.org/officeDocument/2006/relationships" r:id="rId9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6" name="Rounded Rectangle 35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7" name="Rounded Rectangle 36">
          <a:hlinkClick xmlns:r="http://schemas.openxmlformats.org/officeDocument/2006/relationships" r:id="rId7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8" name="Rounded Rectangle 37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3" name="Rounded Rectangle 52">
          <a:hlinkClick xmlns:r="http://schemas.openxmlformats.org/officeDocument/2006/relationships" r:id="rId6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4" name="Rounded Rectangle 53">
          <a:hlinkClick xmlns:r="http://schemas.openxmlformats.org/officeDocument/2006/relationships" r:id="rId11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0" name="Rounded Rectangle 19">
          <a:hlinkClick xmlns:r="http://schemas.openxmlformats.org/officeDocument/2006/relationships" r:id="rId6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1" name="Rounded Rectangle 20">
          <a:hlinkClick xmlns:r="http://schemas.openxmlformats.org/officeDocument/2006/relationships" r:id="rId12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2" name="Rounded Rectangle 21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5" name="Rounded Rectangle 24">
          <a:hlinkClick xmlns:r="http://schemas.openxmlformats.org/officeDocument/2006/relationships" r:id="rId7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7" name="Rounded Rectangle 26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8" name="Rounded Rectangle 27">
          <a:hlinkClick xmlns:r="http://schemas.openxmlformats.org/officeDocument/2006/relationships" r:id="rId13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1250315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190500</xdr:colOff>
      <xdr:row>65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4"/>
        </xdr:cNvPr>
        <xdr:cNvSpPr/>
      </xdr:nvSpPr>
      <xdr:spPr>
        <a:xfrm>
          <a:off x="0" y="41338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190500</xdr:colOff>
      <xdr:row>58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0" y="140779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678815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6</xdr:row>
      <xdr:rowOff>19050</xdr:rowOff>
    </xdr:from>
    <xdr:to>
      <xdr:col>2</xdr:col>
      <xdr:colOff>723900</xdr:colOff>
      <xdr:row>7</xdr:row>
      <xdr:rowOff>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4029075" y="30765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4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5810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3333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248209</xdr:colOff>
      <xdr:row>5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096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260909</xdr:colOff>
      <xdr:row>4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1158240</xdr:colOff>
      <xdr:row>2</xdr:row>
      <xdr:rowOff>184150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939290" cy="6286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288290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926465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3009900</xdr:colOff>
      <xdr:row>0</xdr:row>
      <xdr:rowOff>158750</xdr:rowOff>
    </xdr:from>
    <xdr:to>
      <xdr:col>4</xdr:col>
      <xdr:colOff>221615</xdr:colOff>
      <xdr:row>3</xdr:row>
      <xdr:rowOff>95250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58750"/>
          <a:ext cx="1872615" cy="628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146050</xdr:rowOff>
    </xdr:from>
    <xdr:to>
      <xdr:col>4</xdr:col>
      <xdr:colOff>323215</xdr:colOff>
      <xdr:row>3</xdr:row>
      <xdr:rowOff>44450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146050"/>
          <a:ext cx="1885315" cy="660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1</xdr:row>
      <xdr:rowOff>215900</xdr:rowOff>
    </xdr:from>
    <xdr:to>
      <xdr:col>13</xdr:col>
      <xdr:colOff>780415</xdr:colOff>
      <xdr:row>4</xdr:row>
      <xdr:rowOff>107950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1000" y="469900"/>
          <a:ext cx="1872615" cy="660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133350</xdr:rowOff>
    </xdr:from>
    <xdr:to>
      <xdr:col>5</xdr:col>
      <xdr:colOff>1174115</xdr:colOff>
      <xdr:row>2</xdr:row>
      <xdr:rowOff>285750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133350"/>
          <a:ext cx="1872615" cy="660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697865</xdr:colOff>
      <xdr:row>2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248209</xdr:colOff>
      <xdr:row>3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62050" y="4953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UST/Financial%20Reports/2021/Service%20Pricing/ARIC/ARIC%20PRICING%20Dec%202021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IC%20LEDGER\General%20Ledger\Financial%20Reports\2021\06.%20Jun%202021\Report\ARIC%20Jun%20Report_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UJ/General%20Ledger/Financial%20Reports/2022/08.%20Aug%202022/Schedules/KUJ%20Budget%20Status-Aug_26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ice List"/>
      <sheetName val="In Kind Calculation"/>
    </sheetNames>
    <sheetDataSet>
      <sheetData sheetId="0"/>
      <sheetData sheetId="1">
        <row r="8">
          <cell r="C8">
            <v>2100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"/>
      <sheetName val="BS"/>
      <sheetName val="Schedules"/>
      <sheetName val="Expense Comparison"/>
      <sheetName val="Budget Comparison"/>
      <sheetName val="In- Kind Summary"/>
      <sheetName val="In Kind Calculation"/>
      <sheetName val="Other Income"/>
      <sheetName val="Fixed Assets"/>
      <sheetName val="Petty Cash"/>
      <sheetName val="Cash and Bank"/>
      <sheetName val="Housing Advances"/>
      <sheetName val="Related Party Balance"/>
      <sheetName val="Advances to Vendors"/>
      <sheetName val="AR"/>
      <sheetName val="Other Deposits"/>
      <sheetName val="Expense AP Accrual"/>
      <sheetName val="AP Ageing"/>
      <sheetName val="Accruals"/>
      <sheetName val="TB"/>
      <sheetName val="Accrued Insurance"/>
      <sheetName val="Retention"/>
      <sheetName val="Payroll Accrual"/>
      <sheetName val="Related Par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C15">
            <v>513398.54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TEM"/>
      <sheetName val="PIVOT"/>
      <sheetName val="PIVOT SUMMARY NEET TO BE UPDATE"/>
    </sheetNames>
    <sheetDataSet>
      <sheetData sheetId="0">
        <row r="32">
          <cell r="F32">
            <v>1947575.75</v>
          </cell>
          <cell r="H32">
            <v>1427573.92</v>
          </cell>
          <cell r="I32">
            <v>97951</v>
          </cell>
          <cell r="J32">
            <v>-272425</v>
          </cell>
          <cell r="K32">
            <v>0</v>
          </cell>
          <cell r="L32">
            <v>694475.83</v>
          </cell>
        </row>
      </sheetData>
      <sheetData sheetId="1">
        <row r="3">
          <cell r="A3" t="str">
            <v>Row Labels</v>
          </cell>
          <cell r="B3" t="str">
            <v>Sum of Revised Budget</v>
          </cell>
          <cell r="C3" t="str">
            <v>Sum of Year To Date  Actual</v>
          </cell>
          <cell r="D3" t="str">
            <v>Sum of Approved Purchase Orders</v>
          </cell>
          <cell r="E3" t="str">
            <v>Sum of Approved Requisitions</v>
          </cell>
          <cell r="F3" t="str">
            <v>Sum of Others</v>
          </cell>
          <cell r="G3" t="str">
            <v>Sum of Funds Available</v>
          </cell>
        </row>
        <row r="4">
          <cell r="A4">
            <v>412110</v>
          </cell>
          <cell r="B4">
            <v>3400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3400</v>
          </cell>
        </row>
        <row r="5">
          <cell r="A5">
            <v>412121</v>
          </cell>
          <cell r="B5">
            <v>933059.13</v>
          </cell>
          <cell r="C5">
            <v>691592.5</v>
          </cell>
          <cell r="D5">
            <v>0</v>
          </cell>
          <cell r="E5">
            <v>0</v>
          </cell>
          <cell r="F5">
            <v>0</v>
          </cell>
          <cell r="G5">
            <v>241466.63</v>
          </cell>
        </row>
        <row r="6">
          <cell r="A6">
            <v>412125</v>
          </cell>
          <cell r="B6">
            <v>522329</v>
          </cell>
          <cell r="C6">
            <v>355270.42</v>
          </cell>
          <cell r="D6">
            <v>0</v>
          </cell>
          <cell r="E6">
            <v>0</v>
          </cell>
          <cell r="F6">
            <v>0</v>
          </cell>
          <cell r="G6">
            <v>167058.57999999999</v>
          </cell>
        </row>
        <row r="7">
          <cell r="A7">
            <v>412521</v>
          </cell>
          <cell r="B7">
            <v>18100</v>
          </cell>
          <cell r="C7">
            <v>12000</v>
          </cell>
          <cell r="D7">
            <v>0</v>
          </cell>
          <cell r="E7">
            <v>0</v>
          </cell>
          <cell r="F7">
            <v>0</v>
          </cell>
          <cell r="G7">
            <v>6100</v>
          </cell>
        </row>
        <row r="8">
          <cell r="A8">
            <v>412534</v>
          </cell>
          <cell r="B8">
            <v>29731</v>
          </cell>
          <cell r="C8">
            <v>21395.5</v>
          </cell>
          <cell r="D8">
            <v>0</v>
          </cell>
          <cell r="E8">
            <v>0</v>
          </cell>
          <cell r="F8">
            <v>0</v>
          </cell>
          <cell r="G8">
            <v>8335.5</v>
          </cell>
        </row>
        <row r="9">
          <cell r="A9">
            <v>412590</v>
          </cell>
          <cell r="B9">
            <v>10</v>
          </cell>
          <cell r="C9">
            <v>0.08</v>
          </cell>
          <cell r="D9">
            <v>0</v>
          </cell>
          <cell r="E9">
            <v>0</v>
          </cell>
          <cell r="F9">
            <v>0</v>
          </cell>
          <cell r="G9">
            <v>9.92</v>
          </cell>
        </row>
        <row r="10">
          <cell r="A10">
            <v>414120</v>
          </cell>
          <cell r="B10">
            <v>41721.620000000003</v>
          </cell>
          <cell r="C10">
            <v>3624.64</v>
          </cell>
          <cell r="D10">
            <v>0</v>
          </cell>
          <cell r="E10">
            <v>0</v>
          </cell>
          <cell r="F10">
            <v>0</v>
          </cell>
          <cell r="G10">
            <v>38096.980000000003</v>
          </cell>
        </row>
        <row r="11">
          <cell r="A11">
            <v>416110</v>
          </cell>
          <cell r="B11">
            <v>13600</v>
          </cell>
          <cell r="C11">
            <v>2293.2800000000002</v>
          </cell>
          <cell r="D11">
            <v>0</v>
          </cell>
          <cell r="E11">
            <v>0</v>
          </cell>
          <cell r="F11">
            <v>0</v>
          </cell>
          <cell r="G11">
            <v>11306.72</v>
          </cell>
        </row>
        <row r="12">
          <cell r="A12">
            <v>416310</v>
          </cell>
          <cell r="B12">
            <v>64170</v>
          </cell>
          <cell r="C12">
            <v>31464.74</v>
          </cell>
          <cell r="D12">
            <v>0</v>
          </cell>
          <cell r="E12">
            <v>0</v>
          </cell>
          <cell r="F12">
            <v>0</v>
          </cell>
          <cell r="G12">
            <v>32705.26</v>
          </cell>
        </row>
        <row r="13">
          <cell r="A13">
            <v>425510</v>
          </cell>
          <cell r="B13">
            <v>10000</v>
          </cell>
          <cell r="C13">
            <v>350</v>
          </cell>
          <cell r="D13">
            <v>0</v>
          </cell>
          <cell r="E13">
            <v>0</v>
          </cell>
          <cell r="F13">
            <v>0</v>
          </cell>
          <cell r="G13">
            <v>9650</v>
          </cell>
        </row>
        <row r="14">
          <cell r="A14">
            <v>428400</v>
          </cell>
          <cell r="B14">
            <v>53835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53835</v>
          </cell>
        </row>
        <row r="15">
          <cell r="A15">
            <v>435508</v>
          </cell>
          <cell r="B15">
            <v>190720</v>
          </cell>
          <cell r="C15">
            <v>169384.76</v>
          </cell>
          <cell r="D15">
            <v>30315</v>
          </cell>
          <cell r="E15">
            <v>-75000</v>
          </cell>
          <cell r="F15">
            <v>0</v>
          </cell>
          <cell r="G15">
            <v>66020.240000000005</v>
          </cell>
        </row>
        <row r="16">
          <cell r="A16">
            <v>492316</v>
          </cell>
          <cell r="B16">
            <v>66900</v>
          </cell>
          <cell r="C16">
            <v>140198</v>
          </cell>
          <cell r="D16">
            <v>67636</v>
          </cell>
          <cell r="E16">
            <v>-197425</v>
          </cell>
          <cell r="F16">
            <v>0</v>
          </cell>
          <cell r="G16">
            <v>56491</v>
          </cell>
        </row>
        <row r="17">
          <cell r="A17" t="str">
            <v>Grand Total</v>
          </cell>
          <cell r="B17">
            <v>1947575.75</v>
          </cell>
          <cell r="C17">
            <v>1427573.92</v>
          </cell>
          <cell r="D17">
            <v>97951</v>
          </cell>
          <cell r="E17">
            <v>-272425</v>
          </cell>
          <cell r="F17">
            <v>0</v>
          </cell>
          <cell r="G17">
            <v>694475.82999999984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K39"/>
  <sheetViews>
    <sheetView showGridLines="0" tabSelected="1" workbookViewId="0">
      <pane ySplit="8" topLeftCell="A28" activePane="bottomLeft" state="frozen"/>
      <selection activeCell="I24" sqref="I24"/>
      <selection pane="bottomLeft" activeCell="L4" sqref="L4"/>
    </sheetView>
  </sheetViews>
  <sheetFormatPr defaultRowHeight="20.149999999999999" customHeight="1"/>
  <cols>
    <col min="1" max="1" width="4.54296875" customWidth="1"/>
    <col min="2" max="2" width="43.81640625" customWidth="1"/>
    <col min="3" max="3" width="15.81640625" style="4" customWidth="1"/>
    <col min="4" max="4" width="3.1796875" style="4" customWidth="1"/>
    <col min="5" max="5" width="15.81640625" style="4" customWidth="1"/>
    <col min="6" max="6" width="2.81640625" style="4" customWidth="1"/>
    <col min="7" max="7" width="15.1796875" hidden="1" customWidth="1"/>
    <col min="8" max="8" width="14.453125" hidden="1" customWidth="1"/>
    <col min="9" max="9" width="5" hidden="1" customWidth="1"/>
    <col min="10" max="10" width="13.54296875" hidden="1" customWidth="1"/>
    <col min="11" max="11" width="13.54296875" customWidth="1"/>
  </cols>
  <sheetData>
    <row r="1" spans="1:11" ht="26">
      <c r="A1" s="1"/>
    </row>
    <row r="2" spans="1:11" ht="15" customHeight="1">
      <c r="A2" s="1"/>
    </row>
    <row r="3" spans="1:11" ht="16.5" customHeight="1">
      <c r="A3" s="2" t="s">
        <v>31</v>
      </c>
    </row>
    <row r="4" spans="1:11" ht="14.15" customHeight="1">
      <c r="A4" s="6" t="s">
        <v>409</v>
      </c>
    </row>
    <row r="5" spans="1:11" ht="5.15" customHeight="1"/>
    <row r="6" spans="1:11" ht="11.15" customHeight="1">
      <c r="C6" s="17" t="s">
        <v>25</v>
      </c>
      <c r="E6" s="17" t="s">
        <v>25</v>
      </c>
      <c r="F6" s="17"/>
    </row>
    <row r="7" spans="1:11" ht="13" customHeight="1">
      <c r="C7" s="18">
        <f>+TB!C4</f>
        <v>44804</v>
      </c>
      <c r="E7" s="18">
        <f>+TB!D4</f>
        <v>44439</v>
      </c>
      <c r="F7" s="18"/>
      <c r="G7" s="70" t="s">
        <v>101</v>
      </c>
      <c r="H7" s="71" t="s">
        <v>102</v>
      </c>
      <c r="J7" s="6" t="s">
        <v>116</v>
      </c>
    </row>
    <row r="8" spans="1:11" ht="15.5">
      <c r="B8" s="6" t="s">
        <v>32</v>
      </c>
      <c r="G8" s="72" t="s">
        <v>25</v>
      </c>
      <c r="H8" s="71" t="s">
        <v>101</v>
      </c>
    </row>
    <row r="9" spans="1:11" ht="20.149999999999999" customHeight="1">
      <c r="B9" s="6" t="s">
        <v>33</v>
      </c>
      <c r="E9" s="67"/>
      <c r="G9" s="73"/>
      <c r="H9" s="74"/>
    </row>
    <row r="10" spans="1:11" ht="20.149999999999999" customHeight="1">
      <c r="A10" s="77"/>
      <c r="B10" t="s">
        <v>34</v>
      </c>
      <c r="C10" s="4">
        <f>+Schedules!E11</f>
        <v>14143626.74</v>
      </c>
      <c r="E10" s="67">
        <f>+SUM(Schedules!F11)</f>
        <v>13986507.84</v>
      </c>
      <c r="G10" s="73">
        <f>+C10-E10</f>
        <v>157118.90000000037</v>
      </c>
      <c r="H10" s="74">
        <f t="shared" ref="H10:H13" si="0">+G10/E10</f>
        <v>1.1233604685127777E-2</v>
      </c>
    </row>
    <row r="11" spans="1:11" ht="20.149999999999999" customHeight="1">
      <c r="A11" s="77"/>
      <c r="B11" t="s">
        <v>35</v>
      </c>
      <c r="C11" s="24">
        <f>+Schedules!E18</f>
        <v>-8510463.5899999999</v>
      </c>
      <c r="E11" s="82">
        <f>+Schedules!F18</f>
        <v>-7670308.5399999991</v>
      </c>
      <c r="F11" s="24"/>
      <c r="G11" s="73">
        <f>+C11-E11</f>
        <v>-840155.05000000075</v>
      </c>
      <c r="H11" s="74">
        <f t="shared" si="0"/>
        <v>0.10953340998196676</v>
      </c>
    </row>
    <row r="12" spans="1:11" ht="5.15" customHeight="1">
      <c r="E12" s="67"/>
      <c r="G12" s="73"/>
      <c r="H12" s="74"/>
    </row>
    <row r="13" spans="1:11" ht="20.149999999999999" customHeight="1">
      <c r="C13" s="21">
        <f>+C10+C11</f>
        <v>5633163.1500000004</v>
      </c>
      <c r="E13" s="81">
        <f>+E10+E11</f>
        <v>6316199.3000000007</v>
      </c>
      <c r="F13" s="21"/>
      <c r="G13" s="21">
        <f>+G10+G11</f>
        <v>-683036.15000000037</v>
      </c>
      <c r="H13" s="74">
        <f t="shared" si="0"/>
        <v>-0.10814037327796168</v>
      </c>
      <c r="K13" s="79"/>
    </row>
    <row r="14" spans="1:11" ht="5.15" customHeight="1">
      <c r="E14" s="67"/>
      <c r="G14" s="73"/>
      <c r="H14" s="74"/>
    </row>
    <row r="15" spans="1:11" ht="20.149999999999999" customHeight="1">
      <c r="B15" s="6" t="s">
        <v>36</v>
      </c>
      <c r="E15" s="67"/>
      <c r="G15" s="73"/>
      <c r="H15" s="74"/>
    </row>
    <row r="16" spans="1:11" ht="20.149999999999999" customHeight="1">
      <c r="A16" s="77"/>
      <c r="B16" s="20" t="s">
        <v>37</v>
      </c>
      <c r="C16" s="4">
        <f>+Schedules!E30</f>
        <v>589449.14</v>
      </c>
      <c r="E16" s="67">
        <f>+Schedules!F30</f>
        <v>616840.37</v>
      </c>
      <c r="G16" s="73">
        <f>+C16-E16</f>
        <v>-27391.229999999981</v>
      </c>
      <c r="H16" s="74">
        <f t="shared" ref="H16:H22" si="1">+G16/E16</f>
        <v>-4.4405702564506246E-2</v>
      </c>
    </row>
    <row r="17" spans="1:8" ht="20.149999999999999" hidden="1" customHeight="1">
      <c r="B17" s="20" t="s">
        <v>85</v>
      </c>
      <c r="G17" s="73">
        <f>+C17-E17</f>
        <v>0</v>
      </c>
      <c r="H17" s="74" t="e">
        <f t="shared" si="1"/>
        <v>#DIV/0!</v>
      </c>
    </row>
    <row r="18" spans="1:8" ht="20.149999999999999" customHeight="1">
      <c r="A18" s="77"/>
      <c r="B18" s="20" t="s">
        <v>38</v>
      </c>
      <c r="C18" s="67">
        <f>+Schedules!E36</f>
        <v>1101737.27</v>
      </c>
      <c r="E18" s="67">
        <f>+Schedules!F36</f>
        <v>2224755.91</v>
      </c>
      <c r="G18" s="73">
        <f>+C18-E18</f>
        <v>-1123018.6400000001</v>
      </c>
      <c r="H18" s="74">
        <f t="shared" si="1"/>
        <v>-0.50478285503239773</v>
      </c>
    </row>
    <row r="19" spans="1:8" ht="5.15" customHeight="1">
      <c r="B19" s="20"/>
      <c r="H19" s="74"/>
    </row>
    <row r="20" spans="1:8" ht="20.149999999999999" customHeight="1">
      <c r="B20" s="6"/>
      <c r="C20" s="21">
        <f>SUM(C16:C19)</f>
        <v>1691186.4100000001</v>
      </c>
      <c r="E20" s="21">
        <f>SUM(E16:E19)</f>
        <v>2841596.2800000003</v>
      </c>
      <c r="F20" s="21"/>
      <c r="G20" s="21">
        <f>SUM(G16:G19)</f>
        <v>-1150409.8700000001</v>
      </c>
      <c r="H20" s="74">
        <f t="shared" si="1"/>
        <v>-0.40484634573071726</v>
      </c>
    </row>
    <row r="21" spans="1:8" ht="5.15" customHeight="1">
      <c r="H21" s="74"/>
    </row>
    <row r="22" spans="1:8" ht="20.149999999999999" customHeight="1" thickBot="1">
      <c r="B22" s="6" t="s">
        <v>39</v>
      </c>
      <c r="C22" s="19">
        <f>+C20+C13</f>
        <v>7324349.5600000005</v>
      </c>
      <c r="E22" s="19">
        <f>+E20+E13</f>
        <v>9157795.5800000019</v>
      </c>
      <c r="G22" s="19">
        <f>+G20+G13</f>
        <v>-1833446.0200000005</v>
      </c>
      <c r="H22" s="74">
        <f t="shared" si="1"/>
        <v>-0.20020604347230911</v>
      </c>
    </row>
    <row r="23" spans="1:8" ht="20.149999999999999" customHeight="1" thickTop="1"/>
    <row r="24" spans="1:8" ht="20.149999999999999" customHeight="1">
      <c r="B24" s="6" t="s">
        <v>40</v>
      </c>
    </row>
    <row r="25" spans="1:8" ht="20.149999999999999" customHeight="1">
      <c r="B25" s="6" t="s">
        <v>41</v>
      </c>
      <c r="E25" s="67"/>
    </row>
    <row r="26" spans="1:8" ht="20.149999999999999" customHeight="1">
      <c r="B26" t="s">
        <v>58</v>
      </c>
      <c r="C26" s="4">
        <f>C13</f>
        <v>5633163.1500000004</v>
      </c>
      <c r="E26" s="4">
        <f>E13</f>
        <v>6316199.3000000007</v>
      </c>
      <c r="G26" s="73">
        <f>+C26-E26</f>
        <v>-683036.15000000037</v>
      </c>
      <c r="H26" s="74">
        <f t="shared" ref="H26:H32" si="2">+G26/E26</f>
        <v>-0.10814037327796168</v>
      </c>
    </row>
    <row r="27" spans="1:8" ht="20.149999999999999" customHeight="1">
      <c r="B27" t="s">
        <v>42</v>
      </c>
      <c r="C27" s="4">
        <f>-(TB!C49+TB!C50+TB!C53+IS!D9-IS!D16)-C26</f>
        <v>566356.67999999877</v>
      </c>
      <c r="E27" s="4">
        <f>-(TB!D49+TB!D50+TB!D53+IS!F9-IS!F16)-E26</f>
        <v>1807862.7599999998</v>
      </c>
      <c r="G27" s="73">
        <f>+C27-E27</f>
        <v>-1241506.080000001</v>
      </c>
      <c r="H27" s="74">
        <f t="shared" si="2"/>
        <v>-0.68672584416750815</v>
      </c>
    </row>
    <row r="28" spans="1:8" ht="20.149999999999999" customHeight="1">
      <c r="A28" s="77"/>
      <c r="B28" t="s">
        <v>96</v>
      </c>
      <c r="C28" s="4">
        <f>-TB!C48</f>
        <v>140321.17000000001</v>
      </c>
      <c r="E28" s="67">
        <f>-TB!D48</f>
        <v>151863.37</v>
      </c>
      <c r="G28" s="73">
        <f>+C28-E28</f>
        <v>-11542.199999999983</v>
      </c>
      <c r="H28" s="74"/>
    </row>
    <row r="29" spans="1:8" ht="5.15" customHeight="1">
      <c r="E29" s="67"/>
    </row>
    <row r="30" spans="1:8" ht="20.149999999999999" customHeight="1">
      <c r="C30" s="21">
        <f>SUM(C26:C28)</f>
        <v>6339840.9999999991</v>
      </c>
      <c r="E30" s="81">
        <f>SUM(E26:E28)</f>
        <v>8275925.4300000006</v>
      </c>
      <c r="F30" s="21"/>
      <c r="G30" s="21">
        <f>SUM(G26:G28)</f>
        <v>-1936084.4300000013</v>
      </c>
      <c r="H30" s="74">
        <f t="shared" si="2"/>
        <v>-0.23394174420443045</v>
      </c>
    </row>
    <row r="31" spans="1:8" ht="20.149999999999999" customHeight="1">
      <c r="B31" s="6" t="s">
        <v>43</v>
      </c>
      <c r="E31" s="67"/>
    </row>
    <row r="32" spans="1:8" ht="20.149999999999999" customHeight="1">
      <c r="A32" s="77"/>
      <c r="B32" t="s">
        <v>44</v>
      </c>
      <c r="C32" s="4">
        <f>+Schedules!E48</f>
        <v>984508.56</v>
      </c>
      <c r="E32" s="4">
        <f>+Schedules!F48</f>
        <v>881870.14999999991</v>
      </c>
      <c r="G32" s="73">
        <f>+C32-E32</f>
        <v>102638.41000000015</v>
      </c>
      <c r="H32" s="74">
        <f t="shared" si="2"/>
        <v>0.11638721414938487</v>
      </c>
    </row>
    <row r="33" spans="2:8" ht="5.15" customHeight="1"/>
    <row r="34" spans="2:8" ht="20.149999999999999" customHeight="1">
      <c r="C34" s="21">
        <f>SUM(C32:C33)</f>
        <v>984508.56</v>
      </c>
      <c r="E34" s="21">
        <f>SUM(E32:E33)</f>
        <v>881870.14999999991</v>
      </c>
      <c r="F34" s="21"/>
      <c r="G34" s="21">
        <f>SUM(G32:G33)</f>
        <v>102638.41000000015</v>
      </c>
      <c r="H34" s="74">
        <f t="shared" ref="H34:H36" si="3">+G34/E34</f>
        <v>0.11638721414938487</v>
      </c>
    </row>
    <row r="35" spans="2:8" ht="5.15" customHeight="1">
      <c r="C35" s="21"/>
      <c r="E35" s="21"/>
      <c r="F35" s="21"/>
      <c r="G35" s="21"/>
      <c r="H35" s="74"/>
    </row>
    <row r="36" spans="2:8" ht="20.149999999999999" customHeight="1" thickBot="1">
      <c r="B36" s="6" t="s">
        <v>45</v>
      </c>
      <c r="C36" s="19">
        <f>+C30+C34</f>
        <v>7324349.5599999987</v>
      </c>
      <c r="E36" s="19">
        <f>+E30+E34</f>
        <v>9157795.5800000001</v>
      </c>
      <c r="F36" s="16"/>
      <c r="G36" s="19">
        <f>+G30+G34</f>
        <v>-1833446.0200000012</v>
      </c>
      <c r="H36" s="74">
        <f t="shared" si="3"/>
        <v>-0.20020604347230922</v>
      </c>
    </row>
    <row r="37" spans="2:8" ht="20.149999999999999" customHeight="1" thickTop="1"/>
    <row r="39" spans="2:8" ht="20.149999999999999" customHeight="1">
      <c r="C39" s="4">
        <f>+C36-C22</f>
        <v>0</v>
      </c>
      <c r="E39" s="4">
        <f>+E36-E22</f>
        <v>0</v>
      </c>
    </row>
  </sheetData>
  <pageMargins left="0.70866141732283472" right="0.70866141732283472" top="0.74803149606299213" bottom="0.74803149606299213" header="0.31496062992125984" footer="0.31496062992125984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B1:I21"/>
  <sheetViews>
    <sheetView showGridLines="0" workbookViewId="0">
      <selection activeCell="O13" sqref="O13"/>
    </sheetView>
  </sheetViews>
  <sheetFormatPr defaultRowHeight="20.149999999999999" customHeight="1"/>
  <cols>
    <col min="1" max="1" width="0.54296875" customWidth="1"/>
    <col min="2" max="2" width="4.54296875" customWidth="1"/>
    <col min="3" max="3" width="43.81640625" customWidth="1"/>
    <col min="4" max="4" width="15.81640625" style="4" customWidth="1"/>
    <col min="5" max="5" width="3.453125" style="4" customWidth="1"/>
    <col min="6" max="6" width="15.81640625" style="4" customWidth="1"/>
    <col min="7" max="7" width="4.453125" style="4" customWidth="1"/>
    <col min="8" max="8" width="15.1796875" hidden="1" customWidth="1"/>
    <col min="9" max="9" width="12" hidden="1" customWidth="1"/>
    <col min="10" max="12" width="13.54296875" customWidth="1"/>
  </cols>
  <sheetData>
    <row r="1" spans="2:9" ht="26">
      <c r="B1" s="1"/>
    </row>
    <row r="2" spans="2:9" ht="7" customHeight="1">
      <c r="B2" s="1"/>
    </row>
    <row r="3" spans="2:9" ht="16.5" customHeight="1">
      <c r="B3" s="2" t="s">
        <v>24</v>
      </c>
    </row>
    <row r="4" spans="2:9" ht="15" customHeight="1">
      <c r="B4" s="6" t="s">
        <v>410</v>
      </c>
    </row>
    <row r="5" spans="2:9" ht="7" customHeight="1"/>
    <row r="6" spans="2:9" ht="14.5" customHeight="1">
      <c r="D6" s="17" t="s">
        <v>25</v>
      </c>
      <c r="F6" s="17" t="s">
        <v>25</v>
      </c>
      <c r="G6" s="17"/>
    </row>
    <row r="7" spans="2:9" ht="13.5" customHeight="1">
      <c r="D7" s="18">
        <f>+TB!C4</f>
        <v>44804</v>
      </c>
      <c r="F7" s="18">
        <f>+TB!D4</f>
        <v>44439</v>
      </c>
      <c r="G7" s="18"/>
      <c r="H7" s="70" t="s">
        <v>101</v>
      </c>
      <c r="I7" s="71" t="s">
        <v>102</v>
      </c>
    </row>
    <row r="8" spans="2:9" ht="20.149999999999999" customHeight="1">
      <c r="C8" s="6" t="s">
        <v>26</v>
      </c>
      <c r="H8" s="72" t="s">
        <v>25</v>
      </c>
      <c r="I8" s="71" t="s">
        <v>101</v>
      </c>
    </row>
    <row r="9" spans="2:9" ht="20.149999999999999" customHeight="1">
      <c r="C9" t="s">
        <v>27</v>
      </c>
      <c r="D9" s="24">
        <f>+D18-D10</f>
        <v>1331857.4400000002</v>
      </c>
      <c r="F9" s="24">
        <f>+F18-F10</f>
        <v>1468514.3399999999</v>
      </c>
      <c r="G9" s="24"/>
      <c r="H9" s="73">
        <f>+D9-F9</f>
        <v>-136656.89999999967</v>
      </c>
      <c r="I9" s="74">
        <f>+H9/F9</f>
        <v>-9.3057926829641771E-2</v>
      </c>
    </row>
    <row r="10" spans="2:9" ht="20.149999999999999" hidden="1" customHeight="1">
      <c r="C10" t="s">
        <v>28</v>
      </c>
      <c r="D10" s="24">
        <f>-TB!C54</f>
        <v>0</v>
      </c>
      <c r="F10" s="24">
        <f>-TB!D54</f>
        <v>0</v>
      </c>
      <c r="G10" s="24"/>
      <c r="H10" s="73">
        <f>+D10-F10</f>
        <v>0</v>
      </c>
      <c r="I10" s="74" t="e">
        <f>+H10/F10</f>
        <v>#DIV/0!</v>
      </c>
    </row>
    <row r="11" spans="2:9" ht="20.149999999999999" customHeight="1" thickBot="1">
      <c r="D11" s="25">
        <f>D9+D10</f>
        <v>1331857.4400000002</v>
      </c>
      <c r="F11" s="25">
        <f>F9+F10</f>
        <v>1468514.3399999999</v>
      </c>
      <c r="G11" s="24"/>
      <c r="H11" s="25">
        <f>+D11-F11</f>
        <v>-136656.89999999967</v>
      </c>
      <c r="I11" s="74">
        <f>+H11/F11</f>
        <v>-9.3057926829641771E-2</v>
      </c>
    </row>
    <row r="12" spans="2:9" ht="5.15" customHeight="1" thickTop="1">
      <c r="D12" s="24"/>
      <c r="F12" s="24"/>
      <c r="G12" s="24"/>
      <c r="H12" s="73"/>
      <c r="I12" s="74"/>
    </row>
    <row r="13" spans="2:9" ht="20.149999999999999" customHeight="1">
      <c r="C13" s="6" t="s">
        <v>29</v>
      </c>
      <c r="D13" s="24"/>
      <c r="F13" s="24"/>
      <c r="G13" s="24"/>
      <c r="H13" s="75"/>
      <c r="I13" s="76"/>
    </row>
    <row r="14" spans="2:9" ht="20.149999999999999" customHeight="1">
      <c r="B14" s="89"/>
      <c r="C14" t="s">
        <v>2</v>
      </c>
      <c r="D14" s="24">
        <f>+'Expense Comparison'!D22</f>
        <v>1155310.78</v>
      </c>
      <c r="F14" s="24">
        <f>+'Expense Comparison'!E22</f>
        <v>1145494.93</v>
      </c>
      <c r="H14" s="73">
        <f t="shared" ref="H14:H18" si="0">+D14-F14</f>
        <v>9815.8500000000931</v>
      </c>
      <c r="I14" s="74">
        <f>+H14/F14</f>
        <v>8.5690907422873476E-3</v>
      </c>
    </row>
    <row r="15" spans="2:9" ht="20.149999999999999" customHeight="1">
      <c r="B15" s="89"/>
      <c r="C15" t="s">
        <v>47</v>
      </c>
      <c r="D15" s="24">
        <f>'Expense Comparison'!D71</f>
        <v>518751.61</v>
      </c>
      <c r="F15" s="24">
        <f>'Expense Comparison'!E71</f>
        <v>924580.74</v>
      </c>
      <c r="G15" s="24"/>
      <c r="H15" s="73">
        <f t="shared" si="0"/>
        <v>-405829.13</v>
      </c>
      <c r="I15" s="74">
        <f t="shared" ref="I15:I18" si="1">+H15/F15</f>
        <v>-0.4389331428210369</v>
      </c>
    </row>
    <row r="16" spans="2:9" ht="20.149999999999999" customHeight="1">
      <c r="C16" t="s">
        <v>48</v>
      </c>
      <c r="D16" s="24">
        <f>-D15</f>
        <v>-518751.61</v>
      </c>
      <c r="F16" s="24">
        <f>-F15</f>
        <v>-924580.74</v>
      </c>
      <c r="G16" s="24"/>
      <c r="H16" s="73">
        <f t="shared" si="0"/>
        <v>405829.13</v>
      </c>
      <c r="I16" s="74">
        <f t="shared" si="1"/>
        <v>-0.4389331428210369</v>
      </c>
    </row>
    <row r="17" spans="2:9" ht="20.149999999999999" customHeight="1">
      <c r="B17" s="89"/>
      <c r="C17" t="s">
        <v>30</v>
      </c>
      <c r="D17" s="24">
        <f>+'Expense Comparison'!D58+'Expense Comparison'!D65</f>
        <v>176546.66</v>
      </c>
      <c r="F17" s="24">
        <f>+'Expense Comparison'!E58</f>
        <v>323019.40999999997</v>
      </c>
      <c r="G17" s="24"/>
      <c r="H17" s="73">
        <f t="shared" si="0"/>
        <v>-146472.74999999997</v>
      </c>
      <c r="I17" s="74">
        <f t="shared" si="1"/>
        <v>-0.45344875715053773</v>
      </c>
    </row>
    <row r="18" spans="2:9" ht="20.149999999999999" customHeight="1" thickBot="1">
      <c r="D18" s="25">
        <f>SUM(D14:D17)</f>
        <v>1331857.4400000002</v>
      </c>
      <c r="F18" s="25">
        <f>SUM(F14:F17)</f>
        <v>1468514.3399999999</v>
      </c>
      <c r="G18" s="24"/>
      <c r="H18" s="25">
        <f t="shared" si="0"/>
        <v>-136656.89999999967</v>
      </c>
      <c r="I18" s="74">
        <f t="shared" si="1"/>
        <v>-9.3057926829641771E-2</v>
      </c>
    </row>
    <row r="19" spans="2:9" ht="20.149999999999999" customHeight="1" thickTop="1">
      <c r="D19" s="4">
        <f>D11-D18</f>
        <v>0</v>
      </c>
      <c r="F19" s="4">
        <f>F11-F18</f>
        <v>0</v>
      </c>
      <c r="G19" s="24"/>
      <c r="H19" s="73"/>
      <c r="I19" s="74"/>
    </row>
    <row r="20" spans="2:9" ht="20.149999999999999" customHeight="1">
      <c r="H20" s="73"/>
      <c r="I20" s="74"/>
    </row>
    <row r="21" spans="2:9" ht="20.149999999999999" customHeight="1">
      <c r="C21" s="8" t="s">
        <v>99</v>
      </c>
      <c r="H21" s="75"/>
      <c r="I21" s="76"/>
    </row>
  </sheetData>
  <pageMargins left="0.70866141732283472" right="0.70866141732283472" top="0.74803149606299213" bottom="0.74803149606299213" header="0.31496062992125984" footer="0.31496062992125984"/>
  <pageSetup paperSize="9"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8"/>
  <sheetViews>
    <sheetView showGridLines="0" zoomScaleNormal="100" workbookViewId="0">
      <selection activeCell="A22" sqref="A22:XFD23"/>
    </sheetView>
  </sheetViews>
  <sheetFormatPr defaultRowHeight="20.149999999999999" customHeight="1"/>
  <cols>
    <col min="1" max="2" width="4.54296875" style="66" customWidth="1"/>
    <col min="3" max="3" width="3.81640625" style="66" customWidth="1"/>
    <col min="4" max="4" width="53.54296875" bestFit="1" customWidth="1"/>
    <col min="5" max="5" width="15.81640625" style="4" customWidth="1"/>
    <col min="6" max="6" width="15.81640625" customWidth="1"/>
    <col min="7" max="7" width="11.54296875" bestFit="1" customWidth="1"/>
  </cols>
  <sheetData>
    <row r="1" spans="1:6" ht="26">
      <c r="A1" s="64" t="s">
        <v>0</v>
      </c>
      <c r="B1" s="64"/>
      <c r="C1" s="64"/>
    </row>
    <row r="2" spans="1:6" ht="26">
      <c r="A2" s="64"/>
      <c r="B2" s="64"/>
      <c r="C2" s="64"/>
    </row>
    <row r="3" spans="1:6" ht="20.149999999999999" customHeight="1">
      <c r="A3" s="100" t="s">
        <v>118</v>
      </c>
      <c r="B3" s="100"/>
      <c r="C3" s="100"/>
    </row>
    <row r="4" spans="1:6" ht="20.149999999999999" customHeight="1">
      <c r="D4" s="58" t="s">
        <v>1</v>
      </c>
      <c r="E4" s="59">
        <f>+BS!C7</f>
        <v>44804</v>
      </c>
      <c r="F4" s="59">
        <f>+BS!E7</f>
        <v>44439</v>
      </c>
    </row>
    <row r="5" spans="1:6" ht="20.149999999999999" customHeight="1">
      <c r="C5" s="77"/>
      <c r="D5" s="60" t="s">
        <v>88</v>
      </c>
      <c r="E5" s="61"/>
      <c r="F5" s="61"/>
    </row>
    <row r="6" spans="1:6" ht="20.149999999999999" customHeight="1">
      <c r="D6" s="62" t="s">
        <v>230</v>
      </c>
      <c r="E6" s="151">
        <f>+'Fixed Assets'!G10</f>
        <v>7277144.4199999999</v>
      </c>
      <c r="F6" s="151">
        <f>TB!D26</f>
        <v>7277144.4199999999</v>
      </c>
    </row>
    <row r="7" spans="1:6" ht="20.149999999999999" customHeight="1">
      <c r="D7" s="62" t="s">
        <v>104</v>
      </c>
      <c r="E7" s="151">
        <f>+'Fixed Assets'!G11</f>
        <v>112725</v>
      </c>
      <c r="F7" s="151">
        <f>TB!D33</f>
        <v>112725</v>
      </c>
    </row>
    <row r="8" spans="1:6" ht="20.149999999999999" customHeight="1">
      <c r="D8" s="62" t="s">
        <v>166</v>
      </c>
      <c r="E8" s="151">
        <f>+'Fixed Assets'!G12</f>
        <v>6203419.3099999996</v>
      </c>
      <c r="F8" s="151">
        <f>TB!D30</f>
        <v>6119400.6900000004</v>
      </c>
    </row>
    <row r="9" spans="1:6" ht="20.149999999999999" customHeight="1">
      <c r="D9" s="62" t="s">
        <v>171</v>
      </c>
      <c r="E9" s="151">
        <f>+'Fixed Assets'!G13</f>
        <v>436988.01</v>
      </c>
      <c r="F9" s="151">
        <f>TB!D36</f>
        <v>436988.01</v>
      </c>
    </row>
    <row r="10" spans="1:6" ht="20.149999999999999" customHeight="1">
      <c r="D10" s="62" t="s">
        <v>68</v>
      </c>
      <c r="E10" s="151">
        <f>+'Fixed Assets'!G14+'Fixed Assets'!G15+'Fixed Assets'!G16</f>
        <v>113350</v>
      </c>
      <c r="F10" s="151">
        <f>TB!D25+TB!D31</f>
        <v>40249.72</v>
      </c>
    </row>
    <row r="11" spans="1:6" ht="20.149999999999999" customHeight="1">
      <c r="D11" s="210" t="s">
        <v>89</v>
      </c>
      <c r="E11" s="211">
        <f>SUM(E6:E10)</f>
        <v>14143626.74</v>
      </c>
      <c r="F11" s="211">
        <f>SUM(F6:F10)</f>
        <v>13986507.84</v>
      </c>
    </row>
    <row r="12" spans="1:6" ht="20.149999999999999" customHeight="1">
      <c r="C12" s="77"/>
      <c r="D12" s="60" t="s">
        <v>90</v>
      </c>
      <c r="E12" s="152"/>
      <c r="F12" s="152"/>
    </row>
    <row r="13" spans="1:6" ht="20.149999999999999" customHeight="1">
      <c r="D13" s="62" t="s">
        <v>231</v>
      </c>
      <c r="E13" s="151">
        <f>+'Fixed Assets'!L10</f>
        <v>-2057708.98</v>
      </c>
      <c r="F13" s="151">
        <f>TB!D29</f>
        <v>-1693446.67</v>
      </c>
    </row>
    <row r="14" spans="1:6" ht="20.149999999999999" customHeight="1">
      <c r="D14" s="62" t="s">
        <v>291</v>
      </c>
      <c r="E14" s="151">
        <f>+'Fixed Assets'!L11</f>
        <v>-112634.59999999999</v>
      </c>
      <c r="F14" s="151">
        <f>TB!D35</f>
        <v>-106355.5</v>
      </c>
    </row>
    <row r="15" spans="1:6" ht="20.149999999999999" customHeight="1">
      <c r="D15" s="62" t="s">
        <v>292</v>
      </c>
      <c r="E15" s="151">
        <f>+'Fixed Assets'!L12</f>
        <v>-5903132</v>
      </c>
      <c r="F15" s="151">
        <f>TB!D32</f>
        <v>-5445480.5999999996</v>
      </c>
    </row>
    <row r="16" spans="1:6" ht="20.149999999999999" customHeight="1">
      <c r="D16" s="62" t="s">
        <v>293</v>
      </c>
      <c r="E16" s="151">
        <f>+'Fixed Assets'!L13</f>
        <v>-436988.01</v>
      </c>
      <c r="F16" s="151">
        <f>TB!D38</f>
        <v>-425025.77</v>
      </c>
    </row>
    <row r="17" spans="1:7" ht="20.149999999999999" hidden="1" customHeight="1">
      <c r="D17" s="62" t="s">
        <v>68</v>
      </c>
      <c r="E17" s="151"/>
      <c r="F17" s="151"/>
    </row>
    <row r="18" spans="1:7" ht="20.149999999999999" customHeight="1">
      <c r="D18" s="210" t="s">
        <v>89</v>
      </c>
      <c r="E18" s="211">
        <f>SUM(E13:E17)</f>
        <v>-8510463.5899999999</v>
      </c>
      <c r="F18" s="211">
        <f>SUM(F13:F17)</f>
        <v>-7670308.5399999991</v>
      </c>
    </row>
    <row r="19" spans="1:7" ht="20.149999999999999" customHeight="1">
      <c r="D19" s="60" t="s">
        <v>92</v>
      </c>
      <c r="E19" s="152"/>
      <c r="F19" s="152"/>
      <c r="G19" s="30"/>
    </row>
    <row r="20" spans="1:7" ht="14.5">
      <c r="B20" s="66">
        <v>120140</v>
      </c>
      <c r="C20" s="77"/>
      <c r="D20" s="62" t="str">
        <f>VLOOKUP(B20,TB!$A$4:$B$109,2,0)</f>
        <v>Goods and services sales receivable</v>
      </c>
      <c r="E20" s="151">
        <f>+VLOOKUP(B20,TB!$A$5:$D$109,3,0)</f>
        <v>14514</v>
      </c>
      <c r="F20" s="151">
        <f>+VLOOKUP(B20,TB!$A$5:$D$109,4,0)</f>
        <v>-47619.05</v>
      </c>
      <c r="G20" s="30"/>
    </row>
    <row r="21" spans="1:7" ht="14.5">
      <c r="B21" s="66">
        <v>120123</v>
      </c>
      <c r="C21" s="77"/>
      <c r="D21" s="62" t="s">
        <v>302</v>
      </c>
      <c r="E21" s="151">
        <f>+VLOOKUP(B21,TB!$A$5:$D$109,3,0)</f>
        <v>0</v>
      </c>
      <c r="F21" s="151">
        <f>+VLOOKUP(B21,TB!$A$5:$D$109,4,0)</f>
        <v>47619.05</v>
      </c>
      <c r="G21" s="30"/>
    </row>
    <row r="22" spans="1:7" ht="14.5" hidden="1">
      <c r="B22" s="66">
        <v>120214</v>
      </c>
      <c r="D22" s="62" t="str">
        <f>VLOOKUP(B22,TB!$A$4:$B$109,2,0)</f>
        <v>Rent support loans to employees</v>
      </c>
      <c r="E22" s="151">
        <f>+VLOOKUP(B22,TB!$A$5:$D$109,3,0)</f>
        <v>0</v>
      </c>
      <c r="F22" s="151">
        <f>+VLOOKUP(B22,TB!$A$5:$D$109,4,0)</f>
        <v>0</v>
      </c>
    </row>
    <row r="23" spans="1:7" ht="14.5" hidden="1">
      <c r="B23" s="66">
        <v>120180</v>
      </c>
      <c r="D23" s="62" t="str">
        <f>VLOOKUP(B23,TB!$A$4:$B$109,2,0)</f>
        <v>Accounts Receivable - General</v>
      </c>
      <c r="E23" s="151">
        <f>+VLOOKUP(B23,TB!$A$5:$D$109,3,0)</f>
        <v>0</v>
      </c>
      <c r="F23" s="151">
        <f>+VLOOKUP(B23,TB!$A$5:$D$109,4,0)</f>
        <v>0</v>
      </c>
    </row>
    <row r="24" spans="1:7" ht="20.149999999999999" customHeight="1">
      <c r="B24" s="66">
        <v>120330</v>
      </c>
      <c r="C24" s="77"/>
      <c r="D24" s="62" t="str">
        <f>VLOOKUP(B24,TB!$A$4:$B$109,2,0)</f>
        <v>Other advances to vendors</v>
      </c>
      <c r="E24" s="151">
        <f>+VLOOKUP(B24,TB!$A$5:$D$109,3,0)</f>
        <v>556958.06000000006</v>
      </c>
      <c r="F24" s="151">
        <f>+VLOOKUP(B24,TB!$A$5:$D$109,4,0)</f>
        <v>513398.54</v>
      </c>
    </row>
    <row r="25" spans="1:7" ht="20.149999999999999" hidden="1" customHeight="1">
      <c r="B25" s="66">
        <v>132020</v>
      </c>
      <c r="D25" s="62" t="str">
        <f>VLOOKUP(B25,TB!$A$4:$B$109,2,0)</f>
        <v>Prepayments-Asset Cost (for setup)</v>
      </c>
      <c r="E25" s="151">
        <f>+VLOOKUP(B25,TB!$A$5:$D$109,3,0)</f>
        <v>0</v>
      </c>
      <c r="F25" s="151">
        <f>+VLOOKUP(B25,TB!$A$5:$D$109,4,0)</f>
        <v>0</v>
      </c>
    </row>
    <row r="26" spans="1:7" ht="20.149999999999999" hidden="1" customHeight="1">
      <c r="B26" s="66">
        <v>132021</v>
      </c>
      <c r="D26" s="62" t="str">
        <f>VLOOKUP(B26,TB!$A$4:$B$109,2,0)</f>
        <v>Prepayments-Asset Clearing (for setup)</v>
      </c>
      <c r="E26" s="151">
        <f>+VLOOKUP(B26,TB!$A$5:$D$109,3,0)</f>
        <v>0</v>
      </c>
      <c r="F26" s="151">
        <f>+VLOOKUP(B26,TB!$A$5:$D$109,4,0)</f>
        <v>0</v>
      </c>
    </row>
    <row r="27" spans="1:7" ht="20.149999999999999" customHeight="1">
      <c r="B27" s="66">
        <v>126510</v>
      </c>
      <c r="D27" s="62" t="s">
        <v>274</v>
      </c>
      <c r="E27" s="151">
        <f>+VLOOKUP(B27,TB!$A$5:$D$109,3,0)</f>
        <v>17977.080000000002</v>
      </c>
      <c r="F27" s="151">
        <f>+VLOOKUP(B27,TB!$A$5:$D$109,4,0)</f>
        <v>103441.83</v>
      </c>
    </row>
    <row r="28" spans="1:7" ht="20.149999999999999" hidden="1" customHeight="1">
      <c r="B28" s="66">
        <v>130112</v>
      </c>
      <c r="D28" s="62" t="str">
        <f>VLOOKUP(B28,TB!$A$4:$B$109,2,0)</f>
        <v>Material cost:Receipt (pre-inspection)</v>
      </c>
      <c r="E28" s="151">
        <f>+VLOOKUP(B28,TB!$A$5:$D$109,3,0)</f>
        <v>0</v>
      </c>
      <c r="F28" s="151">
        <f>+VLOOKUP(B28,TB!$A$5:$D$109,4,0)</f>
        <v>0</v>
      </c>
    </row>
    <row r="29" spans="1:7" ht="20.149999999999999" hidden="1" customHeight="1">
      <c r="B29" s="66">
        <v>133090</v>
      </c>
      <c r="D29" s="62" t="str">
        <f>VLOOKUP(B29,TB!$A$4:$B$109,2,0)</f>
        <v>Other deposits</v>
      </c>
      <c r="E29" s="151">
        <f>+VLOOKUP(B29,TB!$A$5:$D$109,3,0)</f>
        <v>0</v>
      </c>
      <c r="F29" s="151">
        <f>+VLOOKUP(B29,TB!$A$5:$D$109,4,0)</f>
        <v>0</v>
      </c>
    </row>
    <row r="30" spans="1:7" ht="20.149999999999999" customHeight="1">
      <c r="D30" s="210" t="s">
        <v>91</v>
      </c>
      <c r="E30" s="211">
        <f>SUM(E20:E29)</f>
        <v>589449.14</v>
      </c>
      <c r="F30" s="211">
        <f>SUM(F20:F29)</f>
        <v>616840.37</v>
      </c>
    </row>
    <row r="31" spans="1:7" ht="20.149999999999999" customHeight="1">
      <c r="A31" s="65"/>
      <c r="B31" s="65"/>
      <c r="C31" s="65"/>
      <c r="D31" s="60" t="s">
        <v>94</v>
      </c>
      <c r="E31" s="152"/>
      <c r="F31" s="152"/>
    </row>
    <row r="32" spans="1:7" ht="20.149999999999999" customHeight="1">
      <c r="B32" s="66">
        <v>101400</v>
      </c>
      <c r="C32" s="65"/>
      <c r="D32" s="62" t="str">
        <f>VLOOKUP(B32,TB!$A$4:$B$109,2,0)</f>
        <v>Cash holdings - imprest floats for general purpose (replenishable)</v>
      </c>
      <c r="E32" s="151">
        <f>+VLOOKUP(B32,TB!$A$5:$D$109,3,0)</f>
        <v>5000</v>
      </c>
      <c r="F32" s="151">
        <f>+VLOOKUP(B32,TB!$A$5:$D$109,4,0)</f>
        <v>5000</v>
      </c>
    </row>
    <row r="33" spans="1:6" ht="20.149999999999999" customHeight="1">
      <c r="B33" s="66">
        <v>102601</v>
      </c>
      <c r="C33" s="77"/>
      <c r="D33" s="62" t="s">
        <v>336</v>
      </c>
      <c r="E33" s="151">
        <f>+VLOOKUP(B33,TB!$A$5:$D$109,3,0)</f>
        <v>1096737.27</v>
      </c>
      <c r="F33" s="151">
        <f>+VLOOKUP(B33,TB!$A$5:$D$109,4,0)</f>
        <v>2219755.91</v>
      </c>
    </row>
    <row r="34" spans="1:6" ht="20.149999999999999" customHeight="1">
      <c r="B34" s="66">
        <v>102101</v>
      </c>
      <c r="D34" s="62" t="str">
        <f>VLOOKUP(B34,TB!$A$4:$B$109,2,0)</f>
        <v>AED Current/Call Bank Acct</v>
      </c>
      <c r="E34" s="151">
        <f>+VLOOKUP(B34,TB!$A$5:$D$109,3,0)</f>
        <v>0</v>
      </c>
      <c r="F34" s="151">
        <f>+VLOOKUP(B34,TB!$A$5:$D$109,4,0)</f>
        <v>0</v>
      </c>
    </row>
    <row r="35" spans="1:6" ht="20.149999999999999" customHeight="1">
      <c r="B35" s="66">
        <v>105901</v>
      </c>
      <c r="D35" s="62" t="str">
        <f>VLOOKUP(B35,TB!$A$4:$B$109,2,0)</f>
        <v>AED AP Pyt - Clearing Acct</v>
      </c>
      <c r="E35" s="151">
        <f>+VLOOKUP(B35,TB!$A$5:$D$109,3,0)</f>
        <v>0</v>
      </c>
      <c r="F35" s="151">
        <f>+VLOOKUP(B35,TB!$A$5:$D$109,4,0)</f>
        <v>0</v>
      </c>
    </row>
    <row r="36" spans="1:6" ht="20.149999999999999" customHeight="1">
      <c r="D36" s="210" t="s">
        <v>93</v>
      </c>
      <c r="E36" s="211">
        <f>SUM(E32:E35)</f>
        <v>1101737.27</v>
      </c>
      <c r="F36" s="211">
        <f>SUM(F32:F35)</f>
        <v>2224755.91</v>
      </c>
    </row>
    <row r="37" spans="1:6" ht="20.149999999999999" customHeight="1">
      <c r="D37" s="60" t="s">
        <v>232</v>
      </c>
      <c r="E37" s="152"/>
      <c r="F37" s="152"/>
    </row>
    <row r="38" spans="1:6" ht="20.149999999999999" customHeight="1">
      <c r="B38" s="66">
        <v>200110</v>
      </c>
      <c r="C38" s="77"/>
      <c r="D38" s="62" t="str">
        <f>VLOOKUP(B38,TB!$A$4:$B$109,2,0)</f>
        <v>Approved invoices - for payment</v>
      </c>
      <c r="E38" s="151">
        <f>-VLOOKUP(B38,TB!$A$5:$D$109,3,0)</f>
        <v>23276.12</v>
      </c>
      <c r="F38" s="151">
        <f>-VLOOKUP(B38,TB!$A$5:$D$109,4,0)</f>
        <v>0</v>
      </c>
    </row>
    <row r="39" spans="1:6" ht="20.149999999999999" customHeight="1">
      <c r="B39" s="66">
        <v>200130</v>
      </c>
      <c r="C39" s="77"/>
      <c r="D39" s="62" t="str">
        <f>VLOOKUP(B39,TB!$A$4:$B$109,2,0)</f>
        <v>Accrued purchases - Invoice received pending approval</v>
      </c>
      <c r="E39" s="151">
        <f>-VLOOKUP(B39,TB!$A$5:$D$109,3,0)</f>
        <v>771221.17</v>
      </c>
      <c r="F39" s="151">
        <f>-VLOOKUP(B39,TB!$A$5:$D$109,4,0)</f>
        <v>683588.08</v>
      </c>
    </row>
    <row r="40" spans="1:6" ht="20.149999999999999" hidden="1" customHeight="1">
      <c r="B40" s="66">
        <v>215100</v>
      </c>
      <c r="C40" s="77"/>
      <c r="D40" s="62" t="str">
        <f>VLOOKUP(B40,TB!$A$4:$B$109,2,0)</f>
        <v>Expense payroll accrual - pending payment</v>
      </c>
      <c r="E40" s="151">
        <f>-VLOOKUP(B40,TB!$A$5:$D$109,3,0)</f>
        <v>0</v>
      </c>
      <c r="F40" s="151">
        <f>-VLOOKUP(B40,TB!$A$5:$D$109,4,0)</f>
        <v>0</v>
      </c>
    </row>
    <row r="41" spans="1:6" ht="20.149999999999999" customHeight="1">
      <c r="B41" s="66">
        <v>211111</v>
      </c>
      <c r="C41" s="77"/>
      <c r="D41" s="62" t="str">
        <f>VLOOKUP(B41,TB!$A$4:$B$109,2,0)</f>
        <v>Expense AP Accrual - Inventories in receiving area (pre-inspection)</v>
      </c>
      <c r="E41" s="151">
        <f>-VLOOKUP(B41,TB!$A$5:$D$109,3,0)</f>
        <v>14893.1</v>
      </c>
      <c r="F41" s="151">
        <f>-VLOOKUP(B41,TB!$A$5:$D$109,4,0)</f>
        <v>48333.99</v>
      </c>
    </row>
    <row r="42" spans="1:6" ht="20.149999999999999" customHeight="1">
      <c r="B42" s="66">
        <v>213600</v>
      </c>
      <c r="D42" s="62" t="str">
        <f>VLOOKUP(B42,TB!$A$4:$B$109,2,0)</f>
        <v>Other accrued expenses</v>
      </c>
      <c r="E42" s="151">
        <f>-VLOOKUP(B42,TB!$A$5:$D$109,3,0)</f>
        <v>6820.26</v>
      </c>
      <c r="F42" s="151">
        <f>-VLOOKUP(B42,TB!$A$5:$D$109,4,0)</f>
        <v>0</v>
      </c>
    </row>
    <row r="43" spans="1:6" ht="20.149999999999999" customHeight="1">
      <c r="B43" s="66">
        <v>215401</v>
      </c>
      <c r="D43" s="62" t="str">
        <f>VLOOKUP(B43,TB!$A$4:$B$109,2,0)</f>
        <v>Vacation pay</v>
      </c>
      <c r="E43" s="151">
        <f>-VLOOKUP(B43,TB!$A$5:$D$109,3,0)</f>
        <v>91650.86</v>
      </c>
      <c r="F43" s="151">
        <f>-VLOOKUP(B43,TB!$A$5:$D$109,4,0)</f>
        <v>54709.98</v>
      </c>
    </row>
    <row r="44" spans="1:6" ht="20.149999999999999" hidden="1" customHeight="1">
      <c r="B44" s="66">
        <v>235210</v>
      </c>
      <c r="D44" s="62" t="str">
        <f>VLOOKUP(B44,TB!$A$4:$B$109,2,0)</f>
        <v>Contract retention deposits</v>
      </c>
      <c r="E44" s="151">
        <f>-VLOOKUP(B44,TB!$A$5:$D$109,3,0)</f>
        <v>0</v>
      </c>
      <c r="F44" s="151">
        <f>-VLOOKUP(B44,TB!$A$5:$D$109,4,0)</f>
        <v>0</v>
      </c>
    </row>
    <row r="45" spans="1:6" ht="20.149999999999999" customHeight="1">
      <c r="B45" s="66">
        <v>235990</v>
      </c>
      <c r="D45" s="62" t="s">
        <v>290</v>
      </c>
      <c r="E45" s="151">
        <f>-VLOOKUP(B45,TB!$A$5:$D$109,3,0)</f>
        <v>14514</v>
      </c>
      <c r="F45" s="151">
        <f>-VLOOKUP(B45,TB!$A$5:$D$109,4,0)</f>
        <v>0</v>
      </c>
    </row>
    <row r="46" spans="1:6" ht="14.5">
      <c r="B46" s="66">
        <v>202510</v>
      </c>
      <c r="D46" s="62" t="s">
        <v>289</v>
      </c>
      <c r="E46" s="151">
        <f>-VLOOKUP(B46,TB!$A$5:$D$109,3,0)</f>
        <v>47619.05</v>
      </c>
      <c r="F46" s="151">
        <f>-VLOOKUP(B46,TB!$A$5:$D$109,4,0)</f>
        <v>95238.1</v>
      </c>
    </row>
    <row r="47" spans="1:6" ht="14.5">
      <c r="A47" s="66" t="s">
        <v>97</v>
      </c>
      <c r="B47" s="66">
        <v>236020</v>
      </c>
      <c r="D47" s="62" t="s">
        <v>374</v>
      </c>
      <c r="E47" s="151">
        <f>-VLOOKUP(B47,TB!$A$5:$D$109,3,0)</f>
        <v>14514</v>
      </c>
      <c r="F47" s="151">
        <f>-VLOOKUP(B47,TB!$A$5:$D$109,4,0)</f>
        <v>0</v>
      </c>
    </row>
    <row r="48" spans="1:6" ht="20.149999999999999" customHeight="1">
      <c r="D48" s="210" t="s">
        <v>95</v>
      </c>
      <c r="E48" s="211">
        <f>SUM(E38:E47)</f>
        <v>984508.56</v>
      </c>
      <c r="F48" s="211">
        <f>SUM(F38:F47)</f>
        <v>881870.14999999991</v>
      </c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73"/>
  <sheetViews>
    <sheetView showGridLines="0" topLeftCell="A8" zoomScaleNormal="100" workbookViewId="0">
      <selection activeCell="F23" sqref="F23"/>
    </sheetView>
  </sheetViews>
  <sheetFormatPr defaultRowHeight="20.149999999999999" customHeight="1"/>
  <cols>
    <col min="1" max="2" width="4.54296875" style="66" customWidth="1"/>
    <col min="3" max="3" width="47.81640625" customWidth="1"/>
    <col min="4" max="4" width="15.81640625" style="4" customWidth="1"/>
    <col min="5" max="7" width="15.81640625" customWidth="1"/>
  </cols>
  <sheetData>
    <row r="1" spans="1:7" ht="26">
      <c r="A1" s="64" t="s">
        <v>0</v>
      </c>
      <c r="B1" s="64"/>
    </row>
    <row r="2" spans="1:7" ht="26">
      <c r="A2" s="64"/>
      <c r="B2" s="64"/>
    </row>
    <row r="3" spans="1:7" ht="20.149999999999999" customHeight="1">
      <c r="A3" s="100" t="s">
        <v>119</v>
      </c>
      <c r="B3" s="100"/>
    </row>
    <row r="4" spans="1:7" ht="42">
      <c r="C4" s="58" t="s">
        <v>1</v>
      </c>
      <c r="D4" s="59">
        <f>+BS!C7</f>
        <v>44804</v>
      </c>
      <c r="E4" s="59">
        <f>+BS!E7</f>
        <v>44439</v>
      </c>
      <c r="F4" s="59" t="s">
        <v>101</v>
      </c>
      <c r="G4" s="96" t="s">
        <v>117</v>
      </c>
    </row>
    <row r="5" spans="1:7" ht="20.149999999999999" customHeight="1">
      <c r="C5" s="60" t="s">
        <v>2</v>
      </c>
      <c r="D5" s="61"/>
      <c r="E5" s="61"/>
      <c r="F5" s="61"/>
      <c r="G5" s="61"/>
    </row>
    <row r="6" spans="1:7" ht="20.149999999999999" customHeight="1">
      <c r="A6" s="66">
        <v>511111</v>
      </c>
      <c r="B6" s="66">
        <v>412121</v>
      </c>
      <c r="C6" s="62" t="str">
        <f>VLOOKUP(B6,TB!$A$4:$B$109,2,0)</f>
        <v>Basic salary</v>
      </c>
      <c r="D6" s="93">
        <f>+VLOOKUP(B6,TB!$A$55:$D$109,3,0)</f>
        <v>691592.5</v>
      </c>
      <c r="E6" s="93">
        <f>+VLOOKUP(B6,TB!$A$55:$D$109,4,0)</f>
        <v>644246.37</v>
      </c>
      <c r="F6" s="93">
        <f>D6-E6</f>
        <v>47346.130000000005</v>
      </c>
      <c r="G6" s="97">
        <f t="shared" ref="G6" si="0">IFERROR(F6/E6,0)</f>
        <v>7.3490720638441476E-2</v>
      </c>
    </row>
    <row r="7" spans="1:7" ht="20.149999999999999" hidden="1" customHeight="1">
      <c r="A7" s="66">
        <v>511122</v>
      </c>
      <c r="B7" s="66">
        <v>412542</v>
      </c>
      <c r="C7" s="62" t="str">
        <f>VLOOKUP(B7,TB!$A$4:$B$109,2,0)</f>
        <v>Other allowances (miscellaneous)</v>
      </c>
      <c r="D7" s="93">
        <f>+VLOOKUP(B7,TB!$A$55:$D$109,3,0)</f>
        <v>0</v>
      </c>
      <c r="E7" s="93">
        <f>+VLOOKUP(B7,TB!$A$55:$D$109,4,0)</f>
        <v>0</v>
      </c>
      <c r="F7" s="93">
        <f t="shared" ref="F7:F17" si="1">D7-E7</f>
        <v>0</v>
      </c>
      <c r="G7" s="97">
        <f>IFERROR(F7/E7,0)</f>
        <v>0</v>
      </c>
    </row>
    <row r="8" spans="1:7" ht="20.149999999999999" customHeight="1">
      <c r="B8" s="66">
        <v>412110</v>
      </c>
      <c r="C8" s="62" t="str">
        <f>VLOOKUP(B8,TB!$A$4:$B$109,2,0)</f>
        <v>Consolidated pay (combined salaries and allowances)</v>
      </c>
      <c r="D8" s="93">
        <f>+VLOOKUP(B8,TB!$A$55:$D$109,3,0)</f>
        <v>0</v>
      </c>
      <c r="E8" s="93">
        <f>+VLOOKUP(B8,TB!$A$55:$D$109,4,0)</f>
        <v>0</v>
      </c>
      <c r="F8" s="93">
        <f t="shared" si="1"/>
        <v>0</v>
      </c>
      <c r="G8" s="97">
        <f>IFERROR(F8/E8,0)</f>
        <v>0</v>
      </c>
    </row>
    <row r="9" spans="1:7" ht="20.149999999999999" customHeight="1">
      <c r="A9" s="66">
        <v>511129</v>
      </c>
      <c r="B9" s="66">
        <v>412521</v>
      </c>
      <c r="C9" s="62" t="str">
        <f>VLOOKUP(B9,TB!$A$4:$B$109,2,0)</f>
        <v>Administration allowance (including Mansab)</v>
      </c>
      <c r="D9" s="93">
        <f>+VLOOKUP(B9,TB!$A$55:$D$109,3,0)</f>
        <v>12000</v>
      </c>
      <c r="E9" s="93">
        <f>+VLOOKUP(B9,TB!$A$55:$D$109,4,0)</f>
        <v>16000</v>
      </c>
      <c r="F9" s="93">
        <f t="shared" si="1"/>
        <v>-4000</v>
      </c>
      <c r="G9" s="97">
        <f t="shared" ref="G9:G65" si="2">IFERROR(F9/E9,0)</f>
        <v>-0.25</v>
      </c>
    </row>
    <row r="10" spans="1:7" ht="20.149999999999999" customHeight="1">
      <c r="A10" s="66">
        <v>511133</v>
      </c>
      <c r="B10" s="66">
        <v>412125</v>
      </c>
      <c r="C10" s="62" t="str">
        <f>VLOOKUP(B10,TB!$A$4:$B$109,2,0)</f>
        <v>Cost of living adjustment pay (COLA)</v>
      </c>
      <c r="D10" s="93">
        <f>+VLOOKUP(B10,TB!$A$55:$D$109,3,0)</f>
        <v>355270.42</v>
      </c>
      <c r="E10" s="93">
        <f>+VLOOKUP(B10,TB!$A$55:$D$109,4,0)</f>
        <v>323597.06</v>
      </c>
      <c r="F10" s="93">
        <f t="shared" si="1"/>
        <v>31673.359999999986</v>
      </c>
      <c r="G10" s="97">
        <f t="shared" si="2"/>
        <v>9.7879010396447932E-2</v>
      </c>
    </row>
    <row r="11" spans="1:7" ht="20.149999999999999" customHeight="1">
      <c r="A11" s="66">
        <v>511214</v>
      </c>
      <c r="B11" s="66">
        <v>412534</v>
      </c>
      <c r="C11" s="62" t="str">
        <f>VLOOKUP(B11,TB!$A$4:$B$109,2,0)</f>
        <v>School fee reimbursements</v>
      </c>
      <c r="D11" s="93">
        <f>+VLOOKUP(B11,TB!$A$55:$D$109,3,0)</f>
        <v>21395.5</v>
      </c>
      <c r="E11" s="93">
        <f>+VLOOKUP(B11,TB!$A$55:$D$109,4,0)</f>
        <v>18889.13</v>
      </c>
      <c r="F11" s="93">
        <f t="shared" si="1"/>
        <v>2506.369999999999</v>
      </c>
      <c r="G11" s="97">
        <f t="shared" si="2"/>
        <v>0.13268848274113201</v>
      </c>
    </row>
    <row r="12" spans="1:7" ht="20.149999999999999" customHeight="1">
      <c r="A12" s="66">
        <v>511216</v>
      </c>
      <c r="B12" s="66">
        <v>412184</v>
      </c>
      <c r="C12" s="62" t="str">
        <f>VLOOKUP(B12,TB!$A$4:$B$109,2,0)</f>
        <v>Vacation pay (including cash in lieu payment)</v>
      </c>
      <c r="D12" s="93">
        <f>+VLOOKUP(B12,TB!$A$55:$D$109,3,0)</f>
        <v>0</v>
      </c>
      <c r="E12" s="93">
        <f>+VLOOKUP(B12,TB!$A$55:$D$109,4,0)</f>
        <v>-16387.57</v>
      </c>
      <c r="F12" s="93">
        <f t="shared" si="1"/>
        <v>16387.57</v>
      </c>
      <c r="G12" s="97">
        <f t="shared" si="2"/>
        <v>-1</v>
      </c>
    </row>
    <row r="13" spans="1:7" ht="20.149999999999999" customHeight="1">
      <c r="A13" s="66">
        <v>511217</v>
      </c>
      <c r="B13" s="66">
        <v>416310</v>
      </c>
      <c r="C13" s="62" t="str">
        <f>VLOOKUP(B13,TB!$A$4:$B$109,2,0)</f>
        <v>Medical insurance premium</v>
      </c>
      <c r="D13" s="93">
        <f>+VLOOKUP(B13,TB!$A$55:$D$109,3,0)</f>
        <v>38285</v>
      </c>
      <c r="E13" s="93">
        <f>+VLOOKUP(B13,TB!$A$55:$D$109,4,0)</f>
        <v>33528.35</v>
      </c>
      <c r="F13" s="93">
        <f t="shared" si="1"/>
        <v>4756.6500000000015</v>
      </c>
      <c r="G13" s="97">
        <f t="shared" si="2"/>
        <v>0.1418694925339303</v>
      </c>
    </row>
    <row r="14" spans="1:7" ht="20.149999999999999" customHeight="1">
      <c r="A14" s="66">
        <v>511218</v>
      </c>
      <c r="B14" s="66">
        <v>415220</v>
      </c>
      <c r="C14" s="62" t="str">
        <f>VLOOKUP(B14,TB!$A$4:$B$109,2,0)</f>
        <v>UAE visa requirement costs</v>
      </c>
      <c r="D14" s="93">
        <f>+VLOOKUP(B14,TB!$A$55:$D$109,3,0)</f>
        <v>0</v>
      </c>
      <c r="E14" s="93">
        <f>+VLOOKUP(B14,TB!$A$55:$D$109,4,0)</f>
        <v>0</v>
      </c>
      <c r="F14" s="93">
        <f t="shared" si="1"/>
        <v>0</v>
      </c>
      <c r="G14" s="97">
        <f t="shared" si="2"/>
        <v>0</v>
      </c>
    </row>
    <row r="15" spans="1:7" ht="20.149999999999999" customHeight="1">
      <c r="A15" s="66">
        <v>511221</v>
      </c>
      <c r="B15" s="66">
        <v>414120</v>
      </c>
      <c r="C15" s="62" t="str">
        <f>VLOOKUP(B15,TB!$A$4:$B$109,2,0)</f>
        <v>Gratuity - Non-pensionable employees</v>
      </c>
      <c r="D15" s="93">
        <f>+VLOOKUP(B15,TB!$A$55:$D$109,3,0)</f>
        <v>34474</v>
      </c>
      <c r="E15" s="93">
        <f>+VLOOKUP(B15,TB!$A$55:$D$109,4,0)</f>
        <v>112548.68</v>
      </c>
      <c r="F15" s="93">
        <f t="shared" si="1"/>
        <v>-78074.679999999993</v>
      </c>
      <c r="G15" s="97">
        <f t="shared" si="2"/>
        <v>-0.69369698516233147</v>
      </c>
    </row>
    <row r="16" spans="1:7" ht="20.149999999999999" customHeight="1">
      <c r="A16" s="66">
        <v>511222</v>
      </c>
      <c r="B16" s="66">
        <v>416110</v>
      </c>
      <c r="C16" s="62" t="str">
        <f>VLOOKUP(B16,TB!$A$4:$B$109,2,0)</f>
        <v>Employee travel costs - Fares</v>
      </c>
      <c r="D16" s="93">
        <f>+VLOOKUP(B16,TB!$A$55:$D$109,3,0)</f>
        <v>2293.2800000000002</v>
      </c>
      <c r="E16" s="93">
        <f>+VLOOKUP(B16,TB!$A$55:$D$109,4,0)</f>
        <v>13072.15</v>
      </c>
      <c r="F16" s="93">
        <f t="shared" si="1"/>
        <v>-10778.869999999999</v>
      </c>
      <c r="G16" s="97">
        <f t="shared" si="2"/>
        <v>-0.82456749654800465</v>
      </c>
    </row>
    <row r="17" spans="1:7" ht="20.149999999999999" customHeight="1">
      <c r="B17" s="66">
        <v>412590</v>
      </c>
      <c r="C17" s="62" t="str">
        <f>VLOOKUP(B17,TB!$A$4:$B$109,2,0)</f>
        <v>Rounding up cost of net pay</v>
      </c>
      <c r="D17" s="93">
        <f>+VLOOKUP(B17,TB!$A$55:$D$109,3,0)</f>
        <v>0.08</v>
      </c>
      <c r="E17" s="93">
        <f>+VLOOKUP(B17,TB!$A$55:$D$109,4,0)</f>
        <v>0.76</v>
      </c>
      <c r="F17" s="93">
        <f t="shared" si="1"/>
        <v>-0.68</v>
      </c>
      <c r="G17" s="97">
        <f t="shared" ref="G17" si="3">IFERROR(F17/E17,0)</f>
        <v>-0.89473684210526316</v>
      </c>
    </row>
    <row r="18" spans="1:7" ht="20.149999999999999" hidden="1" customHeight="1">
      <c r="A18" s="66">
        <v>511224</v>
      </c>
      <c r="B18" s="66">
        <v>415230</v>
      </c>
      <c r="C18" s="62" t="str">
        <f>VLOOKUP(B18,TB!$A$4:$B$109,2,0)</f>
        <v>Relocation expenses</v>
      </c>
      <c r="D18" s="93">
        <f>+VLOOKUP(B18,TB!$A$55:$D$109,3,0)</f>
        <v>0</v>
      </c>
      <c r="E18" s="93">
        <f>+VLOOKUP(B18,TB!$A$55:$D$109,4,0)</f>
        <v>0</v>
      </c>
      <c r="F18" s="93">
        <f t="shared" ref="F18:F21" si="4">+E18-D18</f>
        <v>0</v>
      </c>
      <c r="G18" s="97">
        <f t="shared" si="2"/>
        <v>0</v>
      </c>
    </row>
    <row r="19" spans="1:7" ht="20.149999999999999" hidden="1" customHeight="1">
      <c r="A19" s="66">
        <v>511313</v>
      </c>
      <c r="B19" s="66">
        <v>415210</v>
      </c>
      <c r="C19" s="62" t="str">
        <f>VLOOKUP(B19,TB!$A$4:$B$109,2,0)</f>
        <v>Recruitment expenses</v>
      </c>
      <c r="D19" s="93">
        <f>+VLOOKUP(B19,TB!$A$55:$D$109,3,0)</f>
        <v>0</v>
      </c>
      <c r="E19" s="93">
        <f>+VLOOKUP(B19,TB!$A$55:$D$109,4,0)</f>
        <v>0</v>
      </c>
      <c r="F19" s="93">
        <f>+E19-D19</f>
        <v>0</v>
      </c>
      <c r="G19" s="97">
        <f>IFERROR(F19/E19,0)</f>
        <v>0</v>
      </c>
    </row>
    <row r="20" spans="1:7" ht="20.149999999999999" hidden="1" customHeight="1">
      <c r="A20" s="66">
        <v>511412</v>
      </c>
      <c r="B20" s="66">
        <v>415320</v>
      </c>
      <c r="C20" s="62" t="str">
        <f>VLOOKUP(B20,TB!$A$4:$B$109,2,0)</f>
        <v>Employee Training costs - Travel and Accommodation</v>
      </c>
      <c r="D20" s="93">
        <f>+VLOOKUP(B20,TB!$A$55:$D$109,3,0)</f>
        <v>0</v>
      </c>
      <c r="E20" s="93">
        <f>+VLOOKUP(B20,TB!$A$55:$D$109,4,0)</f>
        <v>0</v>
      </c>
      <c r="F20" s="93">
        <f>+E20-D20</f>
        <v>0</v>
      </c>
      <c r="G20" s="97">
        <f>IFERROR(F20/E20,0)</f>
        <v>0</v>
      </c>
    </row>
    <row r="21" spans="1:7" ht="20.149999999999999" hidden="1" customHeight="1">
      <c r="A21" s="66">
        <v>511228</v>
      </c>
      <c r="B21" s="66">
        <v>413121</v>
      </c>
      <c r="C21" s="62" t="str">
        <f>VLOOKUP(B21,TB!$A$4:$B$109,2,0)</f>
        <v>Temporary Staff Salary</v>
      </c>
      <c r="D21" s="93">
        <f>+VLOOKUP(B21,TB!$A$55:$D$109,3,0)</f>
        <v>0</v>
      </c>
      <c r="E21" s="93">
        <f>+VLOOKUP(B21,TB!$A$55:$D$109,4,0)</f>
        <v>0</v>
      </c>
      <c r="F21" s="93">
        <f t="shared" si="4"/>
        <v>0</v>
      </c>
      <c r="G21" s="97">
        <f t="shared" si="2"/>
        <v>0</v>
      </c>
    </row>
    <row r="22" spans="1:7" ht="20.149999999999999" customHeight="1">
      <c r="C22" s="63" t="s">
        <v>2</v>
      </c>
      <c r="D22" s="94">
        <f>SUM(D6:D21)</f>
        <v>1155310.78</v>
      </c>
      <c r="E22" s="94">
        <f>SUM(E6:E21)</f>
        <v>1145494.93</v>
      </c>
      <c r="F22" s="94">
        <f>SUM(F6:F21)</f>
        <v>9815.8499999999949</v>
      </c>
      <c r="G22" s="98">
        <f t="shared" si="2"/>
        <v>8.5690907422872626E-3</v>
      </c>
    </row>
    <row r="23" spans="1:7" ht="20.149999999999999" customHeight="1">
      <c r="C23" s="60" t="s">
        <v>3</v>
      </c>
      <c r="D23" s="95"/>
      <c r="E23" s="95"/>
      <c r="F23" s="95"/>
      <c r="G23" s="99"/>
    </row>
    <row r="24" spans="1:7" ht="20.149999999999999" customHeight="1">
      <c r="A24" s="66">
        <v>511418</v>
      </c>
      <c r="B24" s="66">
        <v>428090</v>
      </c>
      <c r="C24" s="62" t="str">
        <f>VLOOKUP(B24,TB!$A$4:$B$109,2,0)</f>
        <v>Business Travel - Combined expenses</v>
      </c>
      <c r="D24" s="93">
        <f>+VLOOKUP(B24,TB!$A$55:$D$109,3,0)</f>
        <v>0</v>
      </c>
      <c r="E24" s="93">
        <f>+VLOOKUP(B24,TB!$A$55:$D$109,4,0)</f>
        <v>0</v>
      </c>
      <c r="F24" s="93">
        <f t="shared" ref="F24:F57" si="5">D24-E24</f>
        <v>0</v>
      </c>
      <c r="G24" s="97">
        <f t="shared" si="2"/>
        <v>0</v>
      </c>
    </row>
    <row r="25" spans="1:7" ht="20.149999999999999" hidden="1" customHeight="1">
      <c r="A25" s="66">
        <v>511420</v>
      </c>
      <c r="B25" s="66">
        <v>425770</v>
      </c>
      <c r="C25" s="62" t="str">
        <f>VLOOKUP(B25,TB!$A$4:$B$109,2,0)</f>
        <v>Academic Missions - Combined expenses</v>
      </c>
      <c r="D25" s="93">
        <f>+VLOOKUP(B25,TB!$A$55:$D$109,3,0)</f>
        <v>0</v>
      </c>
      <c r="E25" s="93">
        <f>+VLOOKUP(B25,TB!$A$55:$D$109,4,0)</f>
        <v>0</v>
      </c>
      <c r="F25" s="93">
        <f t="shared" si="5"/>
        <v>0</v>
      </c>
      <c r="G25" s="97">
        <f t="shared" si="2"/>
        <v>0</v>
      </c>
    </row>
    <row r="26" spans="1:7" ht="20.149999999999999" hidden="1" customHeight="1">
      <c r="A26" s="66">
        <v>512113</v>
      </c>
      <c r="B26" s="66">
        <v>436110</v>
      </c>
      <c r="C26" s="62" t="str">
        <f>VLOOKUP(B26,TB!$A$4:$B$109,2,0)</f>
        <v>Printing supplies</v>
      </c>
      <c r="D26" s="93">
        <f>+VLOOKUP(B26,TB!$A$55:$D$109,3,0)</f>
        <v>0</v>
      </c>
      <c r="E26" s="93">
        <f>+VLOOKUP(B26,TB!$A$55:$D$109,4,0)</f>
        <v>0</v>
      </c>
      <c r="F26" s="93">
        <f t="shared" si="5"/>
        <v>0</v>
      </c>
      <c r="G26" s="97">
        <f t="shared" si="2"/>
        <v>0</v>
      </c>
    </row>
    <row r="27" spans="1:7" ht="20.149999999999999" hidden="1" customHeight="1">
      <c r="A27" s="66">
        <v>512114</v>
      </c>
      <c r="B27" s="66">
        <v>436120</v>
      </c>
      <c r="C27" s="62" t="str">
        <f>VLOOKUP(B27,TB!$A$4:$B$109,2,0)</f>
        <v>Stationery</v>
      </c>
      <c r="D27" s="93">
        <f>+VLOOKUP(B27,TB!$A$55:$D$109,3,0)</f>
        <v>0</v>
      </c>
      <c r="E27" s="93">
        <f>+VLOOKUP(B27,TB!$A$55:$D$109,4,0)</f>
        <v>0</v>
      </c>
      <c r="F27" s="93">
        <f t="shared" si="5"/>
        <v>0</v>
      </c>
      <c r="G27" s="97">
        <f t="shared" si="2"/>
        <v>0</v>
      </c>
    </row>
    <row r="28" spans="1:7" ht="14.5">
      <c r="B28" s="66">
        <v>435350</v>
      </c>
      <c r="C28" s="62" t="s">
        <v>202</v>
      </c>
      <c r="D28" s="93">
        <f>+VLOOKUP(B28,TB!$A$55:$D$109,3,0)</f>
        <v>0</v>
      </c>
      <c r="E28" s="93">
        <f>+VLOOKUP(B28,TB!$A$55:$D$109,4,0)</f>
        <v>0</v>
      </c>
      <c r="F28" s="93">
        <f t="shared" si="5"/>
        <v>0</v>
      </c>
      <c r="G28" s="97">
        <f>IFERROR(F28/E28,0)</f>
        <v>0</v>
      </c>
    </row>
    <row r="29" spans="1:7" ht="14.5">
      <c r="A29" s="66">
        <v>512118</v>
      </c>
      <c r="B29" s="66">
        <v>435508</v>
      </c>
      <c r="C29" s="62" t="str">
        <f>VLOOKUP(B29,TB!$A$4:$B$109,2,0)</f>
        <v>Laboratory - Scientific</v>
      </c>
      <c r="D29" s="93">
        <f>+VLOOKUP(B29,TB!$A$55:$D$109,3,0)</f>
        <v>169384.76</v>
      </c>
      <c r="E29" s="93">
        <f>+VLOOKUP(B29,TB!$A$55:$D$109,4,0)</f>
        <v>289152.86</v>
      </c>
      <c r="F29" s="93">
        <f t="shared" si="5"/>
        <v>-119768.09999999998</v>
      </c>
      <c r="G29" s="97">
        <f t="shared" si="2"/>
        <v>-0.41420340784455661</v>
      </c>
    </row>
    <row r="30" spans="1:7" ht="8.5" hidden="1" customHeight="1">
      <c r="A30" s="66">
        <v>512125</v>
      </c>
      <c r="B30" s="66">
        <v>435910</v>
      </c>
      <c r="C30" s="62" t="str">
        <f>VLOOKUP(B30,TB!$A$4:$B$109,2,0)</f>
        <v>Furnishings</v>
      </c>
      <c r="D30" s="93">
        <f>+VLOOKUP(B30,TB!$A$55:$D$109,3,0)</f>
        <v>0</v>
      </c>
      <c r="E30" s="93">
        <f>+VLOOKUP(B30,TB!$A$55:$D$109,4,0)</f>
        <v>0</v>
      </c>
      <c r="F30" s="93">
        <f t="shared" si="5"/>
        <v>0</v>
      </c>
      <c r="G30" s="97">
        <f t="shared" si="2"/>
        <v>0</v>
      </c>
    </row>
    <row r="31" spans="1:7" ht="8.5" hidden="1" customHeight="1">
      <c r="A31" s="66">
        <v>512134</v>
      </c>
      <c r="B31" s="66">
        <v>427810</v>
      </c>
      <c r="C31" s="62" t="str">
        <f>VLOOKUP(B31,TB!$A$4:$B$109,2,0)</f>
        <v>Telephone and telefax charges</v>
      </c>
      <c r="D31" s="93">
        <f>+VLOOKUP(B31,TB!$A$55:$D$109,3,0)</f>
        <v>0</v>
      </c>
      <c r="E31" s="93">
        <f>+VLOOKUP(B31,TB!$A$55:$D$109,4,0)</f>
        <v>0</v>
      </c>
      <c r="F31" s="93">
        <f t="shared" si="5"/>
        <v>0</v>
      </c>
      <c r="G31" s="97">
        <f t="shared" si="2"/>
        <v>0</v>
      </c>
    </row>
    <row r="32" spans="1:7" ht="20.149999999999999" customHeight="1">
      <c r="A32" s="66">
        <v>512136</v>
      </c>
      <c r="B32" s="66">
        <v>426610</v>
      </c>
      <c r="C32" s="62" t="str">
        <f>VLOOKUP(B32,TB!$A$4:$B$109,2,0)</f>
        <v>Computer software licenses</v>
      </c>
      <c r="D32" s="93">
        <f>+VLOOKUP(B32,TB!$A$55:$D$109,3,0)</f>
        <v>0</v>
      </c>
      <c r="E32" s="93">
        <f>+VLOOKUP(B32,TB!$A$55:$D$109,4,0)</f>
        <v>0</v>
      </c>
      <c r="F32" s="93">
        <f t="shared" si="5"/>
        <v>0</v>
      </c>
      <c r="G32" s="97">
        <f t="shared" si="2"/>
        <v>0</v>
      </c>
    </row>
    <row r="33" spans="1:7" ht="20.149999999999999" hidden="1" customHeight="1">
      <c r="A33" s="66">
        <v>512144</v>
      </c>
      <c r="B33" s="66">
        <v>430330</v>
      </c>
      <c r="C33" s="62" t="str">
        <f>VLOOKUP(B33,TB!$A$4:$B$109,2,0)</f>
        <v>Rental - Motor vehicles</v>
      </c>
      <c r="D33" s="93">
        <f>+VLOOKUP(B33,TB!$A$55:$D$109,3,0)</f>
        <v>0</v>
      </c>
      <c r="E33" s="93">
        <f>+VLOOKUP(B33,TB!$A$55:$D$109,4,0)</f>
        <v>0</v>
      </c>
      <c r="F33" s="93">
        <f t="shared" si="5"/>
        <v>0</v>
      </c>
      <c r="G33" s="97">
        <f t="shared" si="2"/>
        <v>0</v>
      </c>
    </row>
    <row r="34" spans="1:7" ht="20.149999999999999" hidden="1" customHeight="1">
      <c r="A34" s="66">
        <v>512333</v>
      </c>
      <c r="B34" s="66">
        <v>428200</v>
      </c>
      <c r="C34" s="62" t="str">
        <f>VLOOKUP(B34,TB!$A$4:$B$109,2,0)</f>
        <v>Health,safety&amp;environment awareness</v>
      </c>
      <c r="D34" s="93">
        <f>+VLOOKUP(B34,TB!$A$55:$D$109,3,0)</f>
        <v>0</v>
      </c>
      <c r="E34" s="93">
        <f>+VLOOKUP(B34,TB!$A$55:$D$109,4,0)</f>
        <v>0</v>
      </c>
      <c r="F34" s="93">
        <f t="shared" si="5"/>
        <v>0</v>
      </c>
      <c r="G34" s="97">
        <f t="shared" si="2"/>
        <v>0</v>
      </c>
    </row>
    <row r="35" spans="1:7" ht="20.149999999999999" hidden="1" customHeight="1">
      <c r="A35" s="66">
        <v>512151</v>
      </c>
      <c r="B35" s="66">
        <v>425900</v>
      </c>
      <c r="C35" s="62" t="str">
        <f>VLOOKUP(B35,TB!$A$4:$B$109,2,0)</f>
        <v>Entertainment and hospitality</v>
      </c>
      <c r="D35" s="93">
        <f>+VLOOKUP(B35,TB!$A$55:$D$109,3,0)</f>
        <v>0</v>
      </c>
      <c r="E35" s="93">
        <f>+VLOOKUP(B35,TB!$A$55:$D$109,4,0)</f>
        <v>0</v>
      </c>
      <c r="F35" s="93">
        <f t="shared" si="5"/>
        <v>0</v>
      </c>
      <c r="G35" s="97">
        <f t="shared" si="2"/>
        <v>0</v>
      </c>
    </row>
    <row r="36" spans="1:7" ht="20.149999999999999" customHeight="1">
      <c r="A36" s="66">
        <v>512152</v>
      </c>
      <c r="B36" s="66">
        <v>426900</v>
      </c>
      <c r="C36" s="62" t="str">
        <f>VLOOKUP(B36,TB!$A$4:$B$109,2,0)</f>
        <v>Postal, courier and other document delivery expenses</v>
      </c>
      <c r="D36" s="93">
        <f>+VLOOKUP(B36,TB!$A$55:$D$109,3,0)</f>
        <v>0</v>
      </c>
      <c r="E36" s="93">
        <f>+VLOOKUP(B36,TB!$A$55:$D$109,4,0)</f>
        <v>0</v>
      </c>
      <c r="F36" s="93">
        <f t="shared" si="5"/>
        <v>0</v>
      </c>
      <c r="G36" s="97">
        <f t="shared" si="2"/>
        <v>0</v>
      </c>
    </row>
    <row r="37" spans="1:7" ht="20.149999999999999" hidden="1" customHeight="1">
      <c r="A37" s="66">
        <v>512221</v>
      </c>
      <c r="B37" s="66">
        <v>425100</v>
      </c>
      <c r="C37" s="62" t="str">
        <f>VLOOKUP(B37,TB!$A$4:$B$109,2,0)</f>
        <v>Advertising</v>
      </c>
      <c r="D37" s="93">
        <f>+VLOOKUP(B37,TB!$A$55:$D$109,3,0)</f>
        <v>0</v>
      </c>
      <c r="E37" s="93">
        <f>+VLOOKUP(B37,TB!$A$55:$D$109,4,0)</f>
        <v>0</v>
      </c>
      <c r="F37" s="93">
        <f t="shared" si="5"/>
        <v>0</v>
      </c>
      <c r="G37" s="97">
        <f t="shared" si="2"/>
        <v>0</v>
      </c>
    </row>
    <row r="38" spans="1:7" ht="20.149999999999999" customHeight="1">
      <c r="A38" s="66">
        <v>512223</v>
      </c>
      <c r="B38" s="66">
        <v>425510</v>
      </c>
      <c r="C38" s="62" t="str">
        <f>VLOOKUP(B38,TB!$A$4:$B$109,2,0)</f>
        <v>Conferences, seminars and exhibitions and other events: - Local Events</v>
      </c>
      <c r="D38" s="93">
        <f>+VLOOKUP(B38,TB!$A$55:$D$109,3,0)</f>
        <v>350</v>
      </c>
      <c r="E38" s="93">
        <f>+VLOOKUP(B38,TB!$A$55:$D$109,4,0)</f>
        <v>700</v>
      </c>
      <c r="F38" s="93">
        <f t="shared" si="5"/>
        <v>-350</v>
      </c>
      <c r="G38" s="97">
        <f t="shared" si="2"/>
        <v>-0.5</v>
      </c>
    </row>
    <row r="39" spans="1:7" ht="20.149999999999999" hidden="1" customHeight="1">
      <c r="A39" s="66">
        <v>512225</v>
      </c>
      <c r="B39" s="66">
        <v>435519</v>
      </c>
      <c r="C39" s="62" t="str">
        <f>VLOOKUP(B39,TB!$A$4:$B$109,2,0)</f>
        <v>Photography - Consumable materials /Tools</v>
      </c>
      <c r="D39" s="93">
        <f>+VLOOKUP(B39,TB!$A$55:$D$109,3,0)</f>
        <v>0</v>
      </c>
      <c r="E39" s="93">
        <f>+VLOOKUP(B39,TB!$A$55:$D$109,4,0)</f>
        <v>0</v>
      </c>
      <c r="F39" s="93">
        <f t="shared" si="5"/>
        <v>0</v>
      </c>
      <c r="G39" s="97">
        <f t="shared" si="2"/>
        <v>0</v>
      </c>
    </row>
    <row r="40" spans="1:7" ht="20.149999999999999" customHeight="1">
      <c r="A40" s="66">
        <v>512241</v>
      </c>
      <c r="B40" s="66">
        <v>432120</v>
      </c>
      <c r="C40" s="62" t="str">
        <f>VLOOKUP(B40,TB!$A$4:$B$109,2,0)</f>
        <v>Bldg maintenance-Business premises</v>
      </c>
      <c r="D40" s="93">
        <f>+VLOOKUP(B40,TB!$A$55:$D$109,3,0)</f>
        <v>0</v>
      </c>
      <c r="E40" s="93">
        <f>+VLOOKUP(B40,TB!$A$55:$D$109,4,0)</f>
        <v>0</v>
      </c>
      <c r="F40" s="93">
        <f t="shared" si="5"/>
        <v>0</v>
      </c>
      <c r="G40" s="97">
        <f t="shared" si="2"/>
        <v>0</v>
      </c>
    </row>
    <row r="41" spans="1:7" ht="20.149999999999999" customHeight="1">
      <c r="A41" s="66">
        <v>512243</v>
      </c>
      <c r="B41" s="66">
        <v>432690</v>
      </c>
      <c r="C41" s="62" t="str">
        <f>VLOOKUP(B41,TB!$A$4:$B$109,2,0)</f>
        <v>Plant, machinery and heavy equipment, not mentioned elsewhere</v>
      </c>
      <c r="D41" s="93">
        <f>+VLOOKUP(B41,TB!$A$55:$D$109,3,0)</f>
        <v>0</v>
      </c>
      <c r="E41" s="93">
        <f>+VLOOKUP(B41,TB!$A$55:$D$109,4,0)</f>
        <v>0</v>
      </c>
      <c r="F41" s="93">
        <f t="shared" si="5"/>
        <v>0</v>
      </c>
      <c r="G41" s="97">
        <f t="shared" si="2"/>
        <v>0</v>
      </c>
    </row>
    <row r="42" spans="1:7" ht="20.149999999999999" hidden="1" customHeight="1">
      <c r="A42" s="66">
        <v>512329</v>
      </c>
      <c r="B42" s="66">
        <v>425760</v>
      </c>
      <c r="C42" s="62" t="str">
        <f>VLOOKUP(B42,TB!$A$4:$B$109,2,0)</f>
        <v>Student activities &amp; field trip expenses</v>
      </c>
      <c r="D42" s="93">
        <f>+VLOOKUP(B42,TB!$A$55:$D$109,3,0)</f>
        <v>0</v>
      </c>
      <c r="E42" s="93">
        <f>+VLOOKUP(B42,TB!$A$55:$D$109,4,0)</f>
        <v>0</v>
      </c>
      <c r="F42" s="93">
        <f t="shared" si="5"/>
        <v>0</v>
      </c>
      <c r="G42" s="97">
        <f t="shared" si="2"/>
        <v>0</v>
      </c>
    </row>
    <row r="43" spans="1:7" ht="20.149999999999999" hidden="1" customHeight="1">
      <c r="A43" s="66">
        <v>521111</v>
      </c>
      <c r="B43" s="66">
        <v>421000</v>
      </c>
      <c r="C43" s="62" t="str">
        <f>VLOOKUP(B43,TB!$A$4:$B$109,2,0)</f>
        <v>Management consultancy</v>
      </c>
      <c r="D43" s="93">
        <f>+VLOOKUP(B43,TB!$A$55:$D$109,3,0)</f>
        <v>0</v>
      </c>
      <c r="E43" s="93">
        <f>+VLOOKUP(B43,TB!$A$55:$D$109,4,0)</f>
        <v>0</v>
      </c>
      <c r="F43" s="93">
        <f t="shared" si="5"/>
        <v>0</v>
      </c>
      <c r="G43" s="97">
        <f t="shared" si="2"/>
        <v>0</v>
      </c>
    </row>
    <row r="44" spans="1:7" ht="20.149999999999999" customHeight="1">
      <c r="A44" s="66">
        <v>521115</v>
      </c>
      <c r="B44" s="66">
        <v>420900</v>
      </c>
      <c r="C44" s="62" t="str">
        <f>VLOOKUP(B44,TB!$A$4:$B$109,2,0)</f>
        <v>Legal services</v>
      </c>
      <c r="D44" s="93">
        <f>+VLOOKUP(B44,TB!$A$55:$D$109,3,0)</f>
        <v>0</v>
      </c>
      <c r="E44" s="93">
        <f>+VLOOKUP(B44,TB!$A$55:$D$109,4,0)</f>
        <v>0</v>
      </c>
      <c r="F44" s="93">
        <f t="shared" si="5"/>
        <v>0</v>
      </c>
      <c r="G44" s="97">
        <f t="shared" si="2"/>
        <v>0</v>
      </c>
    </row>
    <row r="45" spans="1:7" ht="20.149999999999999" customHeight="1">
      <c r="A45" s="66">
        <v>521116</v>
      </c>
      <c r="B45" s="66">
        <v>420130</v>
      </c>
      <c r="C45" s="62" t="str">
        <f>VLOOKUP(B45,TB!$A$4:$B$109,2,0)</f>
        <v>External Audit service</v>
      </c>
      <c r="D45" s="93">
        <f>+VLOOKUP(B45,TB!$A$55:$D$109,3,0)</f>
        <v>0</v>
      </c>
      <c r="E45" s="93">
        <f>+VLOOKUP(B45,TB!$A$55:$D$109,4,0)</f>
        <v>0</v>
      </c>
      <c r="F45" s="93">
        <f t="shared" si="5"/>
        <v>0</v>
      </c>
      <c r="G45" s="97">
        <f t="shared" si="2"/>
        <v>0</v>
      </c>
    </row>
    <row r="46" spans="1:7" ht="20.149999999999999" customHeight="1">
      <c r="B46" s="66">
        <v>428400</v>
      </c>
      <c r="C46" s="62" t="s">
        <v>262</v>
      </c>
      <c r="D46" s="93">
        <f>+VLOOKUP(B46,TB!$A$55:$D$109,3,0)</f>
        <v>0</v>
      </c>
      <c r="E46" s="93">
        <f>+VLOOKUP(B46,TB!$A$55:$D$109,4,0)</f>
        <v>0</v>
      </c>
      <c r="F46" s="93">
        <f t="shared" si="5"/>
        <v>0</v>
      </c>
      <c r="G46" s="97">
        <f t="shared" ref="G46:G48" si="6">IFERROR(F46/E46,0)</f>
        <v>0</v>
      </c>
    </row>
    <row r="47" spans="1:7" ht="20.149999999999999" customHeight="1">
      <c r="B47" s="66">
        <v>429900</v>
      </c>
      <c r="C47" s="62" t="s">
        <v>199</v>
      </c>
      <c r="D47" s="93">
        <f>+VLOOKUP(B47,TB!$A$55:$D$109,3,0)</f>
        <v>0</v>
      </c>
      <c r="E47" s="93">
        <f>+VLOOKUP(B47,TB!$A$55:$D$109,4,0)</f>
        <v>0</v>
      </c>
      <c r="F47" s="93">
        <f t="shared" si="5"/>
        <v>0</v>
      </c>
      <c r="G47" s="97">
        <f t="shared" si="6"/>
        <v>0</v>
      </c>
    </row>
    <row r="48" spans="1:7" ht="20.149999999999999" hidden="1" customHeight="1">
      <c r="A48" s="66">
        <v>521121</v>
      </c>
      <c r="B48" s="66">
        <v>427340</v>
      </c>
      <c r="C48" s="62" t="str">
        <f>VLOOKUP(B48,TB!$A$4:$B$109,2,0)</f>
        <v>Scientific research</v>
      </c>
      <c r="D48" s="93">
        <f>+VLOOKUP(B48,TB!$A$55:$D$109,3,0)</f>
        <v>0</v>
      </c>
      <c r="E48" s="93">
        <f>+VLOOKUP(B48,TB!$A$55:$D$109,4,0)</f>
        <v>0</v>
      </c>
      <c r="F48" s="93">
        <f t="shared" si="5"/>
        <v>0</v>
      </c>
      <c r="G48" s="97">
        <f t="shared" si="6"/>
        <v>0</v>
      </c>
    </row>
    <row r="49" spans="1:7" ht="20.149999999999999" hidden="1" customHeight="1">
      <c r="A49" s="66">
        <v>521124</v>
      </c>
      <c r="B49" s="66">
        <v>420550</v>
      </c>
      <c r="C49" s="62" t="str">
        <f>VLOOKUP(B49,TB!$A$4:$B$109,2,0)</f>
        <v>Academic Advisory Service</v>
      </c>
      <c r="D49" s="93">
        <f>+VLOOKUP(B49,TB!$A$55:$D$109,3,0)</f>
        <v>0</v>
      </c>
      <c r="E49" s="93">
        <f>+VLOOKUP(B49,TB!$A$55:$D$109,4,0)</f>
        <v>0</v>
      </c>
      <c r="F49" s="93">
        <f t="shared" si="5"/>
        <v>0</v>
      </c>
      <c r="G49" s="97">
        <f t="shared" si="2"/>
        <v>0</v>
      </c>
    </row>
    <row r="50" spans="1:7" ht="20.149999999999999" customHeight="1">
      <c r="A50" s="66">
        <v>531111</v>
      </c>
      <c r="B50" s="66">
        <v>425300</v>
      </c>
      <c r="C50" s="62" t="str">
        <f>VLOOKUP(B50,TB!$A$4:$B$109,2,0)</f>
        <v>Banking</v>
      </c>
      <c r="D50" s="93">
        <f>+VLOOKUP(B50,TB!$A$55:$D$109,3,0)</f>
        <v>0</v>
      </c>
      <c r="E50" s="93">
        <f>+VLOOKUP(B50,TB!$A$55:$D$109,4,0)</f>
        <v>0</v>
      </c>
      <c r="F50" s="93">
        <f t="shared" si="5"/>
        <v>0</v>
      </c>
      <c r="G50" s="97">
        <f t="shared" si="2"/>
        <v>0</v>
      </c>
    </row>
    <row r="51" spans="1:7" ht="20.149999999999999" customHeight="1">
      <c r="A51" s="66">
        <v>531113</v>
      </c>
      <c r="B51" s="66">
        <v>382020</v>
      </c>
      <c r="C51" s="62" t="str">
        <f>VLOOKUP(B51,TB!$A$4:$B$109,2,0)</f>
        <v>FX translation gain(loss)-Transactions</v>
      </c>
      <c r="D51" s="93">
        <f>+VLOOKUP(B51,TB!$A$55:$D$109,3,0)</f>
        <v>-38.1</v>
      </c>
      <c r="E51" s="93">
        <f>+VLOOKUP(B51,TB!$A$55:$D$109,4,0)</f>
        <v>748.67</v>
      </c>
      <c r="F51" s="93">
        <f t="shared" si="5"/>
        <v>-786.77</v>
      </c>
      <c r="G51" s="97">
        <f t="shared" si="2"/>
        <v>-1.0508902453684534</v>
      </c>
    </row>
    <row r="52" spans="1:7" ht="20.149999999999999" hidden="1" customHeight="1">
      <c r="A52" s="66">
        <v>531121</v>
      </c>
      <c r="B52" s="66">
        <v>473050</v>
      </c>
      <c r="C52" s="62" t="str">
        <f>VLOOKUP(B52,TB!$A$4:$B$109,2,0)</f>
        <v>Bad Debts - Other</v>
      </c>
      <c r="D52" s="93">
        <f>+VLOOKUP(B52,TB!$A$55:$D$109,3,0)</f>
        <v>0</v>
      </c>
      <c r="E52" s="93">
        <f>+VLOOKUP(B52,TB!$A$55:$D$109,4,0)</f>
        <v>0</v>
      </c>
      <c r="F52" s="93">
        <f t="shared" si="5"/>
        <v>0</v>
      </c>
      <c r="G52" s="97">
        <f t="shared" si="2"/>
        <v>0</v>
      </c>
    </row>
    <row r="53" spans="1:7" ht="20.149999999999999" hidden="1" customHeight="1">
      <c r="B53" s="66">
        <v>492308</v>
      </c>
      <c r="C53" s="62" t="s">
        <v>206</v>
      </c>
      <c r="D53" s="93">
        <f>+VLOOKUP(B53,TB!$A$55:$D$109,3,0)</f>
        <v>0</v>
      </c>
      <c r="E53" s="93">
        <f>+VLOOKUP(B53,TB!$A$55:$D$109,4,0)</f>
        <v>0</v>
      </c>
      <c r="F53" s="93">
        <f t="shared" si="5"/>
        <v>0</v>
      </c>
      <c r="G53" s="97">
        <f t="shared" ref="G53:G57" si="7">IFERROR(F53/E53,0)</f>
        <v>0</v>
      </c>
    </row>
    <row r="54" spans="1:7" ht="20.149999999999999" hidden="1" customHeight="1">
      <c r="B54" s="66">
        <v>492610</v>
      </c>
      <c r="C54" s="62" t="s">
        <v>207</v>
      </c>
      <c r="D54" s="93">
        <f>+VLOOKUP(B54,TB!$A$55:$D$109,3,0)</f>
        <v>0</v>
      </c>
      <c r="E54" s="93">
        <f>+VLOOKUP(B54,TB!$A$55:$D$109,4,0)</f>
        <v>0</v>
      </c>
      <c r="F54" s="93">
        <f t="shared" si="5"/>
        <v>0</v>
      </c>
      <c r="G54" s="97">
        <f t="shared" si="7"/>
        <v>0</v>
      </c>
    </row>
    <row r="55" spans="1:7" ht="20.149999999999999" customHeight="1">
      <c r="B55" s="66">
        <v>492316</v>
      </c>
      <c r="C55" s="62" t="s">
        <v>197</v>
      </c>
      <c r="D55" s="93">
        <f>+VLOOKUP(B55,TB!$A$55:$D$109,3,0)</f>
        <v>6850</v>
      </c>
      <c r="E55" s="93">
        <f>+VLOOKUP(B55,TB!$A$55:$D$109,4,0)</f>
        <v>32417.88</v>
      </c>
      <c r="F55" s="93">
        <f t="shared" si="5"/>
        <v>-25567.88</v>
      </c>
      <c r="G55" s="97">
        <f t="shared" si="7"/>
        <v>-0.7886968549454807</v>
      </c>
    </row>
    <row r="56" spans="1:7" ht="20.149999999999999" customHeight="1">
      <c r="B56" s="66">
        <v>495140</v>
      </c>
      <c r="C56" s="62" t="s">
        <v>208</v>
      </c>
      <c r="D56" s="93">
        <f>+VLOOKUP(B56,TB!$A$55:$D$109,3,0)</f>
        <v>0</v>
      </c>
      <c r="E56" s="93">
        <f>+VLOOKUP(B56,TB!$A$55:$D$109,4,0)</f>
        <v>0</v>
      </c>
      <c r="F56" s="93">
        <f t="shared" si="5"/>
        <v>0</v>
      </c>
      <c r="G56" s="97">
        <f t="shared" si="7"/>
        <v>0</v>
      </c>
    </row>
    <row r="57" spans="1:7" ht="20.149999999999999" hidden="1" customHeight="1">
      <c r="B57" s="66">
        <v>385100</v>
      </c>
      <c r="C57" s="62" t="s">
        <v>236</v>
      </c>
      <c r="D57" s="93">
        <f>+VLOOKUP(B57,TB!$A$55:$D$109,3,0)</f>
        <v>0</v>
      </c>
      <c r="E57" s="93"/>
      <c r="F57" s="93">
        <f t="shared" si="5"/>
        <v>0</v>
      </c>
      <c r="G57" s="97">
        <f t="shared" si="7"/>
        <v>0</v>
      </c>
    </row>
    <row r="58" spans="1:7" ht="20.149999999999999" customHeight="1">
      <c r="C58" s="63" t="s">
        <v>3</v>
      </c>
      <c r="D58" s="94">
        <f>SUM(D24:D57)</f>
        <v>176546.66</v>
      </c>
      <c r="E58" s="94">
        <f>SUM(E24:E57)</f>
        <v>323019.40999999997</v>
      </c>
      <c r="F58" s="94">
        <f>D58-E58</f>
        <v>-146472.74999999997</v>
      </c>
      <c r="G58" s="98">
        <f t="shared" si="2"/>
        <v>-0.45344875715053773</v>
      </c>
    </row>
    <row r="59" spans="1:7" ht="20.149999999999999" hidden="1" customHeight="1">
      <c r="A59" s="89"/>
      <c r="B59" s="65"/>
      <c r="C59" s="60" t="s">
        <v>5</v>
      </c>
      <c r="D59" s="95"/>
      <c r="E59" s="95"/>
      <c r="F59" s="95"/>
      <c r="G59" s="99"/>
    </row>
    <row r="60" spans="1:7" ht="20.149999999999999" hidden="1" customHeight="1">
      <c r="A60" s="66">
        <v>512513</v>
      </c>
      <c r="B60" s="66">
        <v>49220</v>
      </c>
      <c r="C60" s="62" t="s">
        <v>79</v>
      </c>
      <c r="D60" s="93"/>
      <c r="E60" s="93"/>
      <c r="F60" s="93">
        <f t="shared" ref="F60:F64" si="8">+E60-D60</f>
        <v>0</v>
      </c>
      <c r="G60" s="97">
        <f t="shared" si="2"/>
        <v>0</v>
      </c>
    </row>
    <row r="61" spans="1:7" ht="20.149999999999999" hidden="1" customHeight="1">
      <c r="A61" s="66">
        <v>512515</v>
      </c>
      <c r="B61" s="66">
        <v>492316</v>
      </c>
      <c r="C61" s="62" t="s">
        <v>173</v>
      </c>
      <c r="D61" s="93"/>
      <c r="E61" s="93"/>
      <c r="F61" s="93">
        <f t="shared" si="8"/>
        <v>0</v>
      </c>
      <c r="G61" s="97">
        <f t="shared" si="2"/>
        <v>0</v>
      </c>
    </row>
    <row r="62" spans="1:7" ht="20.149999999999999" hidden="1" customHeight="1">
      <c r="A62" s="66">
        <v>512517</v>
      </c>
      <c r="B62" s="66">
        <v>492610</v>
      </c>
      <c r="C62" s="62" t="s">
        <v>174</v>
      </c>
      <c r="D62" s="93"/>
      <c r="E62" s="93"/>
      <c r="F62" s="93">
        <f t="shared" si="8"/>
        <v>0</v>
      </c>
      <c r="G62" s="97">
        <f t="shared" si="2"/>
        <v>0</v>
      </c>
    </row>
    <row r="63" spans="1:7" ht="20.149999999999999" hidden="1" customHeight="1">
      <c r="A63" s="66">
        <v>512518</v>
      </c>
      <c r="B63" s="66">
        <v>495140</v>
      </c>
      <c r="C63" s="62" t="s">
        <v>171</v>
      </c>
      <c r="D63" s="93"/>
      <c r="E63" s="93"/>
      <c r="F63" s="93">
        <f t="shared" si="8"/>
        <v>0</v>
      </c>
      <c r="G63" s="97">
        <f t="shared" si="2"/>
        <v>0</v>
      </c>
    </row>
    <row r="64" spans="1:7" ht="20.149999999999999" hidden="1" customHeight="1">
      <c r="C64" s="62" t="s">
        <v>175</v>
      </c>
      <c r="D64" s="93"/>
      <c r="E64" s="93"/>
      <c r="F64" s="93">
        <f t="shared" si="8"/>
        <v>0</v>
      </c>
      <c r="G64" s="97">
        <f t="shared" si="2"/>
        <v>0</v>
      </c>
    </row>
    <row r="65" spans="1:7" ht="20.149999999999999" hidden="1" customHeight="1">
      <c r="C65" s="63" t="s">
        <v>5</v>
      </c>
      <c r="D65" s="94">
        <f>SUM(D60:D64)</f>
        <v>0</v>
      </c>
      <c r="E65" s="94">
        <f t="shared" ref="E65:F65" si="9">SUM(E60:E64)</f>
        <v>0</v>
      </c>
      <c r="F65" s="94">
        <f t="shared" si="9"/>
        <v>0</v>
      </c>
      <c r="G65" s="98">
        <f t="shared" si="2"/>
        <v>0</v>
      </c>
    </row>
    <row r="66" spans="1:7" ht="20.149999999999999" customHeight="1">
      <c r="A66" s="89"/>
      <c r="C66" s="60" t="s">
        <v>81</v>
      </c>
      <c r="D66" s="95"/>
      <c r="E66" s="95"/>
      <c r="F66" s="95"/>
      <c r="G66" s="99"/>
    </row>
    <row r="67" spans="1:7" ht="20.149999999999999" customHeight="1">
      <c r="A67" s="66">
        <v>512713</v>
      </c>
      <c r="B67" s="66">
        <v>475210</v>
      </c>
      <c r="C67" s="62" t="str">
        <f>VLOOKUP(B67,TB!$A$4:$B$109,2,0)</f>
        <v>Buildings</v>
      </c>
      <c r="D67" s="93">
        <f>+VLOOKUP(B67,TB!$A$55:$D$109,3,0)</f>
        <v>242508.9</v>
      </c>
      <c r="E67" s="93">
        <f>+VLOOKUP(B67,TB!$A$55:$D$109,4,0)</f>
        <v>242508.9</v>
      </c>
      <c r="F67" s="93">
        <f t="shared" ref="F67:F70" si="10">D67-E67</f>
        <v>0</v>
      </c>
      <c r="G67" s="97">
        <f t="shared" ref="G67" si="11">IFERROR(F67/E67,0)</f>
        <v>0</v>
      </c>
    </row>
    <row r="68" spans="1:7" ht="20.149999999999999" customHeight="1">
      <c r="A68" s="66">
        <v>512715</v>
      </c>
      <c r="B68" s="66">
        <v>475220</v>
      </c>
      <c r="C68" s="62" t="str">
        <f>VLOOKUP(B68,TB!$A$4:$B$109,2,0)</f>
        <v>Plant, machinery and equipment</v>
      </c>
      <c r="D68" s="93">
        <f>+VLOOKUP(B68,TB!$A$55:$D$109,3,0)</f>
        <v>272581.73</v>
      </c>
      <c r="E68" s="93">
        <f>+VLOOKUP(B68,TB!$A$55:$D$109,4,0)</f>
        <v>624533.61</v>
      </c>
      <c r="F68" s="93">
        <f t="shared" si="10"/>
        <v>-351951.88</v>
      </c>
      <c r="G68" s="97">
        <f t="shared" ref="G68:G70" si="12">IFERROR(F68/E68,0)</f>
        <v>-0.56354353771288623</v>
      </c>
    </row>
    <row r="69" spans="1:7" ht="20.149999999999999" customHeight="1">
      <c r="A69" s="66">
        <v>512717</v>
      </c>
      <c r="B69" s="66">
        <v>475240</v>
      </c>
      <c r="C69" s="62" t="str">
        <f>VLOOKUP(B69,TB!$A$4:$B$109,2,0)</f>
        <v>Furniture and fixtures</v>
      </c>
      <c r="D69" s="93">
        <f>+VLOOKUP(B69,TB!$A$55:$D$109,3,0)</f>
        <v>3660.98</v>
      </c>
      <c r="E69" s="93">
        <f>+VLOOKUP(B69,TB!$A$55:$D$109,4,0)</f>
        <v>10797.9</v>
      </c>
      <c r="F69" s="93">
        <f t="shared" si="10"/>
        <v>-7136.92</v>
      </c>
      <c r="G69" s="97">
        <f t="shared" si="12"/>
        <v>-0.66095444484575705</v>
      </c>
    </row>
    <row r="70" spans="1:7" ht="20.149999999999999" customHeight="1">
      <c r="A70" s="66">
        <v>512617</v>
      </c>
      <c r="B70" s="66">
        <v>475250</v>
      </c>
      <c r="C70" s="62" t="s">
        <v>171</v>
      </c>
      <c r="D70" s="93">
        <f>+VLOOKUP(B70,TB!$A$55:$D$109,3,0)</f>
        <v>0</v>
      </c>
      <c r="E70" s="93">
        <f>+VLOOKUP(B70,TB!$A$55:$D$109,4,0)</f>
        <v>46740.33</v>
      </c>
      <c r="F70" s="93">
        <f t="shared" si="10"/>
        <v>-46740.33</v>
      </c>
      <c r="G70" s="97">
        <f t="shared" si="12"/>
        <v>-1</v>
      </c>
    </row>
    <row r="71" spans="1:7" ht="20.149999999999999" customHeight="1">
      <c r="C71" s="63" t="s">
        <v>81</v>
      </c>
      <c r="D71" s="94">
        <f>SUM(D67:D70)</f>
        <v>518751.61</v>
      </c>
      <c r="E71" s="94">
        <f>SUM(E67:E70)</f>
        <v>924580.74</v>
      </c>
      <c r="F71" s="94">
        <f>SUM(F67:F70)</f>
        <v>-405829.13</v>
      </c>
      <c r="G71" s="98">
        <f t="shared" ref="G71" si="13">IFERROR(F71/E71,0)</f>
        <v>-0.4389331428210369</v>
      </c>
    </row>
    <row r="73" spans="1:7" ht="20.149999999999999" customHeight="1">
      <c r="E73" s="4"/>
      <c r="F73" s="4"/>
      <c r="G73" s="4"/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I49"/>
  <sheetViews>
    <sheetView showGridLines="0" workbookViewId="0">
      <pane ySplit="7" topLeftCell="A38" activePane="bottomLeft" state="frozen"/>
      <selection activeCell="I21" sqref="I21"/>
      <selection pane="bottomLeft" activeCell="E3" sqref="E3"/>
    </sheetView>
  </sheetViews>
  <sheetFormatPr defaultRowHeight="14.5"/>
  <cols>
    <col min="1" max="1" width="17.81640625" bestFit="1" customWidth="1"/>
    <col min="2" max="2" width="11.81640625" bestFit="1" customWidth="1"/>
    <col min="3" max="3" width="49.453125" customWidth="1"/>
    <col min="4" max="7" width="20.81640625" style="132" customWidth="1"/>
    <col min="9" max="9" width="11.54296875" bestFit="1" customWidth="1"/>
  </cols>
  <sheetData>
    <row r="1" spans="1:9" ht="20.149999999999999" customHeight="1"/>
    <row r="2" spans="1:9" ht="20.149999999999999" customHeight="1"/>
    <row r="3" spans="1:9" ht="20.149999999999999" customHeight="1"/>
    <row r="4" spans="1:9" ht="20.149999999999999" customHeight="1"/>
    <row r="5" spans="1:9" ht="20.149999999999999" customHeight="1">
      <c r="A5" s="272" t="s">
        <v>340</v>
      </c>
      <c r="B5" s="272"/>
      <c r="C5" s="272"/>
      <c r="D5" s="272"/>
      <c r="E5" s="272"/>
    </row>
    <row r="6" spans="1:9" ht="20.149999999999999" customHeight="1"/>
    <row r="7" spans="1:9">
      <c r="A7" s="133" t="s">
        <v>176</v>
      </c>
      <c r="B7" s="133" t="s">
        <v>177</v>
      </c>
      <c r="C7" s="133" t="s">
        <v>178</v>
      </c>
      <c r="D7" s="134" t="s">
        <v>379</v>
      </c>
      <c r="E7" s="134" t="s">
        <v>411</v>
      </c>
      <c r="F7" s="134" t="s">
        <v>233</v>
      </c>
      <c r="G7" s="134" t="s">
        <v>179</v>
      </c>
    </row>
    <row r="8" spans="1:9">
      <c r="A8" s="273" t="s">
        <v>2</v>
      </c>
      <c r="B8" s="3">
        <v>412110</v>
      </c>
      <c r="C8" s="3" t="s">
        <v>165</v>
      </c>
      <c r="D8" s="135">
        <f>_xlfn.IFNA(VLOOKUP(B8,[4]PIVOT!$A:$G,2,0),0)</f>
        <v>3400</v>
      </c>
      <c r="E8" s="135">
        <f>_xlfn.IFNA(VLOOKUP(B8,[4]PIVOT!$A:$G,3,0),0)</f>
        <v>0</v>
      </c>
      <c r="F8" s="135">
        <f>_xlfn.IFNA(VLOOKUP(B8,[4]PIVOT!$A:$G,4,0),0)+_xlfn.IFNA(VLOOKUP(B8,[4]PIVOT!$A:$G,5,0),0)</f>
        <v>0</v>
      </c>
      <c r="G8" s="136">
        <f>+D8-E8-F8</f>
        <v>3400</v>
      </c>
      <c r="I8" s="79"/>
    </row>
    <row r="9" spans="1:9">
      <c r="A9" s="274"/>
      <c r="B9" s="3">
        <v>412121</v>
      </c>
      <c r="C9" s="3" t="s">
        <v>180</v>
      </c>
      <c r="D9" s="135">
        <f>_xlfn.IFNA(VLOOKUP(B9,[4]PIVOT!$A:$G,2,0),0)</f>
        <v>933059.13</v>
      </c>
      <c r="E9" s="135">
        <f>_xlfn.IFNA(VLOOKUP(B9,[4]PIVOT!$A:$G,3,0),0)</f>
        <v>691592.5</v>
      </c>
      <c r="F9" s="135">
        <f>_xlfn.IFNA(VLOOKUP(B9,[4]PIVOT!$A:$G,4,0),0)+_xlfn.IFNA(VLOOKUP(B9,[4]PIVOT!$A:$G,5,0),0)</f>
        <v>0</v>
      </c>
      <c r="G9" s="136">
        <f>+D9-E9-F9</f>
        <v>241466.63</v>
      </c>
      <c r="I9" s="79"/>
    </row>
    <row r="10" spans="1:9">
      <c r="A10" s="274"/>
      <c r="B10" s="3">
        <v>412125</v>
      </c>
      <c r="C10" s="3" t="s">
        <v>181</v>
      </c>
      <c r="D10" s="135">
        <f>_xlfn.IFNA(VLOOKUP(B10,[4]PIVOT!$A:$G,2,0),0)</f>
        <v>522329</v>
      </c>
      <c r="E10" s="135">
        <f>_xlfn.IFNA(VLOOKUP(B10,[4]PIVOT!$A:$G,3,0),0)</f>
        <v>355270.42</v>
      </c>
      <c r="F10" s="135">
        <f>_xlfn.IFNA(VLOOKUP(B10,[4]PIVOT!$A:$G,4,0),0)+_xlfn.IFNA(VLOOKUP(B10,[4]PIVOT!$A:$G,5,0),0)</f>
        <v>0</v>
      </c>
      <c r="G10" s="136">
        <f t="shared" ref="G10:G47" si="0">+D10-E10-F10</f>
        <v>167058.58000000002</v>
      </c>
      <c r="I10" s="79"/>
    </row>
    <row r="11" spans="1:9">
      <c r="A11" s="274"/>
      <c r="B11" s="3">
        <v>412184</v>
      </c>
      <c r="C11" s="3" t="s">
        <v>182</v>
      </c>
      <c r="D11" s="135">
        <f>_xlfn.IFNA(VLOOKUP(B11,[4]PIVOT!$A:$G,2,0),0)</f>
        <v>0</v>
      </c>
      <c r="E11" s="135">
        <f>_xlfn.IFNA(VLOOKUP(B11,[4]PIVOT!$A:$G,3,0),0)</f>
        <v>0</v>
      </c>
      <c r="F11" s="135">
        <f>_xlfn.IFNA(VLOOKUP(B11,[4]PIVOT!$A:$G,4,0),0)+_xlfn.IFNA(VLOOKUP(B11,[4]PIVOT!$A:$G,5,0),0)</f>
        <v>0</v>
      </c>
      <c r="G11" s="136">
        <f>+D11-E11-F11</f>
        <v>0</v>
      </c>
      <c r="I11" s="79"/>
    </row>
    <row r="12" spans="1:9">
      <c r="A12" s="274"/>
      <c r="B12" s="3">
        <v>412521</v>
      </c>
      <c r="C12" s="3" t="s">
        <v>249</v>
      </c>
      <c r="D12" s="135">
        <f>_xlfn.IFNA(VLOOKUP(B12,[4]PIVOT!$A:$G,2,0),0)</f>
        <v>18100</v>
      </c>
      <c r="E12" s="135">
        <f>_xlfn.IFNA(VLOOKUP(B12,[4]PIVOT!$A:$G,3,0),0)</f>
        <v>12000</v>
      </c>
      <c r="F12" s="135">
        <f>_xlfn.IFNA(VLOOKUP(B12,[4]PIVOT!$A:$G,4,0),0)+_xlfn.IFNA(VLOOKUP(B12,[4]PIVOT!$A:$G,5,0),0)</f>
        <v>0</v>
      </c>
      <c r="G12" s="136">
        <f t="shared" ref="G12:G13" si="1">+D12-E12-F12</f>
        <v>6100</v>
      </c>
      <c r="I12" s="79"/>
    </row>
    <row r="13" spans="1:9">
      <c r="A13" s="274"/>
      <c r="B13" s="3">
        <v>412534</v>
      </c>
      <c r="C13" s="3" t="s">
        <v>114</v>
      </c>
      <c r="D13" s="135">
        <f>_xlfn.IFNA(VLOOKUP(B13,[4]PIVOT!$A:$G,2,0),0)</f>
        <v>29731</v>
      </c>
      <c r="E13" s="135">
        <f>_xlfn.IFNA(VLOOKUP(B13,[4]PIVOT!$A:$G,3,0),0)</f>
        <v>21395.5</v>
      </c>
      <c r="F13" s="135">
        <f>_xlfn.IFNA(VLOOKUP(B13,[4]PIVOT!$A:$G,4,0),0)+_xlfn.IFNA(VLOOKUP(B13,[4]PIVOT!$A:$G,5,0),0)</f>
        <v>0</v>
      </c>
      <c r="G13" s="136">
        <f t="shared" si="1"/>
        <v>8335.5</v>
      </c>
      <c r="I13" s="79"/>
    </row>
    <row r="14" spans="1:9">
      <c r="A14" s="274"/>
      <c r="B14" s="3">
        <v>412542</v>
      </c>
      <c r="C14" s="3" t="s">
        <v>183</v>
      </c>
      <c r="D14" s="135">
        <f>_xlfn.IFNA(VLOOKUP(B14,[4]PIVOT!$A:$G,2,0),0)</f>
        <v>0</v>
      </c>
      <c r="E14" s="135">
        <f>_xlfn.IFNA(VLOOKUP(B14,[4]PIVOT!$A:$G,3,0),0)</f>
        <v>0</v>
      </c>
      <c r="F14" s="135">
        <f>_xlfn.IFNA(VLOOKUP(B14,[4]PIVOT!$A:$G,4,0),0)+_xlfn.IFNA(VLOOKUP(B14,[4]PIVOT!$A:$G,5,0),0)</f>
        <v>0</v>
      </c>
      <c r="G14" s="136">
        <f t="shared" si="0"/>
        <v>0</v>
      </c>
      <c r="I14" s="79"/>
    </row>
    <row r="15" spans="1:9">
      <c r="A15" s="274"/>
      <c r="B15" s="3">
        <v>412590</v>
      </c>
      <c r="C15" s="3" t="s">
        <v>189</v>
      </c>
      <c r="D15" s="135">
        <f>_xlfn.IFNA(VLOOKUP(B15,[4]PIVOT!$A:$G,2,0),0)</f>
        <v>10</v>
      </c>
      <c r="E15" s="135">
        <f>_xlfn.IFNA(VLOOKUP(B15,[4]PIVOT!$A:$G,3,0),0)</f>
        <v>0.08</v>
      </c>
      <c r="F15" s="135">
        <f>_xlfn.IFNA(VLOOKUP(B15,[4]PIVOT!$A:$G,4,0),0)+_xlfn.IFNA(VLOOKUP(B15,[4]PIVOT!$A:$G,5,0),0)</f>
        <v>0</v>
      </c>
      <c r="G15" s="136">
        <f t="shared" si="0"/>
        <v>9.92</v>
      </c>
      <c r="I15" s="79"/>
    </row>
    <row r="16" spans="1:9">
      <c r="A16" s="274"/>
      <c r="B16" s="3">
        <v>414120</v>
      </c>
      <c r="C16" s="3" t="s">
        <v>187</v>
      </c>
      <c r="D16" s="135">
        <f>_xlfn.IFNA(VLOOKUP(B16,[4]PIVOT!$A:$G,2,0),0)</f>
        <v>41721.620000000003</v>
      </c>
      <c r="E16" s="135">
        <f>_xlfn.IFNA(VLOOKUP(B16,[4]PIVOT!$A:$G,3,0),0)</f>
        <v>3624.64</v>
      </c>
      <c r="F16" s="135">
        <f>_xlfn.IFNA(VLOOKUP(B16,[4]PIVOT!$A:$G,4,0),0)+_xlfn.IFNA(VLOOKUP(B16,[4]PIVOT!$A:$G,5,0),0)</f>
        <v>0</v>
      </c>
      <c r="G16" s="136">
        <f t="shared" si="0"/>
        <v>38096.980000000003</v>
      </c>
      <c r="I16" s="79"/>
    </row>
    <row r="17" spans="1:9">
      <c r="A17" s="274"/>
      <c r="B17" s="3">
        <v>415110</v>
      </c>
      <c r="C17" s="3" t="s">
        <v>186</v>
      </c>
      <c r="D17" s="135">
        <f>_xlfn.IFNA(VLOOKUP(B17,[4]PIVOT!$A:$G,2,0),0)</f>
        <v>0</v>
      </c>
      <c r="E17" s="135">
        <f>_xlfn.IFNA(VLOOKUP(B17,[4]PIVOT!$A:$G,3,0),0)</f>
        <v>0</v>
      </c>
      <c r="F17" s="135">
        <f>_xlfn.IFNA(VLOOKUP(B17,[4]PIVOT!$A:$G,4,0),0)+_xlfn.IFNA(VLOOKUP(B17,[4]PIVOT!$A:$G,5,0),0)</f>
        <v>0</v>
      </c>
      <c r="G17" s="136">
        <f t="shared" si="0"/>
        <v>0</v>
      </c>
      <c r="I17" s="79"/>
    </row>
    <row r="18" spans="1:9">
      <c r="A18" s="274"/>
      <c r="B18" s="3">
        <v>415220</v>
      </c>
      <c r="C18" s="3" t="s">
        <v>185</v>
      </c>
      <c r="D18" s="135">
        <f>_xlfn.IFNA(VLOOKUP(B18,[4]PIVOT!$A:$G,2,0),0)</f>
        <v>0</v>
      </c>
      <c r="E18" s="135">
        <f>_xlfn.IFNA(VLOOKUP(B18,[4]PIVOT!$A:$G,3,0),0)</f>
        <v>0</v>
      </c>
      <c r="F18" s="135">
        <f>_xlfn.IFNA(VLOOKUP(B18,[4]PIVOT!$A:$G,4,0),0)+_xlfn.IFNA(VLOOKUP(B18,[4]PIVOT!$A:$G,5,0),0)</f>
        <v>0</v>
      </c>
      <c r="G18" s="136">
        <f t="shared" si="0"/>
        <v>0</v>
      </c>
      <c r="I18" s="79"/>
    </row>
    <row r="19" spans="1:9">
      <c r="A19" s="274"/>
      <c r="B19" s="3">
        <v>415320</v>
      </c>
      <c r="C19" s="3" t="s">
        <v>162</v>
      </c>
      <c r="D19" s="135">
        <f>_xlfn.IFNA(VLOOKUP(B19,[4]PIVOT!$A:$G,2,0),0)</f>
        <v>0</v>
      </c>
      <c r="E19" s="135">
        <f>_xlfn.IFNA(VLOOKUP(B19,[4]PIVOT!$A:$G,3,0),0)</f>
        <v>0</v>
      </c>
      <c r="F19" s="135">
        <f>_xlfn.IFNA(VLOOKUP(B19,[4]PIVOT!$A:$G,4,0),0)+_xlfn.IFNA(VLOOKUP(B19,[4]PIVOT!$A:$G,5,0),0)</f>
        <v>0</v>
      </c>
      <c r="G19" s="136">
        <f t="shared" si="0"/>
        <v>0</v>
      </c>
      <c r="I19" s="79"/>
    </row>
    <row r="20" spans="1:9">
      <c r="A20" s="274"/>
      <c r="B20" s="3">
        <v>416110</v>
      </c>
      <c r="C20" s="3" t="s">
        <v>188</v>
      </c>
      <c r="D20" s="135">
        <f>_xlfn.IFNA(VLOOKUP(B20,[4]PIVOT!$A:$G,2,0),0)</f>
        <v>13600</v>
      </c>
      <c r="E20" s="135">
        <f>_xlfn.IFNA(VLOOKUP(B20,[4]PIVOT!$A:$G,3,0),0)</f>
        <v>2293.2800000000002</v>
      </c>
      <c r="F20" s="135">
        <f>_xlfn.IFNA(VLOOKUP(B20,[4]PIVOT!$A:$G,4,0),0)+_xlfn.IFNA(VLOOKUP(B20,[4]PIVOT!$A:$G,5,0),0)</f>
        <v>0</v>
      </c>
      <c r="G20" s="136">
        <f t="shared" si="0"/>
        <v>11306.72</v>
      </c>
      <c r="I20" s="79"/>
    </row>
    <row r="21" spans="1:9">
      <c r="A21" s="274"/>
      <c r="B21" s="3">
        <v>416310</v>
      </c>
      <c r="C21" s="3" t="s">
        <v>184</v>
      </c>
      <c r="D21" s="135">
        <f>_xlfn.IFNA(VLOOKUP(B21,[4]PIVOT!$A:$G,2,0),0)</f>
        <v>64170</v>
      </c>
      <c r="E21" s="135">
        <f>_xlfn.IFNA(VLOOKUP(B21,[4]PIVOT!$A:$G,3,0),0)</f>
        <v>31464.74</v>
      </c>
      <c r="F21" s="135">
        <f>_xlfn.IFNA(VLOOKUP(B21,[4]PIVOT!$A:$G,4,0),0)+_xlfn.IFNA(VLOOKUP(B21,[4]PIVOT!$A:$G,5,0),0)</f>
        <v>0</v>
      </c>
      <c r="G21" s="136">
        <f t="shared" si="0"/>
        <v>32705.26</v>
      </c>
      <c r="I21" s="79"/>
    </row>
    <row r="22" spans="1:9">
      <c r="A22" s="274" t="s">
        <v>3</v>
      </c>
      <c r="B22" s="3">
        <v>420900</v>
      </c>
      <c r="C22" s="3" t="s">
        <v>195</v>
      </c>
      <c r="D22" s="135">
        <f>_xlfn.IFNA(VLOOKUP(B22,[4]PIVOT!$A:$G,2,0),0)</f>
        <v>0</v>
      </c>
      <c r="E22" s="135">
        <f>_xlfn.IFNA(VLOOKUP(B22,[4]PIVOT!$A:$G,3,0),0)</f>
        <v>0</v>
      </c>
      <c r="F22" s="135">
        <f>_xlfn.IFNA(VLOOKUP(B22,[4]PIVOT!$A:$G,4,0),0)+_xlfn.IFNA(VLOOKUP(B22,[4]PIVOT!$A:$G,5,0),0)</f>
        <v>0</v>
      </c>
      <c r="G22" s="136">
        <f t="shared" si="0"/>
        <v>0</v>
      </c>
      <c r="I22" s="79"/>
    </row>
    <row r="23" spans="1:9">
      <c r="A23" s="274"/>
      <c r="B23" s="3">
        <v>421000</v>
      </c>
      <c r="C23" s="3" t="s">
        <v>194</v>
      </c>
      <c r="D23" s="135">
        <f>_xlfn.IFNA(VLOOKUP(B23,[4]PIVOT!$A:$G,2,0),0)</f>
        <v>0</v>
      </c>
      <c r="E23" s="135">
        <f>_xlfn.IFNA(VLOOKUP(B23,[4]PIVOT!$A:$G,3,0),0)</f>
        <v>0</v>
      </c>
      <c r="F23" s="135">
        <f>_xlfn.IFNA(VLOOKUP(B23,[4]PIVOT!$A:$G,4,0),0)+_xlfn.IFNA(VLOOKUP(B23,[4]PIVOT!$A:$G,5,0),0)</f>
        <v>0</v>
      </c>
      <c r="G23" s="136">
        <f t="shared" si="0"/>
        <v>0</v>
      </c>
      <c r="I23" s="79"/>
    </row>
    <row r="24" spans="1:9">
      <c r="A24" s="274"/>
      <c r="B24" s="3">
        <v>425100</v>
      </c>
      <c r="C24" s="3" t="s">
        <v>192</v>
      </c>
      <c r="D24" s="135">
        <f>_xlfn.IFNA(VLOOKUP(B24,[4]PIVOT!$A:$G,2,0),0)</f>
        <v>0</v>
      </c>
      <c r="E24" s="135">
        <f>_xlfn.IFNA(VLOOKUP(B24,[4]PIVOT!$A:$G,3,0),0)</f>
        <v>0</v>
      </c>
      <c r="F24" s="135">
        <f>_xlfn.IFNA(VLOOKUP(B24,[4]PIVOT!$A:$G,4,0),0)+_xlfn.IFNA(VLOOKUP(B24,[4]PIVOT!$A:$G,5,0),0)</f>
        <v>0</v>
      </c>
      <c r="G24" s="136">
        <f t="shared" si="0"/>
        <v>0</v>
      </c>
      <c r="I24" s="79"/>
    </row>
    <row r="25" spans="1:9">
      <c r="A25" s="274"/>
      <c r="B25" s="3">
        <v>425300</v>
      </c>
      <c r="C25" s="3" t="s">
        <v>196</v>
      </c>
      <c r="D25" s="135">
        <f>_xlfn.IFNA(VLOOKUP(B25,[4]PIVOT!$A:$G,2,0),0)</f>
        <v>0</v>
      </c>
      <c r="E25" s="135">
        <f>_xlfn.IFNA(VLOOKUP(B25,[4]PIVOT!$A:$G,3,0),0)</f>
        <v>0</v>
      </c>
      <c r="F25" s="135">
        <f>_xlfn.IFNA(VLOOKUP(B25,[4]PIVOT!$A:$G,4,0),0)+_xlfn.IFNA(VLOOKUP(B25,[4]PIVOT!$A:$G,5,0),0)</f>
        <v>0</v>
      </c>
      <c r="G25" s="136">
        <f t="shared" si="0"/>
        <v>0</v>
      </c>
      <c r="I25" s="79"/>
    </row>
    <row r="26" spans="1:9">
      <c r="A26" s="274"/>
      <c r="B26" s="3">
        <v>425510</v>
      </c>
      <c r="C26" s="3" t="s">
        <v>193</v>
      </c>
      <c r="D26" s="135">
        <f>_xlfn.IFNA(VLOOKUP(B26,[4]PIVOT!$A:$G,2,0),0)</f>
        <v>10000</v>
      </c>
      <c r="E26" s="135">
        <f>_xlfn.IFNA(VLOOKUP(B26,[4]PIVOT!$A:$G,3,0),0)</f>
        <v>350</v>
      </c>
      <c r="F26" s="135">
        <f>_xlfn.IFNA(VLOOKUP(B26,[4]PIVOT!$A:$G,4,0),0)+_xlfn.IFNA(VLOOKUP(B26,[4]PIVOT!$A:$G,5,0),0)</f>
        <v>0</v>
      </c>
      <c r="G26" s="136">
        <f t="shared" si="0"/>
        <v>9650</v>
      </c>
      <c r="I26" s="79"/>
    </row>
    <row r="27" spans="1:9">
      <c r="A27" s="274"/>
      <c r="B27" s="3">
        <v>426610</v>
      </c>
      <c r="C27" s="3" t="s">
        <v>190</v>
      </c>
      <c r="D27" s="135">
        <f>_xlfn.IFNA(VLOOKUP(B27,[4]PIVOT!$A:$G,2,0),0)</f>
        <v>0</v>
      </c>
      <c r="E27" s="135">
        <f>_xlfn.IFNA(VLOOKUP(B27,[4]PIVOT!$A:$G,3,0),0)</f>
        <v>0</v>
      </c>
      <c r="F27" s="135">
        <f>_xlfn.IFNA(VLOOKUP(B27,[4]PIVOT!$A:$G,4,0),0)+_xlfn.IFNA(VLOOKUP(B27,[4]PIVOT!$A:$G,5,0),0)</f>
        <v>0</v>
      </c>
      <c r="G27" s="136">
        <f t="shared" si="0"/>
        <v>0</v>
      </c>
      <c r="I27" s="79"/>
    </row>
    <row r="28" spans="1:9">
      <c r="A28" s="274"/>
      <c r="B28" s="3">
        <v>426900</v>
      </c>
      <c r="C28" s="3" t="s">
        <v>163</v>
      </c>
      <c r="D28" s="135">
        <f>_xlfn.IFNA(VLOOKUP(B28,[4]PIVOT!$A:$G,2,0),0)</f>
        <v>0</v>
      </c>
      <c r="E28" s="135">
        <f>_xlfn.IFNA(VLOOKUP(B28,[4]PIVOT!$A:$G,3,0),0)</f>
        <v>0</v>
      </c>
      <c r="F28" s="135">
        <f>_xlfn.IFNA(VLOOKUP(B28,[4]PIVOT!$A:$G,4,0),0)+_xlfn.IFNA(VLOOKUP(B28,[4]PIVOT!$A:$G,5,0),0)</f>
        <v>0</v>
      </c>
      <c r="G28" s="136">
        <f t="shared" si="0"/>
        <v>0</v>
      </c>
      <c r="I28" s="79"/>
    </row>
    <row r="29" spans="1:9">
      <c r="A29" s="274"/>
      <c r="B29" s="3">
        <v>425741</v>
      </c>
      <c r="C29" s="3" t="s">
        <v>268</v>
      </c>
      <c r="D29" s="135">
        <f>_xlfn.IFNA(VLOOKUP(B29,[4]PIVOT!$A:$G,2,0),0)</f>
        <v>0</v>
      </c>
      <c r="E29" s="135">
        <f>_xlfn.IFNA(VLOOKUP(B29,[4]PIVOT!$A:$G,3,0),0)</f>
        <v>0</v>
      </c>
      <c r="F29" s="135">
        <f>_xlfn.IFNA(VLOOKUP(B29,[4]PIVOT!$A:$G,4,0),0)+_xlfn.IFNA(VLOOKUP(B29,[4]PIVOT!$A:$G,5,0),0)</f>
        <v>0</v>
      </c>
      <c r="G29" s="136">
        <f t="shared" si="0"/>
        <v>0</v>
      </c>
      <c r="I29" s="79"/>
    </row>
    <row r="30" spans="1:9">
      <c r="A30" s="274"/>
      <c r="B30" s="3">
        <v>425770</v>
      </c>
      <c r="C30" s="3" t="s">
        <v>219</v>
      </c>
      <c r="D30" s="135">
        <f>_xlfn.IFNA(VLOOKUP(B30,[4]PIVOT!$A:$G,2,0),0)</f>
        <v>0</v>
      </c>
      <c r="E30" s="135">
        <f>_xlfn.IFNA(VLOOKUP(B30,[4]PIVOT!$A:$G,3,0),0)</f>
        <v>0</v>
      </c>
      <c r="F30" s="135">
        <f>_xlfn.IFNA(VLOOKUP(B30,[4]PIVOT!$A:$G,4,0),0)+_xlfn.IFNA(VLOOKUP(B30,[4]PIVOT!$A:$G,5,0),0)</f>
        <v>0</v>
      </c>
      <c r="G30" s="136">
        <f t="shared" si="0"/>
        <v>0</v>
      </c>
      <c r="I30" s="79"/>
    </row>
    <row r="31" spans="1:9">
      <c r="A31" s="274"/>
      <c r="B31" s="3">
        <v>428090</v>
      </c>
      <c r="C31" s="3" t="s">
        <v>164</v>
      </c>
      <c r="D31" s="135">
        <f>_xlfn.IFNA(VLOOKUP(B31,[4]PIVOT!$A:$G,2,0),0)</f>
        <v>0</v>
      </c>
      <c r="E31" s="135">
        <f>_xlfn.IFNA(VLOOKUP(B31,[4]PIVOT!$A:$G,3,0),0)</f>
        <v>0</v>
      </c>
      <c r="F31" s="135">
        <f>_xlfn.IFNA(VLOOKUP(B31,[4]PIVOT!$A:$G,4,0),0)+_xlfn.IFNA(VLOOKUP(B31,[4]PIVOT!$A:$G,5,0),0)</f>
        <v>0</v>
      </c>
      <c r="G31" s="136">
        <f t="shared" si="0"/>
        <v>0</v>
      </c>
      <c r="I31" s="79"/>
    </row>
    <row r="32" spans="1:9">
      <c r="A32" s="274"/>
      <c r="B32" s="3">
        <v>428200</v>
      </c>
      <c r="C32" s="3" t="s">
        <v>198</v>
      </c>
      <c r="D32" s="135">
        <f>_xlfn.IFNA(VLOOKUP(B32,[4]PIVOT!$A:$G,2,0),0)</f>
        <v>0</v>
      </c>
      <c r="E32" s="135">
        <f>_xlfn.IFNA(VLOOKUP(B32,[4]PIVOT!$A:$G,3,0),0)</f>
        <v>0</v>
      </c>
      <c r="F32" s="135">
        <f>_xlfn.IFNA(VLOOKUP(B32,[4]PIVOT!$A:$G,4,0),0)+_xlfn.IFNA(VLOOKUP(B32,[4]PIVOT!$A:$G,5,0),0)</f>
        <v>0</v>
      </c>
      <c r="G32" s="136">
        <f t="shared" si="0"/>
        <v>0</v>
      </c>
      <c r="I32" s="79"/>
    </row>
    <row r="33" spans="1:9">
      <c r="A33" s="274"/>
      <c r="B33" s="3">
        <v>428400</v>
      </c>
      <c r="C33" s="3" t="s">
        <v>262</v>
      </c>
      <c r="D33" s="135">
        <f>_xlfn.IFNA(VLOOKUP(B33,[4]PIVOT!$A:$G,2,0),0)</f>
        <v>53835</v>
      </c>
      <c r="E33" s="135">
        <f>_xlfn.IFNA(VLOOKUP(B33,[4]PIVOT!$A:$G,3,0),0)</f>
        <v>0</v>
      </c>
      <c r="F33" s="135">
        <f>_xlfn.IFNA(VLOOKUP(B33,[4]PIVOT!$A:$G,4,0),0)+_xlfn.IFNA(VLOOKUP(B33,[4]PIVOT!$A:$G,5,0),0)</f>
        <v>0</v>
      </c>
      <c r="G33" s="136">
        <f t="shared" si="0"/>
        <v>53835</v>
      </c>
      <c r="I33" s="79"/>
    </row>
    <row r="34" spans="1:9">
      <c r="A34" s="274"/>
      <c r="B34" s="3">
        <v>429900</v>
      </c>
      <c r="C34" s="3" t="s">
        <v>199</v>
      </c>
      <c r="D34" s="135">
        <f>_xlfn.IFNA(VLOOKUP(B34,[4]PIVOT!$A:$G,2,0),0)</f>
        <v>0</v>
      </c>
      <c r="E34" s="135">
        <f>_xlfn.IFNA(VLOOKUP(B34,[4]PIVOT!$A:$G,3,0),0)</f>
        <v>0</v>
      </c>
      <c r="F34" s="135">
        <f>_xlfn.IFNA(VLOOKUP(B34,[4]PIVOT!$A:$G,4,0),0)+_xlfn.IFNA(VLOOKUP(B34,[4]PIVOT!$A:$G,5,0),0)</f>
        <v>0</v>
      </c>
      <c r="G34" s="136">
        <f t="shared" si="0"/>
        <v>0</v>
      </c>
      <c r="I34" s="79"/>
    </row>
    <row r="35" spans="1:9">
      <c r="A35" s="274"/>
      <c r="B35" s="3">
        <v>430330</v>
      </c>
      <c r="C35" s="3" t="s">
        <v>191</v>
      </c>
      <c r="D35" s="135">
        <f>_xlfn.IFNA(VLOOKUP(B35,[4]PIVOT!$A:$G,2,0),0)</f>
        <v>0</v>
      </c>
      <c r="E35" s="135">
        <f>_xlfn.IFNA(VLOOKUP(B35,[4]PIVOT!$A:$G,3,0),0)</f>
        <v>0</v>
      </c>
      <c r="F35" s="135">
        <f>_xlfn.IFNA(VLOOKUP(B35,[4]PIVOT!$A:$G,4,0),0)+_xlfn.IFNA(VLOOKUP(B35,[4]PIVOT!$A:$G,5,0),0)</f>
        <v>0</v>
      </c>
      <c r="G35" s="136">
        <f t="shared" si="0"/>
        <v>0</v>
      </c>
      <c r="I35" s="79"/>
    </row>
    <row r="36" spans="1:9">
      <c r="A36" s="274"/>
      <c r="B36" s="3">
        <v>432120</v>
      </c>
      <c r="C36" s="3" t="s">
        <v>200</v>
      </c>
      <c r="D36" s="135">
        <f>_xlfn.IFNA(VLOOKUP(B36,[4]PIVOT!$A:$G,2,0),0)</f>
        <v>0</v>
      </c>
      <c r="E36" s="135">
        <f>_xlfn.IFNA(VLOOKUP(B36,[4]PIVOT!$A:$G,3,0),0)</f>
        <v>0</v>
      </c>
      <c r="F36" s="135">
        <f>_xlfn.IFNA(VLOOKUP(B36,[4]PIVOT!$A:$G,4,0),0)+_xlfn.IFNA(VLOOKUP(B36,[4]PIVOT!$A:$G,5,0),0)</f>
        <v>0</v>
      </c>
      <c r="G36" s="136">
        <f t="shared" si="0"/>
        <v>0</v>
      </c>
      <c r="I36" s="79"/>
    </row>
    <row r="37" spans="1:9">
      <c r="A37" s="274"/>
      <c r="B37" s="3">
        <v>432690</v>
      </c>
      <c r="C37" s="3" t="s">
        <v>201</v>
      </c>
      <c r="D37" s="135">
        <f>_xlfn.IFNA(VLOOKUP(B37,[4]PIVOT!$A:$G,2,0),0)</f>
        <v>0</v>
      </c>
      <c r="E37" s="135">
        <f>_xlfn.IFNA(VLOOKUP(B37,[4]PIVOT!$A:$G,3,0),0)</f>
        <v>0</v>
      </c>
      <c r="F37" s="135">
        <f>_xlfn.IFNA(VLOOKUP(B37,[4]PIVOT!$A:$G,4,0),0)+_xlfn.IFNA(VLOOKUP(B37,[4]PIVOT!$A:$G,5,0),0)</f>
        <v>0</v>
      </c>
      <c r="G37" s="136">
        <f t="shared" si="0"/>
        <v>0</v>
      </c>
      <c r="I37" s="79"/>
    </row>
    <row r="38" spans="1:9">
      <c r="A38" s="274"/>
      <c r="B38" s="3">
        <v>435350</v>
      </c>
      <c r="C38" s="3" t="s">
        <v>202</v>
      </c>
      <c r="D38" s="135">
        <f>_xlfn.IFNA(VLOOKUP(B38,[4]PIVOT!$A:$G,2,0),0)</f>
        <v>0</v>
      </c>
      <c r="E38" s="135">
        <f>_xlfn.IFNA(VLOOKUP(B38,[4]PIVOT!$A:$G,3,0),0)</f>
        <v>0</v>
      </c>
      <c r="F38" s="135">
        <f>_xlfn.IFNA(VLOOKUP(B38,[4]PIVOT!$A:$G,4,0),0)+_xlfn.IFNA(VLOOKUP(B38,[4]PIVOT!$A:$G,5,0),0)</f>
        <v>0</v>
      </c>
      <c r="G38" s="136">
        <f t="shared" si="0"/>
        <v>0</v>
      </c>
      <c r="I38" s="79"/>
    </row>
    <row r="39" spans="1:9">
      <c r="A39" s="274"/>
      <c r="B39" s="3">
        <v>435508</v>
      </c>
      <c r="C39" s="3" t="s">
        <v>203</v>
      </c>
      <c r="D39" s="135">
        <f>_xlfn.IFNA(VLOOKUP(B39,[4]PIVOT!$A:$G,2,0),0)</f>
        <v>190720</v>
      </c>
      <c r="E39" s="135">
        <f>_xlfn.IFNA(VLOOKUP(B39,[4]PIVOT!$A:$G,3,0),0)</f>
        <v>169384.76</v>
      </c>
      <c r="F39" s="135">
        <f>_xlfn.IFNA(VLOOKUP(B39,[4]PIVOT!$A:$G,4,0),0)+_xlfn.IFNA(VLOOKUP(B39,[4]PIVOT!$A:$G,5,0),0)</f>
        <v>-44685</v>
      </c>
      <c r="G39" s="136">
        <f t="shared" si="0"/>
        <v>66020.239999999991</v>
      </c>
      <c r="I39" s="79"/>
    </row>
    <row r="40" spans="1:9">
      <c r="A40" s="274"/>
      <c r="B40" s="3">
        <v>420130</v>
      </c>
      <c r="C40" s="3" t="s">
        <v>234</v>
      </c>
      <c r="D40" s="135">
        <f>_xlfn.IFNA(VLOOKUP(B40,[4]PIVOT!$A:$G,2,0),0)</f>
        <v>0</v>
      </c>
      <c r="E40" s="135">
        <f>_xlfn.IFNA(VLOOKUP(B40,[4]PIVOT!$A:$G,3,0),0)</f>
        <v>0</v>
      </c>
      <c r="F40" s="135">
        <f>_xlfn.IFNA(VLOOKUP(B40,[4]PIVOT!$A:$G,4,0),0)+_xlfn.IFNA(VLOOKUP(B40,[4]PIVOT!$A:$G,5,0),0)</f>
        <v>0</v>
      </c>
      <c r="G40" s="136">
        <f t="shared" ref="G40" si="2">+D40-E40-F40</f>
        <v>0</v>
      </c>
      <c r="I40" s="79"/>
    </row>
    <row r="41" spans="1:9">
      <c r="A41" s="274"/>
      <c r="B41" s="3">
        <v>436110</v>
      </c>
      <c r="C41" s="3" t="s">
        <v>235</v>
      </c>
      <c r="D41" s="135">
        <f>_xlfn.IFNA(VLOOKUP(B41,[4]PIVOT!$A:$G,2,0),0)</f>
        <v>0</v>
      </c>
      <c r="E41" s="135">
        <f>_xlfn.IFNA(VLOOKUP(B41,[4]PIVOT!$A:$G,3,0),0)</f>
        <v>0</v>
      </c>
      <c r="F41" s="135">
        <f>_xlfn.IFNA(VLOOKUP(B41,[4]PIVOT!$A:$G,4,0),0)+_xlfn.IFNA(VLOOKUP(B41,[4]PIVOT!$A:$G,5,0),0)</f>
        <v>0</v>
      </c>
      <c r="G41" s="136">
        <f t="shared" ref="G41" si="3">+D41-E41-F41</f>
        <v>0</v>
      </c>
      <c r="I41" s="79"/>
    </row>
    <row r="42" spans="1:9">
      <c r="A42" s="274"/>
      <c r="B42" s="3">
        <v>435910</v>
      </c>
      <c r="C42" s="3" t="s">
        <v>204</v>
      </c>
      <c r="D42" s="135">
        <f>_xlfn.IFNA(VLOOKUP(B42,[4]PIVOT!$A:$G,2,0),0)</f>
        <v>0</v>
      </c>
      <c r="E42" s="135">
        <f>_xlfn.IFNA(VLOOKUP(B42,[4]PIVOT!$A:$G,3,0),0)</f>
        <v>0</v>
      </c>
      <c r="F42" s="135">
        <f>_xlfn.IFNA(VLOOKUP(B42,[4]PIVOT!$A:$G,4,0),0)+_xlfn.IFNA(VLOOKUP(B42,[4]PIVOT!$A:$G,5,0),0)</f>
        <v>0</v>
      </c>
      <c r="G42" s="136">
        <f t="shared" si="0"/>
        <v>0</v>
      </c>
      <c r="I42" s="79"/>
    </row>
    <row r="43" spans="1:9">
      <c r="A43" s="273" t="s">
        <v>5</v>
      </c>
      <c r="B43" s="3">
        <v>492200</v>
      </c>
      <c r="C43" s="3" t="s">
        <v>205</v>
      </c>
      <c r="D43" s="135">
        <f>_xlfn.IFNA(VLOOKUP(B43,[4]PIVOT!$A:$G,2,0),0)</f>
        <v>0</v>
      </c>
      <c r="E43" s="135">
        <f>_xlfn.IFNA(VLOOKUP(B43,[4]PIVOT!$A:$G,3,0),0)</f>
        <v>0</v>
      </c>
      <c r="F43" s="135">
        <f>_xlfn.IFNA(VLOOKUP(B43,[4]PIVOT!$A:$G,4,0),0)+_xlfn.IFNA(VLOOKUP(B43,[4]PIVOT!$A:$G,5,0),0)</f>
        <v>0</v>
      </c>
      <c r="G43" s="136">
        <f t="shared" si="0"/>
        <v>0</v>
      </c>
      <c r="I43" s="79"/>
    </row>
    <row r="44" spans="1:9">
      <c r="A44" s="274"/>
      <c r="B44" s="3">
        <v>492308</v>
      </c>
      <c r="C44" s="3" t="s">
        <v>206</v>
      </c>
      <c r="D44" s="135">
        <f>_xlfn.IFNA(VLOOKUP(B44,[4]PIVOT!$A:$G,2,0),0)</f>
        <v>0</v>
      </c>
      <c r="E44" s="135">
        <f>_xlfn.IFNA(VLOOKUP(B44,[4]PIVOT!$A:$G,3,0),0)</f>
        <v>0</v>
      </c>
      <c r="F44" s="135">
        <f>_xlfn.IFNA(VLOOKUP(B44,[4]PIVOT!$A:$G,4,0),0)+_xlfn.IFNA(VLOOKUP(B44,[4]PIVOT!$A:$G,5,0),0)</f>
        <v>0</v>
      </c>
      <c r="G44" s="136">
        <f t="shared" si="0"/>
        <v>0</v>
      </c>
      <c r="I44" s="79"/>
    </row>
    <row r="45" spans="1:9">
      <c r="A45" s="274"/>
      <c r="B45" s="3">
        <v>492316</v>
      </c>
      <c r="C45" s="3" t="s">
        <v>197</v>
      </c>
      <c r="D45" s="135">
        <f>_xlfn.IFNA(VLOOKUP(B45,[4]PIVOT!$A:$G,2,0),0)</f>
        <v>66900</v>
      </c>
      <c r="E45" s="135">
        <f>_xlfn.IFNA(VLOOKUP(B45,[4]PIVOT!$A:$G,3,0),0)</f>
        <v>140198</v>
      </c>
      <c r="F45" s="135">
        <f>_xlfn.IFNA(VLOOKUP(B45,[4]PIVOT!$A:$G,4,0),0)+_xlfn.IFNA(VLOOKUP(B45,[4]PIVOT!$A:$G,5,0),0)</f>
        <v>-129789</v>
      </c>
      <c r="G45" s="136">
        <f t="shared" si="0"/>
        <v>56491</v>
      </c>
      <c r="I45" s="79"/>
    </row>
    <row r="46" spans="1:9">
      <c r="A46" s="274"/>
      <c r="B46" s="3">
        <v>492610</v>
      </c>
      <c r="C46" s="3" t="s">
        <v>207</v>
      </c>
      <c r="D46" s="135">
        <f>_xlfn.IFNA(VLOOKUP(B46,[4]PIVOT!$A:$G,2,0),0)</f>
        <v>0</v>
      </c>
      <c r="E46" s="135">
        <f>_xlfn.IFNA(VLOOKUP(B46,[4]PIVOT!$A:$G,3,0),0)</f>
        <v>0</v>
      </c>
      <c r="F46" s="135">
        <f>_xlfn.IFNA(VLOOKUP(B46,[4]PIVOT!$A:$G,4,0),0)+_xlfn.IFNA(VLOOKUP(B46,[4]PIVOT!$A:$G,5,0),0)</f>
        <v>0</v>
      </c>
      <c r="G46" s="136">
        <f t="shared" si="0"/>
        <v>0</v>
      </c>
      <c r="I46" s="79"/>
    </row>
    <row r="47" spans="1:9">
      <c r="A47" s="275"/>
      <c r="B47" s="3">
        <v>495140</v>
      </c>
      <c r="C47" s="3" t="s">
        <v>208</v>
      </c>
      <c r="D47" s="135">
        <f>_xlfn.IFNA(VLOOKUP(B47,[4]PIVOT!$A:$G,2,0),0)</f>
        <v>0</v>
      </c>
      <c r="E47" s="135">
        <f>_xlfn.IFNA(VLOOKUP(B47,[4]PIVOT!$A:$G,3,0),0)</f>
        <v>0</v>
      </c>
      <c r="F47" s="135">
        <f>_xlfn.IFNA(VLOOKUP(B47,[4]PIVOT!$A:$G,4,0),0)+_xlfn.IFNA(VLOOKUP(B47,[4]PIVOT!$A:$G,5,0),0)</f>
        <v>0</v>
      </c>
      <c r="G47" s="136">
        <f t="shared" si="0"/>
        <v>0</v>
      </c>
      <c r="I47" s="79"/>
    </row>
    <row r="48" spans="1:9" ht="20.149999999999999" customHeight="1">
      <c r="A48" s="137" t="s">
        <v>60</v>
      </c>
      <c r="B48" s="137"/>
      <c r="C48" s="137"/>
      <c r="D48" s="138">
        <f>SUM(D8:D47)</f>
        <v>1947575.75</v>
      </c>
      <c r="E48" s="138">
        <f>SUM(E8:E47)</f>
        <v>1427573.92</v>
      </c>
      <c r="F48" s="138">
        <f>SUM(F8:F47)</f>
        <v>-174474</v>
      </c>
      <c r="G48" s="138">
        <f>SUM(G8:G47)</f>
        <v>694475.83</v>
      </c>
    </row>
    <row r="49" spans="4:7">
      <c r="D49" s="132">
        <f>D48-[4]SYSTEM!$F$32</f>
        <v>0</v>
      </c>
      <c r="E49" s="132">
        <f>E48-[4]SYSTEM!$H$32</f>
        <v>0</v>
      </c>
      <c r="F49" s="132">
        <f>F48-[4]SYSTEM!$I$32-[4]SYSTEM!$J$32-[4]SYSTEM!$K$32</f>
        <v>0</v>
      </c>
      <c r="G49" s="132">
        <f>G48-[4]SYSTEM!$L$32</f>
        <v>0</v>
      </c>
    </row>
  </sheetData>
  <mergeCells count="4">
    <mergeCell ref="A5:E5"/>
    <mergeCell ref="A8:A21"/>
    <mergeCell ref="A22:A42"/>
    <mergeCell ref="A43:A4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E17"/>
  <sheetViews>
    <sheetView showGridLines="0" workbookViewId="0">
      <selection activeCell="D8" sqref="D8"/>
    </sheetView>
  </sheetViews>
  <sheetFormatPr defaultRowHeight="20.149999999999999" customHeight="1"/>
  <cols>
    <col min="1" max="1" width="4.54296875" customWidth="1"/>
    <col min="2" max="2" width="47.81640625" customWidth="1"/>
    <col min="3" max="3" width="21" style="4" customWidth="1"/>
    <col min="4" max="5" width="15.81640625" style="4" customWidth="1"/>
    <col min="6" max="6" width="11.54296875" bestFit="1" customWidth="1"/>
  </cols>
  <sheetData>
    <row r="1" spans="1:5" ht="26">
      <c r="A1" s="1"/>
      <c r="D1" s="4" t="s">
        <v>342</v>
      </c>
    </row>
    <row r="2" spans="1:5" ht="26">
      <c r="A2" s="1"/>
    </row>
    <row r="3" spans="1:5" ht="20.149999999999999" customHeight="1">
      <c r="A3" s="2" t="s">
        <v>341</v>
      </c>
    </row>
    <row r="4" spans="1:5" ht="20.149999999999999" customHeight="1">
      <c r="A4" s="2"/>
    </row>
    <row r="5" spans="1:5" ht="20.149999999999999" customHeight="1">
      <c r="A5" s="2"/>
    </row>
    <row r="6" spans="1:5" ht="20.149999999999999" customHeight="1">
      <c r="A6" s="2"/>
    </row>
    <row r="7" spans="1:5" ht="20.149999999999999" customHeight="1">
      <c r="A7" s="6" t="s">
        <v>100</v>
      </c>
      <c r="C7" s="77"/>
    </row>
    <row r="8" spans="1:5" ht="14.5">
      <c r="B8" s="13" t="s">
        <v>9</v>
      </c>
      <c r="C8" s="5" t="s">
        <v>343</v>
      </c>
      <c r="D8" s="5" t="s">
        <v>10</v>
      </c>
      <c r="E8" s="5" t="s">
        <v>11</v>
      </c>
    </row>
    <row r="9" spans="1:5" ht="20.149999999999999" customHeight="1">
      <c r="B9" s="3" t="s">
        <v>12</v>
      </c>
      <c r="C9" s="10"/>
      <c r="D9" s="10">
        <f>+'In Kind Calculation'!E14</f>
        <v>301581.00999999995</v>
      </c>
      <c r="E9" s="10">
        <f>+C9-D9</f>
        <v>-301581.00999999995</v>
      </c>
    </row>
    <row r="10" spans="1:5" ht="20.149999999999999" customHeight="1">
      <c r="B10" s="3" t="s">
        <v>13</v>
      </c>
      <c r="C10" s="10"/>
      <c r="D10" s="10">
        <f>+'In Kind Calculation'!E26</f>
        <v>1110480</v>
      </c>
      <c r="E10" s="10">
        <f>+C10-D10</f>
        <v>-1110480</v>
      </c>
    </row>
    <row r="11" spans="1:5" ht="20.149999999999999" customHeight="1">
      <c r="B11" s="3" t="s">
        <v>14</v>
      </c>
      <c r="C11" s="10"/>
      <c r="D11" s="10">
        <f>+'In Kind Calculation'!E37</f>
        <v>59428.32</v>
      </c>
      <c r="E11" s="10">
        <f>+C11-D11</f>
        <v>-59428.32</v>
      </c>
    </row>
    <row r="12" spans="1:5" ht="20.149999999999999" customHeight="1">
      <c r="B12" s="3" t="s">
        <v>15</v>
      </c>
      <c r="C12" s="10"/>
      <c r="D12" s="10">
        <f>+'In Kind Calculation'!E44</f>
        <v>0</v>
      </c>
      <c r="E12" s="10">
        <f>+C12-D12</f>
        <v>0</v>
      </c>
    </row>
    <row r="13" spans="1:5" ht="20.149999999999999" customHeight="1">
      <c r="B13" s="68" t="s">
        <v>4</v>
      </c>
      <c r="C13" s="69">
        <v>200000</v>
      </c>
      <c r="D13" s="69">
        <f>SUM(D9:D12)</f>
        <v>1471489.33</v>
      </c>
      <c r="E13" s="69">
        <f>SUM(E9:E12)</f>
        <v>-1471489.33</v>
      </c>
    </row>
    <row r="14" spans="1:5" ht="20.149999999999999" customHeight="1">
      <c r="B14" s="15"/>
      <c r="C14" s="16"/>
      <c r="D14" s="16"/>
      <c r="E14" s="16"/>
    </row>
    <row r="15" spans="1:5" ht="20.149999999999999" customHeight="1">
      <c r="A15" s="6" t="s">
        <v>8</v>
      </c>
    </row>
    <row r="16" spans="1:5" ht="20.149999999999999" customHeight="1">
      <c r="A16">
        <v>1</v>
      </c>
      <c r="B16" t="s">
        <v>284</v>
      </c>
    </row>
    <row r="17" spans="1:2" ht="20.149999999999999" customHeight="1">
      <c r="A17">
        <v>2</v>
      </c>
      <c r="B17" t="s">
        <v>285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4"/>
  <sheetViews>
    <sheetView showGridLines="0" topLeftCell="A34" workbookViewId="0">
      <selection activeCell="E54" sqref="E54"/>
    </sheetView>
  </sheetViews>
  <sheetFormatPr defaultRowHeight="20.149999999999999" customHeight="1"/>
  <cols>
    <col min="1" max="1" width="4.54296875" customWidth="1"/>
    <col min="2" max="2" width="26.81640625" customWidth="1"/>
    <col min="3" max="3" width="13.453125" customWidth="1"/>
    <col min="4" max="4" width="13.1796875" style="143" customWidth="1"/>
    <col min="5" max="5" width="30.81640625" style="4" customWidth="1"/>
    <col min="7" max="7" width="10.54296875" bestFit="1" customWidth="1"/>
  </cols>
  <sheetData>
    <row r="1" spans="1:7" ht="26">
      <c r="A1" s="1"/>
    </row>
    <row r="2" spans="1:7" ht="26">
      <c r="A2" s="1"/>
    </row>
    <row r="3" spans="1:7" ht="20.149999999999999" customHeight="1">
      <c r="A3" s="2" t="s">
        <v>16</v>
      </c>
    </row>
    <row r="4" spans="1:7" ht="20.149999999999999" customHeight="1">
      <c r="A4" s="2"/>
    </row>
    <row r="5" spans="1:7" ht="20.149999999999999" customHeight="1">
      <c r="A5" s="6" t="s">
        <v>17</v>
      </c>
    </row>
    <row r="6" spans="1:7" ht="29">
      <c r="B6" s="161" t="s">
        <v>18</v>
      </c>
      <c r="C6" s="162"/>
      <c r="D6" s="144" t="s">
        <v>19</v>
      </c>
      <c r="E6" s="9" t="s">
        <v>339</v>
      </c>
    </row>
    <row r="7" spans="1:7" ht="20.149999999999999" customHeight="1">
      <c r="B7" s="212" t="s">
        <v>98</v>
      </c>
      <c r="C7" s="164"/>
      <c r="D7" s="170">
        <v>12</v>
      </c>
      <c r="E7" s="10">
        <f>ROUND(5785.16*D7,2)</f>
        <v>69421.919999999998</v>
      </c>
    </row>
    <row r="8" spans="1:7" ht="20.149999999999999" customHeight="1">
      <c r="B8" s="212" t="s">
        <v>224</v>
      </c>
      <c r="C8" s="164"/>
      <c r="D8" s="170">
        <f>5+0.1</f>
        <v>5.0999999999999996</v>
      </c>
      <c r="E8" s="10">
        <f t="shared" ref="E8:E13" si="0">ROUND(5785.16*D8,2)</f>
        <v>29504.32</v>
      </c>
    </row>
    <row r="9" spans="1:7" ht="20.149999999999999" customHeight="1">
      <c r="B9" s="212" t="s">
        <v>296</v>
      </c>
      <c r="C9" s="164"/>
      <c r="D9" s="170">
        <f>3+0.533333333333333</f>
        <v>3.5333333333333332</v>
      </c>
      <c r="E9" s="10">
        <f t="shared" si="0"/>
        <v>20440.900000000001</v>
      </c>
    </row>
    <row r="10" spans="1:7" ht="20.149999999999999" customHeight="1">
      <c r="B10" s="212" t="s">
        <v>294</v>
      </c>
      <c r="C10" s="164"/>
      <c r="D10" s="170">
        <v>12</v>
      </c>
      <c r="E10" s="10">
        <f t="shared" si="0"/>
        <v>69421.919999999998</v>
      </c>
    </row>
    <row r="11" spans="1:7" ht="20.149999999999999" customHeight="1">
      <c r="B11" s="212" t="s">
        <v>295</v>
      </c>
      <c r="C11" s="164"/>
      <c r="D11" s="170">
        <v>12</v>
      </c>
      <c r="E11" s="10">
        <f t="shared" si="0"/>
        <v>69421.919999999998</v>
      </c>
    </row>
    <row r="12" spans="1:7" ht="20.149999999999999" customHeight="1">
      <c r="B12" s="212" t="s">
        <v>337</v>
      </c>
      <c r="C12" s="164"/>
      <c r="D12" s="170">
        <f>4+0.0967741935483871</f>
        <v>4.096774193548387</v>
      </c>
      <c r="E12" s="10">
        <f t="shared" si="0"/>
        <v>23700.49</v>
      </c>
    </row>
    <row r="13" spans="1:7" ht="20.149999999999999" customHeight="1">
      <c r="B13" s="212" t="s">
        <v>338</v>
      </c>
      <c r="C13" s="164"/>
      <c r="D13" s="170">
        <f>3+0.4</f>
        <v>3.4</v>
      </c>
      <c r="E13" s="10">
        <f t="shared" si="0"/>
        <v>19669.54</v>
      </c>
    </row>
    <row r="14" spans="1:7" ht="20.149999999999999" customHeight="1">
      <c r="B14" s="165" t="s">
        <v>4</v>
      </c>
      <c r="C14" s="166"/>
      <c r="D14" s="7"/>
      <c r="E14" s="11">
        <f>SUM(E7:E13)</f>
        <v>301581.00999999995</v>
      </c>
      <c r="G14" s="30"/>
    </row>
    <row r="16" spans="1:7" ht="20.149999999999999" customHeight="1">
      <c r="A16" s="6" t="s">
        <v>13</v>
      </c>
    </row>
    <row r="17" spans="1:5" ht="20.149999999999999" customHeight="1">
      <c r="B17" s="13" t="s">
        <v>217</v>
      </c>
      <c r="C17" s="13" t="s">
        <v>20</v>
      </c>
      <c r="D17" s="144" t="s">
        <v>19</v>
      </c>
      <c r="E17" s="9" t="s">
        <v>283</v>
      </c>
    </row>
    <row r="18" spans="1:5" ht="20.149999999999999" customHeight="1">
      <c r="B18" s="3" t="s">
        <v>275</v>
      </c>
      <c r="C18" s="83">
        <v>15.75</v>
      </c>
      <c r="D18" s="7">
        <v>12</v>
      </c>
      <c r="E18" s="10">
        <f>ROUND('[2]Price List'!$C$8/12*C18*D18,2)</f>
        <v>33075</v>
      </c>
    </row>
    <row r="19" spans="1:5" ht="20.149999999999999" customHeight="1">
      <c r="B19" s="3" t="s">
        <v>276</v>
      </c>
      <c r="C19" s="83">
        <v>101.2</v>
      </c>
      <c r="D19" s="7">
        <v>12</v>
      </c>
      <c r="E19" s="10">
        <f>ROUND('[2]Price List'!$C$8/12*C19*D19,2)</f>
        <v>212520</v>
      </c>
    </row>
    <row r="20" spans="1:5" ht="20.149999999999999" customHeight="1">
      <c r="B20" s="3" t="s">
        <v>277</v>
      </c>
      <c r="C20" s="83">
        <v>217.33</v>
      </c>
      <c r="D20" s="7">
        <v>12</v>
      </c>
      <c r="E20" s="10">
        <f>ROUND('[2]Price List'!$C$8/12*C20*D20,2)</f>
        <v>456393</v>
      </c>
    </row>
    <row r="21" spans="1:5" ht="20.149999999999999" customHeight="1">
      <c r="B21" s="3" t="s">
        <v>278</v>
      </c>
      <c r="C21" s="83">
        <v>56.1</v>
      </c>
      <c r="D21" s="7">
        <v>12</v>
      </c>
      <c r="E21" s="10">
        <f>ROUND('[2]Price List'!$C$8/12*C21*D21,2)</f>
        <v>117810</v>
      </c>
    </row>
    <row r="22" spans="1:5" ht="20.149999999999999" customHeight="1">
      <c r="B22" s="3" t="s">
        <v>279</v>
      </c>
      <c r="C22" s="83">
        <v>45.12</v>
      </c>
      <c r="D22" s="7">
        <v>12</v>
      </c>
      <c r="E22" s="10">
        <f>ROUND('[2]Price List'!$C$8/12*C22*D22,2)</f>
        <v>94752</v>
      </c>
    </row>
    <row r="23" spans="1:5" ht="20.149999999999999" customHeight="1">
      <c r="B23" s="3" t="s">
        <v>280</v>
      </c>
      <c r="C23" s="83">
        <v>49.9</v>
      </c>
      <c r="D23" s="7">
        <v>12</v>
      </c>
      <c r="E23" s="10">
        <f>ROUND('[2]Price List'!$C$8/12*C23*D23,2)</f>
        <v>104790</v>
      </c>
    </row>
    <row r="24" spans="1:5" ht="20.149999999999999" customHeight="1">
      <c r="B24" s="3" t="s">
        <v>281</v>
      </c>
      <c r="C24" s="83">
        <v>22.9</v>
      </c>
      <c r="D24" s="7">
        <v>12</v>
      </c>
      <c r="E24" s="10">
        <f>ROUND('[2]Price List'!$C$8/12*C24*D24,2)</f>
        <v>48090</v>
      </c>
    </row>
    <row r="25" spans="1:5" ht="20.149999999999999" customHeight="1">
      <c r="B25" s="3" t="s">
        <v>282</v>
      </c>
      <c r="C25" s="83">
        <v>20.5</v>
      </c>
      <c r="D25" s="7">
        <v>12</v>
      </c>
      <c r="E25" s="10">
        <f>ROUND('[2]Price List'!$C$8/12*C25*D25,2)</f>
        <v>43050</v>
      </c>
    </row>
    <row r="26" spans="1:5" ht="20.149999999999999" customHeight="1">
      <c r="B26" s="14" t="s">
        <v>4</v>
      </c>
      <c r="C26" s="14"/>
      <c r="D26" s="7"/>
      <c r="E26" s="11">
        <f>SUM(E18:E25)</f>
        <v>1110480</v>
      </c>
    </row>
    <row r="28" spans="1:5" ht="20.149999999999999" customHeight="1">
      <c r="A28" s="6" t="s">
        <v>14</v>
      </c>
    </row>
    <row r="29" spans="1:5" ht="29">
      <c r="B29" s="161" t="s">
        <v>18</v>
      </c>
      <c r="C29" s="162"/>
      <c r="D29" s="144" t="s">
        <v>19</v>
      </c>
      <c r="E29" s="9" t="s">
        <v>297</v>
      </c>
    </row>
    <row r="30" spans="1:5" ht="20.149999999999999" customHeight="1">
      <c r="B30" s="163" t="s">
        <v>98</v>
      </c>
      <c r="C30" s="164"/>
      <c r="D30" s="170">
        <v>12</v>
      </c>
      <c r="E30" s="10">
        <f>ROUND(1140*D30,2)</f>
        <v>13680</v>
      </c>
    </row>
    <row r="31" spans="1:5" ht="20.149999999999999" customHeight="1">
      <c r="B31" s="163" t="s">
        <v>224</v>
      </c>
      <c r="C31" s="164"/>
      <c r="D31" s="170">
        <v>5.0999999999999996</v>
      </c>
      <c r="E31" s="10">
        <f t="shared" ref="E31:E36" si="1">ROUND(1140*D31,2)</f>
        <v>5814</v>
      </c>
    </row>
    <row r="32" spans="1:5" ht="20.149999999999999" customHeight="1">
      <c r="B32" s="163" t="s">
        <v>296</v>
      </c>
      <c r="C32" s="164"/>
      <c r="D32" s="170">
        <v>3.5333333333333332</v>
      </c>
      <c r="E32" s="10">
        <f t="shared" si="1"/>
        <v>4028</v>
      </c>
    </row>
    <row r="33" spans="1:5" ht="20.149999999999999" customHeight="1">
      <c r="B33" s="163" t="s">
        <v>294</v>
      </c>
      <c r="C33" s="164"/>
      <c r="D33" s="170">
        <v>12</v>
      </c>
      <c r="E33" s="10">
        <f t="shared" si="1"/>
        <v>13680</v>
      </c>
    </row>
    <row r="34" spans="1:5" ht="20.149999999999999" customHeight="1">
      <c r="B34" s="163" t="s">
        <v>295</v>
      </c>
      <c r="C34" s="164"/>
      <c r="D34" s="170">
        <v>12</v>
      </c>
      <c r="E34" s="10">
        <f t="shared" si="1"/>
        <v>13680</v>
      </c>
    </row>
    <row r="35" spans="1:5" ht="20.149999999999999" customHeight="1">
      <c r="B35" s="163" t="s">
        <v>337</v>
      </c>
      <c r="C35" s="164"/>
      <c r="D35" s="170">
        <v>4.096774193548387</v>
      </c>
      <c r="E35" s="10">
        <f t="shared" si="1"/>
        <v>4670.32</v>
      </c>
    </row>
    <row r="36" spans="1:5" ht="20.149999999999999" customHeight="1">
      <c r="B36" s="163" t="s">
        <v>338</v>
      </c>
      <c r="C36" s="164"/>
      <c r="D36" s="170">
        <v>3.4</v>
      </c>
      <c r="E36" s="10">
        <f t="shared" si="1"/>
        <v>3876</v>
      </c>
    </row>
    <row r="37" spans="1:5" ht="20.149999999999999" customHeight="1">
      <c r="B37" s="165" t="s">
        <v>4</v>
      </c>
      <c r="C37" s="166"/>
      <c r="D37" s="7"/>
      <c r="E37" s="11">
        <f>SUM(E30:E36)</f>
        <v>59428.32</v>
      </c>
    </row>
    <row r="40" spans="1:5" ht="20.149999999999999" hidden="1" customHeight="1">
      <c r="A40" s="6" t="s">
        <v>21</v>
      </c>
    </row>
    <row r="41" spans="1:5" ht="29" hidden="1">
      <c r="B41" s="13" t="s">
        <v>18</v>
      </c>
      <c r="C41" s="13" t="s">
        <v>22</v>
      </c>
      <c r="D41" s="144" t="s">
        <v>19</v>
      </c>
      <c r="E41" s="9" t="s">
        <v>23</v>
      </c>
    </row>
    <row r="42" spans="1:5" ht="20.149999999999999" hidden="1" customHeight="1">
      <c r="B42" s="3"/>
      <c r="C42" s="3"/>
      <c r="D42" s="7"/>
      <c r="E42" s="10"/>
    </row>
    <row r="43" spans="1:5" ht="20.149999999999999" hidden="1" customHeight="1">
      <c r="B43" s="3"/>
      <c r="C43" s="3"/>
      <c r="D43" s="7"/>
      <c r="E43" s="10"/>
    </row>
    <row r="44" spans="1:5" ht="20.149999999999999" hidden="1" customHeight="1">
      <c r="B44" s="14" t="s">
        <v>4</v>
      </c>
      <c r="C44" s="14"/>
      <c r="D44" s="7"/>
      <c r="E44" s="11">
        <f>SUM(E42:E43)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K19"/>
  <sheetViews>
    <sheetView showGridLines="0" workbookViewId="0">
      <selection activeCell="K16" sqref="K16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0.54296875" style="4" customWidth="1"/>
    <col min="5" max="5" width="81" bestFit="1" customWidth="1"/>
    <col min="6" max="6" width="14" customWidth="1"/>
    <col min="7" max="7" width="9.54296875" bestFit="1" customWidth="1"/>
    <col min="9" max="9" width="11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111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A8" s="87">
        <f t="shared" ref="A8:A18" si="0">+A7+1</f>
        <v>2</v>
      </c>
      <c r="B8" s="90"/>
      <c r="C8" s="91"/>
      <c r="D8" s="90"/>
      <c r="E8" s="90"/>
      <c r="F8" s="92"/>
      <c r="K8" s="80"/>
    </row>
    <row r="9" spans="1:11" ht="20.149999999999999" customHeight="1">
      <c r="A9" s="87">
        <f t="shared" si="0"/>
        <v>3</v>
      </c>
      <c r="B9" s="90"/>
      <c r="C9" s="91"/>
      <c r="D9" s="90"/>
      <c r="E9" s="90"/>
      <c r="F9" s="92"/>
    </row>
    <row r="10" spans="1:11" ht="20.149999999999999" customHeight="1">
      <c r="A10" s="87">
        <f t="shared" si="0"/>
        <v>4</v>
      </c>
      <c r="B10" s="90"/>
      <c r="C10" s="91"/>
      <c r="D10" s="90"/>
      <c r="E10" s="90"/>
      <c r="F10" s="92"/>
    </row>
    <row r="11" spans="1:11" ht="20.149999999999999" customHeight="1">
      <c r="A11" s="87">
        <f t="shared" si="0"/>
        <v>5</v>
      </c>
      <c r="B11" s="90"/>
      <c r="C11" s="91"/>
      <c r="D11" s="90"/>
      <c r="E11" s="90"/>
      <c r="F11" s="92"/>
    </row>
    <row r="12" spans="1:11" ht="20.149999999999999" customHeight="1">
      <c r="A12" s="87">
        <f t="shared" si="0"/>
        <v>6</v>
      </c>
      <c r="B12" s="90"/>
      <c r="C12" s="91"/>
      <c r="D12" s="90"/>
      <c r="E12" s="90"/>
      <c r="F12" s="92"/>
    </row>
    <row r="13" spans="1:11" ht="20.149999999999999" customHeight="1">
      <c r="A13" s="87">
        <f t="shared" si="0"/>
        <v>7</v>
      </c>
      <c r="B13" s="90"/>
      <c r="C13" s="91"/>
      <c r="D13" s="90"/>
      <c r="E13" s="90"/>
      <c r="F13" s="92"/>
    </row>
    <row r="14" spans="1:11" ht="20.149999999999999" customHeight="1">
      <c r="A14" s="87">
        <f t="shared" si="0"/>
        <v>8</v>
      </c>
      <c r="B14" s="90"/>
      <c r="C14" s="91"/>
      <c r="D14" s="90"/>
      <c r="E14" s="90"/>
      <c r="F14" s="92"/>
    </row>
    <row r="15" spans="1:11" ht="20.149999999999999" customHeight="1">
      <c r="A15" s="87">
        <f t="shared" si="0"/>
        <v>9</v>
      </c>
      <c r="B15" s="90"/>
      <c r="C15" s="91"/>
      <c r="D15" s="90"/>
      <c r="E15" s="90"/>
      <c r="F15" s="92"/>
    </row>
    <row r="16" spans="1:11" ht="20.149999999999999" customHeight="1">
      <c r="A16" s="87">
        <f t="shared" si="0"/>
        <v>10</v>
      </c>
      <c r="B16" s="90"/>
      <c r="C16" s="91"/>
      <c r="D16" s="90"/>
      <c r="E16" s="90"/>
      <c r="F16" s="92"/>
    </row>
    <row r="17" spans="1:9" ht="20.149999999999999" customHeight="1">
      <c r="A17" s="87">
        <f t="shared" si="0"/>
        <v>11</v>
      </c>
      <c r="B17" s="90"/>
      <c r="C17" s="91"/>
      <c r="D17" s="90"/>
      <c r="E17" s="90"/>
      <c r="F17" s="92"/>
    </row>
    <row r="18" spans="1:9" ht="20.149999999999999" customHeight="1">
      <c r="A18" s="87">
        <f t="shared" si="0"/>
        <v>12</v>
      </c>
      <c r="B18" s="90"/>
      <c r="C18" s="91"/>
      <c r="D18" s="90"/>
      <c r="E18" s="90"/>
      <c r="F18" s="92"/>
    </row>
    <row r="19" spans="1:9" ht="20.149999999999999" customHeight="1">
      <c r="F19" s="88">
        <f>SUM(F7:F18)</f>
        <v>0</v>
      </c>
      <c r="I19" s="30">
        <f>+F19+TB!C54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P24"/>
  <sheetViews>
    <sheetView showGridLines="0" topLeftCell="A9" workbookViewId="0">
      <selection activeCell="N23" sqref="N23"/>
    </sheetView>
  </sheetViews>
  <sheetFormatPr defaultRowHeight="20.149999999999999" customHeight="1"/>
  <cols>
    <col min="1" max="1" width="4.54296875" customWidth="1"/>
    <col min="2" max="2" width="28.81640625" bestFit="1" customWidth="1"/>
    <col min="3" max="3" width="13.453125" bestFit="1" customWidth="1"/>
    <col min="4" max="4" width="13.453125" hidden="1" customWidth="1"/>
    <col min="5" max="5" width="13.453125" bestFit="1" customWidth="1"/>
    <col min="6" max="6" width="13.453125" hidden="1" customWidth="1"/>
    <col min="7" max="7" width="13.453125" bestFit="1" customWidth="1"/>
    <col min="8" max="8" width="12.1796875" bestFit="1" customWidth="1"/>
    <col min="9" max="9" width="12.1796875" hidden="1" customWidth="1"/>
    <col min="10" max="10" width="12.54296875" bestFit="1" customWidth="1"/>
    <col min="11" max="11" width="12.54296875" hidden="1" customWidth="1"/>
    <col min="12" max="12" width="14" bestFit="1" customWidth="1"/>
    <col min="13" max="14" width="14.1796875" bestFit="1" customWidth="1"/>
    <col min="15" max="15" width="12.54296875" bestFit="1" customWidth="1"/>
    <col min="16" max="16" width="11.54296875" bestFit="1" customWidth="1"/>
  </cols>
  <sheetData>
    <row r="1" spans="1:16" ht="26">
      <c r="A1" s="1"/>
    </row>
    <row r="2" spans="1:16" ht="26">
      <c r="A2" s="1"/>
    </row>
    <row r="3" spans="1:16" ht="18.5">
      <c r="A3" s="2" t="s">
        <v>49</v>
      </c>
    </row>
    <row r="4" spans="1:16" ht="18.5">
      <c r="A4" s="22" t="str">
        <f>+BS!A4</f>
        <v>As at 31  August 2022</v>
      </c>
    </row>
    <row r="5" spans="1:16" ht="20.149999999999999" customHeight="1">
      <c r="A5" s="2"/>
    </row>
    <row r="6" spans="1:16" ht="36" customHeight="1">
      <c r="B6" s="277" t="s">
        <v>32</v>
      </c>
      <c r="C6" s="276" t="s">
        <v>50</v>
      </c>
      <c r="D6" s="276"/>
      <c r="E6" s="276"/>
      <c r="F6" s="276"/>
      <c r="G6" s="276"/>
      <c r="H6" s="276" t="s">
        <v>51</v>
      </c>
      <c r="I6" s="276"/>
      <c r="J6" s="276"/>
      <c r="K6" s="276"/>
      <c r="L6" s="276"/>
      <c r="M6" s="276" t="s">
        <v>52</v>
      </c>
      <c r="N6" s="276"/>
    </row>
    <row r="7" spans="1:16" ht="52.5" customHeight="1">
      <c r="B7" s="278"/>
      <c r="C7" s="206" t="s">
        <v>53</v>
      </c>
      <c r="D7" s="206" t="s">
        <v>170</v>
      </c>
      <c r="E7" s="207" t="s">
        <v>54</v>
      </c>
      <c r="F7" s="207" t="s">
        <v>237</v>
      </c>
      <c r="G7" s="207" t="s">
        <v>55</v>
      </c>
      <c r="H7" s="207" t="s">
        <v>53</v>
      </c>
      <c r="I7" s="206" t="s">
        <v>170</v>
      </c>
      <c r="J7" s="207" t="s">
        <v>350</v>
      </c>
      <c r="K7" s="207" t="s">
        <v>238</v>
      </c>
      <c r="L7" s="207" t="s">
        <v>55</v>
      </c>
      <c r="M7" s="207" t="s">
        <v>53</v>
      </c>
      <c r="N7" s="207" t="s">
        <v>55</v>
      </c>
    </row>
    <row r="8" spans="1:16" ht="20.149999999999999" customHeight="1">
      <c r="B8" s="124"/>
      <c r="C8" s="125"/>
      <c r="D8" s="125"/>
      <c r="E8" s="23"/>
      <c r="F8" s="23"/>
      <c r="G8" s="23"/>
      <c r="H8" s="126"/>
      <c r="I8" s="126"/>
      <c r="J8" s="126"/>
      <c r="K8" s="126"/>
      <c r="L8" s="126"/>
      <c r="M8" s="126"/>
      <c r="N8" s="126"/>
    </row>
    <row r="9" spans="1:16" ht="20.149999999999999" customHeight="1">
      <c r="B9" s="127" t="s">
        <v>56</v>
      </c>
      <c r="C9" s="125"/>
      <c r="D9" s="125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6" ht="20.149999999999999" customHeight="1">
      <c r="B10" s="128" t="s">
        <v>230</v>
      </c>
      <c r="C10" s="129">
        <f>VLOOKUP(171220,'TB-Aug 22'!A:F,3,0)</f>
        <v>7277144.4199999999</v>
      </c>
      <c r="D10" s="129"/>
      <c r="E10" s="78">
        <f>G10-C10</f>
        <v>0</v>
      </c>
      <c r="F10" s="78"/>
      <c r="G10" s="129">
        <f>VLOOKUP(171220,TB!A:E,3,0)</f>
        <v>7277144.4199999999</v>
      </c>
      <c r="H10" s="129">
        <f>VLOOKUP(171260,'TB-Aug 22'!A:F,3,0)</f>
        <v>-1815200.08</v>
      </c>
      <c r="I10" s="78"/>
      <c r="J10" s="169">
        <f>-VLOOKUP(475210,TB!A:E,3,0)</f>
        <v>-242508.9</v>
      </c>
      <c r="K10" s="78"/>
      <c r="L10" s="78">
        <f>+H10+J10+I10+K10</f>
        <v>-2057708.98</v>
      </c>
      <c r="M10" s="78">
        <f t="shared" ref="M10:M11" si="0">+C10+H10</f>
        <v>5461944.3399999999</v>
      </c>
      <c r="N10" s="78">
        <f>+G10+L10</f>
        <v>5219435.4399999995</v>
      </c>
      <c r="O10" s="79"/>
      <c r="P10" s="79"/>
    </row>
    <row r="11" spans="1:16" ht="20.149999999999999" customHeight="1">
      <c r="B11" s="128" t="s">
        <v>104</v>
      </c>
      <c r="C11" s="129">
        <f>VLOOKUP(172020,'TB-Aug 22'!A:F,3,0)</f>
        <v>112725</v>
      </c>
      <c r="D11" s="78"/>
      <c r="E11" s="78">
        <f t="shared" ref="E11:E13" si="1">G11-C11</f>
        <v>0</v>
      </c>
      <c r="F11" s="78"/>
      <c r="G11" s="129">
        <f>VLOOKUP(172020,TB!A:E,3,0)</f>
        <v>112725</v>
      </c>
      <c r="H11" s="129">
        <f>VLOOKUP(172060,'TB-Aug 22'!A:F,3,0)</f>
        <v>-108973.62</v>
      </c>
      <c r="I11" s="78"/>
      <c r="J11" s="169">
        <f>-VLOOKUP(475240,TB!A:E,3,0)</f>
        <v>-3660.98</v>
      </c>
      <c r="K11" s="78"/>
      <c r="L11" s="78">
        <f t="shared" ref="L11:L16" si="2">+H11+J11+I11+K11</f>
        <v>-112634.59999999999</v>
      </c>
      <c r="M11" s="78">
        <f t="shared" si="0"/>
        <v>3751.3800000000047</v>
      </c>
      <c r="N11" s="78">
        <f t="shared" ref="N11" si="3">+G11+L11</f>
        <v>90.400000000008731</v>
      </c>
      <c r="O11" s="79"/>
      <c r="P11" s="79"/>
    </row>
    <row r="12" spans="1:16" ht="20.149999999999999" customHeight="1">
      <c r="B12" s="128" t="s">
        <v>166</v>
      </c>
      <c r="C12" s="129">
        <f>VLOOKUP(171320,'TB-Aug 22'!A:F,3,0)</f>
        <v>6183421.3099999996</v>
      </c>
      <c r="D12" s="129"/>
      <c r="E12" s="78">
        <f>G12-C12</f>
        <v>19998</v>
      </c>
      <c r="F12" s="78"/>
      <c r="G12" s="129">
        <f>VLOOKUP(171320,TB!A:E,3,0)</f>
        <v>6203419.3099999996</v>
      </c>
      <c r="H12" s="129">
        <f>VLOOKUP(171360,'TB-Aug 22'!A:F,3,0)</f>
        <v>-5630550.2699999996</v>
      </c>
      <c r="I12" s="78"/>
      <c r="J12" s="169">
        <f>-VLOOKUP(475220,TB!A:E,3,0)</f>
        <v>-272581.73</v>
      </c>
      <c r="K12" s="78"/>
      <c r="L12" s="78">
        <f t="shared" si="2"/>
        <v>-5903132</v>
      </c>
      <c r="M12" s="78">
        <f t="shared" ref="M12:M16" si="4">+C12+H12</f>
        <v>552871.04</v>
      </c>
      <c r="N12" s="78">
        <f t="shared" ref="N12:N15" si="5">+G12+L12</f>
        <v>300287.30999999959</v>
      </c>
      <c r="O12" s="79"/>
      <c r="P12" s="30"/>
    </row>
    <row r="13" spans="1:16" ht="20.149999999999999" customHeight="1">
      <c r="B13" s="128" t="s">
        <v>167</v>
      </c>
      <c r="C13" s="129">
        <f>VLOOKUP(173120,'TB-Aug 22'!A:F,3,0)</f>
        <v>436988.01</v>
      </c>
      <c r="D13" s="129"/>
      <c r="E13" s="78">
        <f t="shared" si="1"/>
        <v>0</v>
      </c>
      <c r="F13" s="78"/>
      <c r="G13" s="129">
        <f>VLOOKUP(173120,TB!A:E,3,0)</f>
        <v>436988.01</v>
      </c>
      <c r="H13" s="129">
        <f>VLOOKUP(173160,'TB-Aug 22'!A:F,3,0)</f>
        <v>-436988.01</v>
      </c>
      <c r="I13" s="78"/>
      <c r="J13" s="169">
        <f>-VLOOKUP(475250,TB!A:E,3,0)</f>
        <v>0</v>
      </c>
      <c r="K13" s="78"/>
      <c r="L13" s="78">
        <f t="shared" si="2"/>
        <v>-436988.01</v>
      </c>
      <c r="M13" s="78">
        <f t="shared" ref="M13:M14" si="6">+C13+H13</f>
        <v>0</v>
      </c>
      <c r="N13" s="78">
        <f t="shared" ref="N13:N14" si="7">+G13+L13</f>
        <v>0</v>
      </c>
      <c r="O13" s="79"/>
    </row>
    <row r="14" spans="1:16" ht="20.149999999999999" customHeight="1">
      <c r="B14" s="128" t="s">
        <v>168</v>
      </c>
      <c r="C14" s="129">
        <v>0</v>
      </c>
      <c r="D14" s="129"/>
      <c r="E14" s="78"/>
      <c r="F14" s="78"/>
      <c r="G14" s="23">
        <f t="shared" ref="G14:G16" si="8">+C14+E14+D14+F14</f>
        <v>0</v>
      </c>
      <c r="H14" s="78">
        <v>0</v>
      </c>
      <c r="I14" s="78"/>
      <c r="J14" s="78"/>
      <c r="K14" s="78"/>
      <c r="L14" s="78">
        <f t="shared" si="2"/>
        <v>0</v>
      </c>
      <c r="M14" s="78">
        <f t="shared" si="6"/>
        <v>0</v>
      </c>
      <c r="N14" s="78">
        <f t="shared" si="7"/>
        <v>0</v>
      </c>
      <c r="O14" s="79"/>
    </row>
    <row r="15" spans="1:16" ht="20.149999999999999" customHeight="1">
      <c r="B15" s="128" t="s">
        <v>288</v>
      </c>
      <c r="C15" s="129">
        <v>0</v>
      </c>
      <c r="D15" s="129"/>
      <c r="E15" s="169">
        <f>+'TB-Aug 22'!F28</f>
        <v>113350</v>
      </c>
      <c r="F15" s="78"/>
      <c r="G15" s="23">
        <f t="shared" si="8"/>
        <v>113350</v>
      </c>
      <c r="H15" s="78">
        <v>0</v>
      </c>
      <c r="I15" s="78"/>
      <c r="J15" s="78"/>
      <c r="K15" s="78"/>
      <c r="L15" s="78">
        <f t="shared" si="2"/>
        <v>0</v>
      </c>
      <c r="M15" s="78">
        <f t="shared" si="4"/>
        <v>0</v>
      </c>
      <c r="N15" s="78">
        <f t="shared" si="5"/>
        <v>113350</v>
      </c>
    </row>
    <row r="16" spans="1:16" ht="20.149999999999999" customHeight="1">
      <c r="B16" s="128" t="s">
        <v>169</v>
      </c>
      <c r="C16" s="129">
        <v>0</v>
      </c>
      <c r="D16" s="129"/>
      <c r="E16" s="78">
        <f>+'TB-Aug 22'!F24</f>
        <v>0</v>
      </c>
      <c r="F16" s="78"/>
      <c r="G16" s="23">
        <f t="shared" si="8"/>
        <v>0</v>
      </c>
      <c r="H16" s="78">
        <v>0</v>
      </c>
      <c r="I16" s="78"/>
      <c r="J16" s="78"/>
      <c r="K16" s="78"/>
      <c r="L16" s="78">
        <f t="shared" si="2"/>
        <v>0</v>
      </c>
      <c r="M16" s="78">
        <f t="shared" si="4"/>
        <v>0</v>
      </c>
      <c r="N16" s="78">
        <f>+G16+L16</f>
        <v>0</v>
      </c>
    </row>
    <row r="17" spans="2:14" ht="20.149999999999999" customHeight="1">
      <c r="B17" s="209" t="s">
        <v>57</v>
      </c>
      <c r="C17" s="208">
        <f>SUM(C10:C16)</f>
        <v>14010278.74</v>
      </c>
      <c r="D17" s="208">
        <f>SUM(D10:D16)</f>
        <v>0</v>
      </c>
      <c r="E17" s="208">
        <f t="shared" ref="E17:M17" si="9">SUM(E10:E16)</f>
        <v>133348</v>
      </c>
      <c r="F17" s="208">
        <f t="shared" si="9"/>
        <v>0</v>
      </c>
      <c r="G17" s="208">
        <f t="shared" si="9"/>
        <v>14143626.74</v>
      </c>
      <c r="H17" s="208">
        <f t="shared" si="9"/>
        <v>-7991711.9799999995</v>
      </c>
      <c r="I17" s="208">
        <f t="shared" si="9"/>
        <v>0</v>
      </c>
      <c r="J17" s="208">
        <f t="shared" si="9"/>
        <v>-518751.61</v>
      </c>
      <c r="K17" s="208">
        <f t="shared" si="9"/>
        <v>0</v>
      </c>
      <c r="L17" s="208">
        <f t="shared" si="9"/>
        <v>-8510463.5899999999</v>
      </c>
      <c r="M17" s="208">
        <f t="shared" si="9"/>
        <v>6018566.7599999998</v>
      </c>
      <c r="N17" s="208">
        <f>SUM(N10:N16)</f>
        <v>5633163.1499999994</v>
      </c>
    </row>
    <row r="18" spans="2:14" ht="20.149999999999999" customHeight="1">
      <c r="C18" s="4">
        <f>SUM('TB-Aug 22'!C24,'TB-Aug 22'!C25,'TB-Aug 22'!C27,'TB-Aug 22'!C28,'TB-Aug 22'!C30,'TB-Aug 22'!C32)-C17</f>
        <v>0</v>
      </c>
      <c r="J18" s="79">
        <f>J17+SUM(TB!C101:C103)</f>
        <v>0</v>
      </c>
      <c r="N18" s="131">
        <f>SUM(TB!C25:C38)-N17</f>
        <v>0</v>
      </c>
    </row>
    <row r="19" spans="2:14" ht="20.149999999999999" customHeight="1">
      <c r="C19" s="79"/>
      <c r="E19" s="131"/>
      <c r="F19" s="131"/>
      <c r="H19" s="4"/>
      <c r="N19" s="131"/>
    </row>
    <row r="20" spans="2:14" ht="20.149999999999999" customHeight="1">
      <c r="H20" s="4"/>
    </row>
    <row r="21" spans="2:14" ht="20.149999999999999" customHeight="1">
      <c r="H21" s="4"/>
    </row>
    <row r="22" spans="2:14" ht="20.149999999999999" customHeight="1">
      <c r="E22" s="79"/>
      <c r="F22" s="79"/>
      <c r="H22" s="4"/>
    </row>
    <row r="23" spans="2:14" ht="20.149999999999999" customHeight="1">
      <c r="H23" s="4"/>
      <c r="I23" s="4"/>
    </row>
    <row r="24" spans="2:14" ht="20.149999999999999" customHeight="1">
      <c r="H24" s="4"/>
      <c r="I24" s="4"/>
    </row>
  </sheetData>
  <mergeCells count="4">
    <mergeCell ref="C6:G6"/>
    <mergeCell ref="H6:L6"/>
    <mergeCell ref="M6:N6"/>
    <mergeCell ref="B6:B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C8" sqref="C8"/>
    </sheetView>
  </sheetViews>
  <sheetFormatPr defaultRowHeight="20.149999999999999" customHeight="1"/>
  <cols>
    <col min="1" max="1" width="4.54296875" customWidth="1"/>
    <col min="2" max="2" width="27.54296875" style="4" customWidth="1"/>
    <col min="3" max="3" width="14" customWidth="1"/>
    <col min="4" max="4" width="9.54296875" bestFit="1" customWidth="1"/>
    <col min="6" max="6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64</v>
      </c>
    </row>
    <row r="6" spans="1:8" ht="20.149999999999999" customHeight="1">
      <c r="A6" s="85" t="s">
        <v>112</v>
      </c>
      <c r="B6" s="85" t="s">
        <v>227</v>
      </c>
      <c r="C6" s="86" t="s">
        <v>46</v>
      </c>
    </row>
    <row r="7" spans="1:8" ht="20.149999999999999" customHeight="1">
      <c r="A7" s="87">
        <v>1</v>
      </c>
      <c r="B7" s="90" t="s">
        <v>287</v>
      </c>
      <c r="C7" s="92">
        <v>5000</v>
      </c>
      <c r="H7" s="80"/>
    </row>
    <row r="8" spans="1:8" ht="20.149999999999999" customHeight="1">
      <c r="C8" s="88">
        <f>SUM(C7:C7)</f>
        <v>5000</v>
      </c>
      <c r="F8" s="30">
        <f>+C8-TB!C5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G52"/>
  <sheetViews>
    <sheetView showGridLines="0" zoomScaleNormal="100" workbookViewId="0">
      <selection activeCell="H5" sqref="H5"/>
    </sheetView>
  </sheetViews>
  <sheetFormatPr defaultRowHeight="14.5"/>
  <cols>
    <col min="1" max="1" width="11.1796875" style="251" bestFit="1" customWidth="1"/>
    <col min="2" max="2" width="17.1796875" style="251" customWidth="1"/>
    <col min="3" max="3" width="21.81640625" style="251" customWidth="1"/>
    <col min="4" max="4" width="17.81640625" style="251" customWidth="1"/>
    <col min="5" max="5" width="19.81640625" style="265" customWidth="1"/>
    <col min="6" max="6" width="19" style="265" bestFit="1" customWidth="1"/>
    <col min="7" max="7" width="13.1796875" style="12" bestFit="1" customWidth="1"/>
    <col min="8" max="8" width="6.54296875" style="12" customWidth="1"/>
    <col min="9" max="256" width="9.1796875" style="12"/>
    <col min="257" max="257" width="1.81640625" style="12" customWidth="1"/>
    <col min="258" max="258" width="24.1796875" style="12" customWidth="1"/>
    <col min="259" max="260" width="16" style="12" customWidth="1"/>
    <col min="261" max="261" width="28.1796875" style="12" customWidth="1"/>
    <col min="262" max="262" width="11.453125" style="12" customWidth="1"/>
    <col min="263" max="263" width="11.81640625" style="12" customWidth="1"/>
    <col min="264" max="264" width="6.54296875" style="12" customWidth="1"/>
    <col min="265" max="512" width="9.1796875" style="12"/>
    <col min="513" max="513" width="1.81640625" style="12" customWidth="1"/>
    <col min="514" max="514" width="24.1796875" style="12" customWidth="1"/>
    <col min="515" max="516" width="16" style="12" customWidth="1"/>
    <col min="517" max="517" width="28.1796875" style="12" customWidth="1"/>
    <col min="518" max="518" width="11.453125" style="12" customWidth="1"/>
    <col min="519" max="519" width="11.81640625" style="12" customWidth="1"/>
    <col min="520" max="520" width="6.54296875" style="12" customWidth="1"/>
    <col min="521" max="768" width="9.1796875" style="12"/>
    <col min="769" max="769" width="1.81640625" style="12" customWidth="1"/>
    <col min="770" max="770" width="24.1796875" style="12" customWidth="1"/>
    <col min="771" max="772" width="16" style="12" customWidth="1"/>
    <col min="773" max="773" width="28.1796875" style="12" customWidth="1"/>
    <col min="774" max="774" width="11.453125" style="12" customWidth="1"/>
    <col min="775" max="775" width="11.81640625" style="12" customWidth="1"/>
    <col min="776" max="776" width="6.54296875" style="12" customWidth="1"/>
    <col min="777" max="1024" width="9.1796875" style="12"/>
    <col min="1025" max="1025" width="1.81640625" style="12" customWidth="1"/>
    <col min="1026" max="1026" width="24.1796875" style="12" customWidth="1"/>
    <col min="1027" max="1028" width="16" style="12" customWidth="1"/>
    <col min="1029" max="1029" width="28.1796875" style="12" customWidth="1"/>
    <col min="1030" max="1030" width="11.453125" style="12" customWidth="1"/>
    <col min="1031" max="1031" width="11.81640625" style="12" customWidth="1"/>
    <col min="1032" max="1032" width="6.54296875" style="12" customWidth="1"/>
    <col min="1033" max="1280" width="9.1796875" style="12"/>
    <col min="1281" max="1281" width="1.81640625" style="12" customWidth="1"/>
    <col min="1282" max="1282" width="24.1796875" style="12" customWidth="1"/>
    <col min="1283" max="1284" width="16" style="12" customWidth="1"/>
    <col min="1285" max="1285" width="28.1796875" style="12" customWidth="1"/>
    <col min="1286" max="1286" width="11.453125" style="12" customWidth="1"/>
    <col min="1287" max="1287" width="11.81640625" style="12" customWidth="1"/>
    <col min="1288" max="1288" width="6.54296875" style="12" customWidth="1"/>
    <col min="1289" max="1536" width="9.1796875" style="12"/>
    <col min="1537" max="1537" width="1.81640625" style="12" customWidth="1"/>
    <col min="1538" max="1538" width="24.1796875" style="12" customWidth="1"/>
    <col min="1539" max="1540" width="16" style="12" customWidth="1"/>
    <col min="1541" max="1541" width="28.1796875" style="12" customWidth="1"/>
    <col min="1542" max="1542" width="11.453125" style="12" customWidth="1"/>
    <col min="1543" max="1543" width="11.81640625" style="12" customWidth="1"/>
    <col min="1544" max="1544" width="6.54296875" style="12" customWidth="1"/>
    <col min="1545" max="1792" width="9.1796875" style="12"/>
    <col min="1793" max="1793" width="1.81640625" style="12" customWidth="1"/>
    <col min="1794" max="1794" width="24.1796875" style="12" customWidth="1"/>
    <col min="1795" max="1796" width="16" style="12" customWidth="1"/>
    <col min="1797" max="1797" width="28.1796875" style="12" customWidth="1"/>
    <col min="1798" max="1798" width="11.453125" style="12" customWidth="1"/>
    <col min="1799" max="1799" width="11.81640625" style="12" customWidth="1"/>
    <col min="1800" max="1800" width="6.54296875" style="12" customWidth="1"/>
    <col min="1801" max="2048" width="9.1796875" style="12"/>
    <col min="2049" max="2049" width="1.81640625" style="12" customWidth="1"/>
    <col min="2050" max="2050" width="24.1796875" style="12" customWidth="1"/>
    <col min="2051" max="2052" width="16" style="12" customWidth="1"/>
    <col min="2053" max="2053" width="28.1796875" style="12" customWidth="1"/>
    <col min="2054" max="2054" width="11.453125" style="12" customWidth="1"/>
    <col min="2055" max="2055" width="11.81640625" style="12" customWidth="1"/>
    <col min="2056" max="2056" width="6.54296875" style="12" customWidth="1"/>
    <col min="2057" max="2304" width="9.1796875" style="12"/>
    <col min="2305" max="2305" width="1.81640625" style="12" customWidth="1"/>
    <col min="2306" max="2306" width="24.1796875" style="12" customWidth="1"/>
    <col min="2307" max="2308" width="16" style="12" customWidth="1"/>
    <col min="2309" max="2309" width="28.1796875" style="12" customWidth="1"/>
    <col min="2310" max="2310" width="11.453125" style="12" customWidth="1"/>
    <col min="2311" max="2311" width="11.81640625" style="12" customWidth="1"/>
    <col min="2312" max="2312" width="6.54296875" style="12" customWidth="1"/>
    <col min="2313" max="2560" width="9.1796875" style="12"/>
    <col min="2561" max="2561" width="1.81640625" style="12" customWidth="1"/>
    <col min="2562" max="2562" width="24.1796875" style="12" customWidth="1"/>
    <col min="2563" max="2564" width="16" style="12" customWidth="1"/>
    <col min="2565" max="2565" width="28.1796875" style="12" customWidth="1"/>
    <col min="2566" max="2566" width="11.453125" style="12" customWidth="1"/>
    <col min="2567" max="2567" width="11.81640625" style="12" customWidth="1"/>
    <col min="2568" max="2568" width="6.54296875" style="12" customWidth="1"/>
    <col min="2569" max="2816" width="9.1796875" style="12"/>
    <col min="2817" max="2817" width="1.81640625" style="12" customWidth="1"/>
    <col min="2818" max="2818" width="24.1796875" style="12" customWidth="1"/>
    <col min="2819" max="2820" width="16" style="12" customWidth="1"/>
    <col min="2821" max="2821" width="28.1796875" style="12" customWidth="1"/>
    <col min="2822" max="2822" width="11.453125" style="12" customWidth="1"/>
    <col min="2823" max="2823" width="11.81640625" style="12" customWidth="1"/>
    <col min="2824" max="2824" width="6.54296875" style="12" customWidth="1"/>
    <col min="2825" max="3072" width="9.1796875" style="12"/>
    <col min="3073" max="3073" width="1.81640625" style="12" customWidth="1"/>
    <col min="3074" max="3074" width="24.1796875" style="12" customWidth="1"/>
    <col min="3075" max="3076" width="16" style="12" customWidth="1"/>
    <col min="3077" max="3077" width="28.1796875" style="12" customWidth="1"/>
    <col min="3078" max="3078" width="11.453125" style="12" customWidth="1"/>
    <col min="3079" max="3079" width="11.81640625" style="12" customWidth="1"/>
    <col min="3080" max="3080" width="6.54296875" style="12" customWidth="1"/>
    <col min="3081" max="3328" width="9.1796875" style="12"/>
    <col min="3329" max="3329" width="1.81640625" style="12" customWidth="1"/>
    <col min="3330" max="3330" width="24.1796875" style="12" customWidth="1"/>
    <col min="3331" max="3332" width="16" style="12" customWidth="1"/>
    <col min="3333" max="3333" width="28.1796875" style="12" customWidth="1"/>
    <col min="3334" max="3334" width="11.453125" style="12" customWidth="1"/>
    <col min="3335" max="3335" width="11.81640625" style="12" customWidth="1"/>
    <col min="3336" max="3336" width="6.54296875" style="12" customWidth="1"/>
    <col min="3337" max="3584" width="9.1796875" style="12"/>
    <col min="3585" max="3585" width="1.81640625" style="12" customWidth="1"/>
    <col min="3586" max="3586" width="24.1796875" style="12" customWidth="1"/>
    <col min="3587" max="3588" width="16" style="12" customWidth="1"/>
    <col min="3589" max="3589" width="28.1796875" style="12" customWidth="1"/>
    <col min="3590" max="3590" width="11.453125" style="12" customWidth="1"/>
    <col min="3591" max="3591" width="11.81640625" style="12" customWidth="1"/>
    <col min="3592" max="3592" width="6.54296875" style="12" customWidth="1"/>
    <col min="3593" max="3840" width="9.1796875" style="12"/>
    <col min="3841" max="3841" width="1.81640625" style="12" customWidth="1"/>
    <col min="3842" max="3842" width="24.1796875" style="12" customWidth="1"/>
    <col min="3843" max="3844" width="16" style="12" customWidth="1"/>
    <col min="3845" max="3845" width="28.1796875" style="12" customWidth="1"/>
    <col min="3846" max="3846" width="11.453125" style="12" customWidth="1"/>
    <col min="3847" max="3847" width="11.81640625" style="12" customWidth="1"/>
    <col min="3848" max="3848" width="6.54296875" style="12" customWidth="1"/>
    <col min="3849" max="4096" width="9.1796875" style="12"/>
    <col min="4097" max="4097" width="1.81640625" style="12" customWidth="1"/>
    <col min="4098" max="4098" width="24.1796875" style="12" customWidth="1"/>
    <col min="4099" max="4100" width="16" style="12" customWidth="1"/>
    <col min="4101" max="4101" width="28.1796875" style="12" customWidth="1"/>
    <col min="4102" max="4102" width="11.453125" style="12" customWidth="1"/>
    <col min="4103" max="4103" width="11.81640625" style="12" customWidth="1"/>
    <col min="4104" max="4104" width="6.54296875" style="12" customWidth="1"/>
    <col min="4105" max="4352" width="9.1796875" style="12"/>
    <col min="4353" max="4353" width="1.81640625" style="12" customWidth="1"/>
    <col min="4354" max="4354" width="24.1796875" style="12" customWidth="1"/>
    <col min="4355" max="4356" width="16" style="12" customWidth="1"/>
    <col min="4357" max="4357" width="28.1796875" style="12" customWidth="1"/>
    <col min="4358" max="4358" width="11.453125" style="12" customWidth="1"/>
    <col min="4359" max="4359" width="11.81640625" style="12" customWidth="1"/>
    <col min="4360" max="4360" width="6.54296875" style="12" customWidth="1"/>
    <col min="4361" max="4608" width="9.1796875" style="12"/>
    <col min="4609" max="4609" width="1.81640625" style="12" customWidth="1"/>
    <col min="4610" max="4610" width="24.1796875" style="12" customWidth="1"/>
    <col min="4611" max="4612" width="16" style="12" customWidth="1"/>
    <col min="4613" max="4613" width="28.1796875" style="12" customWidth="1"/>
    <col min="4614" max="4614" width="11.453125" style="12" customWidth="1"/>
    <col min="4615" max="4615" width="11.81640625" style="12" customWidth="1"/>
    <col min="4616" max="4616" width="6.54296875" style="12" customWidth="1"/>
    <col min="4617" max="4864" width="9.1796875" style="12"/>
    <col min="4865" max="4865" width="1.81640625" style="12" customWidth="1"/>
    <col min="4866" max="4866" width="24.1796875" style="12" customWidth="1"/>
    <col min="4867" max="4868" width="16" style="12" customWidth="1"/>
    <col min="4869" max="4869" width="28.1796875" style="12" customWidth="1"/>
    <col min="4870" max="4870" width="11.453125" style="12" customWidth="1"/>
    <col min="4871" max="4871" width="11.81640625" style="12" customWidth="1"/>
    <col min="4872" max="4872" width="6.54296875" style="12" customWidth="1"/>
    <col min="4873" max="5120" width="9.1796875" style="12"/>
    <col min="5121" max="5121" width="1.81640625" style="12" customWidth="1"/>
    <col min="5122" max="5122" width="24.1796875" style="12" customWidth="1"/>
    <col min="5123" max="5124" width="16" style="12" customWidth="1"/>
    <col min="5125" max="5125" width="28.1796875" style="12" customWidth="1"/>
    <col min="5126" max="5126" width="11.453125" style="12" customWidth="1"/>
    <col min="5127" max="5127" width="11.81640625" style="12" customWidth="1"/>
    <col min="5128" max="5128" width="6.54296875" style="12" customWidth="1"/>
    <col min="5129" max="5376" width="9.1796875" style="12"/>
    <col min="5377" max="5377" width="1.81640625" style="12" customWidth="1"/>
    <col min="5378" max="5378" width="24.1796875" style="12" customWidth="1"/>
    <col min="5379" max="5380" width="16" style="12" customWidth="1"/>
    <col min="5381" max="5381" width="28.1796875" style="12" customWidth="1"/>
    <col min="5382" max="5382" width="11.453125" style="12" customWidth="1"/>
    <col min="5383" max="5383" width="11.81640625" style="12" customWidth="1"/>
    <col min="5384" max="5384" width="6.54296875" style="12" customWidth="1"/>
    <col min="5385" max="5632" width="9.1796875" style="12"/>
    <col min="5633" max="5633" width="1.81640625" style="12" customWidth="1"/>
    <col min="5634" max="5634" width="24.1796875" style="12" customWidth="1"/>
    <col min="5635" max="5636" width="16" style="12" customWidth="1"/>
    <col min="5637" max="5637" width="28.1796875" style="12" customWidth="1"/>
    <col min="5638" max="5638" width="11.453125" style="12" customWidth="1"/>
    <col min="5639" max="5639" width="11.81640625" style="12" customWidth="1"/>
    <col min="5640" max="5640" width="6.54296875" style="12" customWidth="1"/>
    <col min="5641" max="5888" width="9.1796875" style="12"/>
    <col min="5889" max="5889" width="1.81640625" style="12" customWidth="1"/>
    <col min="5890" max="5890" width="24.1796875" style="12" customWidth="1"/>
    <col min="5891" max="5892" width="16" style="12" customWidth="1"/>
    <col min="5893" max="5893" width="28.1796875" style="12" customWidth="1"/>
    <col min="5894" max="5894" width="11.453125" style="12" customWidth="1"/>
    <col min="5895" max="5895" width="11.81640625" style="12" customWidth="1"/>
    <col min="5896" max="5896" width="6.54296875" style="12" customWidth="1"/>
    <col min="5897" max="6144" width="9.1796875" style="12"/>
    <col min="6145" max="6145" width="1.81640625" style="12" customWidth="1"/>
    <col min="6146" max="6146" width="24.1796875" style="12" customWidth="1"/>
    <col min="6147" max="6148" width="16" style="12" customWidth="1"/>
    <col min="6149" max="6149" width="28.1796875" style="12" customWidth="1"/>
    <col min="6150" max="6150" width="11.453125" style="12" customWidth="1"/>
    <col min="6151" max="6151" width="11.81640625" style="12" customWidth="1"/>
    <col min="6152" max="6152" width="6.54296875" style="12" customWidth="1"/>
    <col min="6153" max="6400" width="9.1796875" style="12"/>
    <col min="6401" max="6401" width="1.81640625" style="12" customWidth="1"/>
    <col min="6402" max="6402" width="24.1796875" style="12" customWidth="1"/>
    <col min="6403" max="6404" width="16" style="12" customWidth="1"/>
    <col min="6405" max="6405" width="28.1796875" style="12" customWidth="1"/>
    <col min="6406" max="6406" width="11.453125" style="12" customWidth="1"/>
    <col min="6407" max="6407" width="11.81640625" style="12" customWidth="1"/>
    <col min="6408" max="6408" width="6.54296875" style="12" customWidth="1"/>
    <col min="6409" max="6656" width="9.1796875" style="12"/>
    <col min="6657" max="6657" width="1.81640625" style="12" customWidth="1"/>
    <col min="6658" max="6658" width="24.1796875" style="12" customWidth="1"/>
    <col min="6659" max="6660" width="16" style="12" customWidth="1"/>
    <col min="6661" max="6661" width="28.1796875" style="12" customWidth="1"/>
    <col min="6662" max="6662" width="11.453125" style="12" customWidth="1"/>
    <col min="6663" max="6663" width="11.81640625" style="12" customWidth="1"/>
    <col min="6664" max="6664" width="6.54296875" style="12" customWidth="1"/>
    <col min="6665" max="6912" width="9.1796875" style="12"/>
    <col min="6913" max="6913" width="1.81640625" style="12" customWidth="1"/>
    <col min="6914" max="6914" width="24.1796875" style="12" customWidth="1"/>
    <col min="6915" max="6916" width="16" style="12" customWidth="1"/>
    <col min="6917" max="6917" width="28.1796875" style="12" customWidth="1"/>
    <col min="6918" max="6918" width="11.453125" style="12" customWidth="1"/>
    <col min="6919" max="6919" width="11.81640625" style="12" customWidth="1"/>
    <col min="6920" max="6920" width="6.54296875" style="12" customWidth="1"/>
    <col min="6921" max="7168" width="9.1796875" style="12"/>
    <col min="7169" max="7169" width="1.81640625" style="12" customWidth="1"/>
    <col min="7170" max="7170" width="24.1796875" style="12" customWidth="1"/>
    <col min="7171" max="7172" width="16" style="12" customWidth="1"/>
    <col min="7173" max="7173" width="28.1796875" style="12" customWidth="1"/>
    <col min="7174" max="7174" width="11.453125" style="12" customWidth="1"/>
    <col min="7175" max="7175" width="11.81640625" style="12" customWidth="1"/>
    <col min="7176" max="7176" width="6.54296875" style="12" customWidth="1"/>
    <col min="7177" max="7424" width="9.1796875" style="12"/>
    <col min="7425" max="7425" width="1.81640625" style="12" customWidth="1"/>
    <col min="7426" max="7426" width="24.1796875" style="12" customWidth="1"/>
    <col min="7427" max="7428" width="16" style="12" customWidth="1"/>
    <col min="7429" max="7429" width="28.1796875" style="12" customWidth="1"/>
    <col min="7430" max="7430" width="11.453125" style="12" customWidth="1"/>
    <col min="7431" max="7431" width="11.81640625" style="12" customWidth="1"/>
    <col min="7432" max="7432" width="6.54296875" style="12" customWidth="1"/>
    <col min="7433" max="7680" width="9.1796875" style="12"/>
    <col min="7681" max="7681" width="1.81640625" style="12" customWidth="1"/>
    <col min="7682" max="7682" width="24.1796875" style="12" customWidth="1"/>
    <col min="7683" max="7684" width="16" style="12" customWidth="1"/>
    <col min="7685" max="7685" width="28.1796875" style="12" customWidth="1"/>
    <col min="7686" max="7686" width="11.453125" style="12" customWidth="1"/>
    <col min="7687" max="7687" width="11.81640625" style="12" customWidth="1"/>
    <col min="7688" max="7688" width="6.54296875" style="12" customWidth="1"/>
    <col min="7689" max="7936" width="9.1796875" style="12"/>
    <col min="7937" max="7937" width="1.81640625" style="12" customWidth="1"/>
    <col min="7938" max="7938" width="24.1796875" style="12" customWidth="1"/>
    <col min="7939" max="7940" width="16" style="12" customWidth="1"/>
    <col min="7941" max="7941" width="28.1796875" style="12" customWidth="1"/>
    <col min="7942" max="7942" width="11.453125" style="12" customWidth="1"/>
    <col min="7943" max="7943" width="11.81640625" style="12" customWidth="1"/>
    <col min="7944" max="7944" width="6.54296875" style="12" customWidth="1"/>
    <col min="7945" max="8192" width="9.1796875" style="12"/>
    <col min="8193" max="8193" width="1.81640625" style="12" customWidth="1"/>
    <col min="8194" max="8194" width="24.1796875" style="12" customWidth="1"/>
    <col min="8195" max="8196" width="16" style="12" customWidth="1"/>
    <col min="8197" max="8197" width="28.1796875" style="12" customWidth="1"/>
    <col min="8198" max="8198" width="11.453125" style="12" customWidth="1"/>
    <col min="8199" max="8199" width="11.81640625" style="12" customWidth="1"/>
    <col min="8200" max="8200" width="6.54296875" style="12" customWidth="1"/>
    <col min="8201" max="8448" width="9.1796875" style="12"/>
    <col min="8449" max="8449" width="1.81640625" style="12" customWidth="1"/>
    <col min="8450" max="8450" width="24.1796875" style="12" customWidth="1"/>
    <col min="8451" max="8452" width="16" style="12" customWidth="1"/>
    <col min="8453" max="8453" width="28.1796875" style="12" customWidth="1"/>
    <col min="8454" max="8454" width="11.453125" style="12" customWidth="1"/>
    <col min="8455" max="8455" width="11.81640625" style="12" customWidth="1"/>
    <col min="8456" max="8456" width="6.54296875" style="12" customWidth="1"/>
    <col min="8457" max="8704" width="9.1796875" style="12"/>
    <col min="8705" max="8705" width="1.81640625" style="12" customWidth="1"/>
    <col min="8706" max="8706" width="24.1796875" style="12" customWidth="1"/>
    <col min="8707" max="8708" width="16" style="12" customWidth="1"/>
    <col min="8709" max="8709" width="28.1796875" style="12" customWidth="1"/>
    <col min="8710" max="8710" width="11.453125" style="12" customWidth="1"/>
    <col min="8711" max="8711" width="11.81640625" style="12" customWidth="1"/>
    <col min="8712" max="8712" width="6.54296875" style="12" customWidth="1"/>
    <col min="8713" max="8960" width="9.1796875" style="12"/>
    <col min="8961" max="8961" width="1.81640625" style="12" customWidth="1"/>
    <col min="8962" max="8962" width="24.1796875" style="12" customWidth="1"/>
    <col min="8963" max="8964" width="16" style="12" customWidth="1"/>
    <col min="8965" max="8965" width="28.1796875" style="12" customWidth="1"/>
    <col min="8966" max="8966" width="11.453125" style="12" customWidth="1"/>
    <col min="8967" max="8967" width="11.81640625" style="12" customWidth="1"/>
    <col min="8968" max="8968" width="6.54296875" style="12" customWidth="1"/>
    <col min="8969" max="9216" width="9.1796875" style="12"/>
    <col min="9217" max="9217" width="1.81640625" style="12" customWidth="1"/>
    <col min="9218" max="9218" width="24.1796875" style="12" customWidth="1"/>
    <col min="9219" max="9220" width="16" style="12" customWidth="1"/>
    <col min="9221" max="9221" width="28.1796875" style="12" customWidth="1"/>
    <col min="9222" max="9222" width="11.453125" style="12" customWidth="1"/>
    <col min="9223" max="9223" width="11.81640625" style="12" customWidth="1"/>
    <col min="9224" max="9224" width="6.54296875" style="12" customWidth="1"/>
    <col min="9225" max="9472" width="9.1796875" style="12"/>
    <col min="9473" max="9473" width="1.81640625" style="12" customWidth="1"/>
    <col min="9474" max="9474" width="24.1796875" style="12" customWidth="1"/>
    <col min="9475" max="9476" width="16" style="12" customWidth="1"/>
    <col min="9477" max="9477" width="28.1796875" style="12" customWidth="1"/>
    <col min="9478" max="9478" width="11.453125" style="12" customWidth="1"/>
    <col min="9479" max="9479" width="11.81640625" style="12" customWidth="1"/>
    <col min="9480" max="9480" width="6.54296875" style="12" customWidth="1"/>
    <col min="9481" max="9728" width="9.1796875" style="12"/>
    <col min="9729" max="9729" width="1.81640625" style="12" customWidth="1"/>
    <col min="9730" max="9730" width="24.1796875" style="12" customWidth="1"/>
    <col min="9731" max="9732" width="16" style="12" customWidth="1"/>
    <col min="9733" max="9733" width="28.1796875" style="12" customWidth="1"/>
    <col min="9734" max="9734" width="11.453125" style="12" customWidth="1"/>
    <col min="9735" max="9735" width="11.81640625" style="12" customWidth="1"/>
    <col min="9736" max="9736" width="6.54296875" style="12" customWidth="1"/>
    <col min="9737" max="9984" width="9.1796875" style="12"/>
    <col min="9985" max="9985" width="1.81640625" style="12" customWidth="1"/>
    <col min="9986" max="9986" width="24.1796875" style="12" customWidth="1"/>
    <col min="9987" max="9988" width="16" style="12" customWidth="1"/>
    <col min="9989" max="9989" width="28.1796875" style="12" customWidth="1"/>
    <col min="9990" max="9990" width="11.453125" style="12" customWidth="1"/>
    <col min="9991" max="9991" width="11.81640625" style="12" customWidth="1"/>
    <col min="9992" max="9992" width="6.54296875" style="12" customWidth="1"/>
    <col min="9993" max="10240" width="9.1796875" style="12"/>
    <col min="10241" max="10241" width="1.81640625" style="12" customWidth="1"/>
    <col min="10242" max="10242" width="24.1796875" style="12" customWidth="1"/>
    <col min="10243" max="10244" width="16" style="12" customWidth="1"/>
    <col min="10245" max="10245" width="28.1796875" style="12" customWidth="1"/>
    <col min="10246" max="10246" width="11.453125" style="12" customWidth="1"/>
    <col min="10247" max="10247" width="11.81640625" style="12" customWidth="1"/>
    <col min="10248" max="10248" width="6.54296875" style="12" customWidth="1"/>
    <col min="10249" max="10496" width="9.1796875" style="12"/>
    <col min="10497" max="10497" width="1.81640625" style="12" customWidth="1"/>
    <col min="10498" max="10498" width="24.1796875" style="12" customWidth="1"/>
    <col min="10499" max="10500" width="16" style="12" customWidth="1"/>
    <col min="10501" max="10501" width="28.1796875" style="12" customWidth="1"/>
    <col min="10502" max="10502" width="11.453125" style="12" customWidth="1"/>
    <col min="10503" max="10503" width="11.81640625" style="12" customWidth="1"/>
    <col min="10504" max="10504" width="6.54296875" style="12" customWidth="1"/>
    <col min="10505" max="10752" width="9.1796875" style="12"/>
    <col min="10753" max="10753" width="1.81640625" style="12" customWidth="1"/>
    <col min="10754" max="10754" width="24.1796875" style="12" customWidth="1"/>
    <col min="10755" max="10756" width="16" style="12" customWidth="1"/>
    <col min="10757" max="10757" width="28.1796875" style="12" customWidth="1"/>
    <col min="10758" max="10758" width="11.453125" style="12" customWidth="1"/>
    <col min="10759" max="10759" width="11.81640625" style="12" customWidth="1"/>
    <col min="10760" max="10760" width="6.54296875" style="12" customWidth="1"/>
    <col min="10761" max="11008" width="9.1796875" style="12"/>
    <col min="11009" max="11009" width="1.81640625" style="12" customWidth="1"/>
    <col min="11010" max="11010" width="24.1796875" style="12" customWidth="1"/>
    <col min="11011" max="11012" width="16" style="12" customWidth="1"/>
    <col min="11013" max="11013" width="28.1796875" style="12" customWidth="1"/>
    <col min="11014" max="11014" width="11.453125" style="12" customWidth="1"/>
    <col min="11015" max="11015" width="11.81640625" style="12" customWidth="1"/>
    <col min="11016" max="11016" width="6.54296875" style="12" customWidth="1"/>
    <col min="11017" max="11264" width="9.1796875" style="12"/>
    <col min="11265" max="11265" width="1.81640625" style="12" customWidth="1"/>
    <col min="11266" max="11266" width="24.1796875" style="12" customWidth="1"/>
    <col min="11267" max="11268" width="16" style="12" customWidth="1"/>
    <col min="11269" max="11269" width="28.1796875" style="12" customWidth="1"/>
    <col min="11270" max="11270" width="11.453125" style="12" customWidth="1"/>
    <col min="11271" max="11271" width="11.81640625" style="12" customWidth="1"/>
    <col min="11272" max="11272" width="6.54296875" style="12" customWidth="1"/>
    <col min="11273" max="11520" width="9.1796875" style="12"/>
    <col min="11521" max="11521" width="1.81640625" style="12" customWidth="1"/>
    <col min="11522" max="11522" width="24.1796875" style="12" customWidth="1"/>
    <col min="11523" max="11524" width="16" style="12" customWidth="1"/>
    <col min="11525" max="11525" width="28.1796875" style="12" customWidth="1"/>
    <col min="11526" max="11526" width="11.453125" style="12" customWidth="1"/>
    <col min="11527" max="11527" width="11.81640625" style="12" customWidth="1"/>
    <col min="11528" max="11528" width="6.54296875" style="12" customWidth="1"/>
    <col min="11529" max="11776" width="9.1796875" style="12"/>
    <col min="11777" max="11777" width="1.81640625" style="12" customWidth="1"/>
    <col min="11778" max="11778" width="24.1796875" style="12" customWidth="1"/>
    <col min="11779" max="11780" width="16" style="12" customWidth="1"/>
    <col min="11781" max="11781" width="28.1796875" style="12" customWidth="1"/>
    <col min="11782" max="11782" width="11.453125" style="12" customWidth="1"/>
    <col min="11783" max="11783" width="11.81640625" style="12" customWidth="1"/>
    <col min="11784" max="11784" width="6.54296875" style="12" customWidth="1"/>
    <col min="11785" max="12032" width="9.1796875" style="12"/>
    <col min="12033" max="12033" width="1.81640625" style="12" customWidth="1"/>
    <col min="12034" max="12034" width="24.1796875" style="12" customWidth="1"/>
    <col min="12035" max="12036" width="16" style="12" customWidth="1"/>
    <col min="12037" max="12037" width="28.1796875" style="12" customWidth="1"/>
    <col min="12038" max="12038" width="11.453125" style="12" customWidth="1"/>
    <col min="12039" max="12039" width="11.81640625" style="12" customWidth="1"/>
    <col min="12040" max="12040" width="6.54296875" style="12" customWidth="1"/>
    <col min="12041" max="12288" width="9.1796875" style="12"/>
    <col min="12289" max="12289" width="1.81640625" style="12" customWidth="1"/>
    <col min="12290" max="12290" width="24.1796875" style="12" customWidth="1"/>
    <col min="12291" max="12292" width="16" style="12" customWidth="1"/>
    <col min="12293" max="12293" width="28.1796875" style="12" customWidth="1"/>
    <col min="12294" max="12294" width="11.453125" style="12" customWidth="1"/>
    <col min="12295" max="12295" width="11.81640625" style="12" customWidth="1"/>
    <col min="12296" max="12296" width="6.54296875" style="12" customWidth="1"/>
    <col min="12297" max="12544" width="9.1796875" style="12"/>
    <col min="12545" max="12545" width="1.81640625" style="12" customWidth="1"/>
    <col min="12546" max="12546" width="24.1796875" style="12" customWidth="1"/>
    <col min="12547" max="12548" width="16" style="12" customWidth="1"/>
    <col min="12549" max="12549" width="28.1796875" style="12" customWidth="1"/>
    <col min="12550" max="12550" width="11.453125" style="12" customWidth="1"/>
    <col min="12551" max="12551" width="11.81640625" style="12" customWidth="1"/>
    <col min="12552" max="12552" width="6.54296875" style="12" customWidth="1"/>
    <col min="12553" max="12800" width="9.1796875" style="12"/>
    <col min="12801" max="12801" width="1.81640625" style="12" customWidth="1"/>
    <col min="12802" max="12802" width="24.1796875" style="12" customWidth="1"/>
    <col min="12803" max="12804" width="16" style="12" customWidth="1"/>
    <col min="12805" max="12805" width="28.1796875" style="12" customWidth="1"/>
    <col min="12806" max="12806" width="11.453125" style="12" customWidth="1"/>
    <col min="12807" max="12807" width="11.81640625" style="12" customWidth="1"/>
    <col min="12808" max="12808" width="6.54296875" style="12" customWidth="1"/>
    <col min="12809" max="13056" width="9.1796875" style="12"/>
    <col min="13057" max="13057" width="1.81640625" style="12" customWidth="1"/>
    <col min="13058" max="13058" width="24.1796875" style="12" customWidth="1"/>
    <col min="13059" max="13060" width="16" style="12" customWidth="1"/>
    <col min="13061" max="13061" width="28.1796875" style="12" customWidth="1"/>
    <col min="13062" max="13062" width="11.453125" style="12" customWidth="1"/>
    <col min="13063" max="13063" width="11.81640625" style="12" customWidth="1"/>
    <col min="13064" max="13064" width="6.54296875" style="12" customWidth="1"/>
    <col min="13065" max="13312" width="9.1796875" style="12"/>
    <col min="13313" max="13313" width="1.81640625" style="12" customWidth="1"/>
    <col min="13314" max="13314" width="24.1796875" style="12" customWidth="1"/>
    <col min="13315" max="13316" width="16" style="12" customWidth="1"/>
    <col min="13317" max="13317" width="28.1796875" style="12" customWidth="1"/>
    <col min="13318" max="13318" width="11.453125" style="12" customWidth="1"/>
    <col min="13319" max="13319" width="11.81640625" style="12" customWidth="1"/>
    <col min="13320" max="13320" width="6.54296875" style="12" customWidth="1"/>
    <col min="13321" max="13568" width="9.1796875" style="12"/>
    <col min="13569" max="13569" width="1.81640625" style="12" customWidth="1"/>
    <col min="13570" max="13570" width="24.1796875" style="12" customWidth="1"/>
    <col min="13571" max="13572" width="16" style="12" customWidth="1"/>
    <col min="13573" max="13573" width="28.1796875" style="12" customWidth="1"/>
    <col min="13574" max="13574" width="11.453125" style="12" customWidth="1"/>
    <col min="13575" max="13575" width="11.81640625" style="12" customWidth="1"/>
    <col min="13576" max="13576" width="6.54296875" style="12" customWidth="1"/>
    <col min="13577" max="13824" width="9.1796875" style="12"/>
    <col min="13825" max="13825" width="1.81640625" style="12" customWidth="1"/>
    <col min="13826" max="13826" width="24.1796875" style="12" customWidth="1"/>
    <col min="13827" max="13828" width="16" style="12" customWidth="1"/>
    <col min="13829" max="13829" width="28.1796875" style="12" customWidth="1"/>
    <col min="13830" max="13830" width="11.453125" style="12" customWidth="1"/>
    <col min="13831" max="13831" width="11.81640625" style="12" customWidth="1"/>
    <col min="13832" max="13832" width="6.54296875" style="12" customWidth="1"/>
    <col min="13833" max="14080" width="9.1796875" style="12"/>
    <col min="14081" max="14081" width="1.81640625" style="12" customWidth="1"/>
    <col min="14082" max="14082" width="24.1796875" style="12" customWidth="1"/>
    <col min="14083" max="14084" width="16" style="12" customWidth="1"/>
    <col min="14085" max="14085" width="28.1796875" style="12" customWidth="1"/>
    <col min="14086" max="14086" width="11.453125" style="12" customWidth="1"/>
    <col min="14087" max="14087" width="11.81640625" style="12" customWidth="1"/>
    <col min="14088" max="14088" width="6.54296875" style="12" customWidth="1"/>
    <col min="14089" max="14336" width="9.1796875" style="12"/>
    <col min="14337" max="14337" width="1.81640625" style="12" customWidth="1"/>
    <col min="14338" max="14338" width="24.1796875" style="12" customWidth="1"/>
    <col min="14339" max="14340" width="16" style="12" customWidth="1"/>
    <col min="14341" max="14341" width="28.1796875" style="12" customWidth="1"/>
    <col min="14342" max="14342" width="11.453125" style="12" customWidth="1"/>
    <col min="14343" max="14343" width="11.81640625" style="12" customWidth="1"/>
    <col min="14344" max="14344" width="6.54296875" style="12" customWidth="1"/>
    <col min="14345" max="14592" width="9.1796875" style="12"/>
    <col min="14593" max="14593" width="1.81640625" style="12" customWidth="1"/>
    <col min="14594" max="14594" width="24.1796875" style="12" customWidth="1"/>
    <col min="14595" max="14596" width="16" style="12" customWidth="1"/>
    <col min="14597" max="14597" width="28.1796875" style="12" customWidth="1"/>
    <col min="14598" max="14598" width="11.453125" style="12" customWidth="1"/>
    <col min="14599" max="14599" width="11.81640625" style="12" customWidth="1"/>
    <col min="14600" max="14600" width="6.54296875" style="12" customWidth="1"/>
    <col min="14601" max="14848" width="9.1796875" style="12"/>
    <col min="14849" max="14849" width="1.81640625" style="12" customWidth="1"/>
    <col min="14850" max="14850" width="24.1796875" style="12" customWidth="1"/>
    <col min="14851" max="14852" width="16" style="12" customWidth="1"/>
    <col min="14853" max="14853" width="28.1796875" style="12" customWidth="1"/>
    <col min="14854" max="14854" width="11.453125" style="12" customWidth="1"/>
    <col min="14855" max="14855" width="11.81640625" style="12" customWidth="1"/>
    <col min="14856" max="14856" width="6.54296875" style="12" customWidth="1"/>
    <col min="14857" max="15104" width="9.1796875" style="12"/>
    <col min="15105" max="15105" width="1.81640625" style="12" customWidth="1"/>
    <col min="15106" max="15106" width="24.1796875" style="12" customWidth="1"/>
    <col min="15107" max="15108" width="16" style="12" customWidth="1"/>
    <col min="15109" max="15109" width="28.1796875" style="12" customWidth="1"/>
    <col min="15110" max="15110" width="11.453125" style="12" customWidth="1"/>
    <col min="15111" max="15111" width="11.81640625" style="12" customWidth="1"/>
    <col min="15112" max="15112" width="6.54296875" style="12" customWidth="1"/>
    <col min="15113" max="15360" width="9.1796875" style="12"/>
    <col min="15361" max="15361" width="1.81640625" style="12" customWidth="1"/>
    <col min="15362" max="15362" width="24.1796875" style="12" customWidth="1"/>
    <col min="15363" max="15364" width="16" style="12" customWidth="1"/>
    <col min="15365" max="15365" width="28.1796875" style="12" customWidth="1"/>
    <col min="15366" max="15366" width="11.453125" style="12" customWidth="1"/>
    <col min="15367" max="15367" width="11.81640625" style="12" customWidth="1"/>
    <col min="15368" max="15368" width="6.54296875" style="12" customWidth="1"/>
    <col min="15369" max="15616" width="9.1796875" style="12"/>
    <col min="15617" max="15617" width="1.81640625" style="12" customWidth="1"/>
    <col min="15618" max="15618" width="24.1796875" style="12" customWidth="1"/>
    <col min="15619" max="15620" width="16" style="12" customWidth="1"/>
    <col min="15621" max="15621" width="28.1796875" style="12" customWidth="1"/>
    <col min="15622" max="15622" width="11.453125" style="12" customWidth="1"/>
    <col min="15623" max="15623" width="11.81640625" style="12" customWidth="1"/>
    <col min="15624" max="15624" width="6.54296875" style="12" customWidth="1"/>
    <col min="15625" max="15872" width="9.1796875" style="12"/>
    <col min="15873" max="15873" width="1.81640625" style="12" customWidth="1"/>
    <col min="15874" max="15874" width="24.1796875" style="12" customWidth="1"/>
    <col min="15875" max="15876" width="16" style="12" customWidth="1"/>
    <col min="15877" max="15877" width="28.1796875" style="12" customWidth="1"/>
    <col min="15878" max="15878" width="11.453125" style="12" customWidth="1"/>
    <col min="15879" max="15879" width="11.81640625" style="12" customWidth="1"/>
    <col min="15880" max="15880" width="6.54296875" style="12" customWidth="1"/>
    <col min="15881" max="16128" width="9.1796875" style="12"/>
    <col min="16129" max="16129" width="1.81640625" style="12" customWidth="1"/>
    <col min="16130" max="16130" width="24.1796875" style="12" customWidth="1"/>
    <col min="16131" max="16132" width="16" style="12" customWidth="1"/>
    <col min="16133" max="16133" width="28.1796875" style="12" customWidth="1"/>
    <col min="16134" max="16134" width="11.453125" style="12" customWidth="1"/>
    <col min="16135" max="16135" width="11.81640625" style="12" customWidth="1"/>
    <col min="16136" max="16136" width="6.54296875" style="12" customWidth="1"/>
    <col min="16137" max="16384" width="9.1796875" style="12"/>
  </cols>
  <sheetData>
    <row r="1" spans="1:7" ht="17.5">
      <c r="A1" s="279" t="s">
        <v>355</v>
      </c>
      <c r="B1" s="279"/>
      <c r="C1" s="279"/>
      <c r="D1" s="279"/>
      <c r="E1" s="279"/>
      <c r="F1" s="279"/>
    </row>
    <row r="2" spans="1:7" ht="17.5">
      <c r="A2" s="279" t="s">
        <v>356</v>
      </c>
      <c r="B2" s="279"/>
      <c r="C2" s="279"/>
      <c r="D2" s="279"/>
      <c r="E2" s="279"/>
      <c r="F2" s="279"/>
    </row>
    <row r="3" spans="1:7" ht="15.5">
      <c r="A3" s="280" t="s">
        <v>357</v>
      </c>
      <c r="B3" s="280"/>
      <c r="C3" s="280"/>
      <c r="D3" s="280"/>
      <c r="E3" s="280"/>
      <c r="F3" s="280"/>
    </row>
    <row r="4" spans="1:7" ht="15.5">
      <c r="A4" s="281" t="s">
        <v>408</v>
      </c>
      <c r="B4" s="281"/>
      <c r="C4" s="281"/>
      <c r="D4" s="281"/>
      <c r="E4" s="281"/>
      <c r="F4" s="281"/>
    </row>
    <row r="5" spans="1:7" s="26" customFormat="1" ht="79.5" customHeight="1">
      <c r="A5" s="222"/>
      <c r="B5" s="222"/>
      <c r="C5" s="222"/>
      <c r="D5" s="223"/>
      <c r="E5" s="224"/>
      <c r="F5" s="225" t="s">
        <v>25</v>
      </c>
    </row>
    <row r="6" spans="1:7" s="27" customFormat="1" ht="56.25" customHeight="1">
      <c r="A6" s="222"/>
      <c r="B6" s="222"/>
      <c r="C6" s="222"/>
      <c r="D6" s="222"/>
      <c r="E6" s="226"/>
      <c r="F6" s="226"/>
    </row>
    <row r="7" spans="1:7" s="27" customFormat="1" ht="9.75" customHeight="1">
      <c r="A7" s="222" t="s">
        <v>358</v>
      </c>
      <c r="B7" s="222"/>
      <c r="C7" s="222"/>
      <c r="D7" s="222"/>
      <c r="E7" s="226"/>
      <c r="F7" s="226"/>
    </row>
    <row r="8" spans="1:7" s="27" customFormat="1" ht="15" customHeight="1">
      <c r="A8" s="222"/>
      <c r="B8" s="227" t="s">
        <v>359</v>
      </c>
      <c r="C8" s="222"/>
      <c r="D8" s="222"/>
      <c r="E8" s="228">
        <v>1096737.27</v>
      </c>
      <c r="F8" s="226"/>
    </row>
    <row r="9" spans="1:7" s="26" customFormat="1" ht="26.25" customHeight="1">
      <c r="A9" s="229"/>
      <c r="B9" s="227" t="s">
        <v>360</v>
      </c>
      <c r="C9" s="222"/>
      <c r="D9" s="222"/>
      <c r="E9" s="230">
        <v>0</v>
      </c>
      <c r="F9" s="231">
        <f>+E8+E9</f>
        <v>1096737.27</v>
      </c>
      <c r="G9" s="219">
        <f>F9-TB!C6-E9</f>
        <v>0</v>
      </c>
    </row>
    <row r="10" spans="1:7" ht="26.25" customHeight="1">
      <c r="A10" s="222"/>
      <c r="B10" s="222"/>
      <c r="C10" s="222"/>
      <c r="D10" s="222"/>
      <c r="E10" s="226"/>
      <c r="F10" s="232"/>
    </row>
    <row r="11" spans="1:7" ht="26.25" customHeight="1">
      <c r="A11" s="222" t="s">
        <v>361</v>
      </c>
      <c r="B11" s="222"/>
      <c r="C11" s="222"/>
      <c r="D11" s="229"/>
      <c r="E11" s="226"/>
      <c r="F11" s="231"/>
    </row>
    <row r="12" spans="1:7" ht="25" customHeight="1">
      <c r="A12" s="233" t="s">
        <v>108</v>
      </c>
      <c r="B12" s="233" t="s">
        <v>362</v>
      </c>
      <c r="C12" s="233" t="s">
        <v>46</v>
      </c>
      <c r="D12" s="229"/>
      <c r="E12" s="226"/>
      <c r="F12" s="231"/>
    </row>
    <row r="13" spans="1:7" ht="33" customHeight="1">
      <c r="A13" s="234"/>
      <c r="B13" s="235"/>
      <c r="C13" s="236"/>
      <c r="D13" s="237"/>
      <c r="E13" s="226"/>
      <c r="F13" s="231"/>
    </row>
    <row r="14" spans="1:7" ht="26.25" customHeight="1">
      <c r="A14" s="234"/>
      <c r="B14" s="235"/>
      <c r="C14" s="236"/>
      <c r="D14" s="237"/>
      <c r="E14" s="226"/>
      <c r="F14" s="231"/>
    </row>
    <row r="15" spans="1:7" ht="26.25" customHeight="1">
      <c r="A15" s="222"/>
      <c r="B15" s="235"/>
      <c r="C15" s="238"/>
      <c r="D15" s="229"/>
      <c r="E15" s="226"/>
      <c r="F15" s="231"/>
    </row>
    <row r="16" spans="1:7" ht="26.25" customHeight="1">
      <c r="A16" s="222"/>
      <c r="B16" s="235"/>
      <c r="C16" s="238"/>
      <c r="D16" s="229"/>
      <c r="E16" s="226"/>
      <c r="F16" s="231"/>
    </row>
    <row r="17" spans="1:7" ht="26.25" customHeight="1">
      <c r="A17" s="222"/>
      <c r="B17" s="235"/>
      <c r="C17" s="238"/>
      <c r="D17" s="229"/>
      <c r="E17" s="226"/>
      <c r="F17" s="231"/>
    </row>
    <row r="18" spans="1:7" ht="26.25" customHeight="1">
      <c r="A18" s="222"/>
      <c r="B18" s="235"/>
      <c r="C18" s="238"/>
      <c r="D18" s="229"/>
      <c r="E18" s="226"/>
      <c r="F18" s="231"/>
    </row>
    <row r="19" spans="1:7" ht="25" customHeight="1">
      <c r="A19" s="222"/>
      <c r="B19" s="239"/>
      <c r="C19" s="240"/>
      <c r="D19" s="229"/>
      <c r="E19" s="226"/>
      <c r="F19" s="231"/>
    </row>
    <row r="20" spans="1:7" ht="26.25" customHeight="1">
      <c r="A20" s="222"/>
      <c r="B20" s="239"/>
      <c r="C20" s="240"/>
      <c r="D20" s="229"/>
      <c r="E20" s="226"/>
      <c r="F20" s="231"/>
    </row>
    <row r="21" spans="1:7" ht="22.5" customHeight="1">
      <c r="A21" s="222"/>
      <c r="B21" s="241"/>
      <c r="C21" s="242"/>
      <c r="D21" s="229"/>
      <c r="E21" s="226"/>
      <c r="F21" s="231"/>
    </row>
    <row r="22" spans="1:7" ht="26.25" customHeight="1">
      <c r="A22" s="222"/>
      <c r="B22" s="229"/>
      <c r="C22" s="229"/>
      <c r="D22" s="229"/>
      <c r="E22" s="243"/>
      <c r="F22" s="231"/>
      <c r="G22" s="28"/>
    </row>
    <row r="23" spans="1:7" ht="26.25" customHeight="1">
      <c r="A23" s="222" t="s">
        <v>6</v>
      </c>
      <c r="B23" s="244" t="s">
        <v>363</v>
      </c>
      <c r="C23" s="244"/>
      <c r="D23" s="244"/>
      <c r="E23" s="245"/>
      <c r="F23" s="246">
        <f>SUM(C13:C21)</f>
        <v>0</v>
      </c>
      <c r="G23" s="28"/>
    </row>
    <row r="24" spans="1:7" ht="26.25" customHeight="1">
      <c r="A24" s="244"/>
      <c r="B24" s="222"/>
      <c r="C24" s="222"/>
      <c r="D24" s="222"/>
      <c r="E24" s="226"/>
      <c r="F24" s="231"/>
      <c r="G24" s="28"/>
    </row>
    <row r="25" spans="1:7" ht="25" customHeight="1">
      <c r="A25" s="244"/>
      <c r="B25" s="222"/>
      <c r="C25" s="222"/>
      <c r="D25" s="222"/>
      <c r="E25" s="226"/>
      <c r="F25" s="231"/>
      <c r="G25" s="28"/>
    </row>
    <row r="26" spans="1:7" ht="26.25" customHeight="1">
      <c r="A26" s="244"/>
      <c r="B26" s="222"/>
      <c r="C26" s="222"/>
      <c r="D26" s="222"/>
      <c r="E26" s="226"/>
      <c r="F26" s="231"/>
      <c r="G26" s="28"/>
    </row>
    <row r="27" spans="1:7" ht="26.25" customHeight="1">
      <c r="A27" s="244" t="s">
        <v>364</v>
      </c>
      <c r="B27" s="244"/>
      <c r="C27" s="244"/>
      <c r="D27" s="222" t="s">
        <v>6</v>
      </c>
      <c r="E27" s="226"/>
      <c r="F27" s="231">
        <f>F9+F23</f>
        <v>1096737.27</v>
      </c>
      <c r="G27" s="28"/>
    </row>
    <row r="28" spans="1:7" s="29" customFormat="1" ht="39.75" customHeight="1">
      <c r="A28" s="222"/>
      <c r="B28" s="244" t="s">
        <v>6</v>
      </c>
      <c r="C28" s="244"/>
      <c r="D28" s="222" t="s">
        <v>6</v>
      </c>
      <c r="E28" s="226"/>
      <c r="F28" s="231"/>
    </row>
    <row r="29" spans="1:7" s="29" customFormat="1" ht="30" customHeight="1">
      <c r="A29" s="222" t="s">
        <v>365</v>
      </c>
      <c r="B29" s="244"/>
      <c r="C29" s="244"/>
      <c r="D29" s="222"/>
      <c r="E29" s="226"/>
      <c r="F29" s="231"/>
    </row>
    <row r="30" spans="1:7" ht="30" customHeight="1">
      <c r="A30" s="222"/>
      <c r="B30" s="244"/>
      <c r="C30" s="244"/>
      <c r="D30" s="222"/>
      <c r="E30" s="226"/>
      <c r="F30" s="231"/>
    </row>
    <row r="31" spans="1:7">
      <c r="A31" s="222"/>
      <c r="B31" s="233" t="s">
        <v>362</v>
      </c>
      <c r="C31" s="222"/>
      <c r="D31" s="233" t="s">
        <v>46</v>
      </c>
      <c r="E31" s="226"/>
      <c r="F31" s="231"/>
    </row>
    <row r="32" spans="1:7">
      <c r="A32" s="247"/>
      <c r="B32" s="248"/>
      <c r="C32" s="229"/>
      <c r="D32" s="34"/>
      <c r="E32" s="226"/>
      <c r="F32" s="231"/>
    </row>
    <row r="33" spans="1:6">
      <c r="A33" s="249"/>
      <c r="B33" s="249"/>
      <c r="C33" s="248"/>
      <c r="D33" s="34"/>
      <c r="E33" s="226"/>
      <c r="F33" s="231"/>
    </row>
    <row r="34" spans="1:6">
      <c r="A34" s="222"/>
      <c r="B34" s="247"/>
      <c r="C34" s="248"/>
      <c r="D34" s="34"/>
      <c r="E34" s="226"/>
      <c r="F34" s="231"/>
    </row>
    <row r="35" spans="1:6">
      <c r="A35" s="222"/>
      <c r="B35" s="250"/>
      <c r="C35" s="248"/>
      <c r="D35" s="34"/>
      <c r="E35" s="226"/>
      <c r="F35" s="231"/>
    </row>
    <row r="36" spans="1:6">
      <c r="A36" s="222"/>
      <c r="B36" s="244" t="s">
        <v>366</v>
      </c>
      <c r="D36" s="34"/>
      <c r="E36" s="226"/>
      <c r="F36" s="231">
        <f>SUM(D32:D34)</f>
        <v>0</v>
      </c>
    </row>
    <row r="37" spans="1:6">
      <c r="A37" s="222"/>
      <c r="B37" s="244"/>
      <c r="C37" s="244"/>
      <c r="D37" s="222"/>
      <c r="E37" s="226"/>
      <c r="F37" s="231"/>
    </row>
    <row r="38" spans="1:6">
      <c r="A38" s="222" t="s">
        <v>367</v>
      </c>
      <c r="B38" s="222"/>
      <c r="C38" s="222"/>
      <c r="D38" s="222"/>
      <c r="E38" s="226"/>
      <c r="F38" s="231"/>
    </row>
    <row r="39" spans="1:6">
      <c r="A39" s="244" t="s">
        <v>6</v>
      </c>
      <c r="B39" s="223"/>
      <c r="C39" s="222"/>
      <c r="D39" s="225"/>
      <c r="E39" s="226"/>
      <c r="F39" s="231"/>
    </row>
    <row r="40" spans="1:6">
      <c r="A40" s="244" t="s">
        <v>6</v>
      </c>
      <c r="B40" s="244" t="s">
        <v>368</v>
      </c>
      <c r="C40" s="222"/>
      <c r="D40" s="222"/>
      <c r="E40" s="226"/>
      <c r="F40" s="246">
        <f>+D39</f>
        <v>0</v>
      </c>
    </row>
    <row r="41" spans="1:6">
      <c r="A41" s="244"/>
      <c r="B41" s="222"/>
      <c r="C41" s="222"/>
      <c r="D41" s="222" t="s">
        <v>6</v>
      </c>
      <c r="E41" s="226"/>
      <c r="F41" s="231"/>
    </row>
    <row r="42" spans="1:6">
      <c r="A42" s="244" t="s">
        <v>369</v>
      </c>
      <c r="B42" s="222"/>
      <c r="C42" s="222"/>
      <c r="D42" s="222"/>
      <c r="E42" s="226"/>
      <c r="F42" s="231">
        <f>F27-F40-F36</f>
        <v>1096737.27</v>
      </c>
    </row>
    <row r="43" spans="1:6">
      <c r="A43" s="244"/>
      <c r="B43" s="222"/>
      <c r="C43" s="222"/>
      <c r="D43" s="222" t="s">
        <v>6</v>
      </c>
      <c r="E43" s="226"/>
      <c r="F43" s="231" t="s">
        <v>6</v>
      </c>
    </row>
    <row r="44" spans="1:6">
      <c r="A44" s="244"/>
      <c r="B44" s="222"/>
      <c r="C44" s="222"/>
      <c r="D44" s="222" t="s">
        <v>6</v>
      </c>
      <c r="E44" s="226"/>
      <c r="F44" s="231" t="s">
        <v>6</v>
      </c>
    </row>
    <row r="45" spans="1:6">
      <c r="A45" s="222" t="s">
        <v>370</v>
      </c>
      <c r="B45" s="222"/>
      <c r="C45" s="222"/>
      <c r="D45" s="222"/>
      <c r="E45" s="226"/>
      <c r="F45" s="252">
        <v>1096737.27</v>
      </c>
    </row>
    <row r="46" spans="1:6">
      <c r="A46" s="244"/>
      <c r="B46" s="222"/>
      <c r="C46" s="222"/>
      <c r="D46" s="222"/>
      <c r="E46" s="226"/>
      <c r="F46" s="231"/>
    </row>
    <row r="47" spans="1:6" ht="15" thickBot="1">
      <c r="A47" s="244" t="s">
        <v>318</v>
      </c>
      <c r="B47" s="222"/>
      <c r="C47" s="222"/>
      <c r="D47" s="222"/>
      <c r="E47" s="226"/>
      <c r="F47" s="253">
        <f>F42-F45</f>
        <v>0</v>
      </c>
    </row>
    <row r="48" spans="1:6" ht="15.5" thickTop="1" thickBot="1">
      <c r="A48" s="254"/>
      <c r="B48" s="254"/>
      <c r="C48" s="254"/>
      <c r="D48" s="255" t="s">
        <v>6</v>
      </c>
      <c r="E48" s="256"/>
      <c r="F48" s="256"/>
    </row>
    <row r="49" spans="1:6" ht="15.5">
      <c r="A49" s="257"/>
      <c r="B49" s="257"/>
      <c r="C49" s="257"/>
      <c r="D49" s="258"/>
      <c r="E49" s="259"/>
      <c r="F49" s="260"/>
    </row>
    <row r="50" spans="1:6" ht="15.5">
      <c r="A50" s="269"/>
      <c r="B50" s="269"/>
      <c r="C50" s="270"/>
      <c r="D50" s="270"/>
      <c r="E50" s="261"/>
      <c r="F50" s="260"/>
    </row>
    <row r="51" spans="1:6">
      <c r="A51" s="257"/>
      <c r="B51" s="257"/>
      <c r="C51" s="257"/>
      <c r="D51" s="258"/>
      <c r="E51" s="259" t="s">
        <v>6</v>
      </c>
      <c r="F51" s="271"/>
    </row>
    <row r="52" spans="1:6" ht="15.5">
      <c r="A52" s="262"/>
      <c r="B52" s="262"/>
      <c r="C52" s="263"/>
      <c r="D52" s="263"/>
      <c r="E52" s="261"/>
      <c r="F52" s="264"/>
    </row>
  </sheetData>
  <mergeCells count="4">
    <mergeCell ref="A1:F1"/>
    <mergeCell ref="A2:F2"/>
    <mergeCell ref="A3:F3"/>
    <mergeCell ref="A4:F4"/>
  </mergeCells>
  <pageMargins left="0.57999999999999996" right="0.55118110236220497" top="0.41" bottom="0.44" header="0.46" footer="0.511811023622047"/>
  <pageSetup paperSize="9" scale="8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3:K10"/>
  <sheetViews>
    <sheetView showGridLines="0" workbookViewId="0">
      <selection activeCell="B7" sqref="B7:I9"/>
    </sheetView>
  </sheetViews>
  <sheetFormatPr defaultRowHeight="20.149999999999999" customHeight="1"/>
  <cols>
    <col min="1" max="1" width="7.81640625" customWidth="1"/>
    <col min="2" max="2" width="15.81640625" bestFit="1" customWidth="1"/>
    <col min="3" max="3" width="12.453125" style="4" customWidth="1"/>
    <col min="4" max="4" width="20.54296875" style="4" customWidth="1"/>
    <col min="5" max="5" width="13.81640625" style="4" bestFit="1" customWidth="1"/>
    <col min="6" max="6" width="14" style="4" customWidth="1"/>
    <col min="7" max="7" width="11.1796875" bestFit="1" customWidth="1"/>
    <col min="8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120</v>
      </c>
    </row>
    <row r="6" spans="1:11" ht="20.149999999999999" customHeight="1">
      <c r="A6" s="114"/>
      <c r="B6" s="85" t="s">
        <v>121</v>
      </c>
      <c r="C6" s="85" t="s">
        <v>122</v>
      </c>
      <c r="D6" s="85" t="s">
        <v>123</v>
      </c>
      <c r="E6" s="154" t="s">
        <v>124</v>
      </c>
      <c r="F6" s="155" t="s">
        <v>264</v>
      </c>
      <c r="G6" s="155" t="s">
        <v>265</v>
      </c>
      <c r="H6" s="155" t="s">
        <v>266</v>
      </c>
      <c r="I6" s="155" t="s">
        <v>267</v>
      </c>
    </row>
    <row r="7" spans="1:11" ht="20.149999999999999" customHeight="1">
      <c r="A7" s="130"/>
      <c r="B7" s="90"/>
      <c r="C7" s="156"/>
      <c r="D7" s="90"/>
      <c r="E7" s="157"/>
      <c r="F7" s="158"/>
      <c r="G7" s="109"/>
      <c r="H7" s="158"/>
      <c r="I7" s="158"/>
    </row>
    <row r="8" spans="1:11" ht="20.149999999999999" customHeight="1">
      <c r="A8" s="130"/>
      <c r="B8" s="90"/>
      <c r="C8" s="159"/>
      <c r="D8" s="90"/>
      <c r="E8" s="157"/>
      <c r="F8" s="158"/>
      <c r="G8" s="109"/>
      <c r="H8" s="158"/>
      <c r="I8" s="158"/>
    </row>
    <row r="9" spans="1:11" ht="20.149999999999999" customHeight="1">
      <c r="A9" s="130"/>
      <c r="B9" s="90"/>
      <c r="C9" s="159"/>
      <c r="D9" s="90"/>
      <c r="E9" s="157"/>
      <c r="F9" s="158"/>
      <c r="G9" s="109"/>
      <c r="H9" s="158"/>
      <c r="I9" s="158"/>
    </row>
    <row r="10" spans="1:11" ht="20.149999999999999" customHeight="1">
      <c r="I10" s="21">
        <f>SUM(I7:I9)</f>
        <v>0</v>
      </c>
      <c r="K10" s="30">
        <f>+I10-TB!C14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18"/>
  <sheetViews>
    <sheetView showGridLines="0" workbookViewId="0">
      <selection activeCell="D20" sqref="D20"/>
    </sheetView>
  </sheetViews>
  <sheetFormatPr defaultRowHeight="20.149999999999999" customHeight="1"/>
  <cols>
    <col min="1" max="1" width="14" customWidth="1"/>
    <col min="2" max="2" width="15.81640625" bestFit="1" customWidth="1"/>
    <col min="3" max="3" width="76.1796875" style="4" bestFit="1" customWidth="1"/>
    <col min="4" max="4" width="20.54296875" style="4" customWidth="1"/>
    <col min="5" max="5" width="13.81640625" style="4" bestFit="1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87</v>
      </c>
    </row>
    <row r="6" spans="1:8" ht="20.149999999999999" customHeight="1">
      <c r="A6" s="104" t="s">
        <v>108</v>
      </c>
      <c r="B6" s="105" t="s">
        <v>125</v>
      </c>
      <c r="C6" s="106" t="s">
        <v>126</v>
      </c>
      <c r="D6" s="107" t="s">
        <v>127</v>
      </c>
      <c r="E6" s="107" t="s">
        <v>128</v>
      </c>
    </row>
    <row r="7" spans="1:8" ht="20.149999999999999" customHeight="1">
      <c r="A7" s="282"/>
      <c r="B7" s="282"/>
      <c r="C7" s="84"/>
      <c r="D7" s="101"/>
      <c r="E7" s="283"/>
    </row>
    <row r="8" spans="1:8" ht="20.149999999999999" customHeight="1">
      <c r="A8" s="282"/>
      <c r="B8" s="282"/>
      <c r="C8" s="84"/>
      <c r="D8" s="101"/>
      <c r="E8" s="284"/>
    </row>
    <row r="9" spans="1:8" ht="20.149999999999999" customHeight="1">
      <c r="A9" s="282"/>
      <c r="B9" s="282"/>
      <c r="C9" s="84"/>
      <c r="D9" s="101"/>
      <c r="E9" s="284"/>
      <c r="H9" s="30"/>
    </row>
    <row r="10" spans="1:8" ht="20.149999999999999" customHeight="1">
      <c r="A10" s="282"/>
      <c r="B10" s="282"/>
      <c r="C10" s="84"/>
      <c r="D10" s="101"/>
      <c r="E10" s="283"/>
    </row>
    <row r="11" spans="1:8" ht="20.149999999999999" customHeight="1">
      <c r="A11" s="282"/>
      <c r="B11" s="282"/>
      <c r="C11" s="84"/>
      <c r="D11" s="101"/>
      <c r="E11" s="284"/>
    </row>
    <row r="12" spans="1:8" ht="20.149999999999999" customHeight="1">
      <c r="A12" s="282"/>
      <c r="B12" s="282"/>
      <c r="C12" s="84"/>
      <c r="D12" s="101"/>
      <c r="E12" s="284"/>
    </row>
    <row r="13" spans="1:8" ht="20.149999999999999" customHeight="1">
      <c r="A13" s="282"/>
      <c r="B13" s="282"/>
      <c r="C13" s="84"/>
      <c r="D13" s="101"/>
      <c r="E13" s="284"/>
    </row>
    <row r="14" spans="1:8" ht="20.149999999999999" customHeight="1">
      <c r="A14" s="282"/>
      <c r="B14" s="282"/>
      <c r="C14" s="84"/>
      <c r="D14" s="101"/>
      <c r="E14" s="284"/>
    </row>
    <row r="15" spans="1:8" ht="20.149999999999999" customHeight="1">
      <c r="A15" s="282"/>
      <c r="B15" s="282"/>
      <c r="C15" s="84"/>
      <c r="D15" s="101"/>
      <c r="E15" s="283"/>
    </row>
    <row r="16" spans="1:8" ht="20.149999999999999" customHeight="1">
      <c r="A16" s="282"/>
      <c r="B16" s="282"/>
      <c r="C16" s="84"/>
      <c r="D16" s="101"/>
      <c r="E16" s="284"/>
    </row>
    <row r="17" spans="1:8" ht="20.149999999999999" customHeight="1">
      <c r="A17" s="108"/>
      <c r="B17" s="108"/>
      <c r="C17" s="84"/>
      <c r="D17" s="101"/>
      <c r="E17" s="109"/>
    </row>
    <row r="18" spans="1:8" ht="20.149999999999999" customHeight="1">
      <c r="A18" s="110"/>
      <c r="B18" s="111"/>
      <c r="C18" s="112" t="s">
        <v>7</v>
      </c>
      <c r="D18" s="113">
        <f>SUM(D7:D17)</f>
        <v>0</v>
      </c>
      <c r="E18" s="113">
        <f>SUM(E7:E17)</f>
        <v>0</v>
      </c>
      <c r="H18" s="79">
        <f>+E18+TB!C17</f>
        <v>0</v>
      </c>
    </row>
  </sheetData>
  <mergeCells count="9">
    <mergeCell ref="A15:A16"/>
    <mergeCell ref="B15:B16"/>
    <mergeCell ref="E15:E16"/>
    <mergeCell ref="A7:A9"/>
    <mergeCell ref="B7:B9"/>
    <mergeCell ref="E7:E9"/>
    <mergeCell ref="A10:A14"/>
    <mergeCell ref="B10:B14"/>
    <mergeCell ref="E10:E1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10"/>
  <sheetViews>
    <sheetView showGridLines="0" workbookViewId="0">
      <selection activeCell="D12" sqref="D12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7.54296875" style="4" customWidth="1"/>
    <col min="5" max="5" width="40.1796875" bestFit="1" customWidth="1"/>
    <col min="6" max="6" width="14" customWidth="1"/>
    <col min="7" max="7" width="9.54296875" bestFit="1" customWidth="1"/>
    <col min="9" max="9" width="12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263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148">
        <v>406000007</v>
      </c>
      <c r="C7" s="91">
        <v>44785</v>
      </c>
      <c r="D7" s="90" t="s">
        <v>406</v>
      </c>
      <c r="E7" s="90" t="s">
        <v>407</v>
      </c>
      <c r="F7" s="172">
        <v>14514</v>
      </c>
      <c r="K7" s="80"/>
    </row>
    <row r="8" spans="1:11" ht="20.149999999999999" customHeight="1">
      <c r="A8" s="87"/>
      <c r="B8" s="148"/>
      <c r="C8" s="91"/>
      <c r="D8" s="90"/>
      <c r="E8" s="90"/>
      <c r="F8" s="172"/>
      <c r="K8" s="80"/>
    </row>
    <row r="9" spans="1:11" ht="20.149999999999999" customHeight="1">
      <c r="A9" s="87"/>
      <c r="B9" s="90"/>
      <c r="C9" s="91"/>
      <c r="D9" s="90"/>
      <c r="E9" s="90"/>
      <c r="F9" s="92"/>
    </row>
    <row r="10" spans="1:11" ht="20.149999999999999" customHeight="1">
      <c r="F10" s="88">
        <f>SUM(F7:F9)</f>
        <v>14514</v>
      </c>
      <c r="I10" s="30">
        <f>+F10-TB!C12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8"/>
  <sheetViews>
    <sheetView showGridLines="0" workbookViewId="0">
      <selection activeCell="E14" sqref="E14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52.1796875" style="4" bestFit="1" customWidth="1"/>
    <col min="5" max="5" width="24.453125" bestFit="1" customWidth="1"/>
    <col min="6" max="6" width="1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172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F8" s="88">
        <f>SUM(F7:F7)</f>
        <v>0</v>
      </c>
      <c r="I8" s="30">
        <f>+F8-TB!C24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K14"/>
  <sheetViews>
    <sheetView showGridLines="0" workbookViewId="0">
      <selection activeCell="E13" sqref="E13"/>
    </sheetView>
  </sheetViews>
  <sheetFormatPr defaultRowHeight="20.149999999999999" customHeight="1"/>
  <cols>
    <col min="1" max="1" width="23.54296875" bestFit="1" customWidth="1"/>
    <col min="2" max="2" width="10.81640625" bestFit="1" customWidth="1"/>
    <col min="3" max="3" width="11.81640625" style="4" bestFit="1" customWidth="1"/>
    <col min="4" max="4" width="11.81640625" style="4" customWidth="1"/>
    <col min="5" max="5" width="26.81640625" bestFit="1" customWidth="1"/>
    <col min="6" max="6" width="34.54296875" customWidth="1"/>
    <col min="7" max="7" width="9.54296875" bestFit="1" customWidth="1"/>
    <col min="9" max="9" width="10.54296875" bestFit="1" customWidth="1"/>
  </cols>
  <sheetData>
    <row r="2" spans="1:11" ht="20.149999999999999" customHeight="1">
      <c r="A2" s="177" t="s">
        <v>314</v>
      </c>
      <c r="B2" s="178"/>
      <c r="C2"/>
      <c r="D2"/>
    </row>
    <row r="3" spans="1:11" ht="14.5">
      <c r="A3" s="179">
        <f>TB!A2</f>
        <v>44804</v>
      </c>
      <c r="B3" s="4"/>
      <c r="C3"/>
      <c r="D3"/>
    </row>
    <row r="5" spans="1:11" ht="26">
      <c r="A5" s="1"/>
    </row>
    <row r="6" spans="1:11" ht="26">
      <c r="A6" s="1"/>
    </row>
    <row r="7" spans="1:11" ht="20.149999999999999" customHeight="1">
      <c r="A7" s="2"/>
    </row>
    <row r="8" spans="1:11" ht="28.5" customHeight="1">
      <c r="A8" s="180" t="s">
        <v>59</v>
      </c>
      <c r="B8" s="181" t="s">
        <v>106</v>
      </c>
      <c r="C8" s="181" t="s">
        <v>108</v>
      </c>
      <c r="D8" s="182" t="s">
        <v>46</v>
      </c>
      <c r="E8" s="182" t="s">
        <v>109</v>
      </c>
    </row>
    <row r="9" spans="1:11" ht="20.149999999999999" customHeight="1">
      <c r="A9" s="3" t="s">
        <v>272</v>
      </c>
      <c r="B9" s="3">
        <v>8434200070</v>
      </c>
      <c r="C9" s="91">
        <v>43638</v>
      </c>
      <c r="D9" s="10">
        <v>513398.54</v>
      </c>
      <c r="E9" s="3" t="s">
        <v>273</v>
      </c>
      <c r="K9" s="80"/>
    </row>
    <row r="10" spans="1:11" ht="20.149999999999999" customHeight="1">
      <c r="A10" s="148" t="s">
        <v>315</v>
      </c>
      <c r="B10" s="3">
        <v>8434200096</v>
      </c>
      <c r="C10" s="183">
        <v>44538</v>
      </c>
      <c r="D10" s="184">
        <v>43559.519999999997</v>
      </c>
      <c r="E10" s="148" t="s">
        <v>316</v>
      </c>
    </row>
    <row r="11" spans="1:11" ht="20.149999999999999" customHeight="1">
      <c r="A11" s="185" t="s">
        <v>7</v>
      </c>
      <c r="B11" s="186"/>
      <c r="C11" s="186"/>
      <c r="D11" s="187">
        <f>SUM(D9:D10)</f>
        <v>556958.05999999994</v>
      </c>
      <c r="E11" s="187"/>
      <c r="I11" s="30">
        <f>+[3]TB!C15-[3]TB!C15</f>
        <v>0</v>
      </c>
    </row>
    <row r="13" spans="1:11" ht="20.149999999999999" customHeight="1">
      <c r="C13" s="188" t="s">
        <v>317</v>
      </c>
      <c r="D13" s="188">
        <f>TB!C16</f>
        <v>556958.06000000006</v>
      </c>
    </row>
    <row r="14" spans="1:11" ht="20.149999999999999" customHeight="1">
      <c r="C14" s="189" t="s">
        <v>318</v>
      </c>
      <c r="D14" s="190">
        <f>D11-D13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E13"/>
  <sheetViews>
    <sheetView showGridLines="0" workbookViewId="0">
      <selection activeCell="A7" sqref="A6:XFD7"/>
    </sheetView>
  </sheetViews>
  <sheetFormatPr defaultRowHeight="20.149999999999999" customHeight="1"/>
  <cols>
    <col min="1" max="1" width="33.81640625" customWidth="1"/>
    <col min="2" max="2" width="55.1796875" bestFit="1" customWidth="1"/>
    <col min="3" max="3" width="11.1796875" bestFit="1" customWidth="1"/>
    <col min="4" max="5" width="11.1796875" customWidth="1"/>
    <col min="6" max="6" width="11.54296875" bestFit="1" customWidth="1"/>
    <col min="12" max="12" width="11.54296875" bestFit="1" customWidth="1"/>
  </cols>
  <sheetData>
    <row r="2" spans="1:5" ht="20.149999999999999" customHeight="1">
      <c r="A2" s="191" t="s">
        <v>319</v>
      </c>
      <c r="B2" s="192"/>
    </row>
    <row r="3" spans="1:5" ht="20.149999999999999" customHeight="1">
      <c r="A3" s="179">
        <f>TB!A2</f>
        <v>44804</v>
      </c>
    </row>
    <row r="5" spans="1:5" ht="29">
      <c r="A5" s="193" t="s">
        <v>226</v>
      </c>
      <c r="B5" s="193" t="s">
        <v>129</v>
      </c>
      <c r="C5" s="194" t="s">
        <v>320</v>
      </c>
      <c r="D5" s="193" t="s">
        <v>344</v>
      </c>
      <c r="E5" s="194" t="s">
        <v>345</v>
      </c>
    </row>
    <row r="6" spans="1:5" ht="20.149999999999999" customHeight="1">
      <c r="A6" s="148" t="s">
        <v>321</v>
      </c>
      <c r="B6" s="149">
        <v>8434200092</v>
      </c>
      <c r="C6" s="150">
        <v>48334</v>
      </c>
      <c r="D6" s="150">
        <f>-48334</f>
        <v>-48334</v>
      </c>
      <c r="E6" s="150">
        <f>C6+D6</f>
        <v>0</v>
      </c>
    </row>
    <row r="7" spans="1:5" ht="20.149999999999999" customHeight="1">
      <c r="A7" s="148" t="s">
        <v>354</v>
      </c>
      <c r="B7" s="148">
        <v>8434200104</v>
      </c>
      <c r="C7" s="221"/>
      <c r="D7" s="184">
        <f>6850-6850</f>
        <v>0</v>
      </c>
      <c r="E7" s="150">
        <f>C7+D7</f>
        <v>0</v>
      </c>
    </row>
    <row r="8" spans="1:5" ht="20.149999999999999" customHeight="1">
      <c r="A8" s="148" t="s">
        <v>405</v>
      </c>
      <c r="B8" s="148">
        <v>8434200105</v>
      </c>
      <c r="C8" s="10"/>
      <c r="D8" s="4">
        <v>14893.1</v>
      </c>
      <c r="E8" s="150">
        <f t="shared" ref="E8" si="0">C8+D8</f>
        <v>14893.1</v>
      </c>
    </row>
    <row r="9" spans="1:5" ht="20.149999999999999" customHeight="1">
      <c r="A9" s="185" t="s">
        <v>7</v>
      </c>
      <c r="B9" s="185"/>
      <c r="C9" s="186">
        <f>SUM(C6:C8)</f>
        <v>48334</v>
      </c>
      <c r="D9" s="186">
        <f>SUM(D6:D8)</f>
        <v>-33440.9</v>
      </c>
      <c r="E9" s="186">
        <f>SUM(E6:E8)</f>
        <v>14893.1</v>
      </c>
    </row>
    <row r="12" spans="1:5" ht="20.149999999999999" customHeight="1">
      <c r="D12" s="188" t="s">
        <v>317</v>
      </c>
      <c r="E12" s="188">
        <f>TB!C43</f>
        <v>-14893.1</v>
      </c>
    </row>
    <row r="13" spans="1:5" ht="20.149999999999999" customHeight="1">
      <c r="D13" s="189" t="s">
        <v>318</v>
      </c>
      <c r="E13" s="190">
        <f>E9+E12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N17"/>
  <sheetViews>
    <sheetView showGridLines="0" topLeftCell="B2" workbookViewId="0">
      <selection activeCell="F15" sqref="F15"/>
    </sheetView>
  </sheetViews>
  <sheetFormatPr defaultRowHeight="20.149999999999999" customHeight="1"/>
  <cols>
    <col min="1" max="1" width="19.36328125" customWidth="1"/>
    <col min="2" max="2" width="9.1796875" bestFit="1" customWidth="1"/>
    <col min="3" max="3" width="15.1796875" style="4" bestFit="1" customWidth="1"/>
    <col min="4" max="4" width="15.1796875" style="4" customWidth="1"/>
    <col min="5" max="5" width="19.1796875" style="4" bestFit="1" customWidth="1"/>
    <col min="6" max="6" width="9.90625" style="4" bestFit="1" customWidth="1"/>
    <col min="7" max="7" width="8.90625" bestFit="1" customWidth="1"/>
    <col min="8" max="8" width="10.1796875" bestFit="1" customWidth="1"/>
    <col min="9" max="11" width="11.54296875" bestFit="1" customWidth="1"/>
    <col min="12" max="12" width="11" bestFit="1" customWidth="1"/>
    <col min="13" max="13" width="11.54296875" bestFit="1" customWidth="1"/>
    <col min="14" max="14" width="11.453125" customWidth="1"/>
  </cols>
  <sheetData>
    <row r="2" spans="1:14" ht="20.149999999999999" customHeight="1">
      <c r="A2" s="191" t="s">
        <v>322</v>
      </c>
      <c r="B2" s="192"/>
      <c r="C2"/>
      <c r="D2"/>
      <c r="E2"/>
      <c r="F2"/>
    </row>
    <row r="3" spans="1:14" ht="14.5">
      <c r="A3" s="213">
        <f>TB!A2</f>
        <v>44804</v>
      </c>
      <c r="B3" s="179"/>
    </row>
    <row r="4" spans="1:14" ht="26">
      <c r="A4" s="1"/>
    </row>
    <row r="5" spans="1:14" ht="20.149999999999999" customHeight="1">
      <c r="A5" s="2"/>
    </row>
    <row r="6" spans="1:14" ht="20.149999999999999" customHeight="1">
      <c r="A6" s="118"/>
      <c r="B6" s="119"/>
      <c r="C6"/>
      <c r="D6"/>
      <c r="E6"/>
      <c r="F6"/>
      <c r="H6" s="153"/>
      <c r="I6" s="117"/>
    </row>
    <row r="7" spans="1:14" s="197" customFormat="1" ht="26">
      <c r="A7" s="195" t="s">
        <v>323</v>
      </c>
      <c r="B7" s="217" t="s">
        <v>324</v>
      </c>
      <c r="C7" s="218" t="s">
        <v>325</v>
      </c>
      <c r="D7" s="218" t="s">
        <v>349</v>
      </c>
      <c r="E7" s="218" t="s">
        <v>326</v>
      </c>
      <c r="F7" s="195" t="s">
        <v>46</v>
      </c>
      <c r="G7" s="195" t="s">
        <v>327</v>
      </c>
      <c r="H7" s="196" t="s">
        <v>107</v>
      </c>
      <c r="I7" s="196" t="s">
        <v>328</v>
      </c>
      <c r="J7" s="196" t="s">
        <v>115</v>
      </c>
      <c r="K7" s="196" t="s">
        <v>215</v>
      </c>
      <c r="L7" s="196" t="s">
        <v>329</v>
      </c>
      <c r="M7" s="196" t="s">
        <v>330</v>
      </c>
      <c r="N7" s="196" t="s">
        <v>4</v>
      </c>
    </row>
    <row r="8" spans="1:14" ht="20.149999999999999" customHeight="1">
      <c r="A8" s="198" t="s">
        <v>393</v>
      </c>
      <c r="B8" s="198" t="s">
        <v>394</v>
      </c>
      <c r="C8" s="198" t="s">
        <v>395</v>
      </c>
      <c r="D8" s="199">
        <v>44737</v>
      </c>
      <c r="E8" s="199">
        <v>44799</v>
      </c>
      <c r="F8" s="268">
        <v>1015.35</v>
      </c>
      <c r="G8" s="200">
        <f>$A$3-E8</f>
        <v>5</v>
      </c>
      <c r="H8" s="201">
        <f>(IF(AND($G8&gt;-100,$G8&lt;31),+$F8,0))</f>
        <v>1015.35</v>
      </c>
      <c r="I8" s="201">
        <f>(IF(AND($G8&gt;30,$G8&lt;61),+$F8,0))</f>
        <v>0</v>
      </c>
      <c r="J8" s="201">
        <f>(IF(AND($G8&gt;60,$G8&lt;91),++$F8,0))</f>
        <v>0</v>
      </c>
      <c r="K8" s="201">
        <f>(IF(AND($G8&gt;90,$G8&lt;181),++$F8,0))</f>
        <v>0</v>
      </c>
      <c r="L8" s="201">
        <f>(IF(AND($G8&gt;180,$G8&lt;361),+$F8,0))</f>
        <v>0</v>
      </c>
      <c r="M8" s="202">
        <f>(IF(G8&gt;361,+C8,0))</f>
        <v>0</v>
      </c>
      <c r="N8" s="109">
        <f>SUM(H8:M8)</f>
        <v>1015.35</v>
      </c>
    </row>
    <row r="9" spans="1:14" ht="20.149999999999999" customHeight="1">
      <c r="A9" s="198" t="s">
        <v>393</v>
      </c>
      <c r="B9" s="198" t="s">
        <v>396</v>
      </c>
      <c r="C9" s="198" t="s">
        <v>397</v>
      </c>
      <c r="D9" s="199">
        <v>44733</v>
      </c>
      <c r="E9" s="199">
        <v>44799</v>
      </c>
      <c r="F9" s="268">
        <v>1837.5</v>
      </c>
      <c r="G9" s="200">
        <f t="shared" ref="G9:G10" si="0">$A$3-E9</f>
        <v>5</v>
      </c>
      <c r="H9" s="201">
        <f t="shared" ref="H9:H10" si="1">(IF(AND($G9&gt;-100,$G9&lt;31),+$F9,0))</f>
        <v>1837.5</v>
      </c>
      <c r="I9" s="201">
        <f t="shared" ref="I9:I10" si="2">(IF(AND($G9&gt;30,$G9&lt;61),+$F9,0))</f>
        <v>0</v>
      </c>
      <c r="J9" s="201">
        <f t="shared" ref="J9:J10" si="3">(IF(AND($G9&gt;60,$G9&lt;91),++$F9,0))</f>
        <v>0</v>
      </c>
      <c r="K9" s="201">
        <f t="shared" ref="K9:K10" si="4">(IF(AND($G9&gt;90,$G9&lt;181),++$F9,0))</f>
        <v>0</v>
      </c>
      <c r="L9" s="201">
        <f t="shared" ref="L9:L10" si="5">(IF(AND($G9&gt;180,$G9&lt;361),+$F9,0))</f>
        <v>0</v>
      </c>
      <c r="M9" s="202">
        <f t="shared" ref="M9:M10" si="6">(IF(G9&gt;361,+C9,0))</f>
        <v>0</v>
      </c>
      <c r="N9" s="109">
        <f t="shared" ref="N9:N10" si="7">SUM(H9:M9)</f>
        <v>1837.5</v>
      </c>
    </row>
    <row r="10" spans="1:14" ht="20.149999999999999" customHeight="1">
      <c r="A10" s="198" t="s">
        <v>393</v>
      </c>
      <c r="B10" s="198" t="s">
        <v>398</v>
      </c>
      <c r="C10" s="198" t="s">
        <v>399</v>
      </c>
      <c r="D10" s="199">
        <v>44748</v>
      </c>
      <c r="E10" s="199">
        <v>44803</v>
      </c>
      <c r="F10" s="268">
        <v>2352</v>
      </c>
      <c r="G10" s="200">
        <f t="shared" si="0"/>
        <v>1</v>
      </c>
      <c r="H10" s="201">
        <f t="shared" si="1"/>
        <v>2352</v>
      </c>
      <c r="I10" s="201">
        <f t="shared" si="2"/>
        <v>0</v>
      </c>
      <c r="J10" s="201">
        <f t="shared" si="3"/>
        <v>0</v>
      </c>
      <c r="K10" s="201">
        <f t="shared" si="4"/>
        <v>0</v>
      </c>
      <c r="L10" s="201">
        <f t="shared" si="5"/>
        <v>0</v>
      </c>
      <c r="M10" s="202">
        <f t="shared" si="6"/>
        <v>0</v>
      </c>
      <c r="N10" s="109">
        <f t="shared" si="7"/>
        <v>2352</v>
      </c>
    </row>
    <row r="11" spans="1:14" ht="20.149999999999999" customHeight="1">
      <c r="A11" s="198" t="s">
        <v>393</v>
      </c>
      <c r="B11" s="198" t="s">
        <v>400</v>
      </c>
      <c r="C11" s="198" t="s">
        <v>401</v>
      </c>
      <c r="D11" s="199">
        <v>44725</v>
      </c>
      <c r="E11" s="199">
        <v>44803</v>
      </c>
      <c r="F11" s="290">
        <v>231</v>
      </c>
      <c r="G11" s="200">
        <f>$A$3-E11</f>
        <v>1</v>
      </c>
      <c r="H11" s="201">
        <f>(IF(AND($G11&gt;-100,$G11&lt;31),+$F11,0))</f>
        <v>231</v>
      </c>
      <c r="I11" s="201">
        <f>(IF(AND($G11&gt;30,$G11&lt;61),+$F11,0))</f>
        <v>0</v>
      </c>
      <c r="J11" s="201">
        <f>(IF(AND($G11&gt;60,$G11&lt;91),++$F11,0))</f>
        <v>0</v>
      </c>
      <c r="K11" s="201">
        <f>(IF(AND($G11&gt;90,$G11&lt;181),++$F11,0))</f>
        <v>0</v>
      </c>
      <c r="L11" s="201">
        <f>(IF(AND($G11&gt;180,$G11&lt;361),+$F11,0))</f>
        <v>0</v>
      </c>
      <c r="M11" s="202">
        <f>(IF(G11&gt;361,+C11,0))</f>
        <v>0</v>
      </c>
      <c r="N11" s="109">
        <f>SUM(H11:M11)</f>
        <v>231</v>
      </c>
    </row>
    <row r="12" spans="1:14" ht="20.149999999999999" customHeight="1">
      <c r="A12" s="198" t="s">
        <v>402</v>
      </c>
      <c r="B12" s="198">
        <v>401000435</v>
      </c>
      <c r="C12" s="198" t="s">
        <v>403</v>
      </c>
      <c r="D12" s="199">
        <v>44771</v>
      </c>
      <c r="E12" s="199">
        <v>44784</v>
      </c>
      <c r="F12" s="268">
        <v>10460.27</v>
      </c>
      <c r="G12" s="200">
        <f t="shared" ref="G12:G13" si="8">$A$3-E12</f>
        <v>20</v>
      </c>
      <c r="H12" s="201">
        <f t="shared" ref="H12:H13" si="9">(IF(AND($G12&gt;-100,$G12&lt;31),+$F12,0))</f>
        <v>10460.27</v>
      </c>
      <c r="I12" s="201">
        <f t="shared" ref="I12:I13" si="10">(IF(AND($G12&gt;30,$G12&lt;61),+$F12,0))</f>
        <v>0</v>
      </c>
      <c r="J12" s="201">
        <f t="shared" ref="J12:J13" si="11">(IF(AND($G12&gt;60,$G12&lt;91),++$F12,0))</f>
        <v>0</v>
      </c>
      <c r="K12" s="201">
        <f t="shared" ref="K12:K13" si="12">(IF(AND($G12&gt;90,$G12&lt;181),++$F12,0))</f>
        <v>0</v>
      </c>
      <c r="L12" s="201">
        <f t="shared" ref="L12:L13" si="13">(IF(AND($G12&gt;180,$G12&lt;361),+$F12,0))</f>
        <v>0</v>
      </c>
      <c r="M12" s="202">
        <f t="shared" ref="M12:M13" si="14">(IF(G12&gt;361,+C12,0))</f>
        <v>0</v>
      </c>
      <c r="N12" s="109">
        <f t="shared" ref="N12:N13" si="15">SUM(H12:M12)</f>
        <v>10460.27</v>
      </c>
    </row>
    <row r="13" spans="1:14" ht="20.149999999999999" customHeight="1">
      <c r="A13" s="198" t="s">
        <v>402</v>
      </c>
      <c r="B13" s="198">
        <v>401000441</v>
      </c>
      <c r="C13" s="198" t="s">
        <v>404</v>
      </c>
      <c r="D13" s="199">
        <v>44771</v>
      </c>
      <c r="E13" s="199">
        <v>44784</v>
      </c>
      <c r="F13" s="268">
        <v>7380</v>
      </c>
      <c r="G13" s="200">
        <f t="shared" si="8"/>
        <v>20</v>
      </c>
      <c r="H13" s="201">
        <f t="shared" si="9"/>
        <v>7380</v>
      </c>
      <c r="I13" s="201">
        <f t="shared" si="10"/>
        <v>0</v>
      </c>
      <c r="J13" s="201">
        <f t="shared" si="11"/>
        <v>0</v>
      </c>
      <c r="K13" s="201">
        <f t="shared" si="12"/>
        <v>0</v>
      </c>
      <c r="L13" s="201">
        <f t="shared" si="13"/>
        <v>0</v>
      </c>
      <c r="M13" s="202">
        <f t="shared" si="14"/>
        <v>0</v>
      </c>
      <c r="N13" s="109">
        <f t="shared" si="15"/>
        <v>7380</v>
      </c>
    </row>
    <row r="14" spans="1:14" s="6" customFormat="1" ht="20.149999999999999" customHeight="1">
      <c r="A14" s="185" t="s">
        <v>4</v>
      </c>
      <c r="B14" s="195"/>
      <c r="C14" s="195"/>
      <c r="D14" s="195"/>
      <c r="E14" s="195"/>
      <c r="F14" s="203">
        <f>SUM(F8:F13)</f>
        <v>23276.120000000003</v>
      </c>
      <c r="G14" s="203">
        <f t="shared" ref="G14" si="16">SUM(G11:G11)</f>
        <v>1</v>
      </c>
      <c r="H14" s="203">
        <f t="shared" ref="H14:M14" si="17">SUM(H8:H13)</f>
        <v>23276.120000000003</v>
      </c>
      <c r="I14" s="203">
        <f t="shared" si="17"/>
        <v>0</v>
      </c>
      <c r="J14" s="203">
        <f t="shared" si="17"/>
        <v>0</v>
      </c>
      <c r="K14" s="203">
        <f t="shared" si="17"/>
        <v>0</v>
      </c>
      <c r="L14" s="203">
        <f t="shared" si="17"/>
        <v>0</v>
      </c>
      <c r="M14" s="203">
        <f t="shared" si="17"/>
        <v>0</v>
      </c>
      <c r="N14" s="203">
        <f>SUM(N8:N13)</f>
        <v>23276.120000000003</v>
      </c>
    </row>
    <row r="16" spans="1:14" ht="20.149999999999999" customHeight="1">
      <c r="M16" s="188" t="s">
        <v>317</v>
      </c>
      <c r="N16" s="188">
        <f>VLOOKUP(200110,TB!A:C,3,0)</f>
        <v>-23276.12</v>
      </c>
    </row>
    <row r="17" spans="13:14" ht="20.149999999999999" customHeight="1">
      <c r="M17" s="189" t="s">
        <v>318</v>
      </c>
      <c r="N17" s="190">
        <f>N14+N16</f>
        <v>0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G26"/>
  <sheetViews>
    <sheetView showGridLines="0" topLeftCell="A11" zoomScaleNormal="100" workbookViewId="0">
      <selection activeCell="D29" sqref="D29"/>
    </sheetView>
  </sheetViews>
  <sheetFormatPr defaultRowHeight="20.149999999999999" customHeight="1"/>
  <cols>
    <col min="1" max="1" width="17.54296875" bestFit="1" customWidth="1"/>
    <col min="2" max="2" width="9.08984375" customWidth="1"/>
    <col min="3" max="3" width="25.6328125" customWidth="1"/>
    <col min="4" max="4" width="31.1796875" style="204" customWidth="1"/>
    <col min="5" max="7" width="19.81640625" style="4" customWidth="1"/>
    <col min="8" max="8" width="10.54296875" bestFit="1" customWidth="1"/>
  </cols>
  <sheetData>
    <row r="2" spans="1:7" ht="20.149999999999999" customHeight="1">
      <c r="A2" s="191" t="s">
        <v>331</v>
      </c>
      <c r="B2" s="192"/>
      <c r="C2" s="204"/>
      <c r="D2" s="4"/>
    </row>
    <row r="3" spans="1:7" ht="26">
      <c r="A3" s="214">
        <f>TB!A2</f>
        <v>44804</v>
      </c>
      <c r="B3" s="179"/>
      <c r="C3" s="204"/>
      <c r="D3" s="4"/>
    </row>
    <row r="4" spans="1:7" ht="26">
      <c r="B4" s="1"/>
    </row>
    <row r="5" spans="1:7" ht="20.149999999999999" customHeight="1">
      <c r="B5" s="2"/>
    </row>
    <row r="6" spans="1:7" ht="14.5">
      <c r="B6" s="195" t="s">
        <v>332</v>
      </c>
      <c r="C6" s="195" t="s">
        <v>228</v>
      </c>
      <c r="D6" s="205" t="s">
        <v>130</v>
      </c>
      <c r="E6" s="195" t="s">
        <v>320</v>
      </c>
      <c r="F6" s="288" t="s">
        <v>346</v>
      </c>
      <c r="G6" s="195" t="s">
        <v>345</v>
      </c>
    </row>
    <row r="7" spans="1:7" ht="15.5">
      <c r="B7" s="85"/>
      <c r="C7" s="3" t="s">
        <v>229</v>
      </c>
      <c r="D7" s="3" t="s">
        <v>382</v>
      </c>
      <c r="E7" s="120">
        <v>58333.332727272697</v>
      </c>
      <c r="F7" s="167"/>
      <c r="G7" s="120">
        <f t="shared" ref="G7:G15" si="0">E7+F7</f>
        <v>58333.332727272697</v>
      </c>
    </row>
    <row r="8" spans="1:7" ht="14.5">
      <c r="B8" s="3"/>
      <c r="C8" s="3" t="s">
        <v>229</v>
      </c>
      <c r="D8" s="168" t="s">
        <v>383</v>
      </c>
      <c r="E8" s="120">
        <v>350000</v>
      </c>
      <c r="F8" s="167"/>
      <c r="G8" s="120">
        <f t="shared" si="0"/>
        <v>350000</v>
      </c>
    </row>
    <row r="9" spans="1:7" ht="14.5">
      <c r="B9" s="168">
        <v>44531</v>
      </c>
      <c r="C9" s="3" t="s">
        <v>384</v>
      </c>
      <c r="D9" s="168" t="s">
        <v>385</v>
      </c>
      <c r="E9" s="120">
        <v>1937</v>
      </c>
      <c r="F9" s="167">
        <f>-E9</f>
        <v>-1937</v>
      </c>
      <c r="G9" s="120">
        <f t="shared" si="0"/>
        <v>0</v>
      </c>
    </row>
    <row r="10" spans="1:7" ht="14.5">
      <c r="B10" s="168">
        <v>44531</v>
      </c>
      <c r="C10" s="3" t="s">
        <v>333</v>
      </c>
      <c r="D10" s="168" t="s">
        <v>334</v>
      </c>
      <c r="E10" s="120">
        <v>45450</v>
      </c>
      <c r="F10" s="167">
        <v>-22725</v>
      </c>
      <c r="G10" s="120">
        <f t="shared" si="0"/>
        <v>22725</v>
      </c>
    </row>
    <row r="11" spans="1:7" ht="14.5">
      <c r="B11" s="168">
        <v>44531</v>
      </c>
      <c r="C11" s="3" t="s">
        <v>333</v>
      </c>
      <c r="D11" s="168" t="s">
        <v>335</v>
      </c>
      <c r="E11" s="120">
        <v>5000</v>
      </c>
      <c r="F11" s="167"/>
      <c r="G11" s="267">
        <f t="shared" si="0"/>
        <v>5000</v>
      </c>
    </row>
    <row r="12" spans="1:7" ht="14.5">
      <c r="B12" s="168"/>
      <c r="C12" s="3" t="s">
        <v>229</v>
      </c>
      <c r="D12" s="215" t="s">
        <v>348</v>
      </c>
      <c r="E12" s="120"/>
      <c r="F12" s="167">
        <f>(29166.67*3)+(29166.66*2)</f>
        <v>145833.32999999999</v>
      </c>
      <c r="G12" s="267">
        <f t="shared" si="0"/>
        <v>145833.32999999999</v>
      </c>
    </row>
    <row r="13" spans="1:7" ht="14.5">
      <c r="B13" s="168">
        <v>44713</v>
      </c>
      <c r="C13" s="3" t="s">
        <v>229</v>
      </c>
      <c r="D13" s="215" t="s">
        <v>351</v>
      </c>
      <c r="E13" s="120"/>
      <c r="F13" s="167">
        <v>29166.66</v>
      </c>
      <c r="G13" s="267">
        <f t="shared" si="0"/>
        <v>29166.66</v>
      </c>
    </row>
    <row r="14" spans="1:7" ht="14.5">
      <c r="B14" s="168">
        <v>44743</v>
      </c>
      <c r="C14" s="3" t="s">
        <v>229</v>
      </c>
      <c r="D14" s="215" t="s">
        <v>376</v>
      </c>
      <c r="E14" s="120"/>
      <c r="F14" s="167">
        <v>29166.66</v>
      </c>
      <c r="G14" s="267">
        <f t="shared" si="0"/>
        <v>29166.66</v>
      </c>
    </row>
    <row r="15" spans="1:7" ht="14.5">
      <c r="B15" s="168">
        <v>44774</v>
      </c>
      <c r="C15" s="3" t="s">
        <v>229</v>
      </c>
      <c r="D15" s="215" t="s">
        <v>386</v>
      </c>
      <c r="E15" s="120"/>
      <c r="F15" s="167">
        <v>29166.66</v>
      </c>
      <c r="G15" s="267">
        <f t="shared" si="0"/>
        <v>29166.66</v>
      </c>
    </row>
    <row r="16" spans="1:7" ht="14.5">
      <c r="B16" s="168">
        <v>44713</v>
      </c>
      <c r="C16" s="3" t="s">
        <v>352</v>
      </c>
      <c r="D16" s="220" t="s">
        <v>353</v>
      </c>
      <c r="E16" s="120">
        <v>0</v>
      </c>
      <c r="F16" s="266">
        <v>10460.27</v>
      </c>
      <c r="G16" s="267">
        <f>E16+F16</f>
        <v>10460.27</v>
      </c>
    </row>
    <row r="17" spans="2:7" ht="20.149999999999999" customHeight="1">
      <c r="B17" s="168" t="s">
        <v>372</v>
      </c>
      <c r="C17" s="3" t="s">
        <v>352</v>
      </c>
      <c r="D17" s="220" t="s">
        <v>371</v>
      </c>
      <c r="E17" s="120">
        <v>0</v>
      </c>
      <c r="F17" s="266">
        <v>29028</v>
      </c>
      <c r="G17" s="267">
        <f>E17+F17</f>
        <v>29028</v>
      </c>
    </row>
    <row r="18" spans="2:7" ht="19.5" customHeight="1">
      <c r="B18" s="168" t="s">
        <v>377</v>
      </c>
      <c r="C18" s="3" t="s">
        <v>378</v>
      </c>
      <c r="D18" s="220" t="s">
        <v>387</v>
      </c>
      <c r="E18" s="120"/>
      <c r="F18" s="266">
        <v>26404.1</v>
      </c>
      <c r="G18" s="267"/>
    </row>
    <row r="19" spans="2:7" ht="14.5">
      <c r="B19" s="168" t="s">
        <v>377</v>
      </c>
      <c r="C19" s="3" t="s">
        <v>352</v>
      </c>
      <c r="D19" s="220" t="s">
        <v>388</v>
      </c>
      <c r="E19" s="120"/>
      <c r="F19" s="266">
        <v>-7380</v>
      </c>
      <c r="G19" s="267"/>
    </row>
    <row r="20" spans="2:7" ht="14.5">
      <c r="B20" s="168">
        <v>44774</v>
      </c>
      <c r="C20" s="3" t="s">
        <v>378</v>
      </c>
      <c r="D20" s="220" t="s">
        <v>389</v>
      </c>
      <c r="E20" s="120"/>
      <c r="F20" s="266">
        <v>17220</v>
      </c>
      <c r="G20" s="267">
        <f>E20+F20</f>
        <v>17220</v>
      </c>
    </row>
    <row r="21" spans="2:7" ht="14.5">
      <c r="B21" s="168">
        <v>44774</v>
      </c>
      <c r="C21" s="3" t="s">
        <v>352</v>
      </c>
      <c r="D21" s="220" t="s">
        <v>390</v>
      </c>
      <c r="E21" s="120"/>
      <c r="F21" s="266">
        <v>10460.27</v>
      </c>
      <c r="G21" s="267">
        <f>E21+F21</f>
        <v>10460.27</v>
      </c>
    </row>
    <row r="22" spans="2:7" ht="14.5">
      <c r="B22" s="168">
        <v>44795</v>
      </c>
      <c r="C22" s="3" t="s">
        <v>352</v>
      </c>
      <c r="D22" s="220" t="s">
        <v>391</v>
      </c>
      <c r="E22" s="120"/>
      <c r="F22" s="266">
        <v>7380</v>
      </c>
      <c r="G22" s="267">
        <f>E22+F22</f>
        <v>7380</v>
      </c>
    </row>
    <row r="23" spans="2:7" ht="14.5">
      <c r="B23" s="168">
        <v>44774</v>
      </c>
      <c r="C23" s="3" t="s">
        <v>352</v>
      </c>
      <c r="D23" s="220" t="s">
        <v>392</v>
      </c>
      <c r="E23" s="120"/>
      <c r="F23" s="266">
        <v>27281</v>
      </c>
      <c r="G23" s="267">
        <f>E23+F23</f>
        <v>27281</v>
      </c>
    </row>
    <row r="24" spans="2:7" ht="14.5">
      <c r="B24" s="285" t="s">
        <v>7</v>
      </c>
      <c r="C24" s="285"/>
      <c r="D24" s="285"/>
      <c r="E24" s="216">
        <f t="shared" ref="E24:F24" si="1">SUM(E7:E21)</f>
        <v>460720.3327272727</v>
      </c>
      <c r="F24" s="216">
        <f t="shared" si="1"/>
        <v>294863.95</v>
      </c>
      <c r="G24" s="216">
        <f>SUM(G7:G23)</f>
        <v>771221.18272727286</v>
      </c>
    </row>
    <row r="26" spans="2:7" ht="20.149999999999999" customHeight="1">
      <c r="G26" s="289">
        <f>VLOOKUP(200130,TB!A:E,3,0)+G24</f>
        <v>1.2727272813208401E-2</v>
      </c>
    </row>
  </sheetData>
  <mergeCells count="1">
    <mergeCell ref="B24:D24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showGridLines="0" zoomScaleNormal="100" workbookViewId="0">
      <pane ySplit="4" topLeftCell="A35" activePane="bottomLeft" state="frozen"/>
      <selection activeCell="A3" sqref="A3"/>
      <selection pane="bottomLeft" activeCell="A3" sqref="A3"/>
    </sheetView>
  </sheetViews>
  <sheetFormatPr defaultColWidth="9.1796875" defaultRowHeight="14.5"/>
  <cols>
    <col min="1" max="1" width="13.81640625" style="20" customWidth="1"/>
    <col min="2" max="2" width="76.453125" style="20" bestFit="1" customWidth="1"/>
    <col min="3" max="4" width="15.81640625" style="20" customWidth="1"/>
    <col min="5" max="5" width="62.81640625" style="31" bestFit="1" customWidth="1"/>
    <col min="6" max="6" width="15" style="32" bestFit="1" customWidth="1"/>
    <col min="7" max="7" width="62.81640625" style="20" bestFit="1" customWidth="1"/>
    <col min="8" max="9" width="15" style="20" hidden="1" customWidth="1"/>
    <col min="10" max="10" width="0" style="20" hidden="1" customWidth="1"/>
    <col min="11" max="12" width="13.1796875" style="34" hidden="1" customWidth="1"/>
    <col min="13" max="13" width="36.54296875" style="35" bestFit="1" customWidth="1"/>
    <col min="14" max="14" width="6.81640625" style="34" bestFit="1" customWidth="1"/>
    <col min="15" max="16384" width="9.1796875" style="20"/>
  </cols>
  <sheetData>
    <row r="1" spans="1:12" ht="18.5">
      <c r="A1" s="2" t="s">
        <v>62</v>
      </c>
      <c r="G1" s="33"/>
    </row>
    <row r="2" spans="1:12" ht="18.5">
      <c r="A2" s="36">
        <v>44804</v>
      </c>
      <c r="G2" s="33"/>
    </row>
    <row r="3" spans="1:12">
      <c r="G3" s="33"/>
    </row>
    <row r="4" spans="1:12" s="37" customFormat="1" ht="31">
      <c r="A4" s="122" t="s">
        <v>134</v>
      </c>
      <c r="B4" s="122" t="s">
        <v>135</v>
      </c>
      <c r="C4" s="123">
        <f>A2</f>
        <v>44804</v>
      </c>
      <c r="D4" s="123">
        <f>+C4-365</f>
        <v>44439</v>
      </c>
      <c r="E4" s="122" t="s">
        <v>63</v>
      </c>
      <c r="I4" s="38"/>
      <c r="J4" s="38"/>
      <c r="K4" s="39"/>
      <c r="L4" s="38"/>
    </row>
    <row r="5" spans="1:12" s="42" customFormat="1">
      <c r="A5" s="40">
        <v>101400</v>
      </c>
      <c r="B5" s="40" t="s">
        <v>136</v>
      </c>
      <c r="C5" s="41">
        <f>_xlfn.IFNA(VLOOKUP(A5,'TB-Aug 22'!A:F,6,0),0)</f>
        <v>5000</v>
      </c>
      <c r="D5" s="41">
        <f>_xlfn.IFNA(VLOOKUP(A5,'TB-Aug21'!A:F,6,0),0)</f>
        <v>5000</v>
      </c>
      <c r="E5" s="40" t="s">
        <v>65</v>
      </c>
      <c r="I5" s="43" t="e">
        <f>VLOOKUP(#REF!,#REF!,9,FALSE)</f>
        <v>#REF!</v>
      </c>
      <c r="J5" s="43"/>
      <c r="K5" s="44"/>
      <c r="L5" s="43"/>
    </row>
    <row r="6" spans="1:12" s="42" customFormat="1">
      <c r="A6" s="40">
        <v>102601</v>
      </c>
      <c r="B6" s="40" t="s">
        <v>137</v>
      </c>
      <c r="C6" s="41">
        <f>_xlfn.IFNA(VLOOKUP(A6,'TB-Aug 22'!A:F,6,0),0)</f>
        <v>1096737.27</v>
      </c>
      <c r="D6" s="41">
        <f>_xlfn.IFNA(VLOOKUP(A6,'TB-Aug21'!A:F,6,0),0)</f>
        <v>2219755.91</v>
      </c>
      <c r="E6" s="40" t="s">
        <v>65</v>
      </c>
      <c r="I6" s="43" t="e">
        <f>VLOOKUP(#REF!,#REF!,9,FALSE)</f>
        <v>#REF!</v>
      </c>
      <c r="J6" s="43"/>
      <c r="K6" s="44"/>
      <c r="L6" s="43"/>
    </row>
    <row r="7" spans="1:12" s="42" customFormat="1">
      <c r="A7" s="40">
        <v>101901</v>
      </c>
      <c r="B7" s="40" t="s">
        <v>138</v>
      </c>
      <c r="C7" s="41">
        <f>_xlfn.IFNA(VLOOKUP(A7,'TB-Aug 22'!A:F,6,0),0)</f>
        <v>0</v>
      </c>
      <c r="D7" s="41">
        <f>_xlfn.IFNA(VLOOKUP(A7,'TB-Aug21'!A:F,6,0),0)</f>
        <v>0</v>
      </c>
      <c r="E7" s="40" t="s">
        <v>65</v>
      </c>
      <c r="I7" s="43"/>
      <c r="J7" s="43"/>
      <c r="K7" s="44"/>
      <c r="L7" s="43"/>
    </row>
    <row r="8" spans="1:12" s="42" customFormat="1">
      <c r="A8" s="40">
        <v>102101</v>
      </c>
      <c r="B8" s="40" t="s">
        <v>139</v>
      </c>
      <c r="C8" s="41">
        <f>_xlfn.IFNA(VLOOKUP(A8,'TB-Aug 22'!A:F,6,0),0)</f>
        <v>0</v>
      </c>
      <c r="D8" s="41">
        <f>_xlfn.IFNA(VLOOKUP(A8,'TB-Aug21'!A:F,6,0),0)</f>
        <v>0</v>
      </c>
      <c r="E8" s="40" t="s">
        <v>65</v>
      </c>
      <c r="I8" s="43"/>
      <c r="J8" s="43"/>
      <c r="K8" s="44"/>
      <c r="L8" s="43"/>
    </row>
    <row r="9" spans="1:12" s="42" customFormat="1">
      <c r="A9" s="40">
        <v>105901</v>
      </c>
      <c r="B9" s="40" t="s">
        <v>140</v>
      </c>
      <c r="C9" s="41">
        <f>_xlfn.IFNA(VLOOKUP(A9,'TB-Aug 22'!A:F,6,0),0)</f>
        <v>0</v>
      </c>
      <c r="D9" s="41">
        <f>_xlfn.IFNA(VLOOKUP(A9,'TB-Aug21'!A:F,6,0),0)</f>
        <v>0</v>
      </c>
      <c r="E9" s="40" t="s">
        <v>65</v>
      </c>
      <c r="I9" s="43"/>
      <c r="J9" s="43"/>
      <c r="K9" s="44"/>
      <c r="L9" s="43"/>
    </row>
    <row r="10" spans="1:12" s="42" customFormat="1">
      <c r="A10" s="40">
        <v>110101</v>
      </c>
      <c r="B10" s="40" t="s">
        <v>141</v>
      </c>
      <c r="C10" s="41">
        <f>_xlfn.IFNA(VLOOKUP(A10,'TB-Aug 22'!A:F,6,0),0)</f>
        <v>0</v>
      </c>
      <c r="D10" s="41">
        <f>_xlfn.IFNA(VLOOKUP(A10,'TB-Aug21'!A:F,6,0),0)</f>
        <v>0</v>
      </c>
      <c r="E10" s="40" t="s">
        <v>65</v>
      </c>
      <c r="I10" s="43" t="e">
        <f>VLOOKUP(#REF!,#REF!,9,FALSE)</f>
        <v>#REF!</v>
      </c>
      <c r="J10" s="43"/>
      <c r="K10" s="44"/>
      <c r="L10" s="43"/>
    </row>
    <row r="11" spans="1:12" s="42" customFormat="1">
      <c r="A11" s="174">
        <v>120123</v>
      </c>
      <c r="B11" s="148" t="s">
        <v>302</v>
      </c>
      <c r="C11" s="41">
        <f>_xlfn.IFNA(VLOOKUP(A11,'TB-Aug 22'!A:F,6,0),0)</f>
        <v>0</v>
      </c>
      <c r="D11" s="41">
        <f>_xlfn.IFNA(VLOOKUP(A11,'TB-Aug21'!A:F,6,0),0)</f>
        <v>47619.05</v>
      </c>
      <c r="E11" s="40" t="s">
        <v>70</v>
      </c>
      <c r="I11" s="43"/>
      <c r="J11" s="43"/>
      <c r="K11" s="44"/>
      <c r="L11" s="43"/>
    </row>
    <row r="12" spans="1:12" s="42" customFormat="1">
      <c r="A12" s="40">
        <v>120140</v>
      </c>
      <c r="B12" s="40" t="s">
        <v>142</v>
      </c>
      <c r="C12" s="41">
        <f>_xlfn.IFNA(VLOOKUP(A12,'TB-Aug 22'!A:F,6,0),0)</f>
        <v>14514</v>
      </c>
      <c r="D12" s="41">
        <f>_xlfn.IFNA(VLOOKUP(A12,'TB-Aug21'!A:F,6,0),0)</f>
        <v>-47619.05</v>
      </c>
      <c r="E12" s="40" t="s">
        <v>70</v>
      </c>
      <c r="I12" s="43"/>
      <c r="J12" s="43"/>
      <c r="K12" s="44"/>
      <c r="L12" s="43"/>
    </row>
    <row r="13" spans="1:12" s="46" customFormat="1">
      <c r="A13" s="45">
        <v>120180</v>
      </c>
      <c r="B13" s="45" t="s">
        <v>131</v>
      </c>
      <c r="C13" s="41">
        <f>_xlfn.IFNA(VLOOKUP(A13,'TB-Aug 22'!A:F,6,0),0)</f>
        <v>0</v>
      </c>
      <c r="D13" s="41">
        <f>_xlfn.IFNA(VLOOKUP(A13,'TB-Aug21'!A:F,6,0),0)</f>
        <v>0</v>
      </c>
      <c r="E13" s="40" t="s">
        <v>66</v>
      </c>
      <c r="I13" s="47"/>
      <c r="J13" s="47"/>
      <c r="K13" s="35"/>
      <c r="L13" s="47"/>
    </row>
    <row r="14" spans="1:12" s="42" customFormat="1">
      <c r="A14" s="40">
        <v>120214</v>
      </c>
      <c r="B14" s="40" t="s">
        <v>143</v>
      </c>
      <c r="C14" s="41">
        <f>_xlfn.IFNA(VLOOKUP(A14,'TB-Aug 22'!A:F,6,0),0)</f>
        <v>0</v>
      </c>
      <c r="D14" s="41">
        <f>_xlfn.IFNA(VLOOKUP(A14,'TB-Aug21'!A:F,6,0),0)</f>
        <v>0</v>
      </c>
      <c r="E14" s="40" t="s">
        <v>66</v>
      </c>
      <c r="I14" s="43"/>
      <c r="J14" s="43"/>
      <c r="K14" s="44"/>
      <c r="L14" s="43"/>
    </row>
    <row r="15" spans="1:12" s="42" customFormat="1">
      <c r="A15" s="40">
        <v>120310</v>
      </c>
      <c r="B15" s="40" t="s">
        <v>239</v>
      </c>
      <c r="C15" s="41">
        <f>_xlfn.IFNA(VLOOKUP(A15,'TB-Aug 22'!A:F,6,0),0)</f>
        <v>0</v>
      </c>
      <c r="D15" s="41">
        <f>_xlfn.IFNA(VLOOKUP(A15,'TB-Aug21'!A:F,6,0),0)</f>
        <v>0</v>
      </c>
      <c r="E15" s="40" t="s">
        <v>66</v>
      </c>
      <c r="I15" s="43" t="e">
        <f>VLOOKUP(#REF!,#REF!,9,FALSE)</f>
        <v>#REF!</v>
      </c>
      <c r="J15" s="43"/>
      <c r="K15" s="44"/>
      <c r="L15" s="43"/>
    </row>
    <row r="16" spans="1:12" s="42" customFormat="1">
      <c r="A16" s="40">
        <v>120330</v>
      </c>
      <c r="B16" s="40" t="s">
        <v>144</v>
      </c>
      <c r="C16" s="41">
        <f>_xlfn.IFNA(VLOOKUP(A16,'TB-Aug 22'!A:F,6,0),0)</f>
        <v>556958.06000000006</v>
      </c>
      <c r="D16" s="41">
        <f>_xlfn.IFNA(VLOOKUP(A16,'TB-Aug21'!A:F,6,0),0)</f>
        <v>513398.54</v>
      </c>
      <c r="E16" s="40" t="s">
        <v>66</v>
      </c>
      <c r="I16" s="43" t="e">
        <f>VLOOKUP(#REF!,#REF!,9,FALSE)</f>
        <v>#REF!</v>
      </c>
      <c r="J16" s="43"/>
      <c r="K16" s="44"/>
      <c r="L16" s="43"/>
    </row>
    <row r="17" spans="1:12" s="42" customFormat="1">
      <c r="A17" s="40">
        <v>121010</v>
      </c>
      <c r="B17" s="40" t="s">
        <v>149</v>
      </c>
      <c r="C17" s="41">
        <f>_xlfn.IFNA(VLOOKUP(A17,'TB-Aug 22'!A:F,6,0),0)</f>
        <v>0</v>
      </c>
      <c r="D17" s="41">
        <f>_xlfn.IFNA(VLOOKUP(A17,'TB-Aug21'!A:F,6,0),0)</f>
        <v>0</v>
      </c>
      <c r="E17" s="40" t="s">
        <v>70</v>
      </c>
      <c r="I17" s="43"/>
      <c r="J17" s="43"/>
      <c r="K17" s="44"/>
      <c r="L17" s="43"/>
    </row>
    <row r="18" spans="1:12" s="42" customFormat="1">
      <c r="A18" s="40">
        <v>125110</v>
      </c>
      <c r="B18" s="40" t="s">
        <v>145</v>
      </c>
      <c r="C18" s="41">
        <f>_xlfn.IFNA(VLOOKUP(A18,'TB-Aug 22'!A:F,6,0),0)</f>
        <v>0</v>
      </c>
      <c r="D18" s="41">
        <f>_xlfn.IFNA(VLOOKUP(A18,'TB-Aug21'!A:F,6,0),0)</f>
        <v>0</v>
      </c>
      <c r="E18" s="40" t="s">
        <v>66</v>
      </c>
      <c r="I18" s="43" t="e">
        <f>VLOOKUP(#REF!,#REF!,9,FALSE)</f>
        <v>#REF!</v>
      </c>
      <c r="J18" s="43"/>
      <c r="K18" s="44"/>
      <c r="L18" s="43"/>
    </row>
    <row r="19" spans="1:12" s="42" customFormat="1">
      <c r="A19" s="40">
        <v>126510</v>
      </c>
      <c r="B19" s="40" t="s">
        <v>269</v>
      </c>
      <c r="C19" s="41">
        <f>_xlfn.IFNA(VLOOKUP(A19,'TB-Aug 22'!A:F,6,0),0)</f>
        <v>17977.080000000002</v>
      </c>
      <c r="D19" s="41">
        <f>_xlfn.IFNA(VLOOKUP(A19,'TB-Aug21'!A:F,6,0),0)</f>
        <v>103441.83</v>
      </c>
      <c r="E19" s="40" t="s">
        <v>66</v>
      </c>
      <c r="I19" s="43"/>
      <c r="J19" s="43"/>
      <c r="K19" s="44"/>
      <c r="L19" s="43"/>
    </row>
    <row r="20" spans="1:12" s="42" customFormat="1">
      <c r="A20" s="40">
        <v>126550</v>
      </c>
      <c r="B20" s="40" t="s">
        <v>270</v>
      </c>
      <c r="C20" s="41">
        <f>_xlfn.IFNA(VLOOKUP(A20,'TB-Aug 22'!A:F,6,0),0)</f>
        <v>415.11</v>
      </c>
      <c r="D20" s="41">
        <f>_xlfn.IFNA(VLOOKUP(A20,'TB-Aug21'!A:F,6,0),0)</f>
        <v>19398.169999999998</v>
      </c>
      <c r="E20" s="40" t="s">
        <v>66</v>
      </c>
      <c r="I20" s="43"/>
      <c r="J20" s="43"/>
      <c r="K20" s="44"/>
      <c r="L20" s="43"/>
    </row>
    <row r="21" spans="1:12" s="46" customFormat="1">
      <c r="A21" s="45">
        <v>130112</v>
      </c>
      <c r="B21" s="45" t="s">
        <v>213</v>
      </c>
      <c r="C21" s="41">
        <f>_xlfn.IFNA(VLOOKUP(A21,'TB-Aug 22'!A:F,6,0),0)</f>
        <v>0</v>
      </c>
      <c r="D21" s="41">
        <f>_xlfn.IFNA(VLOOKUP(A21,'TB-Aug21'!A:F,6,0),0)</f>
        <v>0</v>
      </c>
      <c r="E21" s="40" t="s">
        <v>66</v>
      </c>
      <c r="I21" s="47"/>
      <c r="J21" s="47"/>
      <c r="K21" s="35"/>
      <c r="L21" s="47"/>
    </row>
    <row r="22" spans="1:12" s="46" customFormat="1">
      <c r="A22" s="45">
        <v>132021</v>
      </c>
      <c r="B22" s="45" t="s">
        <v>214</v>
      </c>
      <c r="C22" s="41">
        <f>_xlfn.IFNA(VLOOKUP(A22,'TB-Aug 22'!A:F,6,0),0)</f>
        <v>0</v>
      </c>
      <c r="D22" s="41">
        <f>_xlfn.IFNA(VLOOKUP(A22,'TB-Aug21'!A:F,6,0),0)</f>
        <v>0</v>
      </c>
      <c r="E22" s="40" t="s">
        <v>66</v>
      </c>
      <c r="I22" s="47"/>
      <c r="J22" s="47"/>
      <c r="K22" s="35"/>
      <c r="L22" s="47"/>
    </row>
    <row r="23" spans="1:12" s="46" customFormat="1">
      <c r="A23" s="45">
        <v>132020</v>
      </c>
      <c r="B23" s="45" t="s">
        <v>218</v>
      </c>
      <c r="C23" s="41">
        <f>_xlfn.IFNA(VLOOKUP(A23,'TB-Aug 22'!A:F,6,0),0)</f>
        <v>0</v>
      </c>
      <c r="D23" s="41">
        <f>_xlfn.IFNA(VLOOKUP(A23,'TB-Aug21'!A:F,6,0),0)</f>
        <v>0</v>
      </c>
      <c r="E23" s="40" t="s">
        <v>66</v>
      </c>
      <c r="I23" s="47"/>
      <c r="J23" s="47"/>
      <c r="K23" s="35"/>
      <c r="L23" s="47"/>
    </row>
    <row r="24" spans="1:12" s="46" customFormat="1">
      <c r="A24" s="45">
        <v>133090</v>
      </c>
      <c r="B24" s="45" t="s">
        <v>146</v>
      </c>
      <c r="C24" s="41">
        <f>_xlfn.IFNA(VLOOKUP(A24,'TB-Aug 22'!A:F,6,0),0)</f>
        <v>0</v>
      </c>
      <c r="D24" s="41">
        <f>_xlfn.IFNA(VLOOKUP(A24,'TB-Aug21'!A:F,6,0),0)</f>
        <v>0</v>
      </c>
      <c r="E24" s="40" t="s">
        <v>66</v>
      </c>
      <c r="I24" s="47"/>
      <c r="J24" s="47"/>
      <c r="K24" s="35"/>
      <c r="L24" s="47"/>
    </row>
    <row r="25" spans="1:12" s="42" customFormat="1">
      <c r="A25" s="40">
        <v>171050</v>
      </c>
      <c r="B25" s="40" t="s">
        <v>221</v>
      </c>
      <c r="C25" s="41">
        <f>_xlfn.IFNA(VLOOKUP(A25,'TB-Aug 22'!A:F,6,0),0)</f>
        <v>0</v>
      </c>
      <c r="D25" s="41">
        <f>_xlfn.IFNA(VLOOKUP(A25,'TB-Aug21'!A:F,6,0),0)</f>
        <v>-203.88</v>
      </c>
      <c r="E25" s="40" t="s">
        <v>67</v>
      </c>
      <c r="F25" s="48"/>
      <c r="I25" s="43"/>
      <c r="J25" s="43"/>
      <c r="K25" s="44"/>
      <c r="L25" s="43"/>
    </row>
    <row r="26" spans="1:12" s="42" customFormat="1">
      <c r="A26" s="40">
        <v>171220</v>
      </c>
      <c r="B26" s="40" t="s">
        <v>147</v>
      </c>
      <c r="C26" s="41">
        <f>_xlfn.IFNA(VLOOKUP(A26,'TB-Aug 22'!A:F,6,0),0)</f>
        <v>7277144.4199999999</v>
      </c>
      <c r="D26" s="41">
        <f>_xlfn.IFNA(VLOOKUP(A26,'TB-Aug21'!A:F,6,0),0)</f>
        <v>7277144.4199999999</v>
      </c>
      <c r="E26" s="40" t="s">
        <v>67</v>
      </c>
      <c r="F26" s="160"/>
      <c r="I26" s="43" t="e">
        <f>VLOOKUP(#REF!,#REF!,9,FALSE)</f>
        <v>#REF!</v>
      </c>
      <c r="J26" s="43"/>
      <c r="K26" s="44"/>
      <c r="L26" s="43"/>
    </row>
    <row r="27" spans="1:12" s="42" customFormat="1">
      <c r="A27" s="40">
        <v>171221</v>
      </c>
      <c r="B27" s="40" t="s">
        <v>220</v>
      </c>
      <c r="C27" s="41">
        <f>_xlfn.IFNA(VLOOKUP(A27,'TB-Aug 22'!A:F,6,0),0)</f>
        <v>0</v>
      </c>
      <c r="D27" s="41">
        <f>_xlfn.IFNA(VLOOKUP(A27,'TB-Aug21'!A:F,6,0),0)</f>
        <v>0</v>
      </c>
      <c r="E27" s="40" t="s">
        <v>67</v>
      </c>
      <c r="I27" s="43"/>
      <c r="J27" s="43"/>
      <c r="K27" s="44"/>
      <c r="L27" s="43"/>
    </row>
    <row r="28" spans="1:12" s="42" customFormat="1">
      <c r="A28" s="40">
        <v>171230</v>
      </c>
      <c r="B28" s="40" t="s">
        <v>155</v>
      </c>
      <c r="C28" s="41">
        <f>_xlfn.IFNA(VLOOKUP(A28,'TB-Aug 22'!A:F,6,0),0)</f>
        <v>0</v>
      </c>
      <c r="D28" s="41">
        <f>_xlfn.IFNA(VLOOKUP(A28,'TB-Aug21'!A:F,6,0),0)</f>
        <v>0</v>
      </c>
      <c r="E28" s="40" t="s">
        <v>67</v>
      </c>
      <c r="F28" s="48"/>
      <c r="I28" s="43" t="e">
        <f>VLOOKUP(#REF!,#REF!,9,FALSE)</f>
        <v>#REF!</v>
      </c>
      <c r="J28" s="43"/>
      <c r="K28" s="44"/>
      <c r="L28" s="43"/>
    </row>
    <row r="29" spans="1:12" s="42" customFormat="1">
      <c r="A29" s="40">
        <v>171260</v>
      </c>
      <c r="B29" s="40" t="s">
        <v>225</v>
      </c>
      <c r="C29" s="41">
        <f>_xlfn.IFNA(VLOOKUP(A29,'TB-Aug 22'!A:F,6,0),0)</f>
        <v>-2057708.98</v>
      </c>
      <c r="D29" s="41">
        <f>_xlfn.IFNA(VLOOKUP(A29,'TB-Aug21'!A:F,6,0),0)</f>
        <v>-1693446.67</v>
      </c>
      <c r="E29" s="40" t="s">
        <v>67</v>
      </c>
      <c r="F29" s="160"/>
      <c r="I29" s="43"/>
      <c r="J29" s="43"/>
      <c r="K29" s="44"/>
      <c r="L29" s="43"/>
    </row>
    <row r="30" spans="1:12" s="42" customFormat="1">
      <c r="A30" s="40">
        <v>171320</v>
      </c>
      <c r="B30" s="40" t="s">
        <v>148</v>
      </c>
      <c r="C30" s="41">
        <f>_xlfn.IFNA(VLOOKUP(A30,'TB-Aug 22'!A:F,6,0),0)</f>
        <v>6203419.3099999996</v>
      </c>
      <c r="D30" s="41">
        <f>_xlfn.IFNA(VLOOKUP(A30,'TB-Aug21'!A:F,6,0),0)</f>
        <v>6119400.6900000004</v>
      </c>
      <c r="E30" s="40" t="s">
        <v>67</v>
      </c>
      <c r="F30" s="160"/>
      <c r="I30" s="43"/>
      <c r="J30" s="43"/>
      <c r="K30" s="44"/>
      <c r="L30" s="43"/>
    </row>
    <row r="31" spans="1:12" s="42" customFormat="1">
      <c r="A31" s="40">
        <v>171321</v>
      </c>
      <c r="B31" s="40" t="s">
        <v>150</v>
      </c>
      <c r="C31" s="41">
        <f>_xlfn.IFNA(VLOOKUP(A31,'TB-Aug 22'!A:F,6,0),0)</f>
        <v>113350</v>
      </c>
      <c r="D31" s="41">
        <f>_xlfn.IFNA(VLOOKUP(A31,'TB-Aug21'!A:F,6,0),0)</f>
        <v>40453.599999999999</v>
      </c>
      <c r="E31" s="40" t="s">
        <v>67</v>
      </c>
      <c r="F31" s="48"/>
      <c r="I31" s="43"/>
      <c r="J31" s="43"/>
      <c r="K31" s="44"/>
      <c r="L31" s="43"/>
    </row>
    <row r="32" spans="1:12" s="42" customFormat="1">
      <c r="A32" s="40">
        <v>171360</v>
      </c>
      <c r="B32" s="40" t="s">
        <v>154</v>
      </c>
      <c r="C32" s="41">
        <f>_xlfn.IFNA(VLOOKUP(A32,'TB-Aug 22'!A:F,6,0),0)</f>
        <v>-5903132</v>
      </c>
      <c r="D32" s="41">
        <f>_xlfn.IFNA(VLOOKUP(A32,'TB-Aug21'!A:F,6,0),0)</f>
        <v>-5445480.5999999996</v>
      </c>
      <c r="E32" s="40" t="s">
        <v>67</v>
      </c>
      <c r="F32" s="160"/>
      <c r="I32" s="43"/>
      <c r="J32" s="43"/>
      <c r="K32" s="44"/>
      <c r="L32" s="43"/>
    </row>
    <row r="33" spans="1:12" s="42" customFormat="1">
      <c r="A33" s="40">
        <v>172020</v>
      </c>
      <c r="B33" s="40" t="s">
        <v>156</v>
      </c>
      <c r="C33" s="41">
        <f>_xlfn.IFNA(VLOOKUP(A33,'TB-Aug 22'!A:F,6,0),0)</f>
        <v>112725</v>
      </c>
      <c r="D33" s="41">
        <f>_xlfn.IFNA(VLOOKUP(A33,'TB-Aug21'!A:F,6,0),0)</f>
        <v>112725</v>
      </c>
      <c r="E33" s="40" t="s">
        <v>67</v>
      </c>
      <c r="F33" s="160"/>
      <c r="I33" s="43"/>
      <c r="J33" s="43"/>
      <c r="K33" s="44"/>
      <c r="L33" s="43"/>
    </row>
    <row r="34" spans="1:12" s="42" customFormat="1">
      <c r="A34" s="40">
        <v>172021</v>
      </c>
      <c r="B34" s="40" t="s">
        <v>210</v>
      </c>
      <c r="C34" s="41">
        <f>_xlfn.IFNA(VLOOKUP(A34,'TB-Aug 22'!A:F,6,0),0)</f>
        <v>0</v>
      </c>
      <c r="D34" s="41">
        <f>_xlfn.IFNA(VLOOKUP(A34,'TB-Aug21'!A:F,6,0),0)</f>
        <v>0</v>
      </c>
      <c r="E34" s="40" t="s">
        <v>67</v>
      </c>
      <c r="I34" s="43"/>
      <c r="J34" s="43"/>
      <c r="K34" s="44"/>
      <c r="L34" s="43"/>
    </row>
    <row r="35" spans="1:12" s="42" customFormat="1">
      <c r="A35" s="40">
        <v>172060</v>
      </c>
      <c r="B35" s="40" t="s">
        <v>157</v>
      </c>
      <c r="C35" s="41">
        <f>_xlfn.IFNA(VLOOKUP(A35,'TB-Aug 22'!A:F,6,0),0)</f>
        <v>-112634.6</v>
      </c>
      <c r="D35" s="41">
        <f>_xlfn.IFNA(VLOOKUP(A35,'TB-Aug21'!A:F,6,0),0)</f>
        <v>-106355.5</v>
      </c>
      <c r="E35" s="40" t="s">
        <v>67</v>
      </c>
      <c r="F35" s="160"/>
      <c r="I35" s="43"/>
      <c r="J35" s="43"/>
      <c r="K35" s="44"/>
      <c r="L35" s="43"/>
    </row>
    <row r="36" spans="1:12" s="42" customFormat="1">
      <c r="A36" s="40">
        <v>173120</v>
      </c>
      <c r="B36" s="40" t="s">
        <v>151</v>
      </c>
      <c r="C36" s="41">
        <f>_xlfn.IFNA(VLOOKUP(A36,'TB-Aug 22'!A:F,6,0),0)</f>
        <v>436988.01</v>
      </c>
      <c r="D36" s="41">
        <f>_xlfn.IFNA(VLOOKUP(A36,'TB-Aug21'!A:F,6,0),0)</f>
        <v>436988.01</v>
      </c>
      <c r="E36" s="40" t="s">
        <v>67</v>
      </c>
      <c r="F36" s="160"/>
      <c r="I36" s="43" t="e">
        <f>VLOOKUP(#REF!,#REF!,9,FALSE)</f>
        <v>#REF!</v>
      </c>
      <c r="J36" s="43"/>
      <c r="K36" s="44"/>
      <c r="L36" s="43"/>
    </row>
    <row r="37" spans="1:12" s="42" customFormat="1">
      <c r="A37" s="40">
        <v>173121</v>
      </c>
      <c r="B37" s="40" t="s">
        <v>152</v>
      </c>
      <c r="C37" s="41">
        <f>_xlfn.IFNA(VLOOKUP(A37,'TB-Aug 22'!A:F,6,0),0)</f>
        <v>0</v>
      </c>
      <c r="D37" s="41">
        <f>_xlfn.IFNA(VLOOKUP(A37,'TB-Aug21'!A:F,6,0),0)</f>
        <v>0</v>
      </c>
      <c r="E37" s="40" t="s">
        <v>67</v>
      </c>
      <c r="I37" s="43"/>
      <c r="J37" s="43"/>
      <c r="K37" s="44"/>
      <c r="L37" s="43"/>
    </row>
    <row r="38" spans="1:12" s="42" customFormat="1">
      <c r="A38" s="40">
        <v>173160</v>
      </c>
      <c r="B38" s="40" t="s">
        <v>153</v>
      </c>
      <c r="C38" s="41">
        <f>_xlfn.IFNA(VLOOKUP(A38,'TB-Aug 22'!A:F,6,0),0)</f>
        <v>-436988.01</v>
      </c>
      <c r="D38" s="41">
        <f>_xlfn.IFNA(VLOOKUP(A38,'TB-Aug21'!A:F,6,0),0)</f>
        <v>-425025.77</v>
      </c>
      <c r="E38" s="40" t="s">
        <v>67</v>
      </c>
      <c r="F38" s="160"/>
      <c r="I38" s="43" t="e">
        <f>VLOOKUP(#REF!,#REF!,9,FALSE)</f>
        <v>#REF!</v>
      </c>
      <c r="J38" s="43"/>
      <c r="K38" s="44"/>
      <c r="L38" s="43"/>
    </row>
    <row r="39" spans="1:12" s="42" customFormat="1">
      <c r="A39" s="40">
        <v>200110</v>
      </c>
      <c r="B39" s="40" t="s">
        <v>240</v>
      </c>
      <c r="C39" s="41">
        <f>_xlfn.IFNA(VLOOKUP(A39,'TB-Aug 22'!A:F,6,0),0)</f>
        <v>-23276.12</v>
      </c>
      <c r="D39" s="41">
        <f>_xlfn.IFNA(VLOOKUP(A39,'TB-Aug21'!A:F,6,0),0)</f>
        <v>0</v>
      </c>
      <c r="E39" s="40" t="s">
        <v>69</v>
      </c>
      <c r="F39" s="160"/>
      <c r="I39" s="43" t="e">
        <f>VLOOKUP(#REF!,#REF!,9,FALSE)</f>
        <v>#REF!</v>
      </c>
      <c r="J39" s="43"/>
      <c r="K39" s="44"/>
      <c r="L39" s="43"/>
    </row>
    <row r="40" spans="1:12" s="42" customFormat="1">
      <c r="A40" s="40">
        <v>200130</v>
      </c>
      <c r="B40" s="40" t="s">
        <v>242</v>
      </c>
      <c r="C40" s="41">
        <f>_xlfn.IFNA(VLOOKUP(A40,'TB-Aug 22'!A:F,6,0),0)</f>
        <v>-771221.17</v>
      </c>
      <c r="D40" s="41">
        <f>_xlfn.IFNA(VLOOKUP(A40,'TB-Aug21'!A:F,6,0),0)</f>
        <v>-683588.08</v>
      </c>
      <c r="E40" s="40" t="s">
        <v>69</v>
      </c>
      <c r="I40" s="43">
        <v>-20000</v>
      </c>
      <c r="J40" s="43"/>
      <c r="K40" s="44"/>
      <c r="L40" s="43"/>
    </row>
    <row r="41" spans="1:12" s="42" customFormat="1">
      <c r="A41" s="40">
        <v>202510</v>
      </c>
      <c r="B41" s="40" t="s">
        <v>286</v>
      </c>
      <c r="C41" s="41">
        <f>_xlfn.IFNA(VLOOKUP(A41,'TB-Aug 22'!A:F,6,0),0)</f>
        <v>-47619.05</v>
      </c>
      <c r="D41" s="41">
        <f>_xlfn.IFNA(VLOOKUP(A41,'TB-Aug21'!A:F,6,0),0)</f>
        <v>-95238.1</v>
      </c>
      <c r="E41" s="40" t="s">
        <v>69</v>
      </c>
      <c r="I41" s="43"/>
      <c r="J41" s="43"/>
      <c r="K41" s="44"/>
      <c r="L41" s="43"/>
    </row>
    <row r="42" spans="1:12" s="42" customFormat="1">
      <c r="A42" s="40">
        <v>202550</v>
      </c>
      <c r="B42" s="40" t="s">
        <v>271</v>
      </c>
      <c r="C42" s="41">
        <f>_xlfn.IFNA(VLOOKUP(A42,'TB-Aug 22'!A:F,6,0),0)</f>
        <v>-415.11</v>
      </c>
      <c r="D42" s="41">
        <f>_xlfn.IFNA(VLOOKUP(A42,'TB-Aug21'!A:F,6,0),0)</f>
        <v>-19398.169999999998</v>
      </c>
      <c r="E42" s="40" t="s">
        <v>66</v>
      </c>
      <c r="I42" s="43"/>
      <c r="J42" s="43"/>
      <c r="K42" s="44"/>
      <c r="L42" s="43"/>
    </row>
    <row r="43" spans="1:12" s="42" customFormat="1">
      <c r="A43" s="40">
        <v>211111</v>
      </c>
      <c r="B43" s="40" t="s">
        <v>211</v>
      </c>
      <c r="C43" s="41">
        <f>_xlfn.IFNA(VLOOKUP(A43,'TB-Aug 22'!A:F,6,0),0)</f>
        <v>-14893.1</v>
      </c>
      <c r="D43" s="41">
        <f>_xlfn.IFNA(VLOOKUP(A43,'TB-Aug21'!A:F,6,0),0)</f>
        <v>-48333.99</v>
      </c>
      <c r="E43" s="40" t="s">
        <v>69</v>
      </c>
      <c r="I43" s="43"/>
      <c r="J43" s="43"/>
      <c r="K43" s="44"/>
      <c r="L43" s="43"/>
    </row>
    <row r="44" spans="1:12" s="42" customFormat="1">
      <c r="A44" s="40">
        <v>213600</v>
      </c>
      <c r="B44" s="40" t="s">
        <v>243</v>
      </c>
      <c r="C44" s="41">
        <f>_xlfn.IFNA(VLOOKUP(A44,'TB-Aug 22'!A:F,6,0),0)</f>
        <v>-6820.26</v>
      </c>
      <c r="D44" s="41">
        <f>_xlfn.IFNA(VLOOKUP(A44,'TB-Aug21'!A:F,6,0),0)</f>
        <v>0</v>
      </c>
      <c r="E44" s="40" t="s">
        <v>69</v>
      </c>
      <c r="I44" s="43"/>
      <c r="J44" s="43"/>
      <c r="K44" s="44"/>
      <c r="L44" s="43"/>
    </row>
    <row r="45" spans="1:12" s="42" customFormat="1">
      <c r="A45" s="40">
        <v>215100</v>
      </c>
      <c r="B45" s="40" t="s">
        <v>241</v>
      </c>
      <c r="C45" s="41">
        <f>_xlfn.IFNA(VLOOKUP(A45,'TB-Aug 22'!A:F,6,0),0)</f>
        <v>0</v>
      </c>
      <c r="D45" s="41">
        <f>_xlfn.IFNA(VLOOKUP(A45,'TB-Aug21'!A:F,6,0),0)</f>
        <v>0</v>
      </c>
      <c r="E45" s="40" t="s">
        <v>69</v>
      </c>
      <c r="I45" s="43"/>
      <c r="J45" s="43"/>
      <c r="K45" s="44"/>
      <c r="L45" s="43"/>
    </row>
    <row r="46" spans="1:12" s="42" customFormat="1">
      <c r="A46" s="40">
        <v>215401</v>
      </c>
      <c r="B46" s="40" t="s">
        <v>244</v>
      </c>
      <c r="C46" s="41">
        <f>_xlfn.IFNA(VLOOKUP(A46,'TB-Aug 22'!A:F,6,0),0)</f>
        <v>-91650.86</v>
      </c>
      <c r="D46" s="41">
        <f>_xlfn.IFNA(VLOOKUP(A46,'TB-Aug21'!A:F,6,0),0)</f>
        <v>-54709.98</v>
      </c>
      <c r="E46" s="40" t="s">
        <v>69</v>
      </c>
      <c r="F46" s="160"/>
      <c r="I46" s="43"/>
      <c r="J46" s="43"/>
      <c r="K46" s="44"/>
      <c r="L46" s="43"/>
    </row>
    <row r="47" spans="1:12" s="42" customFormat="1">
      <c r="A47" s="40">
        <v>235210</v>
      </c>
      <c r="B47" s="40" t="s">
        <v>245</v>
      </c>
      <c r="C47" s="41">
        <f>_xlfn.IFNA(VLOOKUP(A47,'TB-Aug 22'!A:F,6,0),0)</f>
        <v>0</v>
      </c>
      <c r="D47" s="41">
        <f>_xlfn.IFNA(VLOOKUP(A47,'TB-Aug21'!A:F,6,0),0)</f>
        <v>0</v>
      </c>
      <c r="E47" s="40" t="s">
        <v>69</v>
      </c>
      <c r="I47" s="43" t="e">
        <f>VLOOKUP(#REF!,#REF!,9,FALSE)</f>
        <v>#REF!</v>
      </c>
      <c r="J47" s="43"/>
      <c r="K47" s="44"/>
      <c r="L47" s="43"/>
    </row>
    <row r="48" spans="1:12" s="42" customFormat="1">
      <c r="A48" s="40">
        <v>265501</v>
      </c>
      <c r="B48" s="40" t="s">
        <v>246</v>
      </c>
      <c r="C48" s="41">
        <f>_xlfn.IFNA(VLOOKUP(A48,'TB-Aug 22'!A:F,6,0),0)</f>
        <v>-140321.17000000001</v>
      </c>
      <c r="D48" s="41">
        <f>_xlfn.IFNA(VLOOKUP(A48,'TB-Aug21'!A:F,6,0),0)</f>
        <v>-151863.37</v>
      </c>
      <c r="E48" s="40" t="s">
        <v>71</v>
      </c>
      <c r="F48" s="160"/>
      <c r="I48" s="43" t="e">
        <f>VLOOKUP(#REF!,#REF!,9,FALSE)</f>
        <v>#REF!</v>
      </c>
      <c r="J48" s="43"/>
      <c r="K48" s="44"/>
      <c r="L48" s="43"/>
    </row>
    <row r="49" spans="1:12" s="42" customFormat="1">
      <c r="A49" s="40">
        <v>230400</v>
      </c>
      <c r="B49" s="40" t="s">
        <v>247</v>
      </c>
      <c r="C49" s="41">
        <f>_xlfn.IFNA(VLOOKUP(A49,'TB-Aug 22'!A:F,6,0),0)</f>
        <v>-1079181.17</v>
      </c>
      <c r="D49" s="41">
        <f>_xlfn.IFNA(VLOOKUP(A49,'TB-Aug21'!A:F,6,0),0)</f>
        <v>-2364245.87</v>
      </c>
      <c r="E49" s="40" t="s">
        <v>72</v>
      </c>
      <c r="F49" s="48"/>
      <c r="I49" s="43" t="e">
        <f>VLOOKUP(#REF!,#REF!,9,FALSE)</f>
        <v>#REF!</v>
      </c>
      <c r="J49" s="43"/>
      <c r="K49" s="44"/>
      <c r="L49" s="43"/>
    </row>
    <row r="50" spans="1:12" s="42" customFormat="1">
      <c r="A50" s="40">
        <v>502100</v>
      </c>
      <c r="B50" s="40" t="s">
        <v>248</v>
      </c>
      <c r="C50" s="41">
        <f>_xlfn.IFNA(VLOOKUP(A50,'TB-Aug 22'!A:F,6,0),0)</f>
        <v>-6018566.7599999998</v>
      </c>
      <c r="D50" s="41">
        <f>_xlfn.IFNA(VLOOKUP(A50,'TB-Aug21'!A:F,6,0),0)</f>
        <v>-7200530.3200000003</v>
      </c>
      <c r="E50" s="40" t="s">
        <v>72</v>
      </c>
      <c r="F50" s="160"/>
      <c r="I50" s="43" t="e">
        <f>VLOOKUP(#REF!,#REF!,9,FALSE)</f>
        <v>#REF!</v>
      </c>
      <c r="J50" s="43"/>
      <c r="K50" s="44"/>
      <c r="L50" s="43"/>
    </row>
    <row r="51" spans="1:12" s="42" customFormat="1">
      <c r="A51" s="40">
        <v>235990</v>
      </c>
      <c r="B51" s="40" t="s">
        <v>212</v>
      </c>
      <c r="C51" s="41">
        <f>_xlfn.IFNA(VLOOKUP(A51,'TB-Aug 22'!A:F,6,0),0)</f>
        <v>-14514</v>
      </c>
      <c r="D51" s="41">
        <f>_xlfn.IFNA(VLOOKUP(A51,'TB-Aug21'!A:F,6,0),0)</f>
        <v>0</v>
      </c>
      <c r="E51" s="40" t="s">
        <v>70</v>
      </c>
      <c r="F51" s="48"/>
      <c r="I51" s="43"/>
      <c r="J51" s="43"/>
      <c r="K51" s="44"/>
      <c r="L51" s="43"/>
    </row>
    <row r="52" spans="1:12" s="42" customFormat="1">
      <c r="A52" s="40">
        <v>236020</v>
      </c>
      <c r="B52" s="148" t="s">
        <v>374</v>
      </c>
      <c r="C52" s="41">
        <f>_xlfn.IFNA(VLOOKUP(A52,'TB-Aug 22'!A:F,6,0),0)</f>
        <v>-14514</v>
      </c>
      <c r="D52" s="41">
        <f>_xlfn.IFNA(VLOOKUP(A52,'TB-Aug21'!A:F,6,0),0)</f>
        <v>0</v>
      </c>
      <c r="E52" s="40"/>
      <c r="F52" s="48"/>
      <c r="I52" s="43"/>
      <c r="J52" s="43"/>
      <c r="K52" s="44"/>
      <c r="L52" s="43"/>
    </row>
    <row r="53" spans="1:12" s="42" customFormat="1">
      <c r="A53" s="40">
        <v>357111</v>
      </c>
      <c r="B53" s="40" t="s">
        <v>158</v>
      </c>
      <c r="C53" s="41">
        <f>_xlfn.IFNA(VLOOKUP(A53,'TB-Aug 22'!A:F,6,0),0)</f>
        <v>-952380.95</v>
      </c>
      <c r="D53" s="41">
        <f>_xlfn.IFNA(VLOOKUP(A53,'TB-Aug21'!A:F,6,0),0)</f>
        <v>-952380.95</v>
      </c>
      <c r="E53" s="40" t="s">
        <v>73</v>
      </c>
      <c r="I53" s="43" t="e">
        <f>VLOOKUP(#REF!,#REF!,9,FALSE)</f>
        <v>#REF!</v>
      </c>
      <c r="J53" s="43"/>
      <c r="K53" s="44"/>
      <c r="L53" s="43"/>
    </row>
    <row r="54" spans="1:12" s="42" customFormat="1">
      <c r="A54" s="40">
        <v>351233</v>
      </c>
      <c r="B54" s="40" t="s">
        <v>159</v>
      </c>
      <c r="C54" s="41">
        <f>_xlfn.IFNA(VLOOKUP(A54,'TB-Aug 22'!A:F,6,0),0)</f>
        <v>0</v>
      </c>
      <c r="D54" s="41">
        <f>_xlfn.IFNA(VLOOKUP(A54,'TB-Aug21'!A:F,6,0),0)</f>
        <v>0</v>
      </c>
      <c r="E54" s="40" t="s">
        <v>28</v>
      </c>
      <c r="I54" s="43"/>
      <c r="J54" s="43"/>
      <c r="K54" s="44"/>
      <c r="L54" s="43"/>
    </row>
    <row r="55" spans="1:12" s="42" customFormat="1">
      <c r="A55" s="40">
        <v>382020</v>
      </c>
      <c r="B55" s="40" t="s">
        <v>160</v>
      </c>
      <c r="C55" s="41">
        <f>_xlfn.IFNA(VLOOKUP(A55,'TB-Aug 22'!A:F,6,0),0)</f>
        <v>-38.1</v>
      </c>
      <c r="D55" s="41">
        <f>_xlfn.IFNA(VLOOKUP(A55,'TB-Aug21'!A:F,6,0),0)</f>
        <v>748.67</v>
      </c>
      <c r="E55" s="40" t="s">
        <v>75</v>
      </c>
      <c r="I55" s="43" t="e">
        <f>VLOOKUP(#REF!,#REF!,9,FALSE)</f>
        <v>#REF!</v>
      </c>
      <c r="J55" s="43"/>
      <c r="K55" s="44"/>
      <c r="L55" s="43"/>
    </row>
    <row r="56" spans="1:12" s="42" customFormat="1">
      <c r="A56" s="40">
        <v>385100</v>
      </c>
      <c r="B56" s="40" t="s">
        <v>236</v>
      </c>
      <c r="C56" s="41">
        <f>_xlfn.IFNA(VLOOKUP(A56,'TB-Aug 22'!A:F,6,0),0)</f>
        <v>0</v>
      </c>
      <c r="D56" s="41">
        <f>_xlfn.IFNA(VLOOKUP(A56,'TB-Aug21'!A:F,6,0),0)</f>
        <v>0</v>
      </c>
      <c r="E56" s="40" t="s">
        <v>75</v>
      </c>
      <c r="I56" s="43"/>
      <c r="J56" s="43"/>
      <c r="K56" s="44"/>
      <c r="L56" s="43"/>
    </row>
    <row r="57" spans="1:12" s="42" customFormat="1">
      <c r="A57" s="40">
        <v>412110</v>
      </c>
      <c r="B57" s="40" t="s">
        <v>165</v>
      </c>
      <c r="C57" s="41">
        <f>_xlfn.IFNA(VLOOKUP(A57,'TB-Aug 22'!A:F,6,0),0)</f>
        <v>0</v>
      </c>
      <c r="D57" s="41">
        <f>_xlfn.IFNA(VLOOKUP(A57,'TB-Aug21'!A:F,6,0),0)</f>
        <v>0</v>
      </c>
      <c r="E57" s="40" t="s">
        <v>74</v>
      </c>
      <c r="I57" s="43"/>
      <c r="J57" s="43"/>
      <c r="K57" s="44"/>
      <c r="L57" s="43"/>
    </row>
    <row r="58" spans="1:12" s="42" customFormat="1">
      <c r="A58" s="40">
        <v>412121</v>
      </c>
      <c r="B58" s="40" t="s">
        <v>180</v>
      </c>
      <c r="C58" s="41">
        <f>_xlfn.IFNA(VLOOKUP(A58,'TB-Aug 22'!A:F,6,0),0)</f>
        <v>691592.5</v>
      </c>
      <c r="D58" s="41">
        <f>_xlfn.IFNA(VLOOKUP(A58,'TB-Aug21'!A:F,6,0),0)</f>
        <v>644246.37</v>
      </c>
      <c r="E58" s="40" t="s">
        <v>74</v>
      </c>
      <c r="I58" s="43"/>
      <c r="J58" s="43"/>
      <c r="K58" s="44"/>
      <c r="L58" s="43"/>
    </row>
    <row r="59" spans="1:12" s="42" customFormat="1">
      <c r="A59" s="40">
        <v>412125</v>
      </c>
      <c r="B59" s="40" t="s">
        <v>181</v>
      </c>
      <c r="C59" s="41">
        <f>_xlfn.IFNA(VLOOKUP(A59,'TB-Aug 22'!A:F,6,0),0)</f>
        <v>355270.42</v>
      </c>
      <c r="D59" s="41">
        <f>_xlfn.IFNA(VLOOKUP(A59,'TB-Aug21'!A:F,6,0),0)</f>
        <v>323597.06</v>
      </c>
      <c r="E59" s="40" t="s">
        <v>74</v>
      </c>
      <c r="I59" s="43"/>
      <c r="J59" s="43"/>
      <c r="K59" s="44"/>
      <c r="L59" s="43"/>
    </row>
    <row r="60" spans="1:12" s="42" customFormat="1">
      <c r="A60" s="40">
        <v>412184</v>
      </c>
      <c r="B60" s="40" t="s">
        <v>182</v>
      </c>
      <c r="C60" s="41">
        <f>_xlfn.IFNA(VLOOKUP(A60,'TB-Aug 22'!A:F,6,0),0)</f>
        <v>0</v>
      </c>
      <c r="D60" s="41">
        <f>_xlfn.IFNA(VLOOKUP(A60,'TB-Aug21'!A:F,6,0),0)</f>
        <v>-16387.57</v>
      </c>
      <c r="E60" s="40" t="s">
        <v>74</v>
      </c>
      <c r="I60" s="43"/>
      <c r="J60" s="43"/>
      <c r="K60" s="44"/>
      <c r="L60" s="43"/>
    </row>
    <row r="61" spans="1:12" s="42" customFormat="1">
      <c r="A61" s="40">
        <v>412521</v>
      </c>
      <c r="B61" s="40" t="s">
        <v>249</v>
      </c>
      <c r="C61" s="41">
        <f>_xlfn.IFNA(VLOOKUP(A61,'TB-Aug 22'!A:F,6,0),0)</f>
        <v>12000</v>
      </c>
      <c r="D61" s="41">
        <f>_xlfn.IFNA(VLOOKUP(A61,'TB-Aug21'!A:F,6,0),0)</f>
        <v>16000</v>
      </c>
      <c r="E61" s="40" t="s">
        <v>74</v>
      </c>
      <c r="I61" s="43"/>
      <c r="J61" s="43"/>
      <c r="K61" s="44"/>
      <c r="L61" s="43"/>
    </row>
    <row r="62" spans="1:12" s="42" customFormat="1">
      <c r="A62" s="40">
        <v>412534</v>
      </c>
      <c r="B62" s="40" t="s">
        <v>114</v>
      </c>
      <c r="C62" s="41">
        <f>_xlfn.IFNA(VLOOKUP(A62,'TB-Aug 22'!A:F,6,0),0)</f>
        <v>21395.5</v>
      </c>
      <c r="D62" s="41">
        <f>_xlfn.IFNA(VLOOKUP(A62,'TB-Aug21'!A:F,6,0),0)</f>
        <v>18889.13</v>
      </c>
      <c r="E62" s="40" t="s">
        <v>74</v>
      </c>
      <c r="I62" s="43"/>
      <c r="J62" s="43"/>
      <c r="K62" s="44"/>
      <c r="L62" s="43"/>
    </row>
    <row r="63" spans="1:12" s="42" customFormat="1">
      <c r="A63" s="40">
        <v>412542</v>
      </c>
      <c r="B63" s="40" t="s">
        <v>183</v>
      </c>
      <c r="C63" s="41">
        <f>_xlfn.IFNA(VLOOKUP(A63,'TB-Aug 22'!A:F,6,0),0)</f>
        <v>0</v>
      </c>
      <c r="D63" s="41">
        <f>_xlfn.IFNA(VLOOKUP(A63,'TB-Aug21'!A:F,6,0),0)</f>
        <v>0</v>
      </c>
      <c r="E63" s="40" t="s">
        <v>74</v>
      </c>
      <c r="I63" s="43"/>
      <c r="J63" s="43"/>
      <c r="K63" s="44"/>
      <c r="L63" s="43"/>
    </row>
    <row r="64" spans="1:12" s="42" customFormat="1">
      <c r="A64" s="40">
        <v>412590</v>
      </c>
      <c r="B64" s="40" t="s">
        <v>161</v>
      </c>
      <c r="C64" s="41">
        <f>_xlfn.IFNA(VLOOKUP(A64,'TB-Aug 22'!A:F,6,0),0)</f>
        <v>0.08</v>
      </c>
      <c r="D64" s="41">
        <f>_xlfn.IFNA(VLOOKUP(A64,'TB-Aug21'!A:F,6,0),0)</f>
        <v>0.76</v>
      </c>
      <c r="E64" s="40" t="s">
        <v>74</v>
      </c>
      <c r="I64" s="43"/>
      <c r="J64" s="43"/>
      <c r="K64" s="44"/>
      <c r="L64" s="43"/>
    </row>
    <row r="65" spans="1:12" s="42" customFormat="1">
      <c r="A65" s="40">
        <v>413121</v>
      </c>
      <c r="B65" s="40" t="s">
        <v>105</v>
      </c>
      <c r="C65" s="41">
        <f>_xlfn.IFNA(VLOOKUP(A65,'TB-Aug 22'!A:F,6,0),0)</f>
        <v>0</v>
      </c>
      <c r="D65" s="41">
        <f>_xlfn.IFNA(VLOOKUP(A65,'TB-Aug21'!A:F,6,0),0)</f>
        <v>0</v>
      </c>
      <c r="E65" s="40" t="s">
        <v>74</v>
      </c>
      <c r="I65" s="43"/>
      <c r="J65" s="43"/>
      <c r="K65" s="44"/>
      <c r="L65" s="43"/>
    </row>
    <row r="66" spans="1:12" s="42" customFormat="1">
      <c r="A66" s="40">
        <v>414120</v>
      </c>
      <c r="B66" s="40" t="s">
        <v>187</v>
      </c>
      <c r="C66" s="41">
        <f>_xlfn.IFNA(VLOOKUP(A66,'TB-Aug 22'!A:F,6,0),0)</f>
        <v>34474</v>
      </c>
      <c r="D66" s="41">
        <f>_xlfn.IFNA(VLOOKUP(A66,'TB-Aug21'!A:F,6,0),0)</f>
        <v>112548.68</v>
      </c>
      <c r="E66" s="40" t="s">
        <v>74</v>
      </c>
      <c r="I66" s="43"/>
      <c r="J66" s="43"/>
      <c r="K66" s="44"/>
      <c r="L66" s="43"/>
    </row>
    <row r="67" spans="1:12" s="42" customFormat="1">
      <c r="A67" s="40">
        <v>415210</v>
      </c>
      <c r="B67" s="40" t="s">
        <v>251</v>
      </c>
      <c r="C67" s="41">
        <f>_xlfn.IFNA(VLOOKUP(A67,'TB-Aug 22'!A:F,6,0),0)</f>
        <v>0</v>
      </c>
      <c r="D67" s="41">
        <f>_xlfn.IFNA(VLOOKUP(A67,'TB-Aug21'!A:F,6,0),0)</f>
        <v>0</v>
      </c>
      <c r="E67" s="40" t="s">
        <v>74</v>
      </c>
      <c r="I67" s="43" t="e">
        <f>VLOOKUP(#REF!,#REF!,9,FALSE)</f>
        <v>#REF!</v>
      </c>
      <c r="J67" s="43"/>
      <c r="K67" s="44"/>
      <c r="L67" s="43"/>
    </row>
    <row r="68" spans="1:12" s="42" customFormat="1">
      <c r="A68" s="40">
        <v>415220</v>
      </c>
      <c r="B68" s="40" t="s">
        <v>185</v>
      </c>
      <c r="C68" s="41">
        <f>_xlfn.IFNA(VLOOKUP(A68,'TB-Aug 22'!A:F,6,0),0)</f>
        <v>0</v>
      </c>
      <c r="D68" s="41">
        <f>_xlfn.IFNA(VLOOKUP(A68,'TB-Aug21'!A:F,6,0),0)</f>
        <v>0</v>
      </c>
      <c r="E68" s="40" t="s">
        <v>74</v>
      </c>
      <c r="I68" s="43"/>
      <c r="J68" s="43"/>
      <c r="K68" s="44"/>
      <c r="L68" s="43"/>
    </row>
    <row r="69" spans="1:12" s="42" customFormat="1">
      <c r="A69" s="40">
        <v>415230</v>
      </c>
      <c r="B69" s="40" t="s">
        <v>250</v>
      </c>
      <c r="C69" s="41">
        <f>_xlfn.IFNA(VLOOKUP(A69,'TB-Aug 22'!A:F,6,0),0)</f>
        <v>0</v>
      </c>
      <c r="D69" s="41">
        <f>_xlfn.IFNA(VLOOKUP(A69,'TB-Aug21'!A:F,6,0),0)</f>
        <v>0</v>
      </c>
      <c r="E69" s="40" t="s">
        <v>74</v>
      </c>
      <c r="I69" s="43"/>
      <c r="J69" s="43"/>
      <c r="K69" s="44"/>
      <c r="L69" s="43"/>
    </row>
    <row r="70" spans="1:12" s="42" customFormat="1">
      <c r="A70" s="40">
        <v>415320</v>
      </c>
      <c r="B70" s="40" t="s">
        <v>162</v>
      </c>
      <c r="C70" s="41">
        <f>_xlfn.IFNA(VLOOKUP(A70,'TB-Aug 22'!A:F,6,0),0)</f>
        <v>0</v>
      </c>
      <c r="D70" s="41">
        <f>_xlfn.IFNA(VLOOKUP(A70,'TB-Aug21'!A:F,6,0),0)</f>
        <v>0</v>
      </c>
      <c r="E70" s="40" t="s">
        <v>74</v>
      </c>
      <c r="I70" s="43" t="e">
        <f>VLOOKUP(#REF!,#REF!,9,FALSE)</f>
        <v>#REF!</v>
      </c>
      <c r="J70" s="43"/>
      <c r="K70" s="44"/>
      <c r="L70" s="43"/>
    </row>
    <row r="71" spans="1:12" s="42" customFormat="1">
      <c r="A71" s="40">
        <v>416110</v>
      </c>
      <c r="B71" s="40" t="s">
        <v>188</v>
      </c>
      <c r="C71" s="41">
        <f>_xlfn.IFNA(VLOOKUP(A71,'TB-Aug 22'!A:F,6,0),0)</f>
        <v>2293.2800000000002</v>
      </c>
      <c r="D71" s="41">
        <f>_xlfn.IFNA(VLOOKUP(A71,'TB-Aug21'!A:F,6,0),0)</f>
        <v>13072.15</v>
      </c>
      <c r="E71" s="40" t="s">
        <v>74</v>
      </c>
      <c r="I71" s="43" t="e">
        <f>VLOOKUP(#REF!,#REF!,9,FALSE)</f>
        <v>#REF!</v>
      </c>
      <c r="J71" s="43"/>
      <c r="K71" s="44"/>
      <c r="L71" s="43"/>
    </row>
    <row r="72" spans="1:12" s="42" customFormat="1">
      <c r="A72" s="40">
        <v>416310</v>
      </c>
      <c r="B72" s="40" t="s">
        <v>184</v>
      </c>
      <c r="C72" s="41">
        <f>_xlfn.IFNA(VLOOKUP(A72,'TB-Aug 22'!A:F,6,0),0)</f>
        <v>38285</v>
      </c>
      <c r="D72" s="41">
        <f>_xlfn.IFNA(VLOOKUP(A72,'TB-Aug21'!A:F,6,0),0)</f>
        <v>33528.35</v>
      </c>
      <c r="E72" s="40" t="s">
        <v>74</v>
      </c>
      <c r="I72" s="43" t="e">
        <f>VLOOKUP(#REF!,#REF!,9,FALSE)</f>
        <v>#REF!</v>
      </c>
      <c r="J72" s="43"/>
      <c r="K72" s="44"/>
      <c r="L72" s="43"/>
    </row>
    <row r="73" spans="1:12" s="42" customFormat="1">
      <c r="A73" s="40">
        <v>420130</v>
      </c>
      <c r="B73" s="40" t="s">
        <v>234</v>
      </c>
      <c r="C73" s="41">
        <f>_xlfn.IFNA(VLOOKUP(A73,'TB-Aug 22'!A:F,6,0),0)</f>
        <v>0</v>
      </c>
      <c r="D73" s="41">
        <f>_xlfn.IFNA(VLOOKUP(A73,'TB-Aug21'!A:F,6,0),0)</f>
        <v>0</v>
      </c>
      <c r="E73" s="40" t="s">
        <v>82</v>
      </c>
      <c r="I73" s="43"/>
      <c r="J73" s="43"/>
      <c r="K73" s="44"/>
      <c r="L73" s="43"/>
    </row>
    <row r="74" spans="1:12" s="42" customFormat="1">
      <c r="A74" s="40">
        <v>420550</v>
      </c>
      <c r="B74" s="40" t="s">
        <v>260</v>
      </c>
      <c r="C74" s="41">
        <f>_xlfn.IFNA(VLOOKUP(A74,'TB-Aug 22'!A:F,6,0),0)</f>
        <v>0</v>
      </c>
      <c r="D74" s="41">
        <f>_xlfn.IFNA(VLOOKUP(A74,'TB-Aug21'!A:F,6,0),0)</f>
        <v>0</v>
      </c>
      <c r="E74" s="40" t="s">
        <v>82</v>
      </c>
      <c r="I74" s="43"/>
      <c r="J74" s="43"/>
      <c r="K74" s="44"/>
      <c r="L74" s="43"/>
    </row>
    <row r="75" spans="1:12" s="42" customFormat="1">
      <c r="A75" s="40">
        <v>420900</v>
      </c>
      <c r="B75" s="40" t="s">
        <v>195</v>
      </c>
      <c r="C75" s="41">
        <f>_xlfn.IFNA(VLOOKUP(A75,'TB-Aug 22'!A:F,6,0),0)</f>
        <v>0</v>
      </c>
      <c r="D75" s="41">
        <f>_xlfn.IFNA(VLOOKUP(A75,'TB-Aug21'!A:F,6,0),0)</f>
        <v>0</v>
      </c>
      <c r="E75" s="40" t="s">
        <v>82</v>
      </c>
      <c r="I75" s="43" t="e">
        <f>VLOOKUP(#REF!,#REF!,9,FALSE)</f>
        <v>#REF!</v>
      </c>
      <c r="J75" s="43"/>
      <c r="K75" s="44"/>
      <c r="L75" s="43"/>
    </row>
    <row r="76" spans="1:12" s="42" customFormat="1">
      <c r="A76" s="40">
        <v>421000</v>
      </c>
      <c r="B76" s="40" t="s">
        <v>194</v>
      </c>
      <c r="C76" s="41">
        <f>_xlfn.IFNA(VLOOKUP(A76,'TB-Aug 22'!A:F,6,0),0)</f>
        <v>0</v>
      </c>
      <c r="D76" s="41">
        <f>_xlfn.IFNA(VLOOKUP(A76,'TB-Aug21'!A:F,6,0),0)</f>
        <v>0</v>
      </c>
      <c r="E76" s="40" t="s">
        <v>82</v>
      </c>
      <c r="I76" s="43"/>
      <c r="J76" s="43"/>
      <c r="K76" s="44"/>
      <c r="L76" s="43"/>
    </row>
    <row r="77" spans="1:12" s="42" customFormat="1">
      <c r="A77" s="40">
        <v>425100</v>
      </c>
      <c r="B77" s="40" t="s">
        <v>192</v>
      </c>
      <c r="C77" s="41">
        <f>_xlfn.IFNA(VLOOKUP(A77,'TB-Aug 22'!A:F,6,0),0)</f>
        <v>0</v>
      </c>
      <c r="D77" s="41">
        <f>_xlfn.IFNA(VLOOKUP(A77,'TB-Aug21'!A:F,6,0),0)</f>
        <v>0</v>
      </c>
      <c r="E77" s="40" t="s">
        <v>77</v>
      </c>
      <c r="I77" s="43"/>
      <c r="J77" s="43"/>
      <c r="K77" s="44"/>
      <c r="L77" s="43"/>
    </row>
    <row r="78" spans="1:12" s="42" customFormat="1">
      <c r="A78" s="40">
        <v>425300</v>
      </c>
      <c r="B78" s="40" t="s">
        <v>196</v>
      </c>
      <c r="C78" s="41">
        <f>_xlfn.IFNA(VLOOKUP(A78,'TB-Aug 22'!A:F,6,0),0)</f>
        <v>0</v>
      </c>
      <c r="D78" s="41">
        <f>_xlfn.IFNA(VLOOKUP(A78,'TB-Aug21'!A:F,6,0),0)</f>
        <v>0</v>
      </c>
      <c r="E78" s="40" t="s">
        <v>83</v>
      </c>
      <c r="I78" s="43" t="e">
        <f>VLOOKUP(#REF!,#REF!,9,FALSE)</f>
        <v>#REF!</v>
      </c>
      <c r="J78" s="43"/>
      <c r="K78" s="44"/>
      <c r="L78" s="43"/>
    </row>
    <row r="79" spans="1:12" s="42" customFormat="1">
      <c r="A79" s="40">
        <v>425510</v>
      </c>
      <c r="B79" s="40" t="s">
        <v>193</v>
      </c>
      <c r="C79" s="41">
        <f>_xlfn.IFNA(VLOOKUP(A79,'TB-Aug 22'!A:F,6,0),0)</f>
        <v>350</v>
      </c>
      <c r="D79" s="41">
        <f>_xlfn.IFNA(VLOOKUP(A79,'TB-Aug21'!A:F,6,0),0)</f>
        <v>700</v>
      </c>
      <c r="E79" s="40" t="s">
        <v>78</v>
      </c>
      <c r="I79" s="43"/>
      <c r="J79" s="43"/>
      <c r="K79" s="44"/>
      <c r="L79" s="43"/>
    </row>
    <row r="80" spans="1:12" s="42" customFormat="1">
      <c r="A80" s="40">
        <v>425760</v>
      </c>
      <c r="B80" s="40" t="s">
        <v>256</v>
      </c>
      <c r="C80" s="41">
        <f>_xlfn.IFNA(VLOOKUP(A80,'TB-Aug 22'!A:F,6,0),0)</f>
        <v>0</v>
      </c>
      <c r="D80" s="41">
        <f>_xlfn.IFNA(VLOOKUP(A80,'TB-Aug21'!A:F,6,0),0)</f>
        <v>0</v>
      </c>
      <c r="E80" s="40" t="s">
        <v>75</v>
      </c>
      <c r="I80" s="43"/>
      <c r="J80" s="43"/>
      <c r="K80" s="44"/>
      <c r="L80" s="43"/>
    </row>
    <row r="81" spans="1:12" s="42" customFormat="1">
      <c r="A81" s="40">
        <v>425770</v>
      </c>
      <c r="B81" s="40" t="s">
        <v>219</v>
      </c>
      <c r="C81" s="41">
        <f>_xlfn.IFNA(VLOOKUP(A81,'TB-Aug 22'!A:F,6,0),0)</f>
        <v>0</v>
      </c>
      <c r="D81" s="41">
        <f>_xlfn.IFNA(VLOOKUP(A81,'TB-Aug21'!A:F,6,0),0)</f>
        <v>0</v>
      </c>
      <c r="E81" s="40" t="s">
        <v>76</v>
      </c>
      <c r="I81" s="43"/>
      <c r="J81" s="43"/>
      <c r="K81" s="44"/>
      <c r="L81" s="43"/>
    </row>
    <row r="82" spans="1:12" s="42" customFormat="1">
      <c r="A82" s="40">
        <v>425900</v>
      </c>
      <c r="B82" s="40" t="s">
        <v>254</v>
      </c>
      <c r="C82" s="41">
        <f>_xlfn.IFNA(VLOOKUP(A82,'TB-Aug 22'!A:F,6,0),0)</f>
        <v>0</v>
      </c>
      <c r="D82" s="41">
        <f>_xlfn.IFNA(VLOOKUP(A82,'TB-Aug21'!A:F,6,0),0)</f>
        <v>0</v>
      </c>
      <c r="E82" s="40" t="s">
        <v>76</v>
      </c>
      <c r="I82" s="43"/>
      <c r="J82" s="43"/>
      <c r="K82" s="44"/>
      <c r="L82" s="43"/>
    </row>
    <row r="83" spans="1:12" s="42" customFormat="1">
      <c r="A83" s="40">
        <v>426610</v>
      </c>
      <c r="B83" s="40" t="s">
        <v>190</v>
      </c>
      <c r="C83" s="41">
        <f>_xlfn.IFNA(VLOOKUP(A83,'TB-Aug 22'!A:F,6,0),0)</f>
        <v>0</v>
      </c>
      <c r="D83" s="41">
        <f>_xlfn.IFNA(VLOOKUP(A83,'TB-Aug21'!A:F,6,0),0)</f>
        <v>0</v>
      </c>
      <c r="E83" s="40" t="s">
        <v>75</v>
      </c>
      <c r="I83" s="43" t="e">
        <f>VLOOKUP(#REF!,#REF!,9,FALSE)</f>
        <v>#REF!</v>
      </c>
      <c r="J83" s="43"/>
      <c r="K83" s="44"/>
      <c r="L83" s="43"/>
    </row>
    <row r="84" spans="1:12" s="42" customFormat="1">
      <c r="A84" s="40">
        <v>426900</v>
      </c>
      <c r="B84" s="40" t="s">
        <v>163</v>
      </c>
      <c r="C84" s="41">
        <f>_xlfn.IFNA(VLOOKUP(A84,'TB-Aug 22'!A:F,6,0),0)</f>
        <v>0</v>
      </c>
      <c r="D84" s="41">
        <f>_xlfn.IFNA(VLOOKUP(A84,'TB-Aug21'!A:F,6,0),0)</f>
        <v>0</v>
      </c>
      <c r="E84" s="40" t="s">
        <v>75</v>
      </c>
      <c r="I84" s="43"/>
      <c r="J84" s="43"/>
      <c r="K84" s="44"/>
      <c r="L84" s="43"/>
    </row>
    <row r="85" spans="1:12" s="42" customFormat="1">
      <c r="A85" s="40">
        <v>427340</v>
      </c>
      <c r="B85" s="40" t="s">
        <v>259</v>
      </c>
      <c r="C85" s="41">
        <f>_xlfn.IFNA(VLOOKUP(A85,'TB-Aug 22'!A:F,6,0),0)</f>
        <v>0</v>
      </c>
      <c r="D85" s="41">
        <f>_xlfn.IFNA(VLOOKUP(A85,'TB-Aug21'!A:F,6,0),0)</f>
        <v>0</v>
      </c>
      <c r="E85" s="40" t="s">
        <v>75</v>
      </c>
      <c r="I85" s="43" t="e">
        <f>VLOOKUP(#REF!,#REF!,9,FALSE)</f>
        <v>#REF!</v>
      </c>
      <c r="J85" s="43"/>
      <c r="K85" s="44"/>
      <c r="L85" s="43"/>
    </row>
    <row r="86" spans="1:12" s="42" customFormat="1">
      <c r="A86" s="40">
        <v>427810</v>
      </c>
      <c r="B86" s="40" t="s">
        <v>253</v>
      </c>
      <c r="C86" s="41">
        <f>_xlfn.IFNA(VLOOKUP(A86,'TB-Aug 22'!A:F,6,0),0)</f>
        <v>0</v>
      </c>
      <c r="D86" s="41">
        <f>_xlfn.IFNA(VLOOKUP(A86,'TB-Aug21'!A:F,6,0),0)</f>
        <v>0</v>
      </c>
      <c r="E86" s="40" t="s">
        <v>75</v>
      </c>
      <c r="I86" s="43" t="e">
        <f>VLOOKUP(#REF!,#REF!,9,FALSE)</f>
        <v>#REF!</v>
      </c>
      <c r="J86" s="43"/>
      <c r="K86" s="44"/>
      <c r="L86" s="43"/>
    </row>
    <row r="87" spans="1:12" s="42" customFormat="1">
      <c r="A87" s="40">
        <v>428090</v>
      </c>
      <c r="B87" s="40" t="s">
        <v>164</v>
      </c>
      <c r="C87" s="41">
        <f>_xlfn.IFNA(VLOOKUP(A87,'TB-Aug 22'!A:F,6,0),0)</f>
        <v>0</v>
      </c>
      <c r="D87" s="41">
        <f>_xlfn.IFNA(VLOOKUP(A87,'TB-Aug21'!A:F,6,0),0)</f>
        <v>0</v>
      </c>
      <c r="E87" s="40" t="s">
        <v>76</v>
      </c>
      <c r="I87" s="43" t="e">
        <f>VLOOKUP(#REF!,#REF!,9,FALSE)</f>
        <v>#REF!</v>
      </c>
      <c r="J87" s="43"/>
      <c r="K87" s="44"/>
      <c r="L87" s="43"/>
    </row>
    <row r="88" spans="1:12" s="42" customFormat="1">
      <c r="A88" s="40">
        <v>428200</v>
      </c>
      <c r="B88" s="40" t="s">
        <v>198</v>
      </c>
      <c r="C88" s="41">
        <f>_xlfn.IFNA(VLOOKUP(A88,'TB-Aug 22'!A:F,6,0),0)</f>
        <v>0</v>
      </c>
      <c r="D88" s="41">
        <f>_xlfn.IFNA(VLOOKUP(A88,'TB-Aug21'!A:F,6,0),0)</f>
        <v>0</v>
      </c>
      <c r="E88" s="40" t="s">
        <v>75</v>
      </c>
      <c r="I88" s="43" t="e">
        <f>VLOOKUP(#REF!,#REF!,9,FALSE)</f>
        <v>#REF!</v>
      </c>
      <c r="J88" s="43"/>
      <c r="K88" s="44"/>
      <c r="L88" s="43"/>
    </row>
    <row r="89" spans="1:12" s="42" customFormat="1">
      <c r="A89" s="40">
        <v>428400</v>
      </c>
      <c r="B89" s="40" t="s">
        <v>262</v>
      </c>
      <c r="C89" s="41">
        <f>_xlfn.IFNA(VLOOKUP(A89,'TB-Aug 22'!A:F,6,0),0)</f>
        <v>0</v>
      </c>
      <c r="D89" s="41">
        <f>_xlfn.IFNA(VLOOKUP(A89,'TB-Aug21'!A:F,6,0),0)</f>
        <v>0</v>
      </c>
      <c r="E89" s="40" t="s">
        <v>75</v>
      </c>
      <c r="I89" s="43"/>
      <c r="J89" s="43"/>
      <c r="K89" s="44"/>
      <c r="L89" s="43"/>
    </row>
    <row r="90" spans="1:12" s="42" customFormat="1">
      <c r="A90" s="40">
        <v>429900</v>
      </c>
      <c r="B90" s="40" t="s">
        <v>199</v>
      </c>
      <c r="C90" s="41">
        <f>_xlfn.IFNA(VLOOKUP(A90,'TB-Aug 22'!A:F,6,0),0)</f>
        <v>0</v>
      </c>
      <c r="D90" s="41">
        <f>_xlfn.IFNA(VLOOKUP(A90,'TB-Aug21'!A:F,6,0),0)</f>
        <v>0</v>
      </c>
      <c r="E90" s="40" t="s">
        <v>75</v>
      </c>
      <c r="I90" s="43" t="e">
        <f>VLOOKUP(#REF!,#REF!,9,FALSE)</f>
        <v>#REF!</v>
      </c>
      <c r="J90" s="43"/>
      <c r="K90" s="44"/>
      <c r="L90" s="43"/>
    </row>
    <row r="91" spans="1:12" s="42" customFormat="1">
      <c r="A91" s="40">
        <v>430330</v>
      </c>
      <c r="B91" s="40" t="s">
        <v>191</v>
      </c>
      <c r="C91" s="41">
        <f>_xlfn.IFNA(VLOOKUP(A91,'TB-Aug 22'!A:F,6,0),0)</f>
        <v>0</v>
      </c>
      <c r="D91" s="41">
        <f>_xlfn.IFNA(VLOOKUP(A91,'TB-Aug21'!A:F,6,0),0)</f>
        <v>0</v>
      </c>
      <c r="E91" s="40" t="s">
        <v>75</v>
      </c>
      <c r="I91" s="43" t="e">
        <f>VLOOKUP(#REF!,#REF!,9,FALSE)</f>
        <v>#REF!</v>
      </c>
      <c r="J91" s="43"/>
      <c r="K91" s="44"/>
      <c r="L91" s="43"/>
    </row>
    <row r="92" spans="1:12" s="42" customFormat="1">
      <c r="A92" s="40">
        <v>432120</v>
      </c>
      <c r="B92" s="40" t="s">
        <v>200</v>
      </c>
      <c r="C92" s="41">
        <f>_xlfn.IFNA(VLOOKUP(A92,'TB-Aug 22'!A:F,6,0),0)</f>
        <v>0</v>
      </c>
      <c r="D92" s="41">
        <f>_xlfn.IFNA(VLOOKUP(A92,'TB-Aug21'!A:F,6,0),0)</f>
        <v>0</v>
      </c>
      <c r="E92" s="40" t="s">
        <v>110</v>
      </c>
      <c r="I92" s="43" t="e">
        <f>VLOOKUP(#REF!,#REF!,9,FALSE)</f>
        <v>#REF!</v>
      </c>
      <c r="J92" s="43"/>
      <c r="K92" s="44"/>
      <c r="L92" s="43"/>
    </row>
    <row r="93" spans="1:12" s="42" customFormat="1">
      <c r="A93" s="40">
        <v>432690</v>
      </c>
      <c r="B93" s="40" t="s">
        <v>201</v>
      </c>
      <c r="C93" s="41">
        <f>_xlfn.IFNA(VLOOKUP(A93,'TB-Aug 22'!A:F,6,0),0)</f>
        <v>0</v>
      </c>
      <c r="D93" s="41">
        <f>_xlfn.IFNA(VLOOKUP(A93,'TB-Aug21'!A:F,6,0),0)</f>
        <v>0</v>
      </c>
      <c r="E93" s="40" t="s">
        <v>110</v>
      </c>
      <c r="I93" s="43" t="e">
        <f>VLOOKUP(#REF!,#REF!,9,FALSE)</f>
        <v>#REF!</v>
      </c>
      <c r="J93" s="43"/>
      <c r="K93" s="44"/>
      <c r="L93" s="43"/>
    </row>
    <row r="94" spans="1:12" s="42" customFormat="1">
      <c r="A94" s="40">
        <v>435350</v>
      </c>
      <c r="B94" s="40" t="s">
        <v>202</v>
      </c>
      <c r="C94" s="41">
        <f>_xlfn.IFNA(VLOOKUP(A94,'TB-Aug 22'!A:F,6,0),0)</f>
        <v>0</v>
      </c>
      <c r="D94" s="41">
        <f>_xlfn.IFNA(VLOOKUP(A94,'TB-Aug21'!A:F,6,0),0)</f>
        <v>0</v>
      </c>
      <c r="E94" s="40" t="s">
        <v>75</v>
      </c>
      <c r="I94" s="43"/>
      <c r="J94" s="43"/>
      <c r="K94" s="44"/>
      <c r="L94" s="43"/>
    </row>
    <row r="95" spans="1:12" s="42" customFormat="1">
      <c r="A95" s="40">
        <v>435508</v>
      </c>
      <c r="B95" s="40" t="s">
        <v>203</v>
      </c>
      <c r="C95" s="41">
        <f>_xlfn.IFNA(VLOOKUP(A95,'TB-Aug 22'!A:F,6,0),0)</f>
        <v>169384.76</v>
      </c>
      <c r="D95" s="41">
        <f>_xlfn.IFNA(VLOOKUP(A95,'TB-Aug21'!A:F,6,0),0)</f>
        <v>289152.86</v>
      </c>
      <c r="E95" s="40" t="s">
        <v>75</v>
      </c>
      <c r="I95" s="43" t="e">
        <f>VLOOKUP(#REF!,#REF!,9,FALSE)</f>
        <v>#REF!</v>
      </c>
      <c r="J95" s="43"/>
      <c r="K95" s="44"/>
      <c r="L95" s="43"/>
    </row>
    <row r="96" spans="1:12" s="42" customFormat="1">
      <c r="A96" s="40">
        <v>435519</v>
      </c>
      <c r="B96" s="40" t="s">
        <v>255</v>
      </c>
      <c r="C96" s="41">
        <f>_xlfn.IFNA(VLOOKUP(A96,'TB-Aug 22'!A:F,6,0),0)</f>
        <v>0</v>
      </c>
      <c r="D96" s="41">
        <f>_xlfn.IFNA(VLOOKUP(A96,'TB-Aug21'!A:F,6,0),0)</f>
        <v>0</v>
      </c>
      <c r="E96" s="40" t="s">
        <v>78</v>
      </c>
      <c r="I96" s="43"/>
      <c r="J96" s="43"/>
      <c r="K96" s="44"/>
      <c r="L96" s="43"/>
    </row>
    <row r="97" spans="1:14" s="42" customFormat="1">
      <c r="A97" s="40">
        <v>435910</v>
      </c>
      <c r="B97" s="40" t="s">
        <v>204</v>
      </c>
      <c r="C97" s="41">
        <f>_xlfn.IFNA(VLOOKUP(A97,'TB-Aug 22'!A:F,6,0),0)</f>
        <v>0</v>
      </c>
      <c r="D97" s="41">
        <f>_xlfn.IFNA(VLOOKUP(A97,'TB-Aug21'!A:F,6,0),0)</f>
        <v>0</v>
      </c>
      <c r="E97" s="40" t="s">
        <v>110</v>
      </c>
      <c r="I97" s="43" t="e">
        <f>VLOOKUP(#REF!,#REF!,9,FALSE)</f>
        <v>#REF!</v>
      </c>
      <c r="J97" s="43"/>
      <c r="K97" s="44"/>
      <c r="L97" s="43"/>
    </row>
    <row r="98" spans="1:14" s="42" customFormat="1">
      <c r="A98" s="40">
        <v>436110</v>
      </c>
      <c r="B98" s="40" t="s">
        <v>235</v>
      </c>
      <c r="C98" s="41">
        <f>_xlfn.IFNA(VLOOKUP(A98,'TB-Aug 22'!A:F,6,0),0)</f>
        <v>0</v>
      </c>
      <c r="D98" s="41">
        <f>_xlfn.IFNA(VLOOKUP(A98,'TB-Aug21'!A:F,6,0),0)</f>
        <v>0</v>
      </c>
      <c r="E98" s="40" t="s">
        <v>75</v>
      </c>
      <c r="I98" s="43"/>
      <c r="J98" s="43"/>
      <c r="K98" s="44"/>
      <c r="L98" s="43"/>
    </row>
    <row r="99" spans="1:14" s="42" customFormat="1">
      <c r="A99" s="40">
        <v>436120</v>
      </c>
      <c r="B99" s="40" t="s">
        <v>252</v>
      </c>
      <c r="C99" s="41">
        <f>_xlfn.IFNA(VLOOKUP(A99,'TB-Aug 22'!A:F,6,0),0)</f>
        <v>0</v>
      </c>
      <c r="D99" s="41">
        <f>_xlfn.IFNA(VLOOKUP(A99,'TB-Aug21'!A:F,6,0),0)</f>
        <v>0</v>
      </c>
      <c r="E99" s="40" t="s">
        <v>75</v>
      </c>
      <c r="I99" s="43"/>
      <c r="J99" s="43"/>
      <c r="K99" s="44"/>
      <c r="L99" s="43"/>
    </row>
    <row r="100" spans="1:14" s="46" customFormat="1">
      <c r="A100" s="40">
        <v>473050</v>
      </c>
      <c r="B100" s="40" t="s">
        <v>261</v>
      </c>
      <c r="C100" s="41">
        <f>_xlfn.IFNA(VLOOKUP(A100,'TB-Aug 22'!A:F,6,0),0)</f>
        <v>0</v>
      </c>
      <c r="D100" s="41">
        <f>_xlfn.IFNA(VLOOKUP(A100,'TB-Aug21'!A:F,6,0),0)</f>
        <v>0</v>
      </c>
      <c r="E100" s="40" t="s">
        <v>75</v>
      </c>
      <c r="I100" s="43" t="e">
        <f>VLOOKUP(#REF!,#REF!,9,FALSE)</f>
        <v>#REF!</v>
      </c>
      <c r="J100" s="43"/>
      <c r="K100" s="44"/>
      <c r="L100" s="43"/>
    </row>
    <row r="101" spans="1:14" s="46" customFormat="1">
      <c r="A101" s="40">
        <v>475210</v>
      </c>
      <c r="B101" s="40" t="s">
        <v>257</v>
      </c>
      <c r="C101" s="41">
        <f>_xlfn.IFNA(VLOOKUP(A101,'TB-Aug 22'!A:F,6,0),0)</f>
        <v>242508.9</v>
      </c>
      <c r="D101" s="41">
        <f>_xlfn.IFNA(VLOOKUP(A101,'TB-Aug21'!A:F,6,0),0)</f>
        <v>242508.9</v>
      </c>
      <c r="E101" s="40" t="s">
        <v>81</v>
      </c>
      <c r="I101" s="43" t="e">
        <f>VLOOKUP(#REF!,#REF!,9,FALSE)</f>
        <v>#REF!</v>
      </c>
      <c r="J101" s="43"/>
      <c r="K101" s="44"/>
      <c r="L101" s="43"/>
    </row>
    <row r="102" spans="1:14" s="42" customFormat="1">
      <c r="A102" s="40">
        <v>475220</v>
      </c>
      <c r="B102" s="40" t="s">
        <v>173</v>
      </c>
      <c r="C102" s="41">
        <f>_xlfn.IFNA(VLOOKUP(A102,'TB-Aug 22'!A:F,6,0),0)</f>
        <v>272581.73</v>
      </c>
      <c r="D102" s="41">
        <f>_xlfn.IFNA(VLOOKUP(A102,'TB-Aug21'!A:F,6,0),0)</f>
        <v>624533.61</v>
      </c>
      <c r="E102" s="40" t="s">
        <v>81</v>
      </c>
      <c r="I102" s="43"/>
      <c r="J102" s="43"/>
      <c r="K102" s="44"/>
      <c r="L102" s="43"/>
    </row>
    <row r="103" spans="1:14" s="46" customFormat="1">
      <c r="A103" s="40">
        <v>475240</v>
      </c>
      <c r="B103" s="40" t="s">
        <v>174</v>
      </c>
      <c r="C103" s="41">
        <f>_xlfn.IFNA(VLOOKUP(A103,'TB-Aug 22'!A:F,6,0),0)</f>
        <v>3660.98</v>
      </c>
      <c r="D103" s="41">
        <f>_xlfn.IFNA(VLOOKUP(A103,'TB-Aug21'!A:F,6,0),0)</f>
        <v>10797.9</v>
      </c>
      <c r="E103" s="40" t="s">
        <v>81</v>
      </c>
      <c r="I103" s="43" t="e">
        <f>VLOOKUP(#REF!,#REF!,9,FALSE)</f>
        <v>#REF!</v>
      </c>
      <c r="J103" s="43"/>
      <c r="K103" s="44"/>
      <c r="L103" s="43"/>
    </row>
    <row r="104" spans="1:14" s="46" customFormat="1">
      <c r="A104" s="40">
        <v>475250</v>
      </c>
      <c r="B104" s="40" t="s">
        <v>258</v>
      </c>
      <c r="C104" s="41">
        <f>_xlfn.IFNA(VLOOKUP(A104,'TB-Aug 22'!A:F,6,0),0)</f>
        <v>0</v>
      </c>
      <c r="D104" s="41">
        <f>_xlfn.IFNA(VLOOKUP(A104,'TB-Aug21'!A:F,6,0),0)</f>
        <v>46740.33</v>
      </c>
      <c r="E104" s="40" t="s">
        <v>81</v>
      </c>
      <c r="I104" s="43"/>
      <c r="J104" s="43"/>
      <c r="K104" s="44"/>
      <c r="L104" s="43"/>
    </row>
    <row r="105" spans="1:14" s="46" customFormat="1">
      <c r="A105" s="40">
        <v>492200</v>
      </c>
      <c r="B105" s="40" t="s">
        <v>205</v>
      </c>
      <c r="C105" s="41">
        <f>_xlfn.IFNA(VLOOKUP(A105,'TB-Aug 22'!A:F,6,0),0)</f>
        <v>0</v>
      </c>
      <c r="D105" s="41">
        <f>_xlfn.IFNA(VLOOKUP(A105,'TB-Aug21'!A:F,6,0),0)</f>
        <v>0</v>
      </c>
      <c r="E105" s="40" t="s">
        <v>80</v>
      </c>
      <c r="I105" s="43" t="e">
        <f>VLOOKUP(#REF!,#REF!,9,FALSE)</f>
        <v>#REF!</v>
      </c>
      <c r="J105" s="43"/>
      <c r="K105" s="44"/>
      <c r="L105" s="43"/>
    </row>
    <row r="106" spans="1:14" s="46" customFormat="1">
      <c r="A106" s="40">
        <v>492308</v>
      </c>
      <c r="B106" s="40" t="s">
        <v>206</v>
      </c>
      <c r="C106" s="41">
        <f>_xlfn.IFNA(VLOOKUP(A106,'TB-Aug 22'!A:F,6,0),0)</f>
        <v>0</v>
      </c>
      <c r="D106" s="41">
        <f>_xlfn.IFNA(VLOOKUP(A106,'TB-Aug21'!A:F,6,0),0)</f>
        <v>0</v>
      </c>
      <c r="E106" s="40" t="s">
        <v>80</v>
      </c>
      <c r="I106" s="43" t="e">
        <f>VLOOKUP(#REF!,#REF!,9,FALSE)</f>
        <v>#REF!</v>
      </c>
      <c r="J106" s="43"/>
      <c r="K106" s="44"/>
      <c r="L106" s="43"/>
    </row>
    <row r="107" spans="1:14" s="46" customFormat="1">
      <c r="A107" s="40">
        <v>492316</v>
      </c>
      <c r="B107" s="40" t="s">
        <v>197</v>
      </c>
      <c r="C107" s="41">
        <f>_xlfn.IFNA(VLOOKUP(A107,'TB-Aug 22'!A:F,6,0),0)</f>
        <v>6850</v>
      </c>
      <c r="D107" s="41">
        <f>_xlfn.IFNA(VLOOKUP(A107,'TB-Aug21'!A:F,6,0),0)</f>
        <v>32417.88</v>
      </c>
      <c r="E107" s="40" t="s">
        <v>80</v>
      </c>
      <c r="I107" s="43"/>
      <c r="J107" s="43"/>
      <c r="K107" s="44"/>
      <c r="L107" s="43"/>
    </row>
    <row r="108" spans="1:14" s="46" customFormat="1">
      <c r="A108" s="40">
        <v>492610</v>
      </c>
      <c r="B108" s="40" t="s">
        <v>207</v>
      </c>
      <c r="C108" s="41">
        <f>_xlfn.IFNA(VLOOKUP(A108,'TB-Aug 22'!A:F,6,0),0)</f>
        <v>0</v>
      </c>
      <c r="D108" s="41">
        <f>_xlfn.IFNA(VLOOKUP(A108,'TB-Aug21'!A:F,6,0),0)</f>
        <v>0</v>
      </c>
      <c r="E108" s="40" t="s">
        <v>80</v>
      </c>
      <c r="I108" s="43"/>
      <c r="J108" s="43"/>
      <c r="K108" s="44"/>
      <c r="L108" s="43"/>
    </row>
    <row r="109" spans="1:14" s="42" customFormat="1">
      <c r="A109" s="40">
        <v>495140</v>
      </c>
      <c r="B109" s="40" t="s">
        <v>208</v>
      </c>
      <c r="C109" s="41">
        <f>_xlfn.IFNA(VLOOKUP(A109,'TB-Aug 22'!A:F,6,0),0)</f>
        <v>0</v>
      </c>
      <c r="D109" s="41">
        <f>_xlfn.IFNA(VLOOKUP(A109,'TB-Aug21'!A:F,6,0),0)</f>
        <v>0</v>
      </c>
      <c r="E109" s="40" t="s">
        <v>80</v>
      </c>
      <c r="F109" s="48"/>
      <c r="I109" s="43" t="e">
        <f>VLOOKUP(#REF!,#REF!,9,FALSE)</f>
        <v>#REF!</v>
      </c>
      <c r="J109" s="43"/>
      <c r="K109" s="44"/>
      <c r="L109" s="43"/>
    </row>
    <row r="110" spans="1:14" s="32" customFormat="1">
      <c r="A110" s="49"/>
      <c r="B110" s="49"/>
      <c r="C110" s="49"/>
      <c r="D110" s="49"/>
      <c r="E110" s="50"/>
      <c r="F110" s="50"/>
      <c r="H110" s="51" t="e">
        <f>+#REF!+F109</f>
        <v>#REF!</v>
      </c>
      <c r="K110" s="31"/>
      <c r="L110" s="31"/>
      <c r="M110" s="44"/>
      <c r="N110" s="31"/>
    </row>
    <row r="111" spans="1:14" s="6" customFormat="1" ht="15" thickBot="1">
      <c r="A111" s="52" t="s">
        <v>60</v>
      </c>
      <c r="C111" s="53">
        <f>SUM(C5:C109)</f>
        <v>2.5102053768932819E-10</v>
      </c>
      <c r="D111" s="53">
        <f>SUM(D5:D109)</f>
        <v>7.0940586738288403E-10</v>
      </c>
      <c r="K111" s="53">
        <f>SUM(K5:K110)</f>
        <v>0</v>
      </c>
      <c r="L111" s="54"/>
      <c r="M111" s="55"/>
      <c r="N111" s="54"/>
    </row>
    <row r="112" spans="1:14" ht="15" thickTop="1">
      <c r="F112" s="51"/>
    </row>
    <row r="114" spans="2:6">
      <c r="F114" s="51"/>
    </row>
    <row r="115" spans="2:6">
      <c r="B115" s="20" t="s">
        <v>103</v>
      </c>
      <c r="C115" s="31">
        <f>SUM(C105:C109)</f>
        <v>6850</v>
      </c>
      <c r="D115" s="31">
        <f>SUM(D105:D109)</f>
        <v>32417.88</v>
      </c>
      <c r="E115" s="20"/>
      <c r="F115" s="20"/>
    </row>
    <row r="116" spans="2:6">
      <c r="B116" s="20" t="s">
        <v>81</v>
      </c>
      <c r="C116" s="31">
        <f>SUM(C97:C100)</f>
        <v>0</v>
      </c>
      <c r="D116" s="31">
        <f>SUM(D97:D100)</f>
        <v>0</v>
      </c>
      <c r="E116" s="20"/>
      <c r="F116" s="20"/>
    </row>
    <row r="117" spans="2:6">
      <c r="B117" s="56" t="s">
        <v>84</v>
      </c>
      <c r="C117" s="57">
        <f>SUM(C55:C109)-SUM(C91:C100)</f>
        <v>1681224.29</v>
      </c>
      <c r="D117" s="57">
        <f>SUM(D55:D109)-SUM(D91:D100)</f>
        <v>2103942.2199999997</v>
      </c>
      <c r="E117" s="20"/>
      <c r="F117" s="20"/>
    </row>
    <row r="118" spans="2:6">
      <c r="F118" s="51"/>
    </row>
    <row r="119" spans="2:6">
      <c r="B119" s="6" t="s">
        <v>132</v>
      </c>
      <c r="C119" s="121">
        <f>SUM(C53:C109)</f>
        <v>898228.10000000009</v>
      </c>
      <c r="D119" s="121">
        <f>SUM(D53:D109)</f>
        <v>1440714.13</v>
      </c>
      <c r="E119" s="20"/>
    </row>
    <row r="120" spans="2:6">
      <c r="B120" s="20" t="s">
        <v>133</v>
      </c>
      <c r="C120" s="31">
        <f>+SUM(C26:C38)</f>
        <v>5633163.1500000004</v>
      </c>
      <c r="D120" s="31">
        <f>+SUM(D26:D38)</f>
        <v>6316403.1800000016</v>
      </c>
      <c r="E120" s="20"/>
    </row>
  </sheetData>
  <sortState ref="A52:E105">
    <sortCondition ref="A52:A105"/>
  </sortState>
  <pageMargins left="0.7" right="0.7" top="0.75" bottom="0.75" header="0.3" footer="0.3"/>
  <pageSetup scale="6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showGridLines="0" topLeftCell="A22" workbookViewId="0">
      <selection activeCell="A3" sqref="A3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2.26953125" bestFit="1" customWidth="1"/>
    <col min="6" max="6" width="13.453125" bestFit="1" customWidth="1"/>
  </cols>
  <sheetData>
    <row r="1" spans="1:6" ht="16.25" customHeight="1">
      <c r="A1" s="175"/>
      <c r="B1" s="175"/>
      <c r="C1" s="286" t="s">
        <v>313</v>
      </c>
      <c r="D1" s="286"/>
      <c r="E1" s="175"/>
      <c r="F1" s="175"/>
    </row>
    <row r="2" spans="1:6" ht="11" customHeight="1">
      <c r="A2" s="175"/>
      <c r="B2" s="175"/>
      <c r="C2" s="175"/>
      <c r="D2" s="175"/>
      <c r="E2" s="175"/>
      <c r="F2" s="175"/>
    </row>
    <row r="3" spans="1:6" ht="12.75" customHeight="1">
      <c r="A3" s="175"/>
      <c r="B3" s="175"/>
      <c r="C3" s="287" t="s">
        <v>312</v>
      </c>
      <c r="D3" s="287"/>
      <c r="E3" s="175"/>
      <c r="F3" s="175"/>
    </row>
    <row r="4" spans="1:6" ht="12.75" customHeight="1">
      <c r="A4" s="175"/>
      <c r="B4" s="175"/>
      <c r="C4" s="287" t="s">
        <v>380</v>
      </c>
      <c r="D4" s="287"/>
      <c r="E4" s="175"/>
      <c r="F4" s="175"/>
    </row>
    <row r="5" spans="1:6" ht="12.75" customHeight="1">
      <c r="A5" s="175"/>
      <c r="B5" s="175"/>
      <c r="C5" s="287" t="s">
        <v>311</v>
      </c>
      <c r="D5" s="287"/>
      <c r="E5" s="175"/>
      <c r="F5" s="175"/>
    </row>
    <row r="6" spans="1:6" ht="11" customHeight="1">
      <c r="A6" s="175"/>
      <c r="B6" s="175"/>
      <c r="C6" s="175"/>
      <c r="D6" s="175"/>
      <c r="E6" s="175"/>
      <c r="F6" s="175"/>
    </row>
    <row r="8" spans="1:6" ht="12.75" customHeight="1">
      <c r="A8" s="176" t="s">
        <v>310</v>
      </c>
      <c r="B8" s="176" t="s">
        <v>309</v>
      </c>
      <c r="C8" s="175"/>
      <c r="D8" s="175"/>
      <c r="E8" s="175"/>
      <c r="F8" s="175"/>
    </row>
    <row r="9" spans="1:6" ht="12.75" customHeight="1">
      <c r="A9" s="176" t="s">
        <v>308</v>
      </c>
      <c r="B9" s="175"/>
      <c r="C9" s="175"/>
      <c r="D9" s="175"/>
      <c r="E9" s="175"/>
      <c r="F9" s="175"/>
    </row>
    <row r="11" spans="1:6" ht="13.25" customHeight="1">
      <c r="A11" s="174" t="s">
        <v>307</v>
      </c>
      <c r="B11" s="174" t="s">
        <v>126</v>
      </c>
      <c r="C11" s="171" t="s">
        <v>306</v>
      </c>
      <c r="D11" s="171" t="s">
        <v>305</v>
      </c>
      <c r="E11" s="171" t="s">
        <v>304</v>
      </c>
      <c r="F11" s="171" t="s">
        <v>303</v>
      </c>
    </row>
    <row r="12" spans="1:6" ht="13.25" customHeight="1">
      <c r="A12" s="174">
        <v>101101</v>
      </c>
      <c r="B12" s="148" t="s">
        <v>373</v>
      </c>
      <c r="C12" s="171">
        <v>0</v>
      </c>
      <c r="D12" s="172">
        <v>43542</v>
      </c>
      <c r="E12" s="172">
        <v>43542</v>
      </c>
      <c r="F12" s="171">
        <v>0</v>
      </c>
    </row>
    <row r="13" spans="1:6" ht="13.25" customHeight="1">
      <c r="A13" s="174">
        <v>101400</v>
      </c>
      <c r="B13" s="148" t="s">
        <v>136</v>
      </c>
      <c r="C13" s="171">
        <v>0</v>
      </c>
      <c r="D13" s="172">
        <v>5000</v>
      </c>
      <c r="E13" s="171">
        <v>0</v>
      </c>
      <c r="F13" s="172">
        <v>5000</v>
      </c>
    </row>
    <row r="14" spans="1:6" ht="13.25" customHeight="1">
      <c r="A14" s="174">
        <v>101901</v>
      </c>
      <c r="B14" s="148" t="s">
        <v>138</v>
      </c>
      <c r="C14" s="171">
        <v>0</v>
      </c>
      <c r="D14" s="172">
        <v>1076053.23</v>
      </c>
      <c r="E14" s="172">
        <v>1076053.23</v>
      </c>
      <c r="F14" s="171">
        <v>0</v>
      </c>
    </row>
    <row r="15" spans="1:6" ht="13.25" customHeight="1">
      <c r="A15" s="174">
        <v>102601</v>
      </c>
      <c r="B15" s="148" t="s">
        <v>137</v>
      </c>
      <c r="C15" s="172">
        <v>1199888.8799999999</v>
      </c>
      <c r="D15" s="172">
        <v>1422020.73</v>
      </c>
      <c r="E15" s="172">
        <v>1525172.34</v>
      </c>
      <c r="F15" s="172">
        <v>1096737.27</v>
      </c>
    </row>
    <row r="16" spans="1:6" ht="13.25" customHeight="1">
      <c r="A16" s="174">
        <v>105901</v>
      </c>
      <c r="B16" s="148" t="s">
        <v>140</v>
      </c>
      <c r="C16" s="171">
        <v>0</v>
      </c>
      <c r="D16" s="172">
        <v>494976.16</v>
      </c>
      <c r="E16" s="172">
        <v>494976.16</v>
      </c>
      <c r="F16" s="171">
        <v>0</v>
      </c>
    </row>
    <row r="17" spans="1:8" ht="13.25" customHeight="1">
      <c r="A17" s="174">
        <v>120123</v>
      </c>
      <c r="B17" s="148" t="s">
        <v>302</v>
      </c>
      <c r="C17" s="171">
        <v>0</v>
      </c>
      <c r="D17" s="172">
        <v>47619.05</v>
      </c>
      <c r="E17" s="172">
        <v>47619.05</v>
      </c>
      <c r="F17" s="171">
        <v>0</v>
      </c>
    </row>
    <row r="18" spans="1:8" ht="13.25" customHeight="1">
      <c r="A18" s="174">
        <v>120140</v>
      </c>
      <c r="B18" s="148" t="s">
        <v>142</v>
      </c>
      <c r="C18" s="171">
        <v>0</v>
      </c>
      <c r="D18" s="172">
        <v>2148029.41</v>
      </c>
      <c r="E18" s="172">
        <v>2133515.41</v>
      </c>
      <c r="F18" s="172">
        <v>14514</v>
      </c>
    </row>
    <row r="19" spans="1:8" ht="13.25" customHeight="1">
      <c r="A19" s="174">
        <v>120330</v>
      </c>
      <c r="B19" s="148" t="s">
        <v>144</v>
      </c>
      <c r="C19" s="172">
        <v>556958.06000000006</v>
      </c>
      <c r="D19" s="171">
        <v>0</v>
      </c>
      <c r="E19" s="171">
        <v>0</v>
      </c>
      <c r="F19" s="172">
        <v>556958.06000000006</v>
      </c>
    </row>
    <row r="20" spans="1:8" ht="13.25" customHeight="1">
      <c r="A20" s="174">
        <v>120985</v>
      </c>
      <c r="B20" s="148" t="s">
        <v>347</v>
      </c>
      <c r="C20" s="171">
        <v>0</v>
      </c>
      <c r="D20" s="172">
        <v>8274.74</v>
      </c>
      <c r="E20" s="172">
        <v>8274.74</v>
      </c>
      <c r="F20" s="171">
        <v>0</v>
      </c>
    </row>
    <row r="21" spans="1:8" ht="13.25" customHeight="1">
      <c r="A21" s="174">
        <v>126510</v>
      </c>
      <c r="B21" s="148" t="s">
        <v>269</v>
      </c>
      <c r="C21" s="172">
        <v>127749.33</v>
      </c>
      <c r="D21" s="172">
        <v>18112.93</v>
      </c>
      <c r="E21" s="172">
        <v>127885.18</v>
      </c>
      <c r="F21" s="172">
        <v>17977.080000000002</v>
      </c>
    </row>
    <row r="22" spans="1:8" ht="13.25" customHeight="1">
      <c r="A22" s="174">
        <v>126550</v>
      </c>
      <c r="B22" s="148" t="s">
        <v>270</v>
      </c>
      <c r="C22" s="172">
        <v>21920.52</v>
      </c>
      <c r="D22" s="171">
        <v>415.11</v>
      </c>
      <c r="E22" s="172">
        <v>21920.52</v>
      </c>
      <c r="F22" s="171">
        <v>415.11</v>
      </c>
    </row>
    <row r="23" spans="1:8" ht="13.25" customHeight="1">
      <c r="A23" s="174">
        <v>130112</v>
      </c>
      <c r="B23" s="148" t="s">
        <v>213</v>
      </c>
      <c r="C23" s="171">
        <v>0</v>
      </c>
      <c r="D23" s="172">
        <v>225476.1</v>
      </c>
      <c r="E23" s="172">
        <v>225476.1</v>
      </c>
      <c r="F23" s="171">
        <v>0</v>
      </c>
      <c r="H23" s="80"/>
    </row>
    <row r="24" spans="1:8" ht="13.25" customHeight="1">
      <c r="A24" s="174">
        <v>171050</v>
      </c>
      <c r="B24" s="148" t="s">
        <v>221</v>
      </c>
      <c r="C24" s="171">
        <v>0</v>
      </c>
      <c r="D24" s="172">
        <v>133348</v>
      </c>
      <c r="E24" s="172">
        <v>133348</v>
      </c>
      <c r="F24" s="171">
        <v>0</v>
      </c>
    </row>
    <row r="25" spans="1:8" ht="13.25" customHeight="1">
      <c r="A25" s="174">
        <v>171220</v>
      </c>
      <c r="B25" s="148" t="s">
        <v>147</v>
      </c>
      <c r="C25" s="172">
        <v>7277144.4199999999</v>
      </c>
      <c r="D25" s="171">
        <v>0</v>
      </c>
      <c r="E25" s="171">
        <v>0</v>
      </c>
      <c r="F25" s="172">
        <v>7277144.4199999999</v>
      </c>
      <c r="H25" s="80"/>
    </row>
    <row r="26" spans="1:8" ht="13.25" customHeight="1">
      <c r="A26" s="174">
        <v>171260</v>
      </c>
      <c r="B26" s="148" t="s">
        <v>225</v>
      </c>
      <c r="C26" s="172">
        <v>-1815200.08</v>
      </c>
      <c r="D26" s="171">
        <v>0</v>
      </c>
      <c r="E26" s="172">
        <v>242508.9</v>
      </c>
      <c r="F26" s="172">
        <v>-2057708.98</v>
      </c>
    </row>
    <row r="27" spans="1:8" ht="13.25" customHeight="1">
      <c r="A27" s="174">
        <v>171320</v>
      </c>
      <c r="B27" s="148" t="s">
        <v>148</v>
      </c>
      <c r="C27" s="172">
        <v>6183421.3099999996</v>
      </c>
      <c r="D27" s="172">
        <v>19998</v>
      </c>
      <c r="E27" s="171">
        <v>0</v>
      </c>
      <c r="F27" s="172">
        <v>6203419.3099999996</v>
      </c>
      <c r="H27" s="80"/>
    </row>
    <row r="28" spans="1:8" ht="13.25" customHeight="1">
      <c r="A28" s="174">
        <v>171321</v>
      </c>
      <c r="B28" s="148" t="s">
        <v>150</v>
      </c>
      <c r="C28" s="171">
        <v>0</v>
      </c>
      <c r="D28" s="172">
        <v>133348</v>
      </c>
      <c r="E28" s="172">
        <v>19998</v>
      </c>
      <c r="F28" s="172">
        <v>113350</v>
      </c>
    </row>
    <row r="29" spans="1:8" ht="13.25" customHeight="1">
      <c r="A29" s="174">
        <v>171360</v>
      </c>
      <c r="B29" s="148" t="s">
        <v>154</v>
      </c>
      <c r="C29" s="172">
        <v>-5630550.2699999996</v>
      </c>
      <c r="D29" s="171">
        <v>0</v>
      </c>
      <c r="E29" s="172">
        <v>272581.73</v>
      </c>
      <c r="F29" s="172">
        <v>-5903132</v>
      </c>
      <c r="H29" s="80"/>
    </row>
    <row r="30" spans="1:8" ht="13.25" customHeight="1">
      <c r="A30" s="174">
        <v>172020</v>
      </c>
      <c r="B30" s="148" t="s">
        <v>156</v>
      </c>
      <c r="C30" s="172">
        <v>112725</v>
      </c>
      <c r="D30" s="171">
        <v>0</v>
      </c>
      <c r="E30" s="171">
        <v>0</v>
      </c>
      <c r="F30" s="172">
        <v>112725</v>
      </c>
    </row>
    <row r="31" spans="1:8" ht="13.25" customHeight="1">
      <c r="A31" s="174">
        <v>172060</v>
      </c>
      <c r="B31" s="148" t="s">
        <v>157</v>
      </c>
      <c r="C31" s="172">
        <v>-108973.62</v>
      </c>
      <c r="D31" s="171">
        <v>0</v>
      </c>
      <c r="E31" s="172">
        <v>3660.98</v>
      </c>
      <c r="F31" s="172">
        <v>-112634.6</v>
      </c>
    </row>
    <row r="32" spans="1:8" ht="13.25" customHeight="1">
      <c r="A32" s="174">
        <v>173120</v>
      </c>
      <c r="B32" s="148" t="s">
        <v>151</v>
      </c>
      <c r="C32" s="172">
        <v>436988.01</v>
      </c>
      <c r="D32" s="171">
        <v>0</v>
      </c>
      <c r="E32" s="171">
        <v>0</v>
      </c>
      <c r="F32" s="172">
        <v>436988.01</v>
      </c>
    </row>
    <row r="33" spans="1:6" ht="13.25" customHeight="1">
      <c r="A33" s="174">
        <v>173160</v>
      </c>
      <c r="B33" s="148" t="s">
        <v>153</v>
      </c>
      <c r="C33" s="172">
        <v>-436988.01</v>
      </c>
      <c r="D33" s="171">
        <v>0</v>
      </c>
      <c r="E33" s="171">
        <v>0</v>
      </c>
      <c r="F33" s="172">
        <v>-436988.01</v>
      </c>
    </row>
    <row r="34" spans="1:6" ht="13.25" customHeight="1">
      <c r="A34" s="174">
        <v>200110</v>
      </c>
      <c r="B34" s="148" t="s">
        <v>240</v>
      </c>
      <c r="C34" s="171">
        <v>0</v>
      </c>
      <c r="D34" s="172">
        <v>788452.13</v>
      </c>
      <c r="E34" s="172">
        <v>811728.25</v>
      </c>
      <c r="F34" s="172">
        <v>-23276.12</v>
      </c>
    </row>
    <row r="35" spans="1:6" ht="13.25" customHeight="1">
      <c r="A35" s="174">
        <v>200130</v>
      </c>
      <c r="B35" s="148" t="s">
        <v>242</v>
      </c>
      <c r="C35" s="172">
        <v>-460720.33</v>
      </c>
      <c r="D35" s="172">
        <v>150235.72</v>
      </c>
      <c r="E35" s="172">
        <v>460736.56</v>
      </c>
      <c r="F35" s="172">
        <v>-771221.17</v>
      </c>
    </row>
    <row r="36" spans="1:6" ht="13.25" customHeight="1">
      <c r="A36" s="174">
        <v>202510</v>
      </c>
      <c r="B36" s="148" t="s">
        <v>286</v>
      </c>
      <c r="C36" s="172">
        <v>-95238.1</v>
      </c>
      <c r="D36" s="172">
        <v>95238.1</v>
      </c>
      <c r="E36" s="172">
        <v>47619.05</v>
      </c>
      <c r="F36" s="172">
        <v>-47619.05</v>
      </c>
    </row>
    <row r="37" spans="1:6" ht="13.25" customHeight="1">
      <c r="A37" s="174">
        <v>202550</v>
      </c>
      <c r="B37" s="148" t="s">
        <v>271</v>
      </c>
      <c r="C37" s="172">
        <v>-21920.52</v>
      </c>
      <c r="D37" s="172">
        <v>21920.52</v>
      </c>
      <c r="E37" s="171">
        <v>415.11</v>
      </c>
      <c r="F37" s="171">
        <v>-415.11</v>
      </c>
    </row>
    <row r="38" spans="1:6" ht="13.25" customHeight="1">
      <c r="A38" s="174">
        <v>211111</v>
      </c>
      <c r="B38" s="148" t="s">
        <v>211</v>
      </c>
      <c r="C38" s="172">
        <v>-48334</v>
      </c>
      <c r="D38" s="172">
        <v>372267</v>
      </c>
      <c r="E38" s="172">
        <v>338826.1</v>
      </c>
      <c r="F38" s="172">
        <v>-14893.1</v>
      </c>
    </row>
    <row r="39" spans="1:6" ht="13.25" customHeight="1">
      <c r="A39" s="174">
        <v>213600</v>
      </c>
      <c r="B39" s="148" t="s">
        <v>243</v>
      </c>
      <c r="C39" s="171">
        <v>0</v>
      </c>
      <c r="D39" s="171">
        <v>0</v>
      </c>
      <c r="E39" s="172">
        <v>6820.26</v>
      </c>
      <c r="F39" s="172">
        <v>-6820.26</v>
      </c>
    </row>
    <row r="40" spans="1:6" ht="13.25" customHeight="1">
      <c r="A40" s="174">
        <v>215100</v>
      </c>
      <c r="B40" s="148" t="s">
        <v>241</v>
      </c>
      <c r="C40" s="171">
        <v>0</v>
      </c>
      <c r="D40" s="172">
        <v>684219.5</v>
      </c>
      <c r="E40" s="172">
        <v>684219.5</v>
      </c>
      <c r="F40" s="171">
        <v>0</v>
      </c>
    </row>
    <row r="41" spans="1:6" ht="13.25" customHeight="1">
      <c r="A41" s="174">
        <v>215401</v>
      </c>
      <c r="B41" s="148" t="s">
        <v>244</v>
      </c>
      <c r="C41" s="172">
        <v>-91650.86</v>
      </c>
      <c r="D41" s="171">
        <v>0</v>
      </c>
      <c r="E41" s="171">
        <v>0</v>
      </c>
      <c r="F41" s="172">
        <v>-91650.86</v>
      </c>
    </row>
    <row r="42" spans="1:6" ht="13.25" customHeight="1">
      <c r="A42" s="174">
        <v>230400</v>
      </c>
      <c r="B42" s="148" t="s">
        <v>247</v>
      </c>
      <c r="C42" s="172">
        <v>-1079181.17</v>
      </c>
      <c r="D42" s="171">
        <v>0</v>
      </c>
      <c r="E42" s="171">
        <v>0</v>
      </c>
      <c r="F42" s="172">
        <v>-1079181.17</v>
      </c>
    </row>
    <row r="43" spans="1:6" ht="13.25" customHeight="1">
      <c r="A43" s="174">
        <v>235990</v>
      </c>
      <c r="B43" s="148" t="s">
        <v>212</v>
      </c>
      <c r="C43" s="171">
        <v>0</v>
      </c>
      <c r="D43" s="172">
        <v>281155.18</v>
      </c>
      <c r="E43" s="172">
        <v>295669.18</v>
      </c>
      <c r="F43" s="172">
        <v>-14514</v>
      </c>
    </row>
    <row r="44" spans="1:6" ht="13.25" customHeight="1">
      <c r="A44" s="174">
        <v>236020</v>
      </c>
      <c r="B44" s="148" t="s">
        <v>374</v>
      </c>
      <c r="C44" s="171">
        <v>0</v>
      </c>
      <c r="D44" s="171">
        <v>0</v>
      </c>
      <c r="E44" s="172">
        <v>14514</v>
      </c>
      <c r="F44" s="172">
        <v>-14514</v>
      </c>
    </row>
    <row r="45" spans="1:6" ht="13.25" customHeight="1">
      <c r="A45" s="174">
        <v>265501</v>
      </c>
      <c r="B45" s="148" t="s">
        <v>246</v>
      </c>
      <c r="C45" s="172">
        <v>-109471.81</v>
      </c>
      <c r="D45" s="171">
        <v>0</v>
      </c>
      <c r="E45" s="172">
        <v>30849.360000000001</v>
      </c>
      <c r="F45" s="172">
        <v>-140321.17000000001</v>
      </c>
    </row>
    <row r="46" spans="1:6" ht="13.25" customHeight="1">
      <c r="A46" s="174">
        <v>357111</v>
      </c>
      <c r="B46" s="148" t="s">
        <v>158</v>
      </c>
      <c r="C46" s="171">
        <v>0</v>
      </c>
      <c r="D46" s="172">
        <v>952380.95</v>
      </c>
      <c r="E46" s="172">
        <v>1904761.9</v>
      </c>
      <c r="F46" s="172">
        <v>-952380.95</v>
      </c>
    </row>
    <row r="47" spans="1:6" ht="13.25" customHeight="1">
      <c r="A47" s="174">
        <v>382020</v>
      </c>
      <c r="B47" s="148" t="s">
        <v>160</v>
      </c>
      <c r="C47" s="171">
        <v>0</v>
      </c>
      <c r="D47" s="171">
        <v>46.75</v>
      </c>
      <c r="E47" s="171">
        <v>84.85</v>
      </c>
      <c r="F47" s="171">
        <v>-38.1</v>
      </c>
    </row>
    <row r="48" spans="1:6" ht="13.25" customHeight="1">
      <c r="A48" s="174">
        <v>412121</v>
      </c>
      <c r="B48" s="148" t="s">
        <v>180</v>
      </c>
      <c r="C48" s="171">
        <v>0</v>
      </c>
      <c r="D48" s="172">
        <v>691592.5</v>
      </c>
      <c r="E48" s="171">
        <v>0</v>
      </c>
      <c r="F48" s="172">
        <v>691592.5</v>
      </c>
    </row>
    <row r="49" spans="1:6" ht="13.25" customHeight="1">
      <c r="A49" s="174">
        <v>412125</v>
      </c>
      <c r="B49" s="148" t="s">
        <v>181</v>
      </c>
      <c r="C49" s="171">
        <v>0</v>
      </c>
      <c r="D49" s="172">
        <v>355270.42</v>
      </c>
      <c r="E49" s="171">
        <v>0</v>
      </c>
      <c r="F49" s="172">
        <v>355270.42</v>
      </c>
    </row>
    <row r="50" spans="1:6" ht="13.25" customHeight="1">
      <c r="A50" s="174">
        <v>412521</v>
      </c>
      <c r="B50" s="148" t="s">
        <v>249</v>
      </c>
      <c r="C50" s="171">
        <v>0</v>
      </c>
      <c r="D50" s="172">
        <v>12000</v>
      </c>
      <c r="E50" s="171">
        <v>0</v>
      </c>
      <c r="F50" s="172">
        <v>12000</v>
      </c>
    </row>
    <row r="51" spans="1:6" ht="13.25" customHeight="1">
      <c r="A51" s="174">
        <v>412534</v>
      </c>
      <c r="B51" s="148" t="s">
        <v>114</v>
      </c>
      <c r="C51" s="171">
        <v>0</v>
      </c>
      <c r="D51" s="172">
        <v>21395.5</v>
      </c>
      <c r="E51" s="171">
        <v>0</v>
      </c>
      <c r="F51" s="172">
        <v>21395.5</v>
      </c>
    </row>
    <row r="52" spans="1:6">
      <c r="A52" s="174">
        <v>412590</v>
      </c>
      <c r="B52" s="148" t="s">
        <v>161</v>
      </c>
      <c r="C52" s="171">
        <v>0</v>
      </c>
      <c r="D52" s="171">
        <v>0.08</v>
      </c>
      <c r="E52" s="171">
        <v>0</v>
      </c>
      <c r="F52" s="171">
        <v>0.08</v>
      </c>
    </row>
    <row r="53" spans="1:6">
      <c r="A53" s="174">
        <v>414120</v>
      </c>
      <c r="B53" s="148" t="s">
        <v>187</v>
      </c>
      <c r="C53" s="171">
        <v>0</v>
      </c>
      <c r="D53" s="172">
        <v>34474</v>
      </c>
      <c r="E53" s="171">
        <v>0</v>
      </c>
      <c r="F53" s="172">
        <v>34474</v>
      </c>
    </row>
    <row r="54" spans="1:6">
      <c r="A54" s="174">
        <v>416110</v>
      </c>
      <c r="B54" s="148" t="s">
        <v>188</v>
      </c>
      <c r="C54" s="171">
        <v>0</v>
      </c>
      <c r="D54" s="172">
        <v>2293.2800000000002</v>
      </c>
      <c r="E54" s="171">
        <v>0</v>
      </c>
      <c r="F54" s="172">
        <v>2293.2800000000002</v>
      </c>
    </row>
    <row r="55" spans="1:6">
      <c r="A55" s="174">
        <v>416310</v>
      </c>
      <c r="B55" s="148" t="s">
        <v>184</v>
      </c>
      <c r="C55" s="171">
        <v>0</v>
      </c>
      <c r="D55" s="172">
        <v>38285</v>
      </c>
      <c r="E55" s="171">
        <v>0</v>
      </c>
      <c r="F55" s="172">
        <v>38285</v>
      </c>
    </row>
    <row r="56" spans="1:6" ht="29">
      <c r="A56" s="174">
        <v>425510</v>
      </c>
      <c r="B56" s="148" t="s">
        <v>193</v>
      </c>
      <c r="C56" s="171">
        <v>0</v>
      </c>
      <c r="D56" s="171">
        <v>350</v>
      </c>
      <c r="E56" s="171">
        <v>0</v>
      </c>
      <c r="F56" s="171">
        <v>350</v>
      </c>
    </row>
    <row r="57" spans="1:6">
      <c r="A57" s="174">
        <v>435508</v>
      </c>
      <c r="B57" s="148" t="s">
        <v>203</v>
      </c>
      <c r="C57" s="171">
        <v>0</v>
      </c>
      <c r="D57" s="172">
        <v>176935.16</v>
      </c>
      <c r="E57" s="172">
        <v>7550.4</v>
      </c>
      <c r="F57" s="172">
        <v>169384.76</v>
      </c>
    </row>
    <row r="58" spans="1:6">
      <c r="A58" s="174">
        <v>475210</v>
      </c>
      <c r="B58" s="148" t="s">
        <v>301</v>
      </c>
      <c r="C58" s="171">
        <v>0</v>
      </c>
      <c r="D58" s="172">
        <v>242508.9</v>
      </c>
      <c r="E58" s="171">
        <v>0</v>
      </c>
      <c r="F58" s="172">
        <v>242508.9</v>
      </c>
    </row>
    <row r="59" spans="1:6" ht="29">
      <c r="A59" s="174">
        <v>475220</v>
      </c>
      <c r="B59" s="148" t="s">
        <v>300</v>
      </c>
      <c r="C59" s="171">
        <v>0</v>
      </c>
      <c r="D59" s="172">
        <v>272581.73</v>
      </c>
      <c r="E59" s="171">
        <v>0</v>
      </c>
      <c r="F59" s="172">
        <v>272581.73</v>
      </c>
    </row>
    <row r="60" spans="1:6" ht="29">
      <c r="A60" s="174">
        <v>475240</v>
      </c>
      <c r="B60" s="148" t="s">
        <v>299</v>
      </c>
      <c r="C60" s="171">
        <v>0</v>
      </c>
      <c r="D60" s="172">
        <v>3660.98</v>
      </c>
      <c r="E60" s="171">
        <v>0</v>
      </c>
      <c r="F60" s="172">
        <v>3660.98</v>
      </c>
    </row>
    <row r="61" spans="1:6">
      <c r="A61" s="174">
        <v>492316</v>
      </c>
      <c r="B61" s="148" t="s">
        <v>197</v>
      </c>
      <c r="C61" s="171">
        <v>0</v>
      </c>
      <c r="D61" s="172">
        <v>253548</v>
      </c>
      <c r="E61" s="172">
        <v>246698</v>
      </c>
      <c r="F61" s="172">
        <v>6850</v>
      </c>
    </row>
    <row r="62" spans="1:6">
      <c r="A62" s="174">
        <v>502100</v>
      </c>
      <c r="B62" s="148" t="s">
        <v>248</v>
      </c>
      <c r="C62" s="172">
        <v>-6018566.7599999998</v>
      </c>
      <c r="D62" s="171">
        <v>0</v>
      </c>
      <c r="E62" s="171">
        <v>0</v>
      </c>
      <c r="F62" s="172">
        <v>-6018566.7599999998</v>
      </c>
    </row>
    <row r="63" spans="1:6">
      <c r="A63" s="173"/>
      <c r="B63" s="171" t="s">
        <v>298</v>
      </c>
      <c r="C63" s="171">
        <v>0</v>
      </c>
      <c r="D63" s="172">
        <v>11227024.859999999</v>
      </c>
      <c r="E63" s="172">
        <v>11227024.859999999</v>
      </c>
      <c r="F63" s="171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workbookViewId="0">
      <selection activeCell="A3" sqref="A3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1.26953125" bestFit="1" customWidth="1"/>
    <col min="6" max="6" width="13.453125" bestFit="1" customWidth="1"/>
  </cols>
  <sheetData>
    <row r="1" spans="1:6" ht="16.25" customHeight="1">
      <c r="A1" s="175"/>
      <c r="B1" s="175"/>
      <c r="C1" s="286" t="s">
        <v>313</v>
      </c>
      <c r="D1" s="286"/>
      <c r="E1" s="175"/>
      <c r="F1" s="175"/>
    </row>
    <row r="2" spans="1:6" ht="11" customHeight="1">
      <c r="A2" s="175"/>
      <c r="B2" s="175"/>
      <c r="C2" s="175"/>
      <c r="D2" s="175"/>
      <c r="E2" s="175"/>
      <c r="F2" s="175"/>
    </row>
    <row r="3" spans="1:6" ht="12.75" customHeight="1">
      <c r="A3" s="175"/>
      <c r="B3" s="175"/>
      <c r="C3" s="287" t="s">
        <v>312</v>
      </c>
      <c r="D3" s="287"/>
      <c r="E3" s="175"/>
      <c r="F3" s="175"/>
    </row>
    <row r="4" spans="1:6" ht="12.75" customHeight="1">
      <c r="A4" s="175"/>
      <c r="B4" s="175"/>
      <c r="C4" s="287" t="s">
        <v>381</v>
      </c>
      <c r="D4" s="287"/>
      <c r="E4" s="175"/>
      <c r="F4" s="175"/>
    </row>
    <row r="5" spans="1:6" ht="12.75" customHeight="1">
      <c r="A5" s="175"/>
      <c r="B5" s="175"/>
      <c r="C5" s="287" t="s">
        <v>311</v>
      </c>
      <c r="D5" s="287"/>
      <c r="E5" s="175"/>
      <c r="F5" s="175"/>
    </row>
    <row r="6" spans="1:6" ht="11" customHeight="1">
      <c r="A6" s="175"/>
      <c r="B6" s="175"/>
      <c r="C6" s="175"/>
      <c r="D6" s="175"/>
      <c r="E6" s="175"/>
      <c r="F6" s="175"/>
    </row>
    <row r="8" spans="1:6" ht="12.75" customHeight="1">
      <c r="A8" s="176" t="s">
        <v>310</v>
      </c>
      <c r="B8" s="176" t="s">
        <v>309</v>
      </c>
      <c r="C8" s="175"/>
      <c r="D8" s="175"/>
      <c r="E8" s="175"/>
      <c r="F8" s="175"/>
    </row>
    <row r="9" spans="1:6" ht="12.75" customHeight="1">
      <c r="A9" s="176" t="s">
        <v>308</v>
      </c>
      <c r="B9" s="175"/>
      <c r="C9" s="175"/>
      <c r="D9" s="175"/>
      <c r="E9" s="175"/>
      <c r="F9" s="175"/>
    </row>
    <row r="11" spans="1:6" ht="13.25" customHeight="1">
      <c r="A11" s="174" t="s">
        <v>307</v>
      </c>
      <c r="B11" s="174" t="s">
        <v>126</v>
      </c>
      <c r="C11" s="171" t="s">
        <v>306</v>
      </c>
      <c r="D11" s="171" t="s">
        <v>305</v>
      </c>
      <c r="E11" s="171" t="s">
        <v>304</v>
      </c>
      <c r="F11" s="171" t="s">
        <v>303</v>
      </c>
    </row>
    <row r="12" spans="1:6" ht="13.25" customHeight="1">
      <c r="A12" s="174">
        <v>101400</v>
      </c>
      <c r="B12" s="148" t="s">
        <v>136</v>
      </c>
      <c r="C12" s="171">
        <v>0</v>
      </c>
      <c r="D12" s="172">
        <v>5000</v>
      </c>
      <c r="E12" s="171">
        <v>0</v>
      </c>
      <c r="F12" s="172">
        <v>5000</v>
      </c>
    </row>
    <row r="13" spans="1:6" ht="13.25" customHeight="1">
      <c r="A13" s="174">
        <v>101901</v>
      </c>
      <c r="B13" s="148" t="s">
        <v>138</v>
      </c>
      <c r="C13" s="171">
        <v>0</v>
      </c>
      <c r="D13" s="172">
        <v>1000000</v>
      </c>
      <c r="E13" s="172">
        <v>1000000</v>
      </c>
      <c r="F13" s="171">
        <v>0</v>
      </c>
    </row>
    <row r="14" spans="1:6" ht="13.25" customHeight="1">
      <c r="A14" s="174">
        <v>102601</v>
      </c>
      <c r="B14" s="148" t="s">
        <v>137</v>
      </c>
      <c r="C14" s="172">
        <v>2706205.68</v>
      </c>
      <c r="D14" s="172">
        <v>1000000</v>
      </c>
      <c r="E14" s="172">
        <v>1486449.77</v>
      </c>
      <c r="F14" s="172">
        <v>2219755.91</v>
      </c>
    </row>
    <row r="15" spans="1:6" ht="13.25" customHeight="1">
      <c r="A15" s="174">
        <v>105901</v>
      </c>
      <c r="B15" s="148" t="s">
        <v>140</v>
      </c>
      <c r="C15" s="172">
        <v>-5509.5</v>
      </c>
      <c r="D15" s="172">
        <v>706029.01</v>
      </c>
      <c r="E15" s="172">
        <v>700519.51</v>
      </c>
      <c r="F15" s="171">
        <v>0</v>
      </c>
    </row>
    <row r="16" spans="1:6" ht="13.25" customHeight="1">
      <c r="A16" s="174">
        <v>120123</v>
      </c>
      <c r="B16" s="148" t="s">
        <v>302</v>
      </c>
      <c r="C16" s="171">
        <v>0</v>
      </c>
      <c r="D16" s="172">
        <v>47619.05</v>
      </c>
      <c r="E16" s="171">
        <v>0</v>
      </c>
      <c r="F16" s="172">
        <v>47619.05</v>
      </c>
    </row>
    <row r="17" spans="1:6" ht="13.25" customHeight="1">
      <c r="A17" s="174">
        <v>120140</v>
      </c>
      <c r="B17" s="148" t="s">
        <v>142</v>
      </c>
      <c r="C17" s="171">
        <v>0</v>
      </c>
      <c r="D17" s="172">
        <v>952380.95</v>
      </c>
      <c r="E17" s="172">
        <v>1000000</v>
      </c>
      <c r="F17" s="172">
        <v>-47619.05</v>
      </c>
    </row>
    <row r="18" spans="1:6" ht="13.25" customHeight="1">
      <c r="A18" s="174">
        <v>120330</v>
      </c>
      <c r="B18" s="148" t="s">
        <v>144</v>
      </c>
      <c r="C18" s="172">
        <v>513398.54</v>
      </c>
      <c r="D18" s="171">
        <v>0</v>
      </c>
      <c r="E18" s="171">
        <v>0</v>
      </c>
      <c r="F18" s="172">
        <v>513398.54</v>
      </c>
    </row>
    <row r="19" spans="1:6" ht="13.25" customHeight="1">
      <c r="A19" s="174">
        <v>120985</v>
      </c>
      <c r="B19" s="148" t="s">
        <v>347</v>
      </c>
      <c r="C19" s="171">
        <v>0</v>
      </c>
      <c r="D19" s="172">
        <v>96679.23</v>
      </c>
      <c r="E19" s="172">
        <v>96679.23</v>
      </c>
      <c r="F19" s="171">
        <v>0</v>
      </c>
    </row>
    <row r="20" spans="1:6" ht="13.25" customHeight="1">
      <c r="A20" s="174">
        <v>126510</v>
      </c>
      <c r="B20" s="148" t="s">
        <v>269</v>
      </c>
      <c r="C20" s="172">
        <v>88030.1</v>
      </c>
      <c r="D20" s="172">
        <v>15411.73</v>
      </c>
      <c r="E20" s="171">
        <v>0</v>
      </c>
      <c r="F20" s="172">
        <v>103441.83</v>
      </c>
    </row>
    <row r="21" spans="1:6" ht="13.25" customHeight="1">
      <c r="A21" s="174">
        <v>126550</v>
      </c>
      <c r="B21" s="148" t="s">
        <v>270</v>
      </c>
      <c r="C21" s="172">
        <v>14877.11</v>
      </c>
      <c r="D21" s="172">
        <v>4521.0600000000004</v>
      </c>
      <c r="E21" s="171">
        <v>0</v>
      </c>
      <c r="F21" s="172">
        <v>19398.169999999998</v>
      </c>
    </row>
    <row r="22" spans="1:6" ht="13.25" customHeight="1">
      <c r="A22" s="174">
        <v>130112</v>
      </c>
      <c r="B22" s="148" t="s">
        <v>213</v>
      </c>
      <c r="C22" s="171">
        <v>0</v>
      </c>
      <c r="D22" s="172">
        <v>211533.37</v>
      </c>
      <c r="E22" s="172">
        <v>211533.37</v>
      </c>
      <c r="F22" s="171">
        <v>0</v>
      </c>
    </row>
    <row r="23" spans="1:6" ht="13.25" customHeight="1">
      <c r="A23" s="174">
        <v>171050</v>
      </c>
      <c r="B23" s="148" t="s">
        <v>221</v>
      </c>
      <c r="C23" s="171">
        <v>0</v>
      </c>
      <c r="D23" s="172">
        <v>26499.72</v>
      </c>
      <c r="E23" s="172">
        <v>26703.599999999999</v>
      </c>
      <c r="F23" s="171">
        <v>-203.88</v>
      </c>
    </row>
    <row r="24" spans="1:6" ht="13.25" customHeight="1">
      <c r="A24" s="174">
        <v>171220</v>
      </c>
      <c r="B24" s="148" t="s">
        <v>147</v>
      </c>
      <c r="C24" s="172">
        <v>7277144.4199999999</v>
      </c>
      <c r="D24" s="171">
        <v>0</v>
      </c>
      <c r="E24" s="171">
        <v>0</v>
      </c>
      <c r="F24" s="172">
        <v>7277144.4199999999</v>
      </c>
    </row>
    <row r="25" spans="1:6" ht="13.25" customHeight="1">
      <c r="A25" s="174">
        <v>171260</v>
      </c>
      <c r="B25" s="148" t="s">
        <v>225</v>
      </c>
      <c r="C25" s="172">
        <v>-1450937.77</v>
      </c>
      <c r="D25" s="171">
        <v>0</v>
      </c>
      <c r="E25" s="172">
        <v>242508.9</v>
      </c>
      <c r="F25" s="172">
        <v>-1693446.67</v>
      </c>
    </row>
    <row r="26" spans="1:6" ht="13.25" customHeight="1">
      <c r="A26" s="174">
        <v>171320</v>
      </c>
      <c r="B26" s="148" t="s">
        <v>148</v>
      </c>
      <c r="C26" s="172">
        <v>6119400.6900000004</v>
      </c>
      <c r="D26" s="171">
        <v>0</v>
      </c>
      <c r="E26" s="171">
        <v>0</v>
      </c>
      <c r="F26" s="172">
        <v>6119400.6900000004</v>
      </c>
    </row>
    <row r="27" spans="1:6" ht="13.25" customHeight="1">
      <c r="A27" s="174">
        <v>171321</v>
      </c>
      <c r="B27" s="148" t="s">
        <v>150</v>
      </c>
      <c r="C27" s="171">
        <v>0</v>
      </c>
      <c r="D27" s="172">
        <v>40453.599999999999</v>
      </c>
      <c r="E27" s="171">
        <v>0</v>
      </c>
      <c r="F27" s="172">
        <v>40453.599999999999</v>
      </c>
    </row>
    <row r="28" spans="1:6" ht="13.25" customHeight="1">
      <c r="A28" s="174">
        <v>171360</v>
      </c>
      <c r="B28" s="148" t="s">
        <v>154</v>
      </c>
      <c r="C28" s="172">
        <v>-4820946.99</v>
      </c>
      <c r="D28" s="171">
        <v>0</v>
      </c>
      <c r="E28" s="172">
        <v>624533.61</v>
      </c>
      <c r="F28" s="172">
        <v>-5445480.5999999996</v>
      </c>
    </row>
    <row r="29" spans="1:6" ht="13.25" customHeight="1">
      <c r="A29" s="174">
        <v>172020</v>
      </c>
      <c r="B29" s="148" t="s">
        <v>156</v>
      </c>
      <c r="C29" s="172">
        <v>112725</v>
      </c>
      <c r="D29" s="171">
        <v>0</v>
      </c>
      <c r="E29" s="171">
        <v>0</v>
      </c>
      <c r="F29" s="172">
        <v>112725</v>
      </c>
    </row>
    <row r="30" spans="1:6" ht="13.25" customHeight="1">
      <c r="A30" s="174">
        <v>172060</v>
      </c>
      <c r="B30" s="148" t="s">
        <v>157</v>
      </c>
      <c r="C30" s="172">
        <v>-95557.6</v>
      </c>
      <c r="D30" s="171">
        <v>0</v>
      </c>
      <c r="E30" s="172">
        <v>10797.9</v>
      </c>
      <c r="F30" s="172">
        <v>-106355.5</v>
      </c>
    </row>
    <row r="31" spans="1:6" ht="13.25" customHeight="1">
      <c r="A31" s="174">
        <v>173120</v>
      </c>
      <c r="B31" s="148" t="s">
        <v>151</v>
      </c>
      <c r="C31" s="172">
        <v>436988.01</v>
      </c>
      <c r="D31" s="171">
        <v>0</v>
      </c>
      <c r="E31" s="171">
        <v>0</v>
      </c>
      <c r="F31" s="172">
        <v>436988.01</v>
      </c>
    </row>
    <row r="32" spans="1:6" ht="13.25" customHeight="1">
      <c r="A32" s="174">
        <v>173160</v>
      </c>
      <c r="B32" s="148" t="s">
        <v>153</v>
      </c>
      <c r="C32" s="172">
        <v>-378285.44</v>
      </c>
      <c r="D32" s="171">
        <v>0</v>
      </c>
      <c r="E32" s="172">
        <v>46740.33</v>
      </c>
      <c r="F32" s="172">
        <v>-425025.77</v>
      </c>
    </row>
    <row r="33" spans="1:6" ht="13.25" customHeight="1">
      <c r="A33" s="174">
        <v>200110</v>
      </c>
      <c r="B33" s="148" t="s">
        <v>240</v>
      </c>
      <c r="C33" s="172">
        <v>-108346.12</v>
      </c>
      <c r="D33" s="172">
        <v>800017.55</v>
      </c>
      <c r="E33" s="172">
        <v>691671.43</v>
      </c>
      <c r="F33" s="171">
        <v>0</v>
      </c>
    </row>
    <row r="34" spans="1:6" ht="13.25" customHeight="1">
      <c r="A34" s="174">
        <v>200130</v>
      </c>
      <c r="B34" s="148" t="s">
        <v>242</v>
      </c>
      <c r="C34" s="172">
        <v>-477395.44</v>
      </c>
      <c r="D34" s="172">
        <v>154238.67000000001</v>
      </c>
      <c r="E34" s="172">
        <v>360431.31</v>
      </c>
      <c r="F34" s="172">
        <v>-683588.08</v>
      </c>
    </row>
    <row r="35" spans="1:6" ht="13.25" customHeight="1">
      <c r="A35" s="174">
        <v>202510</v>
      </c>
      <c r="B35" s="148" t="s">
        <v>286</v>
      </c>
      <c r="C35" s="172">
        <v>-47619.05</v>
      </c>
      <c r="D35" s="171">
        <v>0</v>
      </c>
      <c r="E35" s="172">
        <v>47619.05</v>
      </c>
      <c r="F35" s="172">
        <v>-95238.1</v>
      </c>
    </row>
    <row r="36" spans="1:6" ht="13.25" customHeight="1">
      <c r="A36" s="174">
        <v>202550</v>
      </c>
      <c r="B36" s="148" t="s">
        <v>271</v>
      </c>
      <c r="C36" s="172">
        <v>-14877.11</v>
      </c>
      <c r="D36" s="171">
        <v>0</v>
      </c>
      <c r="E36" s="172">
        <v>4521.0600000000004</v>
      </c>
      <c r="F36" s="172">
        <v>-19398.169999999998</v>
      </c>
    </row>
    <row r="37" spans="1:6" ht="13.25" customHeight="1">
      <c r="A37" s="174">
        <v>211111</v>
      </c>
      <c r="B37" s="148" t="s">
        <v>211</v>
      </c>
      <c r="C37" s="172">
        <v>-55785</v>
      </c>
      <c r="D37" s="172">
        <v>218984.38</v>
      </c>
      <c r="E37" s="172">
        <v>211533.37</v>
      </c>
      <c r="F37" s="172">
        <v>-48333.99</v>
      </c>
    </row>
    <row r="38" spans="1:6" ht="13.25" customHeight="1">
      <c r="A38" s="174">
        <v>213600</v>
      </c>
      <c r="B38" s="148" t="s">
        <v>243</v>
      </c>
      <c r="C38" s="171">
        <v>0</v>
      </c>
      <c r="D38" s="172">
        <v>13021.39</v>
      </c>
      <c r="E38" s="172">
        <v>13021.39</v>
      </c>
      <c r="F38" s="171">
        <v>0</v>
      </c>
    </row>
    <row r="39" spans="1:6" ht="13.25" customHeight="1">
      <c r="A39" s="174">
        <v>215100</v>
      </c>
      <c r="B39" s="148" t="s">
        <v>241</v>
      </c>
      <c r="C39" s="171">
        <v>0</v>
      </c>
      <c r="D39" s="172">
        <v>800797.25</v>
      </c>
      <c r="E39" s="172">
        <v>800797.25</v>
      </c>
      <c r="F39" s="171">
        <v>0</v>
      </c>
    </row>
    <row r="40" spans="1:6" ht="13.25" customHeight="1">
      <c r="A40" s="174">
        <v>215401</v>
      </c>
      <c r="B40" s="148" t="s">
        <v>244</v>
      </c>
      <c r="C40" s="172">
        <v>-82177.06</v>
      </c>
      <c r="D40" s="172">
        <v>44848.08</v>
      </c>
      <c r="E40" s="172">
        <v>17381</v>
      </c>
      <c r="F40" s="172">
        <v>-54709.98</v>
      </c>
    </row>
    <row r="41" spans="1:6" ht="13.25" customHeight="1">
      <c r="A41" s="174">
        <v>230400</v>
      </c>
      <c r="B41" s="148" t="s">
        <v>247</v>
      </c>
      <c r="C41" s="172">
        <v>-2364245.87</v>
      </c>
      <c r="D41" s="171">
        <v>0</v>
      </c>
      <c r="E41" s="171">
        <v>0</v>
      </c>
      <c r="F41" s="172">
        <v>-2364245.87</v>
      </c>
    </row>
    <row r="42" spans="1:6" ht="13.25" customHeight="1">
      <c r="A42" s="174">
        <v>235990</v>
      </c>
      <c r="B42" s="148" t="s">
        <v>212</v>
      </c>
      <c r="C42" s="171">
        <v>0</v>
      </c>
      <c r="D42" s="172">
        <v>17513.509999999998</v>
      </c>
      <c r="E42" s="172">
        <v>17513.509999999998</v>
      </c>
      <c r="F42" s="171">
        <v>0</v>
      </c>
    </row>
    <row r="43" spans="1:6" ht="13.25" customHeight="1">
      <c r="A43" s="174">
        <v>265501</v>
      </c>
      <c r="B43" s="148" t="s">
        <v>246</v>
      </c>
      <c r="C43" s="172">
        <v>-166556.28</v>
      </c>
      <c r="D43" s="172">
        <v>42075.62</v>
      </c>
      <c r="E43" s="172">
        <v>27382.71</v>
      </c>
      <c r="F43" s="172">
        <v>-151863.37</v>
      </c>
    </row>
    <row r="44" spans="1:6" ht="13.25" customHeight="1">
      <c r="A44" s="174">
        <v>357111</v>
      </c>
      <c r="B44" s="148" t="s">
        <v>158</v>
      </c>
      <c r="C44" s="171">
        <v>0</v>
      </c>
      <c r="D44" s="171">
        <v>0</v>
      </c>
      <c r="E44" s="172">
        <v>952380.95</v>
      </c>
      <c r="F44" s="172">
        <v>-952380.95</v>
      </c>
    </row>
    <row r="45" spans="1:6" ht="13.25" customHeight="1">
      <c r="A45" s="174">
        <v>382020</v>
      </c>
      <c r="B45" s="148" t="s">
        <v>160</v>
      </c>
      <c r="C45" s="171">
        <v>0</v>
      </c>
      <c r="D45" s="171">
        <v>794.17</v>
      </c>
      <c r="E45" s="171">
        <v>45.5</v>
      </c>
      <c r="F45" s="171">
        <v>748.67</v>
      </c>
    </row>
    <row r="46" spans="1:6" ht="13.25" customHeight="1">
      <c r="A46" s="174">
        <v>412121</v>
      </c>
      <c r="B46" s="148" t="s">
        <v>180</v>
      </c>
      <c r="C46" s="171">
        <v>0</v>
      </c>
      <c r="D46" s="172">
        <v>644246.37</v>
      </c>
      <c r="E46" s="171">
        <v>0</v>
      </c>
      <c r="F46" s="172">
        <v>644246.37</v>
      </c>
    </row>
    <row r="47" spans="1:6" ht="13.25" customHeight="1">
      <c r="A47" s="174">
        <v>412125</v>
      </c>
      <c r="B47" s="148" t="s">
        <v>181</v>
      </c>
      <c r="C47" s="171">
        <v>0</v>
      </c>
      <c r="D47" s="172">
        <v>323597.06</v>
      </c>
      <c r="E47" s="171">
        <v>0</v>
      </c>
      <c r="F47" s="172">
        <v>323597.06</v>
      </c>
    </row>
    <row r="48" spans="1:6" ht="13.25" customHeight="1">
      <c r="A48" s="174">
        <v>412184</v>
      </c>
      <c r="B48" s="148" t="s">
        <v>182</v>
      </c>
      <c r="C48" s="171">
        <v>0</v>
      </c>
      <c r="D48" s="172">
        <v>28460.51</v>
      </c>
      <c r="E48" s="172">
        <v>44848.08</v>
      </c>
      <c r="F48" s="172">
        <v>-16387.57</v>
      </c>
    </row>
    <row r="49" spans="1:6" ht="13.25" customHeight="1">
      <c r="A49" s="174">
        <v>412521</v>
      </c>
      <c r="B49" s="148" t="s">
        <v>249</v>
      </c>
      <c r="C49" s="171">
        <v>0</v>
      </c>
      <c r="D49" s="172">
        <v>16000</v>
      </c>
      <c r="E49" s="171">
        <v>0</v>
      </c>
      <c r="F49" s="172">
        <v>16000</v>
      </c>
    </row>
    <row r="50" spans="1:6" ht="13.25" customHeight="1">
      <c r="A50" s="174">
        <v>412534</v>
      </c>
      <c r="B50" s="148" t="s">
        <v>114</v>
      </c>
      <c r="C50" s="171">
        <v>0</v>
      </c>
      <c r="D50" s="172">
        <v>18889.13</v>
      </c>
      <c r="E50" s="171">
        <v>0</v>
      </c>
      <c r="F50" s="172">
        <v>18889.13</v>
      </c>
    </row>
    <row r="51" spans="1:6" ht="13.25" customHeight="1">
      <c r="A51" s="174">
        <v>412590</v>
      </c>
      <c r="B51" s="148" t="s">
        <v>161</v>
      </c>
      <c r="C51" s="171">
        <v>0</v>
      </c>
      <c r="D51" s="171">
        <v>0.76</v>
      </c>
      <c r="E51" s="171">
        <v>0</v>
      </c>
      <c r="F51" s="171">
        <v>0.76</v>
      </c>
    </row>
    <row r="52" spans="1:6" ht="13.25" customHeight="1">
      <c r="A52" s="174">
        <v>414120</v>
      </c>
      <c r="B52" s="148" t="s">
        <v>187</v>
      </c>
      <c r="C52" s="171">
        <v>0</v>
      </c>
      <c r="D52" s="172">
        <v>154624.29999999999</v>
      </c>
      <c r="E52" s="172">
        <v>42075.62</v>
      </c>
      <c r="F52" s="172">
        <v>112548.68</v>
      </c>
    </row>
    <row r="53" spans="1:6" ht="13.25" customHeight="1">
      <c r="A53" s="174">
        <v>416110</v>
      </c>
      <c r="B53" s="148" t="s">
        <v>188</v>
      </c>
      <c r="C53" s="171">
        <v>0</v>
      </c>
      <c r="D53" s="172">
        <v>34072.15</v>
      </c>
      <c r="E53" s="172">
        <v>21000</v>
      </c>
      <c r="F53" s="172">
        <v>13072.15</v>
      </c>
    </row>
    <row r="54" spans="1:6" ht="13.25" customHeight="1">
      <c r="A54" s="174">
        <v>416310</v>
      </c>
      <c r="B54" s="148" t="s">
        <v>184</v>
      </c>
      <c r="C54" s="171">
        <v>0</v>
      </c>
      <c r="D54" s="172">
        <v>46549.74</v>
      </c>
      <c r="E54" s="172">
        <v>13021.39</v>
      </c>
      <c r="F54" s="172">
        <v>33528.35</v>
      </c>
    </row>
    <row r="55" spans="1:6" ht="13.25" customHeight="1">
      <c r="A55" s="174">
        <v>425510</v>
      </c>
      <c r="B55" s="148" t="s">
        <v>193</v>
      </c>
      <c r="C55" s="171">
        <v>0</v>
      </c>
      <c r="D55" s="171">
        <v>700</v>
      </c>
      <c r="E55" s="171">
        <v>0</v>
      </c>
      <c r="F55" s="171">
        <v>700</v>
      </c>
    </row>
    <row r="56" spans="1:6" ht="13.25" customHeight="1">
      <c r="A56" s="174">
        <v>435508</v>
      </c>
      <c r="B56" s="148" t="s">
        <v>203</v>
      </c>
      <c r="C56" s="171">
        <v>0</v>
      </c>
      <c r="D56" s="172">
        <v>290561.36</v>
      </c>
      <c r="E56" s="172">
        <v>1408.5</v>
      </c>
      <c r="F56" s="172">
        <v>289152.86</v>
      </c>
    </row>
    <row r="57" spans="1:6" ht="13.25" customHeight="1">
      <c r="A57" s="174">
        <v>475210</v>
      </c>
      <c r="B57" s="148" t="s">
        <v>301</v>
      </c>
      <c r="C57" s="171">
        <v>0</v>
      </c>
      <c r="D57" s="172">
        <v>242508.9</v>
      </c>
      <c r="E57" s="171">
        <v>0</v>
      </c>
      <c r="F57" s="172">
        <v>242508.9</v>
      </c>
    </row>
    <row r="58" spans="1:6" ht="13.25" customHeight="1">
      <c r="A58" s="174">
        <v>475220</v>
      </c>
      <c r="B58" s="148" t="s">
        <v>300</v>
      </c>
      <c r="C58" s="171">
        <v>0</v>
      </c>
      <c r="D58" s="172">
        <v>624533.61</v>
      </c>
      <c r="E58" s="171">
        <v>0</v>
      </c>
      <c r="F58" s="172">
        <v>624533.61</v>
      </c>
    </row>
    <row r="59" spans="1:6" ht="13.25" customHeight="1">
      <c r="A59" s="174">
        <v>475240</v>
      </c>
      <c r="B59" s="148" t="s">
        <v>299</v>
      </c>
      <c r="C59" s="171">
        <v>0</v>
      </c>
      <c r="D59" s="172">
        <v>10797.9</v>
      </c>
      <c r="E59" s="171">
        <v>0</v>
      </c>
      <c r="F59" s="172">
        <v>10797.9</v>
      </c>
    </row>
    <row r="60" spans="1:6" ht="13.25" customHeight="1">
      <c r="A60" s="174">
        <v>475250</v>
      </c>
      <c r="B60" s="148" t="s">
        <v>375</v>
      </c>
      <c r="C60" s="171">
        <v>0</v>
      </c>
      <c r="D60" s="172">
        <v>46740.33</v>
      </c>
      <c r="E60" s="171">
        <v>0</v>
      </c>
      <c r="F60" s="172">
        <v>46740.33</v>
      </c>
    </row>
    <row r="61" spans="1:6" ht="13.25" customHeight="1">
      <c r="A61" s="174">
        <v>492316</v>
      </c>
      <c r="B61" s="148" t="s">
        <v>197</v>
      </c>
      <c r="C61" s="171">
        <v>0</v>
      </c>
      <c r="D61" s="172">
        <v>72667.600000000006</v>
      </c>
      <c r="E61" s="172">
        <v>40249.72</v>
      </c>
      <c r="F61" s="172">
        <v>32417.88</v>
      </c>
    </row>
    <row r="62" spans="1:6" ht="13.25" customHeight="1">
      <c r="A62" s="174">
        <v>502100</v>
      </c>
      <c r="B62" s="148" t="s">
        <v>248</v>
      </c>
      <c r="C62" s="172">
        <v>-7200530.3200000003</v>
      </c>
      <c r="D62" s="171">
        <v>0</v>
      </c>
      <c r="E62" s="171">
        <v>0</v>
      </c>
      <c r="F62" s="172">
        <v>-7200530.3200000003</v>
      </c>
    </row>
    <row r="63" spans="1:6">
      <c r="A63" s="173"/>
      <c r="B63" s="171" t="s">
        <v>298</v>
      </c>
      <c r="C63" s="171">
        <v>0</v>
      </c>
      <c r="D63" s="172">
        <v>8753368.0600000005</v>
      </c>
      <c r="E63" s="172">
        <v>8753368.0600000005</v>
      </c>
      <c r="F63" s="171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4:D10"/>
  <sheetViews>
    <sheetView showGridLines="0" workbookViewId="0">
      <selection activeCell="B7" sqref="B7:D9"/>
    </sheetView>
  </sheetViews>
  <sheetFormatPr defaultRowHeight="20.149999999999999" customHeight="1"/>
  <cols>
    <col min="1" max="1" width="7.453125" customWidth="1"/>
    <col min="2" max="2" width="10" customWidth="1"/>
    <col min="3" max="3" width="43.453125" bestFit="1" customWidth="1"/>
    <col min="4" max="4" width="10.54296875" bestFit="1" customWidth="1"/>
  </cols>
  <sheetData>
    <row r="4" spans="1:4" ht="20.149999999999999" customHeight="1">
      <c r="A4" s="145" t="s">
        <v>86</v>
      </c>
      <c r="B4" s="145"/>
    </row>
    <row r="5" spans="1:4" ht="20.149999999999999" customHeight="1">
      <c r="A5" s="6">
        <v>213600</v>
      </c>
      <c r="B5" s="6"/>
    </row>
    <row r="6" spans="1:4" ht="20.149999999999999" customHeight="1">
      <c r="B6" s="146" t="s">
        <v>122</v>
      </c>
      <c r="C6" s="146" t="s">
        <v>227</v>
      </c>
      <c r="D6" s="147" t="s">
        <v>11</v>
      </c>
    </row>
    <row r="7" spans="1:4" ht="20.149999999999999" customHeight="1">
      <c r="B7" s="148"/>
      <c r="C7" s="148"/>
      <c r="D7" s="150"/>
    </row>
    <row r="8" spans="1:4" ht="20.149999999999999" customHeight="1">
      <c r="B8" s="148"/>
      <c r="C8" s="148"/>
      <c r="D8" s="150"/>
    </row>
    <row r="9" spans="1:4" ht="20.149999999999999" customHeight="1">
      <c r="B9" s="148"/>
      <c r="C9" s="148"/>
      <c r="D9" s="150"/>
    </row>
    <row r="10" spans="1:4" ht="20.149999999999999" customHeight="1">
      <c r="D10" s="21">
        <f>SUM(D7:D9)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3:K9"/>
  <sheetViews>
    <sheetView showGridLines="0" workbookViewId="0">
      <selection activeCell="B7" sqref="B7:F8"/>
    </sheetView>
  </sheetViews>
  <sheetFormatPr defaultRowHeight="20.149999999999999" customHeight="1"/>
  <cols>
    <col min="1" max="1" width="4.54296875" customWidth="1"/>
    <col min="2" max="2" width="32.81640625" customWidth="1"/>
    <col min="3" max="5" width="13.81640625" style="4" customWidth="1"/>
    <col min="6" max="6" width="40.54296875" style="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61</v>
      </c>
    </row>
    <row r="6" spans="1:11" ht="29">
      <c r="A6" s="114"/>
      <c r="B6" s="13" t="s">
        <v>1</v>
      </c>
      <c r="C6" s="116" t="s">
        <v>46</v>
      </c>
      <c r="D6" s="116" t="s">
        <v>223</v>
      </c>
      <c r="E6" s="116" t="s">
        <v>222</v>
      </c>
      <c r="F6" s="13" t="s">
        <v>116</v>
      </c>
    </row>
    <row r="7" spans="1:11" ht="20.149999999999999" customHeight="1">
      <c r="A7" s="115"/>
      <c r="B7" s="3"/>
      <c r="C7" s="10"/>
      <c r="D7" s="10"/>
      <c r="E7" s="10"/>
      <c r="F7" s="3"/>
      <c r="K7" s="80"/>
    </row>
    <row r="8" spans="1:11" ht="20.149999999999999" customHeight="1">
      <c r="A8" s="115"/>
      <c r="B8" s="3"/>
      <c r="C8" s="10"/>
      <c r="D8" s="10"/>
      <c r="E8" s="10"/>
      <c r="F8" s="3"/>
      <c r="K8" s="80"/>
    </row>
    <row r="9" spans="1:11" ht="20.149999999999999" customHeight="1">
      <c r="C9" s="21">
        <f>SUM(C7:C8)</f>
        <v>0</v>
      </c>
      <c r="D9" s="21">
        <f>SUM(D7:D8)</f>
        <v>0</v>
      </c>
      <c r="E9" s="21">
        <f>SUM(E7:E8)</f>
        <v>0</v>
      </c>
      <c r="I9" s="30">
        <f>+E9+TB!C47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B7" sqref="B7:E7"/>
    </sheetView>
  </sheetViews>
  <sheetFormatPr defaultRowHeight="20.149999999999999" customHeight="1"/>
  <cols>
    <col min="1" max="1" width="7.81640625" customWidth="1"/>
    <col min="2" max="2" width="12.453125" style="4" customWidth="1"/>
    <col min="3" max="3" width="20.54296875" style="4" customWidth="1"/>
    <col min="4" max="4" width="47.453125" style="4" customWidth="1"/>
    <col min="5" max="5" width="14" style="4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209</v>
      </c>
    </row>
    <row r="6" spans="1:8" ht="20.149999999999999" customHeight="1">
      <c r="A6" s="114"/>
      <c r="B6" s="85" t="s">
        <v>122</v>
      </c>
      <c r="C6" s="85" t="s">
        <v>123</v>
      </c>
      <c r="D6" s="102" t="s">
        <v>116</v>
      </c>
      <c r="E6" s="102" t="s">
        <v>46</v>
      </c>
    </row>
    <row r="7" spans="1:8" ht="20.149999999999999" customHeight="1">
      <c r="A7" s="130"/>
      <c r="B7" s="91"/>
      <c r="C7" s="90"/>
      <c r="D7" s="103"/>
      <c r="E7" s="92"/>
    </row>
    <row r="8" spans="1:8" ht="20.149999999999999" customHeight="1">
      <c r="E8" s="21">
        <f>SUM(E7:E7)</f>
        <v>0</v>
      </c>
      <c r="H8" s="30">
        <f>+E8+TB!C45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L13"/>
  <sheetViews>
    <sheetView showGridLines="0" workbookViewId="0">
      <selection activeCell="B7" sqref="B7:G10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81" bestFit="1" customWidth="1"/>
    <col min="5" max="5" width="11.54296875" customWidth="1"/>
    <col min="6" max="6" width="11.453125" customWidth="1"/>
    <col min="7" max="7" width="14" customWidth="1"/>
    <col min="8" max="8" width="9.54296875" bestFit="1" customWidth="1"/>
    <col min="10" max="10" width="11.54296875" bestFit="1" customWidth="1"/>
  </cols>
  <sheetData>
    <row r="3" spans="1:12" ht="26">
      <c r="A3" s="1"/>
    </row>
    <row r="4" spans="1:12" ht="26">
      <c r="A4" s="1"/>
    </row>
    <row r="5" spans="1:12" ht="20.149999999999999" customHeight="1">
      <c r="A5" s="2" t="s">
        <v>216</v>
      </c>
    </row>
    <row r="6" spans="1:12" ht="20.149999999999999" customHeight="1">
      <c r="A6" s="85" t="s">
        <v>112</v>
      </c>
      <c r="B6" s="85" t="s">
        <v>106</v>
      </c>
      <c r="C6" s="85" t="s">
        <v>108</v>
      </c>
      <c r="D6" s="85" t="s">
        <v>1</v>
      </c>
      <c r="E6" s="86" t="s">
        <v>46</v>
      </c>
      <c r="F6" s="86" t="s">
        <v>223</v>
      </c>
      <c r="G6" s="86" t="s">
        <v>46</v>
      </c>
    </row>
    <row r="7" spans="1:12" ht="20.149999999999999" customHeight="1">
      <c r="A7" s="87">
        <v>1</v>
      </c>
      <c r="B7" s="90"/>
      <c r="C7" s="91"/>
      <c r="D7" s="90"/>
      <c r="E7" s="92"/>
      <c r="F7" s="92"/>
      <c r="G7" s="92"/>
      <c r="L7" s="80"/>
    </row>
    <row r="8" spans="1:12" ht="20.149999999999999" customHeight="1">
      <c r="A8" s="87">
        <f>+A7+1</f>
        <v>2</v>
      </c>
      <c r="B8" s="90"/>
      <c r="C8" s="91"/>
      <c r="D8" s="90"/>
      <c r="E8" s="92"/>
      <c r="F8" s="92"/>
      <c r="G8" s="92"/>
      <c r="L8" s="80"/>
    </row>
    <row r="9" spans="1:12" ht="20.149999999999999" customHeight="1">
      <c r="A9" s="87">
        <f>+A8+1</f>
        <v>3</v>
      </c>
      <c r="B9" s="90"/>
      <c r="C9" s="91"/>
      <c r="D9" s="90"/>
      <c r="E9" s="92"/>
      <c r="F9" s="92"/>
      <c r="G9" s="92"/>
      <c r="L9" s="80"/>
    </row>
    <row r="10" spans="1:12" ht="20.149999999999999" customHeight="1">
      <c r="A10" s="87">
        <f>+A9+1</f>
        <v>4</v>
      </c>
      <c r="B10" s="90"/>
      <c r="C10" s="91"/>
      <c r="D10" s="90"/>
      <c r="E10" s="92"/>
      <c r="F10" s="92"/>
      <c r="G10" s="92"/>
      <c r="L10" s="80"/>
    </row>
    <row r="11" spans="1:12" ht="20.149999999999999" customHeight="1">
      <c r="A11" s="139"/>
      <c r="B11" s="140"/>
      <c r="C11" s="141"/>
      <c r="D11" s="140"/>
      <c r="E11" s="140"/>
      <c r="F11" s="140"/>
      <c r="G11" s="142"/>
      <c r="L11" s="80"/>
    </row>
    <row r="12" spans="1:12" ht="20.149999999999999" customHeight="1">
      <c r="A12" s="139"/>
      <c r="B12" s="140"/>
      <c r="C12" s="141"/>
      <c r="D12" s="140"/>
      <c r="E12" s="140"/>
      <c r="F12" s="140"/>
      <c r="G12" s="142"/>
      <c r="L12" s="80"/>
    </row>
    <row r="13" spans="1:12" ht="20.149999999999999" customHeight="1">
      <c r="E13" s="88">
        <f>SUM(E7:E12)</f>
        <v>0</v>
      </c>
      <c r="F13" s="88">
        <f>SUM(F7:F12)</f>
        <v>0</v>
      </c>
      <c r="G13" s="88">
        <f>SUM(G7:G12)</f>
        <v>0</v>
      </c>
      <c r="J13" s="30">
        <f>+G13+TB!C51</f>
        <v>-14514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</vt:i4>
      </vt:variant>
    </vt:vector>
  </HeadingPairs>
  <TitlesOfParts>
    <vt:vector size="30" baseType="lpstr">
      <vt:lpstr>BS</vt:lpstr>
      <vt:lpstr>IS</vt:lpstr>
      <vt:lpstr>Schedules</vt:lpstr>
      <vt:lpstr>Expense Comparison</vt:lpstr>
      <vt:lpstr>Budget Comparison</vt:lpstr>
      <vt:lpstr>In- Kind Summary</vt:lpstr>
      <vt:lpstr>In Kind Calculation</vt:lpstr>
      <vt:lpstr>Other Income</vt:lpstr>
      <vt:lpstr>Fixed Assets</vt:lpstr>
      <vt:lpstr>Petty Cash</vt:lpstr>
      <vt:lpstr>Cash and Bank</vt:lpstr>
      <vt:lpstr>Housing Advances</vt:lpstr>
      <vt:lpstr>Related Party Balance</vt:lpstr>
      <vt:lpstr>AR</vt:lpstr>
      <vt:lpstr>Other Deposits</vt:lpstr>
      <vt:lpstr>Advances to Vendors </vt:lpstr>
      <vt:lpstr>Expense AP Accrual </vt:lpstr>
      <vt:lpstr>AP Ageing </vt:lpstr>
      <vt:lpstr>AP Accruals</vt:lpstr>
      <vt:lpstr>TB</vt:lpstr>
      <vt:lpstr>TB-Aug 22</vt:lpstr>
      <vt:lpstr>TB-Aug21</vt:lpstr>
      <vt:lpstr>Accrued Insurance</vt:lpstr>
      <vt:lpstr>Retention</vt:lpstr>
      <vt:lpstr>Payroll Accrual</vt:lpstr>
      <vt:lpstr>Related Party</vt:lpstr>
      <vt:lpstr>'AP Accruals'!Print_Area</vt:lpstr>
      <vt:lpstr>'Cash and Bank'!Print_Area</vt:lpstr>
      <vt:lpstr>'Expense Comparison'!Print_Area</vt:lpstr>
      <vt:lpstr>Schedules!Print_Area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arun.abraham</dc:creator>
  <cp:lastModifiedBy>Khuloud AlOthali</cp:lastModifiedBy>
  <cp:lastPrinted>2021-03-11T06:34:02Z</cp:lastPrinted>
  <dcterms:created xsi:type="dcterms:W3CDTF">2014-04-10T09:42:21Z</dcterms:created>
  <dcterms:modified xsi:type="dcterms:W3CDTF">2022-09-26T05:07:34Z</dcterms:modified>
</cp:coreProperties>
</file>