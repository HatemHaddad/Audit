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459\Desktop\"/>
    </mc:Choice>
  </mc:AlternateContent>
  <bookViews>
    <workbookView xWindow="0" yWindow="0" windowWidth="28800" windowHeight="12000"/>
  </bookViews>
  <sheets>
    <sheet name="Summary" sheetId="1" r:id="rId1"/>
  </sheets>
  <externalReferences>
    <externalReference r:id="rId2"/>
    <externalReference r:id="rId3"/>
  </externalReferences>
  <definedNames>
    <definedName name="company">[2]Data!$B$2</definedName>
    <definedName name="emirates">[2]Data!$B$5</definedName>
    <definedName name="pobox">[2]Data!$B$4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E21" i="1" s="1"/>
  <c r="E13" i="1"/>
  <c r="D13" i="1"/>
  <c r="D12" i="1"/>
  <c r="E7" i="1"/>
  <c r="E5" i="1"/>
  <c r="E9" i="1" s="1"/>
  <c r="E15" i="1" s="1"/>
  <c r="E25" i="1" s="1"/>
</calcChain>
</file>

<file path=xl/sharedStrings.xml><?xml version="1.0" encoding="utf-8"?>
<sst xmlns="http://schemas.openxmlformats.org/spreadsheetml/2006/main" count="16" uniqueCount="16">
  <si>
    <t>Particulars</t>
  </si>
  <si>
    <t>Amount</t>
  </si>
  <si>
    <t>Fund Balance as per 30th Sep 2022 Balance Sheet</t>
  </si>
  <si>
    <t>Less : Expenses booked from 1 Oct to 17 Oct</t>
  </si>
  <si>
    <t>Fund Balance as on 17th Oct 2022 (without commitments)</t>
  </si>
  <si>
    <t>Open Commitments as on 17th Oct22</t>
  </si>
  <si>
    <t>Open POs</t>
  </si>
  <si>
    <t>Open PRs</t>
  </si>
  <si>
    <t>Net Fund position as on 17th Oct22</t>
  </si>
  <si>
    <t>Monthly payroll/chargeback expected for Oct &amp; Nov (based on Sep figures)</t>
  </si>
  <si>
    <t>Monthly salary expense for Oct &amp; Nov</t>
  </si>
  <si>
    <t>KU chargeback for Oct &amp; Nov</t>
  </si>
  <si>
    <t>KU Chargeback for projects for Oct &amp; Nov</t>
  </si>
  <si>
    <t>AHC chargeback for Oct &amp; Nov</t>
  </si>
  <si>
    <t>Audit Fees expected for 2022</t>
  </si>
  <si>
    <t>Net Position expected on 30 Nov 2022 ( with no further expenses and commitments)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</si>
</sst>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43" fontId="0" fillId="0" borderId="1" xfId="1" applyFont="1" applyBorder="1" applyAlignment="1"/>
    <xf numFmtId="0" fontId="2" fillId="0" borderId="1" xfId="0" applyFont="1" applyBorder="1" applyAlignment="1"/>
    <xf numFmtId="43" fontId="2" fillId="0" borderId="1" xfId="1" applyFont="1" applyBorder="1" applyAlignment="1"/>
    <xf numFmtId="0" fontId="0" fillId="0" borderId="1" xfId="0" applyFill="1" applyBorder="1" applyAlignment="1"/>
    <xf numFmtId="43" fontId="0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459/AppData/Local/Microsoft/Windows/INetCache/Content.Outlook/1YIE8XY6/ARIC%20Fund%20projec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mmitment Summary"/>
      <sheetName val="Open PO Report from MM"/>
      <sheetName val="Open PR Report from MM"/>
      <sheetName val="BS-Sep22"/>
      <sheetName val="2022-Oct"/>
      <sheetName val="2022- Till Sep"/>
      <sheetName val="2021"/>
      <sheetName val="2020"/>
      <sheetName val="2019"/>
      <sheetName val="2018"/>
      <sheetName val="2017"/>
    </sheetNames>
    <sheetDataSet>
      <sheetData sheetId="0"/>
      <sheetData sheetId="1"/>
      <sheetData sheetId="2">
        <row r="14">
          <cell r="L14">
            <v>326705.40269999998</v>
          </cell>
        </row>
      </sheetData>
      <sheetData sheetId="3">
        <row r="4">
          <cell r="H4">
            <v>15000</v>
          </cell>
        </row>
      </sheetData>
      <sheetData sheetId="4">
        <row r="27">
          <cell r="C27">
            <v>459245.34999999776</v>
          </cell>
        </row>
      </sheetData>
      <sheetData sheetId="5">
        <row r="38">
          <cell r="H38">
            <v>557552.2100000002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5"/>
  <sheetViews>
    <sheetView tabSelected="1" workbookViewId="0">
      <selection activeCell="C36" sqref="C36"/>
    </sheetView>
  </sheetViews>
  <sheetFormatPr defaultRowHeight="15" x14ac:dyDescent="0.25"/>
  <cols>
    <col min="1" max="2" width="9.140625" style="4"/>
    <col min="3" max="3" width="77.5703125" style="4" bestFit="1" customWidth="1"/>
    <col min="4" max="4" width="11.5703125" style="10" bestFit="1" customWidth="1"/>
    <col min="5" max="5" width="18.140625" style="10" bestFit="1" customWidth="1"/>
    <col min="6" max="16384" width="9.140625" style="4"/>
  </cols>
  <sheetData>
    <row r="4" spans="3:5" x14ac:dyDescent="0.25">
      <c r="C4" s="1" t="s">
        <v>0</v>
      </c>
      <c r="D4" s="2" t="s">
        <v>1</v>
      </c>
      <c r="E4" s="3"/>
    </row>
    <row r="5" spans="3:5" x14ac:dyDescent="0.25">
      <c r="C5" s="5" t="s">
        <v>2</v>
      </c>
      <c r="D5" s="5"/>
      <c r="E5" s="6">
        <f>+'[1]BS-Sep22'!C27</f>
        <v>459245.34999999776</v>
      </c>
    </row>
    <row r="6" spans="3:5" x14ac:dyDescent="0.25">
      <c r="C6" s="5"/>
      <c r="D6" s="5"/>
      <c r="E6" s="6"/>
    </row>
    <row r="7" spans="3:5" x14ac:dyDescent="0.25">
      <c r="C7" s="5" t="s">
        <v>3</v>
      </c>
      <c r="D7" s="6"/>
      <c r="E7" s="6">
        <f>+'[1]2022-Oct'!H38</f>
        <v>557552.2100000002</v>
      </c>
    </row>
    <row r="8" spans="3:5" x14ac:dyDescent="0.25">
      <c r="C8" s="5"/>
      <c r="D8" s="6"/>
      <c r="E8" s="6"/>
    </row>
    <row r="9" spans="3:5" x14ac:dyDescent="0.25">
      <c r="C9" s="5" t="s">
        <v>4</v>
      </c>
      <c r="D9" s="6"/>
      <c r="E9" s="6">
        <f>+E5-E7</f>
        <v>-98306.860000002431</v>
      </c>
    </row>
    <row r="10" spans="3:5" x14ac:dyDescent="0.25">
      <c r="C10" s="5"/>
      <c r="D10" s="6"/>
      <c r="E10" s="6"/>
    </row>
    <row r="11" spans="3:5" x14ac:dyDescent="0.25">
      <c r="C11" s="5" t="s">
        <v>5</v>
      </c>
      <c r="D11" s="6"/>
      <c r="E11" s="6"/>
    </row>
    <row r="12" spans="3:5" x14ac:dyDescent="0.25">
      <c r="C12" s="5" t="s">
        <v>6</v>
      </c>
      <c r="D12" s="6">
        <f>+'[1]Open PO Report from MM'!L14</f>
        <v>326705.40269999998</v>
      </c>
      <c r="E12" s="6"/>
    </row>
    <row r="13" spans="3:5" x14ac:dyDescent="0.25">
      <c r="C13" s="5" t="s">
        <v>7</v>
      </c>
      <c r="D13" s="6">
        <f>+'[1]Open PR Report from MM'!H4</f>
        <v>15000</v>
      </c>
      <c r="E13" s="6">
        <f>SUM(D12:D13)</f>
        <v>341705.40269999998</v>
      </c>
    </row>
    <row r="14" spans="3:5" x14ac:dyDescent="0.25">
      <c r="C14" s="5"/>
      <c r="D14" s="6"/>
      <c r="E14" s="6"/>
    </row>
    <row r="15" spans="3:5" x14ac:dyDescent="0.25">
      <c r="C15" s="7" t="s">
        <v>8</v>
      </c>
      <c r="D15" s="8"/>
      <c r="E15" s="8">
        <f>+E9-E13</f>
        <v>-440012.26270000241</v>
      </c>
    </row>
    <row r="16" spans="3:5" x14ac:dyDescent="0.25">
      <c r="C16" s="5"/>
      <c r="D16" s="6"/>
      <c r="E16" s="6"/>
    </row>
    <row r="17" spans="3:5" x14ac:dyDescent="0.25">
      <c r="C17" s="9" t="s">
        <v>9</v>
      </c>
      <c r="D17" s="6"/>
      <c r="E17" s="6"/>
    </row>
    <row r="18" spans="3:5" x14ac:dyDescent="0.25">
      <c r="C18" s="9" t="s">
        <v>10</v>
      </c>
      <c r="D18" s="6">
        <f>96866*2</f>
        <v>193732</v>
      </c>
      <c r="E18" s="6"/>
    </row>
    <row r="19" spans="3:5" x14ac:dyDescent="0.25">
      <c r="C19" s="9" t="s">
        <v>11</v>
      </c>
      <c r="D19" s="6">
        <f>10460.27*2</f>
        <v>20920.54</v>
      </c>
      <c r="E19" s="6"/>
    </row>
    <row r="20" spans="3:5" x14ac:dyDescent="0.25">
      <c r="C20" s="9" t="s">
        <v>12</v>
      </c>
      <c r="D20" s="6">
        <f>(17220+7380)*2</f>
        <v>49200</v>
      </c>
      <c r="E20" s="6"/>
    </row>
    <row r="21" spans="3:5" x14ac:dyDescent="0.25">
      <c r="C21" s="9" t="s">
        <v>13</v>
      </c>
      <c r="D21" s="6">
        <f>350000/12*2</f>
        <v>58333.333333333336</v>
      </c>
      <c r="E21" s="6">
        <f>SUM(D18:D21)</f>
        <v>322185.87333333335</v>
      </c>
    </row>
    <row r="22" spans="3:5" x14ac:dyDescent="0.25">
      <c r="C22" s="5"/>
      <c r="D22" s="6"/>
      <c r="E22" s="6"/>
    </row>
    <row r="23" spans="3:5" x14ac:dyDescent="0.25">
      <c r="C23" s="5" t="s">
        <v>14</v>
      </c>
      <c r="D23" s="6"/>
      <c r="E23" s="6">
        <v>45000</v>
      </c>
    </row>
    <row r="24" spans="3:5" x14ac:dyDescent="0.25">
      <c r="C24" s="5"/>
      <c r="D24" s="6"/>
      <c r="E24" s="6"/>
    </row>
    <row r="25" spans="3:5" x14ac:dyDescent="0.25">
      <c r="C25" s="7" t="s">
        <v>15</v>
      </c>
      <c r="D25" s="8"/>
      <c r="E25" s="8">
        <f>+E15-E21-E23</f>
        <v>-807198.1360333357</v>
      </c>
    </row>
  </sheetData>
  <mergeCells count="1"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Anood Al Khoori</dc:creator>
  <cp:lastModifiedBy>Al Anood Al Khoori</cp:lastModifiedBy>
  <dcterms:created xsi:type="dcterms:W3CDTF">2022-10-31T11:21:55Z</dcterms:created>
  <dcterms:modified xsi:type="dcterms:W3CDTF">2022-10-31T11:22:14Z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