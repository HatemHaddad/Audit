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lmoghraby/Documents/KU_files/Department objectives/2023/"/>
    </mc:Choice>
  </mc:AlternateContent>
  <xr:revisionPtr revIDLastSave="0" documentId="8_{766E54D2-7AF9-6347-BC3B-12D0626F9AF5}" xr6:coauthVersionLast="47" xr6:coauthVersionMax="47" xr10:uidLastSave="{00000000-0000-0000-0000-000000000000}"/>
  <bookViews>
    <workbookView xWindow="0" yWindow="500" windowWidth="28800" windowHeight="17500" xr2:uid="{36320B43-F0C8-6B41-943C-5F10346C611F}"/>
  </bookViews>
  <sheets>
    <sheet name="2022" sheetId="1" r:id="rId1"/>
    <sheet name="2023" sheetId="2" r:id="rId2"/>
  </sheets>
  <definedNames>
    <definedName name="_Hlk102125726" localSheetId="0">'2022'!$B$2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K14" i="1" s="1"/>
  <c r="J13" i="1"/>
  <c r="K13" i="1" s="1"/>
  <c r="J12" i="1"/>
  <c r="K12" i="1" s="1"/>
  <c r="J11" i="1"/>
  <c r="K11" i="1" s="1"/>
  <c r="J10" i="1"/>
  <c r="K10" i="1" s="1"/>
  <c r="J9" i="1"/>
  <c r="K9" i="1" s="1"/>
  <c r="J7" i="1"/>
  <c r="K7" i="1" s="1"/>
  <c r="J6" i="1"/>
  <c r="K6" i="1" s="1"/>
  <c r="J5" i="1"/>
  <c r="K5" i="1" s="1"/>
  <c r="K15" i="1" l="1"/>
</calcChain>
</file>

<file path=xl/sharedStrings.xml><?xml version="1.0" encoding="utf-8"?>
<sst xmlns="http://schemas.openxmlformats.org/spreadsheetml/2006/main" count="101" uniqueCount="51">
  <si>
    <t>KPI Type</t>
  </si>
  <si>
    <t>Deadline</t>
  </si>
  <si>
    <t>Target</t>
  </si>
  <si>
    <t>Weight</t>
  </si>
  <si>
    <t>KPI Score/Outcome</t>
  </si>
  <si>
    <t>Score</t>
  </si>
  <si>
    <t>Comment</t>
  </si>
  <si>
    <t>#</t>
  </si>
  <si>
    <t>Number of training courses delivered</t>
  </si>
  <si>
    <t>%</t>
  </si>
  <si>
    <t>­#</t>
  </si>
  <si>
    <t>(%,#)</t>
  </si>
  <si>
    <t>Report departmental progress on a monthly basis</t>
  </si>
  <si>
    <t>Optimize utilization of HPC and RC resources</t>
  </si>
  <si>
    <t>% Utilization rate of RC resources</t>
  </si>
  <si>
    <t>Provide user Training</t>
  </si>
  <si>
    <t>Ensure user and faculty engagement</t>
  </si>
  <si>
    <t>User Group Meetings</t>
  </si>
  <si>
    <t>Research Computing Committee meetings</t>
  </si>
  <si>
    <t>Conduct Research Computing Survey</t>
  </si>
  <si>
    <t>Research Computing Survey and Analysis</t>
  </si>
  <si>
    <t>Ensure Research Computing Satisfaction</t>
  </si>
  <si>
    <t>Research Computing Satisfaction</t>
  </si>
  <si>
    <t>Increase Visibility of RC at KU</t>
  </si>
  <si>
    <t>Conduct 3 outreach events</t>
  </si>
  <si>
    <t>Partnerships with external entities</t>
  </si>
  <si>
    <t>Number of partnerships</t>
  </si>
  <si>
    <t>Develop RC Expansion Plan</t>
  </si>
  <si>
    <t>HPC expansion plan to 2025</t>
  </si>
  <si>
    <t>Implement RC Expansion</t>
  </si>
  <si>
    <t>Expansion of HPC relative to 2025 plan</t>
  </si>
  <si>
    <r>
      <t xml:space="preserve">Employee </t>
    </r>
    <r>
      <rPr>
        <b/>
        <u/>
        <sz val="14"/>
        <color theme="1"/>
        <rFont val="Calibri"/>
        <family val="2"/>
        <scheme val="minor"/>
      </rPr>
      <t>Goal</t>
    </r>
  </si>
  <si>
    <r>
      <t xml:space="preserve">Employee </t>
    </r>
    <r>
      <rPr>
        <b/>
        <u/>
        <sz val="14"/>
        <color theme="1"/>
        <rFont val="Calibri"/>
        <family val="2"/>
        <scheme val="minor"/>
      </rPr>
      <t>KPI</t>
    </r>
  </si>
  <si>
    <t>Completion ratio</t>
  </si>
  <si>
    <t xml:space="preserve">All reports were submitted, but most of them were late. Assuming 5% is for submisson, and 5 % is for punctuallity I put in 5 % </t>
  </si>
  <si>
    <t>No meetings were held</t>
  </si>
  <si>
    <t>On time monthly report submissions</t>
  </si>
  <si>
    <t>Professional Development week presentation, and an Energy Exemplar workshop,</t>
  </si>
  <si>
    <t>Total</t>
  </si>
  <si>
    <t>Deadline in Janurary 2023 to allow for generating stats for  December</t>
  </si>
  <si>
    <t>Introduce new service</t>
  </si>
  <si>
    <t>Introduce new Reseach Computing Service</t>
  </si>
  <si>
    <t>Working closely with AWS, and launched  a major project with them. MOU being drafted</t>
  </si>
  <si>
    <t>This is a good indicator for the effectiveness of support, uptime, training, and configuration.</t>
  </si>
  <si>
    <t>Will provide a full training calendar in January's monthly report</t>
  </si>
  <si>
    <t>We are provisionally scheduling these for the entire year, and work towards those dates.</t>
  </si>
  <si>
    <t>We are provisionally scheduling these for the entire year, and work towards those dates. I will need to get new nominations from Deans, as it has been over 2 years since committee got appointed.</t>
  </si>
  <si>
    <t>Will provide plan and suggestions in monthly report</t>
  </si>
  <si>
    <t xml:space="preserve">The specific service depends on how successful we are with with our current project with AWS. Also, I need to secure training for our sysadmin staff, so that we can launch a new big data related service, using hardware we already have. </t>
  </si>
  <si>
    <t>Have a few ideas around engaging with some major HPC vendors and/or Azure.</t>
  </si>
  <si>
    <t>Expect to expand HPC by ~45% of the current provision, as outlined in our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</si>
</sst>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9" fontId="0" fillId="0" borderId="0" xfId="0" applyNumberFormat="1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9" fontId="4" fillId="0" borderId="4" xfId="0" applyNumberFormat="1" applyFont="1" applyBorder="1" applyAlignment="1">
      <alignment horizontal="center" vertical="center" wrapText="1"/>
    </xf>
    <xf numFmtId="14" fontId="4" fillId="0" borderId="6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1" fontId="4" fillId="0" borderId="11" xfId="0" applyNumberFormat="1" applyFont="1" applyBorder="1" applyAlignment="1">
      <alignment horizontal="center" vertical="center" wrapText="1"/>
    </xf>
    <xf numFmtId="10" fontId="4" fillId="0" borderId="4" xfId="0" applyNumberFormat="1" applyFont="1" applyBorder="1" applyAlignment="1">
      <alignment horizontal="center" vertical="center" wrapText="1"/>
    </xf>
    <xf numFmtId="10" fontId="4" fillId="0" borderId="9" xfId="0" applyNumberFormat="1" applyFont="1" applyBorder="1" applyAlignment="1">
      <alignment horizontal="center" vertical="center" wrapText="1"/>
    </xf>
    <xf numFmtId="164" fontId="4" fillId="0" borderId="9" xfId="0" applyNumberFormat="1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14" fontId="4" fillId="0" borderId="7" xfId="0" applyNumberFormat="1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164" fontId="4" fillId="0" borderId="16" xfId="0" applyNumberFormat="1" applyFont="1" applyBorder="1" applyAlignment="1">
      <alignment horizontal="center" vertical="center" wrapText="1"/>
    </xf>
    <xf numFmtId="164" fontId="4" fillId="0" borderId="18" xfId="0" applyNumberFormat="1" applyFont="1" applyBorder="1" applyAlignment="1">
      <alignment horizontal="center" vertical="center" wrapText="1"/>
    </xf>
    <xf numFmtId="164" fontId="4" fillId="0" borderId="13" xfId="0" applyNumberFormat="1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10" fontId="4" fillId="0" borderId="15" xfId="0" applyNumberFormat="1" applyFont="1" applyBorder="1" applyAlignment="1">
      <alignment horizontal="center" vertical="center" wrapText="1"/>
    </xf>
    <xf numFmtId="10" fontId="4" fillId="0" borderId="8" xfId="0" applyNumberFormat="1" applyFont="1" applyBorder="1" applyAlignment="1">
      <alignment horizontal="center" vertical="center" wrapText="1"/>
    </xf>
    <xf numFmtId="10" fontId="4" fillId="0" borderId="20" xfId="0" applyNumberFormat="1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vertical="center" wrapText="1"/>
    </xf>
    <xf numFmtId="0" fontId="4" fillId="0" borderId="22" xfId="0" applyFont="1" applyBorder="1" applyAlignment="1">
      <alignment vertical="center" wrapText="1"/>
    </xf>
    <xf numFmtId="0" fontId="4" fillId="0" borderId="22" xfId="0" applyFont="1" applyBorder="1" applyAlignment="1">
      <alignment horizontal="center" vertical="center" wrapText="1"/>
    </xf>
    <xf numFmtId="9" fontId="4" fillId="0" borderId="22" xfId="0" applyNumberFormat="1" applyFont="1" applyBorder="1" applyAlignment="1">
      <alignment horizontal="center" vertical="center" wrapText="1"/>
    </xf>
    <xf numFmtId="14" fontId="4" fillId="0" borderId="23" xfId="0" applyNumberFormat="1" applyFont="1" applyBorder="1" applyAlignment="1">
      <alignment horizontal="center" vertical="center" wrapText="1"/>
    </xf>
    <xf numFmtId="10" fontId="0" fillId="0" borderId="0" xfId="0" applyNumberFormat="1"/>
    <xf numFmtId="164" fontId="4" fillId="0" borderId="24" xfId="0" applyNumberFormat="1" applyFont="1" applyBorder="1" applyAlignment="1">
      <alignment horizontal="center" vertical="center" wrapText="1"/>
    </xf>
    <xf numFmtId="0" fontId="2" fillId="3" borderId="26" xfId="0" applyFont="1" applyFill="1" applyBorder="1" applyAlignment="1">
      <alignment vertical="center" wrapText="1"/>
    </xf>
    <xf numFmtId="0" fontId="1" fillId="3" borderId="27" xfId="0" applyFont="1" applyFill="1" applyBorder="1"/>
    <xf numFmtId="0" fontId="1" fillId="3" borderId="18" xfId="0" applyFont="1" applyFill="1" applyBorder="1"/>
    <xf numFmtId="0" fontId="4" fillId="0" borderId="28" xfId="0" applyFont="1" applyBorder="1" applyAlignment="1">
      <alignment horizontal="center" vertical="center" wrapText="1"/>
    </xf>
    <xf numFmtId="10" fontId="4" fillId="0" borderId="25" xfId="0" applyNumberFormat="1" applyFont="1" applyBorder="1" applyAlignment="1">
      <alignment horizontal="center" vertical="center" wrapText="1"/>
    </xf>
    <xf numFmtId="10" fontId="1" fillId="3" borderId="18" xfId="0" applyNumberFormat="1" applyFont="1" applyFill="1" applyBorder="1"/>
    <xf numFmtId="0" fontId="4" fillId="0" borderId="19" xfId="0" applyFont="1" applyBorder="1" applyAlignment="1">
      <alignment horizontal="center" vertical="center" wrapText="1"/>
    </xf>
    <xf numFmtId="3" fontId="0" fillId="0" borderId="0" xfId="0" applyNumberFormat="1"/>
    <xf numFmtId="0" fontId="4" fillId="0" borderId="29" xfId="0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164" fontId="4" fillId="0" borderId="30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B351D-131A-534F-BAA1-F1323A80E348}">
  <dimension ref="B1:L24"/>
  <sheetViews>
    <sheetView tabSelected="1" workbookViewId="0">
      <selection activeCell="G20" sqref="G20"/>
    </sheetView>
  </sheetViews>
  <sheetFormatPr baseColWidth="10" defaultRowHeight="16" x14ac:dyDescent="0.2"/>
  <cols>
    <col min="2" max="2" width="3.5" bestFit="1" customWidth="1"/>
    <col min="3" max="3" width="48.5" bestFit="1" customWidth="1"/>
    <col min="4" max="4" width="41.5" bestFit="1" customWidth="1"/>
    <col min="5" max="5" width="9.6640625" bestFit="1" customWidth="1"/>
    <col min="6" max="6" width="7.5" bestFit="1" customWidth="1"/>
    <col min="7" max="7" width="8.33203125" bestFit="1" customWidth="1"/>
    <col min="8" max="8" width="12.1640625" bestFit="1" customWidth="1"/>
    <col min="9" max="9" width="19" customWidth="1"/>
    <col min="10" max="10" width="17.1640625" customWidth="1"/>
    <col min="11" max="11" width="13.5" bestFit="1" customWidth="1"/>
    <col min="12" max="12" width="56" customWidth="1"/>
  </cols>
  <sheetData>
    <row r="1" spans="2:12" ht="17" thickBot="1" x14ac:dyDescent="0.25"/>
    <row r="2" spans="2:12" ht="20" x14ac:dyDescent="0.2">
      <c r="B2" s="56" t="s">
        <v>10</v>
      </c>
      <c r="C2" s="54" t="s">
        <v>31</v>
      </c>
      <c r="D2" s="54" t="s">
        <v>32</v>
      </c>
      <c r="E2" s="2" t="s">
        <v>0</v>
      </c>
      <c r="F2" s="54" t="s">
        <v>2</v>
      </c>
      <c r="G2" s="54" t="s">
        <v>3</v>
      </c>
      <c r="H2" s="54" t="s">
        <v>1</v>
      </c>
      <c r="I2" s="54" t="s">
        <v>4</v>
      </c>
      <c r="J2" s="54" t="s">
        <v>33</v>
      </c>
      <c r="K2" s="54" t="s">
        <v>5</v>
      </c>
      <c r="L2" s="54" t="s">
        <v>6</v>
      </c>
    </row>
    <row r="3" spans="2:12" ht="42" customHeight="1" thickBot="1" x14ac:dyDescent="0.25">
      <c r="B3" s="57"/>
      <c r="C3" s="58"/>
      <c r="D3" s="58"/>
      <c r="E3" s="3" t="s">
        <v>11</v>
      </c>
      <c r="F3" s="58"/>
      <c r="G3" s="58"/>
      <c r="H3" s="58"/>
      <c r="I3" s="55"/>
      <c r="J3" s="55"/>
      <c r="K3" s="55"/>
      <c r="L3" s="55"/>
    </row>
    <row r="4" spans="2:12" ht="61" thickBot="1" x14ac:dyDescent="0.25">
      <c r="B4" s="4">
        <v>1</v>
      </c>
      <c r="C4" s="5" t="s">
        <v>12</v>
      </c>
      <c r="D4" s="5" t="s">
        <v>36</v>
      </c>
      <c r="E4" s="6" t="s">
        <v>7</v>
      </c>
      <c r="F4" s="6">
        <v>12</v>
      </c>
      <c r="G4" s="7">
        <v>0.1</v>
      </c>
      <c r="H4" s="8">
        <v>44926</v>
      </c>
      <c r="I4" s="9"/>
      <c r="J4" s="16"/>
      <c r="K4" s="15">
        <v>0.05</v>
      </c>
      <c r="L4" s="10" t="s">
        <v>34</v>
      </c>
    </row>
    <row r="5" spans="2:12" ht="21" thickBot="1" x14ac:dyDescent="0.25">
      <c r="B5" s="4">
        <v>2</v>
      </c>
      <c r="C5" s="5" t="s">
        <v>13</v>
      </c>
      <c r="D5" s="5" t="s">
        <v>14</v>
      </c>
      <c r="E5" s="6" t="s">
        <v>9</v>
      </c>
      <c r="F5" s="6">
        <v>80</v>
      </c>
      <c r="G5" s="7">
        <v>0.1</v>
      </c>
      <c r="H5" s="8">
        <v>44926</v>
      </c>
      <c r="I5" s="13">
        <v>75</v>
      </c>
      <c r="J5" s="17">
        <f>I5/F5</f>
        <v>0.9375</v>
      </c>
      <c r="K5" s="14">
        <f>J5*G5</f>
        <v>9.375E-2</v>
      </c>
      <c r="L5" s="12"/>
    </row>
    <row r="6" spans="2:12" ht="21" thickBot="1" x14ac:dyDescent="0.25">
      <c r="B6" s="4">
        <v>3</v>
      </c>
      <c r="C6" s="5" t="s">
        <v>15</v>
      </c>
      <c r="D6" s="5" t="s">
        <v>8</v>
      </c>
      <c r="E6" s="6" t="s">
        <v>7</v>
      </c>
      <c r="F6" s="6">
        <v>40</v>
      </c>
      <c r="G6" s="7">
        <v>0.1</v>
      </c>
      <c r="H6" s="8">
        <v>44926</v>
      </c>
      <c r="I6" s="11">
        <v>50</v>
      </c>
      <c r="J6" s="17">
        <f>I6/F6</f>
        <v>1.25</v>
      </c>
      <c r="K6" s="14">
        <f>J6*G6</f>
        <v>0.125</v>
      </c>
      <c r="L6" s="12"/>
    </row>
    <row r="7" spans="2:12" ht="21" thickBot="1" x14ac:dyDescent="0.25">
      <c r="B7" s="4">
        <v>4</v>
      </c>
      <c r="C7" s="5" t="s">
        <v>16</v>
      </c>
      <c r="D7" s="5" t="s">
        <v>17</v>
      </c>
      <c r="E7" s="6" t="s">
        <v>7</v>
      </c>
      <c r="F7" s="6">
        <v>4</v>
      </c>
      <c r="G7" s="7">
        <v>0.05</v>
      </c>
      <c r="H7" s="8">
        <v>44926</v>
      </c>
      <c r="I7" s="11">
        <v>1</v>
      </c>
      <c r="J7" s="17">
        <f>I7/F7</f>
        <v>0.25</v>
      </c>
      <c r="K7" s="14">
        <f>J7*G7</f>
        <v>1.2500000000000001E-2</v>
      </c>
      <c r="L7" s="12"/>
    </row>
    <row r="8" spans="2:12" ht="21" thickBot="1" x14ac:dyDescent="0.25">
      <c r="B8" s="4">
        <v>5</v>
      </c>
      <c r="C8" s="5" t="s">
        <v>16</v>
      </c>
      <c r="D8" s="5" t="s">
        <v>18</v>
      </c>
      <c r="E8" s="6" t="s">
        <v>7</v>
      </c>
      <c r="F8" s="6">
        <v>4</v>
      </c>
      <c r="G8" s="7">
        <v>0.1</v>
      </c>
      <c r="H8" s="8">
        <v>44926</v>
      </c>
      <c r="I8" s="11">
        <v>0</v>
      </c>
      <c r="J8" s="17">
        <v>0</v>
      </c>
      <c r="K8" s="6">
        <v>0</v>
      </c>
      <c r="L8" s="12" t="s">
        <v>35</v>
      </c>
    </row>
    <row r="9" spans="2:12" ht="21" thickBot="1" x14ac:dyDescent="0.25">
      <c r="B9" s="4">
        <v>6</v>
      </c>
      <c r="C9" s="5" t="s">
        <v>19</v>
      </c>
      <c r="D9" s="5" t="s">
        <v>20</v>
      </c>
      <c r="E9" s="6" t="s">
        <v>9</v>
      </c>
      <c r="F9" s="6">
        <v>100</v>
      </c>
      <c r="G9" s="7">
        <v>0.05</v>
      </c>
      <c r="H9" s="8">
        <v>44849</v>
      </c>
      <c r="I9" s="11">
        <v>100</v>
      </c>
      <c r="J9" s="17">
        <f t="shared" ref="J9:J14" si="0">I9/F9</f>
        <v>1</v>
      </c>
      <c r="K9" s="14">
        <f t="shared" ref="K9:K14" si="1">J9*G9</f>
        <v>0.05</v>
      </c>
      <c r="L9" s="12"/>
    </row>
    <row r="10" spans="2:12" ht="21" thickBot="1" x14ac:dyDescent="0.25">
      <c r="B10" s="4">
        <v>7</v>
      </c>
      <c r="C10" s="5" t="s">
        <v>21</v>
      </c>
      <c r="D10" s="5" t="s">
        <v>22</v>
      </c>
      <c r="E10" s="6" t="s">
        <v>9</v>
      </c>
      <c r="F10" s="6">
        <v>90</v>
      </c>
      <c r="G10" s="7">
        <v>0.05</v>
      </c>
      <c r="H10" s="8">
        <v>44849</v>
      </c>
      <c r="I10" s="11">
        <v>88</v>
      </c>
      <c r="J10" s="17">
        <f t="shared" si="0"/>
        <v>0.97777777777777775</v>
      </c>
      <c r="K10" s="14">
        <f t="shared" si="1"/>
        <v>4.8888888888888891E-2</v>
      </c>
      <c r="L10" s="12"/>
    </row>
    <row r="11" spans="2:12" ht="41" thickBot="1" x14ac:dyDescent="0.25">
      <c r="B11" s="4">
        <v>8</v>
      </c>
      <c r="C11" s="5" t="s">
        <v>23</v>
      </c>
      <c r="D11" s="5" t="s">
        <v>24</v>
      </c>
      <c r="E11" s="6" t="s">
        <v>7</v>
      </c>
      <c r="F11" s="6">
        <v>3</v>
      </c>
      <c r="G11" s="7">
        <v>0.1</v>
      </c>
      <c r="H11" s="8">
        <v>44926</v>
      </c>
      <c r="I11" s="26">
        <v>2</v>
      </c>
      <c r="J11" s="27">
        <f t="shared" si="0"/>
        <v>0.66666666666666663</v>
      </c>
      <c r="K11" s="31">
        <f t="shared" si="1"/>
        <v>6.6666666666666666E-2</v>
      </c>
      <c r="L11" s="24" t="s">
        <v>37</v>
      </c>
    </row>
    <row r="12" spans="2:12" ht="41" thickBot="1" x14ac:dyDescent="0.25">
      <c r="B12" s="4">
        <v>9</v>
      </c>
      <c r="C12" s="5" t="s">
        <v>25</v>
      </c>
      <c r="D12" s="5" t="s">
        <v>26</v>
      </c>
      <c r="E12" s="6" t="s">
        <v>7</v>
      </c>
      <c r="F12" s="6">
        <v>1</v>
      </c>
      <c r="G12" s="7">
        <v>0.1</v>
      </c>
      <c r="H12" s="8">
        <v>44926</v>
      </c>
      <c r="I12" s="9">
        <v>1</v>
      </c>
      <c r="J12" s="28">
        <f t="shared" si="0"/>
        <v>1</v>
      </c>
      <c r="K12" s="32">
        <f t="shared" si="1"/>
        <v>0.1</v>
      </c>
      <c r="L12" s="30" t="s">
        <v>42</v>
      </c>
    </row>
    <row r="13" spans="2:12" ht="17" customHeight="1" thickBot="1" x14ac:dyDescent="0.25">
      <c r="B13" s="19">
        <v>10</v>
      </c>
      <c r="C13" s="20" t="s">
        <v>27</v>
      </c>
      <c r="D13" s="20" t="s">
        <v>28</v>
      </c>
      <c r="E13" s="21" t="s">
        <v>9</v>
      </c>
      <c r="F13" s="21">
        <v>100</v>
      </c>
      <c r="G13" s="22">
        <v>0.05</v>
      </c>
      <c r="H13" s="23">
        <v>44834</v>
      </c>
      <c r="I13" s="25">
        <v>1</v>
      </c>
      <c r="J13" s="29">
        <f t="shared" si="0"/>
        <v>0.01</v>
      </c>
      <c r="K13" s="33">
        <f t="shared" si="1"/>
        <v>5.0000000000000001E-4</v>
      </c>
      <c r="L13" s="34"/>
    </row>
    <row r="14" spans="2:12" ht="17" customHeight="1" thickBot="1" x14ac:dyDescent="0.25">
      <c r="B14" s="36">
        <v>11</v>
      </c>
      <c r="C14" s="20" t="s">
        <v>29</v>
      </c>
      <c r="D14" s="20" t="s">
        <v>30</v>
      </c>
      <c r="E14" s="21" t="s">
        <v>9</v>
      </c>
      <c r="F14" s="21">
        <v>22</v>
      </c>
      <c r="G14" s="22">
        <v>0.2</v>
      </c>
      <c r="H14" s="23">
        <v>44926</v>
      </c>
      <c r="I14" s="18">
        <v>22</v>
      </c>
      <c r="J14" s="42">
        <f t="shared" si="0"/>
        <v>1</v>
      </c>
      <c r="K14" s="47">
        <f t="shared" si="1"/>
        <v>0.2</v>
      </c>
      <c r="L14" s="46"/>
    </row>
    <row r="15" spans="2:12" ht="21" thickBot="1" x14ac:dyDescent="0.25">
      <c r="C15" s="43" t="s">
        <v>38</v>
      </c>
      <c r="D15" s="44"/>
      <c r="E15" s="44"/>
      <c r="F15" s="44"/>
      <c r="G15" s="44"/>
      <c r="H15" s="44"/>
      <c r="I15" s="44"/>
      <c r="J15" s="45"/>
      <c r="K15" s="48">
        <f>SUM(K4:K14)</f>
        <v>0.74730555555555545</v>
      </c>
      <c r="L15" s="45"/>
    </row>
    <row r="23" spans="10:12" x14ac:dyDescent="0.2">
      <c r="J23" s="50"/>
      <c r="K23" s="41"/>
      <c r="L23" s="41"/>
    </row>
    <row r="24" spans="10:12" x14ac:dyDescent="0.2">
      <c r="K24" s="41"/>
    </row>
  </sheetData>
  <mergeCells count="10">
    <mergeCell ref="L2:L3"/>
    <mergeCell ref="B2:B3"/>
    <mergeCell ref="C2:C3"/>
    <mergeCell ref="D2:D3"/>
    <mergeCell ref="F2:F3"/>
    <mergeCell ref="G2:G3"/>
    <mergeCell ref="H2:H3"/>
    <mergeCell ref="I2:I3"/>
    <mergeCell ref="J2:J3"/>
    <mergeCell ref="K2: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F261A-3CFC-AA43-8D70-A35C5FE25868}">
  <dimension ref="A3:I17"/>
  <sheetViews>
    <sheetView topLeftCell="B10" workbookViewId="0">
      <selection activeCell="F17" sqref="F17"/>
    </sheetView>
  </sheetViews>
  <sheetFormatPr baseColWidth="10" defaultRowHeight="16" x14ac:dyDescent="0.2"/>
  <cols>
    <col min="1" max="1" width="3.5" bestFit="1" customWidth="1"/>
    <col min="2" max="2" width="53.5" customWidth="1"/>
    <col min="3" max="3" width="67.6640625" customWidth="1"/>
    <col min="4" max="4" width="14" customWidth="1"/>
    <col min="5" max="5" width="9.5" customWidth="1"/>
    <col min="6" max="6" width="9.33203125" customWidth="1"/>
    <col min="7" max="7" width="15.1640625" customWidth="1"/>
    <col min="8" max="8" width="48.1640625" customWidth="1"/>
  </cols>
  <sheetData>
    <row r="3" spans="1:9" ht="17" thickBot="1" x14ac:dyDescent="0.25"/>
    <row r="4" spans="1:9" ht="20" x14ac:dyDescent="0.2">
      <c r="A4" s="56" t="s">
        <v>10</v>
      </c>
      <c r="B4" s="54" t="s">
        <v>31</v>
      </c>
      <c r="C4" s="54" t="s">
        <v>32</v>
      </c>
      <c r="D4" s="2" t="s">
        <v>0</v>
      </c>
      <c r="E4" s="54" t="s">
        <v>2</v>
      </c>
      <c r="F4" s="54" t="s">
        <v>3</v>
      </c>
      <c r="G4" s="54" t="s">
        <v>1</v>
      </c>
      <c r="H4" s="54" t="s">
        <v>6</v>
      </c>
    </row>
    <row r="5" spans="1:9" ht="33" customHeight="1" thickBot="1" x14ac:dyDescent="0.25">
      <c r="A5" s="57"/>
      <c r="B5" s="58"/>
      <c r="C5" s="58"/>
      <c r="D5" s="3" t="s">
        <v>11</v>
      </c>
      <c r="E5" s="58"/>
      <c r="F5" s="58"/>
      <c r="G5" s="58"/>
      <c r="H5" s="55"/>
    </row>
    <row r="6" spans="1:9" ht="41" thickBot="1" x14ac:dyDescent="0.25">
      <c r="A6" s="4">
        <v>1</v>
      </c>
      <c r="B6" s="5" t="s">
        <v>12</v>
      </c>
      <c r="C6" s="5" t="s">
        <v>36</v>
      </c>
      <c r="D6" s="6" t="s">
        <v>7</v>
      </c>
      <c r="E6" s="6">
        <v>12</v>
      </c>
      <c r="F6" s="7">
        <v>0.1</v>
      </c>
      <c r="G6" s="8">
        <v>44931</v>
      </c>
      <c r="H6" s="35" t="s">
        <v>39</v>
      </c>
    </row>
    <row r="7" spans="1:9" ht="41" thickBot="1" x14ac:dyDescent="0.25">
      <c r="A7" s="4">
        <v>2</v>
      </c>
      <c r="B7" s="5" t="s">
        <v>13</v>
      </c>
      <c r="C7" s="5" t="s">
        <v>14</v>
      </c>
      <c r="D7" s="6" t="s">
        <v>9</v>
      </c>
      <c r="E7" s="6">
        <v>80</v>
      </c>
      <c r="F7" s="7">
        <v>0.1</v>
      </c>
      <c r="G7" s="8">
        <v>44926</v>
      </c>
      <c r="H7" s="49" t="s">
        <v>43</v>
      </c>
    </row>
    <row r="8" spans="1:9" ht="41" thickBot="1" x14ac:dyDescent="0.25">
      <c r="A8" s="4">
        <v>3</v>
      </c>
      <c r="B8" s="5" t="s">
        <v>15</v>
      </c>
      <c r="C8" s="5" t="s">
        <v>8</v>
      </c>
      <c r="D8" s="6" t="s">
        <v>7</v>
      </c>
      <c r="E8" s="6">
        <v>45</v>
      </c>
      <c r="F8" s="7">
        <v>0.1</v>
      </c>
      <c r="G8" s="8">
        <v>44926</v>
      </c>
      <c r="H8" s="49" t="s">
        <v>44</v>
      </c>
    </row>
    <row r="9" spans="1:9" ht="41" thickBot="1" x14ac:dyDescent="0.25">
      <c r="A9" s="4">
        <v>4</v>
      </c>
      <c r="B9" s="5" t="s">
        <v>16</v>
      </c>
      <c r="C9" s="5" t="s">
        <v>17</v>
      </c>
      <c r="D9" s="6" t="s">
        <v>7</v>
      </c>
      <c r="E9" s="6">
        <v>4</v>
      </c>
      <c r="F9" s="7">
        <v>0.1</v>
      </c>
      <c r="G9" s="8">
        <v>44926</v>
      </c>
      <c r="H9" s="49" t="s">
        <v>45</v>
      </c>
    </row>
    <row r="10" spans="1:9" ht="101" thickBot="1" x14ac:dyDescent="0.25">
      <c r="A10" s="4">
        <v>5</v>
      </c>
      <c r="B10" s="5" t="s">
        <v>16</v>
      </c>
      <c r="C10" s="5" t="s">
        <v>18</v>
      </c>
      <c r="D10" s="6" t="s">
        <v>7</v>
      </c>
      <c r="E10" s="6">
        <v>4</v>
      </c>
      <c r="F10" s="7">
        <v>0.1</v>
      </c>
      <c r="G10" s="8">
        <v>44926</v>
      </c>
      <c r="H10" s="49" t="s">
        <v>46</v>
      </c>
    </row>
    <row r="11" spans="1:9" ht="101" thickBot="1" x14ac:dyDescent="0.25">
      <c r="A11" s="4">
        <v>6</v>
      </c>
      <c r="B11" s="5" t="s">
        <v>40</v>
      </c>
      <c r="C11" s="5" t="s">
        <v>41</v>
      </c>
      <c r="D11" s="6" t="s">
        <v>7</v>
      </c>
      <c r="E11" s="6">
        <v>1</v>
      </c>
      <c r="F11" s="7">
        <v>0.05</v>
      </c>
      <c r="G11" s="8">
        <v>44926</v>
      </c>
      <c r="H11" s="26" t="s">
        <v>48</v>
      </c>
    </row>
    <row r="12" spans="1:9" ht="21" thickBot="1" x14ac:dyDescent="0.25">
      <c r="A12" s="4">
        <v>6</v>
      </c>
      <c r="B12" s="5" t="s">
        <v>19</v>
      </c>
      <c r="C12" s="5" t="s">
        <v>20</v>
      </c>
      <c r="D12" s="6" t="s">
        <v>9</v>
      </c>
      <c r="E12" s="6">
        <v>100</v>
      </c>
      <c r="F12" s="7">
        <v>0.05</v>
      </c>
      <c r="G12" s="8">
        <v>44895</v>
      </c>
      <c r="H12" s="51"/>
      <c r="I12" s="53"/>
    </row>
    <row r="13" spans="1:9" ht="21" thickBot="1" x14ac:dyDescent="0.25">
      <c r="A13" s="4">
        <v>7</v>
      </c>
      <c r="B13" s="5" t="s">
        <v>21</v>
      </c>
      <c r="C13" s="5" t="s">
        <v>22</v>
      </c>
      <c r="D13" s="6" t="s">
        <v>9</v>
      </c>
      <c r="E13" s="6">
        <v>90</v>
      </c>
      <c r="F13" s="7">
        <v>0.05</v>
      </c>
      <c r="G13" s="8">
        <v>44895</v>
      </c>
      <c r="H13" s="49"/>
      <c r="I13" s="52"/>
    </row>
    <row r="14" spans="1:9" ht="41" thickBot="1" x14ac:dyDescent="0.25">
      <c r="A14" s="4">
        <v>7</v>
      </c>
      <c r="B14" s="5" t="s">
        <v>23</v>
      </c>
      <c r="C14" s="5" t="s">
        <v>24</v>
      </c>
      <c r="D14" s="6" t="s">
        <v>7</v>
      </c>
      <c r="E14" s="6">
        <v>3</v>
      </c>
      <c r="F14" s="7">
        <v>0.1</v>
      </c>
      <c r="G14" s="8">
        <v>44926</v>
      </c>
      <c r="H14" s="26" t="s">
        <v>47</v>
      </c>
    </row>
    <row r="15" spans="1:9" ht="41" thickBot="1" x14ac:dyDescent="0.25">
      <c r="A15" s="4">
        <v>8</v>
      </c>
      <c r="B15" s="5" t="s">
        <v>25</v>
      </c>
      <c r="C15" s="5" t="s">
        <v>26</v>
      </c>
      <c r="D15" s="6" t="s">
        <v>7</v>
      </c>
      <c r="E15" s="6">
        <v>1</v>
      </c>
      <c r="F15" s="7">
        <v>0.05</v>
      </c>
      <c r="G15" s="8">
        <v>44926</v>
      </c>
      <c r="H15" s="9" t="s">
        <v>49</v>
      </c>
    </row>
    <row r="16" spans="1:9" ht="41" thickBot="1" x14ac:dyDescent="0.25">
      <c r="A16" s="4">
        <v>9</v>
      </c>
      <c r="B16" s="37" t="s">
        <v>29</v>
      </c>
      <c r="C16" s="37" t="s">
        <v>30</v>
      </c>
      <c r="D16" s="38" t="s">
        <v>9</v>
      </c>
      <c r="E16" s="38">
        <v>32</v>
      </c>
      <c r="F16" s="39">
        <v>0.2</v>
      </c>
      <c r="G16" s="40">
        <v>44926</v>
      </c>
      <c r="H16" s="9" t="s">
        <v>50</v>
      </c>
    </row>
    <row r="17" spans="6:6" x14ac:dyDescent="0.2">
      <c r="F17" s="1"/>
    </row>
  </sheetData>
  <mergeCells count="7">
    <mergeCell ref="H4:H5"/>
    <mergeCell ref="A4:A5"/>
    <mergeCell ref="B4:B5"/>
    <mergeCell ref="C4:C5"/>
    <mergeCell ref="E4:E5"/>
    <mergeCell ref="F4:F5"/>
    <mergeCell ref="G4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2022</vt:lpstr>
      <vt:lpstr>2023</vt:lpstr>
      <vt:lpstr>'2022'!_Hlk102125726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Dureid El Moghraby</dc:creator>
  <cp:lastModifiedBy>Dureid El Moghraby</cp:lastModifiedBy>
  <dcterms:created xsi:type="dcterms:W3CDTF">2023-01-23T12:11:59Z</dcterms:created>
  <dcterms:modified xsi:type="dcterms:W3CDTF">2023-02-03T06:01:42Z</dcterms:modified>
</cp:coreProperties>
</file>