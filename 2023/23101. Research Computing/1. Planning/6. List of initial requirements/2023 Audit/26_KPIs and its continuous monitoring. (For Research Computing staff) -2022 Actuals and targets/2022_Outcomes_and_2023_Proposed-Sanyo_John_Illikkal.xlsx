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6"/>
  <workbookPr/>
  <mc:AlternateContent xmlns:mc="http://schemas.openxmlformats.org/markup-compatibility/2006">
    <mc:Choice Requires="x15">
      <x15ac:absPath xmlns:x15ac="http://schemas.microsoft.com/office/spreadsheetml/2010/11/ac" url="/Users/delmoghraby/kudriveapp/ResearchDocs/Department_Plans/2023/"/>
    </mc:Choice>
  </mc:AlternateContent>
  <xr:revisionPtr revIDLastSave="0" documentId="13_ncr:1_{D0EC87E9-1120-2346-BB97-E7C0D77013F8}" xr6:coauthVersionLast="47" xr6:coauthVersionMax="47" xr10:uidLastSave="{00000000-0000-0000-0000-000000000000}"/>
  <bookViews>
    <workbookView xWindow="0" yWindow="500" windowWidth="38400" windowHeight="23500" activeTab="1" xr2:uid="{00000000-000D-0000-FFFF-FFFF00000000}"/>
  </bookViews>
  <sheets>
    <sheet name="2022_Outcomes" sheetId="4" r:id="rId1"/>
    <sheet name="2023_Proposed"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4" l="1"/>
  <c r="J13" i="4" s="1"/>
  <c r="I12" i="4"/>
  <c r="J12" i="4" s="1"/>
  <c r="I11" i="4"/>
  <c r="J11" i="4" s="1"/>
  <c r="I10" i="4"/>
  <c r="J10" i="4" s="1"/>
  <c r="I9" i="4"/>
  <c r="J9" i="4" s="1"/>
</calcChain>
</file>

<file path=xl/sharedStrings.xml><?xml version="1.0" encoding="utf-8"?>
<sst xmlns="http://schemas.openxmlformats.org/spreadsheetml/2006/main" count="91" uniqueCount="47">
  <si>
    <t>Khalifa University of Science and Technology</t>
  </si>
  <si>
    <t>2022 BALANCED SCORECARD and PERFORMANCE REPORT</t>
  </si>
  <si>
    <t>Operational Project</t>
  </si>
  <si>
    <t>Output</t>
  </si>
  <si>
    <t>Objective</t>
  </si>
  <si>
    <t>KPI</t>
  </si>
  <si>
    <t>Evaluation Date</t>
  </si>
  <si>
    <t>Target</t>
  </si>
  <si>
    <t>Weight</t>
  </si>
  <si>
    <t>KPI Score/Outcome</t>
  </si>
  <si>
    <t>Completion</t>
  </si>
  <si>
    <t>Score</t>
  </si>
  <si>
    <t>Comment</t>
  </si>
  <si>
    <r>
      <rPr>
        <sz val="11"/>
        <color theme="1"/>
        <rFont val="Calibri"/>
        <family val="2"/>
        <scheme val="minor"/>
      </rPr>
      <t>Utilization of HPC Platform</t>
    </r>
    <r>
      <rPr>
        <sz val="11"/>
        <color theme="1"/>
        <rFont val="Calibri"/>
        <family val="2"/>
        <scheme val="minor"/>
      </rPr>
      <t xml:space="preserve"> </t>
    </r>
    <r>
      <rPr>
        <sz val="11"/>
        <color theme="1"/>
        <rFont val="Calibri"/>
        <family val="2"/>
        <scheme val="minor"/>
      </rPr>
      <t>&amp; Cloud resources</t>
    </r>
  </si>
  <si>
    <t>Optimal use of resources</t>
  </si>
  <si>
    <r>
      <rPr>
        <sz val="11"/>
        <color theme="1"/>
        <rFont val="Calibri"/>
        <family val="2"/>
        <scheme val="minor"/>
      </rPr>
      <t xml:space="preserve">Target is </t>
    </r>
    <r>
      <rPr>
        <b/>
        <sz val="11"/>
        <color theme="1"/>
        <rFont val="Calibri"/>
        <family val="2"/>
        <scheme val="minor"/>
      </rPr>
      <t>80%</t>
    </r>
    <r>
      <rPr>
        <sz val="11"/>
        <color theme="1"/>
        <rFont val="Calibri"/>
        <family val="2"/>
        <scheme val="minor"/>
      </rPr>
      <t xml:space="preserve"> </t>
    </r>
    <r>
      <rPr>
        <sz val="11"/>
        <color theme="1"/>
        <rFont val="Calibri"/>
        <family val="2"/>
        <scheme val="minor"/>
      </rPr>
      <t>utilization</t>
    </r>
  </si>
  <si>
    <t>% utilization  rate of RC resources  
Utilization of HPC platform</t>
  </si>
  <si>
    <t>Q4</t>
  </si>
  <si>
    <t xml:space="preserve">
Installing applications for users in HPC / Research VMs with minimal wait time for end users.
Providing guidance and fine-tuning on users code/applications/usage for the optimal utilization of HPC/RC resources.
Build singularity container image with CentOS 7 and Ubuntu in HPC to support user application (PLATON &amp; GMTSAR) since current HPC OS was not supporting the application.
</t>
  </si>
  <si>
    <r>
      <rPr>
        <sz val="11"/>
        <color theme="1"/>
        <rFont val="Calibri"/>
        <family val="2"/>
        <scheme val="minor"/>
      </rPr>
      <t xml:space="preserve">Maximum availability of HPC and Cloud resources and </t>
    </r>
    <r>
      <rPr>
        <sz val="11"/>
        <color theme="1"/>
        <rFont val="Calibri"/>
        <family val="2"/>
        <scheme val="minor"/>
      </rPr>
      <t xml:space="preserve"> </t>
    </r>
    <r>
      <rPr>
        <sz val="11"/>
        <color theme="1"/>
        <rFont val="Calibri"/>
        <family val="2"/>
        <scheme val="minor"/>
      </rPr>
      <t>M</t>
    </r>
    <r>
      <rPr>
        <sz val="11"/>
        <color theme="1"/>
        <rFont val="Calibri"/>
        <family val="2"/>
        <scheme val="minor"/>
      </rPr>
      <t>inimal downtime</t>
    </r>
  </si>
  <si>
    <r>
      <rPr>
        <sz val="11"/>
        <color theme="1"/>
        <rFont val="Calibri"/>
        <family val="2"/>
        <scheme val="minor"/>
      </rPr>
      <t xml:space="preserve">Target is </t>
    </r>
    <r>
      <rPr>
        <b/>
        <sz val="11"/>
        <color theme="1"/>
        <rFont val="Calibri"/>
        <family val="2"/>
        <scheme val="minor"/>
      </rPr>
      <t>95%</t>
    </r>
    <r>
      <rPr>
        <sz val="11"/>
        <color theme="1"/>
        <rFont val="Calibri"/>
        <family val="2"/>
        <scheme val="minor"/>
      </rPr>
      <t xml:space="preserve"> </t>
    </r>
    <r>
      <rPr>
        <sz val="11"/>
        <color theme="1"/>
        <rFont val="Calibri"/>
        <family val="2"/>
        <scheme val="minor"/>
      </rPr>
      <t>Uptime</t>
    </r>
  </si>
  <si>
    <t xml:space="preserve">% Availability rate of Cloud resources 
Availability of HPC platform and Cloud resources </t>
  </si>
  <si>
    <t xml:space="preserve">     Time Up % Average: 99.98% </t>
  </si>
  <si>
    <t>Initiate services which help Productivity of HPC &amp; Cloud resources</t>
  </si>
  <si>
    <t>Minimum
2 No. of self initiate services</t>
  </si>
  <si>
    <t>Introducing new Services to HPC and Research for the productivity</t>
  </si>
  <si>
    <t>1. Terraform Demo to the Team 
2. Desktop environment in containers (KASM Desktop) - (Project failed because of  User Environment )
3.  Added HPC compute node monitoring  status check and disk usage with  script and configured email alert to KU HPC Admins.</t>
  </si>
  <si>
    <r>
      <rPr>
        <sz val="11"/>
        <color theme="1"/>
        <rFont val="Calibri"/>
        <family val="2"/>
        <scheme val="minor"/>
      </rPr>
      <t xml:space="preserve">Initiate / involve projects for the development and operational of HPC and </t>
    </r>
    <r>
      <rPr>
        <sz val="11"/>
        <color theme="1"/>
        <rFont val="Calibri"/>
        <family val="2"/>
        <scheme val="minor"/>
      </rPr>
      <t xml:space="preserve"> </t>
    </r>
    <r>
      <rPr>
        <sz val="11"/>
        <color theme="1"/>
        <rFont val="Calibri"/>
        <family val="2"/>
        <scheme val="minor"/>
      </rPr>
      <t>Research</t>
    </r>
  </si>
  <si>
    <t>No. of Project</t>
  </si>
  <si>
    <t>Minimum 2 No. of Project competed</t>
  </si>
  <si>
    <t xml:space="preserve">1. KU IdM Host / User policy for Research VMs.
2. KUADRIC Research Server decommission.   
3. HPC Downtime for Switch migration and Head node and Luster update planning and coordination.
4. HPC expansion Project coordination with vendor for new HPC nodes.
5. HPC POC SOW &amp; POC storage performance Testing with IO500.
</t>
  </si>
  <si>
    <t>Training plan for all department staff</t>
  </si>
  <si>
    <t>No. of training course attend</t>
  </si>
  <si>
    <r>
      <rPr>
        <sz val="11"/>
        <color theme="1"/>
        <rFont val="Calibri"/>
        <family val="2"/>
        <scheme val="minor"/>
      </rPr>
      <t>Minimum</t>
    </r>
    <r>
      <rPr>
        <sz val="11"/>
        <color theme="1"/>
        <rFont val="Calibri"/>
        <family val="2"/>
        <scheme val="minor"/>
      </rPr>
      <t xml:space="preserve"> </t>
    </r>
    <r>
      <rPr>
        <sz val="11"/>
        <color theme="1"/>
        <rFont val="Calibri"/>
        <family val="2"/>
        <scheme val="minor"/>
      </rPr>
      <t>1</t>
    </r>
    <r>
      <rPr>
        <sz val="11"/>
        <color theme="1"/>
        <rFont val="Calibri"/>
        <family val="2"/>
        <scheme val="minor"/>
      </rPr>
      <t xml:space="preserve"> </t>
    </r>
    <r>
      <rPr>
        <sz val="11"/>
        <color theme="1"/>
        <rFont val="Calibri"/>
        <family val="2"/>
        <scheme val="minor"/>
      </rPr>
      <t>No. of training course</t>
    </r>
    <r>
      <rPr>
        <sz val="11"/>
        <color theme="1"/>
        <rFont val="Calibri"/>
        <family val="2"/>
        <scheme val="minor"/>
      </rPr>
      <t xml:space="preserve"> </t>
    </r>
    <r>
      <rPr>
        <sz val="11"/>
        <color theme="1"/>
        <rFont val="Calibri"/>
        <family val="2"/>
        <scheme val="minor"/>
      </rPr>
      <t>attend</t>
    </r>
  </si>
  <si>
    <t>All staff should attend at least one training course a year</t>
  </si>
  <si>
    <t>1.Advanced python courseUsing Python to Interact with the Operating System. 
2.Attended Terraform for absolute beginners cource.</t>
  </si>
  <si>
    <t>2023 BALANCED SCORECARD and PERFORMANCE REPORT</t>
  </si>
  <si>
    <t xml:space="preserve">Comment </t>
  </si>
  <si>
    <t>Installing applications for users in HPC / Research VMs with minimal wait time for end users.
Providing guidance and fine-tuning on users code/applications for the optimal utilization of HPC/RC resources.</t>
  </si>
  <si>
    <t>Make sure there is no unplanned outage. Make minimum downtime for planned outage.
Make sure monitoring service in place to report the performance of servers and services.</t>
  </si>
  <si>
    <t xml:space="preserve">
 1. Feasibility study of Infrastructure as Code (IaC) in AWS.
2. HPC test environment in Research Test LAB.
3.Introduce container service for Research.</t>
  </si>
  <si>
    <t xml:space="preserve">Introduce new service for Research Computing Department </t>
  </si>
  <si>
    <t>Minimum
1 No. of self initiate services</t>
  </si>
  <si>
    <t>1.Introduce Hadoop as new service for Research Computing Department.</t>
  </si>
  <si>
    <t>Minimum 3 No. of Project competed</t>
  </si>
  <si>
    <t>1. Performance Monitoring Tool for Research VMs (Nagios /Prometheus/Cockpit ).
2. Integrate OpenVAS with IT patch management tool. 
3. Ansible server for Research VM for the config management.</t>
  </si>
  <si>
    <t>Introduce New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</si>
</sst>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_ "/>
  </numFmts>
  <fonts count="6" x14ac:knownFonts="1">
    <font>
      <sz val="11"/>
      <color theme="1"/>
      <name val="Calibri"/>
      <charset val="134"/>
      <scheme val="minor"/>
    </font>
    <font>
      <b/>
      <sz val="15"/>
      <color theme="1"/>
      <name val="Calibri"/>
      <family val="2"/>
      <scheme val="minor"/>
    </font>
    <font>
      <b/>
      <sz val="36"/>
      <color indexed="8"/>
      <name val="Arial"/>
      <family val="2"/>
    </font>
    <font>
      <b/>
      <sz val="11"/>
      <color rgb="FFFFFFFF"/>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39994506668294322"/>
        <bgColor indexed="64"/>
      </patternFill>
    </fill>
    <fill>
      <patternFill patternType="solid">
        <fgColor rgb="FF323E4F"/>
        <bgColor indexed="64"/>
      </patternFill>
    </fill>
    <fill>
      <patternFill patternType="solid">
        <fgColor rgb="FFFFFFFF"/>
        <bgColor indexed="64"/>
      </patternFill>
    </fill>
  </fills>
  <borders count="5">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0">
    <xf numFmtId="0" fontId="0" fillId="0" borderId="0" xfId="0">
      <alignment vertical="center"/>
    </xf>
    <xf numFmtId="0" fontId="0" fillId="0" borderId="0" xfId="0" applyAlignment="1"/>
    <xf numFmtId="0" fontId="0" fillId="0" borderId="0" xfId="0" applyAlignment="1">
      <alignment vertical="center" wrapText="1"/>
    </xf>
    <xf numFmtId="0" fontId="3" fillId="3"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3" fillId="3" borderId="2" xfId="0" applyFont="1" applyFill="1" applyBorder="1" applyAlignment="1">
      <alignment horizontal="center" vertical="center" wrapText="1"/>
    </xf>
    <xf numFmtId="0" fontId="1" fillId="0" borderId="0" xfId="0" applyFont="1">
      <alignment vertical="center"/>
    </xf>
    <xf numFmtId="0" fontId="2" fillId="0" borderId="0" xfId="0" applyFont="1" applyAlignment="1">
      <alignment vertical="center" wrapText="1"/>
    </xf>
    <xf numFmtId="0" fontId="0" fillId="0" borderId="1" xfId="0" applyBorder="1" applyAlignment="1">
      <alignment vertical="center" wrapText="1"/>
    </xf>
    <xf numFmtId="0" fontId="0" fillId="0" borderId="1" xfId="0" applyBorder="1">
      <alignment vertical="center"/>
    </xf>
    <xf numFmtId="0" fontId="0" fillId="0" borderId="0" xfId="0" applyAlignment="1">
      <alignment horizontal="center" vertical="center"/>
    </xf>
    <xf numFmtId="165" fontId="0" fillId="4" borderId="1" xfId="0" applyNumberFormat="1" applyFill="1" applyBorder="1" applyAlignment="1">
      <alignment horizontal="center" vertical="center" wrapText="1"/>
    </xf>
    <xf numFmtId="0" fontId="0" fillId="0" borderId="3" xfId="0" applyBorder="1" applyAlignment="1">
      <alignment horizontal="left" vertical="center" wrapText="1"/>
    </xf>
    <xf numFmtId="0" fontId="0" fillId="0" borderId="3" xfId="0" applyBorder="1">
      <alignment vertical="center"/>
    </xf>
    <xf numFmtId="0" fontId="0" fillId="0" borderId="4" xfId="0" applyBorder="1" applyAlignment="1">
      <alignment horizontal="left" vertical="top" wrapText="1"/>
    </xf>
    <xf numFmtId="0" fontId="0" fillId="0" borderId="4" xfId="0" applyBorder="1" applyAlignment="1">
      <alignment horizontal="left" vertical="center" wrapText="1"/>
    </xf>
    <xf numFmtId="0" fontId="0" fillId="0" borderId="3" xfId="0" applyBorder="1" applyAlignment="1">
      <alignment vertical="center" wrapText="1"/>
    </xf>
    <xf numFmtId="0" fontId="1" fillId="2" borderId="0" xfId="0" applyFont="1" applyFill="1" applyAlignment="1">
      <alignment horizontal="center" vertical="center"/>
    </xf>
    <xf numFmtId="0" fontId="2" fillId="0" borderId="0" xfId="0" applyFont="1" applyAlignment="1">
      <alignment horizontal="center" vertical="center" wrapText="1"/>
    </xf>
    <xf numFmtId="0" fontId="4"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123825</xdr:rowOff>
    </xdr:from>
    <xdr:to>
      <xdr:col>0</xdr:col>
      <xdr:colOff>1676400</xdr:colOff>
      <xdr:row>3</xdr:row>
      <xdr:rowOff>133350</xdr:rowOff>
    </xdr:to>
    <xdr:pic>
      <xdr:nvPicPr>
        <xdr:cNvPr id="2" name="Picture 1" descr="cid:image001.png@01D3DFD3.27E5A010">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123825"/>
          <a:ext cx="1666875" cy="5810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123825</xdr:rowOff>
    </xdr:from>
    <xdr:to>
      <xdr:col>0</xdr:col>
      <xdr:colOff>1676400</xdr:colOff>
      <xdr:row>3</xdr:row>
      <xdr:rowOff>133350</xdr:rowOff>
    </xdr:to>
    <xdr:pic>
      <xdr:nvPicPr>
        <xdr:cNvPr id="2" name="Picture 1" descr="cid:image001.png@01D3DFD3.27E5A010">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123825"/>
          <a:ext cx="1666875" cy="581025"/>
        </a:xfrm>
        <a:prstGeom prst="rect">
          <a:avLst/>
        </a:prstGeom>
        <a:noFill/>
        <a:ln>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
  <sheetViews>
    <sheetView topLeftCell="B8" workbookViewId="0">
      <selection activeCell="C12" sqref="C12"/>
    </sheetView>
  </sheetViews>
  <sheetFormatPr baseColWidth="10" defaultColWidth="8.83203125" defaultRowHeight="15" x14ac:dyDescent="0.2"/>
  <cols>
    <col min="1" max="1" width="37.6640625" customWidth="1"/>
    <col min="2" max="2" width="26.6640625" customWidth="1"/>
    <col min="3" max="3" width="24" customWidth="1"/>
    <col min="4" max="4" width="25.1640625" customWidth="1"/>
    <col min="5" max="6" width="10.6640625" customWidth="1"/>
    <col min="8" max="8" width="15.6640625" customWidth="1"/>
    <col min="9" max="9" width="11" customWidth="1"/>
    <col min="10" max="10" width="12.5"/>
    <col min="11" max="11" width="35.33203125" customWidth="1"/>
  </cols>
  <sheetData>
    <row r="1" spans="1:25" s="1" customFormat="1" x14ac:dyDescent="0.2">
      <c r="A1"/>
      <c r="B1"/>
      <c r="C1"/>
      <c r="D1" s="2"/>
      <c r="E1"/>
      <c r="F1"/>
      <c r="G1"/>
      <c r="H1"/>
      <c r="I1"/>
      <c r="J1"/>
      <c r="K1"/>
      <c r="L1"/>
      <c r="M1"/>
      <c r="N1" s="10"/>
      <c r="O1" s="10"/>
      <c r="P1" s="10"/>
      <c r="Q1" s="10"/>
      <c r="R1" s="10"/>
      <c r="S1" s="10"/>
      <c r="T1" s="10"/>
      <c r="U1" s="10"/>
      <c r="V1" s="10"/>
      <c r="W1" s="10"/>
      <c r="X1" s="10"/>
      <c r="Y1" s="10"/>
    </row>
    <row r="2" spans="1:25" s="1" customFormat="1" x14ac:dyDescent="0.2">
      <c r="A2"/>
      <c r="B2"/>
      <c r="C2"/>
      <c r="D2" s="2"/>
      <c r="E2"/>
      <c r="F2"/>
      <c r="G2"/>
      <c r="H2"/>
      <c r="I2"/>
      <c r="J2"/>
      <c r="K2"/>
      <c r="L2"/>
      <c r="M2"/>
      <c r="N2" s="10"/>
      <c r="O2" s="10"/>
      <c r="P2" s="10"/>
      <c r="Q2" s="10"/>
      <c r="R2" s="10"/>
      <c r="S2" s="10"/>
      <c r="T2" s="10"/>
      <c r="U2" s="10"/>
      <c r="V2" s="10"/>
      <c r="W2" s="10"/>
      <c r="X2" s="10"/>
      <c r="Y2" s="10"/>
    </row>
    <row r="3" spans="1:25" s="1" customFormat="1" x14ac:dyDescent="0.2">
      <c r="A3"/>
      <c r="B3"/>
      <c r="C3"/>
      <c r="D3" s="2"/>
      <c r="E3"/>
      <c r="F3"/>
      <c r="G3"/>
      <c r="H3"/>
      <c r="I3"/>
      <c r="J3"/>
      <c r="K3"/>
      <c r="L3"/>
      <c r="M3"/>
      <c r="N3" s="10"/>
      <c r="O3" s="10"/>
      <c r="P3" s="10"/>
      <c r="Q3" s="10"/>
      <c r="R3" s="10"/>
      <c r="S3" s="10"/>
      <c r="T3" s="10"/>
      <c r="U3" s="10"/>
      <c r="V3" s="10"/>
      <c r="W3" s="10"/>
      <c r="X3" s="10"/>
      <c r="Y3" s="10"/>
    </row>
    <row r="4" spans="1:25" s="1" customFormat="1" x14ac:dyDescent="0.2">
      <c r="A4"/>
      <c r="B4"/>
      <c r="C4"/>
      <c r="D4" s="2"/>
      <c r="E4"/>
      <c r="F4"/>
      <c r="G4"/>
      <c r="H4"/>
      <c r="I4"/>
      <c r="J4"/>
      <c r="K4"/>
      <c r="L4"/>
      <c r="M4"/>
      <c r="N4" s="10"/>
      <c r="O4" s="10"/>
      <c r="P4" s="10"/>
      <c r="Q4" s="10"/>
      <c r="R4" s="10"/>
      <c r="S4" s="10"/>
      <c r="T4" s="10"/>
      <c r="U4" s="10"/>
      <c r="V4" s="10"/>
      <c r="W4" s="10"/>
      <c r="X4" s="10"/>
      <c r="Y4" s="10"/>
    </row>
    <row r="5" spans="1:25" s="1" customFormat="1" ht="20" x14ac:dyDescent="0.2">
      <c r="A5" s="17" t="s">
        <v>0</v>
      </c>
      <c r="B5" s="17"/>
      <c r="C5" s="17"/>
      <c r="D5" s="17"/>
      <c r="E5" s="17"/>
      <c r="F5" s="17"/>
      <c r="G5" s="17"/>
      <c r="H5" s="17"/>
      <c r="I5" s="17"/>
      <c r="J5" s="17"/>
      <c r="K5" s="17"/>
      <c r="L5" s="6"/>
      <c r="M5" s="6"/>
      <c r="N5" s="6"/>
      <c r="O5" s="6"/>
      <c r="P5" s="6"/>
      <c r="Q5" s="6"/>
      <c r="R5" s="6"/>
      <c r="S5" s="6"/>
      <c r="T5" s="6"/>
      <c r="U5" s="6"/>
      <c r="V5" s="6"/>
      <c r="W5" s="6"/>
      <c r="X5" s="6"/>
      <c r="Y5" s="6"/>
    </row>
    <row r="6" spans="1:25" s="1" customFormat="1" ht="41.25" customHeight="1" x14ac:dyDescent="0.2">
      <c r="A6" s="18" t="s">
        <v>1</v>
      </c>
      <c r="B6" s="18"/>
      <c r="C6" s="18"/>
      <c r="D6" s="18"/>
      <c r="E6" s="18"/>
      <c r="F6" s="18"/>
      <c r="G6" s="18"/>
      <c r="H6" s="18"/>
      <c r="I6" s="18"/>
      <c r="J6" s="18"/>
      <c r="K6" s="18"/>
      <c r="L6" s="7"/>
      <c r="M6" s="7"/>
      <c r="N6" s="7"/>
      <c r="O6" s="7"/>
      <c r="P6" s="7"/>
      <c r="Q6" s="7"/>
      <c r="R6" s="7"/>
      <c r="S6" s="7"/>
      <c r="T6" s="7"/>
      <c r="U6" s="7"/>
      <c r="V6" s="7"/>
      <c r="W6" s="7"/>
      <c r="X6" s="7"/>
      <c r="Y6" s="7"/>
    </row>
    <row r="7" spans="1:25" s="1" customFormat="1" x14ac:dyDescent="0.2">
      <c r="A7"/>
      <c r="B7"/>
      <c r="C7"/>
      <c r="D7" s="2"/>
      <c r="E7"/>
      <c r="F7"/>
      <c r="G7"/>
      <c r="H7"/>
      <c r="I7"/>
      <c r="J7"/>
      <c r="K7"/>
      <c r="L7"/>
      <c r="M7"/>
      <c r="N7" s="10"/>
      <c r="O7" s="10"/>
      <c r="P7" s="10"/>
      <c r="Q7" s="10"/>
      <c r="R7" s="10"/>
      <c r="S7" s="10"/>
      <c r="T7" s="10"/>
      <c r="U7" s="10"/>
      <c r="V7" s="10"/>
      <c r="W7" s="10"/>
      <c r="X7" s="10"/>
      <c r="Y7" s="10"/>
    </row>
    <row r="8" spans="1:25" ht="32" x14ac:dyDescent="0.2">
      <c r="A8" s="5" t="s">
        <v>2</v>
      </c>
      <c r="B8" s="3" t="s">
        <v>3</v>
      </c>
      <c r="C8" s="3" t="s">
        <v>4</v>
      </c>
      <c r="D8" s="3" t="s">
        <v>5</v>
      </c>
      <c r="E8" s="5" t="s">
        <v>6</v>
      </c>
      <c r="F8" s="5" t="s">
        <v>7</v>
      </c>
      <c r="G8" s="5" t="s">
        <v>8</v>
      </c>
      <c r="H8" s="5" t="s">
        <v>9</v>
      </c>
      <c r="I8" s="5" t="s">
        <v>10</v>
      </c>
      <c r="J8" s="5" t="s">
        <v>11</v>
      </c>
      <c r="K8" s="5" t="s">
        <v>12</v>
      </c>
    </row>
    <row r="9" spans="1:25" ht="224" customHeight="1" x14ac:dyDescent="0.2">
      <c r="A9" s="4" t="s">
        <v>13</v>
      </c>
      <c r="B9" s="4" t="s">
        <v>14</v>
      </c>
      <c r="C9" s="4" t="s">
        <v>15</v>
      </c>
      <c r="D9" s="4" t="s">
        <v>16</v>
      </c>
      <c r="E9" s="4" t="s">
        <v>17</v>
      </c>
      <c r="F9" s="4">
        <v>80</v>
      </c>
      <c r="G9" s="4">
        <v>30</v>
      </c>
      <c r="H9" s="4">
        <v>74.66</v>
      </c>
      <c r="I9" s="11">
        <f>H9/F9</f>
        <v>0.93324999999999991</v>
      </c>
      <c r="J9" s="11">
        <f>G9*I9</f>
        <v>27.997499999999999</v>
      </c>
      <c r="K9" s="12" t="s">
        <v>18</v>
      </c>
    </row>
    <row r="10" spans="1:25" ht="82" customHeight="1" x14ac:dyDescent="0.2">
      <c r="A10" s="4" t="s">
        <v>13</v>
      </c>
      <c r="B10" s="4" t="s">
        <v>19</v>
      </c>
      <c r="C10" s="4" t="s">
        <v>20</v>
      </c>
      <c r="D10" s="4" t="s">
        <v>21</v>
      </c>
      <c r="E10" s="4" t="s">
        <v>17</v>
      </c>
      <c r="F10" s="4">
        <v>95</v>
      </c>
      <c r="G10" s="4">
        <v>20</v>
      </c>
      <c r="H10" s="4">
        <v>99.98</v>
      </c>
      <c r="I10" s="11">
        <f>H10/F10</f>
        <v>1.0524210526315789</v>
      </c>
      <c r="J10" s="11">
        <f>G10*I10</f>
        <v>21.048421052631578</v>
      </c>
      <c r="K10" s="13" t="s">
        <v>22</v>
      </c>
    </row>
    <row r="11" spans="1:25" ht="115" customHeight="1" x14ac:dyDescent="0.2">
      <c r="A11" s="4" t="s">
        <v>13</v>
      </c>
      <c r="B11" s="4" t="s">
        <v>23</v>
      </c>
      <c r="C11" s="4" t="s">
        <v>24</v>
      </c>
      <c r="D11" s="4" t="s">
        <v>25</v>
      </c>
      <c r="E11" s="4" t="s">
        <v>17</v>
      </c>
      <c r="F11" s="4">
        <v>2</v>
      </c>
      <c r="G11" s="4">
        <v>20</v>
      </c>
      <c r="H11" s="4">
        <v>3</v>
      </c>
      <c r="I11" s="4">
        <f>H11/F11</f>
        <v>1.5</v>
      </c>
      <c r="J11" s="4">
        <f>G11*I11</f>
        <v>30</v>
      </c>
      <c r="K11" s="14" t="s">
        <v>26</v>
      </c>
    </row>
    <row r="12" spans="1:25" ht="197" customHeight="1" x14ac:dyDescent="0.2">
      <c r="A12" s="4" t="s">
        <v>27</v>
      </c>
      <c r="B12" s="4" t="s">
        <v>28</v>
      </c>
      <c r="C12" s="4" t="s">
        <v>29</v>
      </c>
      <c r="D12" s="4" t="s">
        <v>27</v>
      </c>
      <c r="E12" s="4" t="s">
        <v>17</v>
      </c>
      <c r="F12" s="4">
        <v>3</v>
      </c>
      <c r="G12" s="4">
        <v>20</v>
      </c>
      <c r="H12" s="4">
        <v>5</v>
      </c>
      <c r="I12" s="11">
        <f>H12/F12</f>
        <v>1.6666666666666667</v>
      </c>
      <c r="J12" s="11">
        <f>G12*I12</f>
        <v>33.333333333333336</v>
      </c>
      <c r="K12" s="15" t="s">
        <v>30</v>
      </c>
    </row>
    <row r="13" spans="1:25" ht="64" x14ac:dyDescent="0.2">
      <c r="A13" s="4" t="s">
        <v>31</v>
      </c>
      <c r="B13" s="4" t="s">
        <v>32</v>
      </c>
      <c r="C13" s="4" t="s">
        <v>33</v>
      </c>
      <c r="D13" s="4" t="s">
        <v>34</v>
      </c>
      <c r="E13" s="4" t="s">
        <v>17</v>
      </c>
      <c r="F13" s="4">
        <v>1</v>
      </c>
      <c r="G13" s="4">
        <v>10</v>
      </c>
      <c r="H13" s="4">
        <v>2</v>
      </c>
      <c r="I13" s="4">
        <f>H13/F13</f>
        <v>2</v>
      </c>
      <c r="J13" s="4">
        <f>G13*I13</f>
        <v>20</v>
      </c>
      <c r="K13" s="16" t="s">
        <v>35</v>
      </c>
    </row>
  </sheetData>
  <mergeCells count="2">
    <mergeCell ref="A5:K5"/>
    <mergeCell ref="A6:K6"/>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4"/>
  <sheetViews>
    <sheetView tabSelected="1" workbookViewId="0">
      <selection activeCell="N12" sqref="N12"/>
    </sheetView>
  </sheetViews>
  <sheetFormatPr baseColWidth="10" defaultColWidth="8.83203125" defaultRowHeight="15" x14ac:dyDescent="0.2"/>
  <cols>
    <col min="1" max="1" width="37.6640625" customWidth="1"/>
    <col min="2" max="2" width="17.1640625" customWidth="1"/>
    <col min="3" max="3" width="24" customWidth="1"/>
    <col min="4" max="4" width="25.1640625" customWidth="1"/>
    <col min="5" max="6" width="10.6640625" customWidth="1"/>
    <col min="8" max="8" width="17" customWidth="1"/>
    <col min="9" max="9" width="16.6640625" customWidth="1"/>
    <col min="10" max="10" width="16.83203125" customWidth="1"/>
    <col min="11" max="11" width="35.33203125" customWidth="1"/>
  </cols>
  <sheetData>
    <row r="1" spans="1:25" s="1" customFormat="1" x14ac:dyDescent="0.2">
      <c r="A1"/>
      <c r="B1"/>
      <c r="C1"/>
      <c r="D1" s="2"/>
      <c r="E1"/>
      <c r="F1"/>
      <c r="G1"/>
      <c r="H1"/>
      <c r="I1"/>
      <c r="J1"/>
      <c r="K1"/>
      <c r="L1"/>
      <c r="M1"/>
      <c r="N1" s="10"/>
      <c r="O1" s="10"/>
      <c r="P1" s="10"/>
      <c r="Q1" s="10"/>
      <c r="R1" s="10"/>
      <c r="S1" s="10"/>
      <c r="T1" s="10"/>
      <c r="U1" s="10"/>
      <c r="V1" s="10"/>
      <c r="W1" s="10"/>
      <c r="X1" s="10"/>
      <c r="Y1" s="10"/>
    </row>
    <row r="2" spans="1:25" s="1" customFormat="1" x14ac:dyDescent="0.2">
      <c r="A2"/>
      <c r="B2"/>
      <c r="C2"/>
      <c r="D2" s="2"/>
      <c r="E2"/>
      <c r="F2"/>
      <c r="G2"/>
      <c r="H2"/>
      <c r="I2"/>
      <c r="J2"/>
      <c r="K2"/>
      <c r="L2"/>
      <c r="M2"/>
      <c r="N2" s="10"/>
      <c r="O2" s="10"/>
      <c r="P2" s="10"/>
      <c r="Q2" s="10"/>
      <c r="R2" s="10"/>
      <c r="S2" s="10"/>
      <c r="T2" s="10"/>
      <c r="U2" s="10"/>
      <c r="V2" s="10"/>
      <c r="W2" s="10"/>
      <c r="X2" s="10"/>
      <c r="Y2" s="10"/>
    </row>
    <row r="3" spans="1:25" s="1" customFormat="1" x14ac:dyDescent="0.2">
      <c r="A3"/>
      <c r="B3"/>
      <c r="C3"/>
      <c r="D3" s="2"/>
      <c r="E3"/>
      <c r="F3"/>
      <c r="G3"/>
      <c r="H3"/>
      <c r="I3"/>
      <c r="J3"/>
      <c r="K3"/>
      <c r="L3"/>
      <c r="M3"/>
      <c r="N3" s="10"/>
      <c r="O3" s="10"/>
      <c r="P3" s="10"/>
      <c r="Q3" s="10"/>
      <c r="R3" s="10"/>
      <c r="S3" s="10"/>
      <c r="T3" s="10"/>
      <c r="U3" s="10"/>
      <c r="V3" s="10"/>
      <c r="W3" s="10"/>
      <c r="X3" s="10"/>
      <c r="Y3" s="10"/>
    </row>
    <row r="4" spans="1:25" s="1" customFormat="1" x14ac:dyDescent="0.2">
      <c r="A4"/>
      <c r="B4"/>
      <c r="C4"/>
      <c r="D4" s="2"/>
      <c r="E4"/>
      <c r="F4"/>
      <c r="G4"/>
      <c r="H4"/>
      <c r="I4"/>
      <c r="J4"/>
      <c r="K4"/>
      <c r="L4"/>
      <c r="M4"/>
      <c r="N4" s="10"/>
      <c r="O4" s="10"/>
      <c r="P4" s="10"/>
      <c r="Q4" s="10"/>
      <c r="R4" s="10"/>
      <c r="S4" s="10"/>
      <c r="T4" s="10"/>
      <c r="U4" s="10"/>
      <c r="V4" s="10"/>
      <c r="W4" s="10"/>
      <c r="X4" s="10"/>
      <c r="Y4" s="10"/>
    </row>
    <row r="5" spans="1:25" s="1" customFormat="1" ht="20" x14ac:dyDescent="0.2">
      <c r="A5" s="17" t="s">
        <v>0</v>
      </c>
      <c r="B5" s="17"/>
      <c r="C5" s="17"/>
      <c r="D5" s="17"/>
      <c r="E5" s="17"/>
      <c r="F5" s="17"/>
      <c r="G5" s="17"/>
      <c r="H5" s="17"/>
      <c r="I5" s="17"/>
      <c r="J5" s="17"/>
      <c r="K5" s="17"/>
      <c r="L5" s="6"/>
      <c r="M5" s="6"/>
      <c r="N5" s="6"/>
      <c r="O5" s="6"/>
      <c r="P5" s="6"/>
      <c r="Q5" s="6"/>
      <c r="R5" s="6"/>
      <c r="S5" s="6"/>
      <c r="T5" s="6"/>
      <c r="U5" s="6"/>
      <c r="V5" s="6"/>
      <c r="W5" s="6"/>
      <c r="X5" s="6"/>
      <c r="Y5" s="6"/>
    </row>
    <row r="6" spans="1:25" s="1" customFormat="1" ht="41.25" customHeight="1" x14ac:dyDescent="0.2">
      <c r="A6" s="18" t="s">
        <v>36</v>
      </c>
      <c r="B6" s="18"/>
      <c r="C6" s="18"/>
      <c r="D6" s="18"/>
      <c r="E6" s="18"/>
      <c r="F6" s="18"/>
      <c r="G6" s="18"/>
      <c r="H6" s="18"/>
      <c r="I6" s="18"/>
      <c r="J6" s="18"/>
      <c r="K6" s="18"/>
      <c r="L6" s="7"/>
      <c r="M6" s="7"/>
      <c r="N6" s="7"/>
      <c r="O6" s="7"/>
      <c r="P6" s="7"/>
      <c r="Q6" s="7"/>
      <c r="R6" s="7"/>
      <c r="S6" s="7"/>
      <c r="T6" s="7"/>
      <c r="U6" s="7"/>
      <c r="V6" s="7"/>
      <c r="W6" s="7"/>
      <c r="X6" s="7"/>
      <c r="Y6" s="7"/>
    </row>
    <row r="7" spans="1:25" s="1" customFormat="1" x14ac:dyDescent="0.2">
      <c r="A7"/>
      <c r="B7"/>
      <c r="C7"/>
      <c r="D7" s="2"/>
      <c r="E7"/>
      <c r="F7"/>
      <c r="G7"/>
      <c r="H7"/>
      <c r="I7"/>
      <c r="J7"/>
      <c r="K7"/>
      <c r="L7"/>
      <c r="M7"/>
      <c r="N7" s="10"/>
      <c r="O7" s="10"/>
      <c r="P7" s="10"/>
      <c r="Q7" s="10"/>
      <c r="R7" s="10"/>
      <c r="S7" s="10"/>
      <c r="T7" s="10"/>
      <c r="U7" s="10"/>
      <c r="V7" s="10"/>
      <c r="W7" s="10"/>
      <c r="X7" s="10"/>
      <c r="Y7" s="10"/>
    </row>
    <row r="8" spans="1:25" ht="32" x14ac:dyDescent="0.2">
      <c r="A8" s="3" t="s">
        <v>2</v>
      </c>
      <c r="B8" s="3" t="s">
        <v>3</v>
      </c>
      <c r="C8" s="3" t="s">
        <v>4</v>
      </c>
      <c r="D8" s="3" t="s">
        <v>5</v>
      </c>
      <c r="E8" s="5" t="s">
        <v>6</v>
      </c>
      <c r="F8" s="5" t="s">
        <v>7</v>
      </c>
      <c r="G8" s="5" t="s">
        <v>8</v>
      </c>
      <c r="H8" s="5" t="s">
        <v>9</v>
      </c>
      <c r="I8" s="5" t="s">
        <v>10</v>
      </c>
      <c r="J8" s="5" t="s">
        <v>11</v>
      </c>
      <c r="K8" s="5" t="s">
        <v>37</v>
      </c>
    </row>
    <row r="9" spans="1:25" ht="94" customHeight="1" x14ac:dyDescent="0.2">
      <c r="A9" s="4" t="s">
        <v>13</v>
      </c>
      <c r="B9" s="4" t="s">
        <v>14</v>
      </c>
      <c r="C9" s="4" t="s">
        <v>15</v>
      </c>
      <c r="D9" s="4" t="s">
        <v>16</v>
      </c>
      <c r="E9" s="4" t="s">
        <v>17</v>
      </c>
      <c r="F9" s="4">
        <v>80</v>
      </c>
      <c r="G9" s="4">
        <v>20</v>
      </c>
      <c r="H9" s="4"/>
      <c r="I9" s="4"/>
      <c r="J9" s="4"/>
      <c r="K9" s="8" t="s">
        <v>38</v>
      </c>
    </row>
    <row r="10" spans="1:25" ht="93" customHeight="1" x14ac:dyDescent="0.2">
      <c r="A10" s="4" t="s">
        <v>13</v>
      </c>
      <c r="B10" s="4" t="s">
        <v>19</v>
      </c>
      <c r="C10" s="4" t="s">
        <v>20</v>
      </c>
      <c r="D10" s="4" t="s">
        <v>21</v>
      </c>
      <c r="E10" s="4" t="s">
        <v>17</v>
      </c>
      <c r="F10" s="4">
        <v>95</v>
      </c>
      <c r="G10" s="4">
        <v>20</v>
      </c>
      <c r="H10" s="4"/>
      <c r="I10" s="4"/>
      <c r="J10" s="4"/>
      <c r="K10" s="8" t="s">
        <v>39</v>
      </c>
    </row>
    <row r="11" spans="1:25" ht="112" customHeight="1" x14ac:dyDescent="0.2">
      <c r="A11" s="4" t="s">
        <v>13</v>
      </c>
      <c r="B11" s="4" t="s">
        <v>23</v>
      </c>
      <c r="C11" s="4" t="s">
        <v>24</v>
      </c>
      <c r="D11" s="4" t="s">
        <v>25</v>
      </c>
      <c r="E11" s="4" t="s">
        <v>17</v>
      </c>
      <c r="F11" s="4">
        <v>2</v>
      </c>
      <c r="G11" s="4">
        <v>15</v>
      </c>
      <c r="H11" s="4"/>
      <c r="I11" s="4"/>
      <c r="J11" s="4"/>
      <c r="K11" s="8" t="s">
        <v>40</v>
      </c>
    </row>
    <row r="12" spans="1:25" ht="76" customHeight="1" x14ac:dyDescent="0.2">
      <c r="A12" s="19" t="s">
        <v>46</v>
      </c>
      <c r="B12" s="4" t="s">
        <v>41</v>
      </c>
      <c r="C12" s="4" t="s">
        <v>42</v>
      </c>
      <c r="D12" s="4" t="s">
        <v>41</v>
      </c>
      <c r="E12" s="4" t="s">
        <v>17</v>
      </c>
      <c r="F12" s="4">
        <v>1</v>
      </c>
      <c r="G12" s="4">
        <v>20</v>
      </c>
      <c r="H12" s="4"/>
      <c r="I12" s="4"/>
      <c r="J12" s="4"/>
      <c r="K12" s="8" t="s">
        <v>43</v>
      </c>
    </row>
    <row r="13" spans="1:25" ht="112" x14ac:dyDescent="0.2">
      <c r="A13" s="4" t="s">
        <v>27</v>
      </c>
      <c r="B13" s="4" t="s">
        <v>28</v>
      </c>
      <c r="C13" s="4" t="s">
        <v>44</v>
      </c>
      <c r="D13" s="4" t="s">
        <v>27</v>
      </c>
      <c r="E13" s="4" t="s">
        <v>17</v>
      </c>
      <c r="F13" s="4">
        <v>3</v>
      </c>
      <c r="G13" s="4">
        <v>15</v>
      </c>
      <c r="H13" s="4"/>
      <c r="I13" s="4"/>
      <c r="J13" s="4"/>
      <c r="K13" s="8" t="s">
        <v>45</v>
      </c>
    </row>
    <row r="14" spans="1:25" ht="32" x14ac:dyDescent="0.2">
      <c r="A14" s="4" t="s">
        <v>31</v>
      </c>
      <c r="B14" s="4" t="s">
        <v>32</v>
      </c>
      <c r="C14" s="4" t="s">
        <v>33</v>
      </c>
      <c r="D14" s="4" t="s">
        <v>34</v>
      </c>
      <c r="E14" s="4" t="s">
        <v>17</v>
      </c>
      <c r="F14" s="4">
        <v>1</v>
      </c>
      <c r="G14" s="4">
        <v>10</v>
      </c>
      <c r="H14" s="4"/>
      <c r="I14" s="4"/>
      <c r="J14" s="4"/>
      <c r="K14" s="9"/>
    </row>
  </sheetData>
  <mergeCells count="2">
    <mergeCell ref="A5:K5"/>
    <mergeCell ref="A6:K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2022_Outcomes</vt:lpstr>
      <vt:lpstr>2023_Proposed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Sanyo</dc:creator>
  <cp:lastModifiedBy>Dureid El Moghraby</cp:lastModifiedBy>
  <dcterms:created xsi:type="dcterms:W3CDTF">2021-02-26T05:54:00Z</dcterms:created>
  <dcterms:modified xsi:type="dcterms:W3CDTF">2023-02-02T05:29:13Z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1033-11.1.0.11664</vt:lpwstr>
  </property>
  <property fmtid="{D5CDD505-2E9C-101B-9397-08002B2CF9AE}" pid="3" name="ICV">
    <vt:lpwstr/>
  </property>
</Properties>
</file>