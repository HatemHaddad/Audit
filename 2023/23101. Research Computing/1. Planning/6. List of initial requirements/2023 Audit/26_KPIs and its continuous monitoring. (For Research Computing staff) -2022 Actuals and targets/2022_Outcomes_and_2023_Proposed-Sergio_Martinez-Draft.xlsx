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495" windowWidth="38400" windowHeight="23505"/>
  </bookViews>
  <sheets>
    <sheet name="Outcomes and Proposed"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 r="G11" i="1"/>
  <c r="I4" i="1" l="1"/>
  <c r="J4" i="1" s="1"/>
  <c r="I5" i="1"/>
  <c r="J5" i="1" s="1"/>
  <c r="I6" i="1"/>
  <c r="J6" i="1" s="1"/>
  <c r="I7" i="1"/>
  <c r="J7" i="1" s="1"/>
  <c r="I8" i="1"/>
  <c r="J8" i="1" s="1"/>
  <c r="I9" i="1"/>
  <c r="J9" i="1" s="1"/>
  <c r="I10" i="1"/>
  <c r="J10" i="1" s="1"/>
  <c r="I3" i="1"/>
  <c r="J3" i="1" s="1"/>
  <c r="J11" i="1" l="1"/>
</calcChain>
</file>

<file path=xl/sharedStrings.xml><?xml version="1.0" encoding="utf-8"?>
<sst xmlns="http://schemas.openxmlformats.org/spreadsheetml/2006/main" count="82" uniqueCount="50">
  <si>
    <t>Goal</t>
  </si>
  <si>
    <t>KPI Type</t>
  </si>
  <si>
    <t>KPI</t>
  </si>
  <si>
    <t>Deadline</t>
  </si>
  <si>
    <t>Weight</t>
  </si>
  <si>
    <t>KPI Score/Outcome</t>
  </si>
  <si>
    <t>Completion</t>
  </si>
  <si>
    <t>Comment</t>
  </si>
  <si>
    <t>Target</t>
  </si>
  <si>
    <t>Training portfolio</t>
  </si>
  <si>
    <t>#</t>
  </si>
  <si>
    <t>Number of training courses in the portfolio</t>
  </si>
  <si>
    <t>Training courses delivery</t>
  </si>
  <si>
    <t>Number of training courses delivered</t>
  </si>
  <si>
    <t>Number of users trained</t>
  </si>
  <si>
    <t>Hold regular User Group meetings</t>
  </si>
  <si>
    <t>Number of User Group and regular meetings</t>
  </si>
  <si>
    <t>Delivery monthly reports of utilization rate</t>
  </si>
  <si>
    <t>Number of reports delivered</t>
  </si>
  <si>
    <t>Maintain Research Computing Knowledge Base</t>
  </si>
  <si>
    <t>%</t>
  </si>
  <si>
    <t>Percentage of completion</t>
  </si>
  <si>
    <t>ID</t>
  </si>
  <si>
    <t>Outreach events</t>
  </si>
  <si>
    <t>Number of outreach events</t>
  </si>
  <si>
    <t>Utilization rate of RC resources</t>
  </si>
  <si>
    <t>TOTAL</t>
  </si>
  <si>
    <t>Score</t>
  </si>
  <si>
    <t>2022 Outcomes</t>
  </si>
  <si>
    <t>Comments</t>
  </si>
  <si>
    <t>Introduction to Conda, Version control with Git is almost finished</t>
  </si>
  <si>
    <t>2023 Proposed</t>
  </si>
  <si>
    <t>Faculty Professional Development Week in August 2022 with 43 attendees</t>
  </si>
  <si>
    <t>User Group meeting in October 2022 with 46 attendees</t>
  </si>
  <si>
    <t>50 training session, 113 hours</t>
  </si>
  <si>
    <t>Added code: project_report.py, departments_by_project_type_utilization_slider.py, top_users.py, top_users_apps.py, all_project_reports.py, research_area_by_project_type_utilization_slider.py, colleges_and_departments_utilization.py, correct_submission.py</t>
  </si>
  <si>
    <t>Introduction to the Linux command line: 38, Python - Numpy: 21, Python - Matplotlib: 12, Research Computing introductory session (Almesbar):128, Introduction to HPC with SLURM (Almesbar): 54,Introduction to Conda: 48</t>
  </si>
  <si>
    <t>245 active users</t>
  </si>
  <si>
    <t>Currently, only me has access to the tools used to generate statistical reports. The tools will be migrated to the HPC and modified to allow everyone in the team to use them.</t>
  </si>
  <si>
    <t>Improve Statistical report generation tools</t>
  </si>
  <si>
    <t>Number of training courses added to the portfolio</t>
  </si>
  <si>
    <t>Number of User Group meetings</t>
  </si>
  <si>
    <t>Participate in projects to improve the policies of the HPC</t>
  </si>
  <si>
    <t>Number of finished projects</t>
  </si>
  <si>
    <t>Carry out studies of the utilization data and the users' feedback to improve the policies of the HPC. This should reduce the waiting times in the queues as well as increase the utilization rate.</t>
  </si>
  <si>
    <t>Conducting training courses entails dealing with Khalifa University Communication department in order to create and advertise the announcement of the courses. It also requires sending confirmation emails and managing a waiting list. Research Computing introductory session will take place only if there are new HPC users created in a given week.</t>
  </si>
  <si>
    <t>With this event, we will establish a dialogue between the HPC users and Research Computing department. Ultimately, the purpose of the meeting is to transfer users’ opinions, requirements, and experience feedback to the Research Computing committee. This information would result useful for making future decisions about the HPC as well as for solving common user problems. The meetings will serve as a networking place where interact, talk together, and exchange opinions.</t>
  </si>
  <si>
    <t>These types of events aim to increase the visibility of the department and the facilities (HPC) within the University. The idea is to hold some meetings with new faculty joining the university who, otherwise, will not know about the department's existence and how much their research can benefit from using the facilities.</t>
  </si>
  <si>
    <t>Research Computing’s knowledge base update is a continuous work. The minimum information required for a new user to start using the HPC is already in place:
• Almesbar HPC cluster
• Configure access to Almesbar HPC cluster
• File transfer to Almesbar HPC cluster
• From LSF to SLURM (job submission and scheduling)
• Introduction to Almesbar HPC
• Job submission options on Almesbar HPC cluster
• Modular environment on Almesbar HPC cluster
• Project and Account Creation Process
• Research Computing Policies
• Resource allocation and file sharing
• Software on Almesbar HPC cluster
• Lumerical FDTD
• Submitting first job on Almesbar HPC cluster
However, it would be great if those articles are sorted in order of importance and a few more useful articles are added, especially those referring to specific applications. It is required to identify those applications based on their utilization. Below are some examples of articles to be added.
• How to request a specific number of GPUs on the gpu queue.
• Miniconda
• Ansys fluent
• Matlab
• Abaqus
• Starccm+
• VASP</t>
  </si>
  <si>
    <t>Target is adding one more course to the portfolio. Currently, they are 6:
• Research Computing introductory session.
• Introduction to the Linux command line.
• Introduction to the HPC with SLURM
• Python Numpy
• Python Matplotlib
• Introduction to Conda
The new course will be Version Control with Git.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</si>
</sst>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00B0F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0" fillId="0" borderId="1" xfId="0" applyBorder="1"/>
    <xf numFmtId="14" fontId="0" fillId="0" borderId="1" xfId="0" applyNumberFormat="1" applyBorder="1"/>
    <xf numFmtId="17" fontId="0" fillId="0" borderId="1" xfId="0" applyNumberFormat="1" applyBorder="1"/>
    <xf numFmtId="0" fontId="1" fillId="3" borderId="1" xfId="0" applyFont="1" applyFill="1" applyBorder="1"/>
    <xf numFmtId="0" fontId="1" fillId="2" borderId="1" xfId="0" applyFont="1" applyFill="1" applyBorder="1" applyAlignment="1">
      <alignment horizontal="center"/>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0" fillId="0" borderId="2" xfId="0" applyBorder="1" applyAlignment="1">
      <alignment horizontal="left" wrapText="1"/>
    </xf>
    <xf numFmtId="0" fontId="0" fillId="0" borderId="3" xfId="0" applyBorder="1" applyAlignment="1">
      <alignment horizontal="left" wrapText="1"/>
    </xf>
    <xf numFmtId="0" fontId="0" fillId="0" borderId="4" xfId="0" applyBorder="1" applyAlignment="1">
      <alignment horizontal="left" wrapText="1"/>
    </xf>
  </cellXfs>
  <cellStyles count="1">
    <cellStyle name="Normal" xfId="0" builtinId="0"/>
  </cellStyles>
  <dxfs count="0"/>
  <tableStyles count="0" defaultTableStyle="TableStyleMedium2" defaultPivotStyle="PivotStyleLight16"/>
  <colors>
    <mruColors>
      <color rgb="FF66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
  <sheetViews>
    <sheetView tabSelected="1" topLeftCell="A10" zoomScaleNormal="100" workbookViewId="0">
      <selection activeCell="G27" sqref="G27"/>
    </sheetView>
  </sheetViews>
  <sheetFormatPr defaultColWidth="8.85546875" defaultRowHeight="15" x14ac:dyDescent="0.25"/>
  <cols>
    <col min="2" max="2" width="52.28515625" bestFit="1" customWidth="1"/>
    <col min="4" max="4" width="46.28515625" bestFit="1" customWidth="1"/>
    <col min="5" max="5" width="10.7109375" customWidth="1"/>
    <col min="8" max="8" width="18.42578125" customWidth="1"/>
    <col min="9" max="10" width="11.42578125" customWidth="1"/>
    <col min="11" max="11" width="239.28515625" bestFit="1" customWidth="1"/>
  </cols>
  <sheetData>
    <row r="1" spans="1:11" x14ac:dyDescent="0.25">
      <c r="A1" s="5" t="s">
        <v>28</v>
      </c>
      <c r="B1" s="5"/>
      <c r="C1" s="5"/>
      <c r="D1" s="5"/>
      <c r="E1" s="5"/>
      <c r="F1" s="5"/>
      <c r="G1" s="5"/>
      <c r="H1" s="5"/>
      <c r="I1" s="5"/>
      <c r="J1" s="5"/>
      <c r="K1" s="5"/>
    </row>
    <row r="2" spans="1:11" x14ac:dyDescent="0.25">
      <c r="A2" s="1" t="s">
        <v>22</v>
      </c>
      <c r="B2" s="1" t="s">
        <v>0</v>
      </c>
      <c r="C2" s="1" t="s">
        <v>1</v>
      </c>
      <c r="D2" s="1" t="s">
        <v>2</v>
      </c>
      <c r="E2" s="1" t="s">
        <v>3</v>
      </c>
      <c r="F2" s="1" t="s">
        <v>8</v>
      </c>
      <c r="G2" s="1" t="s">
        <v>4</v>
      </c>
      <c r="H2" s="1" t="s">
        <v>5</v>
      </c>
      <c r="I2" s="1" t="s">
        <v>6</v>
      </c>
      <c r="J2" s="1" t="s">
        <v>27</v>
      </c>
      <c r="K2" s="1" t="s">
        <v>7</v>
      </c>
    </row>
    <row r="3" spans="1:11" x14ac:dyDescent="0.25">
      <c r="A3" s="1">
        <v>1</v>
      </c>
      <c r="B3" s="1" t="s">
        <v>9</v>
      </c>
      <c r="C3" s="1" t="s">
        <v>10</v>
      </c>
      <c r="D3" s="1" t="s">
        <v>11</v>
      </c>
      <c r="E3" s="2">
        <v>44926</v>
      </c>
      <c r="F3" s="1">
        <v>2</v>
      </c>
      <c r="G3" s="1">
        <v>20</v>
      </c>
      <c r="H3" s="1">
        <v>1</v>
      </c>
      <c r="I3" s="1">
        <f>H3/F3</f>
        <v>0.5</v>
      </c>
      <c r="J3" s="1">
        <f>G3*I3</f>
        <v>10</v>
      </c>
      <c r="K3" s="1" t="s">
        <v>30</v>
      </c>
    </row>
    <row r="4" spans="1:11" x14ac:dyDescent="0.25">
      <c r="A4" s="1">
        <v>2</v>
      </c>
      <c r="B4" s="1" t="s">
        <v>12</v>
      </c>
      <c r="C4" s="1" t="s">
        <v>10</v>
      </c>
      <c r="D4" s="1" t="s">
        <v>13</v>
      </c>
      <c r="E4" s="2">
        <v>44926</v>
      </c>
      <c r="F4" s="1">
        <v>40</v>
      </c>
      <c r="G4" s="1">
        <v>10</v>
      </c>
      <c r="H4" s="1">
        <v>50</v>
      </c>
      <c r="I4" s="1">
        <f t="shared" ref="I4:I10" si="0">H4/F4</f>
        <v>1.25</v>
      </c>
      <c r="J4" s="1">
        <f t="shared" ref="J4:J10" si="1">G4*I4</f>
        <v>12.5</v>
      </c>
      <c r="K4" s="1" t="s">
        <v>34</v>
      </c>
    </row>
    <row r="5" spans="1:11" x14ac:dyDescent="0.25">
      <c r="A5" s="1">
        <v>3</v>
      </c>
      <c r="B5" s="1" t="s">
        <v>14</v>
      </c>
      <c r="C5" s="1" t="s">
        <v>10</v>
      </c>
      <c r="D5" s="1" t="s">
        <v>14</v>
      </c>
      <c r="E5" s="2">
        <v>44926</v>
      </c>
      <c r="F5" s="1">
        <v>200</v>
      </c>
      <c r="G5" s="1">
        <v>10</v>
      </c>
      <c r="H5" s="1">
        <v>301</v>
      </c>
      <c r="I5" s="1">
        <f t="shared" si="0"/>
        <v>1.5049999999999999</v>
      </c>
      <c r="J5" s="1">
        <f t="shared" si="1"/>
        <v>15.049999999999999</v>
      </c>
      <c r="K5" s="1" t="s">
        <v>36</v>
      </c>
    </row>
    <row r="6" spans="1:11" x14ac:dyDescent="0.25">
      <c r="A6" s="1">
        <v>4</v>
      </c>
      <c r="B6" s="1" t="s">
        <v>15</v>
      </c>
      <c r="C6" s="1" t="s">
        <v>10</v>
      </c>
      <c r="D6" s="1" t="s">
        <v>16</v>
      </c>
      <c r="E6" s="2">
        <v>44926</v>
      </c>
      <c r="F6" s="1">
        <v>3</v>
      </c>
      <c r="G6" s="1">
        <v>10</v>
      </c>
      <c r="H6" s="1">
        <v>1</v>
      </c>
      <c r="I6" s="1">
        <f t="shared" si="0"/>
        <v>0.33333333333333331</v>
      </c>
      <c r="J6" s="1">
        <f t="shared" si="1"/>
        <v>3.333333333333333</v>
      </c>
      <c r="K6" s="3" t="s">
        <v>33</v>
      </c>
    </row>
    <row r="7" spans="1:11" x14ac:dyDescent="0.25">
      <c r="A7" s="1">
        <v>5</v>
      </c>
      <c r="B7" s="1" t="s">
        <v>17</v>
      </c>
      <c r="C7" s="1" t="s">
        <v>10</v>
      </c>
      <c r="D7" s="1" t="s">
        <v>18</v>
      </c>
      <c r="E7" s="2">
        <v>44926</v>
      </c>
      <c r="F7" s="1">
        <v>12</v>
      </c>
      <c r="G7" s="1">
        <v>10</v>
      </c>
      <c r="H7" s="1">
        <v>12</v>
      </c>
      <c r="I7" s="1">
        <f t="shared" si="0"/>
        <v>1</v>
      </c>
      <c r="J7" s="1">
        <f t="shared" si="1"/>
        <v>10</v>
      </c>
      <c r="K7" s="1" t="s">
        <v>35</v>
      </c>
    </row>
    <row r="8" spans="1:11" x14ac:dyDescent="0.25">
      <c r="A8" s="1">
        <v>6</v>
      </c>
      <c r="B8" s="1" t="s">
        <v>19</v>
      </c>
      <c r="C8" s="1" t="s">
        <v>20</v>
      </c>
      <c r="D8" s="1" t="s">
        <v>21</v>
      </c>
      <c r="E8" s="2">
        <v>44926</v>
      </c>
      <c r="F8" s="1">
        <v>100</v>
      </c>
      <c r="G8" s="1">
        <v>10</v>
      </c>
      <c r="H8" s="1">
        <v>0</v>
      </c>
      <c r="I8" s="1">
        <f t="shared" si="0"/>
        <v>0</v>
      </c>
      <c r="J8" s="1">
        <f t="shared" si="1"/>
        <v>0</v>
      </c>
      <c r="K8" s="1"/>
    </row>
    <row r="9" spans="1:11" x14ac:dyDescent="0.25">
      <c r="A9" s="1">
        <v>7</v>
      </c>
      <c r="B9" s="1" t="s">
        <v>23</v>
      </c>
      <c r="C9" s="1" t="s">
        <v>10</v>
      </c>
      <c r="D9" s="1" t="s">
        <v>24</v>
      </c>
      <c r="E9" s="2">
        <v>44926</v>
      </c>
      <c r="F9" s="1">
        <v>2</v>
      </c>
      <c r="G9" s="1">
        <v>20</v>
      </c>
      <c r="H9" s="1">
        <v>1</v>
      </c>
      <c r="I9" s="1">
        <f t="shared" si="0"/>
        <v>0.5</v>
      </c>
      <c r="J9" s="1">
        <f t="shared" si="1"/>
        <v>10</v>
      </c>
      <c r="K9" s="1" t="s">
        <v>32</v>
      </c>
    </row>
    <row r="10" spans="1:11" x14ac:dyDescent="0.25">
      <c r="A10" s="1">
        <v>8</v>
      </c>
      <c r="B10" s="1" t="s">
        <v>25</v>
      </c>
      <c r="C10" s="1" t="s">
        <v>20</v>
      </c>
      <c r="D10" s="1" t="s">
        <v>25</v>
      </c>
      <c r="E10" s="2">
        <v>44926</v>
      </c>
      <c r="F10" s="1">
        <v>80</v>
      </c>
      <c r="G10" s="1">
        <v>10</v>
      </c>
      <c r="H10" s="1">
        <v>74.66</v>
      </c>
      <c r="I10" s="1">
        <f t="shared" si="0"/>
        <v>0.93324999999999991</v>
      </c>
      <c r="J10" s="1">
        <f t="shared" si="1"/>
        <v>9.3324999999999996</v>
      </c>
      <c r="K10" s="1" t="s">
        <v>37</v>
      </c>
    </row>
    <row r="11" spans="1:11" x14ac:dyDescent="0.25">
      <c r="A11" s="4" t="s">
        <v>26</v>
      </c>
      <c r="B11" s="4"/>
      <c r="C11" s="4"/>
      <c r="D11" s="4"/>
      <c r="E11" s="4"/>
      <c r="F11" s="4"/>
      <c r="G11" s="4">
        <f>SUM(G3:G10)</f>
        <v>100</v>
      </c>
      <c r="H11" s="4"/>
      <c r="I11" s="4"/>
      <c r="J11" s="4">
        <f>SUM(J3:J10)</f>
        <v>70.215833333333336</v>
      </c>
    </row>
    <row r="14" spans="1:11" x14ac:dyDescent="0.25">
      <c r="A14" s="5" t="s">
        <v>31</v>
      </c>
      <c r="B14" s="5"/>
      <c r="C14" s="5"/>
      <c r="D14" s="5"/>
      <c r="E14" s="5"/>
      <c r="F14" s="5"/>
      <c r="G14" s="5"/>
      <c r="H14" s="5"/>
      <c r="I14" s="5"/>
      <c r="J14" s="5"/>
      <c r="K14" s="5"/>
    </row>
    <row r="15" spans="1:11" x14ac:dyDescent="0.25">
      <c r="A15" s="1" t="s">
        <v>22</v>
      </c>
      <c r="B15" s="1" t="s">
        <v>0</v>
      </c>
      <c r="C15" s="1" t="s">
        <v>1</v>
      </c>
      <c r="D15" s="1" t="s">
        <v>2</v>
      </c>
      <c r="E15" s="1" t="s">
        <v>3</v>
      </c>
      <c r="F15" s="1" t="s">
        <v>8</v>
      </c>
      <c r="G15" s="1" t="s">
        <v>4</v>
      </c>
      <c r="H15" s="6" t="s">
        <v>29</v>
      </c>
      <c r="I15" s="7"/>
      <c r="J15" s="7"/>
      <c r="K15" s="8"/>
    </row>
    <row r="16" spans="1:11" ht="126" customHeight="1" x14ac:dyDescent="0.25">
      <c r="A16" s="1">
        <v>1</v>
      </c>
      <c r="B16" s="1" t="s">
        <v>9</v>
      </c>
      <c r="C16" s="1" t="s">
        <v>10</v>
      </c>
      <c r="D16" s="1" t="s">
        <v>40</v>
      </c>
      <c r="E16" s="2">
        <v>45291</v>
      </c>
      <c r="F16" s="1">
        <v>1</v>
      </c>
      <c r="G16" s="1">
        <v>10</v>
      </c>
      <c r="H16" s="9" t="s">
        <v>49</v>
      </c>
      <c r="I16" s="7"/>
      <c r="J16" s="7"/>
      <c r="K16" s="8"/>
    </row>
    <row r="17" spans="1:11" ht="32.25" customHeight="1" x14ac:dyDescent="0.25">
      <c r="A17" s="1">
        <v>2</v>
      </c>
      <c r="B17" s="1" t="s">
        <v>12</v>
      </c>
      <c r="C17" s="1" t="s">
        <v>10</v>
      </c>
      <c r="D17" s="1" t="s">
        <v>13</v>
      </c>
      <c r="E17" s="2">
        <v>45291</v>
      </c>
      <c r="F17" s="1">
        <v>45</v>
      </c>
      <c r="G17" s="1">
        <v>25</v>
      </c>
      <c r="H17" s="9" t="s">
        <v>45</v>
      </c>
      <c r="I17" s="10"/>
      <c r="J17" s="10"/>
      <c r="K17" s="11"/>
    </row>
    <row r="18" spans="1:11" ht="30.75" customHeight="1" x14ac:dyDescent="0.25">
      <c r="A18" s="1">
        <v>3</v>
      </c>
      <c r="B18" s="1" t="s">
        <v>15</v>
      </c>
      <c r="C18" s="1" t="s">
        <v>10</v>
      </c>
      <c r="D18" s="1" t="s">
        <v>41</v>
      </c>
      <c r="E18" s="2">
        <v>45291</v>
      </c>
      <c r="F18" s="1">
        <v>4</v>
      </c>
      <c r="G18" s="1">
        <v>10</v>
      </c>
      <c r="H18" s="9" t="s">
        <v>46</v>
      </c>
      <c r="I18" s="10"/>
      <c r="J18" s="10"/>
      <c r="K18" s="11"/>
    </row>
    <row r="19" spans="1:11" ht="29.25" customHeight="1" x14ac:dyDescent="0.25">
      <c r="A19" s="1">
        <v>4</v>
      </c>
      <c r="B19" s="1" t="s">
        <v>23</v>
      </c>
      <c r="C19" s="1" t="s">
        <v>10</v>
      </c>
      <c r="D19" s="1" t="s">
        <v>24</v>
      </c>
      <c r="E19" s="2">
        <v>45291</v>
      </c>
      <c r="F19" s="1">
        <v>3</v>
      </c>
      <c r="G19" s="1">
        <v>10</v>
      </c>
      <c r="H19" s="9" t="s">
        <v>47</v>
      </c>
      <c r="I19" s="10"/>
      <c r="J19" s="10"/>
      <c r="K19" s="11"/>
    </row>
    <row r="20" spans="1:11" x14ac:dyDescent="0.25">
      <c r="A20" s="1">
        <v>5</v>
      </c>
      <c r="B20" s="1" t="s">
        <v>39</v>
      </c>
      <c r="C20" s="1" t="s">
        <v>20</v>
      </c>
      <c r="D20" s="1" t="s">
        <v>21</v>
      </c>
      <c r="E20" s="2">
        <v>45291</v>
      </c>
      <c r="F20" s="1">
        <v>100</v>
      </c>
      <c r="G20" s="1">
        <v>20</v>
      </c>
      <c r="H20" s="6" t="s">
        <v>38</v>
      </c>
      <c r="I20" s="7"/>
      <c r="J20" s="7"/>
      <c r="K20" s="8"/>
    </row>
    <row r="21" spans="1:11" ht="334.5" customHeight="1" x14ac:dyDescent="0.25">
      <c r="A21" s="1">
        <v>6</v>
      </c>
      <c r="B21" s="1" t="s">
        <v>19</v>
      </c>
      <c r="C21" s="1" t="s">
        <v>20</v>
      </c>
      <c r="D21" s="1" t="s">
        <v>21</v>
      </c>
      <c r="E21" s="2">
        <v>45291</v>
      </c>
      <c r="F21" s="1">
        <v>100</v>
      </c>
      <c r="G21" s="1">
        <v>15</v>
      </c>
      <c r="H21" s="9" t="s">
        <v>48</v>
      </c>
      <c r="I21" s="7"/>
      <c r="J21" s="7"/>
      <c r="K21" s="8"/>
    </row>
    <row r="22" spans="1:11" x14ac:dyDescent="0.25">
      <c r="A22" s="1">
        <v>7</v>
      </c>
      <c r="B22" s="1" t="s">
        <v>42</v>
      </c>
      <c r="C22" s="1" t="s">
        <v>10</v>
      </c>
      <c r="D22" s="1" t="s">
        <v>43</v>
      </c>
      <c r="E22" s="2">
        <v>45291</v>
      </c>
      <c r="F22" s="1">
        <v>3</v>
      </c>
      <c r="G22" s="1">
        <v>10</v>
      </c>
      <c r="H22" s="6" t="s">
        <v>44</v>
      </c>
      <c r="I22" s="7"/>
      <c r="J22" s="7"/>
      <c r="K22" s="8"/>
    </row>
    <row r="23" spans="1:11" x14ac:dyDescent="0.25">
      <c r="A23" s="4" t="s">
        <v>26</v>
      </c>
      <c r="B23" s="4"/>
      <c r="C23" s="4"/>
      <c r="D23" s="4"/>
      <c r="E23" s="4"/>
      <c r="F23" s="4"/>
      <c r="G23" s="4">
        <f>SUM(G16:G22)</f>
        <v>100</v>
      </c>
    </row>
  </sheetData>
  <mergeCells count="10">
    <mergeCell ref="H19:K19"/>
    <mergeCell ref="H20:K20"/>
    <mergeCell ref="H21:K21"/>
    <mergeCell ref="H22:K22"/>
    <mergeCell ref="H15:K15"/>
    <mergeCell ref="A1:K1"/>
    <mergeCell ref="A14:K14"/>
    <mergeCell ref="H16:K16"/>
    <mergeCell ref="H17:K17"/>
    <mergeCell ref="H18:K18"/>
  </mergeCells>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Outcomes and Proposed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2023-02-02T11:56:16Z</dcterms:modified>
</cp:coreProperties>
</file>