
<file path=[Content_Types].xml><?xml version="1.0" encoding="utf-8"?>
<Types xmlns="http://schemas.openxmlformats.org/package/2006/content-types">
  <Default Extension="rels" ContentType="application/vnd.openxmlformats-package.relationships+xml"/>
  <Default Extension="xml" ContentType="application/xml"/>
  <Default Extension="20A5DF90" ContentType="image/p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KU Drive\ResearchDocs\Department_Plans\2023\"/>
    </mc:Choice>
  </mc:AlternateContent>
  <bookViews>
    <workbookView xWindow="0" yWindow="0" windowWidth="25200" windowHeight="12000"/>
  </bookViews>
  <sheets>
    <sheet name="Outcome-2022" sheetId="2" r:id="rId1"/>
    <sheet name="Proposed-Draft-2023" sheetId="3" r:id="rId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1" i="2" l="1"/>
  <c r="I13" i="2" l="1"/>
  <c r="J13" i="2" s="1"/>
  <c r="I12" i="2"/>
  <c r="J12" i="2" s="1"/>
  <c r="J11" i="2"/>
  <c r="I10" i="2"/>
  <c r="J10" i="2" s="1"/>
  <c r="I8" i="2"/>
  <c r="J8" i="2" s="1"/>
  <c r="I9" i="2"/>
  <c r="J9" i="2" s="1"/>
</calcChain>
</file>

<file path=xl/sharedStrings.xml><?xml version="1.0" encoding="utf-8"?>
<sst xmlns="http://schemas.openxmlformats.org/spreadsheetml/2006/main" count="81" uniqueCount="43">
  <si>
    <t>Target</t>
  </si>
  <si>
    <t>Attend Training to improve the technical skills</t>
  </si>
  <si>
    <t>2022 BALANCED SCORECARD and PERFORMANCE REPORT</t>
  </si>
  <si>
    <t>Utilization of the HPC platform and other RC resources</t>
  </si>
  <si>
    <t>Goal</t>
  </si>
  <si>
    <t>KPI Type</t>
  </si>
  <si>
    <t>KPI</t>
  </si>
  <si>
    <t>Weight</t>
  </si>
  <si>
    <t>Comment</t>
  </si>
  <si>
    <t>%</t>
  </si>
  <si>
    <t xml:space="preserve">Increase the % utilization  rate of RC resources  </t>
  </si>
  <si>
    <t>Utilization of HPC platform and other RC resources</t>
  </si>
  <si>
    <t>Decrease % unplanned downtime</t>
  </si>
  <si>
    <t>Develop a project management framework for projects of RC projects</t>
  </si>
  <si>
    <t>#</t>
  </si>
  <si>
    <t>Create project management framework for projects for RC</t>
  </si>
  <si>
    <t>Research Computing project management framework created which defines the set of processes, tasks and tools and documentation created on how to drive an RC project.</t>
  </si>
  <si>
    <t>Utilize the HPC platform and other RC resources in an optimal and efficient manner</t>
  </si>
  <si>
    <t>Initiate / involve in projects for the development of HPC and  Research infrastructure</t>
  </si>
  <si>
    <t xml:space="preserve">Processes for Department </t>
  </si>
  <si>
    <t>Create and document processes for the department</t>
  </si>
  <si>
    <t>Deadline</t>
  </si>
  <si>
    <t>12/31/2022</t>
  </si>
  <si>
    <t>Training for personal/ professional development</t>
  </si>
  <si>
    <t>KPI Score/Outcome</t>
  </si>
  <si>
    <t>Completion</t>
  </si>
  <si>
    <t>Score</t>
  </si>
  <si>
    <t>Contributed to increasing the utilization rate of RC resources by :
1. Installing all the applications needed by the users.
2. Troubleshooting all the issues faced by the users there by increasing the usage of RC resources.
3.  By giving sufficient training for users to use RC resources effectively.</t>
  </si>
  <si>
    <t>Contributed to reducing downtime of RC resources by :
1. By proactively checking the servers and HPC for any issues.
2. By acting on all the alerts, warnings and problems.
3. By troubleshooting and fixing all the issue that occurs and thereby reducing downtimes.</t>
  </si>
  <si>
    <t>1. Attended AWS Cloud Practitioner Essentials (GK4534) training
2. Attended Redcap training provided in their website as part of setting up Redcap servers</t>
  </si>
  <si>
    <t>SL No</t>
  </si>
  <si>
    <t>1. Research Computing VM Infrastructure build from scratch on cloud environment with new KU OS, security patches and updates. 
*Consolidated 24 servers of Dr.Diana to 9 servers with their services.
*41 masdar servers migrated to 20 servers in the new cloud env.
2. Redcap server UAT environment fully ready with KU SSO authentication setup.
3. Dragen server project initiated and completed.</t>
  </si>
  <si>
    <t>Contribute to reducing downtime of RC resources by :
1. By proactively checking the servers and HPC for any issues.
2. By acting on all the alerts, warnings and problems.
3. By troubleshooting and fixing all the issue that occurs and thereby reducing downtimes.</t>
  </si>
  <si>
    <t>Contribute to increasing the utilization rate of RC resources by :
1. Installing all the applications needed by the users.
2. Troubleshooting all the issues faced by the users there by increasing the usage of RC resources.
3.  By giving sufficient training for users to use RC resources effectively.</t>
  </si>
  <si>
    <t xml:space="preserve">Attend training to improve the technical knowledge which can be put to use for the betterment of Research Computing </t>
  </si>
  <si>
    <t>Improvement of RC services/resources</t>
  </si>
  <si>
    <t>2023 BALANCED SCORECARD and PERFORMANCE REPORT</t>
  </si>
  <si>
    <t>Introduce AWS Landing zone as RC services</t>
  </si>
  <si>
    <t>Implementation of AWS Landing zone. Manage resources and services for faculties/researchers on behalf of RC Team.</t>
  </si>
  <si>
    <t>1. Install, build and configure new KB software tool and migrate data from old to new
2. Patch management tool for managing patches on RC VM resources.</t>
  </si>
  <si>
    <t>Implementation of project management framework for RC projects.</t>
  </si>
  <si>
    <t>Implementation of project management for RC projects with specific tools, monitor and manage RC projects appropriately.</t>
  </si>
  <si>
    <t>1. Created VM Management process and procedure documents with User Forms and this is in discussion for implementation.
2. Created Data sharing policy(FTP Service) for RC Department 
3. Created Backup Policy and procedure document for the RC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</si>
</sst>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0"/>
      <color rgb="FFFFFFFF"/>
      <name val="Arial"/>
      <family val="2"/>
    </font>
    <font>
      <b/>
      <sz val="20"/>
      <color indexed="8"/>
      <name val="Arial"/>
      <family val="2"/>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1" xfId="0" applyBorder="1" applyAlignment="1">
      <alignment horizontal="left" vertical="top" wrapText="1"/>
    </xf>
    <xf numFmtId="0" fontId="0" fillId="0" borderId="0" xfId="0" applyAlignment="1">
      <alignment horizontal="left" vertical="top" wrapText="1"/>
    </xf>
    <xf numFmtId="0" fontId="0" fillId="0" borderId="1" xfId="0" applyBorder="1" applyAlignment="1">
      <alignment horizontal="left" vertical="top"/>
    </xf>
    <xf numFmtId="0" fontId="1" fillId="2" borderId="1" xfId="0" applyFont="1" applyFill="1" applyBorder="1" applyAlignment="1">
      <alignment horizontal="left" vertical="top" wrapText="1"/>
    </xf>
    <xf numFmtId="0" fontId="2" fillId="0" borderId="1" xfId="0"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20A5DF90"/></Relationships>
</file>

<file path=xl/drawings/_rels/drawing2.xml.rels><?xml version="1.0" encoding="UTF-8" standalone="yes"?>
<Relationships xmlns="http://schemas.openxmlformats.org/package/2006/relationships"><Relationship Id="rId1" Type="http://schemas.openxmlformats.org/officeDocument/2006/relationships/image" Target="../media/image1.20A5DF90"/></Relationships>
</file>

<file path=xl/drawings/drawing1.xml><?xml version="1.0" encoding="utf-8"?>
<xdr:wsDr xmlns:xdr="http://schemas.openxmlformats.org/drawingml/2006/spreadsheetDrawing" xmlns:a="http://schemas.openxmlformats.org/drawingml/2006/main">
  <xdr:twoCellAnchor editAs="oneCell">
    <xdr:from>
      <xdr:col>0</xdr:col>
      <xdr:colOff>234950</xdr:colOff>
      <xdr:row>0</xdr:row>
      <xdr:rowOff>101600</xdr:rowOff>
    </xdr:from>
    <xdr:to>
      <xdr:col>1</xdr:col>
      <xdr:colOff>1371147</xdr:colOff>
      <xdr:row>3</xdr:row>
      <xdr:rowOff>1361</xdr:rowOff>
    </xdr:to>
    <xdr:pic>
      <xdr:nvPicPr>
        <xdr:cNvPr id="2" name="Picture 1" descr="cid:image001.png@01D3DFD3.27E5A010">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4950" y="101600"/>
          <a:ext cx="1390197" cy="452211"/>
        </a:xfrm>
        <a:prstGeom prst="rect">
          <a:avLst/>
        </a:prstGeom>
        <a:noFill/>
        <a:ln>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234950</xdr:colOff>
      <xdr:row>0</xdr:row>
      <xdr:rowOff>101600</xdr:rowOff>
    </xdr:from>
    <xdr:to>
      <xdr:col>1</xdr:col>
      <xdr:colOff>1371147</xdr:colOff>
      <xdr:row>3</xdr:row>
      <xdr:rowOff>1361</xdr:rowOff>
    </xdr:to>
    <xdr:pic>
      <xdr:nvPicPr>
        <xdr:cNvPr id="2" name="Picture 1" descr="cid:image001.png@01D3DFD3.27E5A010">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4950" y="101600"/>
          <a:ext cx="1390197" cy="452211"/>
        </a:xfrm>
        <a:prstGeom prst="rect">
          <a:avLst/>
        </a:prstGeom>
        <a:noFill/>
        <a:ln>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K13"/>
  <sheetViews>
    <sheetView tabSelected="1" workbookViewId="0">
      <selection activeCell="D31" sqref="D31"/>
    </sheetView>
  </sheetViews>
  <sheetFormatPr defaultRowHeight="14.5" x14ac:dyDescent="0.35"/>
  <cols>
    <col min="1" max="1" width="3.6328125" style="2" customWidth="1"/>
    <col min="2" max="2" width="27.6328125" style="2" customWidth="1"/>
    <col min="3" max="3" width="8.7265625" style="2"/>
    <col min="4" max="4" width="28.08984375" style="2" customWidth="1"/>
    <col min="5" max="5" width="10.453125" style="2" bestFit="1" customWidth="1"/>
    <col min="6" max="6" width="6.453125" style="2" bestFit="1" customWidth="1"/>
    <col min="7" max="7" width="6.81640625" style="2" bestFit="1" customWidth="1"/>
    <col min="8" max="8" width="14.6328125" style="2" customWidth="1"/>
    <col min="9" max="9" width="11.7265625" style="2" customWidth="1"/>
    <col min="10" max="10" width="6.81640625" style="2" customWidth="1"/>
    <col min="11" max="11" width="67.36328125" style="2" customWidth="1"/>
    <col min="12" max="16384" width="8.7265625" style="2"/>
  </cols>
  <sheetData>
    <row r="5" spans="1:11" ht="75" customHeight="1" x14ac:dyDescent="0.35">
      <c r="A5" s="5" t="s">
        <v>2</v>
      </c>
      <c r="B5" s="5"/>
      <c r="C5" s="5"/>
      <c r="D5" s="5"/>
      <c r="E5" s="5"/>
      <c r="F5" s="5"/>
      <c r="G5" s="5"/>
      <c r="H5" s="5"/>
      <c r="I5" s="5"/>
      <c r="J5" s="5"/>
      <c r="K5" s="5"/>
    </row>
    <row r="7" spans="1:11" ht="52" x14ac:dyDescent="0.35">
      <c r="A7" s="4" t="s">
        <v>30</v>
      </c>
      <c r="B7" s="4" t="s">
        <v>4</v>
      </c>
      <c r="C7" s="4" t="s">
        <v>5</v>
      </c>
      <c r="D7" s="4" t="s">
        <v>6</v>
      </c>
      <c r="E7" s="4" t="s">
        <v>21</v>
      </c>
      <c r="F7" s="4" t="s">
        <v>0</v>
      </c>
      <c r="G7" s="4" t="s">
        <v>7</v>
      </c>
      <c r="H7" s="4" t="s">
        <v>24</v>
      </c>
      <c r="I7" s="4" t="s">
        <v>25</v>
      </c>
      <c r="J7" s="4" t="s">
        <v>26</v>
      </c>
      <c r="K7" s="4" t="s">
        <v>8</v>
      </c>
    </row>
    <row r="8" spans="1:11" ht="72.5" x14ac:dyDescent="0.35">
      <c r="A8" s="1">
        <v>1</v>
      </c>
      <c r="B8" s="1" t="s">
        <v>3</v>
      </c>
      <c r="C8" s="1" t="s">
        <v>9</v>
      </c>
      <c r="D8" s="1" t="s">
        <v>10</v>
      </c>
      <c r="E8" s="1" t="s">
        <v>22</v>
      </c>
      <c r="F8" s="1">
        <v>80</v>
      </c>
      <c r="G8" s="1">
        <v>15</v>
      </c>
      <c r="H8" s="1">
        <v>74.66</v>
      </c>
      <c r="I8" s="3">
        <f t="shared" ref="I8:I13" si="0">H8/F8</f>
        <v>0.93324999999999991</v>
      </c>
      <c r="J8" s="3">
        <f t="shared" ref="J8:J13" si="1">I8*10</f>
        <v>9.3324999999999996</v>
      </c>
      <c r="K8" s="1" t="s">
        <v>27</v>
      </c>
    </row>
    <row r="9" spans="1:11" ht="72.5" x14ac:dyDescent="0.35">
      <c r="A9" s="1">
        <v>2</v>
      </c>
      <c r="B9" s="1" t="s">
        <v>11</v>
      </c>
      <c r="C9" s="1" t="s">
        <v>9</v>
      </c>
      <c r="D9" s="1" t="s">
        <v>12</v>
      </c>
      <c r="E9" s="1" t="s">
        <v>22</v>
      </c>
      <c r="F9" s="1">
        <v>95</v>
      </c>
      <c r="G9" s="1">
        <v>15</v>
      </c>
      <c r="H9" s="1">
        <v>99.9</v>
      </c>
      <c r="I9" s="3">
        <f t="shared" si="0"/>
        <v>1.0515789473684212</v>
      </c>
      <c r="J9" s="3">
        <f t="shared" si="1"/>
        <v>10.515789473684212</v>
      </c>
      <c r="K9" s="1" t="s">
        <v>28</v>
      </c>
    </row>
    <row r="10" spans="1:11" ht="43.5" x14ac:dyDescent="0.35">
      <c r="A10" s="1">
        <v>3</v>
      </c>
      <c r="B10" s="1" t="s">
        <v>13</v>
      </c>
      <c r="C10" s="1" t="s">
        <v>14</v>
      </c>
      <c r="D10" s="1" t="s">
        <v>15</v>
      </c>
      <c r="E10" s="1" t="s">
        <v>22</v>
      </c>
      <c r="F10" s="1">
        <v>1</v>
      </c>
      <c r="G10" s="1">
        <v>20</v>
      </c>
      <c r="H10" s="1">
        <v>1</v>
      </c>
      <c r="I10" s="3">
        <f t="shared" si="0"/>
        <v>1</v>
      </c>
      <c r="J10" s="3">
        <f t="shared" si="1"/>
        <v>10</v>
      </c>
      <c r="K10" s="1" t="s">
        <v>16</v>
      </c>
    </row>
    <row r="11" spans="1:11" ht="130.5" x14ac:dyDescent="0.35">
      <c r="A11" s="1">
        <v>4</v>
      </c>
      <c r="B11" s="1" t="s">
        <v>17</v>
      </c>
      <c r="C11" s="1" t="s">
        <v>14</v>
      </c>
      <c r="D11" s="1" t="s">
        <v>18</v>
      </c>
      <c r="E11" s="1" t="s">
        <v>22</v>
      </c>
      <c r="F11" s="1">
        <v>2</v>
      </c>
      <c r="G11" s="1">
        <v>20</v>
      </c>
      <c r="H11" s="1">
        <v>3</v>
      </c>
      <c r="I11" s="3">
        <f t="shared" si="0"/>
        <v>1.5</v>
      </c>
      <c r="J11" s="3">
        <f t="shared" si="1"/>
        <v>15</v>
      </c>
      <c r="K11" s="1" t="s">
        <v>31</v>
      </c>
    </row>
    <row r="12" spans="1:11" ht="87" x14ac:dyDescent="0.35">
      <c r="A12" s="1">
        <v>5</v>
      </c>
      <c r="B12" s="1" t="s">
        <v>19</v>
      </c>
      <c r="C12" s="1" t="s">
        <v>14</v>
      </c>
      <c r="D12" s="1" t="s">
        <v>20</v>
      </c>
      <c r="E12" s="1" t="s">
        <v>22</v>
      </c>
      <c r="F12" s="1">
        <v>2</v>
      </c>
      <c r="G12" s="1">
        <v>20</v>
      </c>
      <c r="H12" s="1">
        <v>3</v>
      </c>
      <c r="I12" s="3">
        <f t="shared" si="0"/>
        <v>1.5</v>
      </c>
      <c r="J12" s="3">
        <f t="shared" si="1"/>
        <v>15</v>
      </c>
      <c r="K12" s="1" t="s">
        <v>42</v>
      </c>
    </row>
    <row r="13" spans="1:11" ht="43.5" x14ac:dyDescent="0.35">
      <c r="A13" s="1">
        <v>6</v>
      </c>
      <c r="B13" s="1" t="s">
        <v>23</v>
      </c>
      <c r="C13" s="1" t="s">
        <v>14</v>
      </c>
      <c r="D13" s="1" t="s">
        <v>1</v>
      </c>
      <c r="E13" s="1" t="s">
        <v>22</v>
      </c>
      <c r="F13" s="1">
        <v>1</v>
      </c>
      <c r="G13" s="1">
        <v>10</v>
      </c>
      <c r="H13" s="1">
        <v>2</v>
      </c>
      <c r="I13" s="1">
        <f t="shared" si="0"/>
        <v>2</v>
      </c>
      <c r="J13" s="1">
        <f t="shared" si="1"/>
        <v>20</v>
      </c>
      <c r="K13" s="1" t="s">
        <v>29</v>
      </c>
    </row>
  </sheetData>
  <mergeCells count="1">
    <mergeCell ref="A5:K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H13"/>
  <sheetViews>
    <sheetView workbookViewId="0">
      <selection activeCell="D17" sqref="D17"/>
    </sheetView>
  </sheetViews>
  <sheetFormatPr defaultRowHeight="14.5" x14ac:dyDescent="0.35"/>
  <cols>
    <col min="1" max="1" width="3.6328125" style="2" customWidth="1"/>
    <col min="2" max="2" width="27.6328125" style="2" customWidth="1"/>
    <col min="3" max="3" width="8.7265625" style="2"/>
    <col min="4" max="4" width="28.08984375" style="2" customWidth="1"/>
    <col min="5" max="5" width="10.453125" style="2" bestFit="1" customWidth="1"/>
    <col min="6" max="6" width="6.453125" style="2" bestFit="1" customWidth="1"/>
    <col min="7" max="7" width="6.81640625" style="2" bestFit="1" customWidth="1"/>
    <col min="8" max="8" width="67.36328125" style="2" customWidth="1"/>
    <col min="9" max="16384" width="8.7265625" style="2"/>
  </cols>
  <sheetData>
    <row r="5" spans="1:8" ht="75" customHeight="1" x14ac:dyDescent="0.35">
      <c r="A5" s="5" t="s">
        <v>36</v>
      </c>
      <c r="B5" s="5"/>
      <c r="C5" s="5"/>
      <c r="D5" s="5"/>
      <c r="E5" s="5"/>
      <c r="F5" s="5"/>
      <c r="G5" s="5"/>
      <c r="H5" s="5"/>
    </row>
    <row r="7" spans="1:8" ht="26" x14ac:dyDescent="0.35">
      <c r="A7" s="4" t="s">
        <v>30</v>
      </c>
      <c r="B7" s="4" t="s">
        <v>4</v>
      </c>
      <c r="C7" s="4" t="s">
        <v>5</v>
      </c>
      <c r="D7" s="4" t="s">
        <v>6</v>
      </c>
      <c r="E7" s="4" t="s">
        <v>21</v>
      </c>
      <c r="F7" s="4" t="s">
        <v>0</v>
      </c>
      <c r="G7" s="4" t="s">
        <v>7</v>
      </c>
      <c r="H7" s="4" t="s">
        <v>8</v>
      </c>
    </row>
    <row r="8" spans="1:8" ht="72.5" x14ac:dyDescent="0.35">
      <c r="A8" s="1">
        <v>1</v>
      </c>
      <c r="B8" s="1" t="s">
        <v>3</v>
      </c>
      <c r="C8" s="1" t="s">
        <v>9</v>
      </c>
      <c r="D8" s="1" t="s">
        <v>10</v>
      </c>
      <c r="E8" s="1" t="s">
        <v>22</v>
      </c>
      <c r="F8" s="1">
        <v>80</v>
      </c>
      <c r="G8" s="1">
        <v>15</v>
      </c>
      <c r="H8" s="1" t="s">
        <v>33</v>
      </c>
    </row>
    <row r="9" spans="1:8" ht="72.5" x14ac:dyDescent="0.35">
      <c r="A9" s="1">
        <v>2</v>
      </c>
      <c r="B9" s="1" t="s">
        <v>11</v>
      </c>
      <c r="C9" s="1" t="s">
        <v>9</v>
      </c>
      <c r="D9" s="1" t="s">
        <v>12</v>
      </c>
      <c r="E9" s="1" t="s">
        <v>22</v>
      </c>
      <c r="F9" s="1">
        <v>95</v>
      </c>
      <c r="G9" s="1">
        <v>15</v>
      </c>
      <c r="H9" s="1" t="s">
        <v>32</v>
      </c>
    </row>
    <row r="10" spans="1:8" ht="29" x14ac:dyDescent="0.35">
      <c r="A10" s="1">
        <v>3</v>
      </c>
      <c r="B10" s="1" t="s">
        <v>35</v>
      </c>
      <c r="C10" s="1" t="s">
        <v>14</v>
      </c>
      <c r="D10" s="1" t="s">
        <v>37</v>
      </c>
      <c r="E10" s="1" t="s">
        <v>22</v>
      </c>
      <c r="F10" s="1">
        <v>1</v>
      </c>
      <c r="G10" s="1">
        <v>20</v>
      </c>
      <c r="H10" s="1" t="s">
        <v>38</v>
      </c>
    </row>
    <row r="11" spans="1:8" ht="43.5" x14ac:dyDescent="0.35">
      <c r="A11" s="1">
        <v>4</v>
      </c>
      <c r="B11" s="1" t="s">
        <v>17</v>
      </c>
      <c r="C11" s="1" t="s">
        <v>14</v>
      </c>
      <c r="D11" s="1" t="s">
        <v>18</v>
      </c>
      <c r="E11" s="1" t="s">
        <v>22</v>
      </c>
      <c r="F11" s="1">
        <v>2</v>
      </c>
      <c r="G11" s="1">
        <v>20</v>
      </c>
      <c r="H11" s="1" t="s">
        <v>39</v>
      </c>
    </row>
    <row r="12" spans="1:8" ht="43.5" x14ac:dyDescent="0.35">
      <c r="A12" s="1">
        <v>5</v>
      </c>
      <c r="B12" s="1" t="s">
        <v>19</v>
      </c>
      <c r="C12" s="1" t="s">
        <v>14</v>
      </c>
      <c r="D12" s="1" t="s">
        <v>40</v>
      </c>
      <c r="E12" s="1" t="s">
        <v>22</v>
      </c>
      <c r="F12" s="1">
        <v>1</v>
      </c>
      <c r="G12" s="1">
        <v>20</v>
      </c>
      <c r="H12" s="1" t="s">
        <v>41</v>
      </c>
    </row>
    <row r="13" spans="1:8" ht="29" x14ac:dyDescent="0.35">
      <c r="A13" s="1">
        <v>6</v>
      </c>
      <c r="B13" s="1" t="s">
        <v>23</v>
      </c>
      <c r="C13" s="1" t="s">
        <v>14</v>
      </c>
      <c r="D13" s="1" t="s">
        <v>1</v>
      </c>
      <c r="E13" s="1" t="s">
        <v>22</v>
      </c>
      <c r="F13" s="1">
        <v>1</v>
      </c>
      <c r="G13" s="1">
        <v>10</v>
      </c>
      <c r="H13" s="1" t="s">
        <v>34</v>
      </c>
    </row>
  </sheetData>
  <mergeCells count="1">
    <mergeCell ref="A5:H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Outcome-2022</vt:lpstr>
      <vt:lpstr>Proposed-Draft-2023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Hesham Wahih Gomma</dc:creator>
  <cp:lastModifiedBy>Vinisha</cp:lastModifiedBy>
  <dcterms:created xsi:type="dcterms:W3CDTF">2020-01-02T09:22:10Z</dcterms:created>
  <dcterms:modified xsi:type="dcterms:W3CDTF">2023-02-02T12:52:22Z</dcterms:modified>
</cp:coreProperties>
</file>