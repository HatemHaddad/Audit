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0"/>
  <workbookPr defaultThemeVersion="124226"/>
  <mc:AlternateContent xmlns:mc="http://schemas.openxmlformats.org/markup-compatibility/2006">
    <mc:Choice Requires="x15">
      <x15ac:absPath xmlns:x15ac="http://schemas.microsoft.com/office/spreadsheetml/2010/11/ac" url="/Users/delmoghraby/Desktop/"/>
    </mc:Choice>
  </mc:AlternateContent>
  <xr:revisionPtr revIDLastSave="0" documentId="13_ncr:1_{CCD53BE2-FDAE-8249-AD63-1B3D54DD8D20}" xr6:coauthVersionLast="36" xr6:coauthVersionMax="36" xr10:uidLastSave="{00000000-0000-0000-0000-000000000000}"/>
  <bookViews>
    <workbookView xWindow="38400" yWindow="2020" windowWidth="38400" windowHeight="21140" activeTab="3" xr2:uid="{00000000-000D-0000-FFFF-FFFF00000000}"/>
  </bookViews>
  <sheets>
    <sheet name="Guideline" sheetId="23" r:id="rId1"/>
    <sheet name="Budget Summary" sheetId="26" r:id="rId2"/>
    <sheet name="Procurement SLA (Lead Time)" sheetId="36" state="hidden" r:id="rId3"/>
    <sheet name="Department Name" sheetId="33" r:id="rId4"/>
    <sheet name="Contact Information" sheetId="22" r:id="rId5"/>
    <sheet name="Procurement Follow-up Sheet " sheetId="24" state="hidden" r:id="rId6"/>
    <sheet name="Macro-Sheet" sheetId="21" r:id="rId7"/>
  </sheets>
  <calcPr calcId="181029"/>
</workbook>
</file>

<file path=xl/calcChain.xml><?xml version="1.0" encoding="utf-8"?>
<calcChain xmlns="http://schemas.openxmlformats.org/spreadsheetml/2006/main">
  <c r="B9" i="33" l="1"/>
  <c r="B10" i="33"/>
  <c r="B11" i="33"/>
  <c r="B12" i="33"/>
  <c r="B13" i="33"/>
  <c r="B14" i="33"/>
  <c r="B15" i="33"/>
  <c r="B16" i="33"/>
  <c r="B17" i="33"/>
  <c r="B18" i="33"/>
  <c r="B19" i="33"/>
  <c r="B20" i="33"/>
  <c r="B21" i="33"/>
  <c r="B22" i="33"/>
  <c r="B23" i="33"/>
  <c r="B24" i="33"/>
  <c r="B25" i="33"/>
  <c r="B26" i="33"/>
  <c r="B27" i="33"/>
  <c r="B28" i="33"/>
  <c r="B29" i="33"/>
  <c r="B30" i="33"/>
  <c r="B31" i="33"/>
  <c r="B32" i="33"/>
  <c r="B33" i="33"/>
  <c r="B34" i="33"/>
  <c r="B35" i="33"/>
  <c r="B36" i="33"/>
  <c r="B37" i="33"/>
  <c r="B8" i="33"/>
  <c r="C34" i="24" l="1"/>
  <c r="C6" i="24"/>
  <c r="C7" i="24"/>
  <c r="C8" i="24"/>
  <c r="C9" i="24"/>
  <c r="C10" i="24"/>
  <c r="C11" i="24"/>
  <c r="C12" i="24"/>
  <c r="C13" i="24"/>
  <c r="C14" i="24"/>
  <c r="C15" i="24"/>
  <c r="C16" i="24"/>
  <c r="C17" i="24"/>
  <c r="C18" i="24"/>
  <c r="C19" i="24"/>
  <c r="C20" i="24"/>
  <c r="C21" i="24"/>
  <c r="C22" i="24"/>
  <c r="C23" i="24"/>
  <c r="C24" i="24"/>
  <c r="C25" i="24"/>
  <c r="C26" i="24"/>
  <c r="C27" i="24"/>
  <c r="C28" i="24"/>
  <c r="C29" i="24"/>
  <c r="C30" i="24"/>
  <c r="C31" i="24"/>
  <c r="C32" i="24"/>
  <c r="C33" i="24"/>
  <c r="C5" i="24"/>
  <c r="B5" i="24" l="1"/>
  <c r="B6" i="24" l="1"/>
  <c r="B7" i="24"/>
  <c r="B8" i="24"/>
  <c r="B9" i="24"/>
  <c r="B10" i="24"/>
  <c r="B11" i="24"/>
  <c r="B12" i="24"/>
  <c r="B13" i="24"/>
  <c r="B14" i="24"/>
  <c r="B15" i="24"/>
  <c r="B16" i="24"/>
  <c r="B17" i="24"/>
  <c r="B18" i="24"/>
  <c r="B19" i="24"/>
  <c r="B20" i="24"/>
  <c r="B21" i="24"/>
  <c r="B22" i="24"/>
  <c r="B23" i="24"/>
  <c r="B24" i="24"/>
  <c r="B25" i="24"/>
  <c r="B26" i="24"/>
  <c r="B27" i="24"/>
  <c r="B28" i="24"/>
  <c r="B29" i="24"/>
  <c r="B30" i="24"/>
  <c r="B31" i="24"/>
  <c r="B32" i="24"/>
  <c r="B33" i="24"/>
  <c r="B34" i="24"/>
  <c r="E35" i="24" l="1"/>
  <c r="D5" i="26" l="1"/>
  <c r="E5" i="26"/>
  <c r="H5" i="26"/>
  <c r="I5" i="26"/>
  <c r="F4" i="33"/>
  <c r="E4" i="33"/>
  <c r="F5" i="26"/>
  <c r="E38" i="33"/>
  <c r="H4" i="33" s="1"/>
  <c r="D38" i="33"/>
  <c r="G4" i="33" s="1"/>
  <c r="C4" i="33"/>
  <c r="C3" i="33"/>
  <c r="G5" i="26" l="1"/>
  <c r="I4" i="33"/>
  <c r="J4" i="33"/>
</calcChain>
</file>

<file path=xl/sharedStrings.xml><?xml version="1.0" encoding="utf-8"?>
<sst xmlns="http://schemas.openxmlformats.org/spreadsheetml/2006/main" count="199" uniqueCount="142">
  <si>
    <t>Requirements
Complete (Yes/No)</t>
  </si>
  <si>
    <t>Status</t>
  </si>
  <si>
    <t>Jan</t>
  </si>
  <si>
    <t>Feb</t>
  </si>
  <si>
    <t>Aug</t>
  </si>
  <si>
    <t>Oct</t>
  </si>
  <si>
    <t>Nov</t>
  </si>
  <si>
    <t>Dec</t>
  </si>
  <si>
    <t>PO/SO Number</t>
  </si>
  <si>
    <t>PO/SO Date</t>
  </si>
  <si>
    <t>Description of Goods/services/works (Specifications)</t>
  </si>
  <si>
    <t>Requisition Date</t>
  </si>
  <si>
    <t>Requirement Date/Need Date</t>
  </si>
  <si>
    <t>On time</t>
  </si>
  <si>
    <t>Late</t>
  </si>
  <si>
    <t>Slightly Late</t>
  </si>
  <si>
    <t>Comments</t>
  </si>
  <si>
    <t>Guide to Completing the Annual Procurement Plan (APP)</t>
  </si>
  <si>
    <t>* There are a number of factors a department may wish to consider when deciding which procurements to include in the APP. These may include: 
• The likely significance of the procurement; 
• The likely value; 
• The likelihood of the procurement actually occurring and determine the need date; and 
• The type of procurement.</t>
  </si>
  <si>
    <t>Delivery Location</t>
  </si>
  <si>
    <t>Good Description</t>
  </si>
  <si>
    <t xml:space="preserve">Electronic records management system to maintain all official documents </t>
  </si>
  <si>
    <t xml:space="preserve">Design and development of a website for health promotion services </t>
  </si>
  <si>
    <t>Panel of legal services providers</t>
  </si>
  <si>
    <t>Bad Description</t>
  </si>
  <si>
    <t>GOOD PRACTICE EXAMPLES</t>
  </si>
  <si>
    <t>IT system (too general)</t>
  </si>
  <si>
    <t>Telephones (inadequate indication of size and scope)</t>
  </si>
  <si>
    <t>Panel of service providers (insufficient description of the service)</t>
  </si>
  <si>
    <r>
      <t xml:space="preserve">The subject matter of the procurement is described in the General Description column of the APP. 
The wording for the summary of the planned procurement should be short and in plain English. 
       </t>
    </r>
    <r>
      <rPr>
        <b/>
        <u/>
        <sz val="11"/>
        <color theme="1"/>
        <rFont val="Calibri"/>
        <family val="2"/>
        <scheme val="minor"/>
      </rPr>
      <t xml:space="preserve">1. When specifying details of a procurement, it is good practice to include information about: </t>
    </r>
    <r>
      <rPr>
        <sz val="11"/>
        <color theme="1"/>
        <rFont val="Calibri"/>
        <family val="2"/>
        <scheme val="minor"/>
      </rPr>
      <t xml:space="preserve">
a. the likely scale or volume of the procurement; 
b. the delivery location(s); 
c. the planned method of procurement including details of any intended panel arrangements; and 
d. the likely contract duration (in the Comment field) 
     </t>
    </r>
    <r>
      <rPr>
        <b/>
        <u/>
        <sz val="11"/>
        <color theme="1"/>
        <rFont val="Calibri"/>
        <family val="2"/>
        <scheme val="minor"/>
      </rPr>
      <t xml:space="preserve">  2. When listing planned procurements, End Users should </t>
    </r>
    <r>
      <rPr>
        <b/>
        <u/>
        <sz val="11"/>
        <color rgb="FFFF0000"/>
        <rFont val="Calibri"/>
        <family val="2"/>
        <scheme val="minor"/>
      </rPr>
      <t>avoid</t>
    </r>
    <r>
      <rPr>
        <b/>
        <u/>
        <sz val="11"/>
        <color theme="1"/>
        <rFont val="Calibri"/>
        <family val="2"/>
        <scheme val="minor"/>
      </rPr>
      <t xml:space="preserve"> descriptions that:  </t>
    </r>
    <r>
      <rPr>
        <b/>
        <u/>
        <sz val="11"/>
        <color theme="4"/>
        <rFont val="Calibri"/>
        <family val="2"/>
        <scheme val="minor"/>
      </rPr>
      <t>(also see example below)</t>
    </r>
    <r>
      <rPr>
        <sz val="11"/>
        <color theme="1"/>
        <rFont val="Calibri"/>
        <family val="2"/>
        <scheme val="minor"/>
      </rPr>
      <t xml:space="preserve">
a. are too general or broad; 
b. give an inadequate indication of the scope of the procurement; 
c. use overly technical terms or jargon; or 
d. inadequately describe the type of property or services sought.</t>
    </r>
  </si>
  <si>
    <t xml:space="preserve">Blueprint for expansion of mainstream electronic information dissemination strategy for publications encouraging improved knowledge and awareness of “Healthy UAE” program (too technical and obscure) </t>
  </si>
  <si>
    <t>Updating Annual Procurement Plans</t>
  </si>
  <si>
    <r>
      <t xml:space="preserve">* APP Co-ordinators will be contacted regularly on a quarterly basis by Commercial Planning Team to Check and review all planned procurement to make sure that all schedules are met.
</t>
    </r>
    <r>
      <rPr>
        <b/>
        <sz val="11"/>
        <color rgb="FFFF0000"/>
        <rFont val="Calibri"/>
        <family val="2"/>
        <scheme val="minor"/>
      </rPr>
      <t>For any questions please refer to the instructions sheet below and contact the Commercial Planning Team.</t>
    </r>
  </si>
  <si>
    <t xml:space="preserve">Buyer Name </t>
  </si>
  <si>
    <t>APPROVED BUDGET</t>
  </si>
  <si>
    <t>UTILISED BUDGET</t>
  </si>
  <si>
    <t>AVAILABLE BUDGET</t>
  </si>
  <si>
    <t>Sl No</t>
  </si>
  <si>
    <t>DEPARTMENT</t>
  </si>
  <si>
    <t>CAPITAL</t>
  </si>
  <si>
    <t>OPERATING</t>
  </si>
  <si>
    <t>CAPEX</t>
  </si>
  <si>
    <t>OPEX</t>
  </si>
  <si>
    <t>Budget Category</t>
  </si>
  <si>
    <t>Deliver Location</t>
  </si>
  <si>
    <t>Main Campus</t>
  </si>
  <si>
    <t>Sas Al Nkhal Campus</t>
  </si>
  <si>
    <t>MI Campus</t>
  </si>
  <si>
    <t>DEPARTMENT NAME</t>
  </si>
  <si>
    <t>TOTAL</t>
  </si>
  <si>
    <t xml:space="preserve">Total Expenditure </t>
  </si>
  <si>
    <t xml:space="preserve">Procurement &amp; Contracts Department </t>
  </si>
  <si>
    <t>Purchase Requisition Value</t>
  </si>
  <si>
    <t xml:space="preserve">Section </t>
  </si>
  <si>
    <t>Section</t>
  </si>
  <si>
    <t>Procurement</t>
  </si>
  <si>
    <t>Contracts</t>
  </si>
  <si>
    <t>Material Management</t>
  </si>
  <si>
    <t>Purchase Requisition Assign Date</t>
  </si>
  <si>
    <t xml:space="preserve">Bidders List Date
Approved </t>
  </si>
  <si>
    <t>SOW/SOS
Completion Date</t>
  </si>
  <si>
    <t>Requirement Status</t>
  </si>
  <si>
    <t>Award Value</t>
  </si>
  <si>
    <t>Delivery Date</t>
  </si>
  <si>
    <t xml:space="preserve">Comments </t>
  </si>
  <si>
    <t>Procurement Schedule</t>
  </si>
  <si>
    <t>Procurement Method</t>
  </si>
  <si>
    <t xml:space="preserve">Type of Supply </t>
  </si>
  <si>
    <t xml:space="preserve">Goods </t>
  </si>
  <si>
    <t xml:space="preserve">Services </t>
  </si>
  <si>
    <t>Materials</t>
  </si>
  <si>
    <t>Q2</t>
  </si>
  <si>
    <t>Q3</t>
  </si>
  <si>
    <t>Q4</t>
  </si>
  <si>
    <t>Months</t>
  </si>
  <si>
    <t>Mar</t>
  </si>
  <si>
    <t>Apr</t>
  </si>
  <si>
    <t>May</t>
  </si>
  <si>
    <t>Jun</t>
  </si>
  <si>
    <t>Jul</t>
  </si>
  <si>
    <t>Sep</t>
  </si>
  <si>
    <t>Days</t>
  </si>
  <si>
    <t>Quarters</t>
  </si>
  <si>
    <t>All Campuses</t>
  </si>
  <si>
    <t>Expected Requisition Approved Date</t>
  </si>
  <si>
    <t>Purchase Requisition Number (if available)</t>
  </si>
  <si>
    <t>Q1</t>
  </si>
  <si>
    <t>Approved Purchase Requisition Number</t>
  </si>
  <si>
    <t>Requisition
Receipt Date</t>
  </si>
  <si>
    <t>Plan Ref. Number</t>
  </si>
  <si>
    <r>
      <rPr>
        <b/>
        <u/>
        <sz val="11"/>
        <color theme="1"/>
        <rFont val="Calibri"/>
        <family val="2"/>
        <scheme val="minor"/>
      </rPr>
      <t>Purpose</t>
    </r>
    <r>
      <rPr>
        <sz val="11"/>
        <color theme="1"/>
        <rFont val="Calibri"/>
        <family val="2"/>
        <scheme val="minor"/>
      </rPr>
      <t xml:space="preserve">
The Annual Procurement planning is the process of identifying and consolidating requirements and determining the timeframes for their procurement with the aim of having them as and when they are required. Also, it will help Procurement &amp; Contracts Department to arrange its work force accordingly in order to achieve the efficiency and effectiveness in the procurement process.</t>
    </r>
  </si>
  <si>
    <r>
      <rPr>
        <b/>
        <u/>
        <sz val="11"/>
        <color theme="1"/>
        <rFont val="Calibri"/>
        <family val="2"/>
        <scheme val="minor"/>
      </rPr>
      <t>Objective:</t>
    </r>
    <r>
      <rPr>
        <sz val="11"/>
        <color theme="1"/>
        <rFont val="Calibri"/>
        <family val="2"/>
        <scheme val="minor"/>
      </rPr>
      <t xml:space="preserve">
The objective is to ensure that there is a consistent and transparent approach to handling procurement activities at KU Academic and Administrative departments by assisting them with the planning for the procurement of goods, works or services in a pro-active manner and to move away from merely reacting to purchasing requests.</t>
    </r>
  </si>
  <si>
    <r>
      <t xml:space="preserve">* Departments should appoint an </t>
    </r>
    <r>
      <rPr>
        <b/>
        <sz val="11"/>
        <color rgb="FFFF0000"/>
        <rFont val="Calibri"/>
        <family val="2"/>
        <scheme val="minor"/>
      </rPr>
      <t>APP Co-ordinator</t>
    </r>
    <r>
      <rPr>
        <sz val="11"/>
        <color theme="1"/>
        <rFont val="Calibri"/>
        <family val="2"/>
        <scheme val="minor"/>
      </rPr>
      <t>. Appointing an APP Co-ordinator establishes the basis for a coordinated approach across the department. The Co-ordinator can be responsible for collating information, drafting the APP, submitting the APP for approval from line manager and managing reviews and updates during the year. 
* The Co-Ordinator is also required to arrange with other departments to submit their procurement project/initiative especially if it is going to be consumed from the said department(s) budget.</t>
    </r>
  </si>
  <si>
    <r>
      <rPr>
        <b/>
        <u/>
        <sz val="11"/>
        <color theme="1"/>
        <rFont val="Calibri"/>
        <family val="2"/>
        <scheme val="minor"/>
      </rPr>
      <t>Guideline:</t>
    </r>
    <r>
      <rPr>
        <sz val="11"/>
        <color theme="1"/>
        <rFont val="Calibri"/>
        <family val="2"/>
        <scheme val="minor"/>
      </rPr>
      <t xml:space="preserve">
* All academic and administrative departments shall prepare a procurement plan for goods/services according to  the Procurement &amp; Contracts Policy and as well as Management's directions.
“Commercial Planning &amp; Support Section” will meet regularly with User Departments to review all plans to  procure goods and services for KU, and to determine which goods and services should be procured centrally through Procurement &amp; Contracts, through pricing agreements or any other methods of procurement</t>
    </r>
  </si>
  <si>
    <r>
      <rPr>
        <b/>
        <u/>
        <sz val="11"/>
        <color theme="1"/>
        <rFont val="Calibri"/>
        <family val="2"/>
        <scheme val="minor"/>
      </rPr>
      <t>Estimated Need date:</t>
    </r>
    <r>
      <rPr>
        <sz val="11"/>
        <color theme="1"/>
        <rFont val="Calibri"/>
        <family val="2"/>
        <scheme val="minor"/>
      </rPr>
      <t xml:space="preserve">
1. Departments are required to indicate the planned timing for acquiring the service/goods/works in the Planned Procurement Need date section of the APP. It is good practice to indicate the planned timing as specifically as possible by selecting the month of the planned need date. This will assist Procurement &amp; Contracts to plan for approaching the market as per the pre-agreed SLA. 
2. This information should include also software renewal and acquiring any addtional new software. Where additional information about timing is known, such as the expiry date of a current contract or details of the likely contract commencement date, it is good practice to include this information in the APP.</t>
    </r>
  </si>
  <si>
    <t>Type of Purchase for Product, Good, or Service</t>
  </si>
  <si>
    <t xml:space="preserve">Direct Purchase </t>
  </si>
  <si>
    <t xml:space="preserve">Purchase of Materials/Services </t>
  </si>
  <si>
    <t xml:space="preserve">Major Projects/ Service Contracts </t>
  </si>
  <si>
    <t xml:space="preserve">Less Than AED 250,000 </t>
  </si>
  <si>
    <t xml:space="preserve">Equal or Above AED 250,000 </t>
  </si>
  <si>
    <t>25  working days</t>
  </si>
  <si>
    <t>21  working days</t>
  </si>
  <si>
    <t>36  working days</t>
  </si>
  <si>
    <t>90-120 working days</t>
  </si>
  <si>
    <t>Commercial Evaluation Period*</t>
  </si>
  <si>
    <t xml:space="preserve">* The Evaluation Period will be adjusted based on tender type and will be agreed upon with the User Department </t>
  </si>
  <si>
    <t>10  working days</t>
  </si>
  <si>
    <t>NA</t>
  </si>
  <si>
    <t xml:space="preserve">Replacement of voice services to 1000 staff in all KU and Project offices </t>
  </si>
  <si>
    <t>Repeat Order</t>
  </si>
  <si>
    <t>Direct Purchase (Single Source)</t>
  </si>
  <si>
    <t>Tendering/Competitive Bidding</t>
  </si>
  <si>
    <t>Procurement Cycle Time (Days)</t>
  </si>
  <si>
    <t>Planning for the amount of time to process a Requisition depends largely on the complexity of the procurement, the receipt date of approved and completed Purchase Requisition, the type of procurement method being pursued, the value, the workload in the Procurement &amp; Contracts Department, and the contracting document being utilised. Listed below is an average amount of processing Cycle time (days) for each method of procurement, including distribution of the contract/PO document (does not include delivery time)</t>
  </si>
  <si>
    <t>Technical Evaluation Period*</t>
  </si>
  <si>
    <r>
      <t>Instructions</t>
    </r>
    <r>
      <rPr>
        <b/>
        <u/>
        <sz val="10"/>
        <rFont val="Arial"/>
        <family val="2"/>
      </rPr>
      <t xml:space="preserve">
</t>
    </r>
    <r>
      <rPr>
        <b/>
        <sz val="10"/>
        <rFont val="Arial"/>
        <family val="2"/>
      </rPr>
      <t>1.</t>
    </r>
    <r>
      <rPr>
        <sz val="10"/>
        <rFont val="Arial"/>
        <family val="2"/>
      </rPr>
      <t xml:space="preserve"> Save this document as your APP. Please use the following file naming protocol: </t>
    </r>
    <r>
      <rPr>
        <b/>
        <sz val="10"/>
        <color rgb="FFFF0000"/>
        <rFont val="Arial"/>
        <family val="2"/>
      </rPr>
      <t>&lt;your department&gt; APP &lt;last update (insert date)&gt;</t>
    </r>
    <r>
      <rPr>
        <sz val="10"/>
        <rFont val="Arial"/>
        <family val="2"/>
      </rPr>
      <t xml:space="preserve"> (eg: 'MED APP last updated 18 June 2015')
</t>
    </r>
    <r>
      <rPr>
        <b/>
        <sz val="10"/>
        <rFont val="Arial"/>
        <family val="2"/>
      </rPr>
      <t>2.</t>
    </r>
    <r>
      <rPr>
        <sz val="10"/>
        <rFont val="Arial"/>
        <family val="2"/>
      </rPr>
      <t xml:space="preserve"> To prepare your APP go to the red tab below called 'APP Template' and start listing your forecast tender opportunities. 
</t>
    </r>
    <r>
      <rPr>
        <b/>
        <sz val="10"/>
        <rFont val="Arial"/>
        <family val="2"/>
      </rPr>
      <t>3.</t>
    </r>
    <r>
      <rPr>
        <sz val="10"/>
        <rFont val="Arial"/>
        <family val="2"/>
      </rPr>
      <t xml:space="preserve"> For the guideline on how to complete the APP template go to the yellow tabs below 'Guideline"
</t>
    </r>
    <r>
      <rPr>
        <b/>
        <sz val="10"/>
        <rFont val="Arial"/>
        <family val="2"/>
      </rPr>
      <t xml:space="preserve">4. </t>
    </r>
    <r>
      <rPr>
        <sz val="10"/>
        <rFont val="Arial"/>
        <family val="2"/>
      </rPr>
      <t xml:space="preserve">Once you have completed your APP </t>
    </r>
    <r>
      <rPr>
        <b/>
        <sz val="10"/>
        <rFont val="Arial"/>
        <family val="2"/>
      </rPr>
      <t xml:space="preserve">e-mail it to (Procurement Planning) Section to: </t>
    </r>
    <r>
      <rPr>
        <b/>
        <u/>
        <sz val="10"/>
        <color rgb="FFFF0000"/>
        <rFont val="Arial"/>
        <family val="2"/>
      </rPr>
      <t xml:space="preserve">
Mr. Humaid Al Ansari
Manager, </t>
    </r>
    <r>
      <rPr>
        <b/>
        <sz val="10"/>
        <color rgb="FFFF0000"/>
        <rFont val="Arial"/>
        <family val="2"/>
      </rPr>
      <t xml:space="preserve">Planning &amp; Vendor Management
humaid.alansari@ku.ac.ae
Tel: 026075757
</t>
    </r>
    <r>
      <rPr>
        <b/>
        <sz val="10"/>
        <rFont val="Arial"/>
        <family val="2"/>
      </rPr>
      <t>5.</t>
    </r>
    <r>
      <rPr>
        <b/>
        <sz val="10"/>
        <color rgb="FFFF0000"/>
        <rFont val="Arial"/>
        <family val="2"/>
      </rPr>
      <t xml:space="preserve"> All Correspondence and Clarifications have to directed to the below email :
humaid.alansari@ku.ac.ae</t>
    </r>
    <r>
      <rPr>
        <b/>
        <u/>
        <sz val="10"/>
        <color rgb="FFFF0000"/>
        <rFont val="Arial"/>
        <family val="2"/>
      </rPr>
      <t xml:space="preserve">
</t>
    </r>
    <r>
      <rPr>
        <b/>
        <sz val="10"/>
        <color rgb="FFFF0000"/>
        <rFont val="Arial"/>
        <family val="2"/>
      </rPr>
      <t xml:space="preserve">
</t>
    </r>
    <r>
      <rPr>
        <b/>
        <sz val="10"/>
        <rFont val="Arial"/>
        <family val="2"/>
      </rPr>
      <t>6.</t>
    </r>
    <r>
      <rPr>
        <sz val="10"/>
        <rFont val="Arial"/>
        <family val="2"/>
      </rPr>
      <t xml:space="preserve"> Make a note in your diary to update your APP every 3 months. Commercial Planning Team will contact you.
</t>
    </r>
    <r>
      <rPr>
        <b/>
        <sz val="10"/>
        <rFont val="Arial"/>
        <family val="2"/>
      </rPr>
      <t xml:space="preserve">
7. </t>
    </r>
    <r>
      <rPr>
        <b/>
        <sz val="10"/>
        <color rgb="FFFF0000"/>
        <rFont val="Arial"/>
        <family val="2"/>
      </rPr>
      <t>APP Coordinator need to be appointed by the department in order to fill out and update the APP regularly</t>
    </r>
  </si>
  <si>
    <t>2020 Budget Summary</t>
  </si>
  <si>
    <t xml:space="preserve">ANNUAL PROCUREMENT PLAN 2020 </t>
  </si>
  <si>
    <t>CAPEX Budget</t>
  </si>
  <si>
    <t xml:space="preserve"> OPEX Budget</t>
  </si>
  <si>
    <t>Suggested Supplier List</t>
  </si>
  <si>
    <t>Blanket Purchase Agreement</t>
  </si>
  <si>
    <t>Variation Order on Existing Agreement</t>
  </si>
  <si>
    <t>Month, if known</t>
  </si>
  <si>
    <t>Day, if known</t>
  </si>
  <si>
    <t>Department Head Name</t>
  </si>
  <si>
    <t xml:space="preserve">Ansys Academic Research </t>
  </si>
  <si>
    <t>Comsol software</t>
  </si>
  <si>
    <t>Lumerical academic site license</t>
  </si>
  <si>
    <t>IBM Platform HPC Service Support</t>
  </si>
  <si>
    <t>Intel Parallel Studio</t>
  </si>
  <si>
    <t>OpenLM License Management Software</t>
  </si>
  <si>
    <t>Atlassian Confluence</t>
  </si>
  <si>
    <t>Mobaxterm</t>
  </si>
  <si>
    <t>Gaussian</t>
  </si>
  <si>
    <t xml:space="preserve"> </t>
  </si>
  <si>
    <t>Software required for research</t>
  </si>
  <si>
    <t>HPC and associated system</t>
  </si>
  <si>
    <t>This is still under discussion for funding and RFP is already underway</t>
  </si>
  <si>
    <t>Renewal of Hardware support for MI cluster</t>
  </si>
  <si>
    <t>Renewal for hardware support for MI Cluster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</si>
</sst>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Red]#,##0.00"/>
  </numFmts>
  <fonts count="39" x14ac:knownFonts="1">
    <font>
      <sz val="11"/>
      <color theme="1"/>
      <name val="Calibri"/>
      <family val="2"/>
      <scheme val="minor"/>
    </font>
    <font>
      <sz val="10"/>
      <name val="Arial"/>
      <family val="2"/>
    </font>
    <font>
      <sz val="10"/>
      <name val="Verdana"/>
      <family val="2"/>
    </font>
    <font>
      <sz val="11"/>
      <color theme="1"/>
      <name val="Calibri"/>
      <family val="2"/>
      <scheme val="minor"/>
    </font>
    <font>
      <b/>
      <sz val="11"/>
      <color theme="0"/>
      <name val="Calibri"/>
      <family val="2"/>
      <scheme val="minor"/>
    </font>
    <font>
      <b/>
      <sz val="11"/>
      <color theme="1"/>
      <name val="Calibri"/>
      <family val="2"/>
      <scheme val="minor"/>
    </font>
    <font>
      <sz val="10"/>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b/>
      <u/>
      <sz val="12"/>
      <name val="Arial"/>
      <family val="2"/>
    </font>
    <font>
      <b/>
      <u/>
      <sz val="10"/>
      <name val="Arial"/>
      <family val="2"/>
    </font>
    <font>
      <b/>
      <sz val="10"/>
      <name val="Arial"/>
      <family val="2"/>
    </font>
    <font>
      <b/>
      <sz val="10"/>
      <color rgb="FFFF0000"/>
      <name val="Arial"/>
      <family val="2"/>
    </font>
    <font>
      <b/>
      <u/>
      <sz val="10"/>
      <color rgb="FFFF0000"/>
      <name val="Arial"/>
      <family val="2"/>
    </font>
    <font>
      <b/>
      <u/>
      <sz val="11"/>
      <color theme="1"/>
      <name val="Calibri"/>
      <family val="2"/>
      <scheme val="minor"/>
    </font>
    <font>
      <sz val="11"/>
      <color rgb="FF006100"/>
      <name val="Calibri"/>
      <family val="2"/>
      <scheme val="minor"/>
    </font>
    <font>
      <sz val="11"/>
      <color rgb="FF9C0006"/>
      <name val="Calibri"/>
      <family val="2"/>
      <scheme val="minor"/>
    </font>
    <font>
      <b/>
      <u/>
      <sz val="11"/>
      <color rgb="FFFF0000"/>
      <name val="Calibri"/>
      <family val="2"/>
      <scheme val="minor"/>
    </font>
    <font>
      <b/>
      <u/>
      <sz val="11"/>
      <color theme="4"/>
      <name val="Calibri"/>
      <family val="2"/>
      <scheme val="minor"/>
    </font>
    <font>
      <b/>
      <sz val="11"/>
      <color rgb="FF9C0006"/>
      <name val="Calibri"/>
      <family val="2"/>
      <scheme val="minor"/>
    </font>
    <font>
      <b/>
      <sz val="11"/>
      <color rgb="FF006100"/>
      <name val="Calibri"/>
      <family val="2"/>
      <scheme val="minor"/>
    </font>
    <font>
      <sz val="11"/>
      <name val="Calibri"/>
      <family val="2"/>
      <scheme val="minor"/>
    </font>
    <font>
      <b/>
      <u/>
      <sz val="11"/>
      <color theme="5"/>
      <name val="Calibri"/>
      <family val="2"/>
      <scheme val="minor"/>
    </font>
    <font>
      <b/>
      <sz val="11"/>
      <color rgb="FFFF0000"/>
      <name val="Calibri"/>
      <family val="2"/>
      <scheme val="minor"/>
    </font>
    <font>
      <b/>
      <sz val="20"/>
      <color theme="1"/>
      <name val="Calibri"/>
      <family val="2"/>
      <scheme val="minor"/>
    </font>
    <font>
      <b/>
      <sz val="10"/>
      <color theme="1"/>
      <name val="Tahoma"/>
      <family val="2"/>
    </font>
    <font>
      <sz val="10"/>
      <color theme="1"/>
      <name val="Tahoma"/>
      <family val="2"/>
    </font>
    <font>
      <sz val="18"/>
      <color rgb="FFFF0000"/>
      <name val="Calibri"/>
      <family val="2"/>
      <scheme val="minor"/>
    </font>
    <font>
      <b/>
      <sz val="11"/>
      <name val="Calibri"/>
      <family val="2"/>
      <scheme val="minor"/>
    </font>
    <font>
      <b/>
      <sz val="18"/>
      <name val="Arial"/>
      <family val="2"/>
    </font>
    <font>
      <b/>
      <sz val="16"/>
      <color theme="1"/>
      <name val="Calibri"/>
      <family val="2"/>
      <scheme val="minor"/>
    </font>
    <font>
      <sz val="10"/>
      <color theme="1"/>
      <name val="Calibri"/>
      <family val="2"/>
      <scheme val="minor"/>
    </font>
    <font>
      <u/>
      <sz val="11"/>
      <color theme="10"/>
      <name val="Calibri"/>
      <family val="2"/>
      <scheme val="minor"/>
    </font>
    <font>
      <b/>
      <sz val="12"/>
      <name val="Calibri"/>
      <family val="2"/>
      <scheme val="minor"/>
    </font>
    <font>
      <i/>
      <sz val="10"/>
      <name val="Calibri"/>
      <family val="2"/>
      <scheme val="minor"/>
    </font>
    <font>
      <b/>
      <i/>
      <sz val="10"/>
      <name val="Calibri"/>
      <family val="2"/>
      <scheme val="minor"/>
    </font>
    <font>
      <sz val="10"/>
      <color rgb="FFFF0000"/>
      <name val="Calibri"/>
      <family val="2"/>
      <scheme val="minor"/>
    </font>
    <font>
      <b/>
      <sz val="11"/>
      <name val="Calibri"/>
      <family val="2"/>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FF00"/>
        <bgColor indexed="64"/>
      </patternFill>
    </fill>
    <fill>
      <patternFill patternType="solid">
        <fgColor theme="7" tint="0.79998168889431442"/>
        <bgColor indexed="64"/>
      </patternFill>
    </fill>
    <fill>
      <patternFill patternType="solid">
        <fgColor rgb="FF92D050"/>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rgb="FF00B0F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double">
        <color indexed="64"/>
      </left>
      <right/>
      <top/>
      <bottom/>
      <diagonal/>
    </border>
    <border>
      <left/>
      <right style="thin">
        <color indexed="64"/>
      </right>
      <top style="thin">
        <color indexed="64"/>
      </top>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double">
        <color indexed="64"/>
      </left>
      <right/>
      <top/>
      <bottom style="thin">
        <color indexed="64"/>
      </bottom>
      <diagonal/>
    </border>
    <border>
      <left/>
      <right/>
      <top style="thin">
        <color indexed="64"/>
      </top>
      <bottom style="double">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thin">
        <color rgb="FF979991"/>
      </left>
      <right/>
      <top style="thin">
        <color rgb="FF979991"/>
      </top>
      <bottom/>
      <diagonal/>
    </border>
  </borders>
  <cellStyleXfs count="9">
    <xf numFmtId="0" fontId="0" fillId="0" borderId="0"/>
    <xf numFmtId="0" fontId="3" fillId="0" borderId="0"/>
    <xf numFmtId="0" fontId="2" fillId="0" borderId="0"/>
    <xf numFmtId="0" fontId="1" fillId="0" borderId="0"/>
    <xf numFmtId="0" fontId="2" fillId="0" borderId="0"/>
    <xf numFmtId="0" fontId="16" fillId="2" borderId="0" applyNumberFormat="0" applyBorder="0" applyAlignment="0" applyProtection="0"/>
    <xf numFmtId="0" fontId="17" fillId="3" borderId="0" applyNumberFormat="0" applyBorder="0" applyAlignment="0" applyProtection="0"/>
    <xf numFmtId="43" fontId="3" fillId="0" borderId="0" applyFont="0" applyFill="0" applyBorder="0" applyAlignment="0" applyProtection="0"/>
    <xf numFmtId="0" fontId="33" fillId="0" borderId="0" applyNumberFormat="0" applyFill="0" applyBorder="0" applyAlignment="0" applyProtection="0"/>
  </cellStyleXfs>
  <cellXfs count="147">
    <xf numFmtId="0" fontId="0" fillId="0" borderId="0" xfId="0"/>
    <xf numFmtId="0" fontId="6" fillId="0" borderId="1" xfId="0" applyFont="1" applyFill="1" applyBorder="1" applyAlignment="1" applyProtection="1">
      <alignment horizontal="left" vertical="center" wrapText="1"/>
      <protection locked="0"/>
    </xf>
    <xf numFmtId="0" fontId="8" fillId="0" borderId="1" xfId="0" applyFont="1" applyFill="1" applyBorder="1" applyAlignment="1">
      <alignment horizontal="center" vertical="center"/>
    </xf>
    <xf numFmtId="0" fontId="6" fillId="0" borderId="1" xfId="0" applyFont="1" applyFill="1" applyBorder="1" applyAlignment="1" applyProtection="1">
      <alignment horizontal="center" vertical="center"/>
      <protection locked="0"/>
    </xf>
    <xf numFmtId="0" fontId="9" fillId="0" borderId="1" xfId="0" applyFont="1" applyFill="1" applyBorder="1" applyAlignment="1" applyProtection="1">
      <alignment horizontal="center" vertical="center" wrapText="1"/>
      <protection locked="0"/>
    </xf>
    <xf numFmtId="49" fontId="6" fillId="0" borderId="1" xfId="0" applyNumberFormat="1" applyFont="1" applyFill="1" applyBorder="1" applyAlignment="1" applyProtection="1">
      <alignment wrapText="1"/>
    </xf>
    <xf numFmtId="0" fontId="6" fillId="0" borderId="1" xfId="0" quotePrefix="1" applyFont="1" applyFill="1" applyBorder="1" applyAlignment="1" applyProtection="1">
      <alignment wrapText="1"/>
    </xf>
    <xf numFmtId="49" fontId="6" fillId="0" borderId="1" xfId="0" quotePrefix="1" applyNumberFormat="1" applyFont="1" applyFill="1" applyBorder="1" applyAlignment="1" applyProtection="1">
      <alignment horizontal="left" wrapText="1"/>
    </xf>
    <xf numFmtId="0" fontId="6" fillId="0" borderId="1" xfId="0" applyFont="1" applyFill="1" applyBorder="1" applyAlignment="1" applyProtection="1">
      <alignment wrapText="1"/>
    </xf>
    <xf numFmtId="49" fontId="6" fillId="0" borderId="1" xfId="0" quotePrefix="1" applyNumberFormat="1" applyFont="1" applyFill="1" applyBorder="1" applyAlignment="1" applyProtection="1">
      <alignment wrapText="1"/>
    </xf>
    <xf numFmtId="0" fontId="7" fillId="0" borderId="1" xfId="0" applyFont="1" applyFill="1" applyBorder="1" applyAlignment="1" applyProtection="1">
      <alignment horizontal="center" wrapText="1"/>
    </xf>
    <xf numFmtId="0" fontId="6" fillId="0" borderId="1" xfId="0" applyFont="1" applyFill="1" applyBorder="1" applyAlignment="1">
      <alignment vertical="center" wrapText="1"/>
    </xf>
    <xf numFmtId="0" fontId="4" fillId="0" borderId="1" xfId="0" applyFont="1" applyFill="1" applyBorder="1" applyAlignment="1" applyProtection="1">
      <protection locked="0"/>
    </xf>
    <xf numFmtId="0" fontId="5" fillId="0" borderId="0" xfId="0" applyFont="1" applyAlignment="1">
      <alignment horizontal="center"/>
    </xf>
    <xf numFmtId="0" fontId="0" fillId="0" borderId="0" xfId="0" applyAlignment="1">
      <alignment vertical="center"/>
    </xf>
    <xf numFmtId="0" fontId="0" fillId="0" borderId="0" xfId="0" applyAlignment="1">
      <alignment horizontal="justify" vertical="center" wrapText="1"/>
    </xf>
    <xf numFmtId="0" fontId="0" fillId="0" borderId="0" xfId="0" applyAlignment="1">
      <alignment wrapText="1"/>
    </xf>
    <xf numFmtId="0" fontId="15" fillId="0" borderId="0" xfId="0" applyFont="1"/>
    <xf numFmtId="0" fontId="21" fillId="2" borderId="7" xfId="5" applyFont="1" applyBorder="1" applyAlignment="1">
      <alignment vertical="center" wrapText="1"/>
    </xf>
    <xf numFmtId="0" fontId="22" fillId="2" borderId="8" xfId="5" applyFont="1" applyBorder="1" applyAlignment="1">
      <alignment vertical="center" wrapText="1"/>
    </xf>
    <xf numFmtId="0" fontId="22" fillId="2" borderId="9" xfId="5" applyFont="1" applyBorder="1" applyAlignment="1">
      <alignment vertical="center" wrapText="1"/>
    </xf>
    <xf numFmtId="0" fontId="22" fillId="2" borderId="10" xfId="5" applyFont="1" applyBorder="1" applyAlignment="1">
      <alignment vertical="center" wrapText="1"/>
    </xf>
    <xf numFmtId="0" fontId="20" fillId="3" borderId="6" xfId="6" applyFont="1" applyBorder="1" applyAlignment="1">
      <alignment vertical="center" wrapText="1"/>
    </xf>
    <xf numFmtId="0" fontId="22" fillId="3" borderId="11" xfId="6" applyFont="1" applyBorder="1" applyAlignment="1">
      <alignment vertical="center" wrapText="1"/>
    </xf>
    <xf numFmtId="0" fontId="22" fillId="3" borderId="12" xfId="6" applyFont="1" applyBorder="1" applyAlignment="1">
      <alignment vertical="center" wrapText="1"/>
    </xf>
    <xf numFmtId="0" fontId="22" fillId="3" borderId="13" xfId="6" applyFont="1" applyBorder="1" applyAlignment="1">
      <alignment vertical="center" wrapText="1"/>
    </xf>
    <xf numFmtId="0" fontId="23" fillId="0" borderId="0" xfId="0" applyFont="1"/>
    <xf numFmtId="0" fontId="0" fillId="0" borderId="1" xfId="0" applyFont="1" applyBorder="1" applyAlignment="1">
      <alignment vertical="center"/>
    </xf>
    <xf numFmtId="0" fontId="26" fillId="5" borderId="1" xfId="0" applyFont="1" applyFill="1" applyBorder="1" applyAlignment="1">
      <alignment horizontal="center" vertical="center" wrapText="1"/>
    </xf>
    <xf numFmtId="0" fontId="26" fillId="8" borderId="1" xfId="0" applyFont="1" applyFill="1" applyBorder="1" applyAlignment="1">
      <alignment horizontal="center" vertical="center" wrapText="1"/>
    </xf>
    <xf numFmtId="0" fontId="0" fillId="0" borderId="0" xfId="0"/>
    <xf numFmtId="0" fontId="0" fillId="0" borderId="1" xfId="0" applyFont="1" applyBorder="1" applyAlignment="1" applyProtection="1">
      <alignment horizontal="center" vertical="center" wrapText="1"/>
      <protection locked="0"/>
    </xf>
    <xf numFmtId="0" fontId="0" fillId="0" borderId="1" xfId="0" applyFont="1" applyFill="1" applyBorder="1" applyAlignment="1" applyProtection="1">
      <alignment horizontal="center" vertical="center" wrapText="1"/>
      <protection locked="0"/>
    </xf>
    <xf numFmtId="0" fontId="0" fillId="0" borderId="0" xfId="0" applyFont="1" applyBorder="1" applyAlignment="1">
      <alignment horizontal="center" vertical="center"/>
    </xf>
    <xf numFmtId="0" fontId="24" fillId="4" borderId="1" xfId="0" applyFont="1" applyFill="1" applyBorder="1" applyAlignment="1" applyProtection="1">
      <alignment horizontal="center" vertical="center" wrapText="1"/>
      <protection locked="0"/>
    </xf>
    <xf numFmtId="0" fontId="5" fillId="4" borderId="1" xfId="0" applyFont="1" applyFill="1" applyBorder="1" applyAlignment="1">
      <alignment horizontal="center" vertical="center" wrapText="1"/>
    </xf>
    <xf numFmtId="0" fontId="5" fillId="4" borderId="1" xfId="0" applyFont="1" applyFill="1" applyBorder="1" applyAlignment="1">
      <alignment horizontal="center" vertical="center"/>
    </xf>
    <xf numFmtId="0" fontId="5" fillId="4" borderId="4" xfId="0" applyFont="1" applyFill="1" applyBorder="1" applyAlignment="1">
      <alignment horizontal="center" vertical="center" wrapText="1"/>
    </xf>
    <xf numFmtId="164" fontId="0" fillId="0" borderId="1" xfId="0" applyNumberFormat="1" applyFont="1" applyBorder="1" applyAlignment="1" applyProtection="1">
      <alignment horizontal="right" vertical="center" wrapText="1"/>
      <protection locked="0"/>
    </xf>
    <xf numFmtId="0" fontId="0" fillId="0" borderId="1" xfId="0" applyFont="1" applyBorder="1" applyAlignment="1">
      <alignment horizontal="left" vertical="center"/>
    </xf>
    <xf numFmtId="0" fontId="0" fillId="0" borderId="17" xfId="0" applyFont="1" applyBorder="1" applyAlignment="1">
      <alignment horizontal="center" vertical="center"/>
    </xf>
    <xf numFmtId="0" fontId="0" fillId="0" borderId="3" xfId="0" applyFont="1" applyBorder="1" applyAlignment="1">
      <alignment horizontal="center" vertical="center"/>
    </xf>
    <xf numFmtId="0" fontId="0" fillId="0" borderId="16" xfId="0" applyFont="1" applyBorder="1" applyAlignment="1" applyProtection="1">
      <alignment horizontal="center" vertical="center"/>
      <protection locked="0"/>
    </xf>
    <xf numFmtId="0" fontId="31" fillId="9" borderId="18" xfId="0" applyFont="1" applyFill="1" applyBorder="1" applyAlignment="1"/>
    <xf numFmtId="43" fontId="31" fillId="9" borderId="18" xfId="0" applyNumberFormat="1" applyFont="1" applyFill="1" applyBorder="1"/>
    <xf numFmtId="0" fontId="0" fillId="0" borderId="0" xfId="0" applyFont="1"/>
    <xf numFmtId="0" fontId="8" fillId="0" borderId="17" xfId="0" applyFont="1" applyBorder="1" applyAlignment="1">
      <alignment horizontal="center" vertical="center" wrapText="1"/>
    </xf>
    <xf numFmtId="0" fontId="8" fillId="0" borderId="3" xfId="0" applyFont="1" applyBorder="1" applyAlignment="1">
      <alignment horizontal="center" vertical="center" wrapText="1"/>
    </xf>
    <xf numFmtId="0" fontId="8" fillId="0" borderId="1" xfId="0" applyFont="1" applyBorder="1" applyAlignment="1">
      <alignment horizontal="center" vertical="center" wrapText="1"/>
    </xf>
    <xf numFmtId="0" fontId="8" fillId="5"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43" fontId="32" fillId="5" borderId="1" xfId="7" applyFont="1" applyFill="1" applyBorder="1" applyAlignment="1" applyProtection="1">
      <alignment horizontal="right" vertical="center"/>
      <protection locked="0"/>
    </xf>
    <xf numFmtId="43" fontId="32" fillId="8" borderId="1" xfId="7" applyFont="1" applyFill="1" applyBorder="1" applyAlignment="1" applyProtection="1">
      <alignment horizontal="right" vertical="center"/>
      <protection locked="0"/>
    </xf>
    <xf numFmtId="43" fontId="32" fillId="0" borderId="1" xfId="7" applyFont="1" applyFill="1" applyBorder="1" applyAlignment="1">
      <alignment horizontal="right" vertical="center"/>
    </xf>
    <xf numFmtId="43" fontId="32" fillId="0" borderId="4" xfId="7" applyFont="1" applyFill="1" applyBorder="1" applyAlignment="1">
      <alignment horizontal="right" vertical="center"/>
    </xf>
    <xf numFmtId="0" fontId="33" fillId="0" borderId="14" xfId="8" applyBorder="1" applyAlignment="1" applyProtection="1">
      <alignment horizontal="left" vertical="center" wrapText="1" indent="1"/>
      <protection locked="0"/>
    </xf>
    <xf numFmtId="43" fontId="27" fillId="0" borderId="4" xfId="7" applyFont="1" applyBorder="1" applyAlignment="1">
      <alignment vertical="center" wrapText="1"/>
    </xf>
    <xf numFmtId="0" fontId="0" fillId="0" borderId="22" xfId="0" applyBorder="1"/>
    <xf numFmtId="164" fontId="0" fillId="0" borderId="22" xfId="0" applyNumberFormat="1" applyBorder="1"/>
    <xf numFmtId="0" fontId="0" fillId="0" borderId="1" xfId="0" applyBorder="1"/>
    <xf numFmtId="0" fontId="26" fillId="5" borderId="4" xfId="0" applyFont="1" applyFill="1" applyBorder="1" applyAlignment="1">
      <alignment vertical="center" wrapText="1"/>
    </xf>
    <xf numFmtId="0" fontId="26" fillId="8" borderId="4" xfId="0" applyFont="1" applyFill="1" applyBorder="1" applyAlignment="1">
      <alignment vertical="center" wrapText="1"/>
    </xf>
    <xf numFmtId="0" fontId="5" fillId="0" borderId="19" xfId="0" applyFont="1" applyBorder="1" applyAlignment="1"/>
    <xf numFmtId="0" fontId="0" fillId="0" borderId="0" xfId="0" applyAlignment="1">
      <alignment horizontal="center"/>
    </xf>
    <xf numFmtId="0" fontId="0" fillId="0" borderId="0" xfId="0" applyFill="1" applyAlignment="1">
      <alignment horizontal="center"/>
    </xf>
    <xf numFmtId="43" fontId="27" fillId="0" borderId="14" xfId="7" applyFont="1" applyBorder="1" applyAlignment="1">
      <alignment vertical="center" wrapText="1"/>
    </xf>
    <xf numFmtId="43" fontId="27" fillId="0" borderId="16" xfId="7" applyFont="1" applyBorder="1" applyAlignment="1">
      <alignment vertical="center" wrapText="1"/>
    </xf>
    <xf numFmtId="0" fontId="29" fillId="0" borderId="1" xfId="0" applyFont="1" applyFill="1" applyBorder="1" applyAlignment="1" applyProtection="1">
      <protection locked="0"/>
    </xf>
    <xf numFmtId="0" fontId="0" fillId="0" borderId="14" xfId="0" applyFont="1" applyFill="1" applyBorder="1" applyAlignment="1" applyProtection="1">
      <alignment horizontal="center" vertical="center" wrapText="1"/>
      <protection locked="0"/>
    </xf>
    <xf numFmtId="0" fontId="6" fillId="0" borderId="14" xfId="0" applyFont="1" applyFill="1" applyBorder="1" applyAlignment="1" applyProtection="1">
      <alignment wrapText="1"/>
    </xf>
    <xf numFmtId="0" fontId="8" fillId="0" borderId="14" xfId="0" applyFont="1" applyFill="1" applyBorder="1" applyAlignment="1">
      <alignment horizontal="center" vertical="center"/>
    </xf>
    <xf numFmtId="0" fontId="0" fillId="0" borderId="14" xfId="0" applyBorder="1"/>
    <xf numFmtId="0" fontId="0" fillId="0" borderId="14" xfId="0" applyFont="1" applyBorder="1" applyAlignment="1">
      <alignment vertical="center" wrapText="1"/>
    </xf>
    <xf numFmtId="0" fontId="0" fillId="0" borderId="1" xfId="0" applyFont="1" applyBorder="1" applyAlignment="1">
      <alignment vertical="center" wrapText="1"/>
    </xf>
    <xf numFmtId="0" fontId="0" fillId="0" borderId="0" xfId="0" applyBorder="1"/>
    <xf numFmtId="0" fontId="6" fillId="0" borderId="27" xfId="0" applyFont="1" applyBorder="1" applyAlignment="1">
      <alignment horizontal="left" vertical="center"/>
    </xf>
    <xf numFmtId="0" fontId="6" fillId="0" borderId="6" xfId="0" applyFont="1" applyBorder="1" applyAlignment="1">
      <alignment horizontal="left" vertical="center"/>
    </xf>
    <xf numFmtId="0" fontId="6" fillId="0" borderId="0" xfId="0" applyFont="1" applyFill="1" applyBorder="1" applyAlignment="1">
      <alignment horizontal="left" vertical="center"/>
    </xf>
    <xf numFmtId="0" fontId="22" fillId="0" borderId="0" xfId="0" applyFont="1" applyAlignment="1">
      <alignment horizontal="left" vertical="center"/>
    </xf>
    <xf numFmtId="0" fontId="7" fillId="0" borderId="0" xfId="0" applyFont="1" applyBorder="1" applyAlignment="1">
      <alignment horizontal="left" vertical="center"/>
    </xf>
    <xf numFmtId="0" fontId="22" fillId="0" borderId="0" xfId="0" applyFont="1" applyBorder="1" applyAlignment="1">
      <alignment horizontal="left" vertical="center"/>
    </xf>
    <xf numFmtId="0" fontId="37" fillId="0" borderId="27" xfId="0" applyFont="1" applyBorder="1" applyAlignment="1">
      <alignment horizontal="center" vertical="center" wrapText="1"/>
    </xf>
    <xf numFmtId="0" fontId="37" fillId="0" borderId="25" xfId="0" applyFont="1" applyBorder="1" applyAlignment="1">
      <alignment horizontal="center" vertical="center"/>
    </xf>
    <xf numFmtId="0" fontId="37" fillId="0" borderId="27" xfId="0" applyFont="1" applyBorder="1" applyAlignment="1">
      <alignment horizontal="center" vertical="center"/>
    </xf>
    <xf numFmtId="0" fontId="37" fillId="0" borderId="26" xfId="0" applyFont="1" applyBorder="1" applyAlignment="1">
      <alignment horizontal="center" vertical="center"/>
    </xf>
    <xf numFmtId="0" fontId="37" fillId="0" borderId="6" xfId="0" applyFont="1" applyBorder="1" applyAlignment="1">
      <alignment horizontal="center" vertical="center"/>
    </xf>
    <xf numFmtId="0" fontId="6" fillId="0" borderId="1" xfId="0" applyFont="1" applyFill="1" applyBorder="1" applyAlignment="1" applyProtection="1">
      <alignment horizontal="center" vertical="center" wrapText="1"/>
      <protection locked="0"/>
    </xf>
    <xf numFmtId="0" fontId="29" fillId="0" borderId="1" xfId="0" applyFont="1" applyFill="1" applyBorder="1" applyAlignment="1" applyProtection="1">
      <alignment horizontal="center"/>
      <protection locked="0"/>
    </xf>
    <xf numFmtId="0" fontId="4" fillId="0" borderId="1" xfId="0" applyFont="1" applyFill="1" applyBorder="1" applyAlignment="1" applyProtection="1">
      <alignment horizontal="center"/>
      <protection locked="0"/>
    </xf>
    <xf numFmtId="0" fontId="0" fillId="0" borderId="0" xfId="0" applyAlignment="1">
      <alignment vertical="top" wrapText="1"/>
    </xf>
    <xf numFmtId="0" fontId="26" fillId="7" borderId="0" xfId="0" applyFont="1" applyFill="1" applyBorder="1" applyAlignment="1">
      <alignment horizontal="center" vertical="center"/>
    </xf>
    <xf numFmtId="0" fontId="26" fillId="8" borderId="0" xfId="0" applyFont="1" applyFill="1" applyBorder="1" applyAlignment="1">
      <alignment horizontal="center" vertical="center" wrapText="1"/>
    </xf>
    <xf numFmtId="43" fontId="27" fillId="0" borderId="0" xfId="7" applyFont="1" applyBorder="1" applyAlignment="1">
      <alignment vertical="center" wrapText="1"/>
    </xf>
    <xf numFmtId="0" fontId="38" fillId="0" borderId="32" xfId="0" applyFont="1" applyFill="1" applyBorder="1" applyAlignment="1">
      <alignment vertical="top" wrapText="1"/>
    </xf>
    <xf numFmtId="0" fontId="31" fillId="9" borderId="18" xfId="0" applyFont="1" applyFill="1" applyBorder="1" applyAlignment="1">
      <alignment horizontal="center"/>
    </xf>
    <xf numFmtId="0" fontId="8" fillId="0" borderId="14" xfId="0" applyFont="1" applyBorder="1" applyAlignment="1">
      <alignment horizontal="center" vertical="center" wrapText="1"/>
    </xf>
    <xf numFmtId="0" fontId="8" fillId="0" borderId="5" xfId="0" applyFont="1" applyBorder="1" applyAlignment="1">
      <alignment horizontal="center" vertical="center" wrapText="1"/>
    </xf>
    <xf numFmtId="0" fontId="25" fillId="5" borderId="21" xfId="0" applyFont="1" applyFill="1" applyBorder="1" applyAlignment="1">
      <alignment horizontal="center" vertical="center"/>
    </xf>
    <xf numFmtId="0" fontId="25" fillId="5" borderId="19" xfId="0" applyFont="1" applyFill="1" applyBorder="1" applyAlignment="1">
      <alignment horizontal="center" vertical="center"/>
    </xf>
    <xf numFmtId="0" fontId="25" fillId="5" borderId="20" xfId="0" applyFont="1" applyFill="1" applyBorder="1" applyAlignment="1">
      <alignment horizontal="center" vertical="center"/>
    </xf>
    <xf numFmtId="0" fontId="8" fillId="4" borderId="2" xfId="0" applyFont="1" applyFill="1" applyBorder="1" applyAlignment="1">
      <alignment horizontal="center" vertical="center"/>
    </xf>
    <xf numFmtId="0" fontId="8" fillId="4" borderId="3" xfId="0" applyFont="1" applyFill="1" applyBorder="1" applyAlignment="1">
      <alignment horizontal="center" vertical="center"/>
    </xf>
    <xf numFmtId="0" fontId="8" fillId="6" borderId="1" xfId="0" applyFont="1" applyFill="1" applyBorder="1" applyAlignment="1">
      <alignment horizontal="center" vertical="center"/>
    </xf>
    <xf numFmtId="0" fontId="8" fillId="7" borderId="1" xfId="0" applyFont="1" applyFill="1" applyBorder="1" applyAlignment="1">
      <alignment horizontal="center" vertical="center"/>
    </xf>
    <xf numFmtId="0" fontId="8" fillId="7" borderId="4" xfId="0" applyFont="1" applyFill="1" applyBorder="1" applyAlignment="1">
      <alignment horizontal="center" vertical="center"/>
    </xf>
    <xf numFmtId="0" fontId="34" fillId="4" borderId="23" xfId="0" applyFont="1" applyFill="1" applyBorder="1" applyAlignment="1">
      <alignment horizontal="center" vertical="center"/>
    </xf>
    <xf numFmtId="0" fontId="22" fillId="4" borderId="24" xfId="0" applyFont="1" applyFill="1" applyBorder="1" applyAlignment="1">
      <alignment horizontal="center" vertical="center"/>
    </xf>
    <xf numFmtId="0" fontId="22" fillId="4" borderId="7" xfId="0" applyFont="1" applyFill="1" applyBorder="1" applyAlignment="1">
      <alignment horizontal="center" vertical="center"/>
    </xf>
    <xf numFmtId="0" fontId="35" fillId="0" borderId="23" xfId="0" applyFont="1" applyBorder="1" applyAlignment="1">
      <alignment horizontal="left" vertical="center" wrapText="1"/>
    </xf>
    <xf numFmtId="0" fontId="35" fillId="0" borderId="24" xfId="0" applyFont="1" applyBorder="1" applyAlignment="1">
      <alignment horizontal="left" vertical="center" wrapText="1"/>
    </xf>
    <xf numFmtId="0" fontId="35" fillId="0" borderId="7" xfId="0" applyFont="1" applyBorder="1" applyAlignment="1">
      <alignment horizontal="left" vertical="center" wrapText="1"/>
    </xf>
    <xf numFmtId="0" fontId="36" fillId="0" borderId="27" xfId="0" applyFont="1" applyBorder="1" applyAlignment="1">
      <alignment horizontal="left" vertical="center" wrapText="1"/>
    </xf>
    <xf numFmtId="0" fontId="35" fillId="0" borderId="28" xfId="0" applyFont="1" applyBorder="1" applyAlignment="1">
      <alignment horizontal="left" vertical="center"/>
    </xf>
    <xf numFmtId="0" fontId="35" fillId="0" borderId="30" xfId="0" applyFont="1" applyBorder="1" applyAlignment="1">
      <alignment horizontal="left" vertical="center"/>
    </xf>
    <xf numFmtId="0" fontId="36" fillId="0" borderId="25" xfId="0" applyFont="1" applyBorder="1" applyAlignment="1">
      <alignment horizontal="left" vertical="center" wrapText="1"/>
    </xf>
    <xf numFmtId="0" fontId="35" fillId="0" borderId="12" xfId="0" applyFont="1" applyBorder="1" applyAlignment="1">
      <alignment horizontal="left" vertical="center"/>
    </xf>
    <xf numFmtId="0" fontId="35" fillId="0" borderId="13" xfId="0" applyFont="1" applyBorder="1" applyAlignment="1">
      <alignment horizontal="left" vertical="center"/>
    </xf>
    <xf numFmtId="0" fontId="36" fillId="0" borderId="31" xfId="0" applyFont="1" applyBorder="1" applyAlignment="1">
      <alignment horizontal="left" vertical="center" wrapText="1"/>
    </xf>
    <xf numFmtId="0" fontId="36" fillId="0" borderId="29" xfId="0" applyFont="1" applyBorder="1" applyAlignment="1">
      <alignment horizontal="left" vertical="center" wrapText="1"/>
    </xf>
    <xf numFmtId="0" fontId="36" fillId="0" borderId="11" xfId="0" applyFont="1" applyBorder="1" applyAlignment="1">
      <alignment horizontal="left" vertical="center" wrapText="1"/>
    </xf>
    <xf numFmtId="0" fontId="7" fillId="0" borderId="23" xfId="0" applyFont="1" applyBorder="1" applyAlignment="1">
      <alignment horizontal="center" vertical="center"/>
    </xf>
    <xf numFmtId="0" fontId="7" fillId="0" borderId="7" xfId="0" applyFont="1" applyBorder="1" applyAlignment="1">
      <alignment horizontal="center" vertical="center"/>
    </xf>
    <xf numFmtId="0" fontId="5" fillId="0" borderId="14" xfId="0" applyFont="1" applyBorder="1" applyAlignment="1">
      <alignment horizontal="center" vertical="center" wrapText="1"/>
    </xf>
    <xf numFmtId="0" fontId="5" fillId="0" borderId="5" xfId="0" applyFont="1" applyBorder="1" applyAlignment="1">
      <alignment horizontal="center" vertical="center" wrapText="1"/>
    </xf>
    <xf numFmtId="0" fontId="29" fillId="0" borderId="14" xfId="0" applyFont="1" applyFill="1" applyBorder="1" applyAlignment="1" applyProtection="1">
      <alignment horizontal="center" vertical="center" wrapText="1"/>
      <protection locked="0"/>
    </xf>
    <xf numFmtId="0" fontId="29" fillId="0" borderId="5" xfId="0" applyFont="1" applyFill="1" applyBorder="1" applyAlignment="1" applyProtection="1">
      <alignment horizontal="center" vertical="center" wrapText="1"/>
      <protection locked="0"/>
    </xf>
    <xf numFmtId="4" fontId="29" fillId="0" borderId="14" xfId="0" applyNumberFormat="1" applyFont="1" applyFill="1" applyBorder="1" applyAlignment="1" applyProtection="1">
      <alignment horizontal="center" vertical="center" wrapText="1"/>
      <protection locked="0"/>
    </xf>
    <xf numFmtId="4" fontId="29" fillId="0" borderId="5" xfId="0" applyNumberFormat="1" applyFont="1" applyFill="1" applyBorder="1" applyAlignment="1" applyProtection="1">
      <alignment horizontal="center" vertical="center" wrapText="1"/>
      <protection locked="0"/>
    </xf>
    <xf numFmtId="0" fontId="26" fillId="4" borderId="4" xfId="0" applyFont="1" applyFill="1" applyBorder="1" applyAlignment="1">
      <alignment horizontal="center" vertical="center"/>
    </xf>
    <xf numFmtId="0" fontId="26" fillId="4" borderId="3" xfId="0" applyFont="1" applyFill="1" applyBorder="1" applyAlignment="1">
      <alignment horizontal="center" vertical="center"/>
    </xf>
    <xf numFmtId="0" fontId="26" fillId="0" borderId="4" xfId="0" applyFont="1" applyBorder="1" applyAlignment="1">
      <alignment horizontal="center" vertical="center" wrapText="1"/>
    </xf>
    <xf numFmtId="0" fontId="26" fillId="0" borderId="3" xfId="0" applyFont="1" applyBorder="1" applyAlignment="1">
      <alignment horizontal="center" vertical="center" wrapText="1"/>
    </xf>
    <xf numFmtId="0" fontId="25" fillId="5" borderId="15" xfId="0" applyFont="1" applyFill="1" applyBorder="1" applyAlignment="1">
      <alignment horizontal="center" vertical="center"/>
    </xf>
    <xf numFmtId="0" fontId="25" fillId="5" borderId="0" xfId="0" applyFont="1" applyFill="1" applyBorder="1" applyAlignment="1">
      <alignment horizontal="center" vertical="center"/>
    </xf>
    <xf numFmtId="0" fontId="26" fillId="6" borderId="4" xfId="0" applyFont="1" applyFill="1" applyBorder="1" applyAlignment="1">
      <alignment horizontal="center" vertical="center"/>
    </xf>
    <xf numFmtId="0" fontId="26" fillId="6" borderId="3" xfId="0" applyFont="1" applyFill="1" applyBorder="1" applyAlignment="1">
      <alignment horizontal="center" vertical="center"/>
    </xf>
    <xf numFmtId="0" fontId="26" fillId="7" borderId="1" xfId="0" applyFont="1" applyFill="1" applyBorder="1" applyAlignment="1">
      <alignment horizontal="center" vertical="center"/>
    </xf>
    <xf numFmtId="0" fontId="26" fillId="0" borderId="4" xfId="0" applyFont="1" applyBorder="1" applyAlignment="1" applyProtection="1">
      <alignment horizontal="center" vertical="center" wrapText="1"/>
      <protection locked="0"/>
    </xf>
    <xf numFmtId="0" fontId="26" fillId="0" borderId="3" xfId="0" applyFont="1" applyBorder="1" applyAlignment="1" applyProtection="1">
      <alignment horizontal="center" vertical="center" wrapText="1"/>
      <protection locked="0"/>
    </xf>
    <xf numFmtId="0" fontId="24" fillId="0" borderId="1" xfId="0" applyFont="1" applyFill="1" applyBorder="1" applyAlignment="1" applyProtection="1">
      <alignment horizontal="center" vertical="center" wrapText="1"/>
      <protection locked="0"/>
    </xf>
    <xf numFmtId="0" fontId="5" fillId="0" borderId="1" xfId="0" applyFont="1" applyBorder="1" applyAlignment="1">
      <alignment horizontal="center"/>
    </xf>
    <xf numFmtId="0" fontId="24" fillId="4" borderId="14" xfId="0" applyFont="1" applyFill="1" applyBorder="1" applyAlignment="1" applyProtection="1">
      <alignment horizontal="center" vertical="center" wrapText="1"/>
      <protection locked="0"/>
    </xf>
    <xf numFmtId="0" fontId="24" fillId="4" borderId="5" xfId="0" applyFont="1" applyFill="1" applyBorder="1" applyAlignment="1" applyProtection="1">
      <alignment horizontal="center" vertical="center" wrapText="1"/>
      <protection locked="0"/>
    </xf>
    <xf numFmtId="0" fontId="30" fillId="0" borderId="1" xfId="0" applyFont="1" applyFill="1" applyBorder="1" applyAlignment="1">
      <alignment horizontal="left" vertical="center"/>
    </xf>
    <xf numFmtId="0" fontId="10" fillId="0" borderId="1" xfId="0" applyFont="1" applyFill="1" applyBorder="1" applyAlignment="1">
      <alignment horizontal="left" vertical="top" wrapText="1"/>
    </xf>
    <xf numFmtId="0" fontId="0" fillId="0" borderId="0" xfId="0" applyAlignment="1">
      <alignment horizontal="center"/>
    </xf>
    <xf numFmtId="0" fontId="28" fillId="4" borderId="0" xfId="0" applyFont="1" applyFill="1" applyAlignment="1">
      <alignment horizontal="center"/>
    </xf>
  </cellXfs>
  <cellStyles count="9">
    <cellStyle name="Bad" xfId="6" builtinId="27"/>
    <cellStyle name="Comma" xfId="7" builtinId="3"/>
    <cellStyle name="Good" xfId="5" builtinId="26"/>
    <cellStyle name="Hyperlink" xfId="8" builtinId="8"/>
    <cellStyle name="Normal" xfId="0" builtinId="0"/>
    <cellStyle name="Normal 2" xfId="1" xr:uid="{00000000-0005-0000-0000-000005000000}"/>
    <cellStyle name="Normal 2 2" xfId="2" xr:uid="{00000000-0005-0000-0000-000006000000}"/>
    <cellStyle name="Normal 3" xfId="3" xr:uid="{00000000-0005-0000-0000-000007000000}"/>
    <cellStyle name="Normal 4" xfId="4"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B23"/>
  <sheetViews>
    <sheetView topLeftCell="A16" workbookViewId="0"/>
  </sheetViews>
  <sheetFormatPr baseColWidth="10" defaultColWidth="8.83203125" defaultRowHeight="15" x14ac:dyDescent="0.2"/>
  <cols>
    <col min="1" max="1" width="85.6640625" customWidth="1"/>
    <col min="2" max="2" width="80.6640625" customWidth="1"/>
  </cols>
  <sheetData>
    <row r="1" spans="1:2" ht="80" x14ac:dyDescent="0.2">
      <c r="A1" s="15" t="s">
        <v>90</v>
      </c>
    </row>
    <row r="3" spans="1:2" ht="80" x14ac:dyDescent="0.2">
      <c r="A3" s="15" t="s">
        <v>91</v>
      </c>
    </row>
    <row r="4" spans="1:2" x14ac:dyDescent="0.2">
      <c r="A4" s="14"/>
    </row>
    <row r="5" spans="1:2" ht="96" x14ac:dyDescent="0.2">
      <c r="A5" s="15" t="s">
        <v>93</v>
      </c>
    </row>
    <row r="7" spans="1:2" ht="112" x14ac:dyDescent="0.2">
      <c r="A7" s="16" t="s">
        <v>92</v>
      </c>
    </row>
    <row r="9" spans="1:2" ht="96" x14ac:dyDescent="0.2">
      <c r="A9" s="16" t="s">
        <v>18</v>
      </c>
    </row>
    <row r="11" spans="1:2" ht="201" customHeight="1" x14ac:dyDescent="0.2">
      <c r="A11" s="89" t="s">
        <v>29</v>
      </c>
    </row>
    <row r="12" spans="1:2" x14ac:dyDescent="0.2">
      <c r="A12" s="16"/>
    </row>
    <row r="13" spans="1:2" ht="16" thickBot="1" x14ac:dyDescent="0.25">
      <c r="A13" s="17" t="s">
        <v>25</v>
      </c>
    </row>
    <row r="14" spans="1:2" ht="17" thickBot="1" x14ac:dyDescent="0.25">
      <c r="A14" s="22" t="s">
        <v>24</v>
      </c>
      <c r="B14" s="18" t="s">
        <v>20</v>
      </c>
    </row>
    <row r="15" spans="1:2" ht="16" x14ac:dyDescent="0.2">
      <c r="A15" s="23" t="s">
        <v>26</v>
      </c>
      <c r="B15" s="19" t="s">
        <v>21</v>
      </c>
    </row>
    <row r="16" spans="1:2" ht="63" customHeight="1" x14ac:dyDescent="0.2">
      <c r="A16" s="24" t="s">
        <v>30</v>
      </c>
      <c r="B16" s="20" t="s">
        <v>22</v>
      </c>
    </row>
    <row r="17" spans="1:2" ht="16" x14ac:dyDescent="0.2">
      <c r="A17" s="24" t="s">
        <v>27</v>
      </c>
      <c r="B17" s="20" t="s">
        <v>109</v>
      </c>
    </row>
    <row r="18" spans="1:2" ht="17" thickBot="1" x14ac:dyDescent="0.25">
      <c r="A18" s="25" t="s">
        <v>28</v>
      </c>
      <c r="B18" s="21" t="s">
        <v>23</v>
      </c>
    </row>
    <row r="20" spans="1:2" ht="144" x14ac:dyDescent="0.2">
      <c r="A20" s="16" t="s">
        <v>94</v>
      </c>
    </row>
    <row r="22" spans="1:2" x14ac:dyDescent="0.2">
      <c r="A22" s="26" t="s">
        <v>31</v>
      </c>
    </row>
    <row r="23" spans="1:2" ht="64" x14ac:dyDescent="0.2">
      <c r="A23" s="16" t="s">
        <v>32</v>
      </c>
    </row>
  </sheetData>
  <pageMargins left="0.7" right="0.7" top="0.75" bottom="0.75" header="0.3" footer="0.3"/>
  <pageSetup paperSize="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
  <sheetViews>
    <sheetView workbookViewId="0">
      <selection sqref="A1:J1"/>
    </sheetView>
  </sheetViews>
  <sheetFormatPr baseColWidth="10" defaultColWidth="15.1640625" defaultRowHeight="15" x14ac:dyDescent="0.2"/>
  <cols>
    <col min="1" max="1" width="5.5" bestFit="1" customWidth="1"/>
    <col min="2" max="2" width="7.5" bestFit="1" customWidth="1"/>
    <col min="3" max="3" width="19.5" customWidth="1"/>
    <col min="4" max="4" width="20" bestFit="1" customWidth="1"/>
    <col min="5" max="5" width="23.33203125" bestFit="1" customWidth="1"/>
    <col min="6" max="6" width="9.1640625" bestFit="1" customWidth="1"/>
    <col min="7" max="7" width="11.5" bestFit="1" customWidth="1"/>
    <col min="8" max="8" width="20" bestFit="1" customWidth="1"/>
    <col min="9" max="9" width="23.33203125" bestFit="1" customWidth="1"/>
    <col min="10" max="10" width="18.1640625" bestFit="1" customWidth="1"/>
  </cols>
  <sheetData>
    <row r="1" spans="1:11" ht="26" x14ac:dyDescent="0.2">
      <c r="A1" s="97" t="s">
        <v>117</v>
      </c>
      <c r="B1" s="98"/>
      <c r="C1" s="98"/>
      <c r="D1" s="98"/>
      <c r="E1" s="98"/>
      <c r="F1" s="98"/>
      <c r="G1" s="98"/>
      <c r="H1" s="98"/>
      <c r="I1" s="98"/>
      <c r="J1" s="99"/>
      <c r="K1" s="45"/>
    </row>
    <row r="2" spans="1:11" x14ac:dyDescent="0.2">
      <c r="A2" s="40"/>
      <c r="B2" s="41"/>
      <c r="C2" s="27"/>
      <c r="D2" s="100" t="s">
        <v>34</v>
      </c>
      <c r="E2" s="101"/>
      <c r="F2" s="102" t="s">
        <v>35</v>
      </c>
      <c r="G2" s="102"/>
      <c r="H2" s="103" t="s">
        <v>36</v>
      </c>
      <c r="I2" s="104"/>
      <c r="J2" s="95" t="s">
        <v>126</v>
      </c>
      <c r="K2" s="45"/>
    </row>
    <row r="3" spans="1:11" x14ac:dyDescent="0.2">
      <c r="A3" s="46" t="s">
        <v>37</v>
      </c>
      <c r="B3" s="47"/>
      <c r="C3" s="48" t="s">
        <v>38</v>
      </c>
      <c r="D3" s="49" t="s">
        <v>41</v>
      </c>
      <c r="E3" s="50" t="s">
        <v>42</v>
      </c>
      <c r="F3" s="49" t="s">
        <v>41</v>
      </c>
      <c r="G3" s="50" t="s">
        <v>42</v>
      </c>
      <c r="H3" s="49" t="s">
        <v>41</v>
      </c>
      <c r="I3" s="50" t="s">
        <v>42</v>
      </c>
      <c r="J3" s="96"/>
      <c r="K3" s="45"/>
    </row>
    <row r="4" spans="1:11" s="30" customFormat="1" x14ac:dyDescent="0.2">
      <c r="A4" s="40">
        <v>1</v>
      </c>
      <c r="B4" s="42"/>
      <c r="C4" s="55"/>
      <c r="D4" s="51"/>
      <c r="E4" s="52"/>
      <c r="F4" s="53">
        <v>0</v>
      </c>
      <c r="G4" s="53">
        <v>0</v>
      </c>
      <c r="H4" s="53"/>
      <c r="I4" s="54"/>
      <c r="J4" s="39"/>
      <c r="K4" s="45"/>
    </row>
    <row r="5" spans="1:11" ht="22" thickBot="1" x14ac:dyDescent="0.3">
      <c r="A5" s="43"/>
      <c r="B5" s="94" t="s">
        <v>49</v>
      </c>
      <c r="C5" s="94"/>
      <c r="D5" s="44">
        <f t="shared" ref="D5:I5" si="0">SUM(D4:D4)</f>
        <v>0</v>
      </c>
      <c r="E5" s="44">
        <f t="shared" si="0"/>
        <v>0</v>
      </c>
      <c r="F5" s="44">
        <f t="shared" si="0"/>
        <v>0</v>
      </c>
      <c r="G5" s="44">
        <f t="shared" si="0"/>
        <v>0</v>
      </c>
      <c r="H5" s="44">
        <f t="shared" si="0"/>
        <v>0</v>
      </c>
      <c r="I5" s="44">
        <f t="shared" si="0"/>
        <v>0</v>
      </c>
      <c r="J5" s="45"/>
      <c r="K5" s="45"/>
    </row>
    <row r="6" spans="1:11" ht="16" thickTop="1" x14ac:dyDescent="0.2">
      <c r="K6" s="45"/>
    </row>
  </sheetData>
  <protectedRanges>
    <protectedRange sqref="J4" name="Range1_8"/>
  </protectedRanges>
  <mergeCells count="6">
    <mergeCell ref="B5:C5"/>
    <mergeCell ref="J2:J3"/>
    <mergeCell ref="A1:J1"/>
    <mergeCell ref="D2:E2"/>
    <mergeCell ref="F2:G2"/>
    <mergeCell ref="H2:I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8"/>
  <sheetViews>
    <sheetView zoomScaleNormal="100" workbookViewId="0">
      <selection activeCell="A14" sqref="A14"/>
    </sheetView>
  </sheetViews>
  <sheetFormatPr baseColWidth="10" defaultColWidth="8.83203125" defaultRowHeight="15" x14ac:dyDescent="0.2"/>
  <cols>
    <col min="1" max="1" width="39.5" style="30" bestFit="1" customWidth="1"/>
    <col min="2" max="2" width="19.6640625" style="30" bestFit="1" customWidth="1"/>
    <col min="3" max="3" width="24.1640625" style="30" bestFit="1" customWidth="1"/>
    <col min="4" max="9" width="15.6640625" style="30" customWidth="1"/>
    <col min="10" max="256" width="9.1640625" style="30"/>
    <col min="257" max="257" width="18.83203125" style="30" customWidth="1"/>
    <col min="258" max="265" width="15.6640625" style="30" customWidth="1"/>
    <col min="266" max="512" width="9.1640625" style="30"/>
    <col min="513" max="513" width="18.83203125" style="30" customWidth="1"/>
    <col min="514" max="521" width="15.6640625" style="30" customWidth="1"/>
    <col min="522" max="768" width="9.1640625" style="30"/>
    <col min="769" max="769" width="18.83203125" style="30" customWidth="1"/>
    <col min="770" max="777" width="15.6640625" style="30" customWidth="1"/>
    <col min="778" max="1024" width="9.1640625" style="30"/>
    <col min="1025" max="1025" width="18.83203125" style="30" customWidth="1"/>
    <col min="1026" max="1033" width="15.6640625" style="30" customWidth="1"/>
    <col min="1034" max="1280" width="9.1640625" style="30"/>
    <col min="1281" max="1281" width="18.83203125" style="30" customWidth="1"/>
    <col min="1282" max="1289" width="15.6640625" style="30" customWidth="1"/>
    <col min="1290" max="1536" width="9.1640625" style="30"/>
    <col min="1537" max="1537" width="18.83203125" style="30" customWidth="1"/>
    <col min="1538" max="1545" width="15.6640625" style="30" customWidth="1"/>
    <col min="1546" max="1792" width="9.1640625" style="30"/>
    <col min="1793" max="1793" width="18.83203125" style="30" customWidth="1"/>
    <col min="1794" max="1801" width="15.6640625" style="30" customWidth="1"/>
    <col min="1802" max="2048" width="9.1640625" style="30"/>
    <col min="2049" max="2049" width="18.83203125" style="30" customWidth="1"/>
    <col min="2050" max="2057" width="15.6640625" style="30" customWidth="1"/>
    <col min="2058" max="2304" width="9.1640625" style="30"/>
    <col min="2305" max="2305" width="18.83203125" style="30" customWidth="1"/>
    <col min="2306" max="2313" width="15.6640625" style="30" customWidth="1"/>
    <col min="2314" max="2560" width="9.1640625" style="30"/>
    <col min="2561" max="2561" width="18.83203125" style="30" customWidth="1"/>
    <col min="2562" max="2569" width="15.6640625" style="30" customWidth="1"/>
    <col min="2570" max="2816" width="9.1640625" style="30"/>
    <col min="2817" max="2817" width="18.83203125" style="30" customWidth="1"/>
    <col min="2818" max="2825" width="15.6640625" style="30" customWidth="1"/>
    <col min="2826" max="3072" width="9.1640625" style="30"/>
    <col min="3073" max="3073" width="18.83203125" style="30" customWidth="1"/>
    <col min="3074" max="3081" width="15.6640625" style="30" customWidth="1"/>
    <col min="3082" max="3328" width="9.1640625" style="30"/>
    <col min="3329" max="3329" width="18.83203125" style="30" customWidth="1"/>
    <col min="3330" max="3337" width="15.6640625" style="30" customWidth="1"/>
    <col min="3338" max="3584" width="9.1640625" style="30"/>
    <col min="3585" max="3585" width="18.83203125" style="30" customWidth="1"/>
    <col min="3586" max="3593" width="15.6640625" style="30" customWidth="1"/>
    <col min="3594" max="3840" width="9.1640625" style="30"/>
    <col min="3841" max="3841" width="18.83203125" style="30" customWidth="1"/>
    <col min="3842" max="3849" width="15.6640625" style="30" customWidth="1"/>
    <col min="3850" max="4096" width="9.1640625" style="30"/>
    <col min="4097" max="4097" width="18.83203125" style="30" customWidth="1"/>
    <col min="4098" max="4105" width="15.6640625" style="30" customWidth="1"/>
    <col min="4106" max="4352" width="9.1640625" style="30"/>
    <col min="4353" max="4353" width="18.83203125" style="30" customWidth="1"/>
    <col min="4354" max="4361" width="15.6640625" style="30" customWidth="1"/>
    <col min="4362" max="4608" width="9.1640625" style="30"/>
    <col min="4609" max="4609" width="18.83203125" style="30" customWidth="1"/>
    <col min="4610" max="4617" width="15.6640625" style="30" customWidth="1"/>
    <col min="4618" max="4864" width="9.1640625" style="30"/>
    <col min="4865" max="4865" width="18.83203125" style="30" customWidth="1"/>
    <col min="4866" max="4873" width="15.6640625" style="30" customWidth="1"/>
    <col min="4874" max="5120" width="9.1640625" style="30"/>
    <col min="5121" max="5121" width="18.83203125" style="30" customWidth="1"/>
    <col min="5122" max="5129" width="15.6640625" style="30" customWidth="1"/>
    <col min="5130" max="5376" width="9.1640625" style="30"/>
    <col min="5377" max="5377" width="18.83203125" style="30" customWidth="1"/>
    <col min="5378" max="5385" width="15.6640625" style="30" customWidth="1"/>
    <col min="5386" max="5632" width="9.1640625" style="30"/>
    <col min="5633" max="5633" width="18.83203125" style="30" customWidth="1"/>
    <col min="5634" max="5641" width="15.6640625" style="30" customWidth="1"/>
    <col min="5642" max="5888" width="9.1640625" style="30"/>
    <col min="5889" max="5889" width="18.83203125" style="30" customWidth="1"/>
    <col min="5890" max="5897" width="15.6640625" style="30" customWidth="1"/>
    <col min="5898" max="6144" width="9.1640625" style="30"/>
    <col min="6145" max="6145" width="18.83203125" style="30" customWidth="1"/>
    <col min="6146" max="6153" width="15.6640625" style="30" customWidth="1"/>
    <col min="6154" max="6400" width="9.1640625" style="30"/>
    <col min="6401" max="6401" width="18.83203125" style="30" customWidth="1"/>
    <col min="6402" max="6409" width="15.6640625" style="30" customWidth="1"/>
    <col min="6410" max="6656" width="9.1640625" style="30"/>
    <col min="6657" max="6657" width="18.83203125" style="30" customWidth="1"/>
    <col min="6658" max="6665" width="15.6640625" style="30" customWidth="1"/>
    <col min="6666" max="6912" width="9.1640625" style="30"/>
    <col min="6913" max="6913" width="18.83203125" style="30" customWidth="1"/>
    <col min="6914" max="6921" width="15.6640625" style="30" customWidth="1"/>
    <col min="6922" max="7168" width="9.1640625" style="30"/>
    <col min="7169" max="7169" width="18.83203125" style="30" customWidth="1"/>
    <col min="7170" max="7177" width="15.6640625" style="30" customWidth="1"/>
    <col min="7178" max="7424" width="9.1640625" style="30"/>
    <col min="7425" max="7425" width="18.83203125" style="30" customWidth="1"/>
    <col min="7426" max="7433" width="15.6640625" style="30" customWidth="1"/>
    <col min="7434" max="7680" width="9.1640625" style="30"/>
    <col min="7681" max="7681" width="18.83203125" style="30" customWidth="1"/>
    <col min="7682" max="7689" width="15.6640625" style="30" customWidth="1"/>
    <col min="7690" max="7936" width="9.1640625" style="30"/>
    <col min="7937" max="7937" width="18.83203125" style="30" customWidth="1"/>
    <col min="7938" max="7945" width="15.6640625" style="30" customWidth="1"/>
    <col min="7946" max="8192" width="9.1640625" style="30"/>
    <col min="8193" max="8193" width="18.83203125" style="30" customWidth="1"/>
    <col min="8194" max="8201" width="15.6640625" style="30" customWidth="1"/>
    <col min="8202" max="8448" width="9.1640625" style="30"/>
    <col min="8449" max="8449" width="18.83203125" style="30" customWidth="1"/>
    <col min="8450" max="8457" width="15.6640625" style="30" customWidth="1"/>
    <col min="8458" max="8704" width="9.1640625" style="30"/>
    <col min="8705" max="8705" width="18.83203125" style="30" customWidth="1"/>
    <col min="8706" max="8713" width="15.6640625" style="30" customWidth="1"/>
    <col min="8714" max="8960" width="9.1640625" style="30"/>
    <col min="8961" max="8961" width="18.83203125" style="30" customWidth="1"/>
    <col min="8962" max="8969" width="15.6640625" style="30" customWidth="1"/>
    <col min="8970" max="9216" width="9.1640625" style="30"/>
    <col min="9217" max="9217" width="18.83203125" style="30" customWidth="1"/>
    <col min="9218" max="9225" width="15.6640625" style="30" customWidth="1"/>
    <col min="9226" max="9472" width="9.1640625" style="30"/>
    <col min="9473" max="9473" width="18.83203125" style="30" customWidth="1"/>
    <col min="9474" max="9481" width="15.6640625" style="30" customWidth="1"/>
    <col min="9482" max="9728" width="9.1640625" style="30"/>
    <col min="9729" max="9729" width="18.83203125" style="30" customWidth="1"/>
    <col min="9730" max="9737" width="15.6640625" style="30" customWidth="1"/>
    <col min="9738" max="9984" width="9.1640625" style="30"/>
    <col min="9985" max="9985" width="18.83203125" style="30" customWidth="1"/>
    <col min="9986" max="9993" width="15.6640625" style="30" customWidth="1"/>
    <col min="9994" max="10240" width="9.1640625" style="30"/>
    <col min="10241" max="10241" width="18.83203125" style="30" customWidth="1"/>
    <col min="10242" max="10249" width="15.6640625" style="30" customWidth="1"/>
    <col min="10250" max="10496" width="9.1640625" style="30"/>
    <col min="10497" max="10497" width="18.83203125" style="30" customWidth="1"/>
    <col min="10498" max="10505" width="15.6640625" style="30" customWidth="1"/>
    <col min="10506" max="10752" width="9.1640625" style="30"/>
    <col min="10753" max="10753" width="18.83203125" style="30" customWidth="1"/>
    <col min="10754" max="10761" width="15.6640625" style="30" customWidth="1"/>
    <col min="10762" max="11008" width="9.1640625" style="30"/>
    <col min="11009" max="11009" width="18.83203125" style="30" customWidth="1"/>
    <col min="11010" max="11017" width="15.6640625" style="30" customWidth="1"/>
    <col min="11018" max="11264" width="9.1640625" style="30"/>
    <col min="11265" max="11265" width="18.83203125" style="30" customWidth="1"/>
    <col min="11266" max="11273" width="15.6640625" style="30" customWidth="1"/>
    <col min="11274" max="11520" width="9.1640625" style="30"/>
    <col min="11521" max="11521" width="18.83203125" style="30" customWidth="1"/>
    <col min="11522" max="11529" width="15.6640625" style="30" customWidth="1"/>
    <col min="11530" max="11776" width="9.1640625" style="30"/>
    <col min="11777" max="11777" width="18.83203125" style="30" customWidth="1"/>
    <col min="11778" max="11785" width="15.6640625" style="30" customWidth="1"/>
    <col min="11786" max="12032" width="9.1640625" style="30"/>
    <col min="12033" max="12033" width="18.83203125" style="30" customWidth="1"/>
    <col min="12034" max="12041" width="15.6640625" style="30" customWidth="1"/>
    <col min="12042" max="12288" width="9.1640625" style="30"/>
    <col min="12289" max="12289" width="18.83203125" style="30" customWidth="1"/>
    <col min="12290" max="12297" width="15.6640625" style="30" customWidth="1"/>
    <col min="12298" max="12544" width="9.1640625" style="30"/>
    <col min="12545" max="12545" width="18.83203125" style="30" customWidth="1"/>
    <col min="12546" max="12553" width="15.6640625" style="30" customWidth="1"/>
    <col min="12554" max="12800" width="9.1640625" style="30"/>
    <col min="12801" max="12801" width="18.83203125" style="30" customWidth="1"/>
    <col min="12802" max="12809" width="15.6640625" style="30" customWidth="1"/>
    <col min="12810" max="13056" width="9.1640625" style="30"/>
    <col min="13057" max="13057" width="18.83203125" style="30" customWidth="1"/>
    <col min="13058" max="13065" width="15.6640625" style="30" customWidth="1"/>
    <col min="13066" max="13312" width="9.1640625" style="30"/>
    <col min="13313" max="13313" width="18.83203125" style="30" customWidth="1"/>
    <col min="13314" max="13321" width="15.6640625" style="30" customWidth="1"/>
    <col min="13322" max="13568" width="9.1640625" style="30"/>
    <col min="13569" max="13569" width="18.83203125" style="30" customWidth="1"/>
    <col min="13570" max="13577" width="15.6640625" style="30" customWidth="1"/>
    <col min="13578" max="13824" width="9.1640625" style="30"/>
    <col min="13825" max="13825" width="18.83203125" style="30" customWidth="1"/>
    <col min="13826" max="13833" width="15.6640625" style="30" customWidth="1"/>
    <col min="13834" max="14080" width="9.1640625" style="30"/>
    <col min="14081" max="14081" width="18.83203125" style="30" customWidth="1"/>
    <col min="14082" max="14089" width="15.6640625" style="30" customWidth="1"/>
    <col min="14090" max="14336" width="9.1640625" style="30"/>
    <col min="14337" max="14337" width="18.83203125" style="30" customWidth="1"/>
    <col min="14338" max="14345" width="15.6640625" style="30" customWidth="1"/>
    <col min="14346" max="14592" width="9.1640625" style="30"/>
    <col min="14593" max="14593" width="18.83203125" style="30" customWidth="1"/>
    <col min="14594" max="14601" width="15.6640625" style="30" customWidth="1"/>
    <col min="14602" max="14848" width="9.1640625" style="30"/>
    <col min="14849" max="14849" width="18.83203125" style="30" customWidth="1"/>
    <col min="14850" max="14857" width="15.6640625" style="30" customWidth="1"/>
    <col min="14858" max="15104" width="9.1640625" style="30"/>
    <col min="15105" max="15105" width="18.83203125" style="30" customWidth="1"/>
    <col min="15106" max="15113" width="15.6640625" style="30" customWidth="1"/>
    <col min="15114" max="15360" width="9.1640625" style="30"/>
    <col min="15361" max="15361" width="18.83203125" style="30" customWidth="1"/>
    <col min="15362" max="15369" width="15.6640625" style="30" customWidth="1"/>
    <col min="15370" max="15616" width="9.1640625" style="30"/>
    <col min="15617" max="15617" width="18.83203125" style="30" customWidth="1"/>
    <col min="15618" max="15625" width="15.6640625" style="30" customWidth="1"/>
    <col min="15626" max="15872" width="9.1640625" style="30"/>
    <col min="15873" max="15873" width="18.83203125" style="30" customWidth="1"/>
    <col min="15874" max="15881" width="15.6640625" style="30" customWidth="1"/>
    <col min="15882" max="16128" width="9.1640625" style="30"/>
    <col min="16129" max="16129" width="18.83203125" style="30" customWidth="1"/>
    <col min="16130" max="16137" width="15.6640625" style="30" customWidth="1"/>
    <col min="16138" max="16384" width="9.1640625" style="30"/>
  </cols>
  <sheetData>
    <row r="1" spans="1:10" ht="17" thickBot="1" x14ac:dyDescent="0.25">
      <c r="A1" s="105" t="s">
        <v>65</v>
      </c>
      <c r="B1" s="106"/>
      <c r="C1" s="106"/>
      <c r="D1" s="106"/>
      <c r="E1" s="106"/>
      <c r="F1" s="106"/>
      <c r="G1" s="106"/>
      <c r="H1" s="106"/>
      <c r="I1" s="107"/>
    </row>
    <row r="2" spans="1:10" ht="57" customHeight="1" thickBot="1" x14ac:dyDescent="0.25">
      <c r="A2" s="108" t="s">
        <v>114</v>
      </c>
      <c r="B2" s="109"/>
      <c r="C2" s="109"/>
      <c r="D2" s="109"/>
      <c r="E2" s="109"/>
      <c r="F2" s="109"/>
      <c r="G2" s="109"/>
      <c r="H2" s="109"/>
      <c r="I2" s="110"/>
    </row>
    <row r="3" spans="1:10" ht="16" thickBot="1" x14ac:dyDescent="0.25">
      <c r="A3" s="78"/>
      <c r="B3" s="78"/>
      <c r="C3" s="78"/>
      <c r="D3" s="78"/>
      <c r="E3" s="78"/>
      <c r="F3" s="78"/>
      <c r="G3" s="79"/>
      <c r="H3" s="79"/>
      <c r="I3" s="79"/>
      <c r="J3" s="74"/>
    </row>
    <row r="4" spans="1:10" ht="15" customHeight="1" thickBot="1" x14ac:dyDescent="0.25">
      <c r="A4" s="117" t="s">
        <v>95</v>
      </c>
      <c r="B4" s="120" t="s">
        <v>113</v>
      </c>
      <c r="C4" s="121"/>
      <c r="D4" s="78"/>
      <c r="E4" s="78"/>
      <c r="F4" s="78"/>
      <c r="G4" s="80"/>
      <c r="H4" s="80"/>
      <c r="I4" s="80"/>
      <c r="J4" s="74"/>
    </row>
    <row r="5" spans="1:10" x14ac:dyDescent="0.2">
      <c r="A5" s="118"/>
      <c r="B5" s="111" t="s">
        <v>99</v>
      </c>
      <c r="C5" s="114" t="s">
        <v>100</v>
      </c>
      <c r="D5" s="78"/>
      <c r="E5" s="78"/>
      <c r="F5" s="78"/>
      <c r="G5" s="78"/>
      <c r="H5" s="78"/>
      <c r="I5" s="78"/>
    </row>
    <row r="6" spans="1:10" ht="33.75" customHeight="1" x14ac:dyDescent="0.2">
      <c r="A6" s="118"/>
      <c r="B6" s="112"/>
      <c r="C6" s="115"/>
      <c r="D6" s="78"/>
      <c r="E6" s="78"/>
      <c r="F6" s="78"/>
      <c r="G6" s="78"/>
      <c r="H6" s="78"/>
      <c r="I6" s="78"/>
    </row>
    <row r="7" spans="1:10" ht="15.75" hidden="1" customHeight="1" thickBot="1" x14ac:dyDescent="0.25">
      <c r="A7" s="118"/>
      <c r="B7" s="112"/>
      <c r="C7" s="115"/>
      <c r="D7" s="78"/>
      <c r="E7" s="78"/>
      <c r="F7" s="78"/>
      <c r="G7" s="78"/>
      <c r="H7" s="78"/>
      <c r="I7" s="78"/>
    </row>
    <row r="8" spans="1:10" ht="15.75" hidden="1" customHeight="1" thickBot="1" x14ac:dyDescent="0.25">
      <c r="A8" s="118"/>
      <c r="B8" s="112"/>
      <c r="C8" s="115"/>
      <c r="D8" s="78"/>
      <c r="E8" s="78"/>
      <c r="F8" s="78"/>
      <c r="G8" s="78"/>
      <c r="H8" s="78"/>
      <c r="I8" s="78"/>
    </row>
    <row r="9" spans="1:10" ht="15.75" hidden="1" customHeight="1" thickBot="1" x14ac:dyDescent="0.25">
      <c r="A9" s="118"/>
      <c r="B9" s="112"/>
      <c r="C9" s="115"/>
      <c r="D9" s="78"/>
      <c r="E9" s="78"/>
      <c r="F9" s="78"/>
      <c r="G9" s="78"/>
      <c r="H9" s="78"/>
      <c r="I9" s="78"/>
    </row>
    <row r="10" spans="1:10" ht="16" thickBot="1" x14ac:dyDescent="0.25">
      <c r="A10" s="119"/>
      <c r="B10" s="113"/>
      <c r="C10" s="116"/>
      <c r="D10" s="78"/>
      <c r="E10" s="78"/>
      <c r="F10" s="78"/>
      <c r="G10" s="78"/>
      <c r="H10" s="78"/>
      <c r="I10" s="78"/>
    </row>
    <row r="11" spans="1:10" ht="16" thickBot="1" x14ac:dyDescent="0.25">
      <c r="A11" s="75" t="s">
        <v>96</v>
      </c>
      <c r="B11" s="81" t="s">
        <v>107</v>
      </c>
      <c r="C11" s="82" t="s">
        <v>101</v>
      </c>
      <c r="D11" s="78"/>
      <c r="E11" s="78"/>
      <c r="F11" s="78"/>
      <c r="G11" s="78"/>
      <c r="H11" s="78"/>
      <c r="I11" s="78"/>
    </row>
    <row r="12" spans="1:10" ht="16" thickBot="1" x14ac:dyDescent="0.25">
      <c r="A12" s="75" t="s">
        <v>97</v>
      </c>
      <c r="B12" s="83" t="s">
        <v>102</v>
      </c>
      <c r="C12" s="82" t="s">
        <v>103</v>
      </c>
      <c r="D12" s="78"/>
      <c r="E12" s="78"/>
      <c r="F12" s="78"/>
      <c r="G12" s="78"/>
      <c r="H12" s="78"/>
      <c r="I12" s="78"/>
    </row>
    <row r="13" spans="1:10" ht="16" thickBot="1" x14ac:dyDescent="0.25">
      <c r="A13" s="75" t="s">
        <v>98</v>
      </c>
      <c r="B13" s="83" t="s">
        <v>108</v>
      </c>
      <c r="C13" s="82" t="s">
        <v>104</v>
      </c>
      <c r="D13" s="78"/>
      <c r="E13" s="78"/>
      <c r="F13" s="78"/>
      <c r="G13" s="78"/>
      <c r="H13" s="78"/>
      <c r="I13" s="78"/>
    </row>
    <row r="14" spans="1:10" ht="16" thickBot="1" x14ac:dyDescent="0.25">
      <c r="A14" s="75" t="s">
        <v>115</v>
      </c>
      <c r="B14" s="83">
        <v>5</v>
      </c>
      <c r="C14" s="82">
        <v>10</v>
      </c>
      <c r="D14" s="78"/>
      <c r="E14" s="78"/>
      <c r="F14" s="78"/>
      <c r="G14" s="78"/>
      <c r="H14" s="78"/>
      <c r="I14" s="78"/>
    </row>
    <row r="15" spans="1:10" ht="16" thickBot="1" x14ac:dyDescent="0.25">
      <c r="A15" s="76" t="s">
        <v>105</v>
      </c>
      <c r="B15" s="84">
        <v>5</v>
      </c>
      <c r="C15" s="85">
        <v>10</v>
      </c>
      <c r="D15" s="78"/>
      <c r="E15" s="78"/>
      <c r="F15" s="78"/>
      <c r="G15" s="78"/>
      <c r="H15" s="78"/>
      <c r="I15" s="78"/>
    </row>
    <row r="16" spans="1:10" x14ac:dyDescent="0.2">
      <c r="A16" s="78"/>
      <c r="B16" s="78"/>
      <c r="C16" s="78"/>
      <c r="D16" s="78"/>
      <c r="E16" s="78"/>
      <c r="F16" s="78"/>
      <c r="G16" s="78"/>
      <c r="H16" s="78"/>
      <c r="I16" s="78"/>
    </row>
    <row r="17" spans="1:9" x14ac:dyDescent="0.2">
      <c r="A17" s="77" t="s">
        <v>106</v>
      </c>
      <c r="B17" s="78"/>
      <c r="C17" s="78"/>
      <c r="D17" s="78"/>
      <c r="E17" s="78"/>
      <c r="F17" s="78"/>
      <c r="G17" s="78"/>
      <c r="H17" s="78"/>
      <c r="I17" s="78"/>
    </row>
    <row r="18" spans="1:9" x14ac:dyDescent="0.2">
      <c r="A18" s="78"/>
      <c r="B18" s="78"/>
      <c r="C18" s="78"/>
      <c r="D18" s="78"/>
      <c r="E18" s="78"/>
      <c r="F18" s="78"/>
      <c r="G18" s="78"/>
      <c r="H18" s="78"/>
      <c r="I18" s="78"/>
    </row>
  </sheetData>
  <mergeCells count="6">
    <mergeCell ref="A1:I1"/>
    <mergeCell ref="A2:I2"/>
    <mergeCell ref="B5:B10"/>
    <mergeCell ref="C5:C10"/>
    <mergeCell ref="A4:A10"/>
    <mergeCell ref="B4:C4"/>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9"/>
  <sheetViews>
    <sheetView tabSelected="1" topLeftCell="C1" zoomScale="135" zoomScaleNormal="135" workbookViewId="0">
      <selection activeCell="E38" sqref="E38"/>
    </sheetView>
  </sheetViews>
  <sheetFormatPr baseColWidth="10" defaultColWidth="9.1640625" defaultRowHeight="15" x14ac:dyDescent="0.2"/>
  <cols>
    <col min="1" max="1" width="5.5" style="30" bestFit="1" customWidth="1"/>
    <col min="2" max="2" width="16.33203125" style="30" hidden="1" customWidth="1"/>
    <col min="3" max="3" width="47.83203125" style="30" customWidth="1"/>
    <col min="4" max="4" width="15.6640625" style="30" customWidth="1"/>
    <col min="5" max="5" width="21.33203125" style="30" customWidth="1"/>
    <col min="6" max="6" width="27.5" style="30" customWidth="1"/>
    <col min="7" max="7" width="15.5" style="30" customWidth="1"/>
    <col min="8" max="8" width="15.6640625" style="30" customWidth="1"/>
    <col min="9" max="11" width="13.6640625" style="30" customWidth="1"/>
    <col min="12" max="12" width="20.1640625" style="30" bestFit="1" customWidth="1"/>
    <col min="13" max="13" width="13.6640625" style="30" customWidth="1"/>
    <col min="14" max="14" width="28.33203125" style="30" customWidth="1"/>
    <col min="15" max="21" width="12.83203125" style="30" customWidth="1"/>
    <col min="22" max="22" width="38.1640625" style="30" customWidth="1"/>
    <col min="23" max="16384" width="9.1640625" style="30"/>
  </cols>
  <sheetData>
    <row r="1" spans="1:14" ht="26" x14ac:dyDescent="0.2">
      <c r="C1" s="132" t="s">
        <v>118</v>
      </c>
      <c r="D1" s="133"/>
      <c r="E1" s="133"/>
      <c r="F1" s="133"/>
      <c r="G1" s="133"/>
      <c r="H1" s="133"/>
      <c r="I1" s="133"/>
      <c r="J1" s="133"/>
      <c r="K1" s="133"/>
      <c r="L1" s="133"/>
      <c r="M1" s="133"/>
      <c r="N1" s="133"/>
    </row>
    <row r="2" spans="1:14" x14ac:dyDescent="0.2">
      <c r="C2" s="130" t="s">
        <v>48</v>
      </c>
      <c r="D2" s="131"/>
      <c r="E2" s="128" t="s">
        <v>34</v>
      </c>
      <c r="F2" s="129"/>
      <c r="G2" s="134" t="s">
        <v>35</v>
      </c>
      <c r="H2" s="135"/>
      <c r="I2" s="136" t="s">
        <v>36</v>
      </c>
      <c r="J2" s="136"/>
      <c r="K2" s="90"/>
      <c r="L2" s="33"/>
      <c r="M2" s="33"/>
      <c r="N2" s="33"/>
    </row>
    <row r="3" spans="1:14" x14ac:dyDescent="0.2">
      <c r="C3" s="130">
        <f>'Budget Summary'!C4</f>
        <v>0</v>
      </c>
      <c r="D3" s="131"/>
      <c r="E3" s="60" t="s">
        <v>41</v>
      </c>
      <c r="F3" s="61" t="s">
        <v>42</v>
      </c>
      <c r="G3" s="28" t="s">
        <v>39</v>
      </c>
      <c r="H3" s="29" t="s">
        <v>40</v>
      </c>
      <c r="I3" s="28" t="s">
        <v>39</v>
      </c>
      <c r="J3" s="29" t="s">
        <v>40</v>
      </c>
      <c r="K3" s="91"/>
      <c r="L3" s="33"/>
      <c r="M3" s="33"/>
      <c r="N3" s="33"/>
    </row>
    <row r="4" spans="1:14" x14ac:dyDescent="0.2">
      <c r="C4" s="137">
        <f>'Budget Summary'!B4</f>
        <v>0</v>
      </c>
      <c r="D4" s="138"/>
      <c r="E4" s="56">
        <f>'Budget Summary'!D4</f>
        <v>0</v>
      </c>
      <c r="F4" s="56">
        <f>'Budget Summary'!E4</f>
        <v>0</v>
      </c>
      <c r="G4" s="65">
        <f>D38</f>
        <v>8000000</v>
      </c>
      <c r="H4" s="66">
        <f>E38</f>
        <v>1608560.1061890002</v>
      </c>
      <c r="I4" s="65">
        <f>E4-G4</f>
        <v>-8000000</v>
      </c>
      <c r="J4" s="65">
        <f>F4-H4</f>
        <v>-1608560.1061890002</v>
      </c>
      <c r="K4" s="92"/>
      <c r="L4" s="33"/>
      <c r="M4" s="33"/>
      <c r="N4" s="33"/>
    </row>
    <row r="5" spans="1:14" x14ac:dyDescent="0.2">
      <c r="G5" s="140" t="s">
        <v>12</v>
      </c>
      <c r="H5" s="140"/>
      <c r="I5" s="140"/>
      <c r="J5" s="140"/>
      <c r="K5" s="140"/>
      <c r="L5" s="140"/>
      <c r="M5" s="140"/>
      <c r="N5" s="62"/>
    </row>
    <row r="6" spans="1:14" s="13" customFormat="1" ht="38.25" customHeight="1" x14ac:dyDescent="0.2">
      <c r="A6" s="122" t="s">
        <v>37</v>
      </c>
      <c r="B6" s="122" t="s">
        <v>89</v>
      </c>
      <c r="C6" s="124" t="s">
        <v>10</v>
      </c>
      <c r="D6" s="124" t="s">
        <v>119</v>
      </c>
      <c r="E6" s="124" t="s">
        <v>120</v>
      </c>
      <c r="F6" s="124" t="s">
        <v>66</v>
      </c>
      <c r="G6" s="139" t="s">
        <v>82</v>
      </c>
      <c r="H6" s="139" t="s">
        <v>124</v>
      </c>
      <c r="I6" s="139" t="s">
        <v>125</v>
      </c>
      <c r="J6" s="124" t="s">
        <v>19</v>
      </c>
      <c r="K6" s="124" t="s">
        <v>121</v>
      </c>
      <c r="L6" s="141" t="s">
        <v>85</v>
      </c>
      <c r="M6" s="141" t="s">
        <v>84</v>
      </c>
      <c r="N6" s="126" t="s">
        <v>16</v>
      </c>
    </row>
    <row r="7" spans="1:14" ht="35.25" customHeight="1" x14ac:dyDescent="0.2">
      <c r="A7" s="123"/>
      <c r="B7" s="123"/>
      <c r="C7" s="125"/>
      <c r="D7" s="125"/>
      <c r="E7" s="125"/>
      <c r="F7" s="125"/>
      <c r="G7" s="139"/>
      <c r="H7" s="139"/>
      <c r="I7" s="139"/>
      <c r="J7" s="125"/>
      <c r="K7" s="125"/>
      <c r="L7" s="142"/>
      <c r="M7" s="142"/>
      <c r="N7" s="127"/>
    </row>
    <row r="8" spans="1:14" ht="16" x14ac:dyDescent="0.2">
      <c r="A8" s="31">
        <v>1</v>
      </c>
      <c r="B8" s="31" t="str">
        <f>TEXT(ROW(A1),"0000")</f>
        <v>0001</v>
      </c>
      <c r="C8" s="67" t="s">
        <v>127</v>
      </c>
      <c r="D8" s="38"/>
      <c r="E8" s="38">
        <v>344080</v>
      </c>
      <c r="F8" s="86" t="s">
        <v>111</v>
      </c>
      <c r="G8" s="87" t="s">
        <v>71</v>
      </c>
      <c r="H8" s="87"/>
      <c r="I8" s="87"/>
      <c r="J8" s="87" t="s">
        <v>46</v>
      </c>
      <c r="K8" s="87"/>
      <c r="L8" s="67"/>
      <c r="M8" s="67"/>
      <c r="N8" s="67" t="s">
        <v>137</v>
      </c>
    </row>
    <row r="9" spans="1:14" ht="16" x14ac:dyDescent="0.2">
      <c r="A9" s="31">
        <v>2</v>
      </c>
      <c r="B9" s="31" t="str">
        <f t="shared" ref="B9:B37" si="0">TEXT(ROW(A2),"0000")</f>
        <v>0002</v>
      </c>
      <c r="C9" s="93" t="s">
        <v>128</v>
      </c>
      <c r="D9" s="38"/>
      <c r="E9" s="38">
        <v>224885.51</v>
      </c>
      <c r="F9" s="86" t="s">
        <v>111</v>
      </c>
      <c r="G9" s="87" t="s">
        <v>71</v>
      </c>
      <c r="H9" s="87"/>
      <c r="I9" s="87"/>
      <c r="J9" s="87" t="s">
        <v>46</v>
      </c>
      <c r="K9" s="88"/>
      <c r="L9" s="5"/>
      <c r="M9" s="5"/>
      <c r="N9" s="67" t="s">
        <v>137</v>
      </c>
    </row>
    <row r="10" spans="1:14" ht="16" x14ac:dyDescent="0.2">
      <c r="A10" s="31">
        <v>3</v>
      </c>
      <c r="B10" s="31" t="str">
        <f t="shared" si="0"/>
        <v>0003</v>
      </c>
      <c r="C10" s="93" t="s">
        <v>129</v>
      </c>
      <c r="D10" s="38"/>
      <c r="E10" s="38">
        <v>104924.16</v>
      </c>
      <c r="F10" s="86" t="s">
        <v>111</v>
      </c>
      <c r="G10" s="87" t="s">
        <v>86</v>
      </c>
      <c r="H10" s="87"/>
      <c r="I10" s="87"/>
      <c r="J10" s="87" t="s">
        <v>46</v>
      </c>
      <c r="K10" s="88"/>
      <c r="L10" s="6"/>
      <c r="M10" s="6"/>
      <c r="N10" s="67" t="s">
        <v>137</v>
      </c>
    </row>
    <row r="11" spans="1:14" ht="16" x14ac:dyDescent="0.2">
      <c r="A11" s="31">
        <v>4</v>
      </c>
      <c r="B11" s="31" t="str">
        <f t="shared" si="0"/>
        <v>0004</v>
      </c>
      <c r="C11" s="93" t="s">
        <v>130</v>
      </c>
      <c r="D11" s="38"/>
      <c r="E11" s="38">
        <v>176129.86802400002</v>
      </c>
      <c r="F11" s="86" t="s">
        <v>111</v>
      </c>
      <c r="G11" s="87" t="s">
        <v>86</v>
      </c>
      <c r="H11" s="87"/>
      <c r="I11" s="87"/>
      <c r="J11" s="87" t="s">
        <v>46</v>
      </c>
      <c r="K11" s="88"/>
      <c r="L11" s="7"/>
      <c r="M11" s="7"/>
      <c r="N11" s="67" t="s">
        <v>137</v>
      </c>
    </row>
    <row r="12" spans="1:14" ht="16" x14ac:dyDescent="0.2">
      <c r="A12" s="31">
        <v>5</v>
      </c>
      <c r="B12" s="31" t="str">
        <f t="shared" si="0"/>
        <v>0005</v>
      </c>
      <c r="C12" s="93" t="s">
        <v>140</v>
      </c>
      <c r="D12" s="38"/>
      <c r="E12" s="38">
        <v>680000</v>
      </c>
      <c r="F12" s="86" t="s">
        <v>111</v>
      </c>
      <c r="G12" s="87" t="s">
        <v>71</v>
      </c>
      <c r="H12" s="87"/>
      <c r="I12" s="87"/>
      <c r="J12" s="87" t="s">
        <v>46</v>
      </c>
      <c r="K12" s="88"/>
      <c r="L12" s="6"/>
      <c r="M12" s="6"/>
      <c r="N12" s="67" t="s">
        <v>141</v>
      </c>
    </row>
    <row r="13" spans="1:14" ht="16" x14ac:dyDescent="0.2">
      <c r="A13" s="31">
        <v>6</v>
      </c>
      <c r="B13" s="31" t="str">
        <f t="shared" si="0"/>
        <v>0006</v>
      </c>
      <c r="C13" s="93" t="s">
        <v>131</v>
      </c>
      <c r="D13" s="38"/>
      <c r="E13" s="38">
        <v>37950.000165000005</v>
      </c>
      <c r="F13" s="86" t="s">
        <v>112</v>
      </c>
      <c r="G13" s="87" t="s">
        <v>86</v>
      </c>
      <c r="H13" s="87"/>
      <c r="I13" s="87"/>
      <c r="J13" s="87" t="s">
        <v>46</v>
      </c>
      <c r="K13" s="88"/>
      <c r="L13" s="6"/>
      <c r="M13" s="6"/>
      <c r="N13" s="67" t="s">
        <v>137</v>
      </c>
    </row>
    <row r="14" spans="1:14" ht="16" x14ac:dyDescent="0.2">
      <c r="A14" s="31">
        <v>7</v>
      </c>
      <c r="B14" s="31" t="str">
        <f t="shared" si="0"/>
        <v>0007</v>
      </c>
      <c r="C14" s="93" t="s">
        <v>132</v>
      </c>
      <c r="D14" s="38"/>
      <c r="E14" s="38">
        <v>4040.3</v>
      </c>
      <c r="F14" s="86" t="s">
        <v>111</v>
      </c>
      <c r="G14" s="87" t="s">
        <v>71</v>
      </c>
      <c r="H14" s="87"/>
      <c r="I14" s="87"/>
      <c r="J14" s="87" t="s">
        <v>46</v>
      </c>
      <c r="K14" s="88"/>
      <c r="L14" s="8"/>
      <c r="M14" s="8"/>
      <c r="N14" s="67" t="s">
        <v>137</v>
      </c>
    </row>
    <row r="15" spans="1:14" ht="16" x14ac:dyDescent="0.2">
      <c r="A15" s="31">
        <v>8</v>
      </c>
      <c r="B15" s="31" t="str">
        <f t="shared" si="0"/>
        <v>0008</v>
      </c>
      <c r="C15" s="93" t="s">
        <v>133</v>
      </c>
      <c r="D15" s="38"/>
      <c r="E15" s="38">
        <v>3535.2680000000005</v>
      </c>
      <c r="F15" s="86" t="s">
        <v>111</v>
      </c>
      <c r="G15" s="87" t="s">
        <v>86</v>
      </c>
      <c r="H15" s="87"/>
      <c r="I15" s="87"/>
      <c r="J15" s="87" t="s">
        <v>46</v>
      </c>
      <c r="K15" s="88"/>
      <c r="L15" s="6"/>
      <c r="M15" s="6"/>
      <c r="N15" s="67" t="s">
        <v>137</v>
      </c>
    </row>
    <row r="16" spans="1:14" ht="16" x14ac:dyDescent="0.2">
      <c r="A16" s="31">
        <v>9</v>
      </c>
      <c r="B16" s="31" t="str">
        <f t="shared" si="0"/>
        <v>0009</v>
      </c>
      <c r="C16" s="93" t="s">
        <v>134</v>
      </c>
      <c r="D16" s="38"/>
      <c r="E16" s="38">
        <v>3015</v>
      </c>
      <c r="F16" s="86" t="s">
        <v>111</v>
      </c>
      <c r="G16" s="87" t="s">
        <v>72</v>
      </c>
      <c r="H16" s="87"/>
      <c r="I16" s="87"/>
      <c r="J16" s="87" t="s">
        <v>46</v>
      </c>
      <c r="K16" s="88"/>
      <c r="L16" s="7"/>
      <c r="M16" s="7"/>
      <c r="N16" s="67" t="s">
        <v>137</v>
      </c>
    </row>
    <row r="17" spans="1:14" ht="16" x14ac:dyDescent="0.2">
      <c r="A17" s="31">
        <v>10</v>
      </c>
      <c r="B17" s="31" t="str">
        <f t="shared" si="0"/>
        <v>0010</v>
      </c>
      <c r="C17" s="93" t="s">
        <v>135</v>
      </c>
      <c r="D17" s="38"/>
      <c r="E17" s="38">
        <v>30000</v>
      </c>
      <c r="F17" s="86" t="s">
        <v>111</v>
      </c>
      <c r="G17" s="87" t="s">
        <v>71</v>
      </c>
      <c r="H17" s="87"/>
      <c r="I17" s="87"/>
      <c r="J17" s="87" t="s">
        <v>46</v>
      </c>
      <c r="K17" s="88"/>
      <c r="L17" s="6"/>
      <c r="M17" s="6"/>
      <c r="N17" s="67" t="s">
        <v>137</v>
      </c>
    </row>
    <row r="18" spans="1:14" ht="16" x14ac:dyDescent="0.2">
      <c r="A18" s="31">
        <v>11</v>
      </c>
      <c r="B18" s="31" t="str">
        <f t="shared" si="0"/>
        <v>0011</v>
      </c>
      <c r="C18" s="93" t="s">
        <v>138</v>
      </c>
      <c r="D18" s="38">
        <v>8000000</v>
      </c>
      <c r="F18" s="86"/>
      <c r="G18" s="87" t="s">
        <v>71</v>
      </c>
      <c r="H18" s="87"/>
      <c r="I18" s="87"/>
      <c r="J18" s="88"/>
      <c r="K18" s="88"/>
      <c r="L18" s="9"/>
      <c r="M18" s="9"/>
      <c r="N18" s="3" t="s">
        <v>139</v>
      </c>
    </row>
    <row r="19" spans="1:14" ht="16" x14ac:dyDescent="0.2">
      <c r="A19" s="31">
        <v>12</v>
      </c>
      <c r="B19" s="31" t="str">
        <f t="shared" si="0"/>
        <v>0012</v>
      </c>
      <c r="C19" s="93"/>
      <c r="D19" s="38"/>
      <c r="E19" s="38"/>
      <c r="F19" s="86"/>
      <c r="G19" s="87"/>
      <c r="H19" s="87"/>
      <c r="I19" s="87"/>
      <c r="J19" s="88"/>
      <c r="K19" s="88"/>
      <c r="L19" s="9"/>
      <c r="M19" s="9"/>
      <c r="N19" s="3"/>
    </row>
    <row r="20" spans="1:14" ht="16" x14ac:dyDescent="0.2">
      <c r="A20" s="31">
        <v>13</v>
      </c>
      <c r="B20" s="31" t="str">
        <f t="shared" si="0"/>
        <v>0013</v>
      </c>
      <c r="C20" s="11" t="s">
        <v>136</v>
      </c>
      <c r="D20" s="38"/>
      <c r="E20" s="38"/>
      <c r="F20" s="86"/>
      <c r="G20" s="87"/>
      <c r="H20" s="87"/>
      <c r="I20" s="87"/>
      <c r="J20" s="88"/>
      <c r="K20" s="88"/>
      <c r="L20" s="10"/>
      <c r="M20" s="10"/>
      <c r="N20" s="3"/>
    </row>
    <row r="21" spans="1:14" ht="16" x14ac:dyDescent="0.2">
      <c r="A21" s="31">
        <v>14</v>
      </c>
      <c r="B21" s="31" t="str">
        <f t="shared" si="0"/>
        <v>0014</v>
      </c>
      <c r="C21" s="11"/>
      <c r="D21" s="38"/>
      <c r="E21" s="38"/>
      <c r="F21" s="86"/>
      <c r="G21" s="87"/>
      <c r="H21" s="87"/>
      <c r="I21" s="87"/>
      <c r="J21" s="88"/>
      <c r="K21" s="88"/>
      <c r="L21" s="8"/>
      <c r="M21" s="8"/>
      <c r="N21" s="3"/>
    </row>
    <row r="22" spans="1:14" ht="16" x14ac:dyDescent="0.2">
      <c r="A22" s="31">
        <v>15</v>
      </c>
      <c r="B22" s="31" t="str">
        <f t="shared" si="0"/>
        <v>0015</v>
      </c>
      <c r="C22" s="11"/>
      <c r="D22" s="38"/>
      <c r="E22" s="38"/>
      <c r="F22" s="86"/>
      <c r="G22" s="87"/>
      <c r="H22" s="87"/>
      <c r="I22" s="87"/>
      <c r="J22" s="88"/>
      <c r="K22" s="88"/>
      <c r="L22" s="6"/>
      <c r="M22" s="6"/>
      <c r="N22" s="3"/>
    </row>
    <row r="23" spans="1:14" ht="16" x14ac:dyDescent="0.2">
      <c r="A23" s="31">
        <v>16</v>
      </c>
      <c r="B23" s="31" t="str">
        <f t="shared" si="0"/>
        <v>0016</v>
      </c>
      <c r="C23" s="11"/>
      <c r="D23" s="38"/>
      <c r="E23" s="38"/>
      <c r="F23" s="86"/>
      <c r="G23" s="87"/>
      <c r="H23" s="87"/>
      <c r="I23" s="87"/>
      <c r="J23" s="88"/>
      <c r="K23" s="88"/>
      <c r="L23" s="7"/>
      <c r="M23" s="7"/>
      <c r="N23" s="3"/>
    </row>
    <row r="24" spans="1:14" ht="16" x14ac:dyDescent="0.2">
      <c r="A24" s="31">
        <v>17</v>
      </c>
      <c r="B24" s="31" t="str">
        <f t="shared" si="0"/>
        <v>0017</v>
      </c>
      <c r="C24" s="11"/>
      <c r="D24" s="38"/>
      <c r="F24" s="86"/>
      <c r="G24" s="87"/>
      <c r="H24" s="87"/>
      <c r="I24" s="87"/>
      <c r="J24" s="88"/>
      <c r="K24" s="88"/>
      <c r="L24" s="9"/>
      <c r="M24" s="9"/>
      <c r="N24" s="3"/>
    </row>
    <row r="25" spans="1:14" ht="16" x14ac:dyDescent="0.2">
      <c r="A25" s="31">
        <v>18</v>
      </c>
      <c r="B25" s="31" t="str">
        <f t="shared" si="0"/>
        <v>0018</v>
      </c>
      <c r="C25" s="11"/>
      <c r="D25" s="38"/>
      <c r="E25" s="38"/>
      <c r="F25" s="86"/>
      <c r="G25" s="87"/>
      <c r="H25" s="87"/>
      <c r="I25" s="87"/>
      <c r="J25" s="88"/>
      <c r="K25" s="88"/>
      <c r="L25" s="8"/>
      <c r="M25" s="8"/>
      <c r="N25" s="3"/>
    </row>
    <row r="26" spans="1:14" ht="16" x14ac:dyDescent="0.2">
      <c r="A26" s="31">
        <v>19</v>
      </c>
      <c r="B26" s="31" t="str">
        <f t="shared" si="0"/>
        <v>0019</v>
      </c>
      <c r="C26" s="11"/>
      <c r="D26" s="38"/>
      <c r="E26" s="38"/>
      <c r="F26" s="86"/>
      <c r="G26" s="87"/>
      <c r="H26" s="87"/>
      <c r="I26" s="87"/>
      <c r="J26" s="88"/>
      <c r="K26" s="88"/>
      <c r="L26" s="7"/>
      <c r="M26" s="7"/>
      <c r="N26" s="3"/>
    </row>
    <row r="27" spans="1:14" ht="16" x14ac:dyDescent="0.2">
      <c r="A27" s="31">
        <v>20</v>
      </c>
      <c r="B27" s="31" t="str">
        <f t="shared" si="0"/>
        <v>0020</v>
      </c>
      <c r="C27" s="11"/>
      <c r="D27" s="11"/>
      <c r="E27" s="1"/>
      <c r="F27" s="86"/>
      <c r="G27" s="87"/>
      <c r="H27" s="87"/>
      <c r="I27" s="87"/>
      <c r="J27" s="88"/>
      <c r="K27" s="88"/>
      <c r="L27" s="6"/>
      <c r="M27" s="6"/>
      <c r="N27" s="3"/>
    </row>
    <row r="28" spans="1:14" ht="16" x14ac:dyDescent="0.2">
      <c r="A28" s="31">
        <v>21</v>
      </c>
      <c r="B28" s="31" t="str">
        <f t="shared" si="0"/>
        <v>0021</v>
      </c>
      <c r="C28" s="11"/>
      <c r="D28" s="11"/>
      <c r="E28" s="1"/>
      <c r="F28" s="86"/>
      <c r="G28" s="87"/>
      <c r="H28" s="87"/>
      <c r="I28" s="87"/>
      <c r="J28" s="88"/>
      <c r="K28" s="88"/>
      <c r="L28" s="9"/>
      <c r="M28" s="9"/>
      <c r="N28" s="3"/>
    </row>
    <row r="29" spans="1:14" ht="16" x14ac:dyDescent="0.2">
      <c r="A29" s="32">
        <v>22</v>
      </c>
      <c r="B29" s="31" t="str">
        <f t="shared" si="0"/>
        <v>0022</v>
      </c>
      <c r="C29" s="11"/>
      <c r="D29" s="11"/>
      <c r="E29" s="1"/>
      <c r="F29" s="86"/>
      <c r="G29" s="87"/>
      <c r="H29" s="87"/>
      <c r="I29" s="87"/>
      <c r="J29" s="88"/>
      <c r="K29" s="88"/>
      <c r="L29" s="7"/>
      <c r="M29" s="7"/>
      <c r="N29" s="3"/>
    </row>
    <row r="30" spans="1:14" ht="16" x14ac:dyDescent="0.2">
      <c r="A30" s="32">
        <v>23</v>
      </c>
      <c r="B30" s="31" t="str">
        <f t="shared" si="0"/>
        <v>0023</v>
      </c>
      <c r="C30" s="11"/>
      <c r="D30" s="11"/>
      <c r="E30" s="1"/>
      <c r="F30" s="86"/>
      <c r="G30" s="87"/>
      <c r="H30" s="87"/>
      <c r="I30" s="87"/>
      <c r="J30" s="88"/>
      <c r="K30" s="88"/>
      <c r="L30" s="7"/>
      <c r="M30" s="7"/>
      <c r="N30" s="3"/>
    </row>
    <row r="31" spans="1:14" ht="16" x14ac:dyDescent="0.2">
      <c r="A31" s="32">
        <v>24</v>
      </c>
      <c r="B31" s="31" t="str">
        <f t="shared" si="0"/>
        <v>0024</v>
      </c>
      <c r="C31" s="11"/>
      <c r="D31" s="11"/>
      <c r="E31" s="1"/>
      <c r="F31" s="86"/>
      <c r="G31" s="87"/>
      <c r="H31" s="87"/>
      <c r="I31" s="87"/>
      <c r="J31" s="88"/>
      <c r="K31" s="88"/>
      <c r="L31" s="6"/>
      <c r="M31" s="6"/>
      <c r="N31" s="3"/>
    </row>
    <row r="32" spans="1:14" ht="16" x14ac:dyDescent="0.2">
      <c r="A32" s="32">
        <v>25</v>
      </c>
      <c r="B32" s="31" t="str">
        <f t="shared" si="0"/>
        <v>0025</v>
      </c>
      <c r="C32" s="11"/>
      <c r="D32" s="11"/>
      <c r="E32" s="1"/>
      <c r="F32" s="86"/>
      <c r="G32" s="87"/>
      <c r="H32" s="87"/>
      <c r="I32" s="87"/>
      <c r="J32" s="88"/>
      <c r="K32" s="88"/>
      <c r="L32" s="7"/>
      <c r="M32" s="7"/>
      <c r="N32" s="3"/>
    </row>
    <row r="33" spans="1:14" ht="16" x14ac:dyDescent="0.2">
      <c r="A33" s="32">
        <v>26</v>
      </c>
      <c r="B33" s="31" t="str">
        <f t="shared" si="0"/>
        <v>0026</v>
      </c>
      <c r="C33" s="11"/>
      <c r="D33" s="11"/>
      <c r="E33" s="1"/>
      <c r="F33" s="86"/>
      <c r="G33" s="87"/>
      <c r="H33" s="87"/>
      <c r="I33" s="87"/>
      <c r="J33" s="88"/>
      <c r="K33" s="88"/>
      <c r="L33" s="8"/>
      <c r="M33" s="8"/>
      <c r="N33" s="3"/>
    </row>
    <row r="34" spans="1:14" ht="16" x14ac:dyDescent="0.2">
      <c r="A34" s="32">
        <v>27</v>
      </c>
      <c r="B34" s="31" t="str">
        <f t="shared" si="0"/>
        <v>0027</v>
      </c>
      <c r="C34" s="11"/>
      <c r="D34" s="11"/>
      <c r="E34" s="1"/>
      <c r="F34" s="86"/>
      <c r="G34" s="87"/>
      <c r="H34" s="87"/>
      <c r="I34" s="87"/>
      <c r="J34" s="88"/>
      <c r="K34" s="88"/>
      <c r="L34" s="7"/>
      <c r="M34" s="7"/>
      <c r="N34" s="3"/>
    </row>
    <row r="35" spans="1:14" ht="16" x14ac:dyDescent="0.2">
      <c r="A35" s="32">
        <v>28</v>
      </c>
      <c r="B35" s="31" t="str">
        <f t="shared" si="0"/>
        <v>0028</v>
      </c>
      <c r="C35" s="11"/>
      <c r="D35" s="11"/>
      <c r="E35" s="1"/>
      <c r="F35" s="86"/>
      <c r="G35" s="87"/>
      <c r="H35" s="87"/>
      <c r="I35" s="87"/>
      <c r="J35" s="88"/>
      <c r="K35" s="88"/>
      <c r="L35" s="8"/>
      <c r="M35" s="8"/>
      <c r="N35" s="3"/>
    </row>
    <row r="36" spans="1:14" ht="16" x14ac:dyDescent="0.2">
      <c r="A36" s="32">
        <v>29</v>
      </c>
      <c r="B36" s="31" t="str">
        <f t="shared" si="0"/>
        <v>0029</v>
      </c>
      <c r="C36" s="11"/>
      <c r="D36" s="11"/>
      <c r="E36" s="1"/>
      <c r="F36" s="86"/>
      <c r="G36" s="87"/>
      <c r="H36" s="87"/>
      <c r="I36" s="87"/>
      <c r="J36" s="88"/>
      <c r="K36" s="88"/>
      <c r="L36" s="5"/>
      <c r="M36" s="5"/>
      <c r="N36" s="3"/>
    </row>
    <row r="37" spans="1:14" ht="16" x14ac:dyDescent="0.2">
      <c r="A37" s="32">
        <v>30</v>
      </c>
      <c r="B37" s="31" t="str">
        <f t="shared" si="0"/>
        <v>0030</v>
      </c>
      <c r="C37" s="11"/>
      <c r="D37" s="11"/>
      <c r="E37" s="1"/>
      <c r="F37" s="86"/>
      <c r="G37" s="87"/>
      <c r="H37" s="67"/>
      <c r="I37" s="67"/>
      <c r="J37" s="12"/>
      <c r="K37" s="12"/>
      <c r="L37" s="9"/>
      <c r="M37" s="9"/>
      <c r="N37" s="3"/>
    </row>
    <row r="38" spans="1:14" ht="16" thickBot="1" x14ac:dyDescent="0.25">
      <c r="A38" s="57"/>
      <c r="B38" s="57"/>
      <c r="C38" s="57" t="s">
        <v>50</v>
      </c>
      <c r="D38" s="58">
        <f>SUM(D8:D37)</f>
        <v>8000000</v>
      </c>
      <c r="E38" s="58">
        <f>SUM(E8:E37)</f>
        <v>1608560.1061890002</v>
      </c>
      <c r="F38" s="57"/>
      <c r="G38" s="57"/>
      <c r="H38" s="57"/>
      <c r="I38" s="57"/>
      <c r="J38" s="57"/>
      <c r="K38" s="57"/>
      <c r="L38" s="57"/>
      <c r="M38" s="57"/>
      <c r="N38" s="57"/>
    </row>
    <row r="39" spans="1:14" ht="16" thickTop="1" x14ac:dyDescent="0.2"/>
  </sheetData>
  <mergeCells count="22">
    <mergeCell ref="N6:N7"/>
    <mergeCell ref="E2:F2"/>
    <mergeCell ref="J6:J7"/>
    <mergeCell ref="C3:D3"/>
    <mergeCell ref="C1:N1"/>
    <mergeCell ref="C2:D2"/>
    <mergeCell ref="G2:H2"/>
    <mergeCell ref="I2:J2"/>
    <mergeCell ref="C4:D4"/>
    <mergeCell ref="G6:G7"/>
    <mergeCell ref="H6:H7"/>
    <mergeCell ref="I6:I7"/>
    <mergeCell ref="G5:M5"/>
    <mergeCell ref="L6:L7"/>
    <mergeCell ref="M6:M7"/>
    <mergeCell ref="K6:K7"/>
    <mergeCell ref="A6:A7"/>
    <mergeCell ref="C6:C7"/>
    <mergeCell ref="D6:D7"/>
    <mergeCell ref="E6:E7"/>
    <mergeCell ref="F6:F7"/>
    <mergeCell ref="B6:B7"/>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disablePrompts="1" count="6">
        <x14:dataValidation type="list" allowBlank="1" showInputMessage="1" showErrorMessage="1" xr:uid="{00000000-0002-0000-0300-000000000000}">
          <x14:formula1>
            <xm:f>'Macro-Sheet'!$E$2:$E$5</xm:f>
          </x14:formula1>
          <xm:sqref>J8:K37</xm:sqref>
        </x14:dataValidation>
        <x14:dataValidation type="list" allowBlank="1" showInputMessage="1" showErrorMessage="1" xr:uid="{00000000-0002-0000-0300-000001000000}">
          <x14:formula1>
            <xm:f>'Macro-Sheet'!$C$2:$C$5</xm:f>
          </x14:formula1>
          <xm:sqref>E27:E37</xm:sqref>
        </x14:dataValidation>
        <x14:dataValidation type="list" allowBlank="1" showInputMessage="1" showErrorMessage="1" xr:uid="{00000000-0002-0000-0300-000002000000}">
          <x14:formula1>
            <xm:f>'Macro-Sheet'!$C$2:$C$7</xm:f>
          </x14:formula1>
          <xm:sqref>F8:F37</xm:sqref>
        </x14:dataValidation>
        <x14:dataValidation type="list" allowBlank="1" showInputMessage="1" showErrorMessage="1" xr:uid="{00000000-0002-0000-0300-000003000000}">
          <x14:formula1>
            <xm:f>'Macro-Sheet'!$I$2:$I$7</xm:f>
          </x14:formula1>
          <xm:sqref>G8:G37</xm:sqref>
        </x14:dataValidation>
        <x14:dataValidation type="list" allowBlank="1" showInputMessage="1" showErrorMessage="1" xr:uid="{00000000-0002-0000-0300-000004000000}">
          <x14:formula1>
            <xm:f>'Macro-Sheet'!$J$2:$J$14</xm:f>
          </x14:formula1>
          <xm:sqref>H8:H37</xm:sqref>
        </x14:dataValidation>
        <x14:dataValidation type="list" allowBlank="1" showInputMessage="1" showErrorMessage="1" xr:uid="{00000000-0002-0000-0300-000005000000}">
          <x14:formula1>
            <xm:f>'Macro-Sheet'!$K$2:$K$33</xm:f>
          </x14:formula1>
          <xm:sqref>I8:I37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
  <sheetViews>
    <sheetView workbookViewId="0">
      <selection activeCell="A2" sqref="A2:B2"/>
    </sheetView>
  </sheetViews>
  <sheetFormatPr baseColWidth="10" defaultColWidth="8.83203125" defaultRowHeight="15" x14ac:dyDescent="0.2"/>
  <cols>
    <col min="1" max="1" width="85.5" bestFit="1" customWidth="1"/>
  </cols>
  <sheetData>
    <row r="1" spans="1:15" ht="23" x14ac:dyDescent="0.2">
      <c r="A1" s="143" t="s">
        <v>17</v>
      </c>
      <c r="B1" s="143"/>
      <c r="C1" s="145"/>
      <c r="D1" s="145"/>
      <c r="E1" s="145"/>
      <c r="F1" s="145"/>
      <c r="G1" s="145"/>
      <c r="H1" s="145"/>
      <c r="I1" s="145"/>
      <c r="J1" s="145"/>
      <c r="K1" s="145"/>
      <c r="L1" s="145"/>
      <c r="M1" s="145"/>
      <c r="N1" s="145"/>
      <c r="O1" s="145"/>
    </row>
    <row r="2" spans="1:15" ht="362.25" customHeight="1" x14ac:dyDescent="0.2">
      <c r="A2" s="144" t="s">
        <v>116</v>
      </c>
      <c r="B2" s="144"/>
      <c r="C2" s="145"/>
      <c r="D2" s="145"/>
      <c r="E2" s="145"/>
      <c r="F2" s="145"/>
      <c r="G2" s="145"/>
      <c r="H2" s="145"/>
      <c r="I2" s="145"/>
      <c r="J2" s="145"/>
      <c r="K2" s="145"/>
      <c r="L2" s="145"/>
      <c r="M2" s="145"/>
      <c r="N2" s="145"/>
      <c r="O2" s="145"/>
    </row>
    <row r="3" spans="1:15" ht="78" customHeight="1" x14ac:dyDescent="0.2">
      <c r="A3" s="145"/>
      <c r="B3" s="145"/>
      <c r="C3" s="145"/>
      <c r="D3" s="145"/>
      <c r="E3" s="145"/>
      <c r="F3" s="145"/>
      <c r="G3" s="145"/>
      <c r="H3" s="145"/>
      <c r="I3" s="145"/>
      <c r="J3" s="145"/>
      <c r="K3" s="145"/>
      <c r="L3" s="145"/>
      <c r="M3" s="145"/>
      <c r="N3" s="145"/>
      <c r="O3" s="145"/>
    </row>
  </sheetData>
  <mergeCells count="4">
    <mergeCell ref="A1:B1"/>
    <mergeCell ref="A2:B2"/>
    <mergeCell ref="A3:B3"/>
    <mergeCell ref="C1:O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35"/>
  <sheetViews>
    <sheetView showZeros="0" workbookViewId="0">
      <selection activeCell="E24" sqref="E24"/>
    </sheetView>
  </sheetViews>
  <sheetFormatPr baseColWidth="10" defaultColWidth="8.83203125" defaultRowHeight="15" x14ac:dyDescent="0.2"/>
  <cols>
    <col min="1" max="1" width="4.33203125" style="30" bestFit="1" customWidth="1"/>
    <col min="2" max="2" width="16.6640625" style="30" bestFit="1" customWidth="1"/>
    <col min="3" max="3" width="19.6640625" customWidth="1"/>
    <col min="4" max="4" width="15.5" customWidth="1"/>
    <col min="5" max="5" width="15.5" style="30" customWidth="1"/>
    <col min="6" max="6" width="14.5" customWidth="1"/>
    <col min="7" max="8" width="14.5" style="30" customWidth="1"/>
    <col min="9" max="9" width="15" customWidth="1"/>
    <col min="10" max="10" width="16.1640625" customWidth="1"/>
    <col min="11" max="11" width="20.83203125" customWidth="1"/>
    <col min="12" max="12" width="18.83203125" bestFit="1" customWidth="1"/>
    <col min="13" max="13" width="18.33203125" customWidth="1"/>
    <col min="17" max="18" width="11.33203125" customWidth="1"/>
  </cols>
  <sheetData>
    <row r="1" spans="1:18" ht="15" customHeight="1" x14ac:dyDescent="0.2">
      <c r="A1" s="146" t="s">
        <v>51</v>
      </c>
      <c r="B1" s="146"/>
      <c r="C1" s="146"/>
      <c r="D1" s="146"/>
      <c r="E1" s="146"/>
      <c r="F1" s="146"/>
      <c r="G1" s="146"/>
      <c r="H1" s="146"/>
      <c r="I1" s="146"/>
      <c r="J1" s="146"/>
      <c r="K1" s="146"/>
      <c r="L1" s="146"/>
      <c r="M1" s="146"/>
      <c r="N1" s="146"/>
      <c r="O1" s="146"/>
      <c r="P1" s="146"/>
      <c r="Q1" s="146"/>
      <c r="R1" s="146"/>
    </row>
    <row r="2" spans="1:18" ht="15" customHeight="1" x14ac:dyDescent="0.2">
      <c r="A2" s="146"/>
      <c r="B2" s="146"/>
      <c r="C2" s="146"/>
      <c r="D2" s="146"/>
      <c r="E2" s="146"/>
      <c r="F2" s="146"/>
      <c r="G2" s="146"/>
      <c r="H2" s="146"/>
      <c r="I2" s="146"/>
      <c r="J2" s="146"/>
      <c r="K2" s="146"/>
      <c r="L2" s="146"/>
      <c r="M2" s="146"/>
      <c r="N2" s="146"/>
      <c r="O2" s="146"/>
      <c r="P2" s="146"/>
      <c r="Q2" s="146"/>
      <c r="R2" s="146"/>
    </row>
    <row r="4" spans="1:18" ht="48" x14ac:dyDescent="0.2">
      <c r="A4" s="34" t="s">
        <v>37</v>
      </c>
      <c r="B4" s="34" t="s">
        <v>89</v>
      </c>
      <c r="C4" s="34" t="s">
        <v>87</v>
      </c>
      <c r="D4" s="34" t="s">
        <v>11</v>
      </c>
      <c r="E4" s="34" t="s">
        <v>52</v>
      </c>
      <c r="F4" s="35" t="s">
        <v>88</v>
      </c>
      <c r="G4" s="35" t="s">
        <v>58</v>
      </c>
      <c r="H4" s="35" t="s">
        <v>53</v>
      </c>
      <c r="I4" s="35" t="s">
        <v>59</v>
      </c>
      <c r="J4" s="35" t="s">
        <v>0</v>
      </c>
      <c r="K4" s="35" t="s">
        <v>60</v>
      </c>
      <c r="L4" s="36" t="s">
        <v>61</v>
      </c>
      <c r="M4" s="34" t="s">
        <v>33</v>
      </c>
      <c r="N4" s="37" t="s">
        <v>8</v>
      </c>
      <c r="O4" s="35" t="s">
        <v>9</v>
      </c>
      <c r="P4" s="35" t="s">
        <v>62</v>
      </c>
      <c r="Q4" s="35" t="s">
        <v>63</v>
      </c>
      <c r="R4" s="35" t="s">
        <v>64</v>
      </c>
    </row>
    <row r="5" spans="1:18" ht="16" x14ac:dyDescent="0.2">
      <c r="A5" s="31">
        <v>1</v>
      </c>
      <c r="B5" s="72" t="str">
        <f>'Department Name'!B8</f>
        <v>0001</v>
      </c>
      <c r="C5" s="4">
        <f>'Department Name'!L8</f>
        <v>0</v>
      </c>
      <c r="D5" s="4"/>
      <c r="E5" s="4"/>
      <c r="F5" s="2"/>
      <c r="G5" s="2"/>
      <c r="H5" s="2"/>
      <c r="I5" s="2"/>
      <c r="J5" s="2"/>
      <c r="K5" s="2"/>
      <c r="L5" s="2"/>
      <c r="M5" s="4"/>
      <c r="N5" s="2"/>
      <c r="O5" s="2"/>
      <c r="P5" s="2"/>
      <c r="Q5" s="2"/>
      <c r="R5" s="59"/>
    </row>
    <row r="6" spans="1:18" ht="16" x14ac:dyDescent="0.2">
      <c r="A6" s="31">
        <v>2</v>
      </c>
      <c r="B6" s="72" t="str">
        <f>'Department Name'!B9</f>
        <v>0002</v>
      </c>
      <c r="C6" s="4">
        <f>'Department Name'!L9</f>
        <v>0</v>
      </c>
      <c r="D6" s="12"/>
      <c r="E6" s="12"/>
      <c r="F6" s="12"/>
      <c r="G6" s="12"/>
      <c r="H6" s="2"/>
      <c r="I6" s="12"/>
      <c r="J6" s="12"/>
      <c r="K6" s="12"/>
      <c r="L6" s="2"/>
      <c r="M6" s="12"/>
      <c r="N6" s="12"/>
      <c r="O6" s="12"/>
      <c r="P6" s="12"/>
      <c r="Q6" s="12"/>
      <c r="R6" s="59"/>
    </row>
    <row r="7" spans="1:18" ht="16" x14ac:dyDescent="0.2">
      <c r="A7" s="31">
        <v>3</v>
      </c>
      <c r="B7" s="72" t="str">
        <f>'Department Name'!B10</f>
        <v>0003</v>
      </c>
      <c r="C7" s="4">
        <f>'Department Name'!L10</f>
        <v>0</v>
      </c>
      <c r="D7" s="5"/>
      <c r="E7" s="5"/>
      <c r="F7" s="5"/>
      <c r="G7" s="5"/>
      <c r="H7" s="2"/>
      <c r="I7" s="5"/>
      <c r="J7" s="5"/>
      <c r="K7" s="5"/>
      <c r="L7" s="2"/>
      <c r="M7" s="5"/>
      <c r="N7" s="5"/>
      <c r="O7" s="5"/>
      <c r="P7" s="5"/>
      <c r="Q7" s="5"/>
      <c r="R7" s="59"/>
    </row>
    <row r="8" spans="1:18" ht="16" x14ac:dyDescent="0.2">
      <c r="A8" s="31">
        <v>4</v>
      </c>
      <c r="B8" s="72" t="str">
        <f>'Department Name'!B11</f>
        <v>0004</v>
      </c>
      <c r="C8" s="4">
        <f>'Department Name'!L11</f>
        <v>0</v>
      </c>
      <c r="D8" s="6"/>
      <c r="E8" s="6"/>
      <c r="F8" s="6"/>
      <c r="G8" s="6"/>
      <c r="H8" s="2"/>
      <c r="I8" s="6"/>
      <c r="J8" s="6"/>
      <c r="K8" s="6"/>
      <c r="L8" s="2"/>
      <c r="M8" s="6"/>
      <c r="N8" s="6"/>
      <c r="O8" s="6"/>
      <c r="P8" s="6"/>
      <c r="Q8" s="6"/>
      <c r="R8" s="59"/>
    </row>
    <row r="9" spans="1:18" ht="16" x14ac:dyDescent="0.2">
      <c r="A9" s="31">
        <v>5</v>
      </c>
      <c r="B9" s="72" t="str">
        <f>'Department Name'!B12</f>
        <v>0005</v>
      </c>
      <c r="C9" s="4">
        <f>'Department Name'!L12</f>
        <v>0</v>
      </c>
      <c r="D9" s="7"/>
      <c r="E9" s="7"/>
      <c r="F9" s="7"/>
      <c r="G9" s="7"/>
      <c r="H9" s="2"/>
      <c r="I9" s="7"/>
      <c r="J9" s="7"/>
      <c r="K9" s="7"/>
      <c r="L9" s="2"/>
      <c r="M9" s="7"/>
      <c r="N9" s="7"/>
      <c r="O9" s="7"/>
      <c r="P9" s="7"/>
      <c r="Q9" s="7"/>
      <c r="R9" s="59"/>
    </row>
    <row r="10" spans="1:18" ht="16" x14ac:dyDescent="0.2">
      <c r="A10" s="31">
        <v>6</v>
      </c>
      <c r="B10" s="72" t="str">
        <f>'Department Name'!B13</f>
        <v>0006</v>
      </c>
      <c r="C10" s="4">
        <f>'Department Name'!L13</f>
        <v>0</v>
      </c>
      <c r="D10" s="6"/>
      <c r="E10" s="6"/>
      <c r="F10" s="6"/>
      <c r="G10" s="6"/>
      <c r="H10" s="2"/>
      <c r="I10" s="6"/>
      <c r="J10" s="6"/>
      <c r="K10" s="6"/>
      <c r="L10" s="2"/>
      <c r="M10" s="6"/>
      <c r="N10" s="6"/>
      <c r="O10" s="6"/>
      <c r="P10" s="6"/>
      <c r="Q10" s="6"/>
      <c r="R10" s="59"/>
    </row>
    <row r="11" spans="1:18" ht="16" x14ac:dyDescent="0.2">
      <c r="A11" s="31">
        <v>7</v>
      </c>
      <c r="B11" s="72" t="str">
        <f>'Department Name'!B14</f>
        <v>0007</v>
      </c>
      <c r="C11" s="4">
        <f>'Department Name'!L14</f>
        <v>0</v>
      </c>
      <c r="D11" s="6"/>
      <c r="E11" s="6"/>
      <c r="F11" s="6"/>
      <c r="G11" s="6"/>
      <c r="H11" s="2"/>
      <c r="I11" s="6"/>
      <c r="J11" s="6"/>
      <c r="K11" s="6"/>
      <c r="L11" s="2"/>
      <c r="M11" s="6"/>
      <c r="N11" s="6"/>
      <c r="O11" s="6"/>
      <c r="P11" s="6"/>
      <c r="Q11" s="6"/>
      <c r="R11" s="59"/>
    </row>
    <row r="12" spans="1:18" ht="16" x14ac:dyDescent="0.2">
      <c r="A12" s="31">
        <v>8</v>
      </c>
      <c r="B12" s="72" t="str">
        <f>'Department Name'!B15</f>
        <v>0008</v>
      </c>
      <c r="C12" s="4">
        <f>'Department Name'!L15</f>
        <v>0</v>
      </c>
      <c r="D12" s="8"/>
      <c r="E12" s="8"/>
      <c r="F12" s="8"/>
      <c r="G12" s="8"/>
      <c r="H12" s="2"/>
      <c r="I12" s="8"/>
      <c r="J12" s="8"/>
      <c r="K12" s="8"/>
      <c r="L12" s="2"/>
      <c r="M12" s="8"/>
      <c r="N12" s="8"/>
      <c r="O12" s="8"/>
      <c r="P12" s="8"/>
      <c r="Q12" s="8"/>
      <c r="R12" s="59"/>
    </row>
    <row r="13" spans="1:18" ht="16" x14ac:dyDescent="0.2">
      <c r="A13" s="31">
        <v>9</v>
      </c>
      <c r="B13" s="72" t="str">
        <f>'Department Name'!B16</f>
        <v>0009</v>
      </c>
      <c r="C13" s="4">
        <f>'Department Name'!L16</f>
        <v>0</v>
      </c>
      <c r="D13" s="6"/>
      <c r="E13" s="6"/>
      <c r="F13" s="6"/>
      <c r="G13" s="6"/>
      <c r="H13" s="2"/>
      <c r="I13" s="6"/>
      <c r="J13" s="6"/>
      <c r="K13" s="6"/>
      <c r="L13" s="2"/>
      <c r="M13" s="6"/>
      <c r="N13" s="6"/>
      <c r="O13" s="6"/>
      <c r="P13" s="6"/>
      <c r="Q13" s="6"/>
      <c r="R13" s="59"/>
    </row>
    <row r="14" spans="1:18" ht="16" x14ac:dyDescent="0.2">
      <c r="A14" s="31">
        <v>10</v>
      </c>
      <c r="B14" s="72" t="str">
        <f>'Department Name'!B17</f>
        <v>0010</v>
      </c>
      <c r="C14" s="4">
        <f>'Department Name'!L17</f>
        <v>0</v>
      </c>
      <c r="D14" s="7"/>
      <c r="E14" s="7"/>
      <c r="F14" s="7"/>
      <c r="G14" s="7"/>
      <c r="H14" s="2"/>
      <c r="I14" s="7"/>
      <c r="J14" s="7"/>
      <c r="K14" s="7"/>
      <c r="L14" s="2"/>
      <c r="M14" s="7"/>
      <c r="N14" s="7"/>
      <c r="O14" s="7"/>
      <c r="P14" s="7"/>
      <c r="Q14" s="7"/>
      <c r="R14" s="59"/>
    </row>
    <row r="15" spans="1:18" ht="16" x14ac:dyDescent="0.2">
      <c r="A15" s="31">
        <v>11</v>
      </c>
      <c r="B15" s="72" t="str">
        <f>'Department Name'!B18</f>
        <v>0011</v>
      </c>
      <c r="C15" s="4">
        <f>'Department Name'!L18</f>
        <v>0</v>
      </c>
      <c r="D15" s="6"/>
      <c r="E15" s="6"/>
      <c r="F15" s="6"/>
      <c r="G15" s="6"/>
      <c r="H15" s="2"/>
      <c r="I15" s="6"/>
      <c r="J15" s="6"/>
      <c r="K15" s="6"/>
      <c r="L15" s="2"/>
      <c r="M15" s="6"/>
      <c r="N15" s="6"/>
      <c r="O15" s="6"/>
      <c r="P15" s="6"/>
      <c r="Q15" s="6"/>
      <c r="R15" s="59"/>
    </row>
    <row r="16" spans="1:18" ht="16" x14ac:dyDescent="0.2">
      <c r="A16" s="31">
        <v>12</v>
      </c>
      <c r="B16" s="72" t="str">
        <f>'Department Name'!B19</f>
        <v>0012</v>
      </c>
      <c r="C16" s="4">
        <f>'Department Name'!L19</f>
        <v>0</v>
      </c>
      <c r="D16" s="9"/>
      <c r="E16" s="9"/>
      <c r="F16" s="9"/>
      <c r="G16" s="9"/>
      <c r="H16" s="2"/>
      <c r="I16" s="9"/>
      <c r="J16" s="9"/>
      <c r="K16" s="9"/>
      <c r="L16" s="2"/>
      <c r="M16" s="9"/>
      <c r="N16" s="9"/>
      <c r="O16" s="9"/>
      <c r="P16" s="9"/>
      <c r="Q16" s="9"/>
      <c r="R16" s="59"/>
    </row>
    <row r="17" spans="1:18" ht="16" x14ac:dyDescent="0.2">
      <c r="A17" s="31">
        <v>13</v>
      </c>
      <c r="B17" s="72" t="str">
        <f>'Department Name'!B20</f>
        <v>0013</v>
      </c>
      <c r="C17" s="4">
        <f>'Department Name'!L20</f>
        <v>0</v>
      </c>
      <c r="D17" s="9"/>
      <c r="E17" s="9"/>
      <c r="F17" s="9"/>
      <c r="G17" s="9"/>
      <c r="H17" s="2"/>
      <c r="I17" s="9"/>
      <c r="J17" s="9"/>
      <c r="K17" s="9"/>
      <c r="L17" s="2"/>
      <c r="M17" s="9"/>
      <c r="N17" s="9"/>
      <c r="O17" s="9"/>
      <c r="P17" s="9"/>
      <c r="Q17" s="9"/>
      <c r="R17" s="59"/>
    </row>
    <row r="18" spans="1:18" ht="16" x14ac:dyDescent="0.2">
      <c r="A18" s="31">
        <v>14</v>
      </c>
      <c r="B18" s="72" t="str">
        <f>'Department Name'!B21</f>
        <v>0014</v>
      </c>
      <c r="C18" s="4">
        <f>'Department Name'!L21</f>
        <v>0</v>
      </c>
      <c r="D18" s="10"/>
      <c r="E18" s="10"/>
      <c r="F18" s="10"/>
      <c r="G18" s="10"/>
      <c r="H18" s="2"/>
      <c r="I18" s="10"/>
      <c r="J18" s="10"/>
      <c r="K18" s="10"/>
      <c r="L18" s="2"/>
      <c r="M18" s="10"/>
      <c r="N18" s="10"/>
      <c r="O18" s="10"/>
      <c r="P18" s="10"/>
      <c r="Q18" s="10"/>
      <c r="R18" s="59"/>
    </row>
    <row r="19" spans="1:18" ht="16" x14ac:dyDescent="0.2">
      <c r="A19" s="31">
        <v>15</v>
      </c>
      <c r="B19" s="72" t="str">
        <f>'Department Name'!B22</f>
        <v>0015</v>
      </c>
      <c r="C19" s="4">
        <f>'Department Name'!L22</f>
        <v>0</v>
      </c>
      <c r="D19" s="8"/>
      <c r="E19" s="8"/>
      <c r="F19" s="8"/>
      <c r="G19" s="8"/>
      <c r="H19" s="2"/>
      <c r="I19" s="8"/>
      <c r="J19" s="8"/>
      <c r="K19" s="8"/>
      <c r="L19" s="2"/>
      <c r="M19" s="8"/>
      <c r="N19" s="8"/>
      <c r="O19" s="8"/>
      <c r="P19" s="8"/>
      <c r="Q19" s="8"/>
      <c r="R19" s="59"/>
    </row>
    <row r="20" spans="1:18" ht="16" x14ac:dyDescent="0.2">
      <c r="A20" s="31">
        <v>16</v>
      </c>
      <c r="B20" s="72" t="str">
        <f>'Department Name'!B23</f>
        <v>0016</v>
      </c>
      <c r="C20" s="4">
        <f>'Department Name'!L23</f>
        <v>0</v>
      </c>
      <c r="D20" s="6"/>
      <c r="E20" s="6"/>
      <c r="F20" s="6"/>
      <c r="G20" s="6"/>
      <c r="H20" s="2"/>
      <c r="I20" s="6"/>
      <c r="J20" s="6"/>
      <c r="K20" s="6"/>
      <c r="L20" s="2"/>
      <c r="M20" s="6"/>
      <c r="N20" s="6"/>
      <c r="O20" s="6"/>
      <c r="P20" s="6"/>
      <c r="Q20" s="6"/>
      <c r="R20" s="59"/>
    </row>
    <row r="21" spans="1:18" ht="16" x14ac:dyDescent="0.2">
      <c r="A21" s="31">
        <v>17</v>
      </c>
      <c r="B21" s="72" t="str">
        <f>'Department Name'!B24</f>
        <v>0017</v>
      </c>
      <c r="C21" s="4">
        <f>'Department Name'!L24</f>
        <v>0</v>
      </c>
      <c r="D21" s="7"/>
      <c r="E21" s="7"/>
      <c r="F21" s="7"/>
      <c r="G21" s="7"/>
      <c r="H21" s="2"/>
      <c r="I21" s="7"/>
      <c r="J21" s="7"/>
      <c r="K21" s="7"/>
      <c r="L21" s="2"/>
      <c r="M21" s="7"/>
      <c r="N21" s="7"/>
      <c r="O21" s="7"/>
      <c r="P21" s="7"/>
      <c r="Q21" s="7"/>
      <c r="R21" s="59"/>
    </row>
    <row r="22" spans="1:18" ht="16" x14ac:dyDescent="0.2">
      <c r="A22" s="31">
        <v>18</v>
      </c>
      <c r="B22" s="72" t="str">
        <f>'Department Name'!B25</f>
        <v>0018</v>
      </c>
      <c r="C22" s="4">
        <f>'Department Name'!L25</f>
        <v>0</v>
      </c>
      <c r="D22" s="9"/>
      <c r="E22" s="9"/>
      <c r="F22" s="9"/>
      <c r="G22" s="9"/>
      <c r="H22" s="2"/>
      <c r="I22" s="9"/>
      <c r="J22" s="9"/>
      <c r="K22" s="9"/>
      <c r="L22" s="2"/>
      <c r="M22" s="9"/>
      <c r="N22" s="9"/>
      <c r="O22" s="9"/>
      <c r="P22" s="9"/>
      <c r="Q22" s="9"/>
      <c r="R22" s="59"/>
    </row>
    <row r="23" spans="1:18" ht="16" x14ac:dyDescent="0.2">
      <c r="A23" s="31">
        <v>19</v>
      </c>
      <c r="B23" s="72" t="str">
        <f>'Department Name'!B26</f>
        <v>0019</v>
      </c>
      <c r="C23" s="4">
        <f>'Department Name'!L26</f>
        <v>0</v>
      </c>
      <c r="D23" s="8"/>
      <c r="E23" s="8"/>
      <c r="F23" s="8"/>
      <c r="G23" s="8"/>
      <c r="H23" s="2"/>
      <c r="I23" s="8"/>
      <c r="J23" s="8"/>
      <c r="K23" s="8"/>
      <c r="L23" s="2"/>
      <c r="M23" s="8"/>
      <c r="N23" s="8"/>
      <c r="O23" s="8"/>
      <c r="P23" s="8"/>
      <c r="Q23" s="8"/>
      <c r="R23" s="59"/>
    </row>
    <row r="24" spans="1:18" ht="16" x14ac:dyDescent="0.2">
      <c r="A24" s="31">
        <v>20</v>
      </c>
      <c r="B24" s="72" t="str">
        <f>'Department Name'!B27</f>
        <v>0020</v>
      </c>
      <c r="C24" s="4">
        <f>'Department Name'!L27</f>
        <v>0</v>
      </c>
      <c r="D24" s="7"/>
      <c r="E24" s="7"/>
      <c r="F24" s="7"/>
      <c r="G24" s="7"/>
      <c r="H24" s="2"/>
      <c r="I24" s="7"/>
      <c r="J24" s="7"/>
      <c r="K24" s="7"/>
      <c r="L24" s="2"/>
      <c r="M24" s="7"/>
      <c r="N24" s="7"/>
      <c r="O24" s="7"/>
      <c r="P24" s="7"/>
      <c r="Q24" s="7"/>
      <c r="R24" s="59"/>
    </row>
    <row r="25" spans="1:18" ht="16" x14ac:dyDescent="0.2">
      <c r="A25" s="31">
        <v>21</v>
      </c>
      <c r="B25" s="72" t="str">
        <f>'Department Name'!B28</f>
        <v>0021</v>
      </c>
      <c r="C25" s="4">
        <f>'Department Name'!L28</f>
        <v>0</v>
      </c>
      <c r="D25" s="6"/>
      <c r="E25" s="6"/>
      <c r="F25" s="6"/>
      <c r="G25" s="6"/>
      <c r="H25" s="2"/>
      <c r="I25" s="6"/>
      <c r="J25" s="6"/>
      <c r="K25" s="6"/>
      <c r="L25" s="2"/>
      <c r="M25" s="6"/>
      <c r="N25" s="6"/>
      <c r="O25" s="6"/>
      <c r="P25" s="6"/>
      <c r="Q25" s="6"/>
      <c r="R25" s="59"/>
    </row>
    <row r="26" spans="1:18" ht="16" x14ac:dyDescent="0.2">
      <c r="A26" s="32">
        <v>22</v>
      </c>
      <c r="B26" s="72" t="str">
        <f>'Department Name'!B29</f>
        <v>0022</v>
      </c>
      <c r="C26" s="4">
        <f>'Department Name'!L29</f>
        <v>0</v>
      </c>
      <c r="D26" s="9"/>
      <c r="E26" s="9"/>
      <c r="F26" s="9"/>
      <c r="G26" s="9"/>
      <c r="H26" s="2"/>
      <c r="I26" s="9"/>
      <c r="J26" s="9"/>
      <c r="K26" s="9"/>
      <c r="L26" s="2"/>
      <c r="M26" s="9"/>
      <c r="N26" s="9"/>
      <c r="O26" s="9"/>
      <c r="P26" s="9"/>
      <c r="Q26" s="9"/>
      <c r="R26" s="59"/>
    </row>
    <row r="27" spans="1:18" ht="16" x14ac:dyDescent="0.2">
      <c r="A27" s="32">
        <v>23</v>
      </c>
      <c r="B27" s="72" t="str">
        <f>'Department Name'!B30</f>
        <v>0023</v>
      </c>
      <c r="C27" s="4">
        <f>'Department Name'!L30</f>
        <v>0</v>
      </c>
      <c r="D27" s="7"/>
      <c r="E27" s="7"/>
      <c r="F27" s="7"/>
      <c r="G27" s="7"/>
      <c r="H27" s="2"/>
      <c r="I27" s="7"/>
      <c r="J27" s="7"/>
      <c r="K27" s="7"/>
      <c r="L27" s="2"/>
      <c r="M27" s="7"/>
      <c r="N27" s="7"/>
      <c r="O27" s="7"/>
      <c r="P27" s="7"/>
      <c r="Q27" s="7"/>
      <c r="R27" s="59"/>
    </row>
    <row r="28" spans="1:18" ht="16" x14ac:dyDescent="0.2">
      <c r="A28" s="32">
        <v>24</v>
      </c>
      <c r="B28" s="72" t="str">
        <f>'Department Name'!B31</f>
        <v>0024</v>
      </c>
      <c r="C28" s="4">
        <f>'Department Name'!L31</f>
        <v>0</v>
      </c>
      <c r="D28" s="7"/>
      <c r="E28" s="7"/>
      <c r="F28" s="7"/>
      <c r="G28" s="7"/>
      <c r="H28" s="2"/>
      <c r="I28" s="7"/>
      <c r="J28" s="7"/>
      <c r="K28" s="7"/>
      <c r="L28" s="2"/>
      <c r="M28" s="7"/>
      <c r="N28" s="7"/>
      <c r="O28" s="7"/>
      <c r="P28" s="7"/>
      <c r="Q28" s="7"/>
      <c r="R28" s="59"/>
    </row>
    <row r="29" spans="1:18" ht="16" x14ac:dyDescent="0.2">
      <c r="A29" s="32">
        <v>25</v>
      </c>
      <c r="B29" s="72" t="str">
        <f>'Department Name'!B32</f>
        <v>0025</v>
      </c>
      <c r="C29" s="4">
        <f>'Department Name'!L32</f>
        <v>0</v>
      </c>
      <c r="D29" s="6"/>
      <c r="E29" s="6"/>
      <c r="F29" s="6"/>
      <c r="G29" s="6"/>
      <c r="H29" s="2"/>
      <c r="I29" s="6"/>
      <c r="J29" s="6"/>
      <c r="K29" s="6"/>
      <c r="L29" s="2"/>
      <c r="M29" s="6"/>
      <c r="N29" s="6"/>
      <c r="O29" s="6"/>
      <c r="P29" s="6"/>
      <c r="Q29" s="6"/>
      <c r="R29" s="59"/>
    </row>
    <row r="30" spans="1:18" ht="16" x14ac:dyDescent="0.2">
      <c r="A30" s="32">
        <v>26</v>
      </c>
      <c r="B30" s="72" t="str">
        <f>'Department Name'!B33</f>
        <v>0026</v>
      </c>
      <c r="C30" s="4">
        <f>'Department Name'!L33</f>
        <v>0</v>
      </c>
      <c r="D30" s="7"/>
      <c r="E30" s="7"/>
      <c r="F30" s="7"/>
      <c r="G30" s="7"/>
      <c r="H30" s="2"/>
      <c r="I30" s="7"/>
      <c r="J30" s="7"/>
      <c r="K30" s="7"/>
      <c r="L30" s="2"/>
      <c r="M30" s="7"/>
      <c r="N30" s="7"/>
      <c r="O30" s="7"/>
      <c r="P30" s="7"/>
      <c r="Q30" s="7"/>
      <c r="R30" s="59"/>
    </row>
    <row r="31" spans="1:18" ht="16" x14ac:dyDescent="0.2">
      <c r="A31" s="32">
        <v>27</v>
      </c>
      <c r="B31" s="72" t="str">
        <f>'Department Name'!B34</f>
        <v>0027</v>
      </c>
      <c r="C31" s="4">
        <f>'Department Name'!L34</f>
        <v>0</v>
      </c>
      <c r="D31" s="8"/>
      <c r="E31" s="8"/>
      <c r="F31" s="8"/>
      <c r="G31" s="8"/>
      <c r="H31" s="2"/>
      <c r="I31" s="8"/>
      <c r="J31" s="8"/>
      <c r="K31" s="8"/>
      <c r="L31" s="2"/>
      <c r="M31" s="8"/>
      <c r="N31" s="8"/>
      <c r="O31" s="8"/>
      <c r="P31" s="8"/>
      <c r="Q31" s="8"/>
      <c r="R31" s="59"/>
    </row>
    <row r="32" spans="1:18" ht="16" x14ac:dyDescent="0.2">
      <c r="A32" s="32">
        <v>28</v>
      </c>
      <c r="B32" s="72" t="str">
        <f>'Department Name'!B35</f>
        <v>0028</v>
      </c>
      <c r="C32" s="4">
        <f>'Department Name'!L35</f>
        <v>0</v>
      </c>
      <c r="D32" s="7"/>
      <c r="E32" s="7"/>
      <c r="F32" s="7"/>
      <c r="G32" s="7"/>
      <c r="H32" s="2"/>
      <c r="I32" s="7"/>
      <c r="J32" s="7"/>
      <c r="K32" s="7"/>
      <c r="L32" s="2"/>
      <c r="M32" s="7"/>
      <c r="N32" s="7"/>
      <c r="O32" s="7"/>
      <c r="P32" s="7"/>
      <c r="Q32" s="7"/>
      <c r="R32" s="59"/>
    </row>
    <row r="33" spans="1:18" ht="16" x14ac:dyDescent="0.2">
      <c r="A33" s="68">
        <v>29</v>
      </c>
      <c r="B33" s="72" t="str">
        <f>'Department Name'!B36</f>
        <v>0029</v>
      </c>
      <c r="C33" s="4">
        <f>'Department Name'!L36</f>
        <v>0</v>
      </c>
      <c r="D33" s="69"/>
      <c r="E33" s="69"/>
      <c r="F33" s="69"/>
      <c r="G33" s="69"/>
      <c r="H33" s="70"/>
      <c r="I33" s="69"/>
      <c r="J33" s="69"/>
      <c r="K33" s="69"/>
      <c r="L33" s="70"/>
      <c r="M33" s="69"/>
      <c r="N33" s="69"/>
      <c r="O33" s="69"/>
      <c r="P33" s="69"/>
      <c r="Q33" s="69"/>
      <c r="R33" s="71"/>
    </row>
    <row r="34" spans="1:18" s="59" customFormat="1" ht="16" x14ac:dyDescent="0.2">
      <c r="A34" s="32">
        <v>30</v>
      </c>
      <c r="B34" s="73" t="str">
        <f>'Department Name'!B37</f>
        <v>0030</v>
      </c>
      <c r="C34" s="4">
        <f>'Department Name'!L37</f>
        <v>0</v>
      </c>
      <c r="D34" s="5"/>
      <c r="E34" s="5"/>
      <c r="F34" s="5"/>
      <c r="G34" s="5"/>
      <c r="H34" s="2"/>
      <c r="I34" s="5"/>
      <c r="J34" s="5"/>
      <c r="K34" s="5"/>
      <c r="L34" s="2"/>
      <c r="M34" s="5"/>
      <c r="N34" s="5"/>
      <c r="O34" s="5"/>
      <c r="P34" s="5"/>
      <c r="Q34" s="5"/>
    </row>
    <row r="35" spans="1:18" x14ac:dyDescent="0.2">
      <c r="E35" s="30">
        <f>SUM(E5:E34)</f>
        <v>0</v>
      </c>
    </row>
  </sheetData>
  <mergeCells count="1">
    <mergeCell ref="A1:R2"/>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500-000000000000}">
          <x14:formula1>
            <xm:f>'Macro-Sheet'!$A$2:$A$5</xm:f>
          </x14:formula1>
          <xm:sqref>L5:L34</xm:sqref>
        </x14:dataValidation>
        <x14:dataValidation type="list" allowBlank="1" showInputMessage="1" showErrorMessage="1" xr:uid="{00000000-0002-0000-0500-000001000000}">
          <x14:formula1>
            <xm:f>'Macro-Sheet'!$F$2:$F$5</xm:f>
          </x14:formula1>
          <xm:sqref>H5:H34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33"/>
  <sheetViews>
    <sheetView workbookViewId="0">
      <selection activeCell="I7" sqref="I7"/>
    </sheetView>
  </sheetViews>
  <sheetFormatPr baseColWidth="10" defaultColWidth="8.83203125" defaultRowHeight="15" x14ac:dyDescent="0.2"/>
  <cols>
    <col min="1" max="1" width="11.6640625" style="63" bestFit="1" customWidth="1"/>
    <col min="2" max="2" width="9.1640625" style="63"/>
    <col min="3" max="3" width="35" style="63" customWidth="1"/>
    <col min="4" max="4" width="15.6640625" style="63" bestFit="1" customWidth="1"/>
    <col min="5" max="5" width="19.5" style="63" bestFit="1" customWidth="1"/>
    <col min="6" max="6" width="20.6640625" style="63" customWidth="1"/>
    <col min="7" max="8" width="9.1640625" style="63"/>
    <col min="9" max="9" width="28.1640625" style="63" bestFit="1" customWidth="1"/>
    <col min="10" max="14" width="9.1640625" style="63"/>
  </cols>
  <sheetData>
    <row r="1" spans="1:11" x14ac:dyDescent="0.2">
      <c r="A1" s="63" t="s">
        <v>1</v>
      </c>
      <c r="C1" s="63" t="s">
        <v>66</v>
      </c>
      <c r="D1" s="63" t="s">
        <v>43</v>
      </c>
      <c r="E1" s="63" t="s">
        <v>44</v>
      </c>
      <c r="F1" s="63" t="s">
        <v>54</v>
      </c>
      <c r="G1" s="63" t="s">
        <v>67</v>
      </c>
      <c r="I1" s="63" t="s">
        <v>12</v>
      </c>
      <c r="J1" s="63" t="s">
        <v>74</v>
      </c>
      <c r="K1" s="63" t="s">
        <v>81</v>
      </c>
    </row>
    <row r="3" spans="1:11" ht="16.5" customHeight="1" x14ac:dyDescent="0.2">
      <c r="A3" s="64" t="s">
        <v>13</v>
      </c>
      <c r="B3" s="64"/>
      <c r="C3" s="63" t="s">
        <v>111</v>
      </c>
      <c r="D3" s="63" t="s">
        <v>41</v>
      </c>
      <c r="E3" s="63" t="s">
        <v>45</v>
      </c>
      <c r="F3" s="63" t="s">
        <v>55</v>
      </c>
      <c r="G3" s="63" t="s">
        <v>68</v>
      </c>
      <c r="I3" s="63" t="s">
        <v>86</v>
      </c>
      <c r="J3" s="63" t="s">
        <v>2</v>
      </c>
      <c r="K3" s="63">
        <v>1</v>
      </c>
    </row>
    <row r="4" spans="1:11" ht="17.25" customHeight="1" x14ac:dyDescent="0.2">
      <c r="A4" s="64" t="s">
        <v>15</v>
      </c>
      <c r="B4" s="64"/>
      <c r="C4" s="63" t="s">
        <v>112</v>
      </c>
      <c r="D4" s="63" t="s">
        <v>42</v>
      </c>
      <c r="E4" s="63" t="s">
        <v>46</v>
      </c>
      <c r="F4" s="63" t="s">
        <v>56</v>
      </c>
      <c r="G4" s="63" t="s">
        <v>69</v>
      </c>
      <c r="I4" s="63" t="s">
        <v>71</v>
      </c>
      <c r="J4" s="63" t="s">
        <v>3</v>
      </c>
      <c r="K4" s="63">
        <v>2</v>
      </c>
    </row>
    <row r="5" spans="1:11" ht="17.25" customHeight="1" x14ac:dyDescent="0.2">
      <c r="A5" s="64" t="s">
        <v>14</v>
      </c>
      <c r="B5" s="64"/>
      <c r="C5" s="63" t="s">
        <v>122</v>
      </c>
      <c r="E5" s="63" t="s">
        <v>47</v>
      </c>
      <c r="F5" s="63" t="s">
        <v>57</v>
      </c>
      <c r="G5" s="63" t="s">
        <v>70</v>
      </c>
      <c r="I5" s="63" t="s">
        <v>72</v>
      </c>
      <c r="J5" s="63" t="s">
        <v>75</v>
      </c>
      <c r="K5" s="63">
        <v>3</v>
      </c>
    </row>
    <row r="6" spans="1:11" x14ac:dyDescent="0.2">
      <c r="A6" s="64"/>
      <c r="C6" s="63" t="s">
        <v>123</v>
      </c>
      <c r="E6" s="63" t="s">
        <v>83</v>
      </c>
      <c r="I6" s="63" t="s">
        <v>73</v>
      </c>
      <c r="J6" s="63" t="s">
        <v>76</v>
      </c>
      <c r="K6" s="63">
        <v>4</v>
      </c>
    </row>
    <row r="7" spans="1:11" x14ac:dyDescent="0.2">
      <c r="C7" s="63" t="s">
        <v>110</v>
      </c>
      <c r="J7" s="63" t="s">
        <v>77</v>
      </c>
      <c r="K7" s="63">
        <v>5</v>
      </c>
    </row>
    <row r="8" spans="1:11" x14ac:dyDescent="0.2">
      <c r="J8" s="63" t="s">
        <v>78</v>
      </c>
      <c r="K8" s="63">
        <v>6</v>
      </c>
    </row>
    <row r="9" spans="1:11" x14ac:dyDescent="0.2">
      <c r="J9" s="63" t="s">
        <v>79</v>
      </c>
      <c r="K9" s="63">
        <v>7</v>
      </c>
    </row>
    <row r="10" spans="1:11" x14ac:dyDescent="0.2">
      <c r="J10" s="63" t="s">
        <v>4</v>
      </c>
      <c r="K10" s="63">
        <v>8</v>
      </c>
    </row>
    <row r="11" spans="1:11" x14ac:dyDescent="0.2">
      <c r="J11" s="63" t="s">
        <v>80</v>
      </c>
      <c r="K11" s="63">
        <v>9</v>
      </c>
    </row>
    <row r="12" spans="1:11" x14ac:dyDescent="0.2">
      <c r="J12" s="63" t="s">
        <v>5</v>
      </c>
      <c r="K12" s="63">
        <v>10</v>
      </c>
    </row>
    <row r="13" spans="1:11" x14ac:dyDescent="0.2">
      <c r="J13" s="63" t="s">
        <v>6</v>
      </c>
      <c r="K13" s="63">
        <v>11</v>
      </c>
    </row>
    <row r="14" spans="1:11" x14ac:dyDescent="0.2">
      <c r="J14" s="63" t="s">
        <v>7</v>
      </c>
      <c r="K14" s="63">
        <v>12</v>
      </c>
    </row>
    <row r="15" spans="1:11" x14ac:dyDescent="0.2">
      <c r="K15" s="63">
        <v>13</v>
      </c>
    </row>
    <row r="16" spans="1:11" x14ac:dyDescent="0.2">
      <c r="K16" s="63">
        <v>14</v>
      </c>
    </row>
    <row r="17" spans="11:11" x14ac:dyDescent="0.2">
      <c r="K17" s="63">
        <v>15</v>
      </c>
    </row>
    <row r="18" spans="11:11" x14ac:dyDescent="0.2">
      <c r="K18" s="63">
        <v>16</v>
      </c>
    </row>
    <row r="19" spans="11:11" x14ac:dyDescent="0.2">
      <c r="K19" s="63">
        <v>17</v>
      </c>
    </row>
    <row r="20" spans="11:11" x14ac:dyDescent="0.2">
      <c r="K20" s="63">
        <v>18</v>
      </c>
    </row>
    <row r="21" spans="11:11" x14ac:dyDescent="0.2">
      <c r="K21" s="63">
        <v>19</v>
      </c>
    </row>
    <row r="22" spans="11:11" x14ac:dyDescent="0.2">
      <c r="K22" s="63">
        <v>20</v>
      </c>
    </row>
    <row r="23" spans="11:11" x14ac:dyDescent="0.2">
      <c r="K23" s="63">
        <v>21</v>
      </c>
    </row>
    <row r="24" spans="11:11" x14ac:dyDescent="0.2">
      <c r="K24" s="63">
        <v>22</v>
      </c>
    </row>
    <row r="25" spans="11:11" x14ac:dyDescent="0.2">
      <c r="K25" s="63">
        <v>23</v>
      </c>
    </row>
    <row r="26" spans="11:11" x14ac:dyDescent="0.2">
      <c r="K26" s="63">
        <v>24</v>
      </c>
    </row>
    <row r="27" spans="11:11" x14ac:dyDescent="0.2">
      <c r="K27" s="63">
        <v>25</v>
      </c>
    </row>
    <row r="28" spans="11:11" x14ac:dyDescent="0.2">
      <c r="K28" s="63">
        <v>26</v>
      </c>
    </row>
    <row r="29" spans="11:11" x14ac:dyDescent="0.2">
      <c r="K29" s="63">
        <v>27</v>
      </c>
    </row>
    <row r="30" spans="11:11" x14ac:dyDescent="0.2">
      <c r="K30" s="63">
        <v>28</v>
      </c>
    </row>
    <row r="31" spans="11:11" x14ac:dyDescent="0.2">
      <c r="K31" s="63">
        <v>29</v>
      </c>
    </row>
    <row r="32" spans="11:11" x14ac:dyDescent="0.2">
      <c r="K32" s="63">
        <v>30</v>
      </c>
    </row>
    <row r="33" spans="11:11" x14ac:dyDescent="0.2">
      <c r="K33" s="63">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Guideline</vt:lpstr>
      <vt:lpstr>Budget Summary</vt:lpstr>
      <vt:lpstr>Procurement SLA (Lead Time)</vt:lpstr>
      <vt:lpstr>Department Name</vt:lpstr>
      <vt:lpstr>Contact Information</vt:lpstr>
      <vt:lpstr>Procurement Follow-up Sheet </vt:lpstr>
      <vt:lpstr>Macro-Sheet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Humaid Naser Al Ansari</dc:creator>
  <cp:lastModifiedBy>Dureid El-Moghraby</cp:lastModifiedBy>
  <cp:lastPrinted>2018-01-22T05:59:54Z</cp:lastPrinted>
  <dcterms:created xsi:type="dcterms:W3CDTF">2015-03-02T03:57:19Z</dcterms:created>
  <dcterms:modified xsi:type="dcterms:W3CDTF">2020-02-16T07:19:53Z</dcterms:modified>
</cp:coreProperties>
</file>