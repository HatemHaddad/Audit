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2"/>
  <workbookPr defaultThemeVersion="124226"/>
  <mc:AlternateContent xmlns:mc="http://schemas.openxmlformats.org/markup-compatibility/2006">
    <mc:Choice Requires="x15">
      <x15ac:absPath xmlns:x15ac="http://schemas.microsoft.com/office/spreadsheetml/2010/11/ac" url="/Users/delmoghraby/Documents/KU_files/budget_and_invoices/2021/"/>
    </mc:Choice>
  </mc:AlternateContent>
  <xr:revisionPtr revIDLastSave="0" documentId="13_ncr:1_{6B96D3D7-B556-8F42-9DA3-9373173C4C6D}" xr6:coauthVersionLast="46" xr6:coauthVersionMax="46" xr10:uidLastSave="{00000000-0000-0000-0000-000000000000}"/>
  <bookViews>
    <workbookView xWindow="1340" yWindow="460" windowWidth="32580" windowHeight="23300" tabRatio="844" activeTab="11" xr2:uid="{00000000-000D-0000-FFFF-FFFF00000000}"/>
  </bookViews>
  <sheets>
    <sheet name="Guideline" sheetId="23" r:id="rId1"/>
    <sheet name="Submission Instruction" sheetId="22" r:id="rId2"/>
    <sheet name="Budget Summary" sheetId="26" r:id="rId3"/>
    <sheet name="VPRES" sheetId="33" r:id="rId4"/>
    <sheet name="IISC" sheetId="41" r:id="rId5"/>
    <sheet name="PETR INST" sheetId="42" r:id="rId6"/>
    <sheet name="MASD INST" sheetId="43" r:id="rId7"/>
    <sheet name="RES SERV" sheetId="46" r:id="rId8"/>
    <sheet name="SPONS RES" sheetId="47" r:id="rId9"/>
    <sheet name="TMI" sheetId="48" r:id="rId10"/>
    <sheet name="RES LAB" sheetId="49" r:id="rId11"/>
    <sheet name="RES COMP" sheetId="50" r:id="rId12"/>
    <sheet name="Macro-Sheet" sheetId="21" state="hidden" r:id="rId13"/>
    <sheet name="Procurement Follow-up Sheet" sheetId="24" state="hidden" r:id="rId14"/>
  </sheets>
  <externalReferences>
    <externalReference r:id="rId15"/>
    <externalReference r:id="rId16"/>
    <externalReference r:id="rId17"/>
    <externalReference r:id="rId18"/>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50" l="1"/>
  <c r="B10" i="50"/>
  <c r="B11" i="50"/>
  <c r="B12" i="50"/>
  <c r="B13" i="50"/>
  <c r="B14" i="50"/>
  <c r="B15" i="50"/>
  <c r="B16" i="50"/>
  <c r="B17" i="50"/>
  <c r="B18" i="50"/>
  <c r="B19" i="50"/>
  <c r="B20" i="50"/>
  <c r="B21" i="50"/>
  <c r="B22" i="50"/>
  <c r="B23" i="50"/>
  <c r="B24" i="50"/>
  <c r="B25" i="50"/>
  <c r="B26" i="50"/>
  <c r="B27" i="50"/>
  <c r="B28" i="50"/>
  <c r="B29" i="50"/>
  <c r="B30" i="50"/>
  <c r="B31" i="50"/>
  <c r="B32" i="50"/>
  <c r="B33" i="50"/>
  <c r="B34" i="50"/>
  <c r="B35" i="50"/>
  <c r="B36" i="50"/>
  <c r="B37" i="50"/>
  <c r="B38" i="50"/>
  <c r="B8" i="50"/>
  <c r="B9" i="49"/>
  <c r="B10" i="49"/>
  <c r="B11" i="49"/>
  <c r="B12" i="49"/>
  <c r="B13" i="49"/>
  <c r="B14" i="49"/>
  <c r="B15" i="49"/>
  <c r="B16" i="49"/>
  <c r="B17" i="49"/>
  <c r="B18" i="49"/>
  <c r="B19" i="49"/>
  <c r="B20" i="49"/>
  <c r="B21" i="49"/>
  <c r="B22" i="49"/>
  <c r="B23" i="49"/>
  <c r="B24" i="49"/>
  <c r="B25" i="49"/>
  <c r="B26" i="49"/>
  <c r="B27" i="49"/>
  <c r="B28" i="49"/>
  <c r="B29" i="49"/>
  <c r="B30" i="49"/>
  <c r="B31" i="49"/>
  <c r="B32" i="49"/>
  <c r="B33" i="49"/>
  <c r="B34" i="49"/>
  <c r="B35" i="49"/>
  <c r="B36" i="49"/>
  <c r="B37" i="49"/>
  <c r="B38" i="49"/>
  <c r="B8" i="49"/>
  <c r="B9" i="48"/>
  <c r="B10" i="48"/>
  <c r="B11" i="48"/>
  <c r="B12" i="48"/>
  <c r="B13" i="48"/>
  <c r="B14" i="48"/>
  <c r="B15" i="48"/>
  <c r="B16" i="48"/>
  <c r="B17" i="48"/>
  <c r="B18" i="48"/>
  <c r="B19" i="48"/>
  <c r="B20" i="48"/>
  <c r="B21" i="48"/>
  <c r="B22" i="48"/>
  <c r="B23" i="48"/>
  <c r="B24" i="48"/>
  <c r="B25" i="48"/>
  <c r="B26" i="48"/>
  <c r="B27" i="48"/>
  <c r="B28" i="48"/>
  <c r="B29" i="48"/>
  <c r="B30" i="48"/>
  <c r="B31" i="48"/>
  <c r="B32" i="48"/>
  <c r="B33" i="48"/>
  <c r="B34" i="48"/>
  <c r="B35" i="48"/>
  <c r="B36" i="48"/>
  <c r="B37" i="48"/>
  <c r="B38" i="48"/>
  <c r="B8" i="48"/>
  <c r="B9" i="47"/>
  <c r="B10" i="47"/>
  <c r="B11" i="47"/>
  <c r="B12" i="47"/>
  <c r="B13" i="47"/>
  <c r="B14" i="47"/>
  <c r="B15" i="47"/>
  <c r="B16" i="47"/>
  <c r="B17" i="47"/>
  <c r="B18" i="47"/>
  <c r="B19" i="47"/>
  <c r="B20" i="47"/>
  <c r="B21" i="47"/>
  <c r="B22" i="47"/>
  <c r="B23" i="47"/>
  <c r="B24" i="47"/>
  <c r="B25" i="47"/>
  <c r="B26" i="47"/>
  <c r="B27" i="47"/>
  <c r="B28" i="47"/>
  <c r="B29" i="47"/>
  <c r="B30" i="47"/>
  <c r="B31" i="47"/>
  <c r="B32" i="47"/>
  <c r="B33" i="47"/>
  <c r="B34" i="47"/>
  <c r="B35" i="47"/>
  <c r="B36" i="47"/>
  <c r="B37" i="47"/>
  <c r="B38" i="47"/>
  <c r="B8" i="47"/>
  <c r="B9" i="46"/>
  <c r="B10" i="46"/>
  <c r="B11" i="46"/>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8" i="46"/>
  <c r="B9" i="43"/>
  <c r="B10" i="43"/>
  <c r="B11" i="43"/>
  <c r="B12" i="43"/>
  <c r="B13" i="43"/>
  <c r="B14" i="43"/>
  <c r="B15" i="43"/>
  <c r="B16" i="43"/>
  <c r="B17" i="43"/>
  <c r="B18" i="43"/>
  <c r="B19" i="43"/>
  <c r="B20" i="43"/>
  <c r="B21" i="43"/>
  <c r="B22" i="43"/>
  <c r="B23" i="43"/>
  <c r="B24" i="43"/>
  <c r="B25" i="43"/>
  <c r="B26" i="43"/>
  <c r="B27" i="43"/>
  <c r="B28" i="43"/>
  <c r="B29" i="43"/>
  <c r="B30" i="43"/>
  <c r="B31" i="43"/>
  <c r="B32" i="43"/>
  <c r="B33" i="43"/>
  <c r="B34" i="43"/>
  <c r="B35" i="43"/>
  <c r="B36" i="43"/>
  <c r="B37" i="43"/>
  <c r="B38" i="43"/>
  <c r="B8" i="43"/>
  <c r="B9" i="42"/>
  <c r="B10" i="42"/>
  <c r="B11" i="42"/>
  <c r="B12" i="42"/>
  <c r="B13" i="42"/>
  <c r="B14" i="42"/>
  <c r="B15" i="42"/>
  <c r="B16" i="42"/>
  <c r="B17" i="42"/>
  <c r="B18" i="42"/>
  <c r="B19" i="42"/>
  <c r="B20" i="42"/>
  <c r="B21" i="42"/>
  <c r="B22" i="42"/>
  <c r="B23" i="42"/>
  <c r="B24" i="42"/>
  <c r="B25" i="42"/>
  <c r="B26" i="42"/>
  <c r="B27" i="42"/>
  <c r="B28" i="42"/>
  <c r="B29" i="42"/>
  <c r="B30" i="42"/>
  <c r="B31" i="42"/>
  <c r="B32" i="42"/>
  <c r="B33" i="42"/>
  <c r="B34" i="42"/>
  <c r="B35" i="42"/>
  <c r="B36" i="42"/>
  <c r="B37" i="42"/>
  <c r="B38" i="42"/>
  <c r="B8" i="42"/>
  <c r="B9" i="41"/>
  <c r="B10" i="41"/>
  <c r="B11" i="41"/>
  <c r="B12" i="41"/>
  <c r="B13" i="41"/>
  <c r="B14" i="41"/>
  <c r="B15" i="41"/>
  <c r="B16" i="41"/>
  <c r="B17" i="41"/>
  <c r="B18" i="41"/>
  <c r="B19" i="41"/>
  <c r="B20" i="41"/>
  <c r="B21" i="41"/>
  <c r="B22" i="41"/>
  <c r="B23" i="41"/>
  <c r="B24" i="41"/>
  <c r="B25" i="41"/>
  <c r="B26" i="41"/>
  <c r="B27" i="41"/>
  <c r="B28" i="41"/>
  <c r="B29" i="41"/>
  <c r="B30" i="41"/>
  <c r="B31" i="41"/>
  <c r="B32" i="41"/>
  <c r="B33" i="41"/>
  <c r="B34" i="41"/>
  <c r="B35" i="41"/>
  <c r="B36" i="41"/>
  <c r="B37" i="41"/>
  <c r="B38" i="41"/>
  <c r="B8" i="41"/>
  <c r="B9" i="33"/>
  <c r="B10" i="33"/>
  <c r="B11" i="33"/>
  <c r="B12" i="33"/>
  <c r="B13" i="33"/>
  <c r="B14" i="33"/>
  <c r="B15" i="33"/>
  <c r="B16" i="33"/>
  <c r="B17" i="33"/>
  <c r="B18" i="33"/>
  <c r="B19" i="33"/>
  <c r="B20" i="33"/>
  <c r="B21" i="33"/>
  <c r="B22" i="33"/>
  <c r="B23" i="33"/>
  <c r="B24" i="33"/>
  <c r="B25" i="33"/>
  <c r="B26" i="33"/>
  <c r="B27" i="33"/>
  <c r="B28" i="33"/>
  <c r="B29" i="33"/>
  <c r="B30" i="33"/>
  <c r="B31" i="33"/>
  <c r="B32" i="33"/>
  <c r="B33" i="33"/>
  <c r="B34" i="33"/>
  <c r="B35" i="33"/>
  <c r="B36" i="33"/>
  <c r="B37" i="33"/>
  <c r="B8" i="33"/>
  <c r="B3" i="50" l="1"/>
  <c r="E39" i="50"/>
  <c r="I4" i="50" s="1"/>
  <c r="D39" i="50"/>
  <c r="H4" i="50" s="1"/>
  <c r="F4" i="50"/>
  <c r="D4" i="50"/>
  <c r="B3" i="49"/>
  <c r="E39" i="49"/>
  <c r="I4" i="49" s="1"/>
  <c r="D39" i="49"/>
  <c r="H4" i="49" s="1"/>
  <c r="F4" i="49"/>
  <c r="D4" i="49"/>
  <c r="B3" i="48"/>
  <c r="E39" i="48"/>
  <c r="D39" i="48"/>
  <c r="H4" i="48" s="1"/>
  <c r="I4" i="48"/>
  <c r="F4" i="48"/>
  <c r="D4" i="48"/>
  <c r="B3" i="47"/>
  <c r="E39" i="47"/>
  <c r="I4" i="47" s="1"/>
  <c r="D39" i="47"/>
  <c r="H4" i="47"/>
  <c r="F4" i="47"/>
  <c r="D4" i="47"/>
  <c r="B3" i="46"/>
  <c r="J4" i="49" l="1"/>
  <c r="J4" i="48"/>
  <c r="K4" i="49"/>
  <c r="K4" i="48"/>
  <c r="J4" i="47"/>
  <c r="J4" i="50"/>
  <c r="K4" i="50"/>
  <c r="K4" i="47"/>
  <c r="B3" i="43"/>
  <c r="B3" i="42"/>
  <c r="B3" i="41"/>
  <c r="B3" i="33" l="1"/>
  <c r="E39" i="46" l="1"/>
  <c r="I4" i="46" s="1"/>
  <c r="D39" i="46"/>
  <c r="H4" i="46" s="1"/>
  <c r="F4" i="46"/>
  <c r="D4" i="46"/>
  <c r="J4" i="46" s="1"/>
  <c r="E39" i="43"/>
  <c r="I4" i="43" s="1"/>
  <c r="D39" i="43"/>
  <c r="H4" i="43" s="1"/>
  <c r="F4" i="43"/>
  <c r="K4" i="43" s="1"/>
  <c r="D4" i="43"/>
  <c r="E39" i="42"/>
  <c r="I4" i="42" s="1"/>
  <c r="D39" i="42"/>
  <c r="H4" i="42" s="1"/>
  <c r="F4" i="42"/>
  <c r="D4" i="42"/>
  <c r="E39" i="41"/>
  <c r="D39" i="41"/>
  <c r="G16" i="26"/>
  <c r="H16" i="26"/>
  <c r="I16" i="26"/>
  <c r="J16" i="26"/>
  <c r="K16" i="26"/>
  <c r="F16" i="26"/>
  <c r="K4" i="46" l="1"/>
  <c r="J4" i="43"/>
  <c r="J4" i="42"/>
  <c r="K4" i="42"/>
  <c r="F4" i="41"/>
  <c r="D4" i="41"/>
  <c r="D4" i="33"/>
  <c r="F4" i="33"/>
  <c r="I4" i="41" l="1"/>
  <c r="K4" i="41" s="1"/>
  <c r="H4" i="41"/>
  <c r="J4" i="41" s="1"/>
  <c r="E35" i="24" l="1"/>
  <c r="C34" i="24"/>
  <c r="B34" i="24"/>
  <c r="C33" i="24"/>
  <c r="B33" i="24"/>
  <c r="C32" i="24"/>
  <c r="B32" i="24"/>
  <c r="C31" i="24"/>
  <c r="B31" i="24"/>
  <c r="C30" i="24"/>
  <c r="B30" i="24"/>
  <c r="C29" i="24"/>
  <c r="B29" i="24"/>
  <c r="C28" i="24"/>
  <c r="B28" i="24"/>
  <c r="C27" i="24"/>
  <c r="B27" i="24"/>
  <c r="C26" i="24"/>
  <c r="B26" i="24"/>
  <c r="C25" i="24"/>
  <c r="B25" i="24"/>
  <c r="C24" i="24"/>
  <c r="B24" i="24"/>
  <c r="C23" i="24"/>
  <c r="B23" i="24"/>
  <c r="C22" i="24"/>
  <c r="B22" i="24"/>
  <c r="C21" i="24"/>
  <c r="B21" i="24"/>
  <c r="C20" i="24"/>
  <c r="B20" i="24"/>
  <c r="C19" i="24"/>
  <c r="B19" i="24"/>
  <c r="C18" i="24"/>
  <c r="B18" i="24"/>
  <c r="C17" i="24"/>
  <c r="B17" i="24"/>
  <c r="C16" i="24"/>
  <c r="B16" i="24"/>
  <c r="C15" i="24"/>
  <c r="B15" i="24"/>
  <c r="C14" i="24"/>
  <c r="B14" i="24"/>
  <c r="C13" i="24"/>
  <c r="B13" i="24"/>
  <c r="C12" i="24"/>
  <c r="B12" i="24"/>
  <c r="C11" i="24"/>
  <c r="B11" i="24"/>
  <c r="C10" i="24"/>
  <c r="B10" i="24"/>
  <c r="C9" i="24"/>
  <c r="B9" i="24"/>
  <c r="C8" i="24"/>
  <c r="B8" i="24"/>
  <c r="C7" i="24"/>
  <c r="B7" i="24"/>
  <c r="C6" i="24"/>
  <c r="B6" i="24"/>
  <c r="C5" i="24"/>
  <c r="B5" i="24"/>
  <c r="E38" i="33"/>
  <c r="I4" i="33" s="1"/>
  <c r="K4" i="33" s="1"/>
  <c r="D38" i="33"/>
  <c r="H4" i="33" s="1"/>
  <c r="J4" i="33" s="1"/>
</calcChain>
</file>

<file path=xl/sharedStrings.xml><?xml version="1.0" encoding="utf-8"?>
<sst xmlns="http://schemas.openxmlformats.org/spreadsheetml/2006/main" count="446" uniqueCount="160">
  <si>
    <t>Requirements
Complete (Yes/No)</t>
  </si>
  <si>
    <t>Status</t>
  </si>
  <si>
    <t>Jan</t>
  </si>
  <si>
    <t>Feb</t>
  </si>
  <si>
    <t>Aug</t>
  </si>
  <si>
    <t>Oct</t>
  </si>
  <si>
    <t>Nov</t>
  </si>
  <si>
    <t>Dec</t>
  </si>
  <si>
    <t>PO/SO Number</t>
  </si>
  <si>
    <t>PO/SO Date</t>
  </si>
  <si>
    <t>Description of Goods/services/works (Specifications)</t>
  </si>
  <si>
    <t>Requisition Date</t>
  </si>
  <si>
    <t>Requirement Date/Need Date</t>
  </si>
  <si>
    <t>On time</t>
  </si>
  <si>
    <t>Late</t>
  </si>
  <si>
    <t>Slightly Late</t>
  </si>
  <si>
    <t>Comments</t>
  </si>
  <si>
    <t>Guide to Completing the Annual Procurement Plan (APP)</t>
  </si>
  <si>
    <t>* There are a number of factors a department may wish to consider when deciding which procurements to include in the APP. These may include: 
• The likely significance of the procurement; 
• The likely value; 
• The likelihood of the procurement actually occurring and determine the need date; and 
• The type of procurement.</t>
  </si>
  <si>
    <t>Delivery Location</t>
  </si>
  <si>
    <t>Good Description</t>
  </si>
  <si>
    <t xml:space="preserve">Electronic records management system to maintain all official documents </t>
  </si>
  <si>
    <t xml:space="preserve">Design and development of a website for health promotion services </t>
  </si>
  <si>
    <t>Panel of legal services providers</t>
  </si>
  <si>
    <t>Bad Description</t>
  </si>
  <si>
    <t>GOOD PRACTICE EXAMPLES</t>
  </si>
  <si>
    <t>IT system (too general)</t>
  </si>
  <si>
    <t>Telephones (inadequate indication of size and scope)</t>
  </si>
  <si>
    <t>Panel of service providers (insufficient description of the service)</t>
  </si>
  <si>
    <r>
      <t xml:space="preserve">The subject matter of the procurement is described in the General Description column of the APP. 
The wording for the summary of the planned procurement should be short and in plain English. 
       </t>
    </r>
    <r>
      <rPr>
        <b/>
        <u/>
        <sz val="11"/>
        <color theme="1"/>
        <rFont val="Calibri"/>
        <family val="2"/>
        <scheme val="minor"/>
      </rPr>
      <t xml:space="preserve">1. When specifying details of a procurement, it is good practice to include information about: </t>
    </r>
    <r>
      <rPr>
        <sz val="11"/>
        <color theme="1"/>
        <rFont val="Calibri"/>
        <family val="2"/>
        <scheme val="minor"/>
      </rPr>
      <t xml:space="preserve">
a. the likely scale or volume of the procurement; 
b. the delivery location(s); 
c. the planned method of procurement including details of any intended panel arrangements; and 
d. the likely contract duration (in the Comment field) 
     </t>
    </r>
    <r>
      <rPr>
        <b/>
        <u/>
        <sz val="11"/>
        <color theme="1"/>
        <rFont val="Calibri"/>
        <family val="2"/>
        <scheme val="minor"/>
      </rPr>
      <t xml:space="preserve">  2. When listing planned procurements, End Users should </t>
    </r>
    <r>
      <rPr>
        <b/>
        <u/>
        <sz val="11"/>
        <color rgb="FFFF0000"/>
        <rFont val="Calibri"/>
        <family val="2"/>
        <scheme val="minor"/>
      </rPr>
      <t>avoid</t>
    </r>
    <r>
      <rPr>
        <b/>
        <u/>
        <sz val="11"/>
        <color theme="1"/>
        <rFont val="Calibri"/>
        <family val="2"/>
        <scheme val="minor"/>
      </rPr>
      <t xml:space="preserve"> descriptions that:  </t>
    </r>
    <r>
      <rPr>
        <b/>
        <u/>
        <sz val="11"/>
        <color theme="4"/>
        <rFont val="Calibri"/>
        <family val="2"/>
        <scheme val="minor"/>
      </rPr>
      <t>(also see example below)</t>
    </r>
    <r>
      <rPr>
        <sz val="11"/>
        <color theme="1"/>
        <rFont val="Calibri"/>
        <family val="2"/>
        <scheme val="minor"/>
      </rPr>
      <t xml:space="preserve">
a. are too general or broad; 
b. give an inadequate indication of the scope of the procurement; 
c. use overly technical terms or jargon; or 
d. inadequately describe the type of property or services sought.</t>
    </r>
  </si>
  <si>
    <t xml:space="preserve">Blueprint for expansion of mainstream electronic information dissemination strategy for publications encouraging improved knowledge and awareness of “Healthy UAE” program (too technical and obscure) </t>
  </si>
  <si>
    <t>Updating Annual Procurement Plans</t>
  </si>
  <si>
    <t>Pricing Agreement</t>
  </si>
  <si>
    <t xml:space="preserve">Buyer Name </t>
  </si>
  <si>
    <t>APPROVED BUDGET</t>
  </si>
  <si>
    <t>UTILISED BUDGET</t>
  </si>
  <si>
    <t>AVAILABLE BUDGET</t>
  </si>
  <si>
    <t>Sl No</t>
  </si>
  <si>
    <t>DEPARTMENT</t>
  </si>
  <si>
    <t>CAPITAL</t>
  </si>
  <si>
    <t>OPERATING</t>
  </si>
  <si>
    <t>CAPEX</t>
  </si>
  <si>
    <t>OPEX</t>
  </si>
  <si>
    <t>Budget Category</t>
  </si>
  <si>
    <t>Deliver Location</t>
  </si>
  <si>
    <t>Main Campus</t>
  </si>
  <si>
    <t>Sas Al Nkhal Campus</t>
  </si>
  <si>
    <t>MI Campus</t>
  </si>
  <si>
    <t>DEPARTMENT NAME</t>
  </si>
  <si>
    <t xml:space="preserve">Total Expenditure </t>
  </si>
  <si>
    <t xml:space="preserve">Procurement &amp; Contracts Department </t>
  </si>
  <si>
    <t>Purchase Requisition Value</t>
  </si>
  <si>
    <t>Purchase Requisition Assign Date</t>
  </si>
  <si>
    <t xml:space="preserve">Section </t>
  </si>
  <si>
    <t xml:space="preserve">Bidders List Date
Approved </t>
  </si>
  <si>
    <t>SOW/SOS
Completion Date</t>
  </si>
  <si>
    <t>Requirement Status</t>
  </si>
  <si>
    <t>Award Value</t>
  </si>
  <si>
    <t>Delivery Date</t>
  </si>
  <si>
    <t xml:space="preserve">Comments </t>
  </si>
  <si>
    <r>
      <rPr>
        <b/>
        <u/>
        <sz val="11"/>
        <color theme="1"/>
        <rFont val="Calibri"/>
        <family val="2"/>
        <scheme val="minor"/>
      </rPr>
      <t>Purpose</t>
    </r>
    <r>
      <rPr>
        <sz val="11"/>
        <color theme="1"/>
        <rFont val="Calibri"/>
        <family val="2"/>
        <scheme val="minor"/>
      </rPr>
      <t xml:space="preserve">
The Annual Procurement planning is the process of identifying and consolidating requirements and determining the timeframes for their procurement with the aim of having them as and when they are required. Also, it will help Procurement &amp; Contracts Department to arrange its work force accordingly in order to achieve the efficiency and effectiveness in the procurement process.</t>
    </r>
  </si>
  <si>
    <r>
      <rPr>
        <b/>
        <u/>
        <sz val="11"/>
        <color theme="1"/>
        <rFont val="Calibri"/>
        <family val="2"/>
        <scheme val="minor"/>
      </rPr>
      <t>Objective:</t>
    </r>
    <r>
      <rPr>
        <sz val="11"/>
        <color theme="1"/>
        <rFont val="Calibri"/>
        <family val="2"/>
        <scheme val="minor"/>
      </rPr>
      <t xml:space="preserve">
The objective is to ensure that there is a consistent and transparent approach to handling procurement activities at KU Academic and Administrative departments by assisting them with the planning for the procurement of goods, works or services in a pro-active manner and to move away from merely reacting to purchasing requests.</t>
    </r>
  </si>
  <si>
    <r>
      <t xml:space="preserve">* Departments should appoint an </t>
    </r>
    <r>
      <rPr>
        <b/>
        <sz val="11"/>
        <color rgb="FFFF0000"/>
        <rFont val="Calibri"/>
        <family val="2"/>
        <scheme val="minor"/>
      </rPr>
      <t>APP Co-ordinator</t>
    </r>
    <r>
      <rPr>
        <sz val="11"/>
        <color theme="1"/>
        <rFont val="Calibri"/>
        <family val="2"/>
        <scheme val="minor"/>
      </rPr>
      <t>. Appointing an APP Co-ordinator establishes the basis for a coordinated approach across the department. The Co-ordinator can be responsible for collating information, drafting the APP, submitting the APP for approval from line manager and managing reviews and updates during the year. 
* The Co-Ordinator is also required to arrange with other departments to submit their procurement project/initiative especially if it is going to be consumed from the said department(s) budget.</t>
    </r>
  </si>
  <si>
    <t xml:space="preserve">Replacement of voice services to 1000 staff in all KU and Project offices </t>
  </si>
  <si>
    <r>
      <rPr>
        <b/>
        <u/>
        <sz val="11"/>
        <color theme="1"/>
        <rFont val="Calibri"/>
        <family val="2"/>
        <scheme val="minor"/>
      </rPr>
      <t>Estimated Need date:</t>
    </r>
    <r>
      <rPr>
        <sz val="11"/>
        <color theme="1"/>
        <rFont val="Calibri"/>
        <family val="2"/>
        <scheme val="minor"/>
      </rPr>
      <t xml:space="preserve">
1. Departments are required to indicate the planned timing for acquiring the service/goods/works in the Planned Procurement Need date section of the APP. It is good practice to indicate the planned timing as specifically as possible by selecting the month of the planned need date. This will assist Procurement &amp; Contracts to plan for approaching the market as per the pre-agreed SLA. 
2. This information should include also software renewal and acquiring any addtional new software. Where additional information about timing is known, such as the expiry date of a current contract or details of the likely contract commencement date, it is good practice to include this information in the APP.</t>
    </r>
  </si>
  <si>
    <t>Plan Ref. Number</t>
  </si>
  <si>
    <t>Utilised CAPEX Budget</t>
  </si>
  <si>
    <t>Utilised OPEX Budget</t>
  </si>
  <si>
    <t>Procurement Method</t>
  </si>
  <si>
    <t>Quarters</t>
  </si>
  <si>
    <t>Month</t>
  </si>
  <si>
    <t>Day</t>
  </si>
  <si>
    <t>Purchase Requisition Number (if available)</t>
  </si>
  <si>
    <t>Expected Requisition Approved Date</t>
  </si>
  <si>
    <t>Approved Purchase Requisition Number</t>
  </si>
  <si>
    <t>Requisition
Receipt Date</t>
  </si>
  <si>
    <t>Section</t>
  </si>
  <si>
    <t xml:space="preserve">Type of Supply </t>
  </si>
  <si>
    <t>Months</t>
  </si>
  <si>
    <t>Days</t>
  </si>
  <si>
    <t>Direct Purchase (Single Source)</t>
  </si>
  <si>
    <t>Procurement</t>
  </si>
  <si>
    <t xml:space="preserve">Goods </t>
  </si>
  <si>
    <t>Q1</t>
  </si>
  <si>
    <t>Tendering/Competitive Bidding</t>
  </si>
  <si>
    <t>Contracts</t>
  </si>
  <si>
    <t xml:space="preserve">Services </t>
  </si>
  <si>
    <t>Q2</t>
  </si>
  <si>
    <t>Material Management</t>
  </si>
  <si>
    <t>Materials</t>
  </si>
  <si>
    <t>Q3</t>
  </si>
  <si>
    <t>Mar</t>
  </si>
  <si>
    <t>Variation Order</t>
  </si>
  <si>
    <t>All Campuses</t>
  </si>
  <si>
    <t>Q4</t>
  </si>
  <si>
    <t>Apr</t>
  </si>
  <si>
    <t>Repeat Order</t>
  </si>
  <si>
    <t>Q1 - Q4</t>
  </si>
  <si>
    <t>May</t>
  </si>
  <si>
    <t>Jun</t>
  </si>
  <si>
    <t>Jul</t>
  </si>
  <si>
    <t>Sep</t>
  </si>
  <si>
    <r>
      <rPr>
        <b/>
        <u/>
        <sz val="11"/>
        <color theme="1"/>
        <rFont val="Calibri"/>
        <family val="2"/>
        <scheme val="minor"/>
      </rPr>
      <t>Guideline:</t>
    </r>
    <r>
      <rPr>
        <sz val="11"/>
        <color theme="1"/>
        <rFont val="Calibri"/>
        <family val="2"/>
        <scheme val="minor"/>
      </rPr>
      <t xml:space="preserve">
* All academic and administrative departments shall prepare a procurement plan for goods/services according to  the Procurement &amp; Contracts Policy and as well as Management's directions.
“Planning &amp; Vendor Management Section” will meet regularly with User Departments to review all plans to  procure goods and services for KU, and to determine which goods and services should be procured centrally through Procurement &amp; Contracts, through pricing agreements or any other methods of procurement</t>
    </r>
  </si>
  <si>
    <r>
      <t xml:space="preserve">* APP Co-ordinators will be contacted regularly on a quarterly basis by Planning &amp; Vendor Management Section to Check and review all planned procurement to make sure that all schedules are met.
</t>
    </r>
    <r>
      <rPr>
        <b/>
        <sz val="11"/>
        <color rgb="FFFF0000"/>
        <rFont val="Calibri"/>
        <family val="2"/>
        <scheme val="minor"/>
      </rPr>
      <t>For any questions please refer to the instructions sheet below and contact the Planning &amp; Vendor Management team</t>
    </r>
  </si>
  <si>
    <t>2021 Budget Summary</t>
  </si>
  <si>
    <t xml:space="preserve">PROCUREMENT PLAN 2021 FOR BUDGET UTILIZING </t>
  </si>
  <si>
    <r>
      <t>Instructions</t>
    </r>
    <r>
      <rPr>
        <b/>
        <u/>
        <sz val="10"/>
        <rFont val="Arial"/>
        <family val="2"/>
      </rPr>
      <t xml:space="preserve">
</t>
    </r>
    <r>
      <rPr>
        <b/>
        <sz val="10"/>
        <rFont val="Arial"/>
        <family val="2"/>
      </rPr>
      <t>1.</t>
    </r>
    <r>
      <rPr>
        <sz val="10"/>
        <rFont val="Arial"/>
        <family val="2"/>
      </rPr>
      <t xml:space="preserve"> Save this document as your APP. Please use the following file naming protocol: </t>
    </r>
    <r>
      <rPr>
        <b/>
        <sz val="10"/>
        <color rgb="FFFF0000"/>
        <rFont val="Arial"/>
        <family val="2"/>
      </rPr>
      <t>&lt;your department&gt; APP &lt;last update (insert date)&gt;</t>
    </r>
    <r>
      <rPr>
        <sz val="10"/>
        <rFont val="Arial"/>
        <family val="2"/>
      </rPr>
      <t xml:space="preserve"> (eg: 'MED APP last updated 18 June 2015')
</t>
    </r>
    <r>
      <rPr>
        <b/>
        <sz val="10"/>
        <rFont val="Arial"/>
        <family val="2"/>
      </rPr>
      <t>2.</t>
    </r>
    <r>
      <rPr>
        <sz val="10"/>
        <rFont val="Arial"/>
        <family val="2"/>
      </rPr>
      <t xml:space="preserve"> To prepare your APP go to the red tab below called 'APP Template' and start listing your forecast tender opportunities. 
</t>
    </r>
    <r>
      <rPr>
        <b/>
        <sz val="10"/>
        <rFont val="Arial"/>
        <family val="2"/>
      </rPr>
      <t>3.</t>
    </r>
    <r>
      <rPr>
        <sz val="10"/>
        <rFont val="Arial"/>
        <family val="2"/>
      </rPr>
      <t xml:space="preserve"> For the guideline on how to complete the APP template go to the yellow tabs below 'Guideline"
</t>
    </r>
    <r>
      <rPr>
        <b/>
        <sz val="10"/>
        <rFont val="Arial"/>
        <family val="2"/>
      </rPr>
      <t xml:space="preserve">4. </t>
    </r>
    <r>
      <rPr>
        <sz val="10"/>
        <rFont val="Arial"/>
        <family val="2"/>
      </rPr>
      <t xml:space="preserve">Once you have completed your APP </t>
    </r>
    <r>
      <rPr>
        <b/>
        <sz val="10"/>
        <rFont val="Arial"/>
        <family val="2"/>
      </rPr>
      <t xml:space="preserve">e-mail it to (Procurement Planning &amp; Vendor Management Section) Section to: </t>
    </r>
    <r>
      <rPr>
        <b/>
        <u/>
        <sz val="10"/>
        <color rgb="FFFF0000"/>
        <rFont val="Arial"/>
        <family val="2"/>
      </rPr>
      <t xml:space="preserve">
Mr. Shiju Badarudeen
Planning and Vendor Management</t>
    </r>
    <r>
      <rPr>
        <b/>
        <sz val="10"/>
        <color rgb="FFFF0000"/>
        <rFont val="Arial"/>
        <family val="2"/>
      </rPr>
      <t xml:space="preserve">
shiju.badarudeen@ku.ac.ae
Tel: 023123904
</t>
    </r>
    <r>
      <rPr>
        <b/>
        <sz val="10"/>
        <rFont val="Arial"/>
        <family val="2"/>
      </rPr>
      <t>5.</t>
    </r>
    <r>
      <rPr>
        <b/>
        <sz val="10"/>
        <color rgb="FFFF0000"/>
        <rFont val="Arial"/>
        <family val="2"/>
      </rPr>
      <t xml:space="preserve"> All Correspondence and Clarifications have to come through Procurement and Contracts Department email :shiju.badarudeen@ku.ac.ae, shamma.almarar@ku.ac.ae</t>
    </r>
    <r>
      <rPr>
        <b/>
        <u/>
        <sz val="10"/>
        <color rgb="FFFF0000"/>
        <rFont val="Arial"/>
        <family val="2"/>
      </rPr>
      <t xml:space="preserve">
</t>
    </r>
    <r>
      <rPr>
        <b/>
        <sz val="10"/>
        <color rgb="FFFF0000"/>
        <rFont val="Arial"/>
        <family val="2"/>
      </rPr>
      <t xml:space="preserve">
</t>
    </r>
    <r>
      <rPr>
        <b/>
        <sz val="10"/>
        <rFont val="Arial"/>
        <family val="2"/>
      </rPr>
      <t>6.</t>
    </r>
    <r>
      <rPr>
        <sz val="10"/>
        <rFont val="Arial"/>
        <family val="2"/>
      </rPr>
      <t xml:space="preserve"> Make a note in your diary to update your APP every 3 months. Planning &amp; Vendor Management Team will contact you.
</t>
    </r>
    <r>
      <rPr>
        <b/>
        <sz val="10"/>
        <rFont val="Arial"/>
        <family val="2"/>
      </rPr>
      <t xml:space="preserve">
7. </t>
    </r>
    <r>
      <rPr>
        <b/>
        <sz val="10"/>
        <color rgb="FFFF0000"/>
        <rFont val="Arial"/>
        <family val="2"/>
      </rPr>
      <t>APP Coordinator need to be appointed by the department in order to fill out and update the APP regularly</t>
    </r>
  </si>
  <si>
    <t>CC</t>
  </si>
  <si>
    <t>CC Manager</t>
  </si>
  <si>
    <t>VP/Dean</t>
  </si>
  <si>
    <t>STLI-0001</t>
  </si>
  <si>
    <t>VP/Research &amp; Development</t>
  </si>
  <si>
    <t>Institute for Automation , Information Science and Communication</t>
  </si>
  <si>
    <t>Petroleum Institute</t>
  </si>
  <si>
    <t>Masdar Institute</t>
  </si>
  <si>
    <t>Office of Research Service</t>
  </si>
  <si>
    <t>KUST - University Sponsored Research</t>
  </si>
  <si>
    <t>TMI</t>
  </si>
  <si>
    <t>Research Labs</t>
  </si>
  <si>
    <t>Research Computing</t>
  </si>
  <si>
    <t>Steven Wesley Griffiths</t>
  </si>
  <si>
    <t>Steve Griffiths</t>
  </si>
  <si>
    <t>Ernesto Damiani</t>
  </si>
  <si>
    <t>Saeed Al Khazraji</t>
  </si>
  <si>
    <t>Samuel Sheng Mao</t>
  </si>
  <si>
    <t>John Radkowski</t>
  </si>
  <si>
    <t>Sami Mohamed Bashir</t>
  </si>
  <si>
    <t>Jeremie Daniel Alexandre Pelletier</t>
  </si>
  <si>
    <t>VPRES</t>
  </si>
  <si>
    <t>IISC</t>
  </si>
  <si>
    <t xml:space="preserve">PETR </t>
  </si>
  <si>
    <t>MASIN</t>
  </si>
  <si>
    <t>RES SERV</t>
  </si>
  <si>
    <t>SPON RES</t>
  </si>
  <si>
    <t>RES LAB</t>
  </si>
  <si>
    <t>RES COMP</t>
  </si>
  <si>
    <t>Blake Ashwell</t>
  </si>
  <si>
    <t>Dureid El Moghraby</t>
  </si>
  <si>
    <r>
      <rPr>
        <b/>
        <sz val="10"/>
        <color theme="1"/>
        <rFont val="Calibri"/>
        <family val="2"/>
      </rPr>
      <t>Servers and storage for Virtual Machines (VM's).</t>
    </r>
    <r>
      <rPr>
        <sz val="10"/>
        <color theme="1"/>
        <rFont val="Calibri"/>
        <family val="2"/>
      </rPr>
      <t xml:space="preserve">
This will be to enable the migration of exsiting VM load at MI DataCenter and alllowing for future reseacher requirements. This will form the basis of a "private cloud" for reserachers at KU</t>
    </r>
  </si>
  <si>
    <r>
      <rPr>
        <b/>
        <sz val="10"/>
        <rFont val="Calibri"/>
        <family val="2"/>
      </rPr>
      <t>HPC Cluster  replacment.</t>
    </r>
    <r>
      <rPr>
        <sz val="10"/>
        <rFont val="Calibri"/>
        <family val="2"/>
      </rPr>
      <t xml:space="preserve">
This is replace the existing HPC cluster at MI data center. It is end of life, and we are losing the data centre. Cost is estimated from past disucssions. System is critical to computational research at KU.</t>
    </r>
  </si>
  <si>
    <r>
      <rPr>
        <b/>
        <sz val="10"/>
        <color theme="1"/>
        <rFont val="Calibri"/>
        <family val="2"/>
      </rPr>
      <t xml:space="preserve">Data storage backup. </t>
    </r>
    <r>
      <rPr>
        <sz val="10"/>
        <color theme="1"/>
        <rFont val="Calibri"/>
        <family val="2"/>
      </rPr>
      <t xml:space="preserve">
This will be used as backup for critical reseach data and VM's.</t>
    </r>
  </si>
  <si>
    <r>
      <rPr>
        <b/>
        <sz val="10"/>
        <rFont val="Calibri"/>
        <family val="2"/>
        <scheme val="minor"/>
      </rPr>
      <t>Intel OneAPI Base &amp; HPC toolkit.</t>
    </r>
    <r>
      <rPr>
        <sz val="10"/>
        <rFont val="Calibri"/>
        <family val="2"/>
        <scheme val="minor"/>
      </rPr>
      <t xml:space="preserve">
New software licenses, and compiler,  to be used on the HPC system</t>
    </r>
  </si>
  <si>
    <r>
      <rPr>
        <b/>
        <sz val="10"/>
        <rFont val="Calibri"/>
        <family val="2"/>
        <scheme val="minor"/>
      </rPr>
      <t>Guassian.</t>
    </r>
    <r>
      <rPr>
        <sz val="10"/>
        <rFont val="Calibri"/>
        <family val="2"/>
        <scheme val="minor"/>
      </rPr>
      <t xml:space="preserve">
New software site license for Molecular Dynamics software application, was to be purchased in 2020, but did not get completed in time</t>
    </r>
  </si>
  <si>
    <r>
      <rPr>
        <b/>
        <sz val="10"/>
        <rFont val="Calibri"/>
        <family val="2"/>
        <scheme val="minor"/>
      </rPr>
      <t>OpenLM License Management Software.</t>
    </r>
    <r>
      <rPr>
        <sz val="10"/>
        <rFont val="Calibri"/>
        <family val="2"/>
        <scheme val="minor"/>
      </rPr>
      <t xml:space="preserve">
Software renewal. Used for manageing software licneses</t>
    </r>
  </si>
  <si>
    <t>License expires on 18th February</t>
  </si>
  <si>
    <r>
      <rPr>
        <b/>
        <sz val="10"/>
        <rFont val="Calibri"/>
        <family val="2"/>
        <scheme val="minor"/>
      </rPr>
      <t>Lumerical academic site license.</t>
    </r>
    <r>
      <rPr>
        <sz val="10"/>
        <rFont val="Calibri"/>
        <family val="2"/>
        <scheme val="minor"/>
      </rPr>
      <t xml:space="preserve">
Software renewal. Site licnese for microelectronics software</t>
    </r>
  </si>
  <si>
    <t>License expires on 22nd March</t>
  </si>
  <si>
    <r>
      <rPr>
        <b/>
        <sz val="10"/>
        <rFont val="Calibri"/>
        <family val="2"/>
        <scheme val="minor"/>
      </rPr>
      <t>Matlab.</t>
    </r>
    <r>
      <rPr>
        <sz val="10"/>
        <rFont val="Calibri"/>
        <family val="2"/>
        <scheme val="minor"/>
      </rPr>
      <t xml:space="preserve">
Software renewal. Engineering and Maths programming environment</t>
    </r>
  </si>
  <si>
    <t>License expires on 30th June</t>
  </si>
  <si>
    <t xml:space="preserve"> </t>
  </si>
  <si>
    <r>
      <rPr>
        <b/>
        <sz val="10"/>
        <rFont val="Calibri"/>
        <family val="2"/>
        <scheme val="minor"/>
      </rPr>
      <t xml:space="preserve">Atlassian Confluence.
</t>
    </r>
    <r>
      <rPr>
        <sz val="10"/>
        <rFont val="Calibri"/>
        <family val="2"/>
        <scheme val="minor"/>
      </rPr>
      <t>Software renewal. Used to build user facing documentation wiki for Research Computing</t>
    </r>
  </si>
  <si>
    <t>License expires on 10th August</t>
  </si>
  <si>
    <t>License expires on 28th August</t>
  </si>
  <si>
    <r>
      <rPr>
        <b/>
        <sz val="10"/>
        <rFont val="Calibri"/>
        <family val="2"/>
        <scheme val="minor"/>
      </rPr>
      <t>ANSYS Academic Multiphysics Campus Solution.</t>
    </r>
    <r>
      <rPr>
        <sz val="10"/>
        <rFont val="Calibri"/>
        <family val="2"/>
        <scheme val="minor"/>
      </rPr>
      <t xml:space="preserve">
Software renewal. Used for varitey of engineering applications, both for teaching and reseach</t>
    </r>
  </si>
  <si>
    <r>
      <rPr>
        <b/>
        <sz val="10"/>
        <rFont val="Calibri"/>
        <family val="2"/>
        <scheme val="minor"/>
      </rPr>
      <t>Mobaxterm.</t>
    </r>
    <r>
      <rPr>
        <sz val="10"/>
        <rFont val="Calibri"/>
        <family val="2"/>
        <scheme val="minor"/>
      </rPr>
      <t xml:space="preserve">
Software renewal. Tool used by Research computing and IT to connect to and maintain remote servers.</t>
    </r>
  </si>
  <si>
    <r>
      <rPr>
        <b/>
        <sz val="10"/>
        <rFont val="Calibri"/>
        <family val="2"/>
        <scheme val="minor"/>
      </rPr>
      <t>COMSOL.</t>
    </r>
    <r>
      <rPr>
        <sz val="10"/>
        <rFont val="Calibri"/>
        <family val="2"/>
        <scheme val="minor"/>
      </rPr>
      <t xml:space="preserve">
Software renewal. Multiphysics software application, used for both research and teaching.</t>
    </r>
  </si>
  <si>
    <t>License expires on 1st September</t>
  </si>
  <si>
    <r>
      <rPr>
        <b/>
        <sz val="10"/>
        <rFont val="Calibri"/>
        <family val="2"/>
        <scheme val="minor"/>
      </rPr>
      <t>Mathematica.</t>
    </r>
    <r>
      <rPr>
        <sz val="10"/>
        <rFont val="Calibri"/>
        <family val="2"/>
        <scheme val="minor"/>
      </rPr>
      <t xml:space="preserve">
Software renewal. Computational software used across multiple research areas.</t>
    </r>
  </si>
  <si>
    <t>License expires on 30th July</t>
  </si>
  <si>
    <t>License expires on 26th 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</si>
</sst>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Red]#,##0.00"/>
    <numFmt numFmtId="165" formatCode="&quot;BOH-0001&quot;"/>
  </numFmts>
  <fonts count="41" x14ac:knownFonts="1">
    <font>
      <sz val="11"/>
      <color theme="1"/>
      <name val="Calibri"/>
      <family val="2"/>
      <scheme val="minor"/>
    </font>
    <font>
      <sz val="10"/>
      <name val="Arial"/>
      <family val="2"/>
    </font>
    <font>
      <sz val="10"/>
      <name val="Verdana"/>
      <family val="2"/>
    </font>
    <font>
      <sz val="11"/>
      <color theme="1"/>
      <name val="Calibri"/>
      <family val="2"/>
      <scheme val="minor"/>
    </font>
    <font>
      <b/>
      <sz val="11"/>
      <color theme="0"/>
      <name val="Calibri"/>
      <family val="2"/>
      <scheme val="minor"/>
    </font>
    <font>
      <b/>
      <sz val="11"/>
      <color theme="1"/>
      <name val="Calibri"/>
      <family val="2"/>
      <scheme val="minor"/>
    </font>
    <font>
      <sz val="1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u/>
      <sz val="12"/>
      <name val="Arial"/>
      <family val="2"/>
    </font>
    <font>
      <b/>
      <u/>
      <sz val="10"/>
      <name val="Arial"/>
      <family val="2"/>
    </font>
    <font>
      <b/>
      <sz val="10"/>
      <name val="Arial"/>
      <family val="2"/>
    </font>
    <font>
      <b/>
      <sz val="10"/>
      <color rgb="FFFF0000"/>
      <name val="Arial"/>
      <family val="2"/>
    </font>
    <font>
      <b/>
      <u/>
      <sz val="10"/>
      <color rgb="FFFF0000"/>
      <name val="Arial"/>
      <family val="2"/>
    </font>
    <font>
      <b/>
      <u/>
      <sz val="11"/>
      <color theme="1"/>
      <name val="Calibri"/>
      <family val="2"/>
      <scheme val="minor"/>
    </font>
    <font>
      <sz val="11"/>
      <color rgb="FF006100"/>
      <name val="Calibri"/>
      <family val="2"/>
      <scheme val="minor"/>
    </font>
    <font>
      <sz val="11"/>
      <color rgb="FF9C0006"/>
      <name val="Calibri"/>
      <family val="2"/>
      <scheme val="minor"/>
    </font>
    <font>
      <b/>
      <u/>
      <sz val="11"/>
      <color rgb="FFFF0000"/>
      <name val="Calibri"/>
      <family val="2"/>
      <scheme val="minor"/>
    </font>
    <font>
      <b/>
      <u/>
      <sz val="11"/>
      <color theme="4"/>
      <name val="Calibri"/>
      <family val="2"/>
      <scheme val="minor"/>
    </font>
    <font>
      <b/>
      <sz val="11"/>
      <color rgb="FF9C0006"/>
      <name val="Calibri"/>
      <family val="2"/>
      <scheme val="minor"/>
    </font>
    <font>
      <b/>
      <sz val="11"/>
      <color rgb="FF006100"/>
      <name val="Calibri"/>
      <family val="2"/>
      <scheme val="minor"/>
    </font>
    <font>
      <sz val="11"/>
      <name val="Calibri"/>
      <family val="2"/>
      <scheme val="minor"/>
    </font>
    <font>
      <b/>
      <u/>
      <sz val="11"/>
      <color theme="5"/>
      <name val="Calibri"/>
      <family val="2"/>
      <scheme val="minor"/>
    </font>
    <font>
      <b/>
      <sz val="11"/>
      <color rgb="FFFF0000"/>
      <name val="Calibri"/>
      <family val="2"/>
      <scheme val="minor"/>
    </font>
    <font>
      <b/>
      <sz val="20"/>
      <color theme="1"/>
      <name val="Calibri"/>
      <family val="2"/>
      <scheme val="minor"/>
    </font>
    <font>
      <b/>
      <sz val="10"/>
      <color theme="1"/>
      <name val="Tahoma"/>
      <family val="2"/>
    </font>
    <font>
      <sz val="10"/>
      <color theme="1"/>
      <name val="Tahoma"/>
      <family val="2"/>
    </font>
    <font>
      <sz val="18"/>
      <color rgb="FFFF0000"/>
      <name val="Calibri"/>
      <family val="2"/>
      <scheme val="minor"/>
    </font>
    <font>
      <b/>
      <sz val="11"/>
      <name val="Calibri"/>
      <family val="2"/>
      <scheme val="minor"/>
    </font>
    <font>
      <b/>
      <sz val="18"/>
      <name val="Arial"/>
      <family val="2"/>
    </font>
    <font>
      <b/>
      <sz val="16"/>
      <color theme="1"/>
      <name val="Calibri"/>
      <family val="2"/>
      <scheme val="minor"/>
    </font>
    <font>
      <sz val="10"/>
      <color theme="1"/>
      <name val="Calibri"/>
      <family val="2"/>
      <scheme val="minor"/>
    </font>
    <font>
      <sz val="11"/>
      <color theme="1"/>
      <name val="Calibri"/>
      <family val="2"/>
    </font>
    <font>
      <sz val="11"/>
      <color theme="1"/>
      <name val="Calibri"/>
      <family val="2"/>
    </font>
    <font>
      <sz val="11"/>
      <color indexed="8"/>
      <name val="Calibri"/>
      <family val="2"/>
    </font>
    <font>
      <sz val="11"/>
      <color rgb="FF000000"/>
      <name val="Calibri"/>
      <family val="2"/>
    </font>
    <font>
      <sz val="10"/>
      <color theme="1"/>
      <name val="Calibri"/>
      <family val="2"/>
    </font>
    <font>
      <b/>
      <sz val="10"/>
      <color theme="1"/>
      <name val="Calibri"/>
      <family val="2"/>
    </font>
    <font>
      <sz val="10"/>
      <name val="Calibri"/>
      <family val="2"/>
    </font>
    <font>
      <b/>
      <sz val="10"/>
      <name val="Calibri"/>
      <family val="2"/>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FF00"/>
        <bgColor indexed="64"/>
      </patternFill>
    </fill>
    <fill>
      <patternFill patternType="solid">
        <fgColor theme="7" tint="0.79998168889431442"/>
        <bgColor indexed="64"/>
      </patternFill>
    </fill>
    <fill>
      <patternFill patternType="solid">
        <fgColor rgb="FF92D050"/>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00B0F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double">
        <color indexed="64"/>
      </left>
      <right/>
      <top/>
      <bottom/>
      <diagonal/>
    </border>
    <border>
      <left/>
      <right/>
      <top/>
      <bottom style="thin">
        <color indexed="64"/>
      </bottom>
      <diagonal/>
    </border>
    <border>
      <left style="double">
        <color indexed="64"/>
      </left>
      <right/>
      <top/>
      <bottom style="thin">
        <color indexed="64"/>
      </bottom>
      <diagonal/>
    </border>
    <border>
      <left/>
      <right/>
      <top style="thin">
        <color indexed="64"/>
      </top>
      <bottom style="double">
        <color indexed="64"/>
      </bottom>
      <diagonal/>
    </border>
    <border>
      <left style="thin">
        <color rgb="FF979991"/>
      </left>
      <right/>
      <top style="thin">
        <color rgb="FF979991"/>
      </top>
      <bottom style="thin">
        <color rgb="FF979991"/>
      </bottom>
      <diagonal/>
    </border>
  </borders>
  <cellStyleXfs count="11">
    <xf numFmtId="0" fontId="0" fillId="0" borderId="0"/>
    <xf numFmtId="0" fontId="3" fillId="0" borderId="0"/>
    <xf numFmtId="0" fontId="2" fillId="0" borderId="0"/>
    <xf numFmtId="0" fontId="1" fillId="0" borderId="0"/>
    <xf numFmtId="0" fontId="2" fillId="0" borderId="0"/>
    <xf numFmtId="0" fontId="16" fillId="2" borderId="0" applyNumberFormat="0" applyBorder="0" applyAlignment="0" applyProtection="0"/>
    <xf numFmtId="0" fontId="17" fillId="3" borderId="0" applyNumberFormat="0" applyBorder="0" applyAlignment="0" applyProtection="0"/>
    <xf numFmtId="43" fontId="3" fillId="0" borderId="0" applyFont="0" applyFill="0" applyBorder="0" applyAlignment="0" applyProtection="0"/>
    <xf numFmtId="0" fontId="33" fillId="0" borderId="0"/>
    <xf numFmtId="43" fontId="34" fillId="0" borderId="0" applyFont="0" applyFill="0" applyBorder="0" applyAlignment="0" applyProtection="0"/>
    <xf numFmtId="43" fontId="35" fillId="0" borderId="0" applyFont="0" applyFill="0" applyBorder="0" applyAlignment="0" applyProtection="0"/>
  </cellStyleXfs>
  <cellXfs count="132">
    <xf numFmtId="0" fontId="0" fillId="0" borderId="0" xfId="0"/>
    <xf numFmtId="0" fontId="6" fillId="0" borderId="1" xfId="0" applyFont="1" applyFill="1" applyBorder="1" applyAlignment="1" applyProtection="1">
      <alignment horizontal="left" vertical="center" wrapText="1"/>
      <protection locked="0"/>
    </xf>
    <xf numFmtId="0" fontId="8" fillId="0" borderId="1" xfId="0" applyFont="1" applyFill="1" applyBorder="1" applyAlignment="1">
      <alignment horizontal="center" vertical="center"/>
    </xf>
    <xf numFmtId="0" fontId="6" fillId="0" borderId="1" xfId="0" applyFont="1" applyFill="1" applyBorder="1" applyAlignment="1" applyProtection="1">
      <alignment horizontal="center" vertical="center"/>
      <protection locked="0"/>
    </xf>
    <xf numFmtId="0" fontId="9" fillId="0" borderId="1" xfId="0" applyFont="1" applyFill="1" applyBorder="1" applyAlignment="1" applyProtection="1">
      <alignment horizontal="center" vertical="center" wrapText="1"/>
      <protection locked="0"/>
    </xf>
    <xf numFmtId="49" fontId="6" fillId="0" borderId="1" xfId="0" applyNumberFormat="1" applyFont="1" applyFill="1" applyBorder="1" applyAlignment="1" applyProtection="1">
      <alignment wrapText="1"/>
    </xf>
    <xf numFmtId="0" fontId="6" fillId="0" borderId="1" xfId="0" quotePrefix="1" applyFont="1" applyFill="1" applyBorder="1" applyAlignment="1" applyProtection="1">
      <alignment wrapText="1"/>
    </xf>
    <xf numFmtId="49" fontId="6" fillId="0" borderId="1" xfId="0" quotePrefix="1" applyNumberFormat="1" applyFont="1" applyFill="1" applyBorder="1" applyAlignment="1" applyProtection="1">
      <alignment horizontal="left" wrapText="1"/>
    </xf>
    <xf numFmtId="0" fontId="6" fillId="0" borderId="1" xfId="0" applyFont="1" applyFill="1" applyBorder="1" applyAlignment="1" applyProtection="1">
      <alignment wrapText="1"/>
    </xf>
    <xf numFmtId="49" fontId="6" fillId="0" borderId="1" xfId="0" quotePrefix="1" applyNumberFormat="1" applyFont="1" applyFill="1" applyBorder="1" applyAlignment="1" applyProtection="1">
      <alignment wrapText="1"/>
    </xf>
    <xf numFmtId="0" fontId="7" fillId="0" borderId="1" xfId="0" applyFont="1" applyFill="1" applyBorder="1" applyAlignment="1" applyProtection="1">
      <alignment horizontal="center" wrapText="1"/>
    </xf>
    <xf numFmtId="0" fontId="6" fillId="0" borderId="1" xfId="0" applyFont="1" applyFill="1" applyBorder="1" applyAlignment="1">
      <alignment vertical="center" wrapText="1"/>
    </xf>
    <xf numFmtId="0" fontId="4" fillId="0" borderId="1" xfId="0" applyFont="1" applyFill="1" applyBorder="1" applyAlignment="1" applyProtection="1">
      <protection locked="0"/>
    </xf>
    <xf numFmtId="0" fontId="0" fillId="0" borderId="0" xfId="0" applyAlignment="1">
      <alignment vertical="center"/>
    </xf>
    <xf numFmtId="0" fontId="0" fillId="0" borderId="0" xfId="0" applyAlignment="1">
      <alignment horizontal="justify" vertical="center" wrapText="1"/>
    </xf>
    <xf numFmtId="0" fontId="0" fillId="0" borderId="0" xfId="0" applyAlignment="1">
      <alignment wrapText="1"/>
    </xf>
    <xf numFmtId="0" fontId="15" fillId="0" borderId="0" xfId="0" applyFont="1"/>
    <xf numFmtId="0" fontId="21" fillId="2" borderId="7" xfId="5" applyFont="1" applyBorder="1" applyAlignment="1">
      <alignment vertical="center" wrapText="1"/>
    </xf>
    <xf numFmtId="0" fontId="22" fillId="2" borderId="8" xfId="5" applyFont="1" applyBorder="1" applyAlignment="1">
      <alignment vertical="center" wrapText="1"/>
    </xf>
    <xf numFmtId="0" fontId="22" fillId="2" borderId="9" xfId="5" applyFont="1" applyBorder="1" applyAlignment="1">
      <alignment vertical="center" wrapText="1"/>
    </xf>
    <xf numFmtId="0" fontId="22" fillId="2" borderId="10" xfId="5" applyFont="1" applyBorder="1" applyAlignment="1">
      <alignment vertical="center" wrapText="1"/>
    </xf>
    <xf numFmtId="0" fontId="20" fillId="3" borderId="6" xfId="6" applyFont="1" applyBorder="1" applyAlignment="1">
      <alignment vertical="center" wrapText="1"/>
    </xf>
    <xf numFmtId="0" fontId="22" fillId="3" borderId="11" xfId="6" applyFont="1" applyBorder="1" applyAlignment="1">
      <alignment vertical="center" wrapText="1"/>
    </xf>
    <xf numFmtId="0" fontId="22" fillId="3" borderId="12" xfId="6" applyFont="1" applyBorder="1" applyAlignment="1">
      <alignment vertical="center" wrapText="1"/>
    </xf>
    <xf numFmtId="0" fontId="22" fillId="3" borderId="13" xfId="6" applyFont="1" applyBorder="1" applyAlignment="1">
      <alignment vertical="center" wrapText="1"/>
    </xf>
    <xf numFmtId="0" fontId="23" fillId="0" borderId="0" xfId="0" applyFont="1"/>
    <xf numFmtId="0" fontId="0" fillId="0" borderId="1" xfId="0" applyFont="1" applyBorder="1" applyAlignment="1">
      <alignment vertical="center"/>
    </xf>
    <xf numFmtId="0" fontId="26" fillId="5" borderId="1"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26" fillId="8" borderId="4" xfId="0" applyFont="1" applyFill="1" applyBorder="1" applyAlignment="1">
      <alignment horizontal="center" vertical="center" wrapText="1"/>
    </xf>
    <xf numFmtId="0" fontId="0" fillId="0" borderId="0" xfId="0"/>
    <xf numFmtId="0" fontId="0" fillId="0" borderId="1" xfId="0" applyFont="1" applyBorder="1" applyAlignment="1" applyProtection="1">
      <alignment horizontal="center" vertical="center" wrapText="1"/>
      <protection locked="0"/>
    </xf>
    <xf numFmtId="0" fontId="0" fillId="0" borderId="1" xfId="0" applyFont="1" applyFill="1" applyBorder="1" applyAlignment="1" applyProtection="1">
      <alignment horizontal="center" vertical="center" wrapText="1"/>
      <protection locked="0"/>
    </xf>
    <xf numFmtId="0" fontId="0" fillId="0" borderId="14" xfId="0" applyFont="1" applyBorder="1" applyAlignment="1">
      <alignment horizontal="center" vertical="center"/>
    </xf>
    <xf numFmtId="0" fontId="0" fillId="0" borderId="0" xfId="0" applyFont="1" applyBorder="1" applyAlignment="1">
      <alignment horizontal="center" vertical="center"/>
    </xf>
    <xf numFmtId="0" fontId="24" fillId="4" borderId="1"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5" fillId="4" borderId="4" xfId="0" applyFont="1" applyFill="1" applyBorder="1" applyAlignment="1">
      <alignment horizontal="center" vertical="center" wrapText="1"/>
    </xf>
    <xf numFmtId="164" fontId="0" fillId="0" borderId="1" xfId="0" applyNumberFormat="1" applyFont="1" applyBorder="1" applyAlignment="1" applyProtection="1">
      <alignment horizontal="right" vertical="center" wrapText="1"/>
      <protection locked="0"/>
    </xf>
    <xf numFmtId="0" fontId="0" fillId="0" borderId="0" xfId="0" applyFont="1"/>
    <xf numFmtId="0" fontId="8" fillId="0" borderId="1" xfId="0" applyFont="1" applyBorder="1" applyAlignment="1">
      <alignment horizontal="center" vertical="center" wrapText="1"/>
    </xf>
    <xf numFmtId="0" fontId="8" fillId="5"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43" fontId="27" fillId="0" borderId="4" xfId="7" applyFont="1" applyBorder="1" applyAlignment="1">
      <alignment vertical="center" wrapText="1"/>
    </xf>
    <xf numFmtId="43" fontId="27" fillId="0" borderId="3" xfId="7" applyFont="1" applyBorder="1" applyAlignment="1">
      <alignment vertical="center" wrapText="1"/>
    </xf>
    <xf numFmtId="43" fontId="27" fillId="0" borderId="1" xfId="7" applyFont="1" applyBorder="1" applyAlignment="1">
      <alignment vertical="center" wrapText="1"/>
    </xf>
    <xf numFmtId="0" fontId="0" fillId="0" borderId="19" xfId="0" applyBorder="1"/>
    <xf numFmtId="164" fontId="0" fillId="0" borderId="19" xfId="0" applyNumberFormat="1" applyBorder="1"/>
    <xf numFmtId="0" fontId="0" fillId="0" borderId="1" xfId="0" applyBorder="1"/>
    <xf numFmtId="43" fontId="32" fillId="0" borderId="1" xfId="7" applyFont="1" applyFill="1" applyBorder="1" applyAlignment="1">
      <alignment horizontal="right" vertical="center"/>
    </xf>
    <xf numFmtId="0" fontId="0" fillId="0" borderId="0" xfId="0" applyAlignment="1">
      <alignment vertical="top" wrapText="1"/>
    </xf>
    <xf numFmtId="0" fontId="5" fillId="0" borderId="17" xfId="0" applyFont="1" applyBorder="1" applyAlignment="1"/>
    <xf numFmtId="165" fontId="0" fillId="0" borderId="1" xfId="0" applyNumberFormat="1" applyFont="1" applyBorder="1" applyAlignment="1" applyProtection="1">
      <alignment horizontal="center" vertical="center" wrapText="1"/>
      <protection locked="0"/>
    </xf>
    <xf numFmtId="0" fontId="6" fillId="0" borderId="1" xfId="0" applyFont="1" applyFill="1" applyBorder="1" applyAlignment="1" applyProtection="1">
      <alignment horizontal="center" vertical="center" wrapText="1"/>
      <protection locked="0"/>
    </xf>
    <xf numFmtId="0" fontId="29" fillId="0" borderId="1" xfId="0" applyFont="1" applyFill="1" applyBorder="1" applyAlignment="1" applyProtection="1">
      <alignment horizontal="center"/>
      <protection locked="0"/>
    </xf>
    <xf numFmtId="0" fontId="0" fillId="0" borderId="15" xfId="0" applyFont="1" applyBorder="1" applyAlignment="1">
      <alignment vertical="center" wrapText="1"/>
    </xf>
    <xf numFmtId="0" fontId="0" fillId="0" borderId="15" xfId="0" applyFont="1" applyFill="1" applyBorder="1" applyAlignment="1" applyProtection="1">
      <alignment horizontal="center" vertical="center" wrapText="1"/>
      <protection locked="0"/>
    </xf>
    <xf numFmtId="0" fontId="6" fillId="0" borderId="15" xfId="0" applyFont="1" applyFill="1" applyBorder="1" applyAlignment="1" applyProtection="1">
      <alignment wrapText="1"/>
    </xf>
    <xf numFmtId="0" fontId="8" fillId="0" borderId="15" xfId="0" applyFont="1" applyFill="1" applyBorder="1" applyAlignment="1">
      <alignment horizontal="center" vertical="center"/>
    </xf>
    <xf numFmtId="0" fontId="0" fillId="0" borderId="15" xfId="0" applyBorder="1"/>
    <xf numFmtId="0" fontId="0" fillId="0" borderId="1" xfId="0" applyFont="1" applyBorder="1" applyAlignment="1">
      <alignment vertical="center" wrapText="1"/>
    </xf>
    <xf numFmtId="0" fontId="0" fillId="0" borderId="0" xfId="0" applyAlignment="1">
      <alignment horizontal="center"/>
    </xf>
    <xf numFmtId="0" fontId="0" fillId="0" borderId="0" xfId="0" applyFill="1" applyAlignment="1">
      <alignment horizontal="center"/>
    </xf>
    <xf numFmtId="0" fontId="0" fillId="0" borderId="0" xfId="0" applyAlignment="1">
      <alignment horizontal="center"/>
    </xf>
    <xf numFmtId="43" fontId="27" fillId="0" borderId="3" xfId="7" applyFont="1" applyBorder="1" applyAlignment="1">
      <alignment horizontal="center" vertical="center" wrapText="1"/>
    </xf>
    <xf numFmtId="0" fontId="26" fillId="8" borderId="4" xfId="0" applyFont="1" applyFill="1" applyBorder="1" applyAlignment="1">
      <alignment horizontal="center" vertical="center" wrapText="1"/>
    </xf>
    <xf numFmtId="164" fontId="22" fillId="0" borderId="1" xfId="0" applyNumberFormat="1" applyFont="1" applyBorder="1" applyAlignment="1" applyProtection="1">
      <alignment horizontal="right" vertical="center" wrapText="1"/>
      <protection locked="0"/>
    </xf>
    <xf numFmtId="0" fontId="22" fillId="0" borderId="19" xfId="0" applyFont="1" applyBorder="1"/>
    <xf numFmtId="164" fontId="22" fillId="0" borderId="19" xfId="0" applyNumberFormat="1" applyFont="1" applyBorder="1"/>
    <xf numFmtId="49" fontId="6" fillId="0" borderId="1" xfId="0" quotePrefix="1" applyNumberFormat="1" applyFont="1" applyFill="1" applyBorder="1" applyAlignment="1" applyProtection="1">
      <alignment horizontal="center" wrapText="1"/>
    </xf>
    <xf numFmtId="0" fontId="22" fillId="0" borderId="19" xfId="0" applyFont="1" applyBorder="1" applyAlignment="1">
      <alignment horizontal="center"/>
    </xf>
    <xf numFmtId="0" fontId="0" fillId="0" borderId="1" xfId="0" applyFont="1" applyBorder="1" applyAlignment="1">
      <alignment horizontal="center" vertical="center"/>
    </xf>
    <xf numFmtId="0" fontId="26" fillId="0" borderId="1" xfId="0" applyFont="1" applyBorder="1" applyAlignment="1">
      <alignment vertical="center" wrapText="1"/>
    </xf>
    <xf numFmtId="43" fontId="0" fillId="0" borderId="1" xfId="7" applyFont="1" applyBorder="1"/>
    <xf numFmtId="0" fontId="31" fillId="9" borderId="1" xfId="0" applyFont="1" applyFill="1" applyBorder="1" applyAlignment="1"/>
    <xf numFmtId="43" fontId="31" fillId="9" borderId="1" xfId="0" applyNumberFormat="1" applyFont="1" applyFill="1" applyBorder="1"/>
    <xf numFmtId="0" fontId="8" fillId="0" borderId="1" xfId="0" applyFont="1" applyBorder="1" applyAlignment="1">
      <alignment horizontal="center" vertical="center" wrapText="1"/>
    </xf>
    <xf numFmtId="0" fontId="0" fillId="0" borderId="0" xfId="0" applyAlignment="1">
      <alignment horizontal="center"/>
    </xf>
    <xf numFmtId="0" fontId="26" fillId="8" borderId="4" xfId="0" applyFont="1" applyFill="1" applyBorder="1" applyAlignment="1">
      <alignment horizontal="center" vertical="center" wrapText="1"/>
    </xf>
    <xf numFmtId="43" fontId="27" fillId="0" borderId="3" xfId="7" applyFont="1" applyBorder="1" applyAlignment="1">
      <alignment horizontal="center" vertical="center" wrapText="1"/>
    </xf>
    <xf numFmtId="0" fontId="0" fillId="0" borderId="1" xfId="0" applyFont="1" applyFill="1" applyBorder="1" applyAlignment="1">
      <alignment horizontal="left"/>
    </xf>
    <xf numFmtId="0" fontId="0" fillId="0" borderId="1" xfId="0" applyFill="1" applyBorder="1" applyAlignment="1">
      <alignment horizontal="left"/>
    </xf>
    <xf numFmtId="0" fontId="0" fillId="0" borderId="1" xfId="0" applyFont="1" applyFill="1" applyBorder="1" applyAlignment="1">
      <alignment horizontal="center" vertical="center"/>
    </xf>
    <xf numFmtId="0" fontId="36" fillId="0" borderId="1" xfId="0" applyFont="1" applyFill="1" applyBorder="1" applyAlignment="1">
      <alignment horizontal="left" vertical="center"/>
    </xf>
    <xf numFmtId="0" fontId="0" fillId="0" borderId="0" xfId="0" applyAlignment="1">
      <alignment horizontal="center"/>
    </xf>
    <xf numFmtId="0" fontId="26" fillId="8" borderId="4" xfId="0" applyFont="1" applyFill="1" applyBorder="1" applyAlignment="1">
      <alignment horizontal="center" vertical="center" wrapText="1"/>
    </xf>
    <xf numFmtId="43" fontId="27" fillId="0" borderId="3" xfId="7" applyFont="1" applyBorder="1" applyAlignment="1">
      <alignment horizontal="center" vertical="center" wrapText="1"/>
    </xf>
    <xf numFmtId="0" fontId="39" fillId="0" borderId="20" xfId="0" applyFont="1" applyFill="1" applyBorder="1" applyAlignment="1">
      <alignment horizontal="left" vertical="top" wrapText="1"/>
    </xf>
    <xf numFmtId="0" fontId="37" fillId="0" borderId="20" xfId="0" applyFont="1" applyFill="1" applyBorder="1" applyAlignment="1">
      <alignment horizontal="left" vertical="top" wrapText="1"/>
    </xf>
    <xf numFmtId="4" fontId="37" fillId="0" borderId="20" xfId="0" applyNumberFormat="1" applyFont="1" applyFill="1" applyBorder="1" applyAlignment="1">
      <alignment horizontal="center" vertical="center" wrapText="1"/>
    </xf>
    <xf numFmtId="3" fontId="6" fillId="0" borderId="1" xfId="0" applyNumberFormat="1" applyFont="1" applyFill="1" applyBorder="1" applyAlignment="1">
      <alignment horizontal="center" vertical="center" wrapText="1"/>
    </xf>
    <xf numFmtId="4" fontId="6" fillId="0" borderId="1" xfId="0" applyNumberFormat="1" applyFont="1" applyFill="1" applyBorder="1" applyAlignment="1">
      <alignment horizontal="center" vertical="center" wrapText="1"/>
    </xf>
    <xf numFmtId="0" fontId="30" fillId="0" borderId="1" xfId="0" applyFont="1" applyFill="1" applyBorder="1" applyAlignment="1">
      <alignment horizontal="left" vertical="center"/>
    </xf>
    <xf numFmtId="0" fontId="0" fillId="0" borderId="0" xfId="0" applyAlignment="1">
      <alignment horizontal="center"/>
    </xf>
    <xf numFmtId="0" fontId="10" fillId="0" borderId="1" xfId="0" applyFont="1" applyFill="1" applyBorder="1" applyAlignment="1">
      <alignment horizontal="left" vertical="top" wrapText="1"/>
    </xf>
    <xf numFmtId="0" fontId="25" fillId="5" borderId="18" xfId="0" applyFont="1" applyFill="1" applyBorder="1" applyAlignment="1">
      <alignment horizontal="center" vertical="center"/>
    </xf>
    <xf numFmtId="0" fontId="25" fillId="5" borderId="17" xfId="0" applyFont="1" applyFill="1" applyBorder="1" applyAlignment="1">
      <alignment horizontal="center" vertical="center"/>
    </xf>
    <xf numFmtId="0" fontId="8" fillId="4" borderId="1" xfId="0" applyFont="1" applyFill="1" applyBorder="1" applyAlignment="1">
      <alignment horizontal="center" vertical="center"/>
    </xf>
    <xf numFmtId="0" fontId="8"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26" fillId="0" borderId="4" xfId="0" applyFont="1" applyBorder="1" applyAlignment="1">
      <alignment horizontal="center" vertical="center" wrapText="1"/>
    </xf>
    <xf numFmtId="0" fontId="26" fillId="0" borderId="3" xfId="0" applyFont="1" applyBorder="1" applyAlignment="1">
      <alignment horizontal="center" vertical="center" wrapText="1"/>
    </xf>
    <xf numFmtId="0" fontId="26" fillId="5" borderId="4" xfId="0" applyFont="1" applyFill="1" applyBorder="1" applyAlignment="1">
      <alignment horizontal="center" vertical="center" wrapText="1"/>
    </xf>
    <xf numFmtId="0" fontId="26" fillId="5" borderId="3" xfId="0" applyFont="1" applyFill="1" applyBorder="1" applyAlignment="1">
      <alignment horizontal="center" vertical="center" wrapText="1"/>
    </xf>
    <xf numFmtId="0" fontId="26" fillId="8" borderId="4" xfId="0" applyFont="1" applyFill="1" applyBorder="1" applyAlignment="1">
      <alignment horizontal="center" vertical="center" wrapText="1"/>
    </xf>
    <xf numFmtId="0" fontId="26" fillId="8" borderId="3" xfId="0" applyFont="1" applyFill="1" applyBorder="1" applyAlignment="1">
      <alignment horizontal="center" vertical="center" wrapText="1"/>
    </xf>
    <xf numFmtId="0" fontId="25" fillId="5" borderId="16" xfId="0" applyFont="1" applyFill="1" applyBorder="1" applyAlignment="1">
      <alignment horizontal="center" vertical="center"/>
    </xf>
    <xf numFmtId="0" fontId="25" fillId="5" borderId="0" xfId="0" applyFont="1" applyFill="1" applyBorder="1" applyAlignment="1">
      <alignment horizontal="center" vertical="center"/>
    </xf>
    <xf numFmtId="0" fontId="26" fillId="4" borderId="4" xfId="0" applyFont="1" applyFill="1" applyBorder="1" applyAlignment="1">
      <alignment horizontal="center" vertical="center"/>
    </xf>
    <xf numFmtId="0" fontId="26" fillId="4" borderId="2" xfId="0" applyFont="1" applyFill="1" applyBorder="1" applyAlignment="1">
      <alignment horizontal="center" vertical="center"/>
    </xf>
    <xf numFmtId="0" fontId="26" fillId="4" borderId="3" xfId="0" applyFont="1" applyFill="1" applyBorder="1" applyAlignment="1">
      <alignment horizontal="center" vertical="center"/>
    </xf>
    <xf numFmtId="0" fontId="26" fillId="6" borderId="4" xfId="0" applyFont="1" applyFill="1" applyBorder="1" applyAlignment="1">
      <alignment horizontal="center" vertical="center"/>
    </xf>
    <xf numFmtId="0" fontId="26" fillId="6" borderId="3" xfId="0" applyFont="1" applyFill="1" applyBorder="1" applyAlignment="1">
      <alignment horizontal="center" vertical="center"/>
    </xf>
    <xf numFmtId="0" fontId="26" fillId="7" borderId="4" xfId="0" applyFont="1" applyFill="1" applyBorder="1" applyAlignment="1">
      <alignment horizontal="center" vertical="center"/>
    </xf>
    <xf numFmtId="0" fontId="26" fillId="7" borderId="3" xfId="0" applyFont="1" applyFill="1" applyBorder="1" applyAlignment="1">
      <alignment horizontal="center" vertical="center"/>
    </xf>
    <xf numFmtId="0" fontId="5" fillId="0" borderId="15" xfId="0" applyFont="1" applyBorder="1" applyAlignment="1">
      <alignment horizontal="center" vertical="center" wrapText="1"/>
    </xf>
    <xf numFmtId="0" fontId="5" fillId="0" borderId="5" xfId="0" applyFont="1" applyBorder="1" applyAlignment="1">
      <alignment horizontal="center" vertical="center" wrapText="1"/>
    </xf>
    <xf numFmtId="0" fontId="29" fillId="0" borderId="15" xfId="0" applyFont="1" applyFill="1" applyBorder="1" applyAlignment="1" applyProtection="1">
      <alignment horizontal="center" vertical="center" wrapText="1"/>
      <protection locked="0"/>
    </xf>
    <xf numFmtId="0" fontId="29" fillId="0" borderId="5" xfId="0" applyFont="1" applyFill="1" applyBorder="1" applyAlignment="1" applyProtection="1">
      <alignment horizontal="center" vertical="center" wrapText="1"/>
      <protection locked="0"/>
    </xf>
    <xf numFmtId="4" fontId="29" fillId="0" borderId="15" xfId="0" applyNumberFormat="1" applyFont="1" applyFill="1" applyBorder="1" applyAlignment="1" applyProtection="1">
      <alignment horizontal="center" vertical="center" wrapText="1"/>
      <protection locked="0"/>
    </xf>
    <xf numFmtId="4" fontId="29" fillId="0" borderId="5" xfId="0" applyNumberFormat="1" applyFont="1" applyFill="1" applyBorder="1" applyAlignment="1" applyProtection="1">
      <alignment horizontal="center" vertical="center" wrapText="1"/>
      <protection locked="0"/>
    </xf>
    <xf numFmtId="0" fontId="26" fillId="0" borderId="4" xfId="0" applyFont="1" applyBorder="1" applyAlignment="1" applyProtection="1">
      <alignment horizontal="center" vertical="center" wrapText="1"/>
      <protection locked="0"/>
    </xf>
    <xf numFmtId="0" fontId="26" fillId="0" borderId="3" xfId="0" applyFont="1" applyBorder="1" applyAlignment="1" applyProtection="1">
      <alignment horizontal="center" vertical="center" wrapText="1"/>
      <protection locked="0"/>
    </xf>
    <xf numFmtId="43" fontId="27" fillId="0" borderId="4" xfId="7" applyFont="1" applyBorder="1" applyAlignment="1">
      <alignment horizontal="center" vertical="center" wrapText="1"/>
    </xf>
    <xf numFmtId="43" fontId="27" fillId="0" borderId="3" xfId="7" applyFont="1" applyBorder="1" applyAlignment="1">
      <alignment horizontal="center" vertical="center" wrapText="1"/>
    </xf>
    <xf numFmtId="0" fontId="5" fillId="0" borderId="1" xfId="0" applyFont="1" applyBorder="1" applyAlignment="1">
      <alignment horizontal="center"/>
    </xf>
    <xf numFmtId="0" fontId="24" fillId="0" borderId="1" xfId="0" applyFont="1" applyFill="1" applyBorder="1" applyAlignment="1" applyProtection="1">
      <alignment horizontal="center" vertical="center" wrapText="1"/>
      <protection locked="0"/>
    </xf>
    <xf numFmtId="0" fontId="24" fillId="4" borderId="15" xfId="0" applyFont="1" applyFill="1" applyBorder="1" applyAlignment="1" applyProtection="1">
      <alignment horizontal="center" vertical="center" wrapText="1"/>
      <protection locked="0"/>
    </xf>
    <xf numFmtId="0" fontId="24" fillId="4" borderId="5" xfId="0" applyFont="1" applyFill="1" applyBorder="1" applyAlignment="1" applyProtection="1">
      <alignment horizontal="center" vertical="center" wrapText="1"/>
      <protection locked="0"/>
    </xf>
    <xf numFmtId="3" fontId="26" fillId="0" borderId="4" xfId="0" applyNumberFormat="1" applyFont="1" applyBorder="1" applyAlignment="1" applyProtection="1">
      <alignment horizontal="center" vertical="center" wrapText="1"/>
      <protection locked="0"/>
    </xf>
    <xf numFmtId="0" fontId="28" fillId="4" borderId="0" xfId="0" applyFont="1" applyFill="1" applyAlignment="1">
      <alignment horizontal="center"/>
    </xf>
  </cellXfs>
  <cellStyles count="11">
    <cellStyle name="Bad" xfId="6" builtinId="27"/>
    <cellStyle name="Comma" xfId="7" builtinId="3"/>
    <cellStyle name="Comma 2" xfId="10" xr:uid="{00000000-0005-0000-0000-000002000000}"/>
    <cellStyle name="Comma 3" xfId="9" xr:uid="{00000000-0005-0000-0000-000003000000}"/>
    <cellStyle name="Good" xfId="5" builtinId="26"/>
    <cellStyle name="Normal" xfId="0" builtinId="0"/>
    <cellStyle name="Normal 2" xfId="1" xr:uid="{00000000-0005-0000-0000-000006000000}"/>
    <cellStyle name="Normal 2 2" xfId="2" xr:uid="{00000000-0005-0000-0000-000007000000}"/>
    <cellStyle name="Normal 3" xfId="3" xr:uid="{00000000-0005-0000-0000-000008000000}"/>
    <cellStyle name="Normal 4" xfId="4" xr:uid="{00000000-0005-0000-0000-000009000000}"/>
    <cellStyle name="Normal 5" xfId="8"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moghraby/Library/Containers/com.microsoft.Excel/Data/Documents/C:\Users\halansari\Desktop\APP%20Bohooth%20201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elmoghraby/Library/Containers/com.microsoft.Excel/Data/Documents/C:\Users\halansari\Desktop\APP%20templa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zalzaabi/AppData/Local/Microsoft/Windows/Temporary%20Internet%20Files/Content.Outlook/VRNS09YU/APP%20Bohooth%20201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azalzaabi/AppData/Local/Microsoft/Windows/Temporary%20Internet%20Files/Content.Outlook/VRNS09YU/APP%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Shee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Sheet"/>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
      <sheetName val="Procurement SLA (Lead Time"/>
      <sheetName val="Budget Summary"/>
      <sheetName val="Bohooth"/>
      <sheetName val="Contact Instructions"/>
      <sheetName val="Macro-Sheet"/>
      <sheetName val="Procurement Follow-up Sheet"/>
    </sheetNames>
    <sheetDataSet>
      <sheetData sheetId="0"/>
      <sheetData sheetId="1"/>
      <sheetData sheetId="2"/>
      <sheetData sheetId="3">
        <row r="8">
          <cell r="B8" t="str">
            <v>BOH-0001</v>
          </cell>
        </row>
        <row r="9">
          <cell r="B9" t="str">
            <v>BOH-0002</v>
          </cell>
        </row>
        <row r="10">
          <cell r="B10" t="str">
            <v>BOH-0003</v>
          </cell>
        </row>
        <row r="11">
          <cell r="B11" t="str">
            <v>BOH-0004</v>
          </cell>
        </row>
        <row r="12">
          <cell r="B12" t="str">
            <v>BOH-0005</v>
          </cell>
        </row>
        <row r="13">
          <cell r="B13" t="str">
            <v>BOH-0006</v>
          </cell>
        </row>
        <row r="14">
          <cell r="B14" t="str">
            <v>BOH-0007</v>
          </cell>
        </row>
        <row r="15">
          <cell r="B15" t="str">
            <v>BOH-0008</v>
          </cell>
        </row>
        <row r="16">
          <cell r="B16" t="str">
            <v>BOH-0009</v>
          </cell>
        </row>
        <row r="17">
          <cell r="B17" t="str">
            <v>BOH-0010</v>
          </cell>
        </row>
        <row r="18">
          <cell r="B18" t="str">
            <v>BOH-0011</v>
          </cell>
        </row>
        <row r="19">
          <cell r="B19" t="str">
            <v>BOH-0012</v>
          </cell>
        </row>
        <row r="20">
          <cell r="B20" t="str">
            <v>BOH-0013</v>
          </cell>
        </row>
        <row r="21">
          <cell r="B21" t="str">
            <v>BOH-0014</v>
          </cell>
        </row>
        <row r="22">
          <cell r="B22" t="str">
            <v>BOH-0015</v>
          </cell>
        </row>
        <row r="23">
          <cell r="B23" t="str">
            <v>BOH-0016</v>
          </cell>
        </row>
        <row r="24">
          <cell r="B24" t="str">
            <v>BOH-0017</v>
          </cell>
        </row>
        <row r="25">
          <cell r="B25" t="str">
            <v>BOH-0018</v>
          </cell>
        </row>
        <row r="26">
          <cell r="B26" t="str">
            <v>BOH-0019</v>
          </cell>
        </row>
        <row r="27">
          <cell r="B27" t="str">
            <v>BOH-0020</v>
          </cell>
        </row>
        <row r="28">
          <cell r="B28" t="str">
            <v>BOH-0021</v>
          </cell>
        </row>
        <row r="29">
          <cell r="B29" t="str">
            <v>BOH-0022</v>
          </cell>
        </row>
        <row r="30">
          <cell r="B30" t="str">
            <v>BOH-0023</v>
          </cell>
        </row>
        <row r="31">
          <cell r="B31" t="str">
            <v>BOH-0024</v>
          </cell>
        </row>
        <row r="32">
          <cell r="B32" t="str">
            <v>BOH-0025</v>
          </cell>
        </row>
        <row r="33">
          <cell r="B33" t="str">
            <v>BOH-0026</v>
          </cell>
        </row>
        <row r="34">
          <cell r="B34" t="str">
            <v>BOH-0027</v>
          </cell>
        </row>
        <row r="35">
          <cell r="B35" t="str">
            <v>BOH-0028</v>
          </cell>
        </row>
        <row r="36">
          <cell r="B36" t="str">
            <v>BOH-0029</v>
          </cell>
        </row>
        <row r="37">
          <cell r="B37" t="str">
            <v>BOH-0030</v>
          </cell>
        </row>
      </sheetData>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
      <sheetName val="Budget Summary"/>
      <sheetName val="Procurement SLA (Lead Time)"/>
      <sheetName val="Center for Teaching &amp; Learning"/>
      <sheetName val="Contact Information"/>
      <sheetName val="Procurement Follow-up Sheet "/>
      <sheetName val="Macro-Sheet"/>
    </sheetNames>
    <sheetDataSet>
      <sheetData sheetId="0"/>
      <sheetData sheetId="1"/>
      <sheetData sheetId="2"/>
      <sheetData sheetId="3">
        <row r="8">
          <cell r="K8">
            <v>0</v>
          </cell>
        </row>
        <row r="9">
          <cell r="K9">
            <v>0</v>
          </cell>
        </row>
        <row r="10">
          <cell r="K10">
            <v>0</v>
          </cell>
        </row>
        <row r="11">
          <cell r="K11">
            <v>0</v>
          </cell>
        </row>
        <row r="12">
          <cell r="K12">
            <v>0</v>
          </cell>
        </row>
        <row r="13">
          <cell r="K13">
            <v>0</v>
          </cell>
        </row>
        <row r="14">
          <cell r="K14">
            <v>0</v>
          </cell>
        </row>
        <row r="15">
          <cell r="K15">
            <v>0</v>
          </cell>
        </row>
        <row r="16">
          <cell r="K16">
            <v>0</v>
          </cell>
        </row>
        <row r="17">
          <cell r="K17">
            <v>0</v>
          </cell>
        </row>
        <row r="18">
          <cell r="K18">
            <v>0</v>
          </cell>
        </row>
        <row r="19">
          <cell r="K19">
            <v>0</v>
          </cell>
        </row>
        <row r="20">
          <cell r="K20">
            <v>0</v>
          </cell>
        </row>
        <row r="21">
          <cell r="K21">
            <v>0</v>
          </cell>
        </row>
        <row r="22">
          <cell r="K22">
            <v>0</v>
          </cell>
        </row>
        <row r="23">
          <cell r="K23">
            <v>0</v>
          </cell>
        </row>
        <row r="24">
          <cell r="K24">
            <v>0</v>
          </cell>
        </row>
        <row r="25">
          <cell r="K25">
            <v>0</v>
          </cell>
        </row>
        <row r="26">
          <cell r="K26">
            <v>0</v>
          </cell>
        </row>
        <row r="27">
          <cell r="K27">
            <v>0</v>
          </cell>
        </row>
        <row r="28">
          <cell r="K28">
            <v>0</v>
          </cell>
        </row>
        <row r="29">
          <cell r="K29">
            <v>0</v>
          </cell>
        </row>
        <row r="30">
          <cell r="K30">
            <v>0</v>
          </cell>
        </row>
        <row r="31">
          <cell r="K31">
            <v>0</v>
          </cell>
        </row>
        <row r="32">
          <cell r="K32">
            <v>0</v>
          </cell>
        </row>
        <row r="33">
          <cell r="K33">
            <v>0</v>
          </cell>
        </row>
        <row r="34">
          <cell r="K34">
            <v>0</v>
          </cell>
        </row>
        <row r="35">
          <cell r="K35">
            <v>0</v>
          </cell>
        </row>
        <row r="36">
          <cell r="K36">
            <v>0</v>
          </cell>
        </row>
        <row r="37">
          <cell r="K37">
            <v>0</v>
          </cell>
        </row>
      </sheetData>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B23"/>
  <sheetViews>
    <sheetView topLeftCell="A11" workbookViewId="0">
      <selection activeCell="D16" sqref="D16"/>
    </sheetView>
  </sheetViews>
  <sheetFormatPr baseColWidth="10" defaultColWidth="9.1640625" defaultRowHeight="15" x14ac:dyDescent="0.2"/>
  <cols>
    <col min="1" max="1" width="85.6640625" style="30" customWidth="1"/>
    <col min="2" max="2" width="80.6640625" style="30" customWidth="1"/>
    <col min="3" max="16384" width="9.1640625" style="30"/>
  </cols>
  <sheetData>
    <row r="1" spans="1:2" ht="80" x14ac:dyDescent="0.2">
      <c r="A1" s="14" t="s">
        <v>60</v>
      </c>
    </row>
    <row r="3" spans="1:2" ht="80" x14ac:dyDescent="0.2">
      <c r="A3" s="14" t="s">
        <v>61</v>
      </c>
    </row>
    <row r="4" spans="1:2" x14ac:dyDescent="0.2">
      <c r="A4" s="13"/>
    </row>
    <row r="5" spans="1:2" ht="96" x14ac:dyDescent="0.2">
      <c r="A5" s="14" t="s">
        <v>102</v>
      </c>
    </row>
    <row r="7" spans="1:2" ht="112" x14ac:dyDescent="0.2">
      <c r="A7" s="15" t="s">
        <v>62</v>
      </c>
    </row>
    <row r="8" spans="1:2" x14ac:dyDescent="0.2">
      <c r="B8" s="30" t="s">
        <v>110</v>
      </c>
    </row>
    <row r="9" spans="1:2" ht="96" x14ac:dyDescent="0.2">
      <c r="A9" s="15" t="s">
        <v>18</v>
      </c>
    </row>
    <row r="11" spans="1:2" ht="201" customHeight="1" x14ac:dyDescent="0.2">
      <c r="A11" s="51" t="s">
        <v>29</v>
      </c>
    </row>
    <row r="12" spans="1:2" x14ac:dyDescent="0.2">
      <c r="A12" s="15"/>
    </row>
    <row r="13" spans="1:2" ht="16" thickBot="1" x14ac:dyDescent="0.25">
      <c r="A13" s="16" t="s">
        <v>25</v>
      </c>
    </row>
    <row r="14" spans="1:2" ht="17" thickBot="1" x14ac:dyDescent="0.25">
      <c r="A14" s="21" t="s">
        <v>24</v>
      </c>
      <c r="B14" s="17" t="s">
        <v>20</v>
      </c>
    </row>
    <row r="15" spans="1:2" ht="16" x14ac:dyDescent="0.2">
      <c r="A15" s="22" t="s">
        <v>26</v>
      </c>
      <c r="B15" s="18" t="s">
        <v>21</v>
      </c>
    </row>
    <row r="16" spans="1:2" ht="63" customHeight="1" x14ac:dyDescent="0.2">
      <c r="A16" s="23" t="s">
        <v>30</v>
      </c>
      <c r="B16" s="19" t="s">
        <v>22</v>
      </c>
    </row>
    <row r="17" spans="1:2" ht="16" x14ac:dyDescent="0.2">
      <c r="A17" s="23" t="s">
        <v>27</v>
      </c>
      <c r="B17" s="19" t="s">
        <v>63</v>
      </c>
    </row>
    <row r="18" spans="1:2" ht="17" thickBot="1" x14ac:dyDescent="0.25">
      <c r="A18" s="24" t="s">
        <v>28</v>
      </c>
      <c r="B18" s="20" t="s">
        <v>23</v>
      </c>
    </row>
    <row r="20" spans="1:2" ht="144" x14ac:dyDescent="0.2">
      <c r="A20" s="15" t="s">
        <v>64</v>
      </c>
    </row>
    <row r="22" spans="1:2" x14ac:dyDescent="0.2">
      <c r="A22" s="25" t="s">
        <v>31</v>
      </c>
    </row>
    <row r="23" spans="1:2" ht="80" x14ac:dyDescent="0.2">
      <c r="A23" s="15" t="s">
        <v>103</v>
      </c>
    </row>
  </sheetData>
  <pageMargins left="0.7" right="0.7" top="0.75" bottom="0.75" header="0.3" footer="0.3"/>
  <pageSetup paperSize="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
  <sheetViews>
    <sheetView workbookViewId="0">
      <selection activeCell="D16" sqref="D16"/>
    </sheetView>
  </sheetViews>
  <sheetFormatPr baseColWidth="10" defaultColWidth="9.1640625" defaultRowHeight="15" x14ac:dyDescent="0.2"/>
  <cols>
    <col min="1" max="1" width="85.5" style="30" bestFit="1" customWidth="1"/>
    <col min="2" max="16384" width="9.1640625" style="30"/>
  </cols>
  <sheetData>
    <row r="1" spans="1:15" ht="23" x14ac:dyDescent="0.2">
      <c r="A1" s="93" t="s">
        <v>17</v>
      </c>
      <c r="B1" s="93"/>
      <c r="C1" s="94"/>
      <c r="D1" s="94"/>
      <c r="E1" s="94"/>
      <c r="F1" s="94"/>
      <c r="G1" s="94"/>
      <c r="H1" s="94"/>
      <c r="I1" s="94"/>
      <c r="J1" s="94"/>
      <c r="K1" s="94"/>
      <c r="L1" s="94"/>
      <c r="M1" s="94"/>
      <c r="N1" s="94"/>
      <c r="O1" s="94"/>
    </row>
    <row r="2" spans="1:15" ht="362.25" customHeight="1" x14ac:dyDescent="0.2">
      <c r="A2" s="95" t="s">
        <v>106</v>
      </c>
      <c r="B2" s="95"/>
      <c r="C2" s="94"/>
      <c r="D2" s="94"/>
      <c r="E2" s="94"/>
      <c r="F2" s="94"/>
      <c r="G2" s="94"/>
      <c r="H2" s="94"/>
      <c r="I2" s="94"/>
      <c r="J2" s="94"/>
      <c r="K2" s="94"/>
      <c r="L2" s="94"/>
      <c r="M2" s="94"/>
      <c r="N2" s="94"/>
      <c r="O2" s="94"/>
    </row>
    <row r="3" spans="1:15" ht="78" customHeight="1" x14ac:dyDescent="0.2">
      <c r="A3" s="94"/>
      <c r="B3" s="94"/>
      <c r="C3" s="94"/>
      <c r="D3" s="94"/>
      <c r="E3" s="94"/>
      <c r="F3" s="94"/>
      <c r="G3" s="94"/>
      <c r="H3" s="94"/>
      <c r="I3" s="94"/>
      <c r="J3" s="94"/>
      <c r="K3" s="94"/>
      <c r="L3" s="94"/>
      <c r="M3" s="94"/>
      <c r="N3" s="94"/>
      <c r="O3" s="94"/>
    </row>
    <row r="8" spans="1:15" x14ac:dyDescent="0.2">
      <c r="B8" s="30" t="s">
        <v>110</v>
      </c>
    </row>
  </sheetData>
  <mergeCells count="4">
    <mergeCell ref="A1:B1"/>
    <mergeCell ref="C1:O3"/>
    <mergeCell ref="A2:B2"/>
    <mergeCell ref="A3:B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1:L17"/>
  <sheetViews>
    <sheetView workbookViewId="0">
      <selection activeCell="O9" sqref="O9"/>
    </sheetView>
  </sheetViews>
  <sheetFormatPr baseColWidth="10" defaultColWidth="15.1640625" defaultRowHeight="15" x14ac:dyDescent="0.2"/>
  <cols>
    <col min="1" max="1" width="5.5" bestFit="1" customWidth="1"/>
    <col min="2" max="2" width="29.5" bestFit="1" customWidth="1"/>
    <col min="3" max="3" width="8.1640625" style="30" customWidth="1"/>
    <col min="4" max="4" width="33.5" style="30" bestFit="1" customWidth="1"/>
    <col min="5" max="5" width="16.83203125" style="30" customWidth="1"/>
    <col min="6" max="11" width="6.5" bestFit="1" customWidth="1"/>
  </cols>
  <sheetData>
    <row r="1" spans="1:12" ht="26" x14ac:dyDescent="0.2">
      <c r="A1" s="96" t="s">
        <v>104</v>
      </c>
      <c r="B1" s="97"/>
      <c r="C1" s="97"/>
      <c r="D1" s="97"/>
      <c r="E1" s="97"/>
      <c r="F1" s="97"/>
      <c r="G1" s="97"/>
      <c r="H1" s="97"/>
      <c r="I1" s="97"/>
      <c r="J1" s="97"/>
      <c r="K1" s="97"/>
      <c r="L1" s="40"/>
    </row>
    <row r="2" spans="1:12" x14ac:dyDescent="0.2">
      <c r="A2" s="72"/>
      <c r="B2" s="26"/>
      <c r="C2" s="26"/>
      <c r="D2" s="26"/>
      <c r="E2" s="26"/>
      <c r="F2" s="98" t="s">
        <v>34</v>
      </c>
      <c r="G2" s="98"/>
      <c r="H2" s="99" t="s">
        <v>35</v>
      </c>
      <c r="I2" s="99"/>
      <c r="J2" s="100" t="s">
        <v>36</v>
      </c>
      <c r="K2" s="100"/>
      <c r="L2" s="40"/>
    </row>
    <row r="3" spans="1:12" x14ac:dyDescent="0.2">
      <c r="A3" s="41" t="s">
        <v>37</v>
      </c>
      <c r="B3" s="41" t="s">
        <v>38</v>
      </c>
      <c r="C3" s="77" t="s">
        <v>107</v>
      </c>
      <c r="D3" s="77" t="s">
        <v>108</v>
      </c>
      <c r="E3" s="77" t="s">
        <v>109</v>
      </c>
      <c r="F3" s="42" t="s">
        <v>41</v>
      </c>
      <c r="G3" s="43" t="s">
        <v>42</v>
      </c>
      <c r="H3" s="42" t="s">
        <v>41</v>
      </c>
      <c r="I3" s="43" t="s">
        <v>42</v>
      </c>
      <c r="J3" s="42" t="s">
        <v>41</v>
      </c>
      <c r="K3" s="43" t="s">
        <v>42</v>
      </c>
      <c r="L3" s="40"/>
    </row>
    <row r="4" spans="1:12" s="30" customFormat="1" x14ac:dyDescent="0.2">
      <c r="A4" s="83">
        <v>1</v>
      </c>
      <c r="B4" s="81" t="s">
        <v>111</v>
      </c>
      <c r="C4" s="82">
        <v>8471110</v>
      </c>
      <c r="D4" s="84" t="s">
        <v>120</v>
      </c>
      <c r="E4" s="82" t="s">
        <v>121</v>
      </c>
      <c r="F4" s="73"/>
      <c r="G4" s="74"/>
      <c r="H4" s="50"/>
      <c r="I4" s="50"/>
      <c r="J4" s="50"/>
      <c r="K4" s="50"/>
      <c r="L4" s="40"/>
    </row>
    <row r="5" spans="1:12" s="30" customFormat="1" x14ac:dyDescent="0.2">
      <c r="A5" s="83">
        <v>2</v>
      </c>
      <c r="B5" s="81" t="s">
        <v>112</v>
      </c>
      <c r="C5" s="82">
        <v>8471120</v>
      </c>
      <c r="D5" s="84" t="s">
        <v>122</v>
      </c>
      <c r="E5" s="82" t="s">
        <v>121</v>
      </c>
      <c r="F5" s="73"/>
      <c r="G5" s="74"/>
      <c r="H5" s="50"/>
      <c r="I5" s="50"/>
      <c r="J5" s="50"/>
      <c r="K5" s="50"/>
      <c r="L5" s="40"/>
    </row>
    <row r="6" spans="1:12" s="30" customFormat="1" x14ac:dyDescent="0.2">
      <c r="A6" s="83">
        <v>3</v>
      </c>
      <c r="B6" s="81" t="s">
        <v>113</v>
      </c>
      <c r="C6" s="82">
        <v>8471121</v>
      </c>
      <c r="D6" s="84" t="s">
        <v>123</v>
      </c>
      <c r="E6" s="82" t="s">
        <v>121</v>
      </c>
      <c r="F6" s="73"/>
      <c r="G6" s="74"/>
      <c r="H6" s="50"/>
      <c r="I6" s="50"/>
      <c r="J6" s="50"/>
      <c r="K6" s="50"/>
      <c r="L6" s="40"/>
    </row>
    <row r="7" spans="1:12" s="30" customFormat="1" x14ac:dyDescent="0.2">
      <c r="A7" s="83">
        <v>4</v>
      </c>
      <c r="B7" s="81" t="s">
        <v>114</v>
      </c>
      <c r="C7" s="82">
        <v>8471122</v>
      </c>
      <c r="D7" s="84" t="s">
        <v>124</v>
      </c>
      <c r="E7" s="82" t="s">
        <v>121</v>
      </c>
      <c r="F7" s="73"/>
      <c r="G7" s="74"/>
      <c r="H7" s="50"/>
      <c r="I7" s="50"/>
      <c r="J7" s="50"/>
      <c r="K7" s="50"/>
      <c r="L7" s="40"/>
    </row>
    <row r="8" spans="1:12" s="30" customFormat="1" x14ac:dyDescent="0.2">
      <c r="A8" s="83">
        <v>5</v>
      </c>
      <c r="B8" s="81" t="s">
        <v>115</v>
      </c>
      <c r="C8" s="82">
        <v>8471130</v>
      </c>
      <c r="D8" s="84" t="s">
        <v>125</v>
      </c>
      <c r="E8" s="82" t="s">
        <v>121</v>
      </c>
      <c r="F8" s="73"/>
      <c r="G8" s="74"/>
      <c r="H8" s="50"/>
      <c r="I8" s="50"/>
      <c r="J8" s="50"/>
      <c r="K8" s="50"/>
      <c r="L8" s="40"/>
    </row>
    <row r="9" spans="1:12" s="30" customFormat="1" x14ac:dyDescent="0.2">
      <c r="A9" s="83">
        <v>6</v>
      </c>
      <c r="B9" s="81" t="s">
        <v>116</v>
      </c>
      <c r="C9" s="82">
        <v>8471140</v>
      </c>
      <c r="D9" s="84" t="s">
        <v>136</v>
      </c>
      <c r="E9" s="82" t="s">
        <v>121</v>
      </c>
      <c r="F9" s="73"/>
      <c r="G9" s="74"/>
      <c r="H9" s="50"/>
      <c r="I9" s="50"/>
      <c r="J9" s="50"/>
      <c r="K9" s="50"/>
      <c r="L9" s="40"/>
    </row>
    <row r="10" spans="1:12" s="30" customFormat="1" x14ac:dyDescent="0.2">
      <c r="A10" s="83">
        <v>7</v>
      </c>
      <c r="B10" s="81" t="s">
        <v>117</v>
      </c>
      <c r="C10" s="82">
        <v>8471150</v>
      </c>
      <c r="D10" s="84" t="s">
        <v>126</v>
      </c>
      <c r="E10" s="82" t="s">
        <v>121</v>
      </c>
      <c r="F10" s="73"/>
      <c r="G10" s="74"/>
      <c r="H10" s="50"/>
      <c r="I10" s="50"/>
      <c r="J10" s="50"/>
      <c r="K10" s="50"/>
      <c r="L10" s="40"/>
    </row>
    <row r="11" spans="1:12" s="30" customFormat="1" x14ac:dyDescent="0.2">
      <c r="A11" s="83">
        <v>8</v>
      </c>
      <c r="B11" s="81" t="s">
        <v>118</v>
      </c>
      <c r="C11" s="82">
        <v>8471160</v>
      </c>
      <c r="D11" s="84" t="s">
        <v>127</v>
      </c>
      <c r="E11" s="82" t="s">
        <v>121</v>
      </c>
      <c r="F11" s="73"/>
      <c r="G11" s="74"/>
      <c r="H11" s="50"/>
      <c r="I11" s="50"/>
      <c r="J11" s="50"/>
      <c r="K11" s="50"/>
      <c r="L11" s="40"/>
    </row>
    <row r="12" spans="1:12" s="30" customFormat="1" x14ac:dyDescent="0.2">
      <c r="A12" s="83">
        <v>9</v>
      </c>
      <c r="B12" s="81" t="s">
        <v>119</v>
      </c>
      <c r="C12" s="82">
        <v>8471170</v>
      </c>
      <c r="D12" s="84" t="s">
        <v>137</v>
      </c>
      <c r="E12" s="82" t="s">
        <v>121</v>
      </c>
      <c r="F12" s="73"/>
      <c r="G12" s="74"/>
      <c r="H12" s="50"/>
      <c r="I12" s="50"/>
      <c r="J12" s="50"/>
      <c r="K12" s="50"/>
      <c r="L12" s="40"/>
    </row>
    <row r="13" spans="1:12" s="30" customFormat="1" x14ac:dyDescent="0.2">
      <c r="A13" s="83"/>
      <c r="B13" s="81"/>
      <c r="C13" s="82"/>
      <c r="D13" s="84"/>
      <c r="E13" s="82"/>
      <c r="F13" s="73"/>
      <c r="G13" s="74"/>
      <c r="H13" s="50"/>
      <c r="I13" s="50"/>
      <c r="J13" s="50"/>
      <c r="K13" s="50"/>
      <c r="L13" s="40"/>
    </row>
    <row r="14" spans="1:12" s="30" customFormat="1" x14ac:dyDescent="0.2">
      <c r="A14" s="83"/>
      <c r="B14" s="81"/>
      <c r="C14" s="82"/>
      <c r="D14" s="84"/>
      <c r="E14" s="82"/>
      <c r="F14" s="73"/>
      <c r="G14" s="74"/>
      <c r="H14" s="50"/>
      <c r="I14" s="50"/>
      <c r="J14" s="50"/>
      <c r="K14" s="50"/>
      <c r="L14" s="40"/>
    </row>
    <row r="15" spans="1:12" s="30" customFormat="1" x14ac:dyDescent="0.2">
      <c r="A15" s="83"/>
      <c r="B15" s="81"/>
      <c r="C15" s="82"/>
      <c r="D15" s="84"/>
      <c r="E15" s="82"/>
      <c r="F15" s="73"/>
      <c r="G15" s="74"/>
      <c r="H15" s="50"/>
      <c r="I15" s="50"/>
      <c r="J15" s="50"/>
      <c r="K15" s="50"/>
      <c r="L15" s="40"/>
    </row>
    <row r="16" spans="1:12" ht="21" x14ac:dyDescent="0.25">
      <c r="A16" s="75"/>
      <c r="B16" s="75"/>
      <c r="C16" s="75"/>
      <c r="D16" s="75"/>
      <c r="E16" s="75"/>
      <c r="F16" s="76">
        <f t="shared" ref="F16:K16" si="0">SUM(F4:F15)</f>
        <v>0</v>
      </c>
      <c r="G16" s="76">
        <f t="shared" si="0"/>
        <v>0</v>
      </c>
      <c r="H16" s="76">
        <f t="shared" si="0"/>
        <v>0</v>
      </c>
      <c r="I16" s="76">
        <f t="shared" si="0"/>
        <v>0</v>
      </c>
      <c r="J16" s="76">
        <f t="shared" si="0"/>
        <v>0</v>
      </c>
      <c r="K16" s="76">
        <f t="shared" si="0"/>
        <v>0</v>
      </c>
      <c r="L16" s="40"/>
    </row>
    <row r="17" spans="12:12" x14ac:dyDescent="0.2">
      <c r="L17" s="40"/>
    </row>
  </sheetData>
  <mergeCells count="4">
    <mergeCell ref="A1:K1"/>
    <mergeCell ref="F2:G2"/>
    <mergeCell ref="H2:I2"/>
    <mergeCell ref="J2:K2"/>
  </mergeCells>
  <pageMargins left="0.7" right="0.7" top="0.75" bottom="0.75" header="0.3" footer="0.3"/>
  <pageSetup paperSize="9" scale="8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39"/>
  <sheetViews>
    <sheetView workbookViewId="0">
      <pane xSplit="3" ySplit="7" topLeftCell="D8" activePane="bottomRight" state="frozen"/>
      <selection activeCell="D16" sqref="D16"/>
      <selection pane="topRight" activeCell="D16" sqref="D16"/>
      <selection pane="bottomLeft" activeCell="D16" sqref="D16"/>
      <selection pane="bottomRight" activeCell="B8" sqref="B8:B37"/>
    </sheetView>
  </sheetViews>
  <sheetFormatPr baseColWidth="10" defaultColWidth="9.1640625" defaultRowHeight="15" x14ac:dyDescent="0.2"/>
  <cols>
    <col min="1" max="1" width="5.5" style="30" bestFit="1" customWidth="1"/>
    <col min="2" max="2" width="13.6640625" style="30" customWidth="1"/>
    <col min="3" max="3" width="31.5" style="30" customWidth="1"/>
    <col min="4" max="4" width="15.6640625" style="30" customWidth="1"/>
    <col min="5" max="6" width="15.5" style="30" customWidth="1"/>
    <col min="7" max="7" width="15.6640625" style="30" customWidth="1"/>
    <col min="8" max="12" width="13.6640625" style="30" customWidth="1"/>
    <col min="13" max="13" width="29.83203125" style="30" customWidth="1"/>
    <col min="14" max="21" width="13.6640625" style="30" customWidth="1"/>
    <col min="22" max="28" width="12.83203125" style="30" customWidth="1"/>
    <col min="29" max="29" width="38.1640625" style="30" customWidth="1"/>
    <col min="30" max="16384" width="9.1640625" style="30"/>
  </cols>
  <sheetData>
    <row r="1" spans="1:21" ht="26" x14ac:dyDescent="0.2">
      <c r="B1" s="107" t="s">
        <v>105</v>
      </c>
      <c r="C1" s="108"/>
      <c r="D1" s="108"/>
      <c r="E1" s="108"/>
      <c r="F1" s="108"/>
      <c r="G1" s="108"/>
      <c r="H1" s="108"/>
      <c r="I1" s="108"/>
      <c r="J1" s="108"/>
      <c r="K1" s="108"/>
      <c r="L1" s="108"/>
      <c r="M1" s="108"/>
      <c r="N1" s="108"/>
      <c r="O1" s="108"/>
      <c r="P1" s="108"/>
      <c r="Q1" s="108"/>
      <c r="R1" s="108"/>
      <c r="S1" s="108"/>
      <c r="T1" s="108"/>
      <c r="U1" s="108"/>
    </row>
    <row r="2" spans="1:21" x14ac:dyDescent="0.2">
      <c r="B2" s="101" t="s">
        <v>48</v>
      </c>
      <c r="C2" s="102"/>
      <c r="D2" s="109" t="s">
        <v>34</v>
      </c>
      <c r="E2" s="110"/>
      <c r="F2" s="110"/>
      <c r="G2" s="111"/>
      <c r="H2" s="112" t="s">
        <v>35</v>
      </c>
      <c r="I2" s="113"/>
      <c r="J2" s="114" t="s">
        <v>36</v>
      </c>
      <c r="K2" s="115"/>
      <c r="L2" s="33"/>
      <c r="M2" s="34"/>
      <c r="N2" s="34"/>
      <c r="O2" s="34"/>
      <c r="P2" s="34"/>
      <c r="Q2" s="34"/>
      <c r="R2" s="34"/>
      <c r="S2" s="34"/>
      <c r="T2" s="34"/>
      <c r="U2" s="34"/>
    </row>
    <row r="3" spans="1:21" x14ac:dyDescent="0.2">
      <c r="B3" s="101" t="str">
        <f>'Budget Summary'!B4</f>
        <v>VP/Research &amp; Development</v>
      </c>
      <c r="C3" s="102"/>
      <c r="D3" s="103" t="s">
        <v>39</v>
      </c>
      <c r="E3" s="104"/>
      <c r="F3" s="105" t="s">
        <v>40</v>
      </c>
      <c r="G3" s="106"/>
      <c r="H3" s="27" t="s">
        <v>39</v>
      </c>
      <c r="I3" s="28" t="s">
        <v>40</v>
      </c>
      <c r="J3" s="27" t="s">
        <v>39</v>
      </c>
      <c r="K3" s="29" t="s">
        <v>40</v>
      </c>
      <c r="L3" s="34"/>
      <c r="M3" s="34"/>
      <c r="N3" s="34"/>
      <c r="O3" s="34"/>
      <c r="P3" s="34"/>
      <c r="Q3" s="34"/>
      <c r="R3" s="34"/>
      <c r="S3" s="34"/>
    </row>
    <row r="4" spans="1:21" x14ac:dyDescent="0.2">
      <c r="B4" s="122" t="s">
        <v>128</v>
      </c>
      <c r="C4" s="123"/>
      <c r="D4" s="124">
        <f>'Budget Summary'!F4</f>
        <v>0</v>
      </c>
      <c r="E4" s="125"/>
      <c r="F4" s="124">
        <f>'Budget Summary'!G4</f>
        <v>0</v>
      </c>
      <c r="G4" s="125"/>
      <c r="H4" s="46">
        <f>D38</f>
        <v>0</v>
      </c>
      <c r="I4" s="46">
        <f>E38</f>
        <v>0</v>
      </c>
      <c r="J4" s="44">
        <f>D4-H4</f>
        <v>0</v>
      </c>
      <c r="K4" s="45">
        <f>F4-I4</f>
        <v>0</v>
      </c>
      <c r="L4" s="34"/>
      <c r="M4" s="34"/>
      <c r="N4" s="34"/>
      <c r="O4" s="34"/>
      <c r="P4" s="34"/>
      <c r="Q4" s="34"/>
      <c r="R4" s="34"/>
      <c r="S4" s="34"/>
    </row>
    <row r="5" spans="1:21" x14ac:dyDescent="0.2">
      <c r="G5" s="126" t="s">
        <v>12</v>
      </c>
      <c r="H5" s="126"/>
      <c r="I5" s="126"/>
      <c r="J5" s="126"/>
      <c r="K5" s="126"/>
      <c r="L5" s="126"/>
      <c r="M5" s="52"/>
    </row>
    <row r="6" spans="1:21" x14ac:dyDescent="0.2">
      <c r="A6" s="116" t="s">
        <v>37</v>
      </c>
      <c r="B6" s="116" t="s">
        <v>65</v>
      </c>
      <c r="C6" s="118" t="s">
        <v>10</v>
      </c>
      <c r="D6" s="118" t="s">
        <v>66</v>
      </c>
      <c r="E6" s="118" t="s">
        <v>67</v>
      </c>
      <c r="F6" s="118" t="s">
        <v>68</v>
      </c>
      <c r="G6" s="127" t="s">
        <v>69</v>
      </c>
      <c r="H6" s="127" t="s">
        <v>70</v>
      </c>
      <c r="I6" s="127" t="s">
        <v>71</v>
      </c>
      <c r="J6" s="118" t="s">
        <v>19</v>
      </c>
      <c r="K6" s="128" t="s">
        <v>72</v>
      </c>
      <c r="L6" s="128" t="s">
        <v>73</v>
      </c>
      <c r="M6" s="120" t="s">
        <v>16</v>
      </c>
    </row>
    <row r="7" spans="1:21" x14ac:dyDescent="0.2">
      <c r="A7" s="117"/>
      <c r="B7" s="117"/>
      <c r="C7" s="119"/>
      <c r="D7" s="119"/>
      <c r="E7" s="119"/>
      <c r="F7" s="119"/>
      <c r="G7" s="127"/>
      <c r="H7" s="127"/>
      <c r="I7" s="127"/>
      <c r="J7" s="119"/>
      <c r="K7" s="129"/>
      <c r="L7" s="129"/>
      <c r="M7" s="121"/>
    </row>
    <row r="8" spans="1:21" ht="16" x14ac:dyDescent="0.2">
      <c r="A8" s="31">
        <v>1</v>
      </c>
      <c r="B8" s="53" t="str">
        <f>CONCATENATE("VPRES-",LEFT("0000",4-LEN(ROW(A2)-1)),ROW(A2)-1)</f>
        <v>VPRES-0001</v>
      </c>
      <c r="C8" s="12"/>
      <c r="D8" s="39"/>
      <c r="E8" s="39"/>
      <c r="F8" s="54"/>
      <c r="G8" s="55"/>
      <c r="H8" s="55"/>
      <c r="I8" s="55"/>
      <c r="J8" s="55"/>
      <c r="K8" s="12"/>
      <c r="L8" s="12"/>
      <c r="M8" s="12"/>
    </row>
    <row r="9" spans="1:21" ht="16" x14ac:dyDescent="0.2">
      <c r="A9" s="31">
        <v>2</v>
      </c>
      <c r="B9" s="53" t="str">
        <f t="shared" ref="B9:B37" si="0">CONCATENATE("VPRES-",LEFT("0000",4-LEN(ROW(A3)-1)),ROW(A3)-1)</f>
        <v>VPRES-0002</v>
      </c>
      <c r="C9" s="11"/>
      <c r="D9" s="39"/>
      <c r="E9" s="39"/>
      <c r="F9" s="54"/>
      <c r="G9" s="55"/>
      <c r="H9" s="55"/>
      <c r="I9" s="55"/>
      <c r="J9" s="55"/>
      <c r="K9" s="5"/>
      <c r="L9" s="5"/>
      <c r="M9" s="3"/>
    </row>
    <row r="10" spans="1:21" ht="16" x14ac:dyDescent="0.2">
      <c r="A10" s="31">
        <v>3</v>
      </c>
      <c r="B10" s="53" t="str">
        <f t="shared" si="0"/>
        <v>VPRES-0003</v>
      </c>
      <c r="C10" s="11"/>
      <c r="D10" s="39"/>
      <c r="E10" s="39"/>
      <c r="F10" s="54"/>
      <c r="G10" s="55"/>
      <c r="H10" s="55"/>
      <c r="I10" s="55"/>
      <c r="J10" s="55"/>
      <c r="K10" s="6"/>
      <c r="L10" s="6"/>
      <c r="M10" s="3"/>
    </row>
    <row r="11" spans="1:21" ht="16" x14ac:dyDescent="0.2">
      <c r="A11" s="31">
        <v>4</v>
      </c>
      <c r="B11" s="53" t="str">
        <f t="shared" si="0"/>
        <v>VPRES-0004</v>
      </c>
      <c r="C11" s="11"/>
      <c r="D11" s="39"/>
      <c r="E11" s="39"/>
      <c r="F11" s="54"/>
      <c r="G11" s="55"/>
      <c r="H11" s="55"/>
      <c r="I11" s="55"/>
      <c r="J11" s="55"/>
      <c r="K11" s="7"/>
      <c r="L11" s="7"/>
      <c r="M11" s="3"/>
    </row>
    <row r="12" spans="1:21" ht="16" x14ac:dyDescent="0.2">
      <c r="A12" s="31">
        <v>5</v>
      </c>
      <c r="B12" s="53" t="str">
        <f t="shared" si="0"/>
        <v>VPRES-0005</v>
      </c>
      <c r="C12" s="11"/>
      <c r="D12" s="39"/>
      <c r="E12" s="39"/>
      <c r="F12" s="54"/>
      <c r="G12" s="55"/>
      <c r="H12" s="55"/>
      <c r="I12" s="55"/>
      <c r="J12" s="55"/>
      <c r="K12" s="6"/>
      <c r="L12" s="6"/>
      <c r="M12" s="3"/>
    </row>
    <row r="13" spans="1:21" ht="16" x14ac:dyDescent="0.2">
      <c r="A13" s="31">
        <v>6</v>
      </c>
      <c r="B13" s="53" t="str">
        <f t="shared" si="0"/>
        <v>VPRES-0006</v>
      </c>
      <c r="C13" s="11"/>
      <c r="D13" s="39"/>
      <c r="E13" s="39"/>
      <c r="F13" s="54"/>
      <c r="G13" s="55"/>
      <c r="H13" s="55"/>
      <c r="I13" s="55"/>
      <c r="J13" s="55"/>
      <c r="K13" s="6"/>
      <c r="L13" s="6"/>
      <c r="M13" s="3"/>
    </row>
    <row r="14" spans="1:21" ht="16" x14ac:dyDescent="0.2">
      <c r="A14" s="31">
        <v>7</v>
      </c>
      <c r="B14" s="53" t="str">
        <f t="shared" si="0"/>
        <v>VPRES-0007</v>
      </c>
      <c r="C14" s="11"/>
      <c r="D14" s="39"/>
      <c r="E14" s="39"/>
      <c r="F14" s="54"/>
      <c r="G14" s="55"/>
      <c r="H14" s="55"/>
      <c r="I14" s="55"/>
      <c r="J14" s="55"/>
      <c r="K14" s="8"/>
      <c r="L14" s="8"/>
      <c r="M14" s="3"/>
    </row>
    <row r="15" spans="1:21" ht="16" x14ac:dyDescent="0.2">
      <c r="A15" s="31">
        <v>8</v>
      </c>
      <c r="B15" s="53" t="str">
        <f t="shared" si="0"/>
        <v>VPRES-0008</v>
      </c>
      <c r="C15" s="11"/>
      <c r="D15" s="39"/>
      <c r="E15" s="39"/>
      <c r="F15" s="54"/>
      <c r="G15" s="55"/>
      <c r="H15" s="55"/>
      <c r="I15" s="55"/>
      <c r="J15" s="55"/>
      <c r="K15" s="6"/>
      <c r="L15" s="6"/>
      <c r="M15" s="3"/>
    </row>
    <row r="16" spans="1:21" ht="16" x14ac:dyDescent="0.2">
      <c r="A16" s="31">
        <v>9</v>
      </c>
      <c r="B16" s="53" t="str">
        <f t="shared" si="0"/>
        <v>VPRES-0009</v>
      </c>
      <c r="C16" s="11"/>
      <c r="D16" s="39"/>
      <c r="E16" s="39"/>
      <c r="F16" s="54"/>
      <c r="G16" s="55"/>
      <c r="H16" s="55"/>
      <c r="I16" s="55"/>
      <c r="J16" s="55"/>
      <c r="K16" s="7"/>
      <c r="L16" s="7"/>
      <c r="M16" s="3"/>
    </row>
    <row r="17" spans="1:13" ht="16" x14ac:dyDescent="0.2">
      <c r="A17" s="31">
        <v>10</v>
      </c>
      <c r="B17" s="53" t="str">
        <f t="shared" si="0"/>
        <v>VPRES-0010</v>
      </c>
      <c r="C17" s="11"/>
      <c r="D17" s="39"/>
      <c r="E17" s="39"/>
      <c r="F17" s="54"/>
      <c r="G17" s="55"/>
      <c r="H17" s="55"/>
      <c r="I17" s="55"/>
      <c r="J17" s="55"/>
      <c r="K17" s="6"/>
      <c r="L17" s="6"/>
      <c r="M17" s="3"/>
    </row>
    <row r="18" spans="1:13" ht="16" x14ac:dyDescent="0.2">
      <c r="A18" s="31">
        <v>11</v>
      </c>
      <c r="B18" s="53" t="str">
        <f t="shared" si="0"/>
        <v>VPRES-0011</v>
      </c>
      <c r="C18" s="11"/>
      <c r="D18" s="39"/>
      <c r="E18" s="39"/>
      <c r="F18" s="54"/>
      <c r="G18" s="55"/>
      <c r="H18" s="55"/>
      <c r="I18" s="55"/>
      <c r="J18" s="55"/>
      <c r="K18" s="9"/>
      <c r="L18" s="9"/>
      <c r="M18" s="3"/>
    </row>
    <row r="19" spans="1:13" ht="16" x14ac:dyDescent="0.2">
      <c r="A19" s="31">
        <v>12</v>
      </c>
      <c r="B19" s="53" t="str">
        <f t="shared" si="0"/>
        <v>VPRES-0012</v>
      </c>
      <c r="C19" s="11"/>
      <c r="D19" s="39"/>
      <c r="E19" s="39"/>
      <c r="F19" s="54"/>
      <c r="G19" s="55"/>
      <c r="H19" s="55"/>
      <c r="I19" s="55"/>
      <c r="J19" s="55"/>
      <c r="K19" s="9"/>
      <c r="L19" s="9"/>
      <c r="M19" s="3"/>
    </row>
    <row r="20" spans="1:13" ht="16" x14ac:dyDescent="0.2">
      <c r="A20" s="31">
        <v>13</v>
      </c>
      <c r="B20" s="53" t="str">
        <f t="shared" si="0"/>
        <v>VPRES-0013</v>
      </c>
      <c r="C20" s="11"/>
      <c r="D20" s="39"/>
      <c r="E20" s="39"/>
      <c r="F20" s="54"/>
      <c r="G20" s="55"/>
      <c r="H20" s="55"/>
      <c r="I20" s="55"/>
      <c r="J20" s="55"/>
      <c r="K20" s="10"/>
      <c r="L20" s="10"/>
      <c r="M20" s="3"/>
    </row>
    <row r="21" spans="1:13" ht="16" x14ac:dyDescent="0.2">
      <c r="A21" s="31">
        <v>14</v>
      </c>
      <c r="B21" s="53" t="str">
        <f t="shared" si="0"/>
        <v>VPRES-0014</v>
      </c>
      <c r="C21" s="11"/>
      <c r="D21" s="39"/>
      <c r="E21" s="39"/>
      <c r="F21" s="54"/>
      <c r="G21" s="55"/>
      <c r="H21" s="55"/>
      <c r="I21" s="55"/>
      <c r="J21" s="55"/>
      <c r="K21" s="8"/>
      <c r="L21" s="8"/>
      <c r="M21" s="3"/>
    </row>
    <row r="22" spans="1:13" ht="16" x14ac:dyDescent="0.2">
      <c r="A22" s="31">
        <v>15</v>
      </c>
      <c r="B22" s="53" t="str">
        <f t="shared" si="0"/>
        <v>VPRES-0015</v>
      </c>
      <c r="C22" s="11"/>
      <c r="D22" s="39"/>
      <c r="E22" s="39"/>
      <c r="F22" s="54"/>
      <c r="G22" s="55"/>
      <c r="H22" s="55"/>
      <c r="I22" s="55"/>
      <c r="J22" s="55"/>
      <c r="K22" s="6"/>
      <c r="L22" s="6"/>
      <c r="M22" s="3"/>
    </row>
    <row r="23" spans="1:13" ht="16" x14ac:dyDescent="0.2">
      <c r="A23" s="31">
        <v>16</v>
      </c>
      <c r="B23" s="53" t="str">
        <f t="shared" si="0"/>
        <v>VPRES-0016</v>
      </c>
      <c r="C23" s="11"/>
      <c r="D23" s="39"/>
      <c r="E23" s="39"/>
      <c r="F23" s="54"/>
      <c r="G23" s="55"/>
      <c r="H23" s="55"/>
      <c r="I23" s="55"/>
      <c r="J23" s="55"/>
      <c r="K23" s="7"/>
      <c r="L23" s="7"/>
      <c r="M23" s="3"/>
    </row>
    <row r="24" spans="1:13" ht="16" x14ac:dyDescent="0.2">
      <c r="A24" s="31">
        <v>17</v>
      </c>
      <c r="B24" s="53" t="str">
        <f t="shared" si="0"/>
        <v>VPRES-0017</v>
      </c>
      <c r="C24" s="11"/>
      <c r="D24" s="39"/>
      <c r="E24" s="39"/>
      <c r="F24" s="54"/>
      <c r="G24" s="55"/>
      <c r="H24" s="55"/>
      <c r="I24" s="55"/>
      <c r="J24" s="55"/>
      <c r="K24" s="9"/>
      <c r="L24" s="9"/>
      <c r="M24" s="3"/>
    </row>
    <row r="25" spans="1:13" ht="16" x14ac:dyDescent="0.2">
      <c r="A25" s="31">
        <v>18</v>
      </c>
      <c r="B25" s="53" t="str">
        <f t="shared" si="0"/>
        <v>VPRES-0018</v>
      </c>
      <c r="C25" s="11"/>
      <c r="D25" s="39"/>
      <c r="E25" s="39"/>
      <c r="F25" s="54"/>
      <c r="G25" s="55"/>
      <c r="H25" s="55"/>
      <c r="I25" s="55"/>
      <c r="J25" s="55"/>
      <c r="K25" s="8"/>
      <c r="L25" s="8"/>
      <c r="M25" s="3"/>
    </row>
    <row r="26" spans="1:13" ht="16" x14ac:dyDescent="0.2">
      <c r="A26" s="31">
        <v>19</v>
      </c>
      <c r="B26" s="53" t="str">
        <f t="shared" si="0"/>
        <v>VPRES-0019</v>
      </c>
      <c r="C26" s="11"/>
      <c r="D26" s="39"/>
      <c r="E26" s="39"/>
      <c r="F26" s="54"/>
      <c r="G26" s="55"/>
      <c r="H26" s="55"/>
      <c r="I26" s="55"/>
      <c r="J26" s="55"/>
      <c r="K26" s="7"/>
      <c r="L26" s="7"/>
      <c r="M26" s="3"/>
    </row>
    <row r="27" spans="1:13" ht="16" x14ac:dyDescent="0.2">
      <c r="A27" s="31">
        <v>20</v>
      </c>
      <c r="B27" s="53" t="str">
        <f t="shared" si="0"/>
        <v>VPRES-0020</v>
      </c>
      <c r="C27" s="11"/>
      <c r="D27" s="11"/>
      <c r="E27" s="1"/>
      <c r="F27" s="54"/>
      <c r="G27" s="55"/>
      <c r="H27" s="55"/>
      <c r="I27" s="55"/>
      <c r="J27" s="55"/>
      <c r="K27" s="6"/>
      <c r="L27" s="6"/>
      <c r="M27" s="3"/>
    </row>
    <row r="28" spans="1:13" ht="16" x14ac:dyDescent="0.2">
      <c r="A28" s="31">
        <v>21</v>
      </c>
      <c r="B28" s="53" t="str">
        <f t="shared" si="0"/>
        <v>VPRES-0021</v>
      </c>
      <c r="C28" s="11"/>
      <c r="D28" s="11"/>
      <c r="E28" s="1"/>
      <c r="F28" s="54"/>
      <c r="G28" s="55"/>
      <c r="H28" s="55"/>
      <c r="I28" s="55"/>
      <c r="J28" s="55"/>
      <c r="K28" s="9"/>
      <c r="L28" s="9"/>
      <c r="M28" s="3"/>
    </row>
    <row r="29" spans="1:13" ht="16" x14ac:dyDescent="0.2">
      <c r="A29" s="32">
        <v>22</v>
      </c>
      <c r="B29" s="53" t="str">
        <f t="shared" si="0"/>
        <v>VPRES-0022</v>
      </c>
      <c r="C29" s="11"/>
      <c r="D29" s="11"/>
      <c r="E29" s="1"/>
      <c r="F29" s="54"/>
      <c r="G29" s="55"/>
      <c r="H29" s="55"/>
      <c r="I29" s="55"/>
      <c r="J29" s="55"/>
      <c r="K29" s="7"/>
      <c r="L29" s="7"/>
      <c r="M29" s="3"/>
    </row>
    <row r="30" spans="1:13" ht="16" x14ac:dyDescent="0.2">
      <c r="A30" s="32">
        <v>23</v>
      </c>
      <c r="B30" s="53" t="str">
        <f t="shared" si="0"/>
        <v>VPRES-0023</v>
      </c>
      <c r="C30" s="11"/>
      <c r="D30" s="11"/>
      <c r="E30" s="1"/>
      <c r="F30" s="54"/>
      <c r="G30" s="55"/>
      <c r="H30" s="55"/>
      <c r="I30" s="55"/>
      <c r="J30" s="55"/>
      <c r="K30" s="7"/>
      <c r="L30" s="7"/>
      <c r="M30" s="3"/>
    </row>
    <row r="31" spans="1:13" ht="16" x14ac:dyDescent="0.2">
      <c r="A31" s="32">
        <v>24</v>
      </c>
      <c r="B31" s="53" t="str">
        <f t="shared" si="0"/>
        <v>VPRES-0024</v>
      </c>
      <c r="C31" s="11"/>
      <c r="D31" s="11"/>
      <c r="E31" s="1"/>
      <c r="F31" s="54"/>
      <c r="G31" s="55"/>
      <c r="H31" s="55"/>
      <c r="I31" s="55"/>
      <c r="J31" s="55"/>
      <c r="K31" s="6"/>
      <c r="L31" s="6"/>
      <c r="M31" s="3"/>
    </row>
    <row r="32" spans="1:13" ht="16" x14ac:dyDescent="0.2">
      <c r="A32" s="32">
        <v>25</v>
      </c>
      <c r="B32" s="53" t="str">
        <f t="shared" si="0"/>
        <v>VPRES-0025</v>
      </c>
      <c r="C32" s="11"/>
      <c r="D32" s="11"/>
      <c r="E32" s="1"/>
      <c r="F32" s="54"/>
      <c r="G32" s="55"/>
      <c r="H32" s="55"/>
      <c r="I32" s="55"/>
      <c r="J32" s="55"/>
      <c r="K32" s="7"/>
      <c r="L32" s="7"/>
      <c r="M32" s="3"/>
    </row>
    <row r="33" spans="1:13" ht="16" x14ac:dyDescent="0.2">
      <c r="A33" s="32">
        <v>26</v>
      </c>
      <c r="B33" s="53" t="str">
        <f t="shared" si="0"/>
        <v>VPRES-0026</v>
      </c>
      <c r="C33" s="11"/>
      <c r="D33" s="11"/>
      <c r="E33" s="1"/>
      <c r="F33" s="54"/>
      <c r="G33" s="55"/>
      <c r="H33" s="55"/>
      <c r="I33" s="55"/>
      <c r="J33" s="55"/>
      <c r="K33" s="8"/>
      <c r="L33" s="8"/>
      <c r="M33" s="3"/>
    </row>
    <row r="34" spans="1:13" ht="16" x14ac:dyDescent="0.2">
      <c r="A34" s="32">
        <v>27</v>
      </c>
      <c r="B34" s="53" t="str">
        <f t="shared" si="0"/>
        <v>VPRES-0027</v>
      </c>
      <c r="C34" s="11"/>
      <c r="D34" s="11"/>
      <c r="E34" s="1"/>
      <c r="F34" s="54"/>
      <c r="G34" s="55"/>
      <c r="H34" s="55"/>
      <c r="I34" s="55"/>
      <c r="J34" s="55"/>
      <c r="K34" s="7"/>
      <c r="L34" s="7"/>
      <c r="M34" s="3"/>
    </row>
    <row r="35" spans="1:13" ht="16" x14ac:dyDescent="0.2">
      <c r="A35" s="32">
        <v>28</v>
      </c>
      <c r="B35" s="53" t="str">
        <f t="shared" si="0"/>
        <v>VPRES-0028</v>
      </c>
      <c r="C35" s="11"/>
      <c r="D35" s="11"/>
      <c r="E35" s="1"/>
      <c r="F35" s="54"/>
      <c r="G35" s="55"/>
      <c r="H35" s="55"/>
      <c r="I35" s="55"/>
      <c r="J35" s="55"/>
      <c r="K35" s="8"/>
      <c r="L35" s="8"/>
      <c r="M35" s="3"/>
    </row>
    <row r="36" spans="1:13" ht="16" x14ac:dyDescent="0.2">
      <c r="A36" s="32">
        <v>29</v>
      </c>
      <c r="B36" s="53" t="str">
        <f t="shared" si="0"/>
        <v>VPRES-0029</v>
      </c>
      <c r="C36" s="11"/>
      <c r="D36" s="11"/>
      <c r="E36" s="1"/>
      <c r="F36" s="54"/>
      <c r="G36" s="55"/>
      <c r="H36" s="55"/>
      <c r="I36" s="55"/>
      <c r="J36" s="55"/>
      <c r="K36" s="5"/>
      <c r="L36" s="5"/>
      <c r="M36" s="3"/>
    </row>
    <row r="37" spans="1:13" ht="16" x14ac:dyDescent="0.2">
      <c r="A37" s="32">
        <v>30</v>
      </c>
      <c r="B37" s="53" t="str">
        <f t="shared" si="0"/>
        <v>VPRES-0030</v>
      </c>
      <c r="C37" s="11"/>
      <c r="D37" s="11"/>
      <c r="E37" s="1"/>
      <c r="F37" s="54"/>
      <c r="G37" s="55"/>
      <c r="H37" s="55"/>
      <c r="I37" s="55"/>
      <c r="J37" s="55"/>
      <c r="K37" s="9"/>
      <c r="L37" s="9"/>
      <c r="M37" s="3"/>
    </row>
    <row r="38" spans="1:13" ht="16" thickBot="1" x14ac:dyDescent="0.25">
      <c r="A38" s="47"/>
      <c r="B38" s="47"/>
      <c r="C38" s="47" t="s">
        <v>49</v>
      </c>
      <c r="D38" s="48">
        <f>SUM(D8:D37)</f>
        <v>0</v>
      </c>
      <c r="E38" s="48">
        <f>SUM(E8:E37)</f>
        <v>0</v>
      </c>
      <c r="F38" s="47"/>
      <c r="G38" s="47"/>
      <c r="H38" s="47"/>
      <c r="I38" s="47"/>
      <c r="J38" s="47"/>
      <c r="K38" s="47"/>
      <c r="L38" s="47"/>
      <c r="M38" s="47"/>
    </row>
    <row r="39" spans="1:13" ht="16" thickTop="1" x14ac:dyDescent="0.2"/>
  </sheetData>
  <mergeCells count="25">
    <mergeCell ref="M6:M7"/>
    <mergeCell ref="B4:C4"/>
    <mergeCell ref="D4:E4"/>
    <mergeCell ref="F4:G4"/>
    <mergeCell ref="G5:L5"/>
    <mergeCell ref="F6:F7"/>
    <mergeCell ref="G6:G7"/>
    <mergeCell ref="H6:H7"/>
    <mergeCell ref="I6:I7"/>
    <mergeCell ref="J6:J7"/>
    <mergeCell ref="K6:K7"/>
    <mergeCell ref="L6:L7"/>
    <mergeCell ref="A6:A7"/>
    <mergeCell ref="B6:B7"/>
    <mergeCell ref="C6:C7"/>
    <mergeCell ref="D6:D7"/>
    <mergeCell ref="E6:E7"/>
    <mergeCell ref="B3:C3"/>
    <mergeCell ref="D3:E3"/>
    <mergeCell ref="F3:G3"/>
    <mergeCell ref="B1:U1"/>
    <mergeCell ref="B2:C2"/>
    <mergeCell ref="D2:G2"/>
    <mergeCell ref="H2:I2"/>
    <mergeCell ref="J2:K2"/>
  </mergeCell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300-000000000000}">
          <x14:formula1>
            <xm:f>'/Users/delmoghraby/Library/Containers/com.microsoft.Excel/Data/Documents/C:\Users\halansari\Desktop\[APP Bohooth 2018.xlsx]Macro-Sheet'!#REF!</xm:f>
          </x14:formula1>
          <xm:sqref>H37</xm:sqref>
        </x14:dataValidation>
        <x14:dataValidation type="list" allowBlank="1" showInputMessage="1" showErrorMessage="1" xr:uid="{00000000-0002-0000-0300-000001000000}">
          <x14:formula1>
            <xm:f>'/Users/delmoghraby/Library/Containers/com.microsoft.Excel/Data/Documents/C:\Users\halansari\Desktop\[APP template.xlsx]Macro-Sheet'!#REF!</xm:f>
          </x14:formula1>
          <xm:sqref>E27:E37</xm:sqref>
        </x14:dataValidation>
        <x14:dataValidation type="list" allowBlank="1" showInputMessage="1" showErrorMessage="1" xr:uid="{00000000-0002-0000-0300-000002000000}">
          <x14:formula1>
            <xm:f>'Macro-Sheet'!$C$2:$C$7</xm:f>
          </x14:formula1>
          <xm:sqref>F8:F37</xm:sqref>
        </x14:dataValidation>
        <x14:dataValidation type="list" allowBlank="1" showInputMessage="1" showErrorMessage="1" xr:uid="{00000000-0002-0000-0300-000003000000}">
          <x14:formula1>
            <xm:f>'Macro-Sheet'!$I$2:$I$7</xm:f>
          </x14:formula1>
          <xm:sqref>G8:G37</xm:sqref>
        </x14:dataValidation>
        <x14:dataValidation type="list" allowBlank="1" showInputMessage="1" showErrorMessage="1" xr:uid="{00000000-0002-0000-0300-000004000000}">
          <x14:formula1>
            <xm:f>'Macro-Sheet'!$J$2:$J$14</xm:f>
          </x14:formula1>
          <xm:sqref>H8:H36</xm:sqref>
        </x14:dataValidation>
        <x14:dataValidation type="list" allowBlank="1" showInputMessage="1" showErrorMessage="1" xr:uid="{00000000-0002-0000-0300-000005000000}">
          <x14:formula1>
            <xm:f>'Macro-Sheet'!$K$2:$K$33</xm:f>
          </x14:formula1>
          <xm:sqref>I8:I37</xm:sqref>
        </x14:dataValidation>
        <x14:dataValidation type="list" allowBlank="1" showInputMessage="1" showErrorMessage="1" xr:uid="{00000000-0002-0000-0300-000006000000}">
          <x14:formula1>
            <xm:f>'Macro-Sheet'!$E$2:$E$6</xm:f>
          </x14:formula1>
          <xm:sqref>J8:J37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40"/>
  <sheetViews>
    <sheetView workbookViewId="0">
      <pane xSplit="3" ySplit="7" topLeftCell="D8" activePane="bottomRight" state="frozen"/>
      <selection activeCell="D16" sqref="D16"/>
      <selection pane="topRight" activeCell="D16" sqref="D16"/>
      <selection pane="bottomLeft" activeCell="D16" sqref="D16"/>
      <selection pane="bottomRight" activeCell="B8" sqref="B8:B38"/>
    </sheetView>
  </sheetViews>
  <sheetFormatPr baseColWidth="10" defaultColWidth="9.1640625" defaultRowHeight="15" x14ac:dyDescent="0.2"/>
  <cols>
    <col min="1" max="1" width="5.5" style="30" bestFit="1" customWidth="1"/>
    <col min="2" max="2" width="15.5" style="30" bestFit="1" customWidth="1"/>
    <col min="3" max="3" width="49.1640625" style="30" bestFit="1" customWidth="1"/>
    <col min="4" max="4" width="8.83203125" style="30" customWidth="1"/>
    <col min="5" max="5" width="12.6640625" style="30" customWidth="1"/>
    <col min="6" max="6" width="15.5" style="30" customWidth="1"/>
    <col min="7" max="7" width="6.5" style="30" customWidth="1"/>
    <col min="8" max="8" width="13.6640625" style="30" customWidth="1"/>
    <col min="9" max="9" width="12.5" style="30" bestFit="1" customWidth="1"/>
    <col min="10" max="10" width="13.6640625" style="30" customWidth="1"/>
    <col min="11" max="11" width="13.6640625" style="64" customWidth="1"/>
    <col min="12" max="12" width="11.6640625" style="30" customWidth="1"/>
    <col min="13" max="13" width="29.83203125" style="30" customWidth="1"/>
    <col min="14" max="21" width="13.6640625" style="30" customWidth="1"/>
    <col min="22" max="28" width="12.83203125" style="30" customWidth="1"/>
    <col min="29" max="29" width="38.1640625" style="30" customWidth="1"/>
    <col min="30" max="16384" width="9.1640625" style="30"/>
  </cols>
  <sheetData>
    <row r="1" spans="1:21" ht="26" x14ac:dyDescent="0.2">
      <c r="B1" s="107" t="s">
        <v>105</v>
      </c>
      <c r="C1" s="108"/>
      <c r="D1" s="108"/>
      <c r="E1" s="108"/>
      <c r="F1" s="108"/>
      <c r="G1" s="108"/>
      <c r="H1" s="108"/>
      <c r="I1" s="108"/>
      <c r="J1" s="108"/>
      <c r="K1" s="108"/>
      <c r="L1" s="108"/>
      <c r="M1" s="108"/>
      <c r="N1" s="108"/>
      <c r="O1" s="108"/>
      <c r="P1" s="108"/>
      <c r="Q1" s="108"/>
      <c r="R1" s="108"/>
      <c r="S1" s="108"/>
      <c r="T1" s="108"/>
      <c r="U1" s="108"/>
    </row>
    <row r="2" spans="1:21" x14ac:dyDescent="0.2">
      <c r="B2" s="101" t="s">
        <v>48</v>
      </c>
      <c r="C2" s="102"/>
      <c r="D2" s="109" t="s">
        <v>34</v>
      </c>
      <c r="E2" s="110"/>
      <c r="F2" s="110"/>
      <c r="G2" s="111"/>
      <c r="H2" s="112" t="s">
        <v>35</v>
      </c>
      <c r="I2" s="113"/>
      <c r="J2" s="114" t="s">
        <v>36</v>
      </c>
      <c r="K2" s="115"/>
      <c r="L2" s="33"/>
      <c r="M2" s="34"/>
      <c r="N2" s="34"/>
      <c r="O2" s="34"/>
      <c r="P2" s="34"/>
      <c r="Q2" s="34"/>
      <c r="R2" s="34"/>
      <c r="S2" s="34"/>
      <c r="T2" s="34"/>
      <c r="U2" s="34"/>
    </row>
    <row r="3" spans="1:21" x14ac:dyDescent="0.2">
      <c r="B3" s="101" t="str">
        <f>'Budget Summary'!B5</f>
        <v>Institute for Automation , Information Science and Communication</v>
      </c>
      <c r="C3" s="102"/>
      <c r="D3" s="103" t="s">
        <v>39</v>
      </c>
      <c r="E3" s="104"/>
      <c r="F3" s="105" t="s">
        <v>40</v>
      </c>
      <c r="G3" s="106"/>
      <c r="H3" s="27" t="s">
        <v>39</v>
      </c>
      <c r="I3" s="28" t="s">
        <v>40</v>
      </c>
      <c r="J3" s="27" t="s">
        <v>39</v>
      </c>
      <c r="K3" s="66" t="s">
        <v>40</v>
      </c>
      <c r="L3" s="34"/>
      <c r="M3" s="34"/>
      <c r="N3" s="34"/>
      <c r="O3" s="34"/>
      <c r="P3" s="34"/>
      <c r="Q3" s="34"/>
      <c r="R3" s="34"/>
      <c r="S3" s="34"/>
    </row>
    <row r="4" spans="1:21" x14ac:dyDescent="0.2">
      <c r="B4" s="130" t="s">
        <v>129</v>
      </c>
      <c r="C4" s="123"/>
      <c r="D4" s="124">
        <f>'Budget Summary'!F5</f>
        <v>0</v>
      </c>
      <c r="E4" s="125"/>
      <c r="F4" s="124">
        <f>'Budget Summary'!G5</f>
        <v>0</v>
      </c>
      <c r="G4" s="125"/>
      <c r="H4" s="46">
        <f>D39</f>
        <v>0</v>
      </c>
      <c r="I4" s="46">
        <f>E39</f>
        <v>0</v>
      </c>
      <c r="J4" s="44">
        <f>D4-H4</f>
        <v>0</v>
      </c>
      <c r="K4" s="65">
        <f>F4-I4</f>
        <v>0</v>
      </c>
      <c r="L4" s="34"/>
      <c r="M4" s="34"/>
      <c r="N4" s="34"/>
      <c r="O4" s="34"/>
      <c r="P4" s="34"/>
      <c r="Q4" s="34"/>
      <c r="R4" s="34"/>
      <c r="S4" s="34"/>
    </row>
    <row r="5" spans="1:21" x14ac:dyDescent="0.2">
      <c r="G5" s="126" t="s">
        <v>12</v>
      </c>
      <c r="H5" s="126"/>
      <c r="I5" s="126"/>
      <c r="J5" s="126"/>
      <c r="K5" s="126"/>
      <c r="L5" s="126"/>
      <c r="M5" s="52"/>
    </row>
    <row r="6" spans="1:21" x14ac:dyDescent="0.2">
      <c r="A6" s="116" t="s">
        <v>37</v>
      </c>
      <c r="B6" s="116" t="s">
        <v>65</v>
      </c>
      <c r="C6" s="118" t="s">
        <v>10</v>
      </c>
      <c r="D6" s="118" t="s">
        <v>66</v>
      </c>
      <c r="E6" s="118" t="s">
        <v>67</v>
      </c>
      <c r="F6" s="118" t="s">
        <v>68</v>
      </c>
      <c r="G6" s="127" t="s">
        <v>69</v>
      </c>
      <c r="H6" s="127" t="s">
        <v>70</v>
      </c>
      <c r="I6" s="127" t="s">
        <v>71</v>
      </c>
      <c r="J6" s="118" t="s">
        <v>19</v>
      </c>
      <c r="K6" s="128" t="s">
        <v>72</v>
      </c>
      <c r="L6" s="128" t="s">
        <v>73</v>
      </c>
      <c r="M6" s="120" t="s">
        <v>16</v>
      </c>
    </row>
    <row r="7" spans="1:21" x14ac:dyDescent="0.2">
      <c r="A7" s="117"/>
      <c r="B7" s="117"/>
      <c r="C7" s="119"/>
      <c r="D7" s="119"/>
      <c r="E7" s="119"/>
      <c r="F7" s="119"/>
      <c r="G7" s="127"/>
      <c r="H7" s="127"/>
      <c r="I7" s="127"/>
      <c r="J7" s="119"/>
      <c r="K7" s="129"/>
      <c r="L7" s="129"/>
      <c r="M7" s="121"/>
    </row>
    <row r="8" spans="1:21" ht="16" x14ac:dyDescent="0.2">
      <c r="A8" s="31">
        <v>1</v>
      </c>
      <c r="B8" s="53" t="str">
        <f>CONCATENATE("IISC-",LEFT("0000",4-LEN(ROW(A2)-1)),ROW(A2)-1)</f>
        <v>IISC-0001</v>
      </c>
      <c r="C8" s="11"/>
      <c r="D8" s="11"/>
      <c r="E8" s="67"/>
      <c r="F8" s="54"/>
      <c r="G8" s="55"/>
      <c r="H8" s="55"/>
      <c r="I8" s="55"/>
      <c r="J8" s="55"/>
      <c r="K8" s="70"/>
      <c r="L8" s="9"/>
      <c r="M8" s="3"/>
    </row>
    <row r="9" spans="1:21" ht="16" x14ac:dyDescent="0.2">
      <c r="A9" s="31">
        <v>2</v>
      </c>
      <c r="B9" s="53" t="str">
        <f t="shared" ref="B9:B38" si="0">CONCATENATE("IISC-",LEFT("0000",4-LEN(ROW(A3)-1)),ROW(A3)-1)</f>
        <v>IISC-0002</v>
      </c>
      <c r="C9" s="11"/>
      <c r="D9" s="11"/>
      <c r="E9" s="67"/>
      <c r="F9" s="54"/>
      <c r="G9" s="55"/>
      <c r="H9" s="55"/>
      <c r="I9" s="55"/>
      <c r="J9" s="55"/>
      <c r="K9" s="70"/>
      <c r="L9" s="9"/>
      <c r="M9" s="3"/>
    </row>
    <row r="10" spans="1:21" ht="16" x14ac:dyDescent="0.2">
      <c r="A10" s="31">
        <v>3</v>
      </c>
      <c r="B10" s="53" t="str">
        <f t="shared" si="0"/>
        <v>IISC-0003</v>
      </c>
      <c r="C10" s="11"/>
      <c r="D10" s="11"/>
      <c r="E10" s="67"/>
      <c r="F10" s="54"/>
      <c r="G10" s="55"/>
      <c r="H10" s="55"/>
      <c r="I10" s="55"/>
      <c r="J10" s="55"/>
      <c r="K10" s="70"/>
      <c r="L10" s="9"/>
      <c r="M10" s="3"/>
    </row>
    <row r="11" spans="1:21" ht="16" x14ac:dyDescent="0.2">
      <c r="A11" s="31">
        <v>4</v>
      </c>
      <c r="B11" s="53" t="str">
        <f t="shared" si="0"/>
        <v>IISC-0004</v>
      </c>
      <c r="C11" s="11"/>
      <c r="D11" s="11"/>
      <c r="E11" s="67"/>
      <c r="F11" s="54"/>
      <c r="G11" s="55"/>
      <c r="H11" s="55"/>
      <c r="I11" s="55"/>
      <c r="J11" s="55"/>
      <c r="K11" s="70"/>
      <c r="L11" s="9"/>
      <c r="M11" s="3"/>
    </row>
    <row r="12" spans="1:21" ht="16" x14ac:dyDescent="0.2">
      <c r="A12" s="31">
        <v>5</v>
      </c>
      <c r="B12" s="53" t="str">
        <f t="shared" si="0"/>
        <v>IISC-0005</v>
      </c>
      <c r="C12" s="11"/>
      <c r="D12" s="11"/>
      <c r="E12" s="67"/>
      <c r="F12" s="54"/>
      <c r="G12" s="55"/>
      <c r="H12" s="55"/>
      <c r="I12" s="55"/>
      <c r="J12" s="55"/>
      <c r="K12" s="70"/>
      <c r="L12" s="9"/>
      <c r="M12" s="3"/>
    </row>
    <row r="13" spans="1:21" ht="16" x14ac:dyDescent="0.2">
      <c r="A13" s="31">
        <v>6</v>
      </c>
      <c r="B13" s="53" t="str">
        <f t="shared" si="0"/>
        <v>IISC-0006</v>
      </c>
      <c r="C13" s="11"/>
      <c r="D13" s="11"/>
      <c r="E13" s="67"/>
      <c r="F13" s="54"/>
      <c r="G13" s="55"/>
      <c r="H13" s="55"/>
      <c r="I13" s="55"/>
      <c r="J13" s="55"/>
      <c r="K13" s="70"/>
      <c r="L13" s="9"/>
      <c r="M13" s="3"/>
    </row>
    <row r="14" spans="1:21" ht="16" x14ac:dyDescent="0.2">
      <c r="A14" s="31">
        <v>7</v>
      </c>
      <c r="B14" s="53" t="str">
        <f t="shared" si="0"/>
        <v>IISC-0007</v>
      </c>
      <c r="C14" s="11"/>
      <c r="D14" s="11"/>
      <c r="E14" s="67"/>
      <c r="F14" s="54"/>
      <c r="G14" s="55"/>
      <c r="H14" s="55"/>
      <c r="I14" s="55"/>
      <c r="J14" s="55"/>
      <c r="K14" s="70"/>
      <c r="L14" s="9"/>
      <c r="M14" s="3"/>
    </row>
    <row r="15" spans="1:21" ht="16" x14ac:dyDescent="0.2">
      <c r="A15" s="31">
        <v>8</v>
      </c>
      <c r="B15" s="53" t="str">
        <f t="shared" si="0"/>
        <v>IISC-0008</v>
      </c>
      <c r="C15" s="11"/>
      <c r="D15" s="11"/>
      <c r="E15" s="67"/>
      <c r="F15" s="54"/>
      <c r="G15" s="55"/>
      <c r="H15" s="55"/>
      <c r="I15" s="55"/>
      <c r="J15" s="55"/>
      <c r="K15" s="70"/>
      <c r="L15" s="9"/>
      <c r="M15" s="3"/>
    </row>
    <row r="16" spans="1:21" ht="16" x14ac:dyDescent="0.2">
      <c r="A16" s="31">
        <v>9</v>
      </c>
      <c r="B16" s="53" t="str">
        <f t="shared" si="0"/>
        <v>IISC-0009</v>
      </c>
      <c r="C16" s="11"/>
      <c r="D16" s="11"/>
      <c r="E16" s="67"/>
      <c r="F16" s="54"/>
      <c r="G16" s="55"/>
      <c r="H16" s="55"/>
      <c r="I16" s="55"/>
      <c r="J16" s="55"/>
      <c r="K16" s="70"/>
      <c r="L16" s="9"/>
      <c r="M16" s="3"/>
    </row>
    <row r="17" spans="1:13" ht="16" x14ac:dyDescent="0.2">
      <c r="A17" s="31">
        <v>10</v>
      </c>
      <c r="B17" s="53" t="str">
        <f t="shared" si="0"/>
        <v>IISC-0010</v>
      </c>
      <c r="C17" s="11"/>
      <c r="D17" s="11"/>
      <c r="E17" s="67"/>
      <c r="F17" s="54"/>
      <c r="G17" s="55"/>
      <c r="H17" s="55"/>
      <c r="I17" s="55"/>
      <c r="J17" s="55"/>
      <c r="K17" s="70"/>
      <c r="L17" s="9"/>
      <c r="M17" s="3"/>
    </row>
    <row r="18" spans="1:13" ht="16" x14ac:dyDescent="0.2">
      <c r="A18" s="31">
        <v>11</v>
      </c>
      <c r="B18" s="53" t="str">
        <f t="shared" si="0"/>
        <v>IISC-0011</v>
      </c>
      <c r="C18" s="11"/>
      <c r="D18" s="11"/>
      <c r="E18" s="67"/>
      <c r="F18" s="54"/>
      <c r="G18" s="55"/>
      <c r="H18" s="55"/>
      <c r="I18" s="55"/>
      <c r="J18" s="55"/>
      <c r="K18" s="70"/>
      <c r="L18" s="9"/>
      <c r="M18" s="3"/>
    </row>
    <row r="19" spans="1:13" ht="16" x14ac:dyDescent="0.2">
      <c r="A19" s="31">
        <v>12</v>
      </c>
      <c r="B19" s="53" t="str">
        <f t="shared" si="0"/>
        <v>IISC-0012</v>
      </c>
      <c r="C19" s="11"/>
      <c r="D19" s="11"/>
      <c r="E19" s="67"/>
      <c r="F19" s="54"/>
      <c r="G19" s="55"/>
      <c r="H19" s="55"/>
      <c r="I19" s="55"/>
      <c r="J19" s="55"/>
      <c r="K19" s="70"/>
      <c r="L19" s="9"/>
      <c r="M19" s="3"/>
    </row>
    <row r="20" spans="1:13" ht="16" x14ac:dyDescent="0.2">
      <c r="A20" s="31">
        <v>13</v>
      </c>
      <c r="B20" s="53" t="str">
        <f t="shared" si="0"/>
        <v>IISC-0013</v>
      </c>
      <c r="C20" s="11"/>
      <c r="D20" s="11"/>
      <c r="E20" s="67"/>
      <c r="F20" s="54"/>
      <c r="G20" s="55"/>
      <c r="H20" s="55"/>
      <c r="I20" s="55"/>
      <c r="J20" s="55"/>
      <c r="K20" s="70"/>
      <c r="L20" s="9"/>
      <c r="M20" s="3"/>
    </row>
    <row r="21" spans="1:13" ht="16" x14ac:dyDescent="0.2">
      <c r="A21" s="31">
        <v>14</v>
      </c>
      <c r="B21" s="53" t="str">
        <f t="shared" si="0"/>
        <v>IISC-0014</v>
      </c>
      <c r="C21" s="11"/>
      <c r="D21" s="11"/>
      <c r="E21" s="67"/>
      <c r="F21" s="54"/>
      <c r="G21" s="55"/>
      <c r="H21" s="55"/>
      <c r="I21" s="55"/>
      <c r="J21" s="55"/>
      <c r="K21" s="70"/>
      <c r="L21" s="9"/>
      <c r="M21" s="3"/>
    </row>
    <row r="22" spans="1:13" ht="16" x14ac:dyDescent="0.2">
      <c r="A22" s="31">
        <v>15</v>
      </c>
      <c r="B22" s="53" t="str">
        <f t="shared" si="0"/>
        <v>IISC-0015</v>
      </c>
      <c r="C22" s="11"/>
      <c r="D22" s="11"/>
      <c r="E22" s="67"/>
      <c r="F22" s="54"/>
      <c r="G22" s="55"/>
      <c r="H22" s="55"/>
      <c r="I22" s="55"/>
      <c r="J22" s="55"/>
      <c r="K22" s="70"/>
      <c r="L22" s="9"/>
      <c r="M22" s="3"/>
    </row>
    <row r="23" spans="1:13" ht="16" x14ac:dyDescent="0.2">
      <c r="A23" s="31">
        <v>16</v>
      </c>
      <c r="B23" s="53" t="str">
        <f t="shared" si="0"/>
        <v>IISC-0016</v>
      </c>
      <c r="C23" s="11"/>
      <c r="D23" s="11"/>
      <c r="E23" s="67"/>
      <c r="F23" s="54"/>
      <c r="G23" s="55"/>
      <c r="H23" s="55"/>
      <c r="I23" s="55"/>
      <c r="J23" s="55"/>
      <c r="K23" s="70"/>
      <c r="L23" s="9"/>
      <c r="M23" s="3"/>
    </row>
    <row r="24" spans="1:13" ht="16" x14ac:dyDescent="0.2">
      <c r="A24" s="31">
        <v>17</v>
      </c>
      <c r="B24" s="53" t="str">
        <f t="shared" si="0"/>
        <v>IISC-0017</v>
      </c>
      <c r="C24" s="11"/>
      <c r="D24" s="11"/>
      <c r="E24" s="67"/>
      <c r="F24" s="54"/>
      <c r="G24" s="55"/>
      <c r="H24" s="55"/>
      <c r="I24" s="55"/>
      <c r="J24" s="55"/>
      <c r="K24" s="70"/>
      <c r="L24" s="9"/>
      <c r="M24" s="3"/>
    </row>
    <row r="25" spans="1:13" ht="16" x14ac:dyDescent="0.2">
      <c r="A25" s="31">
        <v>18</v>
      </c>
      <c r="B25" s="53" t="str">
        <f t="shared" si="0"/>
        <v>IISC-0018</v>
      </c>
      <c r="C25" s="11"/>
      <c r="D25" s="11"/>
      <c r="E25" s="67"/>
      <c r="F25" s="54"/>
      <c r="G25" s="55"/>
      <c r="H25" s="55"/>
      <c r="I25" s="55"/>
      <c r="J25" s="55"/>
      <c r="K25" s="70"/>
      <c r="L25" s="9"/>
      <c r="M25" s="3"/>
    </row>
    <row r="26" spans="1:13" ht="16" x14ac:dyDescent="0.2">
      <c r="A26" s="31">
        <v>19</v>
      </c>
      <c r="B26" s="53" t="str">
        <f t="shared" si="0"/>
        <v>IISC-0019</v>
      </c>
      <c r="C26" s="11"/>
      <c r="D26" s="11"/>
      <c r="E26" s="67"/>
      <c r="F26" s="54"/>
      <c r="G26" s="55"/>
      <c r="H26" s="55"/>
      <c r="I26" s="55"/>
      <c r="J26" s="55"/>
      <c r="K26" s="70"/>
      <c r="L26" s="9"/>
      <c r="M26" s="3"/>
    </row>
    <row r="27" spans="1:13" ht="16" x14ac:dyDescent="0.2">
      <c r="A27" s="31">
        <v>20</v>
      </c>
      <c r="B27" s="53" t="str">
        <f t="shared" si="0"/>
        <v>IISC-0020</v>
      </c>
      <c r="C27" s="11"/>
      <c r="D27" s="11"/>
      <c r="E27" s="67"/>
      <c r="F27" s="54"/>
      <c r="G27" s="55"/>
      <c r="H27" s="55"/>
      <c r="I27" s="55"/>
      <c r="J27" s="55"/>
      <c r="K27" s="70"/>
      <c r="L27" s="9"/>
      <c r="M27" s="3"/>
    </row>
    <row r="28" spans="1:13" ht="16" x14ac:dyDescent="0.2">
      <c r="A28" s="31">
        <v>21</v>
      </c>
      <c r="B28" s="53" t="str">
        <f t="shared" si="0"/>
        <v>IISC-0021</v>
      </c>
      <c r="C28" s="11"/>
      <c r="D28" s="11"/>
      <c r="E28" s="67"/>
      <c r="F28" s="54"/>
      <c r="G28" s="55"/>
      <c r="H28" s="55"/>
      <c r="I28" s="55"/>
      <c r="J28" s="55"/>
      <c r="K28" s="70"/>
      <c r="L28" s="9"/>
      <c r="M28" s="3"/>
    </row>
    <row r="29" spans="1:13" ht="16" x14ac:dyDescent="0.2">
      <c r="A29" s="31">
        <v>22</v>
      </c>
      <c r="B29" s="53" t="str">
        <f t="shared" si="0"/>
        <v>IISC-0022</v>
      </c>
      <c r="C29" s="11"/>
      <c r="D29" s="11"/>
      <c r="E29" s="67"/>
      <c r="F29" s="54"/>
      <c r="G29" s="55"/>
      <c r="H29" s="55"/>
      <c r="I29" s="55"/>
      <c r="J29" s="55"/>
      <c r="K29" s="70"/>
      <c r="L29" s="9"/>
      <c r="M29" s="3"/>
    </row>
    <row r="30" spans="1:13" ht="16" x14ac:dyDescent="0.2">
      <c r="A30" s="31">
        <v>23</v>
      </c>
      <c r="B30" s="53" t="str">
        <f t="shared" si="0"/>
        <v>IISC-0023</v>
      </c>
      <c r="C30" s="11"/>
      <c r="D30" s="11"/>
      <c r="E30" s="67"/>
      <c r="F30" s="54"/>
      <c r="G30" s="55"/>
      <c r="H30" s="55"/>
      <c r="I30" s="55"/>
      <c r="J30" s="55"/>
      <c r="K30" s="70"/>
      <c r="L30" s="9"/>
      <c r="M30" s="3"/>
    </row>
    <row r="31" spans="1:13" ht="16" x14ac:dyDescent="0.2">
      <c r="A31" s="31">
        <v>24</v>
      </c>
      <c r="B31" s="53" t="str">
        <f t="shared" si="0"/>
        <v>IISC-0024</v>
      </c>
      <c r="C31" s="11"/>
      <c r="D31" s="11"/>
      <c r="E31" s="67"/>
      <c r="F31" s="54"/>
      <c r="G31" s="55"/>
      <c r="H31" s="55"/>
      <c r="I31" s="55"/>
      <c r="J31" s="55"/>
      <c r="K31" s="70"/>
      <c r="L31" s="9"/>
      <c r="M31" s="3"/>
    </row>
    <row r="32" spans="1:13" ht="16" x14ac:dyDescent="0.2">
      <c r="A32" s="31">
        <v>25</v>
      </c>
      <c r="B32" s="53" t="str">
        <f t="shared" si="0"/>
        <v>IISC-0025</v>
      </c>
      <c r="C32" s="11"/>
      <c r="D32" s="11"/>
      <c r="E32" s="67"/>
      <c r="F32" s="54"/>
      <c r="G32" s="55"/>
      <c r="H32" s="55"/>
      <c r="I32" s="55"/>
      <c r="J32" s="55"/>
      <c r="K32" s="70"/>
      <c r="L32" s="9"/>
      <c r="M32" s="3"/>
    </row>
    <row r="33" spans="1:13" ht="16" x14ac:dyDescent="0.2">
      <c r="A33" s="31">
        <v>26</v>
      </c>
      <c r="B33" s="53" t="str">
        <f t="shared" si="0"/>
        <v>IISC-0026</v>
      </c>
      <c r="C33" s="11"/>
      <c r="D33" s="11"/>
      <c r="E33" s="67"/>
      <c r="F33" s="54"/>
      <c r="G33" s="55"/>
      <c r="H33" s="55"/>
      <c r="I33" s="55"/>
      <c r="J33" s="55"/>
      <c r="K33" s="70"/>
      <c r="L33" s="9"/>
      <c r="M33" s="3"/>
    </row>
    <row r="34" spans="1:13" ht="16" x14ac:dyDescent="0.2">
      <c r="A34" s="31">
        <v>27</v>
      </c>
      <c r="B34" s="53" t="str">
        <f t="shared" si="0"/>
        <v>IISC-0027</v>
      </c>
      <c r="C34" s="11"/>
      <c r="D34" s="11"/>
      <c r="E34" s="67"/>
      <c r="F34" s="54"/>
      <c r="G34" s="55"/>
      <c r="H34" s="55"/>
      <c r="I34" s="55"/>
      <c r="J34" s="55"/>
      <c r="K34" s="70"/>
      <c r="L34" s="9"/>
      <c r="M34" s="3"/>
    </row>
    <row r="35" spans="1:13" ht="16" x14ac:dyDescent="0.2">
      <c r="A35" s="31">
        <v>28</v>
      </c>
      <c r="B35" s="53" t="str">
        <f t="shared" si="0"/>
        <v>IISC-0028</v>
      </c>
      <c r="C35" s="11"/>
      <c r="D35" s="11"/>
      <c r="E35" s="67"/>
      <c r="F35" s="54"/>
      <c r="G35" s="55"/>
      <c r="H35" s="55"/>
      <c r="I35" s="55"/>
      <c r="J35" s="55"/>
      <c r="K35" s="70"/>
      <c r="L35" s="9"/>
      <c r="M35" s="3"/>
    </row>
    <row r="36" spans="1:13" ht="16" x14ac:dyDescent="0.2">
      <c r="A36" s="31">
        <v>29</v>
      </c>
      <c r="B36" s="53" t="str">
        <f t="shared" si="0"/>
        <v>IISC-0029</v>
      </c>
      <c r="C36" s="11"/>
      <c r="D36" s="11"/>
      <c r="E36" s="67"/>
      <c r="F36" s="54"/>
      <c r="G36" s="55"/>
      <c r="H36" s="55"/>
      <c r="I36" s="55"/>
      <c r="J36" s="55"/>
      <c r="K36" s="70"/>
      <c r="L36" s="9"/>
      <c r="M36" s="3"/>
    </row>
    <row r="37" spans="1:13" ht="16" x14ac:dyDescent="0.2">
      <c r="A37" s="31">
        <v>30</v>
      </c>
      <c r="B37" s="53" t="str">
        <f t="shared" si="0"/>
        <v>IISC-0030</v>
      </c>
      <c r="C37" s="11"/>
      <c r="D37" s="11"/>
      <c r="E37" s="67"/>
      <c r="F37" s="54"/>
      <c r="G37" s="55"/>
      <c r="H37" s="55"/>
      <c r="I37" s="55"/>
      <c r="J37" s="55"/>
      <c r="K37" s="70"/>
      <c r="L37" s="9"/>
      <c r="M37" s="3"/>
    </row>
    <row r="38" spans="1:13" ht="16" x14ac:dyDescent="0.2">
      <c r="A38" s="31">
        <v>31</v>
      </c>
      <c r="B38" s="53" t="str">
        <f t="shared" si="0"/>
        <v>IISC-0031</v>
      </c>
      <c r="C38" s="11"/>
      <c r="D38" s="11"/>
      <c r="E38" s="67"/>
      <c r="F38" s="54"/>
      <c r="G38" s="55"/>
      <c r="H38" s="55"/>
      <c r="I38" s="55"/>
      <c r="J38" s="55"/>
      <c r="K38" s="70"/>
      <c r="L38" s="9"/>
      <c r="M38" s="3"/>
    </row>
    <row r="39" spans="1:13" ht="16" thickBot="1" x14ac:dyDescent="0.25">
      <c r="A39" s="47"/>
      <c r="B39" s="47"/>
      <c r="C39" s="68" t="s">
        <v>49</v>
      </c>
      <c r="D39" s="69">
        <f>SUM(D8:D38)</f>
        <v>0</v>
      </c>
      <c r="E39" s="69">
        <f>SUM(E8:E38)</f>
        <v>0</v>
      </c>
      <c r="F39" s="68"/>
      <c r="G39" s="68"/>
      <c r="H39" s="68"/>
      <c r="I39" s="68"/>
      <c r="J39" s="68"/>
      <c r="K39" s="71"/>
      <c r="L39" s="68"/>
      <c r="M39" s="68"/>
    </row>
    <row r="40" spans="1:13" ht="16" thickTop="1" x14ac:dyDescent="0.2"/>
  </sheetData>
  <mergeCells count="25">
    <mergeCell ref="M6:M7"/>
    <mergeCell ref="G6:G7"/>
    <mergeCell ref="H6:H7"/>
    <mergeCell ref="I6:I7"/>
    <mergeCell ref="J6:J7"/>
    <mergeCell ref="K6:K7"/>
    <mergeCell ref="L6:L7"/>
    <mergeCell ref="B4:C4"/>
    <mergeCell ref="D4:E4"/>
    <mergeCell ref="F4:G4"/>
    <mergeCell ref="G5:L5"/>
    <mergeCell ref="A6:A7"/>
    <mergeCell ref="B6:B7"/>
    <mergeCell ref="C6:C7"/>
    <mergeCell ref="D6:D7"/>
    <mergeCell ref="E6:E7"/>
    <mergeCell ref="F6:F7"/>
    <mergeCell ref="B3:C3"/>
    <mergeCell ref="D3:E3"/>
    <mergeCell ref="F3:G3"/>
    <mergeCell ref="B1:U1"/>
    <mergeCell ref="B2:C2"/>
    <mergeCell ref="D2:G2"/>
    <mergeCell ref="H2:I2"/>
    <mergeCell ref="J2:K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400-000000000000}">
          <x14:formula1>
            <xm:f>'Macro-Sheet'!$E$2:$E$6</xm:f>
          </x14:formula1>
          <xm:sqref>J8:J38</xm:sqref>
        </x14:dataValidation>
        <x14:dataValidation type="list" allowBlank="1" showInputMessage="1" showErrorMessage="1" xr:uid="{00000000-0002-0000-0400-000001000000}">
          <x14:formula1>
            <xm:f>'Macro-Sheet'!$K$2:$K$33</xm:f>
          </x14:formula1>
          <xm:sqref>I8:I38</xm:sqref>
        </x14:dataValidation>
        <x14:dataValidation type="list" allowBlank="1" showInputMessage="1" showErrorMessage="1" xr:uid="{00000000-0002-0000-0400-000002000000}">
          <x14:formula1>
            <xm:f>'Macro-Sheet'!$J$2:$J$14</xm:f>
          </x14:formula1>
          <xm:sqref>H8:H38</xm:sqref>
        </x14:dataValidation>
        <x14:dataValidation type="list" allowBlank="1" showInputMessage="1" showErrorMessage="1" xr:uid="{00000000-0002-0000-0400-000003000000}">
          <x14:formula1>
            <xm:f>'Macro-Sheet'!$I$2:$I$7</xm:f>
          </x14:formula1>
          <xm:sqref>G8:G38</xm:sqref>
        </x14:dataValidation>
        <x14:dataValidation type="list" allowBlank="1" showInputMessage="1" showErrorMessage="1" xr:uid="{00000000-0002-0000-0400-000004000000}">
          <x14:formula1>
            <xm:f>'Macro-Sheet'!$C$2:$C$7</xm:f>
          </x14:formula1>
          <xm:sqref>F8:F38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40"/>
  <sheetViews>
    <sheetView workbookViewId="0">
      <pane xSplit="3" ySplit="7" topLeftCell="D8" activePane="bottomRight" state="frozen"/>
      <selection activeCell="D16" sqref="D16"/>
      <selection pane="topRight" activeCell="D16" sqref="D16"/>
      <selection pane="bottomLeft" activeCell="D16" sqref="D16"/>
      <selection pane="bottomRight" activeCell="F28" sqref="F28"/>
    </sheetView>
  </sheetViews>
  <sheetFormatPr baseColWidth="10" defaultColWidth="9.1640625" defaultRowHeight="15" x14ac:dyDescent="0.2"/>
  <cols>
    <col min="1" max="1" width="5.5" style="30" bestFit="1" customWidth="1"/>
    <col min="2" max="2" width="15.5" style="30" bestFit="1" customWidth="1"/>
    <col min="3" max="3" width="49.1640625" style="30" bestFit="1" customWidth="1"/>
    <col min="4" max="4" width="8.83203125" style="30" customWidth="1"/>
    <col min="5" max="5" width="12.6640625" style="30" customWidth="1"/>
    <col min="6" max="6" width="15.5" style="30" customWidth="1"/>
    <col min="7" max="7" width="6.5" style="30" customWidth="1"/>
    <col min="8" max="8" width="13.6640625" style="30" customWidth="1"/>
    <col min="9" max="9" width="12.5" style="30" bestFit="1" customWidth="1"/>
    <col min="10" max="10" width="13.6640625" style="30" customWidth="1"/>
    <col min="11" max="11" width="13.6640625" style="78" customWidth="1"/>
    <col min="12" max="12" width="11.6640625" style="30" customWidth="1"/>
    <col min="13" max="13" width="29.83203125" style="30" customWidth="1"/>
    <col min="14" max="21" width="13.6640625" style="30" customWidth="1"/>
    <col min="22" max="28" width="12.83203125" style="30" customWidth="1"/>
    <col min="29" max="29" width="38.1640625" style="30" customWidth="1"/>
    <col min="30" max="16384" width="9.1640625" style="30"/>
  </cols>
  <sheetData>
    <row r="1" spans="1:21" ht="26" x14ac:dyDescent="0.2">
      <c r="B1" s="107" t="s">
        <v>105</v>
      </c>
      <c r="C1" s="108"/>
      <c r="D1" s="108"/>
      <c r="E1" s="108"/>
      <c r="F1" s="108"/>
      <c r="G1" s="108"/>
      <c r="H1" s="108"/>
      <c r="I1" s="108"/>
      <c r="J1" s="108"/>
      <c r="K1" s="108"/>
      <c r="L1" s="108"/>
      <c r="M1" s="108"/>
      <c r="N1" s="108"/>
      <c r="O1" s="108"/>
      <c r="P1" s="108"/>
      <c r="Q1" s="108"/>
      <c r="R1" s="108"/>
      <c r="S1" s="108"/>
      <c r="T1" s="108"/>
      <c r="U1" s="108"/>
    </row>
    <row r="2" spans="1:21" x14ac:dyDescent="0.2">
      <c r="B2" s="101" t="s">
        <v>48</v>
      </c>
      <c r="C2" s="102"/>
      <c r="D2" s="109" t="s">
        <v>34</v>
      </c>
      <c r="E2" s="110"/>
      <c r="F2" s="110"/>
      <c r="G2" s="111"/>
      <c r="H2" s="112" t="s">
        <v>35</v>
      </c>
      <c r="I2" s="113"/>
      <c r="J2" s="114" t="s">
        <v>36</v>
      </c>
      <c r="K2" s="115"/>
      <c r="L2" s="33"/>
      <c r="M2" s="34"/>
      <c r="N2" s="34"/>
      <c r="O2" s="34"/>
      <c r="P2" s="34"/>
      <c r="Q2" s="34"/>
      <c r="R2" s="34"/>
      <c r="S2" s="34"/>
      <c r="T2" s="34"/>
      <c r="U2" s="34"/>
    </row>
    <row r="3" spans="1:21" x14ac:dyDescent="0.2">
      <c r="B3" s="101" t="str">
        <f>'Budget Summary'!B6</f>
        <v>Petroleum Institute</v>
      </c>
      <c r="C3" s="102"/>
      <c r="D3" s="103" t="s">
        <v>39</v>
      </c>
      <c r="E3" s="104"/>
      <c r="F3" s="105" t="s">
        <v>40</v>
      </c>
      <c r="G3" s="106"/>
      <c r="H3" s="27" t="s">
        <v>39</v>
      </c>
      <c r="I3" s="28" t="s">
        <v>40</v>
      </c>
      <c r="J3" s="27" t="s">
        <v>39</v>
      </c>
      <c r="K3" s="79" t="s">
        <v>40</v>
      </c>
      <c r="L3" s="34"/>
      <c r="M3" s="34"/>
      <c r="N3" s="34"/>
      <c r="O3" s="34"/>
      <c r="P3" s="34"/>
      <c r="Q3" s="34"/>
      <c r="R3" s="34"/>
      <c r="S3" s="34"/>
    </row>
    <row r="4" spans="1:21" x14ac:dyDescent="0.2">
      <c r="B4" s="130" t="s">
        <v>130</v>
      </c>
      <c r="C4" s="123"/>
      <c r="D4" s="124">
        <f>'Budget Summary'!F5</f>
        <v>0</v>
      </c>
      <c r="E4" s="125"/>
      <c r="F4" s="124">
        <f>'Budget Summary'!G5</f>
        <v>0</v>
      </c>
      <c r="G4" s="125"/>
      <c r="H4" s="46">
        <f>D39</f>
        <v>0</v>
      </c>
      <c r="I4" s="46">
        <f>E39</f>
        <v>0</v>
      </c>
      <c r="J4" s="44">
        <f>D4-H4</f>
        <v>0</v>
      </c>
      <c r="K4" s="80">
        <f>F4-I4</f>
        <v>0</v>
      </c>
      <c r="L4" s="34"/>
      <c r="M4" s="34"/>
      <c r="N4" s="34"/>
      <c r="O4" s="34"/>
      <c r="P4" s="34"/>
      <c r="Q4" s="34"/>
      <c r="R4" s="34"/>
      <c r="S4" s="34"/>
    </row>
    <row r="5" spans="1:21" x14ac:dyDescent="0.2">
      <c r="G5" s="126" t="s">
        <v>12</v>
      </c>
      <c r="H5" s="126"/>
      <c r="I5" s="126"/>
      <c r="J5" s="126"/>
      <c r="K5" s="126"/>
      <c r="L5" s="126"/>
      <c r="M5" s="52"/>
    </row>
    <row r="6" spans="1:21" x14ac:dyDescent="0.2">
      <c r="A6" s="116" t="s">
        <v>37</v>
      </c>
      <c r="B6" s="116" t="s">
        <v>65</v>
      </c>
      <c r="C6" s="118" t="s">
        <v>10</v>
      </c>
      <c r="D6" s="118" t="s">
        <v>66</v>
      </c>
      <c r="E6" s="118" t="s">
        <v>67</v>
      </c>
      <c r="F6" s="118" t="s">
        <v>68</v>
      </c>
      <c r="G6" s="127" t="s">
        <v>69</v>
      </c>
      <c r="H6" s="127" t="s">
        <v>70</v>
      </c>
      <c r="I6" s="127" t="s">
        <v>71</v>
      </c>
      <c r="J6" s="118" t="s">
        <v>19</v>
      </c>
      <c r="K6" s="128" t="s">
        <v>72</v>
      </c>
      <c r="L6" s="128" t="s">
        <v>73</v>
      </c>
      <c r="M6" s="120" t="s">
        <v>16</v>
      </c>
    </row>
    <row r="7" spans="1:21" x14ac:dyDescent="0.2">
      <c r="A7" s="117"/>
      <c r="B7" s="117"/>
      <c r="C7" s="119"/>
      <c r="D7" s="119"/>
      <c r="E7" s="119"/>
      <c r="F7" s="119"/>
      <c r="G7" s="127"/>
      <c r="H7" s="127"/>
      <c r="I7" s="127"/>
      <c r="J7" s="119"/>
      <c r="K7" s="129"/>
      <c r="L7" s="129"/>
      <c r="M7" s="121"/>
    </row>
    <row r="8" spans="1:21" ht="16" x14ac:dyDescent="0.2">
      <c r="A8" s="31">
        <v>1</v>
      </c>
      <c r="B8" s="53" t="str">
        <f>CONCATENATE("PETR-",LEFT("0000",4-LEN(ROW(A2)-1)),ROW(A2)-1)</f>
        <v>PETR-0001</v>
      </c>
      <c r="C8" s="11"/>
      <c r="D8" s="11"/>
      <c r="E8" s="67"/>
      <c r="F8" s="54"/>
      <c r="G8" s="55"/>
      <c r="H8" s="55"/>
      <c r="I8" s="55"/>
      <c r="J8" s="55"/>
      <c r="K8" s="70"/>
      <c r="L8" s="9"/>
      <c r="M8" s="3"/>
    </row>
    <row r="9" spans="1:21" ht="16" x14ac:dyDescent="0.2">
      <c r="A9" s="31">
        <v>2</v>
      </c>
      <c r="B9" s="53" t="str">
        <f t="shared" ref="B9:B38" si="0">CONCATENATE("PETR-",LEFT("0000",4-LEN(ROW(A3)-1)),ROW(A3)-1)</f>
        <v>PETR-0002</v>
      </c>
      <c r="C9" s="11"/>
      <c r="D9" s="11"/>
      <c r="E9" s="67"/>
      <c r="F9" s="54"/>
      <c r="G9" s="55"/>
      <c r="H9" s="55"/>
      <c r="I9" s="55"/>
      <c r="J9" s="55"/>
      <c r="K9" s="70"/>
      <c r="L9" s="9"/>
      <c r="M9" s="3"/>
    </row>
    <row r="10" spans="1:21" ht="16" x14ac:dyDescent="0.2">
      <c r="A10" s="31">
        <v>3</v>
      </c>
      <c r="B10" s="53" t="str">
        <f t="shared" si="0"/>
        <v>PETR-0003</v>
      </c>
      <c r="C10" s="11"/>
      <c r="D10" s="11"/>
      <c r="E10" s="67"/>
      <c r="F10" s="54"/>
      <c r="G10" s="55"/>
      <c r="H10" s="55"/>
      <c r="I10" s="55"/>
      <c r="J10" s="55"/>
      <c r="K10" s="70"/>
      <c r="L10" s="9"/>
      <c r="M10" s="3"/>
    </row>
    <row r="11" spans="1:21" ht="16" x14ac:dyDescent="0.2">
      <c r="A11" s="31">
        <v>4</v>
      </c>
      <c r="B11" s="53" t="str">
        <f t="shared" si="0"/>
        <v>PETR-0004</v>
      </c>
      <c r="C11" s="11"/>
      <c r="D11" s="11"/>
      <c r="E11" s="67"/>
      <c r="F11" s="54"/>
      <c r="G11" s="55"/>
      <c r="H11" s="55"/>
      <c r="I11" s="55"/>
      <c r="J11" s="55"/>
      <c r="K11" s="70"/>
      <c r="L11" s="9"/>
      <c r="M11" s="3"/>
    </row>
    <row r="12" spans="1:21" ht="16" x14ac:dyDescent="0.2">
      <c r="A12" s="31">
        <v>5</v>
      </c>
      <c r="B12" s="53" t="str">
        <f t="shared" si="0"/>
        <v>PETR-0005</v>
      </c>
      <c r="C12" s="11"/>
      <c r="D12" s="11"/>
      <c r="E12" s="67"/>
      <c r="F12" s="54"/>
      <c r="G12" s="55"/>
      <c r="H12" s="55"/>
      <c r="I12" s="55"/>
      <c r="J12" s="55"/>
      <c r="K12" s="70"/>
      <c r="L12" s="9"/>
      <c r="M12" s="3"/>
    </row>
    <row r="13" spans="1:21" ht="16" x14ac:dyDescent="0.2">
      <c r="A13" s="31">
        <v>6</v>
      </c>
      <c r="B13" s="53" t="str">
        <f t="shared" si="0"/>
        <v>PETR-0006</v>
      </c>
      <c r="C13" s="11"/>
      <c r="D13" s="11"/>
      <c r="E13" s="67"/>
      <c r="F13" s="54"/>
      <c r="G13" s="55"/>
      <c r="H13" s="55"/>
      <c r="I13" s="55"/>
      <c r="J13" s="55"/>
      <c r="K13" s="70"/>
      <c r="L13" s="9"/>
      <c r="M13" s="3"/>
    </row>
    <row r="14" spans="1:21" ht="16" x14ac:dyDescent="0.2">
      <c r="A14" s="31">
        <v>7</v>
      </c>
      <c r="B14" s="53" t="str">
        <f t="shared" si="0"/>
        <v>PETR-0007</v>
      </c>
      <c r="C14" s="11"/>
      <c r="D14" s="11"/>
      <c r="E14" s="67"/>
      <c r="F14" s="54"/>
      <c r="G14" s="55"/>
      <c r="H14" s="55"/>
      <c r="I14" s="55"/>
      <c r="J14" s="55"/>
      <c r="K14" s="70"/>
      <c r="L14" s="9"/>
      <c r="M14" s="3"/>
    </row>
    <row r="15" spans="1:21" ht="16" x14ac:dyDescent="0.2">
      <c r="A15" s="31">
        <v>8</v>
      </c>
      <c r="B15" s="53" t="str">
        <f t="shared" si="0"/>
        <v>PETR-0008</v>
      </c>
      <c r="C15" s="11"/>
      <c r="D15" s="11"/>
      <c r="E15" s="67"/>
      <c r="F15" s="54"/>
      <c r="G15" s="55"/>
      <c r="H15" s="55"/>
      <c r="I15" s="55"/>
      <c r="J15" s="55"/>
      <c r="K15" s="70"/>
      <c r="L15" s="9"/>
      <c r="M15" s="3"/>
    </row>
    <row r="16" spans="1:21" ht="16" x14ac:dyDescent="0.2">
      <c r="A16" s="31">
        <v>9</v>
      </c>
      <c r="B16" s="53" t="str">
        <f t="shared" si="0"/>
        <v>PETR-0009</v>
      </c>
      <c r="C16" s="11"/>
      <c r="D16" s="11"/>
      <c r="E16" s="67"/>
      <c r="F16" s="54"/>
      <c r="G16" s="55"/>
      <c r="H16" s="55"/>
      <c r="I16" s="55"/>
      <c r="J16" s="55"/>
      <c r="K16" s="70"/>
      <c r="L16" s="9"/>
      <c r="M16" s="3"/>
    </row>
    <row r="17" spans="1:13" ht="16" x14ac:dyDescent="0.2">
      <c r="A17" s="31">
        <v>10</v>
      </c>
      <c r="B17" s="53" t="str">
        <f t="shared" si="0"/>
        <v>PETR-0010</v>
      </c>
      <c r="C17" s="11"/>
      <c r="D17" s="11"/>
      <c r="E17" s="67"/>
      <c r="F17" s="54"/>
      <c r="G17" s="55"/>
      <c r="H17" s="55"/>
      <c r="I17" s="55"/>
      <c r="J17" s="55"/>
      <c r="K17" s="70"/>
      <c r="L17" s="9"/>
      <c r="M17" s="3"/>
    </row>
    <row r="18" spans="1:13" ht="16" x14ac:dyDescent="0.2">
      <c r="A18" s="31">
        <v>11</v>
      </c>
      <c r="B18" s="53" t="str">
        <f t="shared" si="0"/>
        <v>PETR-0011</v>
      </c>
      <c r="C18" s="11"/>
      <c r="D18" s="11"/>
      <c r="E18" s="67"/>
      <c r="F18" s="54"/>
      <c r="G18" s="55"/>
      <c r="H18" s="55"/>
      <c r="I18" s="55"/>
      <c r="J18" s="55"/>
      <c r="K18" s="70"/>
      <c r="L18" s="9"/>
      <c r="M18" s="3"/>
    </row>
    <row r="19" spans="1:13" ht="16" x14ac:dyDescent="0.2">
      <c r="A19" s="31">
        <v>12</v>
      </c>
      <c r="B19" s="53" t="str">
        <f t="shared" si="0"/>
        <v>PETR-0012</v>
      </c>
      <c r="C19" s="11"/>
      <c r="D19" s="11"/>
      <c r="E19" s="67"/>
      <c r="F19" s="54"/>
      <c r="G19" s="55"/>
      <c r="H19" s="55"/>
      <c r="I19" s="55"/>
      <c r="J19" s="55"/>
      <c r="K19" s="70"/>
      <c r="L19" s="9"/>
      <c r="M19" s="3"/>
    </row>
    <row r="20" spans="1:13" ht="16" x14ac:dyDescent="0.2">
      <c r="A20" s="31">
        <v>13</v>
      </c>
      <c r="B20" s="53" t="str">
        <f t="shared" si="0"/>
        <v>PETR-0013</v>
      </c>
      <c r="C20" s="11"/>
      <c r="D20" s="11"/>
      <c r="E20" s="67"/>
      <c r="F20" s="54"/>
      <c r="G20" s="55"/>
      <c r="H20" s="55"/>
      <c r="I20" s="55"/>
      <c r="J20" s="55"/>
      <c r="K20" s="70"/>
      <c r="L20" s="9"/>
      <c r="M20" s="3"/>
    </row>
    <row r="21" spans="1:13" ht="16" x14ac:dyDescent="0.2">
      <c r="A21" s="31">
        <v>14</v>
      </c>
      <c r="B21" s="53" t="str">
        <f t="shared" si="0"/>
        <v>PETR-0014</v>
      </c>
      <c r="C21" s="11"/>
      <c r="D21" s="11"/>
      <c r="E21" s="67"/>
      <c r="F21" s="54"/>
      <c r="G21" s="55"/>
      <c r="H21" s="55"/>
      <c r="I21" s="55"/>
      <c r="J21" s="55"/>
      <c r="K21" s="70"/>
      <c r="L21" s="9"/>
      <c r="M21" s="3"/>
    </row>
    <row r="22" spans="1:13" ht="16" x14ac:dyDescent="0.2">
      <c r="A22" s="31">
        <v>15</v>
      </c>
      <c r="B22" s="53" t="str">
        <f t="shared" si="0"/>
        <v>PETR-0015</v>
      </c>
      <c r="C22" s="11"/>
      <c r="D22" s="11"/>
      <c r="E22" s="67"/>
      <c r="F22" s="54"/>
      <c r="G22" s="55"/>
      <c r="H22" s="55"/>
      <c r="I22" s="55"/>
      <c r="J22" s="55"/>
      <c r="K22" s="70"/>
      <c r="L22" s="9"/>
      <c r="M22" s="3"/>
    </row>
    <row r="23" spans="1:13" ht="16" x14ac:dyDescent="0.2">
      <c r="A23" s="31">
        <v>16</v>
      </c>
      <c r="B23" s="53" t="str">
        <f t="shared" si="0"/>
        <v>PETR-0016</v>
      </c>
      <c r="C23" s="11"/>
      <c r="D23" s="11"/>
      <c r="E23" s="67"/>
      <c r="F23" s="54"/>
      <c r="G23" s="55"/>
      <c r="H23" s="55"/>
      <c r="I23" s="55"/>
      <c r="J23" s="55"/>
      <c r="K23" s="70"/>
      <c r="L23" s="9"/>
      <c r="M23" s="3"/>
    </row>
    <row r="24" spans="1:13" ht="16" x14ac:dyDescent="0.2">
      <c r="A24" s="31">
        <v>17</v>
      </c>
      <c r="B24" s="53" t="str">
        <f t="shared" si="0"/>
        <v>PETR-0017</v>
      </c>
      <c r="C24" s="11"/>
      <c r="D24" s="11"/>
      <c r="E24" s="67"/>
      <c r="F24" s="54"/>
      <c r="G24" s="55"/>
      <c r="H24" s="55"/>
      <c r="I24" s="55"/>
      <c r="J24" s="55"/>
      <c r="K24" s="70"/>
      <c r="L24" s="9"/>
      <c r="M24" s="3"/>
    </row>
    <row r="25" spans="1:13" ht="16" x14ac:dyDescent="0.2">
      <c r="A25" s="31">
        <v>18</v>
      </c>
      <c r="B25" s="53" t="str">
        <f t="shared" si="0"/>
        <v>PETR-0018</v>
      </c>
      <c r="C25" s="11"/>
      <c r="D25" s="11"/>
      <c r="E25" s="67"/>
      <c r="F25" s="54"/>
      <c r="G25" s="55"/>
      <c r="H25" s="55"/>
      <c r="I25" s="55"/>
      <c r="J25" s="55"/>
      <c r="K25" s="70"/>
      <c r="L25" s="9"/>
      <c r="M25" s="3"/>
    </row>
    <row r="26" spans="1:13" ht="16" x14ac:dyDescent="0.2">
      <c r="A26" s="31">
        <v>19</v>
      </c>
      <c r="B26" s="53" t="str">
        <f t="shared" si="0"/>
        <v>PETR-0019</v>
      </c>
      <c r="C26" s="11"/>
      <c r="D26" s="11"/>
      <c r="E26" s="67"/>
      <c r="F26" s="54"/>
      <c r="G26" s="55"/>
      <c r="H26" s="55"/>
      <c r="I26" s="55"/>
      <c r="J26" s="55"/>
      <c r="K26" s="70"/>
      <c r="L26" s="9"/>
      <c r="M26" s="3"/>
    </row>
    <row r="27" spans="1:13" ht="16" x14ac:dyDescent="0.2">
      <c r="A27" s="31">
        <v>20</v>
      </c>
      <c r="B27" s="53" t="str">
        <f t="shared" si="0"/>
        <v>PETR-0020</v>
      </c>
      <c r="C27" s="11"/>
      <c r="D27" s="11"/>
      <c r="E27" s="67"/>
      <c r="F27" s="54"/>
      <c r="G27" s="55"/>
      <c r="H27" s="55"/>
      <c r="I27" s="55"/>
      <c r="J27" s="55"/>
      <c r="K27" s="70"/>
      <c r="L27" s="9"/>
      <c r="M27" s="3"/>
    </row>
    <row r="28" spans="1:13" ht="16" x14ac:dyDescent="0.2">
      <c r="A28" s="31">
        <v>21</v>
      </c>
      <c r="B28" s="53" t="str">
        <f t="shared" si="0"/>
        <v>PETR-0021</v>
      </c>
      <c r="C28" s="11"/>
      <c r="D28" s="11"/>
      <c r="E28" s="67"/>
      <c r="F28" s="54"/>
      <c r="G28" s="55"/>
      <c r="H28" s="55"/>
      <c r="I28" s="55"/>
      <c r="J28" s="55"/>
      <c r="K28" s="70"/>
      <c r="L28" s="9"/>
      <c r="M28" s="3"/>
    </row>
    <row r="29" spans="1:13" ht="16" x14ac:dyDescent="0.2">
      <c r="A29" s="31">
        <v>22</v>
      </c>
      <c r="B29" s="53" t="str">
        <f t="shared" si="0"/>
        <v>PETR-0022</v>
      </c>
      <c r="C29" s="11"/>
      <c r="D29" s="11"/>
      <c r="E29" s="67"/>
      <c r="F29" s="54"/>
      <c r="G29" s="55"/>
      <c r="H29" s="55"/>
      <c r="I29" s="55"/>
      <c r="J29" s="55"/>
      <c r="K29" s="70"/>
      <c r="L29" s="9"/>
      <c r="M29" s="3"/>
    </row>
    <row r="30" spans="1:13" ht="16" x14ac:dyDescent="0.2">
      <c r="A30" s="31">
        <v>23</v>
      </c>
      <c r="B30" s="53" t="str">
        <f t="shared" si="0"/>
        <v>PETR-0023</v>
      </c>
      <c r="C30" s="11"/>
      <c r="D30" s="11"/>
      <c r="E30" s="67"/>
      <c r="F30" s="54"/>
      <c r="G30" s="55"/>
      <c r="H30" s="55"/>
      <c r="I30" s="55"/>
      <c r="J30" s="55"/>
      <c r="K30" s="70"/>
      <c r="L30" s="9"/>
      <c r="M30" s="3"/>
    </row>
    <row r="31" spans="1:13" ht="16" x14ac:dyDescent="0.2">
      <c r="A31" s="31">
        <v>24</v>
      </c>
      <c r="B31" s="53" t="str">
        <f t="shared" si="0"/>
        <v>PETR-0024</v>
      </c>
      <c r="C31" s="11"/>
      <c r="D31" s="11"/>
      <c r="E31" s="67"/>
      <c r="F31" s="54"/>
      <c r="G31" s="55"/>
      <c r="H31" s="55"/>
      <c r="I31" s="55"/>
      <c r="J31" s="55"/>
      <c r="K31" s="70"/>
      <c r="L31" s="9"/>
      <c r="M31" s="3"/>
    </row>
    <row r="32" spans="1:13" ht="16" x14ac:dyDescent="0.2">
      <c r="A32" s="31">
        <v>25</v>
      </c>
      <c r="B32" s="53" t="str">
        <f t="shared" si="0"/>
        <v>PETR-0025</v>
      </c>
      <c r="C32" s="11"/>
      <c r="D32" s="11"/>
      <c r="E32" s="67"/>
      <c r="F32" s="54"/>
      <c r="G32" s="55"/>
      <c r="H32" s="55"/>
      <c r="I32" s="55"/>
      <c r="J32" s="55"/>
      <c r="K32" s="70"/>
      <c r="L32" s="9"/>
      <c r="M32" s="3"/>
    </row>
    <row r="33" spans="1:13" ht="16" x14ac:dyDescent="0.2">
      <c r="A33" s="31">
        <v>26</v>
      </c>
      <c r="B33" s="53" t="str">
        <f t="shared" si="0"/>
        <v>PETR-0026</v>
      </c>
      <c r="C33" s="11"/>
      <c r="D33" s="11"/>
      <c r="E33" s="67"/>
      <c r="F33" s="54"/>
      <c r="G33" s="55"/>
      <c r="H33" s="55"/>
      <c r="I33" s="55"/>
      <c r="J33" s="55"/>
      <c r="K33" s="70"/>
      <c r="L33" s="9"/>
      <c r="M33" s="3"/>
    </row>
    <row r="34" spans="1:13" ht="16" x14ac:dyDescent="0.2">
      <c r="A34" s="31">
        <v>27</v>
      </c>
      <c r="B34" s="53" t="str">
        <f t="shared" si="0"/>
        <v>PETR-0027</v>
      </c>
      <c r="C34" s="11"/>
      <c r="D34" s="11"/>
      <c r="E34" s="67"/>
      <c r="F34" s="54"/>
      <c r="G34" s="55"/>
      <c r="H34" s="55"/>
      <c r="I34" s="55"/>
      <c r="J34" s="55"/>
      <c r="K34" s="70"/>
      <c r="L34" s="9"/>
      <c r="M34" s="3"/>
    </row>
    <row r="35" spans="1:13" ht="16" x14ac:dyDescent="0.2">
      <c r="A35" s="31">
        <v>28</v>
      </c>
      <c r="B35" s="53" t="str">
        <f t="shared" si="0"/>
        <v>PETR-0028</v>
      </c>
      <c r="C35" s="11"/>
      <c r="D35" s="11"/>
      <c r="E35" s="67"/>
      <c r="F35" s="54"/>
      <c r="G35" s="55"/>
      <c r="H35" s="55"/>
      <c r="I35" s="55"/>
      <c r="J35" s="55"/>
      <c r="K35" s="70"/>
      <c r="L35" s="9"/>
      <c r="M35" s="3"/>
    </row>
    <row r="36" spans="1:13" ht="16" x14ac:dyDescent="0.2">
      <c r="A36" s="31">
        <v>29</v>
      </c>
      <c r="B36" s="53" t="str">
        <f t="shared" si="0"/>
        <v>PETR-0029</v>
      </c>
      <c r="C36" s="11"/>
      <c r="D36" s="11"/>
      <c r="E36" s="67"/>
      <c r="F36" s="54"/>
      <c r="G36" s="55"/>
      <c r="H36" s="55"/>
      <c r="I36" s="55"/>
      <c r="J36" s="55"/>
      <c r="K36" s="70"/>
      <c r="L36" s="9"/>
      <c r="M36" s="3"/>
    </row>
    <row r="37" spans="1:13" ht="16" x14ac:dyDescent="0.2">
      <c r="A37" s="31">
        <v>30</v>
      </c>
      <c r="B37" s="53" t="str">
        <f t="shared" si="0"/>
        <v>PETR-0030</v>
      </c>
      <c r="C37" s="11"/>
      <c r="D37" s="11"/>
      <c r="E37" s="67"/>
      <c r="F37" s="54"/>
      <c r="G37" s="55"/>
      <c r="H37" s="55"/>
      <c r="I37" s="55"/>
      <c r="J37" s="55"/>
      <c r="K37" s="70"/>
      <c r="L37" s="9"/>
      <c r="M37" s="3"/>
    </row>
    <row r="38" spans="1:13" ht="16" x14ac:dyDescent="0.2">
      <c r="A38" s="31">
        <v>31</v>
      </c>
      <c r="B38" s="53" t="str">
        <f t="shared" si="0"/>
        <v>PETR-0031</v>
      </c>
      <c r="C38" s="11"/>
      <c r="D38" s="11"/>
      <c r="E38" s="67"/>
      <c r="F38" s="54"/>
      <c r="G38" s="55"/>
      <c r="H38" s="55"/>
      <c r="I38" s="55"/>
      <c r="J38" s="55"/>
      <c r="K38" s="70"/>
      <c r="L38" s="9"/>
      <c r="M38" s="3"/>
    </row>
    <row r="39" spans="1:13" ht="16" thickBot="1" x14ac:dyDescent="0.25">
      <c r="A39" s="47"/>
      <c r="B39" s="47"/>
      <c r="C39" s="68" t="s">
        <v>49</v>
      </c>
      <c r="D39" s="69">
        <f>SUM(D8:D38)</f>
        <v>0</v>
      </c>
      <c r="E39" s="69">
        <f>SUM(E8:E38)</f>
        <v>0</v>
      </c>
      <c r="F39" s="68"/>
      <c r="G39" s="68"/>
      <c r="H39" s="68"/>
      <c r="I39" s="68"/>
      <c r="J39" s="68"/>
      <c r="K39" s="71"/>
      <c r="L39" s="68"/>
      <c r="M39" s="68"/>
    </row>
    <row r="40" spans="1:13" ht="16" thickTop="1" x14ac:dyDescent="0.2"/>
  </sheetData>
  <mergeCells count="25">
    <mergeCell ref="B3:C3"/>
    <mergeCell ref="D3:E3"/>
    <mergeCell ref="F3:G3"/>
    <mergeCell ref="B1:U1"/>
    <mergeCell ref="B2:C2"/>
    <mergeCell ref="D2:G2"/>
    <mergeCell ref="H2:I2"/>
    <mergeCell ref="J2:K2"/>
    <mergeCell ref="B4:C4"/>
    <mergeCell ref="D4:E4"/>
    <mergeCell ref="F4:G4"/>
    <mergeCell ref="G5:L5"/>
    <mergeCell ref="A6:A7"/>
    <mergeCell ref="B6:B7"/>
    <mergeCell ref="C6:C7"/>
    <mergeCell ref="D6:D7"/>
    <mergeCell ref="E6:E7"/>
    <mergeCell ref="F6:F7"/>
    <mergeCell ref="M6:M7"/>
    <mergeCell ref="G6:G7"/>
    <mergeCell ref="H6:H7"/>
    <mergeCell ref="I6:I7"/>
    <mergeCell ref="J6:J7"/>
    <mergeCell ref="K6:K7"/>
    <mergeCell ref="L6:L7"/>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500-000000000000}">
          <x14:formula1>
            <xm:f>'Macro-Sheet'!$C$2:$C$7</xm:f>
          </x14:formula1>
          <xm:sqref>F8:F38</xm:sqref>
        </x14:dataValidation>
        <x14:dataValidation type="list" allowBlank="1" showInputMessage="1" showErrorMessage="1" xr:uid="{00000000-0002-0000-0500-000001000000}">
          <x14:formula1>
            <xm:f>'Macro-Sheet'!$I$2:$I$7</xm:f>
          </x14:formula1>
          <xm:sqref>G8:G38</xm:sqref>
        </x14:dataValidation>
        <x14:dataValidation type="list" allowBlank="1" showInputMessage="1" showErrorMessage="1" xr:uid="{00000000-0002-0000-0500-000002000000}">
          <x14:formula1>
            <xm:f>'Macro-Sheet'!$J$2:$J$14</xm:f>
          </x14:formula1>
          <xm:sqref>H8:H38</xm:sqref>
        </x14:dataValidation>
        <x14:dataValidation type="list" allowBlank="1" showInputMessage="1" showErrorMessage="1" xr:uid="{00000000-0002-0000-0500-000003000000}">
          <x14:formula1>
            <xm:f>'Macro-Sheet'!$K$2:$K$33</xm:f>
          </x14:formula1>
          <xm:sqref>I8:I38</xm:sqref>
        </x14:dataValidation>
        <x14:dataValidation type="list" allowBlank="1" showInputMessage="1" showErrorMessage="1" xr:uid="{00000000-0002-0000-0500-000004000000}">
          <x14:formula1>
            <xm:f>'Macro-Sheet'!$E$2:$E$6</xm:f>
          </x14:formula1>
          <xm:sqref>J8:J38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40"/>
  <sheetViews>
    <sheetView workbookViewId="0">
      <pane xSplit="3" ySplit="7" topLeftCell="D8" activePane="bottomRight" state="frozen"/>
      <selection activeCell="D16" sqref="D16"/>
      <selection pane="topRight" activeCell="D16" sqref="D16"/>
      <selection pane="bottomLeft" activeCell="D16" sqref="D16"/>
      <selection pane="bottomRight" activeCell="B8" sqref="B8:B38"/>
    </sheetView>
  </sheetViews>
  <sheetFormatPr baseColWidth="10" defaultColWidth="9.1640625" defaultRowHeight="15" x14ac:dyDescent="0.2"/>
  <cols>
    <col min="1" max="1" width="5.5" style="30" bestFit="1" customWidth="1"/>
    <col min="2" max="2" width="11.5" style="30" customWidth="1"/>
    <col min="3" max="3" width="49.1640625" style="30" bestFit="1" customWidth="1"/>
    <col min="4" max="4" width="8.83203125" style="30" customWidth="1"/>
    <col min="5" max="5" width="12.6640625" style="30" customWidth="1"/>
    <col min="6" max="6" width="15.5" style="30" customWidth="1"/>
    <col min="7" max="7" width="6.5" style="30" customWidth="1"/>
    <col min="8" max="8" width="13.6640625" style="30" customWidth="1"/>
    <col min="9" max="9" width="12.5" style="30" bestFit="1" customWidth="1"/>
    <col min="10" max="10" width="13.6640625" style="30" customWidth="1"/>
    <col min="11" max="11" width="13.6640625" style="78" customWidth="1"/>
    <col min="12" max="12" width="11.6640625" style="30" customWidth="1"/>
    <col min="13" max="13" width="29.83203125" style="30" customWidth="1"/>
    <col min="14" max="21" width="13.6640625" style="30" customWidth="1"/>
    <col min="22" max="28" width="12.83203125" style="30" customWidth="1"/>
    <col min="29" max="29" width="38.1640625" style="30" customWidth="1"/>
    <col min="30" max="16384" width="9.1640625" style="30"/>
  </cols>
  <sheetData>
    <row r="1" spans="1:21" ht="26" x14ac:dyDescent="0.2">
      <c r="B1" s="107" t="s">
        <v>105</v>
      </c>
      <c r="C1" s="108"/>
      <c r="D1" s="108"/>
      <c r="E1" s="108"/>
      <c r="F1" s="108"/>
      <c r="G1" s="108"/>
      <c r="H1" s="108"/>
      <c r="I1" s="108"/>
      <c r="J1" s="108"/>
      <c r="K1" s="108"/>
      <c r="L1" s="108"/>
      <c r="M1" s="108"/>
      <c r="N1" s="108"/>
      <c r="O1" s="108"/>
      <c r="P1" s="108"/>
      <c r="Q1" s="108"/>
      <c r="R1" s="108"/>
      <c r="S1" s="108"/>
      <c r="T1" s="108"/>
      <c r="U1" s="108"/>
    </row>
    <row r="2" spans="1:21" x14ac:dyDescent="0.2">
      <c r="B2" s="101" t="s">
        <v>48</v>
      </c>
      <c r="C2" s="102"/>
      <c r="D2" s="109" t="s">
        <v>34</v>
      </c>
      <c r="E2" s="110"/>
      <c r="F2" s="110"/>
      <c r="G2" s="111"/>
      <c r="H2" s="112" t="s">
        <v>35</v>
      </c>
      <c r="I2" s="113"/>
      <c r="J2" s="114" t="s">
        <v>36</v>
      </c>
      <c r="K2" s="115"/>
      <c r="L2" s="33"/>
      <c r="M2" s="34"/>
      <c r="N2" s="34"/>
      <c r="O2" s="34"/>
      <c r="P2" s="34"/>
      <c r="Q2" s="34"/>
      <c r="R2" s="34"/>
      <c r="S2" s="34"/>
      <c r="T2" s="34"/>
      <c r="U2" s="34"/>
    </row>
    <row r="3" spans="1:21" x14ac:dyDescent="0.2">
      <c r="B3" s="101" t="str">
        <f>'Budget Summary'!B7</f>
        <v>Masdar Institute</v>
      </c>
      <c r="C3" s="102"/>
      <c r="D3" s="103" t="s">
        <v>39</v>
      </c>
      <c r="E3" s="104"/>
      <c r="F3" s="105" t="s">
        <v>40</v>
      </c>
      <c r="G3" s="106"/>
      <c r="H3" s="27" t="s">
        <v>39</v>
      </c>
      <c r="I3" s="28" t="s">
        <v>40</v>
      </c>
      <c r="J3" s="27" t="s">
        <v>39</v>
      </c>
      <c r="K3" s="79" t="s">
        <v>40</v>
      </c>
      <c r="L3" s="34"/>
      <c r="M3" s="34"/>
      <c r="N3" s="34"/>
      <c r="O3" s="34"/>
      <c r="P3" s="34"/>
      <c r="Q3" s="34"/>
      <c r="R3" s="34"/>
      <c r="S3" s="34"/>
    </row>
    <row r="4" spans="1:21" x14ac:dyDescent="0.2">
      <c r="B4" s="130" t="s">
        <v>131</v>
      </c>
      <c r="C4" s="123"/>
      <c r="D4" s="124">
        <f>'Budget Summary'!F5</f>
        <v>0</v>
      </c>
      <c r="E4" s="125"/>
      <c r="F4" s="124">
        <f>'Budget Summary'!G5</f>
        <v>0</v>
      </c>
      <c r="G4" s="125"/>
      <c r="H4" s="46">
        <f>D39</f>
        <v>0</v>
      </c>
      <c r="I4" s="46">
        <f>E39</f>
        <v>0</v>
      </c>
      <c r="J4" s="44">
        <f>D4-H4</f>
        <v>0</v>
      </c>
      <c r="K4" s="80">
        <f>F4-I4</f>
        <v>0</v>
      </c>
      <c r="L4" s="34"/>
      <c r="M4" s="34"/>
      <c r="N4" s="34"/>
      <c r="O4" s="34"/>
      <c r="P4" s="34"/>
      <c r="Q4" s="34"/>
      <c r="R4" s="34"/>
      <c r="S4" s="34"/>
    </row>
    <row r="5" spans="1:21" x14ac:dyDescent="0.2">
      <c r="G5" s="126" t="s">
        <v>12</v>
      </c>
      <c r="H5" s="126"/>
      <c r="I5" s="126"/>
      <c r="J5" s="126"/>
      <c r="K5" s="126"/>
      <c r="L5" s="126"/>
      <c r="M5" s="52"/>
    </row>
    <row r="6" spans="1:21" x14ac:dyDescent="0.2">
      <c r="A6" s="116" t="s">
        <v>37</v>
      </c>
      <c r="B6" s="116" t="s">
        <v>65</v>
      </c>
      <c r="C6" s="118" t="s">
        <v>10</v>
      </c>
      <c r="D6" s="118" t="s">
        <v>66</v>
      </c>
      <c r="E6" s="118" t="s">
        <v>67</v>
      </c>
      <c r="F6" s="118" t="s">
        <v>68</v>
      </c>
      <c r="G6" s="127" t="s">
        <v>69</v>
      </c>
      <c r="H6" s="127" t="s">
        <v>70</v>
      </c>
      <c r="I6" s="127" t="s">
        <v>71</v>
      </c>
      <c r="J6" s="118" t="s">
        <v>19</v>
      </c>
      <c r="K6" s="128" t="s">
        <v>72</v>
      </c>
      <c r="L6" s="128" t="s">
        <v>73</v>
      </c>
      <c r="M6" s="120" t="s">
        <v>16</v>
      </c>
    </row>
    <row r="7" spans="1:21" x14ac:dyDescent="0.2">
      <c r="A7" s="117"/>
      <c r="B7" s="117"/>
      <c r="C7" s="119"/>
      <c r="D7" s="119"/>
      <c r="E7" s="119"/>
      <c r="F7" s="119"/>
      <c r="G7" s="127"/>
      <c r="H7" s="127"/>
      <c r="I7" s="127"/>
      <c r="J7" s="119"/>
      <c r="K7" s="129"/>
      <c r="L7" s="129"/>
      <c r="M7" s="121"/>
    </row>
    <row r="8" spans="1:21" ht="16" x14ac:dyDescent="0.2">
      <c r="A8" s="31">
        <v>1</v>
      </c>
      <c r="B8" s="53" t="str">
        <f>CONCATENATE("MASIN-",LEFT("0000",4-LEN(ROW(A2)-1)),ROW(A2)-1)</f>
        <v>MASIN-0001</v>
      </c>
      <c r="C8" s="11"/>
      <c r="D8" s="11"/>
      <c r="E8" s="67"/>
      <c r="F8" s="54"/>
      <c r="G8" s="55"/>
      <c r="H8" s="55"/>
      <c r="I8" s="55"/>
      <c r="J8" s="55"/>
      <c r="K8" s="70"/>
      <c r="L8" s="9"/>
      <c r="M8" s="3"/>
    </row>
    <row r="9" spans="1:21" ht="16" x14ac:dyDescent="0.2">
      <c r="A9" s="31">
        <v>2</v>
      </c>
      <c r="B9" s="53" t="str">
        <f t="shared" ref="B9:B38" si="0">CONCATENATE("MASIN-",LEFT("0000",4-LEN(ROW(A3)-1)),ROW(A3)-1)</f>
        <v>MASIN-0002</v>
      </c>
      <c r="C9" s="11"/>
      <c r="D9" s="11"/>
      <c r="E9" s="67"/>
      <c r="F9" s="54"/>
      <c r="G9" s="55"/>
      <c r="H9" s="55"/>
      <c r="I9" s="55"/>
      <c r="J9" s="55"/>
      <c r="K9" s="70"/>
      <c r="L9" s="9"/>
      <c r="M9" s="3"/>
    </row>
    <row r="10" spans="1:21" ht="16" x14ac:dyDescent="0.2">
      <c r="A10" s="31">
        <v>3</v>
      </c>
      <c r="B10" s="53" t="str">
        <f t="shared" si="0"/>
        <v>MASIN-0003</v>
      </c>
      <c r="C10" s="11"/>
      <c r="D10" s="11"/>
      <c r="E10" s="67"/>
      <c r="F10" s="54"/>
      <c r="G10" s="55"/>
      <c r="H10" s="55"/>
      <c r="I10" s="55"/>
      <c r="J10" s="55"/>
      <c r="K10" s="70"/>
      <c r="L10" s="9"/>
      <c r="M10" s="3"/>
    </row>
    <row r="11" spans="1:21" ht="16" x14ac:dyDescent="0.2">
      <c r="A11" s="31">
        <v>4</v>
      </c>
      <c r="B11" s="53" t="str">
        <f t="shared" si="0"/>
        <v>MASIN-0004</v>
      </c>
      <c r="C11" s="11"/>
      <c r="D11" s="11"/>
      <c r="E11" s="67"/>
      <c r="F11" s="54"/>
      <c r="G11" s="55"/>
      <c r="H11" s="55"/>
      <c r="I11" s="55"/>
      <c r="J11" s="55"/>
      <c r="K11" s="70"/>
      <c r="L11" s="9"/>
      <c r="M11" s="3"/>
    </row>
    <row r="12" spans="1:21" ht="16" x14ac:dyDescent="0.2">
      <c r="A12" s="31">
        <v>5</v>
      </c>
      <c r="B12" s="53" t="str">
        <f t="shared" si="0"/>
        <v>MASIN-0005</v>
      </c>
      <c r="C12" s="11"/>
      <c r="D12" s="11"/>
      <c r="E12" s="67"/>
      <c r="F12" s="54"/>
      <c r="G12" s="55"/>
      <c r="H12" s="55"/>
      <c r="I12" s="55"/>
      <c r="J12" s="55"/>
      <c r="K12" s="70"/>
      <c r="L12" s="9"/>
      <c r="M12" s="3"/>
    </row>
    <row r="13" spans="1:21" ht="16" x14ac:dyDescent="0.2">
      <c r="A13" s="31">
        <v>6</v>
      </c>
      <c r="B13" s="53" t="str">
        <f t="shared" si="0"/>
        <v>MASIN-0006</v>
      </c>
      <c r="C13" s="11"/>
      <c r="D13" s="11"/>
      <c r="E13" s="67"/>
      <c r="F13" s="54"/>
      <c r="G13" s="55"/>
      <c r="H13" s="55"/>
      <c r="I13" s="55"/>
      <c r="J13" s="55"/>
      <c r="K13" s="70"/>
      <c r="L13" s="9"/>
      <c r="M13" s="3"/>
    </row>
    <row r="14" spans="1:21" ht="16" x14ac:dyDescent="0.2">
      <c r="A14" s="31">
        <v>7</v>
      </c>
      <c r="B14" s="53" t="str">
        <f t="shared" si="0"/>
        <v>MASIN-0007</v>
      </c>
      <c r="C14" s="11"/>
      <c r="D14" s="11"/>
      <c r="E14" s="67"/>
      <c r="F14" s="54"/>
      <c r="G14" s="55"/>
      <c r="H14" s="55"/>
      <c r="I14" s="55"/>
      <c r="J14" s="55"/>
      <c r="K14" s="70"/>
      <c r="L14" s="9"/>
      <c r="M14" s="3"/>
    </row>
    <row r="15" spans="1:21" ht="16" x14ac:dyDescent="0.2">
      <c r="A15" s="31">
        <v>8</v>
      </c>
      <c r="B15" s="53" t="str">
        <f t="shared" si="0"/>
        <v>MASIN-0008</v>
      </c>
      <c r="C15" s="11"/>
      <c r="D15" s="11"/>
      <c r="E15" s="67"/>
      <c r="F15" s="54"/>
      <c r="G15" s="55"/>
      <c r="H15" s="55"/>
      <c r="I15" s="55"/>
      <c r="J15" s="55"/>
      <c r="K15" s="70"/>
      <c r="L15" s="9"/>
      <c r="M15" s="3"/>
    </row>
    <row r="16" spans="1:21" ht="16" x14ac:dyDescent="0.2">
      <c r="A16" s="31">
        <v>9</v>
      </c>
      <c r="B16" s="53" t="str">
        <f t="shared" si="0"/>
        <v>MASIN-0009</v>
      </c>
      <c r="C16" s="11"/>
      <c r="D16" s="11"/>
      <c r="E16" s="67"/>
      <c r="F16" s="54"/>
      <c r="G16" s="55"/>
      <c r="H16" s="55"/>
      <c r="I16" s="55"/>
      <c r="J16" s="55"/>
      <c r="K16" s="70"/>
      <c r="L16" s="9"/>
      <c r="M16" s="3"/>
    </row>
    <row r="17" spans="1:13" ht="16" x14ac:dyDescent="0.2">
      <c r="A17" s="31">
        <v>10</v>
      </c>
      <c r="B17" s="53" t="str">
        <f t="shared" si="0"/>
        <v>MASIN-0010</v>
      </c>
      <c r="C17" s="11"/>
      <c r="D17" s="11"/>
      <c r="E17" s="67"/>
      <c r="F17" s="54"/>
      <c r="G17" s="55"/>
      <c r="H17" s="55"/>
      <c r="I17" s="55"/>
      <c r="J17" s="55"/>
      <c r="K17" s="70"/>
      <c r="L17" s="9"/>
      <c r="M17" s="3"/>
    </row>
    <row r="18" spans="1:13" ht="16" x14ac:dyDescent="0.2">
      <c r="A18" s="31">
        <v>11</v>
      </c>
      <c r="B18" s="53" t="str">
        <f t="shared" si="0"/>
        <v>MASIN-0011</v>
      </c>
      <c r="C18" s="11"/>
      <c r="D18" s="11"/>
      <c r="E18" s="67"/>
      <c r="F18" s="54"/>
      <c r="G18" s="55"/>
      <c r="H18" s="55"/>
      <c r="I18" s="55"/>
      <c r="J18" s="55"/>
      <c r="K18" s="70"/>
      <c r="L18" s="9"/>
      <c r="M18" s="3"/>
    </row>
    <row r="19" spans="1:13" ht="16" x14ac:dyDescent="0.2">
      <c r="A19" s="31">
        <v>12</v>
      </c>
      <c r="B19" s="53" t="str">
        <f t="shared" si="0"/>
        <v>MASIN-0012</v>
      </c>
      <c r="C19" s="11"/>
      <c r="D19" s="11"/>
      <c r="E19" s="67"/>
      <c r="F19" s="54"/>
      <c r="G19" s="55"/>
      <c r="H19" s="55"/>
      <c r="I19" s="55"/>
      <c r="J19" s="55"/>
      <c r="K19" s="70"/>
      <c r="L19" s="9"/>
      <c r="M19" s="3"/>
    </row>
    <row r="20" spans="1:13" ht="16" x14ac:dyDescent="0.2">
      <c r="A20" s="31">
        <v>13</v>
      </c>
      <c r="B20" s="53" t="str">
        <f t="shared" si="0"/>
        <v>MASIN-0013</v>
      </c>
      <c r="C20" s="11"/>
      <c r="D20" s="11"/>
      <c r="E20" s="67"/>
      <c r="F20" s="54"/>
      <c r="G20" s="55"/>
      <c r="H20" s="55"/>
      <c r="I20" s="55"/>
      <c r="J20" s="55"/>
      <c r="K20" s="70"/>
      <c r="L20" s="9"/>
      <c r="M20" s="3"/>
    </row>
    <row r="21" spans="1:13" ht="16" x14ac:dyDescent="0.2">
      <c r="A21" s="31">
        <v>14</v>
      </c>
      <c r="B21" s="53" t="str">
        <f t="shared" si="0"/>
        <v>MASIN-0014</v>
      </c>
      <c r="C21" s="11"/>
      <c r="D21" s="11"/>
      <c r="E21" s="67"/>
      <c r="F21" s="54"/>
      <c r="G21" s="55"/>
      <c r="H21" s="55"/>
      <c r="I21" s="55"/>
      <c r="J21" s="55"/>
      <c r="K21" s="70"/>
      <c r="L21" s="9"/>
      <c r="M21" s="3"/>
    </row>
    <row r="22" spans="1:13" ht="16" x14ac:dyDescent="0.2">
      <c r="A22" s="31">
        <v>15</v>
      </c>
      <c r="B22" s="53" t="str">
        <f t="shared" si="0"/>
        <v>MASIN-0015</v>
      </c>
      <c r="C22" s="11"/>
      <c r="D22" s="11"/>
      <c r="E22" s="67"/>
      <c r="F22" s="54"/>
      <c r="G22" s="55"/>
      <c r="H22" s="55"/>
      <c r="I22" s="55"/>
      <c r="J22" s="55"/>
      <c r="K22" s="70"/>
      <c r="L22" s="9"/>
      <c r="M22" s="3"/>
    </row>
    <row r="23" spans="1:13" ht="16" x14ac:dyDescent="0.2">
      <c r="A23" s="31">
        <v>16</v>
      </c>
      <c r="B23" s="53" t="str">
        <f t="shared" si="0"/>
        <v>MASIN-0016</v>
      </c>
      <c r="C23" s="11"/>
      <c r="D23" s="11"/>
      <c r="E23" s="67"/>
      <c r="F23" s="54"/>
      <c r="G23" s="55"/>
      <c r="H23" s="55"/>
      <c r="I23" s="55"/>
      <c r="J23" s="55"/>
      <c r="K23" s="70"/>
      <c r="L23" s="9"/>
      <c r="M23" s="3"/>
    </row>
    <row r="24" spans="1:13" ht="16" x14ac:dyDescent="0.2">
      <c r="A24" s="31">
        <v>17</v>
      </c>
      <c r="B24" s="53" t="str">
        <f t="shared" si="0"/>
        <v>MASIN-0017</v>
      </c>
      <c r="C24" s="11"/>
      <c r="D24" s="11"/>
      <c r="E24" s="67"/>
      <c r="F24" s="54"/>
      <c r="G24" s="55"/>
      <c r="H24" s="55"/>
      <c r="I24" s="55"/>
      <c r="J24" s="55"/>
      <c r="K24" s="70"/>
      <c r="L24" s="9"/>
      <c r="M24" s="3"/>
    </row>
    <row r="25" spans="1:13" ht="16" x14ac:dyDescent="0.2">
      <c r="A25" s="31">
        <v>18</v>
      </c>
      <c r="B25" s="53" t="str">
        <f t="shared" si="0"/>
        <v>MASIN-0018</v>
      </c>
      <c r="C25" s="11"/>
      <c r="D25" s="11"/>
      <c r="E25" s="67"/>
      <c r="F25" s="54"/>
      <c r="G25" s="55"/>
      <c r="H25" s="55"/>
      <c r="I25" s="55"/>
      <c r="J25" s="55"/>
      <c r="K25" s="70"/>
      <c r="L25" s="9"/>
      <c r="M25" s="3"/>
    </row>
    <row r="26" spans="1:13" ht="16" x14ac:dyDescent="0.2">
      <c r="A26" s="31">
        <v>19</v>
      </c>
      <c r="B26" s="53" t="str">
        <f t="shared" si="0"/>
        <v>MASIN-0019</v>
      </c>
      <c r="C26" s="11"/>
      <c r="D26" s="11"/>
      <c r="E26" s="67"/>
      <c r="F26" s="54"/>
      <c r="G26" s="55"/>
      <c r="H26" s="55"/>
      <c r="I26" s="55"/>
      <c r="J26" s="55"/>
      <c r="K26" s="70"/>
      <c r="L26" s="9"/>
      <c r="M26" s="3"/>
    </row>
    <row r="27" spans="1:13" ht="16" x14ac:dyDescent="0.2">
      <c r="A27" s="31">
        <v>20</v>
      </c>
      <c r="B27" s="53" t="str">
        <f t="shared" si="0"/>
        <v>MASIN-0020</v>
      </c>
      <c r="C27" s="11"/>
      <c r="D27" s="11"/>
      <c r="E27" s="67"/>
      <c r="F27" s="54"/>
      <c r="G27" s="55"/>
      <c r="H27" s="55"/>
      <c r="I27" s="55"/>
      <c r="J27" s="55"/>
      <c r="K27" s="70"/>
      <c r="L27" s="9"/>
      <c r="M27" s="3"/>
    </row>
    <row r="28" spans="1:13" ht="16" x14ac:dyDescent="0.2">
      <c r="A28" s="31">
        <v>21</v>
      </c>
      <c r="B28" s="53" t="str">
        <f t="shared" si="0"/>
        <v>MASIN-0021</v>
      </c>
      <c r="C28" s="11"/>
      <c r="D28" s="11"/>
      <c r="E28" s="67"/>
      <c r="F28" s="54"/>
      <c r="G28" s="55"/>
      <c r="H28" s="55"/>
      <c r="I28" s="55"/>
      <c r="J28" s="55"/>
      <c r="K28" s="70"/>
      <c r="L28" s="9"/>
      <c r="M28" s="3"/>
    </row>
    <row r="29" spans="1:13" ht="16" x14ac:dyDescent="0.2">
      <c r="A29" s="31">
        <v>22</v>
      </c>
      <c r="B29" s="53" t="str">
        <f t="shared" si="0"/>
        <v>MASIN-0022</v>
      </c>
      <c r="C29" s="11"/>
      <c r="D29" s="11"/>
      <c r="E29" s="67"/>
      <c r="F29" s="54"/>
      <c r="G29" s="55"/>
      <c r="H29" s="55"/>
      <c r="I29" s="55"/>
      <c r="J29" s="55"/>
      <c r="K29" s="70"/>
      <c r="L29" s="9"/>
      <c r="M29" s="3"/>
    </row>
    <row r="30" spans="1:13" ht="16" x14ac:dyDescent="0.2">
      <c r="A30" s="31">
        <v>23</v>
      </c>
      <c r="B30" s="53" t="str">
        <f t="shared" si="0"/>
        <v>MASIN-0023</v>
      </c>
      <c r="C30" s="11"/>
      <c r="D30" s="11"/>
      <c r="E30" s="67"/>
      <c r="F30" s="54"/>
      <c r="G30" s="55"/>
      <c r="H30" s="55"/>
      <c r="I30" s="55"/>
      <c r="J30" s="55"/>
      <c r="K30" s="70"/>
      <c r="L30" s="9"/>
      <c r="M30" s="3"/>
    </row>
    <row r="31" spans="1:13" ht="16" x14ac:dyDescent="0.2">
      <c r="A31" s="31">
        <v>24</v>
      </c>
      <c r="B31" s="53" t="str">
        <f t="shared" si="0"/>
        <v>MASIN-0024</v>
      </c>
      <c r="C31" s="11"/>
      <c r="D31" s="11"/>
      <c r="E31" s="67"/>
      <c r="F31" s="54"/>
      <c r="G31" s="55"/>
      <c r="H31" s="55"/>
      <c r="I31" s="55"/>
      <c r="J31" s="55"/>
      <c r="K31" s="70"/>
      <c r="L31" s="9"/>
      <c r="M31" s="3"/>
    </row>
    <row r="32" spans="1:13" ht="16" x14ac:dyDescent="0.2">
      <c r="A32" s="31">
        <v>25</v>
      </c>
      <c r="B32" s="53" t="str">
        <f t="shared" si="0"/>
        <v>MASIN-0025</v>
      </c>
      <c r="C32" s="11"/>
      <c r="D32" s="11"/>
      <c r="E32" s="67"/>
      <c r="F32" s="54"/>
      <c r="G32" s="55"/>
      <c r="H32" s="55"/>
      <c r="I32" s="55"/>
      <c r="J32" s="55"/>
      <c r="K32" s="70"/>
      <c r="L32" s="9"/>
      <c r="M32" s="3"/>
    </row>
    <row r="33" spans="1:13" ht="16" x14ac:dyDescent="0.2">
      <c r="A33" s="31">
        <v>26</v>
      </c>
      <c r="B33" s="53" t="str">
        <f t="shared" si="0"/>
        <v>MASIN-0026</v>
      </c>
      <c r="C33" s="11"/>
      <c r="D33" s="11"/>
      <c r="E33" s="67"/>
      <c r="F33" s="54"/>
      <c r="G33" s="55"/>
      <c r="H33" s="55"/>
      <c r="I33" s="55"/>
      <c r="J33" s="55"/>
      <c r="K33" s="70"/>
      <c r="L33" s="9"/>
      <c r="M33" s="3"/>
    </row>
    <row r="34" spans="1:13" ht="16" x14ac:dyDescent="0.2">
      <c r="A34" s="31">
        <v>27</v>
      </c>
      <c r="B34" s="53" t="str">
        <f t="shared" si="0"/>
        <v>MASIN-0027</v>
      </c>
      <c r="C34" s="11"/>
      <c r="D34" s="11"/>
      <c r="E34" s="67"/>
      <c r="F34" s="54"/>
      <c r="G34" s="55"/>
      <c r="H34" s="55"/>
      <c r="I34" s="55"/>
      <c r="J34" s="55"/>
      <c r="K34" s="70"/>
      <c r="L34" s="9"/>
      <c r="M34" s="3"/>
    </row>
    <row r="35" spans="1:13" ht="16" x14ac:dyDescent="0.2">
      <c r="A35" s="31">
        <v>28</v>
      </c>
      <c r="B35" s="53" t="str">
        <f t="shared" si="0"/>
        <v>MASIN-0028</v>
      </c>
      <c r="C35" s="11"/>
      <c r="D35" s="11"/>
      <c r="E35" s="67"/>
      <c r="F35" s="54"/>
      <c r="G35" s="55"/>
      <c r="H35" s="55"/>
      <c r="I35" s="55"/>
      <c r="J35" s="55"/>
      <c r="K35" s="70"/>
      <c r="L35" s="9"/>
      <c r="M35" s="3"/>
    </row>
    <row r="36" spans="1:13" ht="16" x14ac:dyDescent="0.2">
      <c r="A36" s="31">
        <v>29</v>
      </c>
      <c r="B36" s="53" t="str">
        <f t="shared" si="0"/>
        <v>MASIN-0029</v>
      </c>
      <c r="C36" s="11"/>
      <c r="D36" s="11"/>
      <c r="E36" s="67"/>
      <c r="F36" s="54"/>
      <c r="G36" s="55"/>
      <c r="H36" s="55"/>
      <c r="I36" s="55"/>
      <c r="J36" s="55"/>
      <c r="K36" s="70"/>
      <c r="L36" s="9"/>
      <c r="M36" s="3"/>
    </row>
    <row r="37" spans="1:13" ht="16" x14ac:dyDescent="0.2">
      <c r="A37" s="31">
        <v>30</v>
      </c>
      <c r="B37" s="53" t="str">
        <f t="shared" si="0"/>
        <v>MASIN-0030</v>
      </c>
      <c r="C37" s="11"/>
      <c r="D37" s="11"/>
      <c r="E37" s="67"/>
      <c r="F37" s="54"/>
      <c r="G37" s="55"/>
      <c r="H37" s="55"/>
      <c r="I37" s="55"/>
      <c r="J37" s="55"/>
      <c r="K37" s="70"/>
      <c r="L37" s="9"/>
      <c r="M37" s="3"/>
    </row>
    <row r="38" spans="1:13" ht="16" x14ac:dyDescent="0.2">
      <c r="A38" s="31">
        <v>31</v>
      </c>
      <c r="B38" s="53" t="str">
        <f t="shared" si="0"/>
        <v>MASIN-0031</v>
      </c>
      <c r="C38" s="11"/>
      <c r="D38" s="11"/>
      <c r="E38" s="67"/>
      <c r="F38" s="54"/>
      <c r="G38" s="55"/>
      <c r="H38" s="55"/>
      <c r="I38" s="55"/>
      <c r="J38" s="55"/>
      <c r="K38" s="70"/>
      <c r="L38" s="9"/>
      <c r="M38" s="3"/>
    </row>
    <row r="39" spans="1:13" ht="16" thickBot="1" x14ac:dyDescent="0.25">
      <c r="A39" s="47"/>
      <c r="B39" s="47"/>
      <c r="C39" s="68" t="s">
        <v>49</v>
      </c>
      <c r="D39" s="69">
        <f>SUM(D8:D38)</f>
        <v>0</v>
      </c>
      <c r="E39" s="69">
        <f>SUM(E8:E38)</f>
        <v>0</v>
      </c>
      <c r="F39" s="68"/>
      <c r="G39" s="68"/>
      <c r="H39" s="68"/>
      <c r="I39" s="68"/>
      <c r="J39" s="68"/>
      <c r="K39" s="71"/>
      <c r="L39" s="68"/>
      <c r="M39" s="68"/>
    </row>
    <row r="40" spans="1:13" ht="16" thickTop="1" x14ac:dyDescent="0.2"/>
  </sheetData>
  <mergeCells count="25">
    <mergeCell ref="B3:C3"/>
    <mergeCell ref="D3:E3"/>
    <mergeCell ref="F3:G3"/>
    <mergeCell ref="B1:U1"/>
    <mergeCell ref="B2:C2"/>
    <mergeCell ref="D2:G2"/>
    <mergeCell ref="H2:I2"/>
    <mergeCell ref="J2:K2"/>
    <mergeCell ref="B4:C4"/>
    <mergeCell ref="D4:E4"/>
    <mergeCell ref="F4:G4"/>
    <mergeCell ref="G5:L5"/>
    <mergeCell ref="A6:A7"/>
    <mergeCell ref="B6:B7"/>
    <mergeCell ref="C6:C7"/>
    <mergeCell ref="D6:D7"/>
    <mergeCell ref="E6:E7"/>
    <mergeCell ref="F6:F7"/>
    <mergeCell ref="M6:M7"/>
    <mergeCell ref="G6:G7"/>
    <mergeCell ref="H6:H7"/>
    <mergeCell ref="I6:I7"/>
    <mergeCell ref="J6:J7"/>
    <mergeCell ref="K6:K7"/>
    <mergeCell ref="L6:L7"/>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600-000000000000}">
          <x14:formula1>
            <xm:f>'Macro-Sheet'!$E$2:$E$6</xm:f>
          </x14:formula1>
          <xm:sqref>J8:J38</xm:sqref>
        </x14:dataValidation>
        <x14:dataValidation type="list" allowBlank="1" showInputMessage="1" showErrorMessage="1" xr:uid="{00000000-0002-0000-0600-000001000000}">
          <x14:formula1>
            <xm:f>'Macro-Sheet'!$K$2:$K$33</xm:f>
          </x14:formula1>
          <xm:sqref>I8:I38</xm:sqref>
        </x14:dataValidation>
        <x14:dataValidation type="list" allowBlank="1" showInputMessage="1" showErrorMessage="1" xr:uid="{00000000-0002-0000-0600-000002000000}">
          <x14:formula1>
            <xm:f>'Macro-Sheet'!$J$2:$J$14</xm:f>
          </x14:formula1>
          <xm:sqref>H8:H38</xm:sqref>
        </x14:dataValidation>
        <x14:dataValidation type="list" allowBlank="1" showInputMessage="1" showErrorMessage="1" xr:uid="{00000000-0002-0000-0600-000003000000}">
          <x14:formula1>
            <xm:f>'Macro-Sheet'!$I$2:$I$7</xm:f>
          </x14:formula1>
          <xm:sqref>G8:G38</xm:sqref>
        </x14:dataValidation>
        <x14:dataValidation type="list" allowBlank="1" showInputMessage="1" showErrorMessage="1" xr:uid="{00000000-0002-0000-0600-000004000000}">
          <x14:formula1>
            <xm:f>'Macro-Sheet'!$C$2:$C$7</xm:f>
          </x14:formula1>
          <xm:sqref>F8:F38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40"/>
  <sheetViews>
    <sheetView workbookViewId="0">
      <pane xSplit="3" ySplit="7" topLeftCell="D8" activePane="bottomRight" state="frozen"/>
      <selection pane="topRight" activeCell="D1" sqref="D1"/>
      <selection pane="bottomLeft" activeCell="A8" sqref="A8"/>
      <selection pane="bottomRight" activeCell="B8" sqref="B8:B38"/>
    </sheetView>
  </sheetViews>
  <sheetFormatPr baseColWidth="10" defaultColWidth="9.1640625" defaultRowHeight="15" x14ac:dyDescent="0.2"/>
  <cols>
    <col min="1" max="1" width="5.5" style="30" bestFit="1" customWidth="1"/>
    <col min="2" max="2" width="15.5" style="30" bestFit="1" customWidth="1"/>
    <col min="3" max="3" width="49.1640625" style="30" bestFit="1" customWidth="1"/>
    <col min="4" max="4" width="8.83203125" style="30" customWidth="1"/>
    <col min="5" max="5" width="12.6640625" style="30" customWidth="1"/>
    <col min="6" max="6" width="15.5" style="30" customWidth="1"/>
    <col min="7" max="7" width="6.5" style="30" customWidth="1"/>
    <col min="8" max="8" width="13.6640625" style="30" customWidth="1"/>
    <col min="9" max="9" width="12.5" style="30" bestFit="1" customWidth="1"/>
    <col min="10" max="10" width="13.6640625" style="30" customWidth="1"/>
    <col min="11" max="11" width="13.6640625" style="78" customWidth="1"/>
    <col min="12" max="12" width="11.6640625" style="30" customWidth="1"/>
    <col min="13" max="13" width="29.83203125" style="30" customWidth="1"/>
    <col min="14" max="21" width="13.6640625" style="30" customWidth="1"/>
    <col min="22" max="28" width="12.83203125" style="30" customWidth="1"/>
    <col min="29" max="29" width="38.1640625" style="30" customWidth="1"/>
    <col min="30" max="16384" width="9.1640625" style="30"/>
  </cols>
  <sheetData>
    <row r="1" spans="1:21" ht="26" x14ac:dyDescent="0.2">
      <c r="B1" s="107" t="s">
        <v>105</v>
      </c>
      <c r="C1" s="108"/>
      <c r="D1" s="108"/>
      <c r="E1" s="108"/>
      <c r="F1" s="108"/>
      <c r="G1" s="108"/>
      <c r="H1" s="108"/>
      <c r="I1" s="108"/>
      <c r="J1" s="108"/>
      <c r="K1" s="108"/>
      <c r="L1" s="108"/>
      <c r="M1" s="108"/>
      <c r="N1" s="108"/>
      <c r="O1" s="108"/>
      <c r="P1" s="108"/>
      <c r="Q1" s="108"/>
      <c r="R1" s="108"/>
      <c r="S1" s="108"/>
      <c r="T1" s="108"/>
      <c r="U1" s="108"/>
    </row>
    <row r="2" spans="1:21" x14ac:dyDescent="0.2">
      <c r="B2" s="101" t="s">
        <v>48</v>
      </c>
      <c r="C2" s="102"/>
      <c r="D2" s="109" t="s">
        <v>34</v>
      </c>
      <c r="E2" s="110"/>
      <c r="F2" s="110"/>
      <c r="G2" s="111"/>
      <c r="H2" s="112" t="s">
        <v>35</v>
      </c>
      <c r="I2" s="113"/>
      <c r="J2" s="114" t="s">
        <v>36</v>
      </c>
      <c r="K2" s="115"/>
      <c r="L2" s="33"/>
      <c r="M2" s="34"/>
      <c r="N2" s="34"/>
      <c r="O2" s="34"/>
      <c r="P2" s="34"/>
      <c r="Q2" s="34"/>
      <c r="R2" s="34"/>
      <c r="S2" s="34"/>
      <c r="T2" s="34"/>
      <c r="U2" s="34"/>
    </row>
    <row r="3" spans="1:21" x14ac:dyDescent="0.2">
      <c r="B3" s="101" t="str">
        <f>'Budget Summary'!B8</f>
        <v>Office of Research Service</v>
      </c>
      <c r="C3" s="102"/>
      <c r="D3" s="103" t="s">
        <v>39</v>
      </c>
      <c r="E3" s="104"/>
      <c r="F3" s="105" t="s">
        <v>40</v>
      </c>
      <c r="G3" s="106"/>
      <c r="H3" s="27" t="s">
        <v>39</v>
      </c>
      <c r="I3" s="28" t="s">
        <v>40</v>
      </c>
      <c r="J3" s="27" t="s">
        <v>39</v>
      </c>
      <c r="K3" s="79" t="s">
        <v>40</v>
      </c>
      <c r="L3" s="34"/>
      <c r="M3" s="34"/>
      <c r="N3" s="34"/>
      <c r="O3" s="34"/>
      <c r="P3" s="34"/>
      <c r="Q3" s="34"/>
      <c r="R3" s="34"/>
      <c r="S3" s="34"/>
    </row>
    <row r="4" spans="1:21" x14ac:dyDescent="0.2">
      <c r="B4" s="130" t="s">
        <v>132</v>
      </c>
      <c r="C4" s="123"/>
      <c r="D4" s="124">
        <f>'Budget Summary'!F5</f>
        <v>0</v>
      </c>
      <c r="E4" s="125"/>
      <c r="F4" s="124">
        <f>'Budget Summary'!G5</f>
        <v>0</v>
      </c>
      <c r="G4" s="125"/>
      <c r="H4" s="46">
        <f>D39</f>
        <v>0</v>
      </c>
      <c r="I4" s="46">
        <f>E39</f>
        <v>0</v>
      </c>
      <c r="J4" s="44">
        <f>D4-H4</f>
        <v>0</v>
      </c>
      <c r="K4" s="80">
        <f>F4-I4</f>
        <v>0</v>
      </c>
      <c r="L4" s="34"/>
      <c r="M4" s="34"/>
      <c r="N4" s="34"/>
      <c r="O4" s="34"/>
      <c r="P4" s="34"/>
      <c r="Q4" s="34"/>
      <c r="R4" s="34"/>
      <c r="S4" s="34"/>
    </row>
    <row r="5" spans="1:21" x14ac:dyDescent="0.2">
      <c r="G5" s="126" t="s">
        <v>12</v>
      </c>
      <c r="H5" s="126"/>
      <c r="I5" s="126"/>
      <c r="J5" s="126"/>
      <c r="K5" s="126"/>
      <c r="L5" s="126"/>
      <c r="M5" s="52"/>
    </row>
    <row r="6" spans="1:21" x14ac:dyDescent="0.2">
      <c r="A6" s="116" t="s">
        <v>37</v>
      </c>
      <c r="B6" s="116" t="s">
        <v>65</v>
      </c>
      <c r="C6" s="118" t="s">
        <v>10</v>
      </c>
      <c r="D6" s="118" t="s">
        <v>66</v>
      </c>
      <c r="E6" s="118" t="s">
        <v>67</v>
      </c>
      <c r="F6" s="118" t="s">
        <v>68</v>
      </c>
      <c r="G6" s="127" t="s">
        <v>69</v>
      </c>
      <c r="H6" s="127" t="s">
        <v>70</v>
      </c>
      <c r="I6" s="127" t="s">
        <v>71</v>
      </c>
      <c r="J6" s="118" t="s">
        <v>19</v>
      </c>
      <c r="K6" s="128" t="s">
        <v>72</v>
      </c>
      <c r="L6" s="128" t="s">
        <v>73</v>
      </c>
      <c r="M6" s="120" t="s">
        <v>16</v>
      </c>
    </row>
    <row r="7" spans="1:21" x14ac:dyDescent="0.2">
      <c r="A7" s="117"/>
      <c r="B7" s="117"/>
      <c r="C7" s="119"/>
      <c r="D7" s="119"/>
      <c r="E7" s="119"/>
      <c r="F7" s="119"/>
      <c r="G7" s="127"/>
      <c r="H7" s="127"/>
      <c r="I7" s="127"/>
      <c r="J7" s="119"/>
      <c r="K7" s="129"/>
      <c r="L7" s="129"/>
      <c r="M7" s="121"/>
    </row>
    <row r="8" spans="1:21" ht="16" x14ac:dyDescent="0.2">
      <c r="A8" s="31">
        <v>1</v>
      </c>
      <c r="B8" s="53" t="str">
        <f>CONCATENATE("RESE-",LEFT("0000",4-LEN(ROW(A2)-1)),ROW(A2)-1)</f>
        <v>RESE-0001</v>
      </c>
      <c r="C8" s="11"/>
      <c r="D8" s="11"/>
      <c r="E8" s="67"/>
      <c r="F8" s="54"/>
      <c r="G8" s="55"/>
      <c r="H8" s="55"/>
      <c r="I8" s="55"/>
      <c r="J8" s="55"/>
      <c r="K8" s="70"/>
      <c r="L8" s="9"/>
      <c r="M8" s="3"/>
    </row>
    <row r="9" spans="1:21" ht="16" x14ac:dyDescent="0.2">
      <c r="A9" s="31">
        <v>2</v>
      </c>
      <c r="B9" s="53" t="str">
        <f t="shared" ref="B9:B38" si="0">CONCATENATE("RESE-",LEFT("0000",4-LEN(ROW(A3)-1)),ROW(A3)-1)</f>
        <v>RESE-0002</v>
      </c>
      <c r="C9" s="11"/>
      <c r="D9" s="11"/>
      <c r="E9" s="67"/>
      <c r="F9" s="54"/>
      <c r="G9" s="55"/>
      <c r="H9" s="55"/>
      <c r="I9" s="55"/>
      <c r="J9" s="55"/>
      <c r="K9" s="70"/>
      <c r="L9" s="9"/>
      <c r="M9" s="3"/>
    </row>
    <row r="10" spans="1:21" ht="16" x14ac:dyDescent="0.2">
      <c r="A10" s="31">
        <v>3</v>
      </c>
      <c r="B10" s="53" t="str">
        <f t="shared" si="0"/>
        <v>RESE-0003</v>
      </c>
      <c r="C10" s="11"/>
      <c r="D10" s="11"/>
      <c r="E10" s="67"/>
      <c r="F10" s="54"/>
      <c r="G10" s="55"/>
      <c r="H10" s="55"/>
      <c r="I10" s="55"/>
      <c r="J10" s="55"/>
      <c r="K10" s="70"/>
      <c r="L10" s="9"/>
      <c r="M10" s="3"/>
    </row>
    <row r="11" spans="1:21" ht="16" x14ac:dyDescent="0.2">
      <c r="A11" s="31">
        <v>4</v>
      </c>
      <c r="B11" s="53" t="str">
        <f t="shared" si="0"/>
        <v>RESE-0004</v>
      </c>
      <c r="C11" s="11"/>
      <c r="D11" s="11"/>
      <c r="E11" s="67"/>
      <c r="F11" s="54"/>
      <c r="G11" s="55"/>
      <c r="H11" s="55"/>
      <c r="I11" s="55"/>
      <c r="J11" s="55"/>
      <c r="K11" s="70"/>
      <c r="L11" s="9"/>
      <c r="M11" s="3"/>
    </row>
    <row r="12" spans="1:21" ht="16" x14ac:dyDescent="0.2">
      <c r="A12" s="31">
        <v>5</v>
      </c>
      <c r="B12" s="53" t="str">
        <f t="shared" si="0"/>
        <v>RESE-0005</v>
      </c>
      <c r="C12" s="11"/>
      <c r="D12" s="11"/>
      <c r="E12" s="67"/>
      <c r="F12" s="54"/>
      <c r="G12" s="55"/>
      <c r="H12" s="55"/>
      <c r="I12" s="55"/>
      <c r="J12" s="55"/>
      <c r="K12" s="70"/>
      <c r="L12" s="9"/>
      <c r="M12" s="3"/>
    </row>
    <row r="13" spans="1:21" ht="16" x14ac:dyDescent="0.2">
      <c r="A13" s="31">
        <v>6</v>
      </c>
      <c r="B13" s="53" t="str">
        <f t="shared" si="0"/>
        <v>RESE-0006</v>
      </c>
      <c r="C13" s="11"/>
      <c r="D13" s="11"/>
      <c r="E13" s="67"/>
      <c r="F13" s="54"/>
      <c r="G13" s="55"/>
      <c r="H13" s="55"/>
      <c r="I13" s="55"/>
      <c r="J13" s="55"/>
      <c r="K13" s="70"/>
      <c r="L13" s="9"/>
      <c r="M13" s="3"/>
    </row>
    <row r="14" spans="1:21" ht="16" x14ac:dyDescent="0.2">
      <c r="A14" s="31">
        <v>7</v>
      </c>
      <c r="B14" s="53" t="str">
        <f t="shared" si="0"/>
        <v>RESE-0007</v>
      </c>
      <c r="C14" s="11"/>
      <c r="D14" s="11"/>
      <c r="E14" s="67"/>
      <c r="F14" s="54"/>
      <c r="G14" s="55"/>
      <c r="H14" s="55"/>
      <c r="I14" s="55"/>
      <c r="J14" s="55"/>
      <c r="K14" s="70"/>
      <c r="L14" s="9"/>
      <c r="M14" s="3"/>
    </row>
    <row r="15" spans="1:21" ht="16" x14ac:dyDescent="0.2">
      <c r="A15" s="31">
        <v>8</v>
      </c>
      <c r="B15" s="53" t="str">
        <f t="shared" si="0"/>
        <v>RESE-0008</v>
      </c>
      <c r="C15" s="11"/>
      <c r="D15" s="11"/>
      <c r="E15" s="67"/>
      <c r="F15" s="54"/>
      <c r="G15" s="55"/>
      <c r="H15" s="55"/>
      <c r="I15" s="55"/>
      <c r="J15" s="55"/>
      <c r="K15" s="70"/>
      <c r="L15" s="9"/>
      <c r="M15" s="3"/>
    </row>
    <row r="16" spans="1:21" ht="16" x14ac:dyDescent="0.2">
      <c r="A16" s="31">
        <v>9</v>
      </c>
      <c r="B16" s="53" t="str">
        <f t="shared" si="0"/>
        <v>RESE-0009</v>
      </c>
      <c r="C16" s="11"/>
      <c r="D16" s="11"/>
      <c r="E16" s="67"/>
      <c r="F16" s="54"/>
      <c r="G16" s="55"/>
      <c r="H16" s="55"/>
      <c r="I16" s="55"/>
      <c r="J16" s="55"/>
      <c r="K16" s="70"/>
      <c r="L16" s="9"/>
      <c r="M16" s="3"/>
    </row>
    <row r="17" spans="1:13" ht="16" x14ac:dyDescent="0.2">
      <c r="A17" s="31">
        <v>10</v>
      </c>
      <c r="B17" s="53" t="str">
        <f t="shared" si="0"/>
        <v>RESE-0010</v>
      </c>
      <c r="C17" s="11"/>
      <c r="D17" s="11"/>
      <c r="E17" s="67"/>
      <c r="F17" s="54"/>
      <c r="G17" s="55"/>
      <c r="H17" s="55"/>
      <c r="I17" s="55"/>
      <c r="J17" s="55"/>
      <c r="K17" s="70"/>
      <c r="L17" s="9"/>
      <c r="M17" s="3"/>
    </row>
    <row r="18" spans="1:13" ht="16" x14ac:dyDescent="0.2">
      <c r="A18" s="31">
        <v>11</v>
      </c>
      <c r="B18" s="53" t="str">
        <f t="shared" si="0"/>
        <v>RESE-0011</v>
      </c>
      <c r="C18" s="11"/>
      <c r="D18" s="11"/>
      <c r="E18" s="67"/>
      <c r="F18" s="54"/>
      <c r="G18" s="55"/>
      <c r="H18" s="55"/>
      <c r="I18" s="55"/>
      <c r="J18" s="55"/>
      <c r="K18" s="70"/>
      <c r="L18" s="9"/>
      <c r="M18" s="3"/>
    </row>
    <row r="19" spans="1:13" ht="16" x14ac:dyDescent="0.2">
      <c r="A19" s="31">
        <v>12</v>
      </c>
      <c r="B19" s="53" t="str">
        <f t="shared" si="0"/>
        <v>RESE-0012</v>
      </c>
      <c r="C19" s="11"/>
      <c r="D19" s="11"/>
      <c r="E19" s="67"/>
      <c r="F19" s="54"/>
      <c r="G19" s="55"/>
      <c r="H19" s="55"/>
      <c r="I19" s="55"/>
      <c r="J19" s="55"/>
      <c r="K19" s="70"/>
      <c r="L19" s="9"/>
      <c r="M19" s="3"/>
    </row>
    <row r="20" spans="1:13" ht="16" x14ac:dyDescent="0.2">
      <c r="A20" s="31">
        <v>13</v>
      </c>
      <c r="B20" s="53" t="str">
        <f t="shared" si="0"/>
        <v>RESE-0013</v>
      </c>
      <c r="C20" s="11"/>
      <c r="D20" s="11"/>
      <c r="E20" s="67"/>
      <c r="F20" s="54"/>
      <c r="G20" s="55"/>
      <c r="H20" s="55"/>
      <c r="I20" s="55"/>
      <c r="J20" s="55"/>
      <c r="K20" s="70"/>
      <c r="L20" s="9"/>
      <c r="M20" s="3"/>
    </row>
    <row r="21" spans="1:13" ht="16" x14ac:dyDescent="0.2">
      <c r="A21" s="31">
        <v>14</v>
      </c>
      <c r="B21" s="53" t="str">
        <f t="shared" si="0"/>
        <v>RESE-0014</v>
      </c>
      <c r="C21" s="11"/>
      <c r="D21" s="11"/>
      <c r="E21" s="67"/>
      <c r="F21" s="54"/>
      <c r="G21" s="55"/>
      <c r="H21" s="55"/>
      <c r="I21" s="55"/>
      <c r="J21" s="55"/>
      <c r="K21" s="70"/>
      <c r="L21" s="9"/>
      <c r="M21" s="3"/>
    </row>
    <row r="22" spans="1:13" ht="16" x14ac:dyDescent="0.2">
      <c r="A22" s="31">
        <v>15</v>
      </c>
      <c r="B22" s="53" t="str">
        <f t="shared" si="0"/>
        <v>RESE-0015</v>
      </c>
      <c r="C22" s="11"/>
      <c r="D22" s="11"/>
      <c r="E22" s="67"/>
      <c r="F22" s="54"/>
      <c r="G22" s="55"/>
      <c r="H22" s="55"/>
      <c r="I22" s="55"/>
      <c r="J22" s="55"/>
      <c r="K22" s="70"/>
      <c r="L22" s="9"/>
      <c r="M22" s="3"/>
    </row>
    <row r="23" spans="1:13" ht="16" x14ac:dyDescent="0.2">
      <c r="A23" s="31">
        <v>16</v>
      </c>
      <c r="B23" s="53" t="str">
        <f t="shared" si="0"/>
        <v>RESE-0016</v>
      </c>
      <c r="C23" s="11"/>
      <c r="D23" s="11"/>
      <c r="E23" s="67"/>
      <c r="F23" s="54"/>
      <c r="G23" s="55"/>
      <c r="H23" s="55"/>
      <c r="I23" s="55"/>
      <c r="J23" s="55"/>
      <c r="K23" s="70"/>
      <c r="L23" s="9"/>
      <c r="M23" s="3"/>
    </row>
    <row r="24" spans="1:13" ht="16" x14ac:dyDescent="0.2">
      <c r="A24" s="31">
        <v>17</v>
      </c>
      <c r="B24" s="53" t="str">
        <f t="shared" si="0"/>
        <v>RESE-0017</v>
      </c>
      <c r="C24" s="11"/>
      <c r="D24" s="11"/>
      <c r="E24" s="67"/>
      <c r="F24" s="54"/>
      <c r="G24" s="55"/>
      <c r="H24" s="55"/>
      <c r="I24" s="55"/>
      <c r="J24" s="55"/>
      <c r="K24" s="70"/>
      <c r="L24" s="9"/>
      <c r="M24" s="3"/>
    </row>
    <row r="25" spans="1:13" ht="16" x14ac:dyDescent="0.2">
      <c r="A25" s="31">
        <v>18</v>
      </c>
      <c r="B25" s="53" t="str">
        <f t="shared" si="0"/>
        <v>RESE-0018</v>
      </c>
      <c r="C25" s="11"/>
      <c r="D25" s="11"/>
      <c r="E25" s="67"/>
      <c r="F25" s="54"/>
      <c r="G25" s="55"/>
      <c r="H25" s="55"/>
      <c r="I25" s="55"/>
      <c r="J25" s="55"/>
      <c r="K25" s="70"/>
      <c r="L25" s="9"/>
      <c r="M25" s="3"/>
    </row>
    <row r="26" spans="1:13" ht="16" x14ac:dyDescent="0.2">
      <c r="A26" s="31">
        <v>19</v>
      </c>
      <c r="B26" s="53" t="str">
        <f t="shared" si="0"/>
        <v>RESE-0019</v>
      </c>
      <c r="C26" s="11"/>
      <c r="D26" s="11"/>
      <c r="E26" s="67"/>
      <c r="F26" s="54"/>
      <c r="G26" s="55"/>
      <c r="H26" s="55"/>
      <c r="I26" s="55"/>
      <c r="J26" s="55"/>
      <c r="K26" s="70"/>
      <c r="L26" s="9"/>
      <c r="M26" s="3"/>
    </row>
    <row r="27" spans="1:13" ht="16" x14ac:dyDescent="0.2">
      <c r="A27" s="31">
        <v>20</v>
      </c>
      <c r="B27" s="53" t="str">
        <f t="shared" si="0"/>
        <v>RESE-0020</v>
      </c>
      <c r="C27" s="11"/>
      <c r="D27" s="11"/>
      <c r="E27" s="67"/>
      <c r="F27" s="54"/>
      <c r="G27" s="55"/>
      <c r="H27" s="55"/>
      <c r="I27" s="55"/>
      <c r="J27" s="55"/>
      <c r="K27" s="70"/>
      <c r="L27" s="9"/>
      <c r="M27" s="3"/>
    </row>
    <row r="28" spans="1:13" ht="16" x14ac:dyDescent="0.2">
      <c r="A28" s="31">
        <v>21</v>
      </c>
      <c r="B28" s="53" t="str">
        <f t="shared" si="0"/>
        <v>RESE-0021</v>
      </c>
      <c r="C28" s="11"/>
      <c r="D28" s="11"/>
      <c r="E28" s="67"/>
      <c r="F28" s="54"/>
      <c r="G28" s="55"/>
      <c r="H28" s="55"/>
      <c r="I28" s="55"/>
      <c r="J28" s="55"/>
      <c r="K28" s="70"/>
      <c r="L28" s="9"/>
      <c r="M28" s="3"/>
    </row>
    <row r="29" spans="1:13" ht="16" x14ac:dyDescent="0.2">
      <c r="A29" s="31">
        <v>22</v>
      </c>
      <c r="B29" s="53" t="str">
        <f t="shared" si="0"/>
        <v>RESE-0022</v>
      </c>
      <c r="C29" s="11"/>
      <c r="D29" s="11"/>
      <c r="E29" s="67"/>
      <c r="F29" s="54"/>
      <c r="G29" s="55"/>
      <c r="H29" s="55"/>
      <c r="I29" s="55"/>
      <c r="J29" s="55"/>
      <c r="K29" s="70"/>
      <c r="L29" s="9"/>
      <c r="M29" s="3"/>
    </row>
    <row r="30" spans="1:13" ht="16" x14ac:dyDescent="0.2">
      <c r="A30" s="31">
        <v>23</v>
      </c>
      <c r="B30" s="53" t="str">
        <f t="shared" si="0"/>
        <v>RESE-0023</v>
      </c>
      <c r="C30" s="11"/>
      <c r="D30" s="11"/>
      <c r="E30" s="67"/>
      <c r="F30" s="54"/>
      <c r="G30" s="55"/>
      <c r="H30" s="55"/>
      <c r="I30" s="55"/>
      <c r="J30" s="55"/>
      <c r="K30" s="70"/>
      <c r="L30" s="9"/>
      <c r="M30" s="3"/>
    </row>
    <row r="31" spans="1:13" ht="16" x14ac:dyDescent="0.2">
      <c r="A31" s="31">
        <v>24</v>
      </c>
      <c r="B31" s="53" t="str">
        <f t="shared" si="0"/>
        <v>RESE-0024</v>
      </c>
      <c r="C31" s="11"/>
      <c r="D31" s="11"/>
      <c r="E31" s="67"/>
      <c r="F31" s="54"/>
      <c r="G31" s="55"/>
      <c r="H31" s="55"/>
      <c r="I31" s="55"/>
      <c r="J31" s="55"/>
      <c r="K31" s="70"/>
      <c r="L31" s="9"/>
      <c r="M31" s="3"/>
    </row>
    <row r="32" spans="1:13" ht="16" x14ac:dyDescent="0.2">
      <c r="A32" s="31">
        <v>25</v>
      </c>
      <c r="B32" s="53" t="str">
        <f t="shared" si="0"/>
        <v>RESE-0025</v>
      </c>
      <c r="C32" s="11"/>
      <c r="D32" s="11"/>
      <c r="E32" s="67"/>
      <c r="F32" s="54"/>
      <c r="G32" s="55"/>
      <c r="H32" s="55"/>
      <c r="I32" s="55"/>
      <c r="J32" s="55"/>
      <c r="K32" s="70"/>
      <c r="L32" s="9"/>
      <c r="M32" s="3"/>
    </row>
    <row r="33" spans="1:13" ht="16" x14ac:dyDescent="0.2">
      <c r="A33" s="31">
        <v>26</v>
      </c>
      <c r="B33" s="53" t="str">
        <f t="shared" si="0"/>
        <v>RESE-0026</v>
      </c>
      <c r="C33" s="11"/>
      <c r="D33" s="11"/>
      <c r="E33" s="67"/>
      <c r="F33" s="54"/>
      <c r="G33" s="55"/>
      <c r="H33" s="55"/>
      <c r="I33" s="55"/>
      <c r="J33" s="55"/>
      <c r="K33" s="70"/>
      <c r="L33" s="9"/>
      <c r="M33" s="3"/>
    </row>
    <row r="34" spans="1:13" ht="16" x14ac:dyDescent="0.2">
      <c r="A34" s="31">
        <v>27</v>
      </c>
      <c r="B34" s="53" t="str">
        <f t="shared" si="0"/>
        <v>RESE-0027</v>
      </c>
      <c r="C34" s="11"/>
      <c r="D34" s="11"/>
      <c r="E34" s="67"/>
      <c r="F34" s="54"/>
      <c r="G34" s="55"/>
      <c r="H34" s="55"/>
      <c r="I34" s="55"/>
      <c r="J34" s="55"/>
      <c r="K34" s="70"/>
      <c r="L34" s="9"/>
      <c r="M34" s="3"/>
    </row>
    <row r="35" spans="1:13" ht="16" x14ac:dyDescent="0.2">
      <c r="A35" s="31">
        <v>28</v>
      </c>
      <c r="B35" s="53" t="str">
        <f t="shared" si="0"/>
        <v>RESE-0028</v>
      </c>
      <c r="C35" s="11"/>
      <c r="D35" s="11"/>
      <c r="E35" s="67"/>
      <c r="F35" s="54"/>
      <c r="G35" s="55"/>
      <c r="H35" s="55"/>
      <c r="I35" s="55"/>
      <c r="J35" s="55"/>
      <c r="K35" s="70"/>
      <c r="L35" s="9"/>
      <c r="M35" s="3"/>
    </row>
    <row r="36" spans="1:13" ht="16" x14ac:dyDescent="0.2">
      <c r="A36" s="31">
        <v>29</v>
      </c>
      <c r="B36" s="53" t="str">
        <f t="shared" si="0"/>
        <v>RESE-0029</v>
      </c>
      <c r="C36" s="11"/>
      <c r="D36" s="11"/>
      <c r="E36" s="67"/>
      <c r="F36" s="54"/>
      <c r="G36" s="55"/>
      <c r="H36" s="55"/>
      <c r="I36" s="55"/>
      <c r="J36" s="55"/>
      <c r="K36" s="70"/>
      <c r="L36" s="9"/>
      <c r="M36" s="3"/>
    </row>
    <row r="37" spans="1:13" ht="16" x14ac:dyDescent="0.2">
      <c r="A37" s="31">
        <v>30</v>
      </c>
      <c r="B37" s="53" t="str">
        <f t="shared" si="0"/>
        <v>RESE-0030</v>
      </c>
      <c r="C37" s="11"/>
      <c r="D37" s="11"/>
      <c r="E37" s="67"/>
      <c r="F37" s="54"/>
      <c r="G37" s="55"/>
      <c r="H37" s="55"/>
      <c r="I37" s="55"/>
      <c r="J37" s="55"/>
      <c r="K37" s="70"/>
      <c r="L37" s="9"/>
      <c r="M37" s="3"/>
    </row>
    <row r="38" spans="1:13" ht="16" x14ac:dyDescent="0.2">
      <c r="A38" s="31">
        <v>31</v>
      </c>
      <c r="B38" s="53" t="str">
        <f t="shared" si="0"/>
        <v>RESE-0031</v>
      </c>
      <c r="C38" s="11"/>
      <c r="D38" s="11"/>
      <c r="E38" s="67"/>
      <c r="F38" s="54"/>
      <c r="G38" s="55"/>
      <c r="H38" s="55"/>
      <c r="I38" s="55"/>
      <c r="J38" s="55"/>
      <c r="K38" s="70"/>
      <c r="L38" s="9"/>
      <c r="M38" s="3"/>
    </row>
    <row r="39" spans="1:13" ht="16" thickBot="1" x14ac:dyDescent="0.25">
      <c r="A39" s="47"/>
      <c r="B39" s="47"/>
      <c r="C39" s="68" t="s">
        <v>49</v>
      </c>
      <c r="D39" s="69">
        <f>SUM(D8:D38)</f>
        <v>0</v>
      </c>
      <c r="E39" s="69">
        <f>SUM(E8:E38)</f>
        <v>0</v>
      </c>
      <c r="F39" s="68"/>
      <c r="G39" s="68"/>
      <c r="H39" s="68"/>
      <c r="I39" s="68"/>
      <c r="J39" s="68"/>
      <c r="K39" s="71"/>
      <c r="L39" s="68"/>
      <c r="M39" s="68"/>
    </row>
    <row r="40" spans="1:13" ht="16" thickTop="1" x14ac:dyDescent="0.2"/>
  </sheetData>
  <mergeCells count="25">
    <mergeCell ref="B3:C3"/>
    <mergeCell ref="D3:E3"/>
    <mergeCell ref="F3:G3"/>
    <mergeCell ref="B1:U1"/>
    <mergeCell ref="B2:C2"/>
    <mergeCell ref="D2:G2"/>
    <mergeCell ref="H2:I2"/>
    <mergeCell ref="J2:K2"/>
    <mergeCell ref="B4:C4"/>
    <mergeCell ref="D4:E4"/>
    <mergeCell ref="F4:G4"/>
    <mergeCell ref="G5:L5"/>
    <mergeCell ref="A6:A7"/>
    <mergeCell ref="B6:B7"/>
    <mergeCell ref="C6:C7"/>
    <mergeCell ref="D6:D7"/>
    <mergeCell ref="E6:E7"/>
    <mergeCell ref="F6:F7"/>
    <mergeCell ref="M6:M7"/>
    <mergeCell ref="G6:G7"/>
    <mergeCell ref="H6:H7"/>
    <mergeCell ref="I6:I7"/>
    <mergeCell ref="J6:J7"/>
    <mergeCell ref="K6:K7"/>
    <mergeCell ref="L6:L7"/>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700-000000000000}">
          <x14:formula1>
            <xm:f>'Macro-Sheet'!$C$2:$C$7</xm:f>
          </x14:formula1>
          <xm:sqref>F8:F38</xm:sqref>
        </x14:dataValidation>
        <x14:dataValidation type="list" allowBlank="1" showInputMessage="1" showErrorMessage="1" xr:uid="{00000000-0002-0000-0700-000001000000}">
          <x14:formula1>
            <xm:f>'Macro-Sheet'!$I$2:$I$7</xm:f>
          </x14:formula1>
          <xm:sqref>G8:G38</xm:sqref>
        </x14:dataValidation>
        <x14:dataValidation type="list" allowBlank="1" showInputMessage="1" showErrorMessage="1" xr:uid="{00000000-0002-0000-0700-000002000000}">
          <x14:formula1>
            <xm:f>'Macro-Sheet'!$J$2:$J$14</xm:f>
          </x14:formula1>
          <xm:sqref>H8:H38</xm:sqref>
        </x14:dataValidation>
        <x14:dataValidation type="list" allowBlank="1" showInputMessage="1" showErrorMessage="1" xr:uid="{00000000-0002-0000-0700-000003000000}">
          <x14:formula1>
            <xm:f>'Macro-Sheet'!$K$2:$K$33</xm:f>
          </x14:formula1>
          <xm:sqref>I8:I38</xm:sqref>
        </x14:dataValidation>
        <x14:dataValidation type="list" allowBlank="1" showInputMessage="1" showErrorMessage="1" xr:uid="{00000000-0002-0000-0700-000004000000}">
          <x14:formula1>
            <xm:f>'Macro-Sheet'!$E$2:$E$6</xm:f>
          </x14:formula1>
          <xm:sqref>J8:J38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40"/>
  <sheetViews>
    <sheetView workbookViewId="0">
      <pane xSplit="3" ySplit="7" topLeftCell="D8" activePane="bottomRight" state="frozen"/>
      <selection pane="topRight" activeCell="D1" sqref="D1"/>
      <selection pane="bottomLeft" activeCell="A8" sqref="A8"/>
      <selection pane="bottomRight" activeCell="B8" sqref="B8:B38"/>
    </sheetView>
  </sheetViews>
  <sheetFormatPr baseColWidth="10" defaultColWidth="9.1640625" defaultRowHeight="15" x14ac:dyDescent="0.2"/>
  <cols>
    <col min="1" max="1" width="5.5" style="30" bestFit="1" customWidth="1"/>
    <col min="2" max="2" width="15.5" style="30" bestFit="1" customWidth="1"/>
    <col min="3" max="3" width="49.1640625" style="30" bestFit="1" customWidth="1"/>
    <col min="4" max="4" width="8.83203125" style="30" customWidth="1"/>
    <col min="5" max="5" width="12.6640625" style="30" customWidth="1"/>
    <col min="6" max="6" width="15.5" style="30" customWidth="1"/>
    <col min="7" max="7" width="6.5" style="30" customWidth="1"/>
    <col min="8" max="8" width="13.6640625" style="30" customWidth="1"/>
    <col min="9" max="9" width="12.5" style="30" bestFit="1" customWidth="1"/>
    <col min="10" max="10" width="13.6640625" style="30" customWidth="1"/>
    <col min="11" max="11" width="13.6640625" style="85" customWidth="1"/>
    <col min="12" max="12" width="11.6640625" style="30" customWidth="1"/>
    <col min="13" max="13" width="29.83203125" style="30" customWidth="1"/>
    <col min="14" max="21" width="13.6640625" style="30" customWidth="1"/>
    <col min="22" max="28" width="12.83203125" style="30" customWidth="1"/>
    <col min="29" max="29" width="38.1640625" style="30" customWidth="1"/>
    <col min="30" max="16384" width="9.1640625" style="30"/>
  </cols>
  <sheetData>
    <row r="1" spans="1:21" ht="26" x14ac:dyDescent="0.2">
      <c r="B1" s="107" t="s">
        <v>105</v>
      </c>
      <c r="C1" s="108"/>
      <c r="D1" s="108"/>
      <c r="E1" s="108"/>
      <c r="F1" s="108"/>
      <c r="G1" s="108"/>
      <c r="H1" s="108"/>
      <c r="I1" s="108"/>
      <c r="J1" s="108"/>
      <c r="K1" s="108"/>
      <c r="L1" s="108"/>
      <c r="M1" s="108"/>
      <c r="N1" s="108"/>
      <c r="O1" s="108"/>
      <c r="P1" s="108"/>
      <c r="Q1" s="108"/>
      <c r="R1" s="108"/>
      <c r="S1" s="108"/>
      <c r="T1" s="108"/>
      <c r="U1" s="108"/>
    </row>
    <row r="2" spans="1:21" x14ac:dyDescent="0.2">
      <c r="B2" s="101" t="s">
        <v>48</v>
      </c>
      <c r="C2" s="102"/>
      <c r="D2" s="109" t="s">
        <v>34</v>
      </c>
      <c r="E2" s="110"/>
      <c r="F2" s="110"/>
      <c r="G2" s="111"/>
      <c r="H2" s="112" t="s">
        <v>35</v>
      </c>
      <c r="I2" s="113"/>
      <c r="J2" s="114" t="s">
        <v>36</v>
      </c>
      <c r="K2" s="115"/>
      <c r="L2" s="33"/>
      <c r="M2" s="34"/>
      <c r="N2" s="34"/>
      <c r="O2" s="34"/>
      <c r="P2" s="34"/>
      <c r="Q2" s="34"/>
      <c r="R2" s="34"/>
      <c r="S2" s="34"/>
      <c r="T2" s="34"/>
      <c r="U2" s="34"/>
    </row>
    <row r="3" spans="1:21" x14ac:dyDescent="0.2">
      <c r="B3" s="101" t="str">
        <f>'Budget Summary'!B9</f>
        <v>KUST - University Sponsored Research</v>
      </c>
      <c r="C3" s="102"/>
      <c r="D3" s="103" t="s">
        <v>39</v>
      </c>
      <c r="E3" s="104"/>
      <c r="F3" s="105" t="s">
        <v>40</v>
      </c>
      <c r="G3" s="106"/>
      <c r="H3" s="27" t="s">
        <v>39</v>
      </c>
      <c r="I3" s="28" t="s">
        <v>40</v>
      </c>
      <c r="J3" s="27" t="s">
        <v>39</v>
      </c>
      <c r="K3" s="86" t="s">
        <v>40</v>
      </c>
      <c r="L3" s="34"/>
      <c r="M3" s="34"/>
      <c r="N3" s="34"/>
      <c r="O3" s="34"/>
      <c r="P3" s="34"/>
      <c r="Q3" s="34"/>
      <c r="R3" s="34"/>
      <c r="S3" s="34"/>
    </row>
    <row r="4" spans="1:21" x14ac:dyDescent="0.2">
      <c r="B4" s="130" t="s">
        <v>133</v>
      </c>
      <c r="C4" s="123"/>
      <c r="D4" s="124">
        <f>'Budget Summary'!F5</f>
        <v>0</v>
      </c>
      <c r="E4" s="125"/>
      <c r="F4" s="124">
        <f>'Budget Summary'!G5</f>
        <v>0</v>
      </c>
      <c r="G4" s="125"/>
      <c r="H4" s="46">
        <f>D39</f>
        <v>0</v>
      </c>
      <c r="I4" s="46">
        <f>E39</f>
        <v>0</v>
      </c>
      <c r="J4" s="44">
        <f>D4-H4</f>
        <v>0</v>
      </c>
      <c r="K4" s="87">
        <f>F4-I4</f>
        <v>0</v>
      </c>
      <c r="L4" s="34"/>
      <c r="M4" s="34"/>
      <c r="N4" s="34"/>
      <c r="O4" s="34"/>
      <c r="P4" s="34"/>
      <c r="Q4" s="34"/>
      <c r="R4" s="34"/>
      <c r="S4" s="34"/>
    </row>
    <row r="5" spans="1:21" x14ac:dyDescent="0.2">
      <c r="G5" s="126" t="s">
        <v>12</v>
      </c>
      <c r="H5" s="126"/>
      <c r="I5" s="126"/>
      <c r="J5" s="126"/>
      <c r="K5" s="126"/>
      <c r="L5" s="126"/>
      <c r="M5" s="52"/>
    </row>
    <row r="6" spans="1:21" x14ac:dyDescent="0.2">
      <c r="A6" s="116" t="s">
        <v>37</v>
      </c>
      <c r="B6" s="116" t="s">
        <v>65</v>
      </c>
      <c r="C6" s="118" t="s">
        <v>10</v>
      </c>
      <c r="D6" s="118" t="s">
        <v>66</v>
      </c>
      <c r="E6" s="118" t="s">
        <v>67</v>
      </c>
      <c r="F6" s="118" t="s">
        <v>68</v>
      </c>
      <c r="G6" s="127" t="s">
        <v>69</v>
      </c>
      <c r="H6" s="127" t="s">
        <v>70</v>
      </c>
      <c r="I6" s="127" t="s">
        <v>71</v>
      </c>
      <c r="J6" s="118" t="s">
        <v>19</v>
      </c>
      <c r="K6" s="128" t="s">
        <v>72</v>
      </c>
      <c r="L6" s="128" t="s">
        <v>73</v>
      </c>
      <c r="M6" s="120" t="s">
        <v>16</v>
      </c>
    </row>
    <row r="7" spans="1:21" x14ac:dyDescent="0.2">
      <c r="A7" s="117"/>
      <c r="B7" s="117"/>
      <c r="C7" s="119"/>
      <c r="D7" s="119"/>
      <c r="E7" s="119"/>
      <c r="F7" s="119"/>
      <c r="G7" s="127"/>
      <c r="H7" s="127"/>
      <c r="I7" s="127"/>
      <c r="J7" s="119"/>
      <c r="K7" s="129"/>
      <c r="L7" s="129"/>
      <c r="M7" s="121"/>
    </row>
    <row r="8" spans="1:21" ht="16" x14ac:dyDescent="0.2">
      <c r="A8" s="31">
        <v>1</v>
      </c>
      <c r="B8" s="53" t="str">
        <f>CONCATENATE("SPRE-",LEFT("0000",4-LEN(ROW(A2)-1)),ROW(A2)-1)</f>
        <v>SPRE-0001</v>
      </c>
      <c r="C8" s="11"/>
      <c r="D8" s="11"/>
      <c r="E8" s="67"/>
      <c r="F8" s="54"/>
      <c r="G8" s="55"/>
      <c r="H8" s="55"/>
      <c r="I8" s="55"/>
      <c r="J8" s="55"/>
      <c r="K8" s="70"/>
      <c r="L8" s="9"/>
      <c r="M8" s="3"/>
    </row>
    <row r="9" spans="1:21" ht="16" x14ac:dyDescent="0.2">
      <c r="A9" s="31">
        <v>2</v>
      </c>
      <c r="B9" s="53" t="str">
        <f t="shared" ref="B9:B38" si="0">CONCATENATE("SPRE-",LEFT("0000",4-LEN(ROW(A3)-1)),ROW(A3)-1)</f>
        <v>SPRE-0002</v>
      </c>
      <c r="C9" s="11"/>
      <c r="D9" s="11"/>
      <c r="E9" s="67"/>
      <c r="F9" s="54"/>
      <c r="G9" s="55"/>
      <c r="H9" s="55"/>
      <c r="I9" s="55"/>
      <c r="J9" s="55"/>
      <c r="K9" s="70"/>
      <c r="L9" s="9"/>
      <c r="M9" s="3"/>
    </row>
    <row r="10" spans="1:21" ht="16" x14ac:dyDescent="0.2">
      <c r="A10" s="31">
        <v>3</v>
      </c>
      <c r="B10" s="53" t="str">
        <f t="shared" si="0"/>
        <v>SPRE-0003</v>
      </c>
      <c r="C10" s="11"/>
      <c r="D10" s="11"/>
      <c r="E10" s="67"/>
      <c r="F10" s="54"/>
      <c r="G10" s="55"/>
      <c r="H10" s="55"/>
      <c r="I10" s="55"/>
      <c r="J10" s="55"/>
      <c r="K10" s="70"/>
      <c r="L10" s="9"/>
      <c r="M10" s="3"/>
    </row>
    <row r="11" spans="1:21" ht="16" x14ac:dyDescent="0.2">
      <c r="A11" s="31">
        <v>4</v>
      </c>
      <c r="B11" s="53" t="str">
        <f t="shared" si="0"/>
        <v>SPRE-0004</v>
      </c>
      <c r="C11" s="11"/>
      <c r="D11" s="11"/>
      <c r="E11" s="67"/>
      <c r="F11" s="54"/>
      <c r="G11" s="55"/>
      <c r="H11" s="55"/>
      <c r="I11" s="55"/>
      <c r="J11" s="55"/>
      <c r="K11" s="70"/>
      <c r="L11" s="9"/>
      <c r="M11" s="3"/>
    </row>
    <row r="12" spans="1:21" ht="16" x14ac:dyDescent="0.2">
      <c r="A12" s="31">
        <v>5</v>
      </c>
      <c r="B12" s="53" t="str">
        <f t="shared" si="0"/>
        <v>SPRE-0005</v>
      </c>
      <c r="C12" s="11"/>
      <c r="D12" s="11"/>
      <c r="E12" s="67"/>
      <c r="F12" s="54"/>
      <c r="G12" s="55"/>
      <c r="H12" s="55"/>
      <c r="I12" s="55"/>
      <c r="J12" s="55"/>
      <c r="K12" s="70"/>
      <c r="L12" s="9"/>
      <c r="M12" s="3"/>
    </row>
    <row r="13" spans="1:21" ht="16" x14ac:dyDescent="0.2">
      <c r="A13" s="31">
        <v>6</v>
      </c>
      <c r="B13" s="53" t="str">
        <f t="shared" si="0"/>
        <v>SPRE-0006</v>
      </c>
      <c r="C13" s="11"/>
      <c r="D13" s="11"/>
      <c r="E13" s="67"/>
      <c r="F13" s="54"/>
      <c r="G13" s="55"/>
      <c r="H13" s="55"/>
      <c r="I13" s="55"/>
      <c r="J13" s="55"/>
      <c r="K13" s="70"/>
      <c r="L13" s="9"/>
      <c r="M13" s="3"/>
    </row>
    <row r="14" spans="1:21" ht="16" x14ac:dyDescent="0.2">
      <c r="A14" s="31">
        <v>7</v>
      </c>
      <c r="B14" s="53" t="str">
        <f t="shared" si="0"/>
        <v>SPRE-0007</v>
      </c>
      <c r="C14" s="11"/>
      <c r="D14" s="11"/>
      <c r="E14" s="67"/>
      <c r="F14" s="54"/>
      <c r="G14" s="55"/>
      <c r="H14" s="55"/>
      <c r="I14" s="55"/>
      <c r="J14" s="55"/>
      <c r="K14" s="70"/>
      <c r="L14" s="9"/>
      <c r="M14" s="3"/>
    </row>
    <row r="15" spans="1:21" ht="16" x14ac:dyDescent="0.2">
      <c r="A15" s="31">
        <v>8</v>
      </c>
      <c r="B15" s="53" t="str">
        <f t="shared" si="0"/>
        <v>SPRE-0008</v>
      </c>
      <c r="C15" s="11"/>
      <c r="D15" s="11"/>
      <c r="E15" s="67"/>
      <c r="F15" s="54"/>
      <c r="G15" s="55"/>
      <c r="H15" s="55"/>
      <c r="I15" s="55"/>
      <c r="J15" s="55"/>
      <c r="K15" s="70"/>
      <c r="L15" s="9"/>
      <c r="M15" s="3"/>
    </row>
    <row r="16" spans="1:21" ht="16" x14ac:dyDescent="0.2">
      <c r="A16" s="31">
        <v>9</v>
      </c>
      <c r="B16" s="53" t="str">
        <f t="shared" si="0"/>
        <v>SPRE-0009</v>
      </c>
      <c r="C16" s="11"/>
      <c r="D16" s="11"/>
      <c r="E16" s="67"/>
      <c r="F16" s="54"/>
      <c r="G16" s="55"/>
      <c r="H16" s="55"/>
      <c r="I16" s="55"/>
      <c r="J16" s="55"/>
      <c r="K16" s="70"/>
      <c r="L16" s="9"/>
      <c r="M16" s="3"/>
    </row>
    <row r="17" spans="1:13" ht="16" x14ac:dyDescent="0.2">
      <c r="A17" s="31">
        <v>10</v>
      </c>
      <c r="B17" s="53" t="str">
        <f t="shared" si="0"/>
        <v>SPRE-0010</v>
      </c>
      <c r="C17" s="11"/>
      <c r="D17" s="11"/>
      <c r="E17" s="67"/>
      <c r="F17" s="54"/>
      <c r="G17" s="55"/>
      <c r="H17" s="55"/>
      <c r="I17" s="55"/>
      <c r="J17" s="55"/>
      <c r="K17" s="70"/>
      <c r="L17" s="9"/>
      <c r="M17" s="3"/>
    </row>
    <row r="18" spans="1:13" ht="16" x14ac:dyDescent="0.2">
      <c r="A18" s="31">
        <v>11</v>
      </c>
      <c r="B18" s="53" t="str">
        <f t="shared" si="0"/>
        <v>SPRE-0011</v>
      </c>
      <c r="C18" s="11"/>
      <c r="D18" s="11"/>
      <c r="E18" s="67"/>
      <c r="F18" s="54"/>
      <c r="G18" s="55"/>
      <c r="H18" s="55"/>
      <c r="I18" s="55"/>
      <c r="J18" s="55"/>
      <c r="K18" s="70"/>
      <c r="L18" s="9"/>
      <c r="M18" s="3"/>
    </row>
    <row r="19" spans="1:13" ht="16" x14ac:dyDescent="0.2">
      <c r="A19" s="31">
        <v>12</v>
      </c>
      <c r="B19" s="53" t="str">
        <f t="shared" si="0"/>
        <v>SPRE-0012</v>
      </c>
      <c r="C19" s="11"/>
      <c r="D19" s="11"/>
      <c r="E19" s="67"/>
      <c r="F19" s="54"/>
      <c r="G19" s="55"/>
      <c r="H19" s="55"/>
      <c r="I19" s="55"/>
      <c r="J19" s="55"/>
      <c r="K19" s="70"/>
      <c r="L19" s="9"/>
      <c r="M19" s="3"/>
    </row>
    <row r="20" spans="1:13" ht="16" x14ac:dyDescent="0.2">
      <c r="A20" s="31">
        <v>13</v>
      </c>
      <c r="B20" s="53" t="str">
        <f t="shared" si="0"/>
        <v>SPRE-0013</v>
      </c>
      <c r="C20" s="11"/>
      <c r="D20" s="11"/>
      <c r="E20" s="67"/>
      <c r="F20" s="54"/>
      <c r="G20" s="55"/>
      <c r="H20" s="55"/>
      <c r="I20" s="55"/>
      <c r="J20" s="55"/>
      <c r="K20" s="70"/>
      <c r="L20" s="9"/>
      <c r="M20" s="3"/>
    </row>
    <row r="21" spans="1:13" ht="16" x14ac:dyDescent="0.2">
      <c r="A21" s="31">
        <v>14</v>
      </c>
      <c r="B21" s="53" t="str">
        <f t="shared" si="0"/>
        <v>SPRE-0014</v>
      </c>
      <c r="C21" s="11"/>
      <c r="D21" s="11"/>
      <c r="E21" s="67"/>
      <c r="F21" s="54"/>
      <c r="G21" s="55"/>
      <c r="H21" s="55"/>
      <c r="I21" s="55"/>
      <c r="J21" s="55"/>
      <c r="K21" s="70"/>
      <c r="L21" s="9"/>
      <c r="M21" s="3"/>
    </row>
    <row r="22" spans="1:13" ht="16" x14ac:dyDescent="0.2">
      <c r="A22" s="31">
        <v>15</v>
      </c>
      <c r="B22" s="53" t="str">
        <f t="shared" si="0"/>
        <v>SPRE-0015</v>
      </c>
      <c r="C22" s="11"/>
      <c r="D22" s="11"/>
      <c r="E22" s="67"/>
      <c r="F22" s="54"/>
      <c r="G22" s="55"/>
      <c r="H22" s="55"/>
      <c r="I22" s="55"/>
      <c r="J22" s="55"/>
      <c r="K22" s="70"/>
      <c r="L22" s="9"/>
      <c r="M22" s="3"/>
    </row>
    <row r="23" spans="1:13" ht="16" x14ac:dyDescent="0.2">
      <c r="A23" s="31">
        <v>16</v>
      </c>
      <c r="B23" s="53" t="str">
        <f t="shared" si="0"/>
        <v>SPRE-0016</v>
      </c>
      <c r="C23" s="11"/>
      <c r="D23" s="11"/>
      <c r="E23" s="67"/>
      <c r="F23" s="54"/>
      <c r="G23" s="55"/>
      <c r="H23" s="55"/>
      <c r="I23" s="55"/>
      <c r="J23" s="55"/>
      <c r="K23" s="70"/>
      <c r="L23" s="9"/>
      <c r="M23" s="3"/>
    </row>
    <row r="24" spans="1:13" ht="16" x14ac:dyDescent="0.2">
      <c r="A24" s="31">
        <v>17</v>
      </c>
      <c r="B24" s="53" t="str">
        <f t="shared" si="0"/>
        <v>SPRE-0017</v>
      </c>
      <c r="C24" s="11"/>
      <c r="D24" s="11"/>
      <c r="E24" s="67"/>
      <c r="F24" s="54"/>
      <c r="G24" s="55"/>
      <c r="H24" s="55"/>
      <c r="I24" s="55"/>
      <c r="J24" s="55"/>
      <c r="K24" s="70"/>
      <c r="L24" s="9"/>
      <c r="M24" s="3"/>
    </row>
    <row r="25" spans="1:13" ht="16" x14ac:dyDescent="0.2">
      <c r="A25" s="31">
        <v>18</v>
      </c>
      <c r="B25" s="53" t="str">
        <f t="shared" si="0"/>
        <v>SPRE-0018</v>
      </c>
      <c r="C25" s="11"/>
      <c r="D25" s="11"/>
      <c r="E25" s="67"/>
      <c r="F25" s="54"/>
      <c r="G25" s="55"/>
      <c r="H25" s="55"/>
      <c r="I25" s="55"/>
      <c r="J25" s="55"/>
      <c r="K25" s="70"/>
      <c r="L25" s="9"/>
      <c r="M25" s="3"/>
    </row>
    <row r="26" spans="1:13" ht="16" x14ac:dyDescent="0.2">
      <c r="A26" s="31">
        <v>19</v>
      </c>
      <c r="B26" s="53" t="str">
        <f t="shared" si="0"/>
        <v>SPRE-0019</v>
      </c>
      <c r="C26" s="11"/>
      <c r="D26" s="11"/>
      <c r="E26" s="67"/>
      <c r="F26" s="54"/>
      <c r="G26" s="55"/>
      <c r="H26" s="55"/>
      <c r="I26" s="55"/>
      <c r="J26" s="55"/>
      <c r="K26" s="70"/>
      <c r="L26" s="9"/>
      <c r="M26" s="3"/>
    </row>
    <row r="27" spans="1:13" ht="16" x14ac:dyDescent="0.2">
      <c r="A27" s="31">
        <v>20</v>
      </c>
      <c r="B27" s="53" t="str">
        <f t="shared" si="0"/>
        <v>SPRE-0020</v>
      </c>
      <c r="C27" s="11"/>
      <c r="D27" s="11"/>
      <c r="E27" s="67"/>
      <c r="F27" s="54"/>
      <c r="G27" s="55"/>
      <c r="H27" s="55"/>
      <c r="I27" s="55"/>
      <c r="J27" s="55"/>
      <c r="K27" s="70"/>
      <c r="L27" s="9"/>
      <c r="M27" s="3"/>
    </row>
    <row r="28" spans="1:13" ht="16" x14ac:dyDescent="0.2">
      <c r="A28" s="31">
        <v>21</v>
      </c>
      <c r="B28" s="53" t="str">
        <f t="shared" si="0"/>
        <v>SPRE-0021</v>
      </c>
      <c r="C28" s="11"/>
      <c r="D28" s="11"/>
      <c r="E28" s="67"/>
      <c r="F28" s="54"/>
      <c r="G28" s="55"/>
      <c r="H28" s="55"/>
      <c r="I28" s="55"/>
      <c r="J28" s="55"/>
      <c r="K28" s="70"/>
      <c r="L28" s="9"/>
      <c r="M28" s="3"/>
    </row>
    <row r="29" spans="1:13" ht="16" x14ac:dyDescent="0.2">
      <c r="A29" s="31">
        <v>22</v>
      </c>
      <c r="B29" s="53" t="str">
        <f t="shared" si="0"/>
        <v>SPRE-0022</v>
      </c>
      <c r="C29" s="11"/>
      <c r="D29" s="11"/>
      <c r="E29" s="67"/>
      <c r="F29" s="54"/>
      <c r="G29" s="55"/>
      <c r="H29" s="55"/>
      <c r="I29" s="55"/>
      <c r="J29" s="55"/>
      <c r="K29" s="70"/>
      <c r="L29" s="9"/>
      <c r="M29" s="3"/>
    </row>
    <row r="30" spans="1:13" ht="16" x14ac:dyDescent="0.2">
      <c r="A30" s="31">
        <v>23</v>
      </c>
      <c r="B30" s="53" t="str">
        <f t="shared" si="0"/>
        <v>SPRE-0023</v>
      </c>
      <c r="C30" s="11"/>
      <c r="D30" s="11"/>
      <c r="E30" s="67"/>
      <c r="F30" s="54"/>
      <c r="G30" s="55"/>
      <c r="H30" s="55"/>
      <c r="I30" s="55"/>
      <c r="J30" s="55"/>
      <c r="K30" s="70"/>
      <c r="L30" s="9"/>
      <c r="M30" s="3"/>
    </row>
    <row r="31" spans="1:13" ht="16" x14ac:dyDescent="0.2">
      <c r="A31" s="31">
        <v>24</v>
      </c>
      <c r="B31" s="53" t="str">
        <f t="shared" si="0"/>
        <v>SPRE-0024</v>
      </c>
      <c r="C31" s="11"/>
      <c r="D31" s="11"/>
      <c r="E31" s="67"/>
      <c r="F31" s="54"/>
      <c r="G31" s="55"/>
      <c r="H31" s="55"/>
      <c r="I31" s="55"/>
      <c r="J31" s="55"/>
      <c r="K31" s="70"/>
      <c r="L31" s="9"/>
      <c r="M31" s="3"/>
    </row>
    <row r="32" spans="1:13" ht="16" x14ac:dyDescent="0.2">
      <c r="A32" s="31">
        <v>25</v>
      </c>
      <c r="B32" s="53" t="str">
        <f t="shared" si="0"/>
        <v>SPRE-0025</v>
      </c>
      <c r="C32" s="11"/>
      <c r="D32" s="11"/>
      <c r="E32" s="67"/>
      <c r="F32" s="54"/>
      <c r="G32" s="55"/>
      <c r="H32" s="55"/>
      <c r="I32" s="55"/>
      <c r="J32" s="55"/>
      <c r="K32" s="70"/>
      <c r="L32" s="9"/>
      <c r="M32" s="3"/>
    </row>
    <row r="33" spans="1:13" ht="16" x14ac:dyDescent="0.2">
      <c r="A33" s="31">
        <v>26</v>
      </c>
      <c r="B33" s="53" t="str">
        <f t="shared" si="0"/>
        <v>SPRE-0026</v>
      </c>
      <c r="C33" s="11"/>
      <c r="D33" s="11"/>
      <c r="E33" s="67"/>
      <c r="F33" s="54"/>
      <c r="G33" s="55"/>
      <c r="H33" s="55"/>
      <c r="I33" s="55"/>
      <c r="J33" s="55"/>
      <c r="K33" s="70"/>
      <c r="L33" s="9"/>
      <c r="M33" s="3"/>
    </row>
    <row r="34" spans="1:13" ht="16" x14ac:dyDescent="0.2">
      <c r="A34" s="31">
        <v>27</v>
      </c>
      <c r="B34" s="53" t="str">
        <f t="shared" si="0"/>
        <v>SPRE-0027</v>
      </c>
      <c r="C34" s="11"/>
      <c r="D34" s="11"/>
      <c r="E34" s="67"/>
      <c r="F34" s="54"/>
      <c r="G34" s="55"/>
      <c r="H34" s="55"/>
      <c r="I34" s="55"/>
      <c r="J34" s="55"/>
      <c r="K34" s="70"/>
      <c r="L34" s="9"/>
      <c r="M34" s="3"/>
    </row>
    <row r="35" spans="1:13" ht="16" x14ac:dyDescent="0.2">
      <c r="A35" s="31">
        <v>28</v>
      </c>
      <c r="B35" s="53" t="str">
        <f t="shared" si="0"/>
        <v>SPRE-0028</v>
      </c>
      <c r="C35" s="11"/>
      <c r="D35" s="11"/>
      <c r="E35" s="67"/>
      <c r="F35" s="54"/>
      <c r="G35" s="55"/>
      <c r="H35" s="55"/>
      <c r="I35" s="55"/>
      <c r="J35" s="55"/>
      <c r="K35" s="70"/>
      <c r="L35" s="9"/>
      <c r="M35" s="3"/>
    </row>
    <row r="36" spans="1:13" ht="16" x14ac:dyDescent="0.2">
      <c r="A36" s="31">
        <v>29</v>
      </c>
      <c r="B36" s="53" t="str">
        <f t="shared" si="0"/>
        <v>SPRE-0029</v>
      </c>
      <c r="C36" s="11"/>
      <c r="D36" s="11"/>
      <c r="E36" s="67"/>
      <c r="F36" s="54"/>
      <c r="G36" s="55"/>
      <c r="H36" s="55"/>
      <c r="I36" s="55"/>
      <c r="J36" s="55"/>
      <c r="K36" s="70"/>
      <c r="L36" s="9"/>
      <c r="M36" s="3"/>
    </row>
    <row r="37" spans="1:13" ht="16" x14ac:dyDescent="0.2">
      <c r="A37" s="31">
        <v>30</v>
      </c>
      <c r="B37" s="53" t="str">
        <f t="shared" si="0"/>
        <v>SPRE-0030</v>
      </c>
      <c r="C37" s="11"/>
      <c r="D37" s="11"/>
      <c r="E37" s="67"/>
      <c r="F37" s="54"/>
      <c r="G37" s="55"/>
      <c r="H37" s="55"/>
      <c r="I37" s="55"/>
      <c r="J37" s="55"/>
      <c r="K37" s="70"/>
      <c r="L37" s="9"/>
      <c r="M37" s="3"/>
    </row>
    <row r="38" spans="1:13" ht="16" x14ac:dyDescent="0.2">
      <c r="A38" s="31">
        <v>31</v>
      </c>
      <c r="B38" s="53" t="str">
        <f t="shared" si="0"/>
        <v>SPRE-0031</v>
      </c>
      <c r="C38" s="11"/>
      <c r="D38" s="11"/>
      <c r="E38" s="67"/>
      <c r="F38" s="54"/>
      <c r="G38" s="55"/>
      <c r="H38" s="55"/>
      <c r="I38" s="55"/>
      <c r="J38" s="55"/>
      <c r="K38" s="70"/>
      <c r="L38" s="9"/>
      <c r="M38" s="3"/>
    </row>
    <row r="39" spans="1:13" ht="16" thickBot="1" x14ac:dyDescent="0.25">
      <c r="A39" s="47"/>
      <c r="B39" s="47"/>
      <c r="C39" s="68" t="s">
        <v>49</v>
      </c>
      <c r="D39" s="69">
        <f>SUM(D8:D38)</f>
        <v>0</v>
      </c>
      <c r="E39" s="69">
        <f>SUM(E8:E38)</f>
        <v>0</v>
      </c>
      <c r="F39" s="68"/>
      <c r="G39" s="68"/>
      <c r="H39" s="68"/>
      <c r="I39" s="68"/>
      <c r="J39" s="68"/>
      <c r="K39" s="71"/>
      <c r="L39" s="68"/>
      <c r="M39" s="68"/>
    </row>
    <row r="40" spans="1:13" ht="16" thickTop="1" x14ac:dyDescent="0.2"/>
  </sheetData>
  <mergeCells count="25">
    <mergeCell ref="B3:C3"/>
    <mergeCell ref="D3:E3"/>
    <mergeCell ref="F3:G3"/>
    <mergeCell ref="B1:U1"/>
    <mergeCell ref="B2:C2"/>
    <mergeCell ref="D2:G2"/>
    <mergeCell ref="H2:I2"/>
    <mergeCell ref="J2:K2"/>
    <mergeCell ref="B4:C4"/>
    <mergeCell ref="D4:E4"/>
    <mergeCell ref="F4:G4"/>
    <mergeCell ref="G5:L5"/>
    <mergeCell ref="A6:A7"/>
    <mergeCell ref="B6:B7"/>
    <mergeCell ref="C6:C7"/>
    <mergeCell ref="D6:D7"/>
    <mergeCell ref="E6:E7"/>
    <mergeCell ref="F6:F7"/>
    <mergeCell ref="M6:M7"/>
    <mergeCell ref="G6:G7"/>
    <mergeCell ref="H6:H7"/>
    <mergeCell ref="I6:I7"/>
    <mergeCell ref="J6:J7"/>
    <mergeCell ref="K6:K7"/>
    <mergeCell ref="L6:L7"/>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800-000000000000}">
          <x14:formula1>
            <xm:f>'Macro-Sheet'!$E$2:$E$6</xm:f>
          </x14:formula1>
          <xm:sqref>J8:J38</xm:sqref>
        </x14:dataValidation>
        <x14:dataValidation type="list" allowBlank="1" showInputMessage="1" showErrorMessage="1" xr:uid="{00000000-0002-0000-0800-000001000000}">
          <x14:formula1>
            <xm:f>'Macro-Sheet'!$K$2:$K$33</xm:f>
          </x14:formula1>
          <xm:sqref>I8:I38</xm:sqref>
        </x14:dataValidation>
        <x14:dataValidation type="list" allowBlank="1" showInputMessage="1" showErrorMessage="1" xr:uid="{00000000-0002-0000-0800-000002000000}">
          <x14:formula1>
            <xm:f>'Macro-Sheet'!$J$2:$J$14</xm:f>
          </x14:formula1>
          <xm:sqref>H8:H38</xm:sqref>
        </x14:dataValidation>
        <x14:dataValidation type="list" allowBlank="1" showInputMessage="1" showErrorMessage="1" xr:uid="{00000000-0002-0000-0800-000003000000}">
          <x14:formula1>
            <xm:f>'Macro-Sheet'!$I$2:$I$7</xm:f>
          </x14:formula1>
          <xm:sqref>G8:G38</xm:sqref>
        </x14:dataValidation>
        <x14:dataValidation type="list" allowBlank="1" showInputMessage="1" showErrorMessage="1" xr:uid="{00000000-0002-0000-0800-000004000000}">
          <x14:formula1>
            <xm:f>'Macro-Sheet'!$C$2:$C$7</xm:f>
          </x14:formula1>
          <xm:sqref>F8:F38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40"/>
  <sheetViews>
    <sheetView workbookViewId="0">
      <pane xSplit="3" ySplit="7" topLeftCell="D8" activePane="bottomRight" state="frozen"/>
      <selection pane="topRight" activeCell="D1" sqref="D1"/>
      <selection pane="bottomLeft" activeCell="A8" sqref="A8"/>
      <selection pane="bottomRight" activeCell="B8" sqref="B8:B38"/>
    </sheetView>
  </sheetViews>
  <sheetFormatPr baseColWidth="10" defaultColWidth="9.1640625" defaultRowHeight="15" x14ac:dyDescent="0.2"/>
  <cols>
    <col min="1" max="1" width="5.5" style="30" bestFit="1" customWidth="1"/>
    <col min="2" max="2" width="15.5" style="30" bestFit="1" customWidth="1"/>
    <col min="3" max="3" width="49.1640625" style="30" bestFit="1" customWidth="1"/>
    <col min="4" max="4" width="8.83203125" style="30" customWidth="1"/>
    <col min="5" max="5" width="12.6640625" style="30" customWidth="1"/>
    <col min="6" max="6" width="15.5" style="30" customWidth="1"/>
    <col min="7" max="7" width="6.5" style="30" customWidth="1"/>
    <col min="8" max="8" width="13.6640625" style="30" customWidth="1"/>
    <col min="9" max="9" width="12.5" style="30" bestFit="1" customWidth="1"/>
    <col min="10" max="10" width="13.6640625" style="30" customWidth="1"/>
    <col min="11" max="11" width="13.6640625" style="85" customWidth="1"/>
    <col min="12" max="12" width="11.6640625" style="30" customWidth="1"/>
    <col min="13" max="13" width="29.83203125" style="30" customWidth="1"/>
    <col min="14" max="21" width="13.6640625" style="30" customWidth="1"/>
    <col min="22" max="28" width="12.83203125" style="30" customWidth="1"/>
    <col min="29" max="29" width="38.1640625" style="30" customWidth="1"/>
    <col min="30" max="16384" width="9.1640625" style="30"/>
  </cols>
  <sheetData>
    <row r="1" spans="1:21" ht="26" x14ac:dyDescent="0.2">
      <c r="B1" s="107" t="s">
        <v>105</v>
      </c>
      <c r="C1" s="108"/>
      <c r="D1" s="108"/>
      <c r="E1" s="108"/>
      <c r="F1" s="108"/>
      <c r="G1" s="108"/>
      <c r="H1" s="108"/>
      <c r="I1" s="108"/>
      <c r="J1" s="108"/>
      <c r="K1" s="108"/>
      <c r="L1" s="108"/>
      <c r="M1" s="108"/>
      <c r="N1" s="108"/>
      <c r="O1" s="108"/>
      <c r="P1" s="108"/>
      <c r="Q1" s="108"/>
      <c r="R1" s="108"/>
      <c r="S1" s="108"/>
      <c r="T1" s="108"/>
      <c r="U1" s="108"/>
    </row>
    <row r="2" spans="1:21" x14ac:dyDescent="0.2">
      <c r="B2" s="101" t="s">
        <v>48</v>
      </c>
      <c r="C2" s="102"/>
      <c r="D2" s="109" t="s">
        <v>34</v>
      </c>
      <c r="E2" s="110"/>
      <c r="F2" s="110"/>
      <c r="G2" s="111"/>
      <c r="H2" s="112" t="s">
        <v>35</v>
      </c>
      <c r="I2" s="113"/>
      <c r="J2" s="114" t="s">
        <v>36</v>
      </c>
      <c r="K2" s="115"/>
      <c r="L2" s="33"/>
      <c r="M2" s="34"/>
      <c r="N2" s="34"/>
      <c r="O2" s="34"/>
      <c r="P2" s="34"/>
      <c r="Q2" s="34"/>
      <c r="R2" s="34"/>
      <c r="S2" s="34"/>
      <c r="T2" s="34"/>
      <c r="U2" s="34"/>
    </row>
    <row r="3" spans="1:21" x14ac:dyDescent="0.2">
      <c r="B3" s="101" t="str">
        <f>'Budget Summary'!B10</f>
        <v>TMI</v>
      </c>
      <c r="C3" s="102"/>
      <c r="D3" s="103" t="s">
        <v>39</v>
      </c>
      <c r="E3" s="104"/>
      <c r="F3" s="105" t="s">
        <v>40</v>
      </c>
      <c r="G3" s="106"/>
      <c r="H3" s="27" t="s">
        <v>39</v>
      </c>
      <c r="I3" s="28" t="s">
        <v>40</v>
      </c>
      <c r="J3" s="27" t="s">
        <v>39</v>
      </c>
      <c r="K3" s="86" t="s">
        <v>40</v>
      </c>
      <c r="L3" s="34"/>
      <c r="M3" s="34"/>
      <c r="N3" s="34"/>
      <c r="O3" s="34"/>
      <c r="P3" s="34"/>
      <c r="Q3" s="34"/>
      <c r="R3" s="34"/>
      <c r="S3" s="34"/>
    </row>
    <row r="4" spans="1:21" x14ac:dyDescent="0.2">
      <c r="B4" s="130" t="s">
        <v>117</v>
      </c>
      <c r="C4" s="123"/>
      <c r="D4" s="124">
        <f>'Budget Summary'!F5</f>
        <v>0</v>
      </c>
      <c r="E4" s="125"/>
      <c r="F4" s="124">
        <f>'Budget Summary'!G5</f>
        <v>0</v>
      </c>
      <c r="G4" s="125"/>
      <c r="H4" s="46">
        <f>D39</f>
        <v>0</v>
      </c>
      <c r="I4" s="46">
        <f>E39</f>
        <v>0</v>
      </c>
      <c r="J4" s="44">
        <f>D4-H4</f>
        <v>0</v>
      </c>
      <c r="K4" s="87">
        <f>F4-I4</f>
        <v>0</v>
      </c>
      <c r="L4" s="34"/>
      <c r="M4" s="34"/>
      <c r="N4" s="34"/>
      <c r="O4" s="34"/>
      <c r="P4" s="34"/>
      <c r="Q4" s="34"/>
      <c r="R4" s="34"/>
      <c r="S4" s="34"/>
    </row>
    <row r="5" spans="1:21" x14ac:dyDescent="0.2">
      <c r="G5" s="126" t="s">
        <v>12</v>
      </c>
      <c r="H5" s="126"/>
      <c r="I5" s="126"/>
      <c r="J5" s="126"/>
      <c r="K5" s="126"/>
      <c r="L5" s="126"/>
      <c r="M5" s="52"/>
    </row>
    <row r="6" spans="1:21" x14ac:dyDescent="0.2">
      <c r="A6" s="116" t="s">
        <v>37</v>
      </c>
      <c r="B6" s="116" t="s">
        <v>65</v>
      </c>
      <c r="C6" s="118" t="s">
        <v>10</v>
      </c>
      <c r="D6" s="118" t="s">
        <v>66</v>
      </c>
      <c r="E6" s="118" t="s">
        <v>67</v>
      </c>
      <c r="F6" s="118" t="s">
        <v>68</v>
      </c>
      <c r="G6" s="127" t="s">
        <v>69</v>
      </c>
      <c r="H6" s="127" t="s">
        <v>70</v>
      </c>
      <c r="I6" s="127" t="s">
        <v>71</v>
      </c>
      <c r="J6" s="118" t="s">
        <v>19</v>
      </c>
      <c r="K6" s="128" t="s">
        <v>72</v>
      </c>
      <c r="L6" s="128" t="s">
        <v>73</v>
      </c>
      <c r="M6" s="120" t="s">
        <v>16</v>
      </c>
    </row>
    <row r="7" spans="1:21" x14ac:dyDescent="0.2">
      <c r="A7" s="117"/>
      <c r="B7" s="117"/>
      <c r="C7" s="119"/>
      <c r="D7" s="119"/>
      <c r="E7" s="119"/>
      <c r="F7" s="119"/>
      <c r="G7" s="127"/>
      <c r="H7" s="127"/>
      <c r="I7" s="127"/>
      <c r="J7" s="119"/>
      <c r="K7" s="129"/>
      <c r="L7" s="129"/>
      <c r="M7" s="121"/>
    </row>
    <row r="8" spans="1:21" ht="16" x14ac:dyDescent="0.2">
      <c r="A8" s="31">
        <v>1</v>
      </c>
      <c r="B8" s="53" t="str">
        <f>CONCATENATE("TMI-",LEFT("0000",4-LEN(ROW(A2)-1)),ROW(A2)-1)</f>
        <v>TMI-0001</v>
      </c>
      <c r="C8" s="11"/>
      <c r="D8" s="11"/>
      <c r="E8" s="67"/>
      <c r="F8" s="54"/>
      <c r="G8" s="55"/>
      <c r="H8" s="55"/>
      <c r="I8" s="55"/>
      <c r="J8" s="55"/>
      <c r="K8" s="70"/>
      <c r="L8" s="9"/>
      <c r="M8" s="3"/>
    </row>
    <row r="9" spans="1:21" ht="16" x14ac:dyDescent="0.2">
      <c r="A9" s="31">
        <v>2</v>
      </c>
      <c r="B9" s="53" t="str">
        <f t="shared" ref="B9:B38" si="0">CONCATENATE("TMI-",LEFT("0000",4-LEN(ROW(A3)-1)),ROW(A3)-1)</f>
        <v>TMI-0002</v>
      </c>
      <c r="C9" s="11"/>
      <c r="D9" s="11"/>
      <c r="E9" s="67"/>
      <c r="F9" s="54"/>
      <c r="G9" s="55"/>
      <c r="H9" s="55"/>
      <c r="I9" s="55"/>
      <c r="J9" s="55"/>
      <c r="K9" s="70"/>
      <c r="L9" s="9"/>
      <c r="M9" s="3"/>
    </row>
    <row r="10" spans="1:21" ht="16" x14ac:dyDescent="0.2">
      <c r="A10" s="31">
        <v>3</v>
      </c>
      <c r="B10" s="53" t="str">
        <f t="shared" si="0"/>
        <v>TMI-0003</v>
      </c>
      <c r="C10" s="11"/>
      <c r="D10" s="11"/>
      <c r="E10" s="67"/>
      <c r="F10" s="54"/>
      <c r="G10" s="55"/>
      <c r="H10" s="55"/>
      <c r="I10" s="55"/>
      <c r="J10" s="55"/>
      <c r="K10" s="70"/>
      <c r="L10" s="9"/>
      <c r="M10" s="3"/>
    </row>
    <row r="11" spans="1:21" ht="16" x14ac:dyDescent="0.2">
      <c r="A11" s="31">
        <v>4</v>
      </c>
      <c r="B11" s="53" t="str">
        <f t="shared" si="0"/>
        <v>TMI-0004</v>
      </c>
      <c r="C11" s="11"/>
      <c r="D11" s="11"/>
      <c r="E11" s="67"/>
      <c r="F11" s="54"/>
      <c r="G11" s="55"/>
      <c r="H11" s="55"/>
      <c r="I11" s="55"/>
      <c r="J11" s="55"/>
      <c r="K11" s="70"/>
      <c r="L11" s="9"/>
      <c r="M11" s="3"/>
    </row>
    <row r="12" spans="1:21" ht="16" x14ac:dyDescent="0.2">
      <c r="A12" s="31">
        <v>5</v>
      </c>
      <c r="B12" s="53" t="str">
        <f t="shared" si="0"/>
        <v>TMI-0005</v>
      </c>
      <c r="C12" s="11"/>
      <c r="D12" s="11"/>
      <c r="E12" s="67"/>
      <c r="F12" s="54"/>
      <c r="G12" s="55"/>
      <c r="H12" s="55"/>
      <c r="I12" s="55"/>
      <c r="J12" s="55"/>
      <c r="K12" s="70"/>
      <c r="L12" s="9"/>
      <c r="M12" s="3"/>
    </row>
    <row r="13" spans="1:21" ht="16" x14ac:dyDescent="0.2">
      <c r="A13" s="31">
        <v>6</v>
      </c>
      <c r="B13" s="53" t="str">
        <f t="shared" si="0"/>
        <v>TMI-0006</v>
      </c>
      <c r="C13" s="11"/>
      <c r="D13" s="11"/>
      <c r="E13" s="67"/>
      <c r="F13" s="54"/>
      <c r="G13" s="55"/>
      <c r="H13" s="55"/>
      <c r="I13" s="55"/>
      <c r="J13" s="55"/>
      <c r="K13" s="70"/>
      <c r="L13" s="9"/>
      <c r="M13" s="3"/>
    </row>
    <row r="14" spans="1:21" ht="16" x14ac:dyDescent="0.2">
      <c r="A14" s="31">
        <v>7</v>
      </c>
      <c r="B14" s="53" t="str">
        <f t="shared" si="0"/>
        <v>TMI-0007</v>
      </c>
      <c r="C14" s="11"/>
      <c r="D14" s="11"/>
      <c r="E14" s="67"/>
      <c r="F14" s="54"/>
      <c r="G14" s="55"/>
      <c r="H14" s="55"/>
      <c r="I14" s="55"/>
      <c r="J14" s="55"/>
      <c r="K14" s="70"/>
      <c r="L14" s="9"/>
      <c r="M14" s="3"/>
    </row>
    <row r="15" spans="1:21" ht="16" x14ac:dyDescent="0.2">
      <c r="A15" s="31">
        <v>8</v>
      </c>
      <c r="B15" s="53" t="str">
        <f t="shared" si="0"/>
        <v>TMI-0008</v>
      </c>
      <c r="C15" s="11"/>
      <c r="D15" s="11"/>
      <c r="E15" s="67"/>
      <c r="F15" s="54"/>
      <c r="G15" s="55"/>
      <c r="H15" s="55"/>
      <c r="I15" s="55"/>
      <c r="J15" s="55"/>
      <c r="K15" s="70"/>
      <c r="L15" s="9"/>
      <c r="M15" s="3"/>
    </row>
    <row r="16" spans="1:21" ht="16" x14ac:dyDescent="0.2">
      <c r="A16" s="31">
        <v>9</v>
      </c>
      <c r="B16" s="53" t="str">
        <f t="shared" si="0"/>
        <v>TMI-0009</v>
      </c>
      <c r="C16" s="11"/>
      <c r="D16" s="11"/>
      <c r="E16" s="67"/>
      <c r="F16" s="54"/>
      <c r="G16" s="55"/>
      <c r="H16" s="55"/>
      <c r="I16" s="55"/>
      <c r="J16" s="55"/>
      <c r="K16" s="70"/>
      <c r="L16" s="9"/>
      <c r="M16" s="3"/>
    </row>
    <row r="17" spans="1:13" ht="16" x14ac:dyDescent="0.2">
      <c r="A17" s="31">
        <v>10</v>
      </c>
      <c r="B17" s="53" t="str">
        <f t="shared" si="0"/>
        <v>TMI-0010</v>
      </c>
      <c r="C17" s="11"/>
      <c r="D17" s="11"/>
      <c r="E17" s="67"/>
      <c r="F17" s="54"/>
      <c r="G17" s="55"/>
      <c r="H17" s="55"/>
      <c r="I17" s="55"/>
      <c r="J17" s="55"/>
      <c r="K17" s="70"/>
      <c r="L17" s="9"/>
      <c r="M17" s="3"/>
    </row>
    <row r="18" spans="1:13" ht="16" x14ac:dyDescent="0.2">
      <c r="A18" s="31">
        <v>11</v>
      </c>
      <c r="B18" s="53" t="str">
        <f t="shared" si="0"/>
        <v>TMI-0011</v>
      </c>
      <c r="C18" s="11"/>
      <c r="D18" s="11"/>
      <c r="E18" s="67"/>
      <c r="F18" s="54"/>
      <c r="G18" s="55"/>
      <c r="H18" s="55"/>
      <c r="I18" s="55"/>
      <c r="J18" s="55"/>
      <c r="K18" s="70"/>
      <c r="L18" s="9"/>
      <c r="M18" s="3"/>
    </row>
    <row r="19" spans="1:13" ht="16" x14ac:dyDescent="0.2">
      <c r="A19" s="31">
        <v>12</v>
      </c>
      <c r="B19" s="53" t="str">
        <f t="shared" si="0"/>
        <v>TMI-0012</v>
      </c>
      <c r="C19" s="11"/>
      <c r="D19" s="11"/>
      <c r="E19" s="67"/>
      <c r="F19" s="54"/>
      <c r="G19" s="55"/>
      <c r="H19" s="55"/>
      <c r="I19" s="55"/>
      <c r="J19" s="55"/>
      <c r="K19" s="70"/>
      <c r="L19" s="9"/>
      <c r="M19" s="3"/>
    </row>
    <row r="20" spans="1:13" ht="16" x14ac:dyDescent="0.2">
      <c r="A20" s="31">
        <v>13</v>
      </c>
      <c r="B20" s="53" t="str">
        <f t="shared" si="0"/>
        <v>TMI-0013</v>
      </c>
      <c r="C20" s="11"/>
      <c r="D20" s="11"/>
      <c r="E20" s="67"/>
      <c r="F20" s="54"/>
      <c r="G20" s="55"/>
      <c r="H20" s="55"/>
      <c r="I20" s="55"/>
      <c r="J20" s="55"/>
      <c r="K20" s="70"/>
      <c r="L20" s="9"/>
      <c r="M20" s="3"/>
    </row>
    <row r="21" spans="1:13" ht="16" x14ac:dyDescent="0.2">
      <c r="A21" s="31">
        <v>14</v>
      </c>
      <c r="B21" s="53" t="str">
        <f t="shared" si="0"/>
        <v>TMI-0014</v>
      </c>
      <c r="C21" s="11"/>
      <c r="D21" s="11"/>
      <c r="E21" s="67"/>
      <c r="F21" s="54"/>
      <c r="G21" s="55"/>
      <c r="H21" s="55"/>
      <c r="I21" s="55"/>
      <c r="J21" s="55"/>
      <c r="K21" s="70"/>
      <c r="L21" s="9"/>
      <c r="M21" s="3"/>
    </row>
    <row r="22" spans="1:13" ht="16" x14ac:dyDescent="0.2">
      <c r="A22" s="31">
        <v>15</v>
      </c>
      <c r="B22" s="53" t="str">
        <f t="shared" si="0"/>
        <v>TMI-0015</v>
      </c>
      <c r="C22" s="11"/>
      <c r="D22" s="11"/>
      <c r="E22" s="67"/>
      <c r="F22" s="54"/>
      <c r="G22" s="55"/>
      <c r="H22" s="55"/>
      <c r="I22" s="55"/>
      <c r="J22" s="55"/>
      <c r="K22" s="70"/>
      <c r="L22" s="9"/>
      <c r="M22" s="3"/>
    </row>
    <row r="23" spans="1:13" ht="16" x14ac:dyDescent="0.2">
      <c r="A23" s="31">
        <v>16</v>
      </c>
      <c r="B23" s="53" t="str">
        <f t="shared" si="0"/>
        <v>TMI-0016</v>
      </c>
      <c r="C23" s="11"/>
      <c r="D23" s="11"/>
      <c r="E23" s="67"/>
      <c r="F23" s="54"/>
      <c r="G23" s="55"/>
      <c r="H23" s="55"/>
      <c r="I23" s="55"/>
      <c r="J23" s="55"/>
      <c r="K23" s="70"/>
      <c r="L23" s="9"/>
      <c r="M23" s="3"/>
    </row>
    <row r="24" spans="1:13" ht="16" x14ac:dyDescent="0.2">
      <c r="A24" s="31">
        <v>17</v>
      </c>
      <c r="B24" s="53" t="str">
        <f t="shared" si="0"/>
        <v>TMI-0017</v>
      </c>
      <c r="C24" s="11"/>
      <c r="D24" s="11"/>
      <c r="E24" s="67"/>
      <c r="F24" s="54"/>
      <c r="G24" s="55"/>
      <c r="H24" s="55"/>
      <c r="I24" s="55"/>
      <c r="J24" s="55"/>
      <c r="K24" s="70"/>
      <c r="L24" s="9"/>
      <c r="M24" s="3"/>
    </row>
    <row r="25" spans="1:13" ht="16" x14ac:dyDescent="0.2">
      <c r="A25" s="31">
        <v>18</v>
      </c>
      <c r="B25" s="53" t="str">
        <f t="shared" si="0"/>
        <v>TMI-0018</v>
      </c>
      <c r="C25" s="11"/>
      <c r="D25" s="11"/>
      <c r="E25" s="67"/>
      <c r="F25" s="54"/>
      <c r="G25" s="55"/>
      <c r="H25" s="55"/>
      <c r="I25" s="55"/>
      <c r="J25" s="55"/>
      <c r="K25" s="70"/>
      <c r="L25" s="9"/>
      <c r="M25" s="3"/>
    </row>
    <row r="26" spans="1:13" ht="16" x14ac:dyDescent="0.2">
      <c r="A26" s="31">
        <v>19</v>
      </c>
      <c r="B26" s="53" t="str">
        <f t="shared" si="0"/>
        <v>TMI-0019</v>
      </c>
      <c r="C26" s="11"/>
      <c r="D26" s="11"/>
      <c r="E26" s="67"/>
      <c r="F26" s="54"/>
      <c r="G26" s="55"/>
      <c r="H26" s="55"/>
      <c r="I26" s="55"/>
      <c r="J26" s="55"/>
      <c r="K26" s="70"/>
      <c r="L26" s="9"/>
      <c r="M26" s="3"/>
    </row>
    <row r="27" spans="1:13" ht="16" x14ac:dyDescent="0.2">
      <c r="A27" s="31">
        <v>20</v>
      </c>
      <c r="B27" s="53" t="str">
        <f t="shared" si="0"/>
        <v>TMI-0020</v>
      </c>
      <c r="C27" s="11"/>
      <c r="D27" s="11"/>
      <c r="E27" s="67"/>
      <c r="F27" s="54"/>
      <c r="G27" s="55"/>
      <c r="H27" s="55"/>
      <c r="I27" s="55"/>
      <c r="J27" s="55"/>
      <c r="K27" s="70"/>
      <c r="L27" s="9"/>
      <c r="M27" s="3"/>
    </row>
    <row r="28" spans="1:13" ht="16" x14ac:dyDescent="0.2">
      <c r="A28" s="31">
        <v>21</v>
      </c>
      <c r="B28" s="53" t="str">
        <f t="shared" si="0"/>
        <v>TMI-0021</v>
      </c>
      <c r="C28" s="11"/>
      <c r="D28" s="11"/>
      <c r="E28" s="67"/>
      <c r="F28" s="54"/>
      <c r="G28" s="55"/>
      <c r="H28" s="55"/>
      <c r="I28" s="55"/>
      <c r="J28" s="55"/>
      <c r="K28" s="70"/>
      <c r="L28" s="9"/>
      <c r="M28" s="3"/>
    </row>
    <row r="29" spans="1:13" ht="16" x14ac:dyDescent="0.2">
      <c r="A29" s="31">
        <v>22</v>
      </c>
      <c r="B29" s="53" t="str">
        <f t="shared" si="0"/>
        <v>TMI-0022</v>
      </c>
      <c r="C29" s="11"/>
      <c r="D29" s="11"/>
      <c r="E29" s="67"/>
      <c r="F29" s="54"/>
      <c r="G29" s="55"/>
      <c r="H29" s="55"/>
      <c r="I29" s="55"/>
      <c r="J29" s="55"/>
      <c r="K29" s="70"/>
      <c r="L29" s="9"/>
      <c r="M29" s="3"/>
    </row>
    <row r="30" spans="1:13" ht="16" x14ac:dyDescent="0.2">
      <c r="A30" s="31">
        <v>23</v>
      </c>
      <c r="B30" s="53" t="str">
        <f t="shared" si="0"/>
        <v>TMI-0023</v>
      </c>
      <c r="C30" s="11"/>
      <c r="D30" s="11"/>
      <c r="E30" s="67"/>
      <c r="F30" s="54"/>
      <c r="G30" s="55"/>
      <c r="H30" s="55"/>
      <c r="I30" s="55"/>
      <c r="J30" s="55"/>
      <c r="K30" s="70"/>
      <c r="L30" s="9"/>
      <c r="M30" s="3"/>
    </row>
    <row r="31" spans="1:13" ht="16" x14ac:dyDescent="0.2">
      <c r="A31" s="31">
        <v>24</v>
      </c>
      <c r="B31" s="53" t="str">
        <f t="shared" si="0"/>
        <v>TMI-0024</v>
      </c>
      <c r="C31" s="11"/>
      <c r="D31" s="11"/>
      <c r="E31" s="67"/>
      <c r="F31" s="54"/>
      <c r="G31" s="55"/>
      <c r="H31" s="55"/>
      <c r="I31" s="55"/>
      <c r="J31" s="55"/>
      <c r="K31" s="70"/>
      <c r="L31" s="9"/>
      <c r="M31" s="3"/>
    </row>
    <row r="32" spans="1:13" ht="16" x14ac:dyDescent="0.2">
      <c r="A32" s="31">
        <v>25</v>
      </c>
      <c r="B32" s="53" t="str">
        <f t="shared" si="0"/>
        <v>TMI-0025</v>
      </c>
      <c r="C32" s="11"/>
      <c r="D32" s="11"/>
      <c r="E32" s="67"/>
      <c r="F32" s="54"/>
      <c r="G32" s="55"/>
      <c r="H32" s="55"/>
      <c r="I32" s="55"/>
      <c r="J32" s="55"/>
      <c r="K32" s="70"/>
      <c r="L32" s="9"/>
      <c r="M32" s="3"/>
    </row>
    <row r="33" spans="1:13" ht="16" x14ac:dyDescent="0.2">
      <c r="A33" s="31">
        <v>26</v>
      </c>
      <c r="B33" s="53" t="str">
        <f t="shared" si="0"/>
        <v>TMI-0026</v>
      </c>
      <c r="C33" s="11"/>
      <c r="D33" s="11"/>
      <c r="E33" s="67"/>
      <c r="F33" s="54"/>
      <c r="G33" s="55"/>
      <c r="H33" s="55"/>
      <c r="I33" s="55"/>
      <c r="J33" s="55"/>
      <c r="K33" s="70"/>
      <c r="L33" s="9"/>
      <c r="M33" s="3"/>
    </row>
    <row r="34" spans="1:13" ht="16" x14ac:dyDescent="0.2">
      <c r="A34" s="31">
        <v>27</v>
      </c>
      <c r="B34" s="53" t="str">
        <f t="shared" si="0"/>
        <v>TMI-0027</v>
      </c>
      <c r="C34" s="11"/>
      <c r="D34" s="11"/>
      <c r="E34" s="67"/>
      <c r="F34" s="54"/>
      <c r="G34" s="55"/>
      <c r="H34" s="55"/>
      <c r="I34" s="55"/>
      <c r="J34" s="55"/>
      <c r="K34" s="70"/>
      <c r="L34" s="9"/>
      <c r="M34" s="3"/>
    </row>
    <row r="35" spans="1:13" ht="16" x14ac:dyDescent="0.2">
      <c r="A35" s="31">
        <v>28</v>
      </c>
      <c r="B35" s="53" t="str">
        <f t="shared" si="0"/>
        <v>TMI-0028</v>
      </c>
      <c r="C35" s="11"/>
      <c r="D35" s="11"/>
      <c r="E35" s="67"/>
      <c r="F35" s="54"/>
      <c r="G35" s="55"/>
      <c r="H35" s="55"/>
      <c r="I35" s="55"/>
      <c r="J35" s="55"/>
      <c r="K35" s="70"/>
      <c r="L35" s="9"/>
      <c r="M35" s="3"/>
    </row>
    <row r="36" spans="1:13" ht="16" x14ac:dyDescent="0.2">
      <c r="A36" s="31">
        <v>29</v>
      </c>
      <c r="B36" s="53" t="str">
        <f t="shared" si="0"/>
        <v>TMI-0029</v>
      </c>
      <c r="C36" s="11"/>
      <c r="D36" s="11"/>
      <c r="E36" s="67"/>
      <c r="F36" s="54"/>
      <c r="G36" s="55"/>
      <c r="H36" s="55"/>
      <c r="I36" s="55"/>
      <c r="J36" s="55"/>
      <c r="K36" s="70"/>
      <c r="L36" s="9"/>
      <c r="M36" s="3"/>
    </row>
    <row r="37" spans="1:13" ht="16" x14ac:dyDescent="0.2">
      <c r="A37" s="31">
        <v>30</v>
      </c>
      <c r="B37" s="53" t="str">
        <f t="shared" si="0"/>
        <v>TMI-0030</v>
      </c>
      <c r="C37" s="11"/>
      <c r="D37" s="11"/>
      <c r="E37" s="67"/>
      <c r="F37" s="54"/>
      <c r="G37" s="55"/>
      <c r="H37" s="55"/>
      <c r="I37" s="55"/>
      <c r="J37" s="55"/>
      <c r="K37" s="70"/>
      <c r="L37" s="9"/>
      <c r="M37" s="3"/>
    </row>
    <row r="38" spans="1:13" ht="16" x14ac:dyDescent="0.2">
      <c r="A38" s="31">
        <v>31</v>
      </c>
      <c r="B38" s="53" t="str">
        <f t="shared" si="0"/>
        <v>TMI-0031</v>
      </c>
      <c r="C38" s="11"/>
      <c r="D38" s="11"/>
      <c r="E38" s="67"/>
      <c r="F38" s="54"/>
      <c r="G38" s="55"/>
      <c r="H38" s="55"/>
      <c r="I38" s="55"/>
      <c r="J38" s="55"/>
      <c r="K38" s="70"/>
      <c r="L38" s="9"/>
      <c r="M38" s="3"/>
    </row>
    <row r="39" spans="1:13" ht="16" thickBot="1" x14ac:dyDescent="0.25">
      <c r="A39" s="47"/>
      <c r="B39" s="47"/>
      <c r="C39" s="68" t="s">
        <v>49</v>
      </c>
      <c r="D39" s="69">
        <f>SUM(D8:D38)</f>
        <v>0</v>
      </c>
      <c r="E39" s="69">
        <f>SUM(E8:E38)</f>
        <v>0</v>
      </c>
      <c r="F39" s="68"/>
      <c r="G39" s="68"/>
      <c r="H39" s="68"/>
      <c r="I39" s="68"/>
      <c r="J39" s="68"/>
      <c r="K39" s="71"/>
      <c r="L39" s="68"/>
      <c r="M39" s="68"/>
    </row>
    <row r="40" spans="1:13" ht="16" thickTop="1" x14ac:dyDescent="0.2"/>
  </sheetData>
  <mergeCells count="25">
    <mergeCell ref="B3:C3"/>
    <mergeCell ref="D3:E3"/>
    <mergeCell ref="F3:G3"/>
    <mergeCell ref="B1:U1"/>
    <mergeCell ref="B2:C2"/>
    <mergeCell ref="D2:G2"/>
    <mergeCell ref="H2:I2"/>
    <mergeCell ref="J2:K2"/>
    <mergeCell ref="B4:C4"/>
    <mergeCell ref="D4:E4"/>
    <mergeCell ref="F4:G4"/>
    <mergeCell ref="G5:L5"/>
    <mergeCell ref="A6:A7"/>
    <mergeCell ref="B6:B7"/>
    <mergeCell ref="C6:C7"/>
    <mergeCell ref="D6:D7"/>
    <mergeCell ref="E6:E7"/>
    <mergeCell ref="F6:F7"/>
    <mergeCell ref="M6:M7"/>
    <mergeCell ref="G6:G7"/>
    <mergeCell ref="H6:H7"/>
    <mergeCell ref="I6:I7"/>
    <mergeCell ref="J6:J7"/>
    <mergeCell ref="K6:K7"/>
    <mergeCell ref="L6:L7"/>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900-000000000000}">
          <x14:formula1>
            <xm:f>'Macro-Sheet'!$C$2:$C$7</xm:f>
          </x14:formula1>
          <xm:sqref>F8:F38</xm:sqref>
        </x14:dataValidation>
        <x14:dataValidation type="list" allowBlank="1" showInputMessage="1" showErrorMessage="1" xr:uid="{00000000-0002-0000-0900-000001000000}">
          <x14:formula1>
            <xm:f>'Macro-Sheet'!$I$2:$I$7</xm:f>
          </x14:formula1>
          <xm:sqref>G8:G38</xm:sqref>
        </x14:dataValidation>
        <x14:dataValidation type="list" allowBlank="1" showInputMessage="1" showErrorMessage="1" xr:uid="{00000000-0002-0000-0900-000002000000}">
          <x14:formula1>
            <xm:f>'Macro-Sheet'!$J$2:$J$14</xm:f>
          </x14:formula1>
          <xm:sqref>H8:H38</xm:sqref>
        </x14:dataValidation>
        <x14:dataValidation type="list" allowBlank="1" showInputMessage="1" showErrorMessage="1" xr:uid="{00000000-0002-0000-0900-000003000000}">
          <x14:formula1>
            <xm:f>'Macro-Sheet'!$K$2:$K$33</xm:f>
          </x14:formula1>
          <xm:sqref>I8:I38</xm:sqref>
        </x14:dataValidation>
        <x14:dataValidation type="list" allowBlank="1" showInputMessage="1" showErrorMessage="1" xr:uid="{00000000-0002-0000-0900-000004000000}">
          <x14:formula1>
            <xm:f>'Macro-Sheet'!$E$2:$E$6</xm:f>
          </x14:formula1>
          <xm:sqref>J8:J38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40"/>
  <sheetViews>
    <sheetView workbookViewId="0">
      <pane xSplit="3" ySplit="7" topLeftCell="D8" activePane="bottomRight" state="frozen"/>
      <selection pane="topRight" activeCell="D1" sqref="D1"/>
      <selection pane="bottomLeft" activeCell="A8" sqref="A8"/>
      <selection pane="bottomRight" activeCell="B8" sqref="B8:B38"/>
    </sheetView>
  </sheetViews>
  <sheetFormatPr baseColWidth="10" defaultColWidth="9.1640625" defaultRowHeight="15" x14ac:dyDescent="0.2"/>
  <cols>
    <col min="1" max="1" width="5.5" style="30" bestFit="1" customWidth="1"/>
    <col min="2" max="2" width="15.5" style="30" bestFit="1" customWidth="1"/>
    <col min="3" max="3" width="49.1640625" style="30" bestFit="1" customWidth="1"/>
    <col min="4" max="4" width="8.83203125" style="30" customWidth="1"/>
    <col min="5" max="5" width="12.6640625" style="30" customWidth="1"/>
    <col min="6" max="6" width="15.5" style="30" customWidth="1"/>
    <col min="7" max="7" width="6.5" style="30" customWidth="1"/>
    <col min="8" max="8" width="13.6640625" style="30" customWidth="1"/>
    <col min="9" max="9" width="12.5" style="30" bestFit="1" customWidth="1"/>
    <col min="10" max="10" width="13.6640625" style="30" customWidth="1"/>
    <col min="11" max="11" width="13.6640625" style="85" customWidth="1"/>
    <col min="12" max="12" width="11.6640625" style="30" customWidth="1"/>
    <col min="13" max="13" width="29.83203125" style="30" customWidth="1"/>
    <col min="14" max="21" width="13.6640625" style="30" customWidth="1"/>
    <col min="22" max="28" width="12.83203125" style="30" customWidth="1"/>
    <col min="29" max="29" width="38.1640625" style="30" customWidth="1"/>
    <col min="30" max="16384" width="9.1640625" style="30"/>
  </cols>
  <sheetData>
    <row r="1" spans="1:21" ht="26" x14ac:dyDescent="0.2">
      <c r="B1" s="107" t="s">
        <v>105</v>
      </c>
      <c r="C1" s="108"/>
      <c r="D1" s="108"/>
      <c r="E1" s="108"/>
      <c r="F1" s="108"/>
      <c r="G1" s="108"/>
      <c r="H1" s="108"/>
      <c r="I1" s="108"/>
      <c r="J1" s="108"/>
      <c r="K1" s="108"/>
      <c r="L1" s="108"/>
      <c r="M1" s="108"/>
      <c r="N1" s="108"/>
      <c r="O1" s="108"/>
      <c r="P1" s="108"/>
      <c r="Q1" s="108"/>
      <c r="R1" s="108"/>
      <c r="S1" s="108"/>
      <c r="T1" s="108"/>
      <c r="U1" s="108"/>
    </row>
    <row r="2" spans="1:21" x14ac:dyDescent="0.2">
      <c r="B2" s="101" t="s">
        <v>48</v>
      </c>
      <c r="C2" s="102"/>
      <c r="D2" s="109" t="s">
        <v>34</v>
      </c>
      <c r="E2" s="110"/>
      <c r="F2" s="110"/>
      <c r="G2" s="111"/>
      <c r="H2" s="112" t="s">
        <v>35</v>
      </c>
      <c r="I2" s="113"/>
      <c r="J2" s="114" t="s">
        <v>36</v>
      </c>
      <c r="K2" s="115"/>
      <c r="L2" s="33"/>
      <c r="M2" s="34"/>
      <c r="N2" s="34"/>
      <c r="O2" s="34"/>
      <c r="P2" s="34"/>
      <c r="Q2" s="34"/>
      <c r="R2" s="34"/>
      <c r="S2" s="34"/>
      <c r="T2" s="34"/>
      <c r="U2" s="34"/>
    </row>
    <row r="3" spans="1:21" x14ac:dyDescent="0.2">
      <c r="B3" s="101" t="str">
        <f>'Budget Summary'!B11</f>
        <v>Research Labs</v>
      </c>
      <c r="C3" s="102"/>
      <c r="D3" s="103" t="s">
        <v>39</v>
      </c>
      <c r="E3" s="104"/>
      <c r="F3" s="105" t="s">
        <v>40</v>
      </c>
      <c r="G3" s="106"/>
      <c r="H3" s="27" t="s">
        <v>39</v>
      </c>
      <c r="I3" s="28" t="s">
        <v>40</v>
      </c>
      <c r="J3" s="27" t="s">
        <v>39</v>
      </c>
      <c r="K3" s="86" t="s">
        <v>40</v>
      </c>
      <c r="L3" s="34"/>
      <c r="M3" s="34"/>
      <c r="N3" s="34"/>
      <c r="O3" s="34"/>
      <c r="P3" s="34"/>
      <c r="Q3" s="34"/>
      <c r="R3" s="34"/>
      <c r="S3" s="34"/>
    </row>
    <row r="4" spans="1:21" x14ac:dyDescent="0.2">
      <c r="B4" s="130" t="s">
        <v>134</v>
      </c>
      <c r="C4" s="123"/>
      <c r="D4" s="124">
        <f>'Budget Summary'!F5</f>
        <v>0</v>
      </c>
      <c r="E4" s="125"/>
      <c r="F4" s="124">
        <f>'Budget Summary'!G5</f>
        <v>0</v>
      </c>
      <c r="G4" s="125"/>
      <c r="H4" s="46">
        <f>D39</f>
        <v>0</v>
      </c>
      <c r="I4" s="46">
        <f>E39</f>
        <v>0</v>
      </c>
      <c r="J4" s="44">
        <f>D4-H4</f>
        <v>0</v>
      </c>
      <c r="K4" s="87">
        <f>F4-I4</f>
        <v>0</v>
      </c>
      <c r="L4" s="34"/>
      <c r="M4" s="34"/>
      <c r="N4" s="34"/>
      <c r="O4" s="34"/>
      <c r="P4" s="34"/>
      <c r="Q4" s="34"/>
      <c r="R4" s="34"/>
      <c r="S4" s="34"/>
    </row>
    <row r="5" spans="1:21" x14ac:dyDescent="0.2">
      <c r="G5" s="126" t="s">
        <v>12</v>
      </c>
      <c r="H5" s="126"/>
      <c r="I5" s="126"/>
      <c r="J5" s="126"/>
      <c r="K5" s="126"/>
      <c r="L5" s="126"/>
      <c r="M5" s="52"/>
    </row>
    <row r="6" spans="1:21" x14ac:dyDescent="0.2">
      <c r="A6" s="116" t="s">
        <v>37</v>
      </c>
      <c r="B6" s="116" t="s">
        <v>65</v>
      </c>
      <c r="C6" s="118" t="s">
        <v>10</v>
      </c>
      <c r="D6" s="118" t="s">
        <v>66</v>
      </c>
      <c r="E6" s="118" t="s">
        <v>67</v>
      </c>
      <c r="F6" s="118" t="s">
        <v>68</v>
      </c>
      <c r="G6" s="127" t="s">
        <v>69</v>
      </c>
      <c r="H6" s="127" t="s">
        <v>70</v>
      </c>
      <c r="I6" s="127" t="s">
        <v>71</v>
      </c>
      <c r="J6" s="118" t="s">
        <v>19</v>
      </c>
      <c r="K6" s="128" t="s">
        <v>72</v>
      </c>
      <c r="L6" s="128" t="s">
        <v>73</v>
      </c>
      <c r="M6" s="120" t="s">
        <v>16</v>
      </c>
    </row>
    <row r="7" spans="1:21" x14ac:dyDescent="0.2">
      <c r="A7" s="117"/>
      <c r="B7" s="117"/>
      <c r="C7" s="119"/>
      <c r="D7" s="119"/>
      <c r="E7" s="119"/>
      <c r="F7" s="119"/>
      <c r="G7" s="127"/>
      <c r="H7" s="127"/>
      <c r="I7" s="127"/>
      <c r="J7" s="119"/>
      <c r="K7" s="129"/>
      <c r="L7" s="129"/>
      <c r="M7" s="121"/>
    </row>
    <row r="8" spans="1:21" ht="16" x14ac:dyDescent="0.2">
      <c r="A8" s="31">
        <v>1</v>
      </c>
      <c r="B8" s="53" t="str">
        <f>CONCATENATE("RLAB-",LEFT("0000",4-LEN(ROW(A2)-1)),ROW(A2)-1)</f>
        <v>RLAB-0001</v>
      </c>
      <c r="C8" s="11"/>
      <c r="D8" s="11"/>
      <c r="E8" s="67"/>
      <c r="F8" s="54"/>
      <c r="G8" s="55"/>
      <c r="H8" s="55"/>
      <c r="I8" s="55"/>
      <c r="J8" s="55"/>
      <c r="K8" s="70"/>
      <c r="L8" s="9"/>
      <c r="M8" s="3"/>
    </row>
    <row r="9" spans="1:21" ht="16" x14ac:dyDescent="0.2">
      <c r="A9" s="31">
        <v>2</v>
      </c>
      <c r="B9" s="53" t="str">
        <f t="shared" ref="B9:B38" si="0">CONCATENATE("RLAB-",LEFT("0000",4-LEN(ROW(A3)-1)),ROW(A3)-1)</f>
        <v>RLAB-0002</v>
      </c>
      <c r="C9" s="11"/>
      <c r="D9" s="11"/>
      <c r="E9" s="67"/>
      <c r="F9" s="54"/>
      <c r="G9" s="55"/>
      <c r="H9" s="55"/>
      <c r="I9" s="55"/>
      <c r="J9" s="55"/>
      <c r="K9" s="70"/>
      <c r="L9" s="9"/>
      <c r="M9" s="3"/>
    </row>
    <row r="10" spans="1:21" ht="16" x14ac:dyDescent="0.2">
      <c r="A10" s="31">
        <v>3</v>
      </c>
      <c r="B10" s="53" t="str">
        <f t="shared" si="0"/>
        <v>RLAB-0003</v>
      </c>
      <c r="C10" s="11"/>
      <c r="D10" s="11"/>
      <c r="E10" s="67"/>
      <c r="F10" s="54"/>
      <c r="G10" s="55"/>
      <c r="H10" s="55"/>
      <c r="I10" s="55"/>
      <c r="J10" s="55"/>
      <c r="K10" s="70"/>
      <c r="L10" s="9"/>
      <c r="M10" s="3"/>
    </row>
    <row r="11" spans="1:21" ht="16" x14ac:dyDescent="0.2">
      <c r="A11" s="31">
        <v>4</v>
      </c>
      <c r="B11" s="53" t="str">
        <f t="shared" si="0"/>
        <v>RLAB-0004</v>
      </c>
      <c r="C11" s="11"/>
      <c r="D11" s="11"/>
      <c r="E11" s="67"/>
      <c r="F11" s="54"/>
      <c r="G11" s="55"/>
      <c r="H11" s="55"/>
      <c r="I11" s="55"/>
      <c r="J11" s="55"/>
      <c r="K11" s="70"/>
      <c r="L11" s="9"/>
      <c r="M11" s="3"/>
    </row>
    <row r="12" spans="1:21" ht="16" x14ac:dyDescent="0.2">
      <c r="A12" s="31">
        <v>5</v>
      </c>
      <c r="B12" s="53" t="str">
        <f t="shared" si="0"/>
        <v>RLAB-0005</v>
      </c>
      <c r="C12" s="11"/>
      <c r="D12" s="11"/>
      <c r="E12" s="67"/>
      <c r="F12" s="54"/>
      <c r="G12" s="55"/>
      <c r="H12" s="55"/>
      <c r="I12" s="55"/>
      <c r="J12" s="55"/>
      <c r="K12" s="70"/>
      <c r="L12" s="9"/>
      <c r="M12" s="3"/>
    </row>
    <row r="13" spans="1:21" ht="16" x14ac:dyDescent="0.2">
      <c r="A13" s="31">
        <v>6</v>
      </c>
      <c r="B13" s="53" t="str">
        <f t="shared" si="0"/>
        <v>RLAB-0006</v>
      </c>
      <c r="C13" s="11"/>
      <c r="D13" s="11"/>
      <c r="E13" s="67"/>
      <c r="F13" s="54"/>
      <c r="G13" s="55"/>
      <c r="H13" s="55"/>
      <c r="I13" s="55"/>
      <c r="J13" s="55"/>
      <c r="K13" s="70"/>
      <c r="L13" s="9"/>
      <c r="M13" s="3"/>
    </row>
    <row r="14" spans="1:21" ht="16" x14ac:dyDescent="0.2">
      <c r="A14" s="31">
        <v>7</v>
      </c>
      <c r="B14" s="53" t="str">
        <f t="shared" si="0"/>
        <v>RLAB-0007</v>
      </c>
      <c r="C14" s="11"/>
      <c r="D14" s="11"/>
      <c r="E14" s="67"/>
      <c r="F14" s="54"/>
      <c r="G14" s="55"/>
      <c r="H14" s="55"/>
      <c r="I14" s="55"/>
      <c r="J14" s="55"/>
      <c r="K14" s="70"/>
      <c r="L14" s="9"/>
      <c r="M14" s="3"/>
    </row>
    <row r="15" spans="1:21" ht="16" x14ac:dyDescent="0.2">
      <c r="A15" s="31">
        <v>8</v>
      </c>
      <c r="B15" s="53" t="str">
        <f t="shared" si="0"/>
        <v>RLAB-0008</v>
      </c>
      <c r="C15" s="11"/>
      <c r="D15" s="11"/>
      <c r="E15" s="67"/>
      <c r="F15" s="54"/>
      <c r="G15" s="55"/>
      <c r="H15" s="55"/>
      <c r="I15" s="55"/>
      <c r="J15" s="55"/>
      <c r="K15" s="70"/>
      <c r="L15" s="9"/>
      <c r="M15" s="3"/>
    </row>
    <row r="16" spans="1:21" ht="16" x14ac:dyDescent="0.2">
      <c r="A16" s="31">
        <v>9</v>
      </c>
      <c r="B16" s="53" t="str">
        <f t="shared" si="0"/>
        <v>RLAB-0009</v>
      </c>
      <c r="C16" s="11"/>
      <c r="D16" s="11"/>
      <c r="E16" s="67"/>
      <c r="F16" s="54"/>
      <c r="G16" s="55"/>
      <c r="H16" s="55"/>
      <c r="I16" s="55"/>
      <c r="J16" s="55"/>
      <c r="K16" s="70"/>
      <c r="L16" s="9"/>
      <c r="M16" s="3"/>
    </row>
    <row r="17" spans="1:13" ht="16" x14ac:dyDescent="0.2">
      <c r="A17" s="31">
        <v>10</v>
      </c>
      <c r="B17" s="53" t="str">
        <f t="shared" si="0"/>
        <v>RLAB-0010</v>
      </c>
      <c r="C17" s="11"/>
      <c r="D17" s="11"/>
      <c r="E17" s="67"/>
      <c r="F17" s="54"/>
      <c r="G17" s="55"/>
      <c r="H17" s="55"/>
      <c r="I17" s="55"/>
      <c r="J17" s="55"/>
      <c r="K17" s="70"/>
      <c r="L17" s="9"/>
      <c r="M17" s="3"/>
    </row>
    <row r="18" spans="1:13" ht="16" x14ac:dyDescent="0.2">
      <c r="A18" s="31">
        <v>11</v>
      </c>
      <c r="B18" s="53" t="str">
        <f t="shared" si="0"/>
        <v>RLAB-0011</v>
      </c>
      <c r="C18" s="11"/>
      <c r="D18" s="11"/>
      <c r="E18" s="67"/>
      <c r="F18" s="54"/>
      <c r="G18" s="55"/>
      <c r="H18" s="55"/>
      <c r="I18" s="55"/>
      <c r="J18" s="55"/>
      <c r="K18" s="70"/>
      <c r="L18" s="9"/>
      <c r="M18" s="3"/>
    </row>
    <row r="19" spans="1:13" ht="16" x14ac:dyDescent="0.2">
      <c r="A19" s="31">
        <v>12</v>
      </c>
      <c r="B19" s="53" t="str">
        <f t="shared" si="0"/>
        <v>RLAB-0012</v>
      </c>
      <c r="C19" s="11"/>
      <c r="D19" s="11"/>
      <c r="E19" s="67"/>
      <c r="F19" s="54"/>
      <c r="G19" s="55"/>
      <c r="H19" s="55"/>
      <c r="I19" s="55"/>
      <c r="J19" s="55"/>
      <c r="K19" s="70"/>
      <c r="L19" s="9"/>
      <c r="M19" s="3"/>
    </row>
    <row r="20" spans="1:13" ht="16" x14ac:dyDescent="0.2">
      <c r="A20" s="31">
        <v>13</v>
      </c>
      <c r="B20" s="53" t="str">
        <f t="shared" si="0"/>
        <v>RLAB-0013</v>
      </c>
      <c r="C20" s="11"/>
      <c r="D20" s="11"/>
      <c r="E20" s="67"/>
      <c r="F20" s="54"/>
      <c r="G20" s="55"/>
      <c r="H20" s="55"/>
      <c r="I20" s="55"/>
      <c r="J20" s="55"/>
      <c r="K20" s="70"/>
      <c r="L20" s="9"/>
      <c r="M20" s="3"/>
    </row>
    <row r="21" spans="1:13" ht="16" x14ac:dyDescent="0.2">
      <c r="A21" s="31">
        <v>14</v>
      </c>
      <c r="B21" s="53" t="str">
        <f t="shared" si="0"/>
        <v>RLAB-0014</v>
      </c>
      <c r="C21" s="11"/>
      <c r="D21" s="11"/>
      <c r="E21" s="67"/>
      <c r="F21" s="54"/>
      <c r="G21" s="55"/>
      <c r="H21" s="55"/>
      <c r="I21" s="55"/>
      <c r="J21" s="55"/>
      <c r="K21" s="70"/>
      <c r="L21" s="9"/>
      <c r="M21" s="3"/>
    </row>
    <row r="22" spans="1:13" ht="16" x14ac:dyDescent="0.2">
      <c r="A22" s="31">
        <v>15</v>
      </c>
      <c r="B22" s="53" t="str">
        <f t="shared" si="0"/>
        <v>RLAB-0015</v>
      </c>
      <c r="C22" s="11"/>
      <c r="D22" s="11"/>
      <c r="E22" s="67"/>
      <c r="F22" s="54"/>
      <c r="G22" s="55"/>
      <c r="H22" s="55"/>
      <c r="I22" s="55"/>
      <c r="J22" s="55"/>
      <c r="K22" s="70"/>
      <c r="L22" s="9"/>
      <c r="M22" s="3"/>
    </row>
    <row r="23" spans="1:13" ht="16" x14ac:dyDescent="0.2">
      <c r="A23" s="31">
        <v>16</v>
      </c>
      <c r="B23" s="53" t="str">
        <f t="shared" si="0"/>
        <v>RLAB-0016</v>
      </c>
      <c r="C23" s="11"/>
      <c r="D23" s="11"/>
      <c r="E23" s="67"/>
      <c r="F23" s="54"/>
      <c r="G23" s="55"/>
      <c r="H23" s="55"/>
      <c r="I23" s="55"/>
      <c r="J23" s="55"/>
      <c r="K23" s="70"/>
      <c r="L23" s="9"/>
      <c r="M23" s="3"/>
    </row>
    <row r="24" spans="1:13" ht="16" x14ac:dyDescent="0.2">
      <c r="A24" s="31">
        <v>17</v>
      </c>
      <c r="B24" s="53" t="str">
        <f t="shared" si="0"/>
        <v>RLAB-0017</v>
      </c>
      <c r="C24" s="11"/>
      <c r="D24" s="11"/>
      <c r="E24" s="67"/>
      <c r="F24" s="54"/>
      <c r="G24" s="55"/>
      <c r="H24" s="55"/>
      <c r="I24" s="55"/>
      <c r="J24" s="55"/>
      <c r="K24" s="70"/>
      <c r="L24" s="9"/>
      <c r="M24" s="3"/>
    </row>
    <row r="25" spans="1:13" ht="16" x14ac:dyDescent="0.2">
      <c r="A25" s="31">
        <v>18</v>
      </c>
      <c r="B25" s="53" t="str">
        <f t="shared" si="0"/>
        <v>RLAB-0018</v>
      </c>
      <c r="C25" s="11"/>
      <c r="D25" s="11"/>
      <c r="E25" s="67"/>
      <c r="F25" s="54"/>
      <c r="G25" s="55"/>
      <c r="H25" s="55"/>
      <c r="I25" s="55"/>
      <c r="J25" s="55"/>
      <c r="K25" s="70"/>
      <c r="L25" s="9"/>
      <c r="M25" s="3"/>
    </row>
    <row r="26" spans="1:13" ht="16" x14ac:dyDescent="0.2">
      <c r="A26" s="31">
        <v>19</v>
      </c>
      <c r="B26" s="53" t="str">
        <f t="shared" si="0"/>
        <v>RLAB-0019</v>
      </c>
      <c r="C26" s="11"/>
      <c r="D26" s="11"/>
      <c r="E26" s="67"/>
      <c r="F26" s="54"/>
      <c r="G26" s="55"/>
      <c r="H26" s="55"/>
      <c r="I26" s="55"/>
      <c r="J26" s="55"/>
      <c r="K26" s="70"/>
      <c r="L26" s="9"/>
      <c r="M26" s="3"/>
    </row>
    <row r="27" spans="1:13" ht="16" x14ac:dyDescent="0.2">
      <c r="A27" s="31">
        <v>20</v>
      </c>
      <c r="B27" s="53" t="str">
        <f t="shared" si="0"/>
        <v>RLAB-0020</v>
      </c>
      <c r="C27" s="11"/>
      <c r="D27" s="11"/>
      <c r="E27" s="67"/>
      <c r="F27" s="54"/>
      <c r="G27" s="55"/>
      <c r="H27" s="55"/>
      <c r="I27" s="55"/>
      <c r="J27" s="55"/>
      <c r="K27" s="70"/>
      <c r="L27" s="9"/>
      <c r="M27" s="3"/>
    </row>
    <row r="28" spans="1:13" ht="16" x14ac:dyDescent="0.2">
      <c r="A28" s="31">
        <v>21</v>
      </c>
      <c r="B28" s="53" t="str">
        <f t="shared" si="0"/>
        <v>RLAB-0021</v>
      </c>
      <c r="C28" s="11"/>
      <c r="D28" s="11"/>
      <c r="E28" s="67"/>
      <c r="F28" s="54"/>
      <c r="G28" s="55"/>
      <c r="H28" s="55"/>
      <c r="I28" s="55"/>
      <c r="J28" s="55"/>
      <c r="K28" s="70"/>
      <c r="L28" s="9"/>
      <c r="M28" s="3"/>
    </row>
    <row r="29" spans="1:13" ht="16" x14ac:dyDescent="0.2">
      <c r="A29" s="31">
        <v>22</v>
      </c>
      <c r="B29" s="53" t="str">
        <f t="shared" si="0"/>
        <v>RLAB-0022</v>
      </c>
      <c r="C29" s="11"/>
      <c r="D29" s="11"/>
      <c r="E29" s="67"/>
      <c r="F29" s="54"/>
      <c r="G29" s="55"/>
      <c r="H29" s="55"/>
      <c r="I29" s="55"/>
      <c r="J29" s="55"/>
      <c r="K29" s="70"/>
      <c r="L29" s="9"/>
      <c r="M29" s="3"/>
    </row>
    <row r="30" spans="1:13" ht="16" x14ac:dyDescent="0.2">
      <c r="A30" s="31">
        <v>23</v>
      </c>
      <c r="B30" s="53" t="str">
        <f t="shared" si="0"/>
        <v>RLAB-0023</v>
      </c>
      <c r="C30" s="11"/>
      <c r="D30" s="11"/>
      <c r="E30" s="67"/>
      <c r="F30" s="54"/>
      <c r="G30" s="55"/>
      <c r="H30" s="55"/>
      <c r="I30" s="55"/>
      <c r="J30" s="55"/>
      <c r="K30" s="70"/>
      <c r="L30" s="9"/>
      <c r="M30" s="3"/>
    </row>
    <row r="31" spans="1:13" ht="16" x14ac:dyDescent="0.2">
      <c r="A31" s="31">
        <v>24</v>
      </c>
      <c r="B31" s="53" t="str">
        <f t="shared" si="0"/>
        <v>RLAB-0024</v>
      </c>
      <c r="C31" s="11"/>
      <c r="D31" s="11"/>
      <c r="E31" s="67"/>
      <c r="F31" s="54"/>
      <c r="G31" s="55"/>
      <c r="H31" s="55"/>
      <c r="I31" s="55"/>
      <c r="J31" s="55"/>
      <c r="K31" s="70"/>
      <c r="L31" s="9"/>
      <c r="M31" s="3"/>
    </row>
    <row r="32" spans="1:13" ht="16" x14ac:dyDescent="0.2">
      <c r="A32" s="31">
        <v>25</v>
      </c>
      <c r="B32" s="53" t="str">
        <f t="shared" si="0"/>
        <v>RLAB-0025</v>
      </c>
      <c r="C32" s="11"/>
      <c r="D32" s="11"/>
      <c r="E32" s="67"/>
      <c r="F32" s="54"/>
      <c r="G32" s="55"/>
      <c r="H32" s="55"/>
      <c r="I32" s="55"/>
      <c r="J32" s="55"/>
      <c r="K32" s="70"/>
      <c r="L32" s="9"/>
      <c r="M32" s="3"/>
    </row>
    <row r="33" spans="1:13" ht="16" x14ac:dyDescent="0.2">
      <c r="A33" s="31">
        <v>26</v>
      </c>
      <c r="B33" s="53" t="str">
        <f t="shared" si="0"/>
        <v>RLAB-0026</v>
      </c>
      <c r="C33" s="11"/>
      <c r="D33" s="11"/>
      <c r="E33" s="67"/>
      <c r="F33" s="54"/>
      <c r="G33" s="55"/>
      <c r="H33" s="55"/>
      <c r="I33" s="55"/>
      <c r="J33" s="55"/>
      <c r="K33" s="70"/>
      <c r="L33" s="9"/>
      <c r="M33" s="3"/>
    </row>
    <row r="34" spans="1:13" ht="16" x14ac:dyDescent="0.2">
      <c r="A34" s="31">
        <v>27</v>
      </c>
      <c r="B34" s="53" t="str">
        <f t="shared" si="0"/>
        <v>RLAB-0027</v>
      </c>
      <c r="C34" s="11"/>
      <c r="D34" s="11"/>
      <c r="E34" s="67"/>
      <c r="F34" s="54"/>
      <c r="G34" s="55"/>
      <c r="H34" s="55"/>
      <c r="I34" s="55"/>
      <c r="J34" s="55"/>
      <c r="K34" s="70"/>
      <c r="L34" s="9"/>
      <c r="M34" s="3"/>
    </row>
    <row r="35" spans="1:13" ht="16" x14ac:dyDescent="0.2">
      <c r="A35" s="31">
        <v>28</v>
      </c>
      <c r="B35" s="53" t="str">
        <f t="shared" si="0"/>
        <v>RLAB-0028</v>
      </c>
      <c r="C35" s="11"/>
      <c r="D35" s="11"/>
      <c r="E35" s="67"/>
      <c r="F35" s="54"/>
      <c r="G35" s="55"/>
      <c r="H35" s="55"/>
      <c r="I35" s="55"/>
      <c r="J35" s="55"/>
      <c r="K35" s="70"/>
      <c r="L35" s="9"/>
      <c r="M35" s="3"/>
    </row>
    <row r="36" spans="1:13" ht="16" x14ac:dyDescent="0.2">
      <c r="A36" s="31">
        <v>29</v>
      </c>
      <c r="B36" s="53" t="str">
        <f t="shared" si="0"/>
        <v>RLAB-0029</v>
      </c>
      <c r="C36" s="11"/>
      <c r="D36" s="11"/>
      <c r="E36" s="67"/>
      <c r="F36" s="54"/>
      <c r="G36" s="55"/>
      <c r="H36" s="55"/>
      <c r="I36" s="55"/>
      <c r="J36" s="55"/>
      <c r="K36" s="70"/>
      <c r="L36" s="9"/>
      <c r="M36" s="3"/>
    </row>
    <row r="37" spans="1:13" ht="16" x14ac:dyDescent="0.2">
      <c r="A37" s="31">
        <v>30</v>
      </c>
      <c r="B37" s="53" t="str">
        <f t="shared" si="0"/>
        <v>RLAB-0030</v>
      </c>
      <c r="C37" s="11"/>
      <c r="D37" s="11"/>
      <c r="E37" s="67"/>
      <c r="F37" s="54"/>
      <c r="G37" s="55"/>
      <c r="H37" s="55"/>
      <c r="I37" s="55"/>
      <c r="J37" s="55"/>
      <c r="K37" s="70"/>
      <c r="L37" s="9"/>
      <c r="M37" s="3"/>
    </row>
    <row r="38" spans="1:13" ht="16" x14ac:dyDescent="0.2">
      <c r="A38" s="31">
        <v>31</v>
      </c>
      <c r="B38" s="53" t="str">
        <f t="shared" si="0"/>
        <v>RLAB-0031</v>
      </c>
      <c r="C38" s="11"/>
      <c r="D38" s="11"/>
      <c r="E38" s="67"/>
      <c r="F38" s="54"/>
      <c r="G38" s="55"/>
      <c r="H38" s="55"/>
      <c r="I38" s="55"/>
      <c r="J38" s="55"/>
      <c r="K38" s="70"/>
      <c r="L38" s="9"/>
      <c r="M38" s="3"/>
    </row>
    <row r="39" spans="1:13" ht="16" thickBot="1" x14ac:dyDescent="0.25">
      <c r="A39" s="47"/>
      <c r="B39" s="47"/>
      <c r="C39" s="68" t="s">
        <v>49</v>
      </c>
      <c r="D39" s="69">
        <f>SUM(D8:D38)</f>
        <v>0</v>
      </c>
      <c r="E39" s="69">
        <f>SUM(E8:E38)</f>
        <v>0</v>
      </c>
      <c r="F39" s="68"/>
      <c r="G39" s="68"/>
      <c r="H39" s="68"/>
      <c r="I39" s="68"/>
      <c r="J39" s="68"/>
      <c r="K39" s="71"/>
      <c r="L39" s="68"/>
      <c r="M39" s="68"/>
    </row>
    <row r="40" spans="1:13" ht="16" thickTop="1" x14ac:dyDescent="0.2"/>
  </sheetData>
  <mergeCells count="25">
    <mergeCell ref="B3:C3"/>
    <mergeCell ref="D3:E3"/>
    <mergeCell ref="F3:G3"/>
    <mergeCell ref="B1:U1"/>
    <mergeCell ref="B2:C2"/>
    <mergeCell ref="D2:G2"/>
    <mergeCell ref="H2:I2"/>
    <mergeCell ref="J2:K2"/>
    <mergeCell ref="B4:C4"/>
    <mergeCell ref="D4:E4"/>
    <mergeCell ref="F4:G4"/>
    <mergeCell ref="G5:L5"/>
    <mergeCell ref="A6:A7"/>
    <mergeCell ref="B6:B7"/>
    <mergeCell ref="C6:C7"/>
    <mergeCell ref="D6:D7"/>
    <mergeCell ref="E6:E7"/>
    <mergeCell ref="F6:F7"/>
    <mergeCell ref="M6:M7"/>
    <mergeCell ref="G6:G7"/>
    <mergeCell ref="H6:H7"/>
    <mergeCell ref="I6:I7"/>
    <mergeCell ref="J6:J7"/>
    <mergeCell ref="K6:K7"/>
    <mergeCell ref="L6:L7"/>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A00-000000000000}">
          <x14:formula1>
            <xm:f>'Macro-Sheet'!$E$2:$E$6</xm:f>
          </x14:formula1>
          <xm:sqref>J8:J38</xm:sqref>
        </x14:dataValidation>
        <x14:dataValidation type="list" allowBlank="1" showInputMessage="1" showErrorMessage="1" xr:uid="{00000000-0002-0000-0A00-000001000000}">
          <x14:formula1>
            <xm:f>'Macro-Sheet'!$K$2:$K$33</xm:f>
          </x14:formula1>
          <xm:sqref>I8:I38</xm:sqref>
        </x14:dataValidation>
        <x14:dataValidation type="list" allowBlank="1" showInputMessage="1" showErrorMessage="1" xr:uid="{00000000-0002-0000-0A00-000002000000}">
          <x14:formula1>
            <xm:f>'Macro-Sheet'!$J$2:$J$14</xm:f>
          </x14:formula1>
          <xm:sqref>H8:H38</xm:sqref>
        </x14:dataValidation>
        <x14:dataValidation type="list" allowBlank="1" showInputMessage="1" showErrorMessage="1" xr:uid="{00000000-0002-0000-0A00-000003000000}">
          <x14:formula1>
            <xm:f>'Macro-Sheet'!$I$2:$I$7</xm:f>
          </x14:formula1>
          <xm:sqref>G8:G38</xm:sqref>
        </x14:dataValidation>
        <x14:dataValidation type="list" allowBlank="1" showInputMessage="1" showErrorMessage="1" xr:uid="{00000000-0002-0000-0A00-000004000000}">
          <x14:formula1>
            <xm:f>'Macro-Sheet'!$C$2:$C$7</xm:f>
          </x14:formula1>
          <xm:sqref>F8:F38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40"/>
  <sheetViews>
    <sheetView tabSelected="1" zoomScale="120" zoomScaleNormal="120" workbookViewId="0">
      <pane xSplit="3" ySplit="7" topLeftCell="D8" activePane="bottomRight" state="frozen"/>
      <selection pane="topRight" activeCell="D1" sqref="D1"/>
      <selection pane="bottomLeft" activeCell="A8" sqref="A8"/>
      <selection pane="bottomRight" activeCell="C22" sqref="C22"/>
    </sheetView>
  </sheetViews>
  <sheetFormatPr baseColWidth="10" defaultColWidth="9.1640625" defaultRowHeight="15" x14ac:dyDescent="0.2"/>
  <cols>
    <col min="1" max="1" width="5.5" style="30" bestFit="1" customWidth="1"/>
    <col min="2" max="2" width="15.5" style="30" bestFit="1" customWidth="1"/>
    <col min="3" max="3" width="49.1640625" style="30" bestFit="1" customWidth="1"/>
    <col min="4" max="4" width="16.5" style="30" customWidth="1"/>
    <col min="5" max="5" width="12.6640625" style="30" customWidth="1"/>
    <col min="6" max="6" width="15.5" style="30" customWidth="1"/>
    <col min="7" max="7" width="6.5" style="30" customWidth="1"/>
    <col min="8" max="8" width="13.6640625" style="30" customWidth="1"/>
    <col min="9" max="9" width="12.5" style="30" bestFit="1" customWidth="1"/>
    <col min="10" max="10" width="16.1640625" style="30" customWidth="1"/>
    <col min="11" max="11" width="13.6640625" style="85" customWidth="1"/>
    <col min="12" max="12" width="11.6640625" style="30" customWidth="1"/>
    <col min="13" max="13" width="29.83203125" style="30" customWidth="1"/>
    <col min="14" max="21" width="13.6640625" style="30" customWidth="1"/>
    <col min="22" max="28" width="12.83203125" style="30" customWidth="1"/>
    <col min="29" max="29" width="38.1640625" style="30" customWidth="1"/>
    <col min="30" max="16384" width="9.1640625" style="30"/>
  </cols>
  <sheetData>
    <row r="1" spans="1:21" ht="26" x14ac:dyDescent="0.2">
      <c r="B1" s="107" t="s">
        <v>105</v>
      </c>
      <c r="C1" s="108"/>
      <c r="D1" s="108"/>
      <c r="E1" s="108"/>
      <c r="F1" s="108"/>
      <c r="G1" s="108"/>
      <c r="H1" s="108"/>
      <c r="I1" s="108"/>
      <c r="J1" s="108"/>
      <c r="K1" s="108"/>
      <c r="L1" s="108"/>
      <c r="M1" s="108"/>
      <c r="N1" s="108"/>
      <c r="O1" s="108"/>
      <c r="P1" s="108"/>
      <c r="Q1" s="108"/>
      <c r="R1" s="108"/>
      <c r="S1" s="108"/>
      <c r="T1" s="108"/>
      <c r="U1" s="108"/>
    </row>
    <row r="2" spans="1:21" x14ac:dyDescent="0.2">
      <c r="B2" s="101" t="s">
        <v>48</v>
      </c>
      <c r="C2" s="102"/>
      <c r="D2" s="109" t="s">
        <v>34</v>
      </c>
      <c r="E2" s="110"/>
      <c r="F2" s="110"/>
      <c r="G2" s="111"/>
      <c r="H2" s="112" t="s">
        <v>35</v>
      </c>
      <c r="I2" s="113"/>
      <c r="J2" s="114" t="s">
        <v>36</v>
      </c>
      <c r="K2" s="115"/>
      <c r="L2" s="33"/>
      <c r="M2" s="34"/>
      <c r="N2" s="34"/>
      <c r="O2" s="34"/>
      <c r="P2" s="34"/>
      <c r="Q2" s="34"/>
      <c r="R2" s="34"/>
      <c r="S2" s="34"/>
      <c r="T2" s="34"/>
      <c r="U2" s="34"/>
    </row>
    <row r="3" spans="1:21" x14ac:dyDescent="0.2">
      <c r="B3" s="101" t="str">
        <f>'Budget Summary'!B12</f>
        <v>Research Computing</v>
      </c>
      <c r="C3" s="102"/>
      <c r="D3" s="103" t="s">
        <v>39</v>
      </c>
      <c r="E3" s="104"/>
      <c r="F3" s="105" t="s">
        <v>40</v>
      </c>
      <c r="G3" s="106"/>
      <c r="H3" s="27" t="s">
        <v>39</v>
      </c>
      <c r="I3" s="28" t="s">
        <v>40</v>
      </c>
      <c r="J3" s="27" t="s">
        <v>39</v>
      </c>
      <c r="K3" s="86" t="s">
        <v>40</v>
      </c>
      <c r="L3" s="34"/>
      <c r="M3" s="34"/>
      <c r="N3" s="34"/>
      <c r="O3" s="34"/>
      <c r="P3" s="34"/>
      <c r="Q3" s="34"/>
      <c r="R3" s="34"/>
      <c r="S3" s="34"/>
    </row>
    <row r="4" spans="1:21" x14ac:dyDescent="0.2">
      <c r="B4" s="130" t="s">
        <v>135</v>
      </c>
      <c r="C4" s="123"/>
      <c r="D4" s="124">
        <f>'Budget Summary'!F5</f>
        <v>0</v>
      </c>
      <c r="E4" s="125"/>
      <c r="F4" s="124">
        <f>'Budget Summary'!G5</f>
        <v>0</v>
      </c>
      <c r="G4" s="125"/>
      <c r="H4" s="46">
        <f>D39</f>
        <v>12124043.189999999</v>
      </c>
      <c r="I4" s="46">
        <f>E39</f>
        <v>1156209.7899999998</v>
      </c>
      <c r="J4" s="44">
        <f>D4-H4</f>
        <v>-12124043.189999999</v>
      </c>
      <c r="K4" s="87">
        <f>F4-I4</f>
        <v>-1156209.7899999998</v>
      </c>
      <c r="L4" s="34"/>
      <c r="M4" s="34"/>
      <c r="N4" s="34"/>
      <c r="O4" s="34"/>
      <c r="P4" s="34"/>
      <c r="Q4" s="34"/>
      <c r="R4" s="34"/>
      <c r="S4" s="34"/>
    </row>
    <row r="5" spans="1:21" x14ac:dyDescent="0.2">
      <c r="G5" s="126" t="s">
        <v>12</v>
      </c>
      <c r="H5" s="126"/>
      <c r="I5" s="126"/>
      <c r="J5" s="126"/>
      <c r="K5" s="126"/>
      <c r="L5" s="126"/>
      <c r="M5" s="52"/>
    </row>
    <row r="6" spans="1:21" x14ac:dyDescent="0.2">
      <c r="A6" s="116" t="s">
        <v>37</v>
      </c>
      <c r="B6" s="116" t="s">
        <v>65</v>
      </c>
      <c r="C6" s="118" t="s">
        <v>10</v>
      </c>
      <c r="D6" s="118" t="s">
        <v>66</v>
      </c>
      <c r="E6" s="118" t="s">
        <v>67</v>
      </c>
      <c r="F6" s="118" t="s">
        <v>68</v>
      </c>
      <c r="G6" s="127" t="s">
        <v>69</v>
      </c>
      <c r="H6" s="127" t="s">
        <v>70</v>
      </c>
      <c r="I6" s="127" t="s">
        <v>71</v>
      </c>
      <c r="J6" s="118" t="s">
        <v>19</v>
      </c>
      <c r="K6" s="128" t="s">
        <v>72</v>
      </c>
      <c r="L6" s="128" t="s">
        <v>73</v>
      </c>
      <c r="M6" s="120" t="s">
        <v>16</v>
      </c>
    </row>
    <row r="7" spans="1:21" x14ac:dyDescent="0.2">
      <c r="A7" s="117"/>
      <c r="B7" s="117"/>
      <c r="C7" s="119"/>
      <c r="D7" s="119"/>
      <c r="E7" s="119"/>
      <c r="F7" s="119"/>
      <c r="G7" s="127"/>
      <c r="H7" s="127"/>
      <c r="I7" s="127"/>
      <c r="J7" s="119"/>
      <c r="K7" s="129"/>
      <c r="L7" s="129"/>
      <c r="M7" s="121"/>
    </row>
    <row r="8" spans="1:21" ht="60" x14ac:dyDescent="0.2">
      <c r="A8" s="31">
        <v>1</v>
      </c>
      <c r="B8" s="53" t="str">
        <f>CONCATENATE("RCOM-",LEFT("0000",4-LEN(ROW(A2)-1)),ROW(A2)-1)</f>
        <v>RCOM-0001</v>
      </c>
      <c r="C8" s="88" t="s">
        <v>139</v>
      </c>
      <c r="D8" s="91">
        <v>9000000</v>
      </c>
      <c r="E8" s="67"/>
      <c r="F8" s="54" t="s">
        <v>32</v>
      </c>
      <c r="G8" s="55" t="s">
        <v>87</v>
      </c>
      <c r="H8" s="55" t="s">
        <v>98</v>
      </c>
      <c r="I8" s="55"/>
      <c r="J8" s="55" t="s">
        <v>45</v>
      </c>
      <c r="K8" s="70"/>
      <c r="L8" s="9"/>
      <c r="M8" s="54"/>
    </row>
    <row r="9" spans="1:21" ht="60" x14ac:dyDescent="0.2">
      <c r="A9" s="31">
        <v>2</v>
      </c>
      <c r="B9" s="53" t="str">
        <f t="shared" ref="B9:B38" si="0">CONCATENATE("RCOM-",LEFT("0000",4-LEN(ROW(A3)-1)),ROW(A3)-1)</f>
        <v>RCOM-0002</v>
      </c>
      <c r="C9" s="89" t="s">
        <v>138</v>
      </c>
      <c r="D9" s="90">
        <v>1925000</v>
      </c>
      <c r="E9" s="67"/>
      <c r="F9" s="54" t="s">
        <v>32</v>
      </c>
      <c r="G9" s="55" t="s">
        <v>87</v>
      </c>
      <c r="H9" s="55" t="s">
        <v>99</v>
      </c>
      <c r="I9" s="55"/>
      <c r="J9" s="55" t="s">
        <v>45</v>
      </c>
      <c r="K9" s="70"/>
      <c r="L9" s="9"/>
      <c r="M9" s="3"/>
    </row>
    <row r="10" spans="1:21" ht="30" x14ac:dyDescent="0.2">
      <c r="A10" s="31">
        <v>3</v>
      </c>
      <c r="B10" s="53" t="str">
        <f t="shared" si="0"/>
        <v>RCOM-0003</v>
      </c>
      <c r="C10" s="89" t="s">
        <v>140</v>
      </c>
      <c r="D10" s="90">
        <v>1012164.5</v>
      </c>
      <c r="E10" s="67"/>
      <c r="F10" s="54" t="s">
        <v>84</v>
      </c>
      <c r="G10" s="55" t="s">
        <v>87</v>
      </c>
      <c r="H10" s="55" t="s">
        <v>99</v>
      </c>
      <c r="I10" s="55"/>
      <c r="J10" s="55" t="s">
        <v>45</v>
      </c>
      <c r="K10" s="70"/>
      <c r="L10" s="9"/>
      <c r="M10" s="3"/>
    </row>
    <row r="11" spans="1:21" ht="25" customHeight="1" x14ac:dyDescent="0.2">
      <c r="A11" s="31">
        <v>4</v>
      </c>
      <c r="B11" s="53" t="str">
        <f t="shared" si="0"/>
        <v>RCOM-0004</v>
      </c>
      <c r="C11" s="11" t="s">
        <v>141</v>
      </c>
      <c r="D11" s="92">
        <v>44716</v>
      </c>
      <c r="E11" s="67"/>
      <c r="F11" s="54" t="s">
        <v>84</v>
      </c>
      <c r="G11" s="55" t="s">
        <v>87</v>
      </c>
      <c r="H11" s="55" t="s">
        <v>95</v>
      </c>
      <c r="I11" s="55"/>
      <c r="J11" s="55"/>
      <c r="K11" s="70"/>
      <c r="L11" s="9"/>
      <c r="M11" s="3"/>
    </row>
    <row r="12" spans="1:21" ht="38" customHeight="1" x14ac:dyDescent="0.2">
      <c r="A12" s="31">
        <v>5</v>
      </c>
      <c r="B12" s="53" t="str">
        <f t="shared" si="0"/>
        <v>RCOM-0005</v>
      </c>
      <c r="C12" s="11" t="s">
        <v>142</v>
      </c>
      <c r="D12" s="92">
        <v>142162.69</v>
      </c>
      <c r="E12" s="67"/>
      <c r="F12" s="54" t="s">
        <v>80</v>
      </c>
      <c r="G12" s="55" t="s">
        <v>87</v>
      </c>
      <c r="H12" s="55" t="s">
        <v>95</v>
      </c>
      <c r="I12" s="55"/>
      <c r="J12" s="55"/>
      <c r="K12" s="70"/>
      <c r="L12" s="9"/>
      <c r="M12" s="3"/>
    </row>
    <row r="13" spans="1:21" ht="30" x14ac:dyDescent="0.2">
      <c r="A13" s="31">
        <v>6</v>
      </c>
      <c r="B13" s="53" t="str">
        <f t="shared" si="0"/>
        <v>RCOM-0006</v>
      </c>
      <c r="C13" s="11" t="s">
        <v>143</v>
      </c>
      <c r="E13" s="92">
        <v>3673.02</v>
      </c>
      <c r="F13" s="54" t="s">
        <v>80</v>
      </c>
      <c r="G13" s="55" t="s">
        <v>83</v>
      </c>
      <c r="H13" s="55" t="s">
        <v>3</v>
      </c>
      <c r="I13" s="55">
        <v>18</v>
      </c>
      <c r="J13" s="55" t="s">
        <v>93</v>
      </c>
      <c r="K13" s="70"/>
      <c r="L13" s="9"/>
      <c r="M13" s="3" t="s">
        <v>144</v>
      </c>
    </row>
    <row r="14" spans="1:21" ht="30" x14ac:dyDescent="0.2">
      <c r="A14" s="31">
        <v>7</v>
      </c>
      <c r="B14" s="53" t="str">
        <f t="shared" si="0"/>
        <v>RCOM-0007</v>
      </c>
      <c r="C14" s="11" t="s">
        <v>145</v>
      </c>
      <c r="D14" s="11"/>
      <c r="E14" s="92">
        <v>95204.68</v>
      </c>
      <c r="F14" s="54" t="s">
        <v>80</v>
      </c>
      <c r="G14" s="55" t="s">
        <v>87</v>
      </c>
      <c r="H14" s="55" t="s">
        <v>91</v>
      </c>
      <c r="I14" s="55">
        <v>22</v>
      </c>
      <c r="J14" s="55" t="s">
        <v>93</v>
      </c>
      <c r="K14" s="70"/>
      <c r="L14" s="9"/>
      <c r="M14" s="3" t="s">
        <v>146</v>
      </c>
    </row>
    <row r="15" spans="1:21" ht="30" x14ac:dyDescent="0.2">
      <c r="A15" s="31">
        <v>8</v>
      </c>
      <c r="B15" s="53" t="str">
        <f t="shared" si="0"/>
        <v>RCOM-0008</v>
      </c>
      <c r="C15" s="11" t="s">
        <v>147</v>
      </c>
      <c r="D15" s="11"/>
      <c r="E15" s="92">
        <v>420377.14</v>
      </c>
      <c r="F15" s="54" t="s">
        <v>80</v>
      </c>
      <c r="G15" s="55" t="s">
        <v>87</v>
      </c>
      <c r="H15" s="55" t="s">
        <v>99</v>
      </c>
      <c r="I15" s="55">
        <v>30</v>
      </c>
      <c r="J15" s="55" t="s">
        <v>93</v>
      </c>
      <c r="K15" s="70"/>
      <c r="L15" s="9"/>
      <c r="M15" s="3" t="s">
        <v>148</v>
      </c>
    </row>
    <row r="16" spans="1:21" ht="45" x14ac:dyDescent="0.2">
      <c r="A16" s="31">
        <v>9</v>
      </c>
      <c r="B16" s="53" t="str">
        <f t="shared" si="0"/>
        <v>RCOM-0009</v>
      </c>
      <c r="C16" s="11" t="s">
        <v>150</v>
      </c>
      <c r="D16" s="11" t="s">
        <v>149</v>
      </c>
      <c r="E16" s="92">
        <v>3213.89</v>
      </c>
      <c r="F16" s="54" t="s">
        <v>80</v>
      </c>
      <c r="G16" s="55" t="s">
        <v>90</v>
      </c>
      <c r="H16" s="55" t="s">
        <v>4</v>
      </c>
      <c r="I16" s="55">
        <v>10</v>
      </c>
      <c r="J16" s="55" t="s">
        <v>93</v>
      </c>
      <c r="K16" s="70"/>
      <c r="L16" s="9"/>
      <c r="M16" s="3" t="s">
        <v>151</v>
      </c>
    </row>
    <row r="17" spans="1:13" ht="45" x14ac:dyDescent="0.2">
      <c r="A17" s="31">
        <v>10</v>
      </c>
      <c r="B17" s="53" t="str">
        <f t="shared" si="0"/>
        <v>RCOM-0010</v>
      </c>
      <c r="C17" s="11" t="s">
        <v>153</v>
      </c>
      <c r="D17" s="11"/>
      <c r="E17" s="92">
        <v>328886.25</v>
      </c>
      <c r="F17" s="54" t="s">
        <v>80</v>
      </c>
      <c r="G17" s="55" t="s">
        <v>90</v>
      </c>
      <c r="H17" s="55" t="s">
        <v>4</v>
      </c>
      <c r="I17" s="55">
        <v>28</v>
      </c>
      <c r="J17" s="55" t="s">
        <v>93</v>
      </c>
      <c r="K17" s="70"/>
      <c r="L17" s="9"/>
      <c r="M17" s="3" t="s">
        <v>152</v>
      </c>
    </row>
    <row r="18" spans="1:13" ht="45" x14ac:dyDescent="0.2">
      <c r="A18" s="31">
        <v>11</v>
      </c>
      <c r="B18" s="53" t="str">
        <f t="shared" si="0"/>
        <v>RCOM-0011</v>
      </c>
      <c r="C18" s="11" t="s">
        <v>155</v>
      </c>
      <c r="D18" s="11"/>
      <c r="E18" s="92">
        <v>270837.67</v>
      </c>
      <c r="F18" s="54" t="s">
        <v>80</v>
      </c>
      <c r="G18" s="55" t="s">
        <v>90</v>
      </c>
      <c r="H18" s="55" t="s">
        <v>101</v>
      </c>
      <c r="I18" s="55">
        <v>1</v>
      </c>
      <c r="J18" s="55" t="s">
        <v>93</v>
      </c>
      <c r="K18" s="70"/>
      <c r="L18" s="9"/>
      <c r="M18" s="3" t="s">
        <v>156</v>
      </c>
    </row>
    <row r="19" spans="1:13" ht="45" x14ac:dyDescent="0.2">
      <c r="A19" s="31">
        <v>12</v>
      </c>
      <c r="B19" s="53" t="str">
        <f t="shared" si="0"/>
        <v>RCOM-0012</v>
      </c>
      <c r="C19" s="11" t="s">
        <v>157</v>
      </c>
      <c r="D19" s="11"/>
      <c r="E19" s="92">
        <v>31146.14</v>
      </c>
      <c r="F19" s="54" t="s">
        <v>80</v>
      </c>
      <c r="G19" s="55" t="s">
        <v>90</v>
      </c>
      <c r="H19" s="55" t="s">
        <v>100</v>
      </c>
      <c r="I19" s="55">
        <v>30</v>
      </c>
      <c r="J19" s="55" t="s">
        <v>93</v>
      </c>
      <c r="K19" s="70"/>
      <c r="L19" s="9"/>
      <c r="M19" s="3" t="s">
        <v>158</v>
      </c>
    </row>
    <row r="20" spans="1:13" ht="45" x14ac:dyDescent="0.2">
      <c r="A20" s="31">
        <v>13</v>
      </c>
      <c r="B20" s="53" t="str">
        <f t="shared" si="0"/>
        <v>RCOM-0013</v>
      </c>
      <c r="C20" s="11" t="s">
        <v>154</v>
      </c>
      <c r="D20" s="11"/>
      <c r="E20" s="92">
        <v>2871</v>
      </c>
      <c r="F20" s="54" t="s">
        <v>80</v>
      </c>
      <c r="G20" s="55" t="s">
        <v>94</v>
      </c>
      <c r="H20" s="55" t="s">
        <v>7</v>
      </c>
      <c r="I20" s="55">
        <v>26</v>
      </c>
      <c r="J20" s="55" t="s">
        <v>93</v>
      </c>
      <c r="K20" s="70"/>
      <c r="L20" s="9"/>
      <c r="M20" s="3" t="s">
        <v>159</v>
      </c>
    </row>
    <row r="21" spans="1:13" ht="16" x14ac:dyDescent="0.2">
      <c r="A21" s="31">
        <v>14</v>
      </c>
      <c r="B21" s="53" t="str">
        <f t="shared" si="0"/>
        <v>RCOM-0014</v>
      </c>
      <c r="C21" s="11"/>
      <c r="D21" s="11"/>
      <c r="E21" s="67"/>
      <c r="F21" s="54"/>
      <c r="G21" s="55"/>
      <c r="H21" s="55"/>
      <c r="I21" s="55"/>
      <c r="J21" s="55"/>
      <c r="K21" s="70"/>
      <c r="L21" s="9"/>
      <c r="M21" s="3"/>
    </row>
    <row r="22" spans="1:13" ht="16" x14ac:dyDescent="0.2">
      <c r="A22" s="31">
        <v>15</v>
      </c>
      <c r="B22" s="53" t="str">
        <f t="shared" si="0"/>
        <v>RCOM-0015</v>
      </c>
      <c r="C22" s="11"/>
      <c r="D22" s="11"/>
      <c r="E22" s="67"/>
      <c r="F22" s="54"/>
      <c r="G22" s="55"/>
      <c r="H22" s="55"/>
      <c r="I22" s="55"/>
      <c r="J22" s="55"/>
      <c r="K22" s="70"/>
      <c r="L22" s="9"/>
      <c r="M22" s="3"/>
    </row>
    <row r="23" spans="1:13" ht="16" x14ac:dyDescent="0.2">
      <c r="A23" s="31">
        <v>16</v>
      </c>
      <c r="B23" s="53" t="str">
        <f t="shared" si="0"/>
        <v>RCOM-0016</v>
      </c>
      <c r="C23" s="11"/>
      <c r="D23" s="11"/>
      <c r="E23" s="67"/>
      <c r="F23" s="54"/>
      <c r="G23" s="55"/>
      <c r="H23" s="55"/>
      <c r="I23" s="55"/>
      <c r="J23" s="55"/>
      <c r="K23" s="70"/>
      <c r="L23" s="9"/>
      <c r="M23" s="3"/>
    </row>
    <row r="24" spans="1:13" ht="16" x14ac:dyDescent="0.2">
      <c r="A24" s="31">
        <v>17</v>
      </c>
      <c r="B24" s="53" t="str">
        <f t="shared" si="0"/>
        <v>RCOM-0017</v>
      </c>
      <c r="C24" s="11"/>
      <c r="D24" s="11"/>
      <c r="E24" s="67"/>
      <c r="F24" s="54"/>
      <c r="G24" s="55"/>
      <c r="H24" s="55"/>
      <c r="I24" s="55"/>
      <c r="J24" s="55"/>
      <c r="K24" s="70"/>
      <c r="L24" s="9"/>
      <c r="M24" s="3"/>
    </row>
    <row r="25" spans="1:13" ht="16" x14ac:dyDescent="0.2">
      <c r="A25" s="31">
        <v>18</v>
      </c>
      <c r="B25" s="53" t="str">
        <f t="shared" si="0"/>
        <v>RCOM-0018</v>
      </c>
      <c r="C25" s="11"/>
      <c r="D25" s="11"/>
      <c r="E25" s="67"/>
      <c r="F25" s="54"/>
      <c r="G25" s="55"/>
      <c r="H25" s="55"/>
      <c r="I25" s="55"/>
      <c r="J25" s="55"/>
      <c r="K25" s="70"/>
      <c r="L25" s="9"/>
      <c r="M25" s="3"/>
    </row>
    <row r="26" spans="1:13" ht="16" x14ac:dyDescent="0.2">
      <c r="A26" s="31">
        <v>19</v>
      </c>
      <c r="B26" s="53" t="str">
        <f t="shared" si="0"/>
        <v>RCOM-0019</v>
      </c>
      <c r="C26" s="11"/>
      <c r="D26" s="11"/>
      <c r="E26" s="67"/>
      <c r="F26" s="54"/>
      <c r="G26" s="55"/>
      <c r="H26" s="55"/>
      <c r="I26" s="55"/>
      <c r="J26" s="55"/>
      <c r="K26" s="70"/>
      <c r="L26" s="9"/>
      <c r="M26" s="3"/>
    </row>
    <row r="27" spans="1:13" ht="16" x14ac:dyDescent="0.2">
      <c r="A27" s="31">
        <v>20</v>
      </c>
      <c r="B27" s="53" t="str">
        <f t="shared" si="0"/>
        <v>RCOM-0020</v>
      </c>
      <c r="C27" s="11"/>
      <c r="D27" s="11"/>
      <c r="E27" s="67"/>
      <c r="F27" s="54"/>
      <c r="G27" s="55"/>
      <c r="H27" s="55"/>
      <c r="I27" s="55"/>
      <c r="J27" s="55"/>
      <c r="K27" s="70"/>
      <c r="L27" s="9"/>
      <c r="M27" s="3"/>
    </row>
    <row r="28" spans="1:13" ht="16" x14ac:dyDescent="0.2">
      <c r="A28" s="31">
        <v>21</v>
      </c>
      <c r="B28" s="53" t="str">
        <f t="shared" si="0"/>
        <v>RCOM-0021</v>
      </c>
      <c r="C28" s="11"/>
      <c r="D28" s="11"/>
      <c r="E28" s="67"/>
      <c r="F28" s="54"/>
      <c r="G28" s="55"/>
      <c r="H28" s="55"/>
      <c r="I28" s="55"/>
      <c r="J28" s="55"/>
      <c r="K28" s="70"/>
      <c r="L28" s="9"/>
      <c r="M28" s="3"/>
    </row>
    <row r="29" spans="1:13" ht="16" x14ac:dyDescent="0.2">
      <c r="A29" s="31">
        <v>22</v>
      </c>
      <c r="B29" s="53" t="str">
        <f t="shared" si="0"/>
        <v>RCOM-0022</v>
      </c>
      <c r="C29" s="11"/>
      <c r="D29" s="11"/>
      <c r="E29" s="67"/>
      <c r="F29" s="54"/>
      <c r="G29" s="55"/>
      <c r="H29" s="55"/>
      <c r="I29" s="55"/>
      <c r="J29" s="55"/>
      <c r="K29" s="70"/>
      <c r="L29" s="9"/>
      <c r="M29" s="3"/>
    </row>
    <row r="30" spans="1:13" ht="16" x14ac:dyDescent="0.2">
      <c r="A30" s="31">
        <v>23</v>
      </c>
      <c r="B30" s="53" t="str">
        <f t="shared" si="0"/>
        <v>RCOM-0023</v>
      </c>
      <c r="C30" s="11"/>
      <c r="D30" s="11"/>
      <c r="E30" s="67"/>
      <c r="F30" s="54"/>
      <c r="G30" s="55"/>
      <c r="H30" s="55"/>
      <c r="I30" s="55"/>
      <c r="J30" s="55"/>
      <c r="K30" s="70"/>
      <c r="L30" s="9"/>
      <c r="M30" s="3"/>
    </row>
    <row r="31" spans="1:13" ht="16" x14ac:dyDescent="0.2">
      <c r="A31" s="31">
        <v>24</v>
      </c>
      <c r="B31" s="53" t="str">
        <f t="shared" si="0"/>
        <v>RCOM-0024</v>
      </c>
      <c r="C31" s="11"/>
      <c r="D31" s="11"/>
      <c r="E31" s="67"/>
      <c r="F31" s="54"/>
      <c r="G31" s="55"/>
      <c r="H31" s="55"/>
      <c r="I31" s="55"/>
      <c r="J31" s="55"/>
      <c r="K31" s="70"/>
      <c r="L31" s="9"/>
      <c r="M31" s="3"/>
    </row>
    <row r="32" spans="1:13" ht="16" x14ac:dyDescent="0.2">
      <c r="A32" s="31">
        <v>25</v>
      </c>
      <c r="B32" s="53" t="str">
        <f t="shared" si="0"/>
        <v>RCOM-0025</v>
      </c>
      <c r="C32" s="11"/>
      <c r="D32" s="11"/>
      <c r="E32" s="67"/>
      <c r="F32" s="54"/>
      <c r="G32" s="55"/>
      <c r="H32" s="55"/>
      <c r="I32" s="55"/>
      <c r="J32" s="55"/>
      <c r="K32" s="70"/>
      <c r="L32" s="9"/>
      <c r="M32" s="3"/>
    </row>
    <row r="33" spans="1:13" ht="16" x14ac:dyDescent="0.2">
      <c r="A33" s="31">
        <v>26</v>
      </c>
      <c r="B33" s="53" t="str">
        <f t="shared" si="0"/>
        <v>RCOM-0026</v>
      </c>
      <c r="C33" s="11"/>
      <c r="D33" s="11"/>
      <c r="E33" s="67"/>
      <c r="F33" s="54"/>
      <c r="G33" s="55"/>
      <c r="H33" s="55"/>
      <c r="I33" s="55"/>
      <c r="J33" s="55"/>
      <c r="K33" s="70"/>
      <c r="L33" s="9"/>
      <c r="M33" s="3"/>
    </row>
    <row r="34" spans="1:13" ht="16" x14ac:dyDescent="0.2">
      <c r="A34" s="31">
        <v>27</v>
      </c>
      <c r="B34" s="53" t="str">
        <f t="shared" si="0"/>
        <v>RCOM-0027</v>
      </c>
      <c r="C34" s="11"/>
      <c r="D34" s="11"/>
      <c r="E34" s="67"/>
      <c r="F34" s="54"/>
      <c r="G34" s="55"/>
      <c r="H34" s="55"/>
      <c r="I34" s="55"/>
      <c r="J34" s="55"/>
      <c r="K34" s="70"/>
      <c r="L34" s="9"/>
      <c r="M34" s="3"/>
    </row>
    <row r="35" spans="1:13" ht="16" x14ac:dyDescent="0.2">
      <c r="A35" s="31">
        <v>28</v>
      </c>
      <c r="B35" s="53" t="str">
        <f t="shared" si="0"/>
        <v>RCOM-0028</v>
      </c>
      <c r="C35" s="11"/>
      <c r="D35" s="11"/>
      <c r="E35" s="67"/>
      <c r="F35" s="54"/>
      <c r="G35" s="55"/>
      <c r="H35" s="55"/>
      <c r="I35" s="55"/>
      <c r="J35" s="55"/>
      <c r="K35" s="70"/>
      <c r="L35" s="9"/>
      <c r="M35" s="3"/>
    </row>
    <row r="36" spans="1:13" ht="16" x14ac:dyDescent="0.2">
      <c r="A36" s="31">
        <v>29</v>
      </c>
      <c r="B36" s="53" t="str">
        <f t="shared" si="0"/>
        <v>RCOM-0029</v>
      </c>
      <c r="C36" s="11"/>
      <c r="D36" s="11"/>
      <c r="E36" s="67"/>
      <c r="F36" s="54"/>
      <c r="G36" s="55"/>
      <c r="H36" s="55"/>
      <c r="I36" s="55"/>
      <c r="J36" s="55"/>
      <c r="K36" s="70"/>
      <c r="L36" s="9"/>
      <c r="M36" s="3"/>
    </row>
    <row r="37" spans="1:13" ht="16" x14ac:dyDescent="0.2">
      <c r="A37" s="31">
        <v>30</v>
      </c>
      <c r="B37" s="53" t="str">
        <f t="shared" si="0"/>
        <v>RCOM-0030</v>
      </c>
      <c r="C37" s="11"/>
      <c r="D37" s="11"/>
      <c r="E37" s="67"/>
      <c r="F37" s="54"/>
      <c r="G37" s="55"/>
      <c r="H37" s="55"/>
      <c r="I37" s="55"/>
      <c r="J37" s="55"/>
      <c r="K37" s="70"/>
      <c r="L37" s="9"/>
      <c r="M37" s="3"/>
    </row>
    <row r="38" spans="1:13" ht="16" x14ac:dyDescent="0.2">
      <c r="A38" s="31">
        <v>31</v>
      </c>
      <c r="B38" s="53" t="str">
        <f t="shared" si="0"/>
        <v>RCOM-0031</v>
      </c>
      <c r="C38" s="11"/>
      <c r="D38" s="11"/>
      <c r="E38" s="67"/>
      <c r="F38" s="54"/>
      <c r="G38" s="55"/>
      <c r="H38" s="55"/>
      <c r="I38" s="55"/>
      <c r="J38" s="55"/>
      <c r="K38" s="70"/>
      <c r="L38" s="9"/>
      <c r="M38" s="3"/>
    </row>
    <row r="39" spans="1:13" ht="16" thickBot="1" x14ac:dyDescent="0.25">
      <c r="A39" s="47"/>
      <c r="B39" s="47"/>
      <c r="C39" s="68" t="s">
        <v>49</v>
      </c>
      <c r="D39" s="69">
        <f>SUM(D8:D38)</f>
        <v>12124043.189999999</v>
      </c>
      <c r="E39" s="69">
        <f>SUM(E8:E38)</f>
        <v>1156209.7899999998</v>
      </c>
      <c r="F39" s="68"/>
      <c r="G39" s="68"/>
      <c r="H39" s="68"/>
      <c r="I39" s="68"/>
      <c r="J39" s="68"/>
      <c r="K39" s="71"/>
      <c r="L39" s="68"/>
      <c r="M39" s="68"/>
    </row>
    <row r="40" spans="1:13" ht="16" thickTop="1" x14ac:dyDescent="0.2"/>
  </sheetData>
  <mergeCells count="25">
    <mergeCell ref="B3:C3"/>
    <mergeCell ref="D3:E3"/>
    <mergeCell ref="F3:G3"/>
    <mergeCell ref="B1:U1"/>
    <mergeCell ref="B2:C2"/>
    <mergeCell ref="D2:G2"/>
    <mergeCell ref="H2:I2"/>
    <mergeCell ref="J2:K2"/>
    <mergeCell ref="B4:C4"/>
    <mergeCell ref="D4:E4"/>
    <mergeCell ref="F4:G4"/>
    <mergeCell ref="G5:L5"/>
    <mergeCell ref="A6:A7"/>
    <mergeCell ref="B6:B7"/>
    <mergeCell ref="C6:C7"/>
    <mergeCell ref="D6:D7"/>
    <mergeCell ref="E6:E7"/>
    <mergeCell ref="F6:F7"/>
    <mergeCell ref="M6:M7"/>
    <mergeCell ref="G6:G7"/>
    <mergeCell ref="H6:H7"/>
    <mergeCell ref="I6:I7"/>
    <mergeCell ref="J6:J7"/>
    <mergeCell ref="K6:K7"/>
    <mergeCell ref="L6:L7"/>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00000000-0002-0000-0B00-000000000000}">
          <x14:formula1>
            <xm:f>'Macro-Sheet'!$C$2:$C$7</xm:f>
          </x14:formula1>
          <xm:sqref>F8:F38</xm:sqref>
        </x14:dataValidation>
        <x14:dataValidation type="list" allowBlank="1" showInputMessage="1" showErrorMessage="1" xr:uid="{00000000-0002-0000-0B00-000001000000}">
          <x14:formula1>
            <xm:f>'Macro-Sheet'!$I$2:$I$7</xm:f>
          </x14:formula1>
          <xm:sqref>G8:G38</xm:sqref>
        </x14:dataValidation>
        <x14:dataValidation type="list" allowBlank="1" showInputMessage="1" showErrorMessage="1" xr:uid="{00000000-0002-0000-0B00-000002000000}">
          <x14:formula1>
            <xm:f>'Macro-Sheet'!$J$2:$J$14</xm:f>
          </x14:formula1>
          <xm:sqref>H8:H38</xm:sqref>
        </x14:dataValidation>
        <x14:dataValidation type="list" allowBlank="1" showInputMessage="1" showErrorMessage="1" xr:uid="{00000000-0002-0000-0B00-000003000000}">
          <x14:formula1>
            <xm:f>'Macro-Sheet'!$K$2:$K$33</xm:f>
          </x14:formula1>
          <xm:sqref>I8:I38</xm:sqref>
        </x14:dataValidation>
        <x14:dataValidation type="list" allowBlank="1" showInputMessage="1" showErrorMessage="1" xr:uid="{00000000-0002-0000-0B00-000004000000}">
          <x14:formula1>
            <xm:f>'Macro-Sheet'!$E$2:$E$6</xm:f>
          </x14:formula1>
          <xm:sqref>J8:J38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33"/>
  <sheetViews>
    <sheetView workbookViewId="0">
      <selection activeCell="A2" sqref="A2:B2"/>
    </sheetView>
  </sheetViews>
  <sheetFormatPr baseColWidth="10" defaultColWidth="9.1640625" defaultRowHeight="15" x14ac:dyDescent="0.2"/>
  <cols>
    <col min="1" max="1" width="11.6640625" style="62" bestFit="1" customWidth="1"/>
    <col min="2" max="2" width="9.1640625" style="62"/>
    <col min="3" max="3" width="29.6640625" style="62" bestFit="1" customWidth="1"/>
    <col min="4" max="4" width="15.6640625" style="62" bestFit="1" customWidth="1"/>
    <col min="5" max="5" width="19.5" style="62" bestFit="1" customWidth="1"/>
    <col min="6" max="6" width="20.6640625" style="62" customWidth="1"/>
    <col min="7" max="7" width="14.5" style="62" bestFit="1" customWidth="1"/>
    <col min="8" max="8" width="9.1640625" style="62"/>
    <col min="9" max="9" width="28.1640625" style="62" bestFit="1" customWidth="1"/>
    <col min="10" max="14" width="9.1640625" style="62"/>
    <col min="15" max="16384" width="9.1640625" style="30"/>
  </cols>
  <sheetData>
    <row r="1" spans="1:11" s="30" customFormat="1" x14ac:dyDescent="0.2">
      <c r="A1" s="62" t="s">
        <v>1</v>
      </c>
      <c r="B1" s="62"/>
      <c r="C1" s="62" t="s">
        <v>68</v>
      </c>
      <c r="D1" s="62" t="s">
        <v>43</v>
      </c>
      <c r="E1" s="62" t="s">
        <v>44</v>
      </c>
      <c r="F1" s="62" t="s">
        <v>76</v>
      </c>
      <c r="G1" s="62" t="s">
        <v>77</v>
      </c>
      <c r="H1" s="62"/>
      <c r="I1" s="62" t="s">
        <v>12</v>
      </c>
      <c r="J1" s="62" t="s">
        <v>78</v>
      </c>
      <c r="K1" s="62" t="s">
        <v>79</v>
      </c>
    </row>
    <row r="3" spans="1:11" s="30" customFormat="1" ht="16.5" customHeight="1" x14ac:dyDescent="0.2">
      <c r="A3" s="63" t="s">
        <v>13</v>
      </c>
      <c r="B3" s="63"/>
      <c r="C3" s="62" t="s">
        <v>80</v>
      </c>
      <c r="D3" s="62" t="s">
        <v>41</v>
      </c>
      <c r="E3" s="62" t="s">
        <v>45</v>
      </c>
      <c r="F3" s="62" t="s">
        <v>81</v>
      </c>
      <c r="G3" s="62" t="s">
        <v>82</v>
      </c>
      <c r="H3" s="62"/>
      <c r="I3" s="62" t="s">
        <v>83</v>
      </c>
      <c r="J3" s="62" t="s">
        <v>2</v>
      </c>
      <c r="K3" s="62">
        <v>1</v>
      </c>
    </row>
    <row r="4" spans="1:11" s="30" customFormat="1" ht="17.25" customHeight="1" x14ac:dyDescent="0.2">
      <c r="A4" s="63" t="s">
        <v>15</v>
      </c>
      <c r="B4" s="63"/>
      <c r="C4" s="62" t="s">
        <v>84</v>
      </c>
      <c r="D4" s="62" t="s">
        <v>42</v>
      </c>
      <c r="E4" s="62" t="s">
        <v>46</v>
      </c>
      <c r="F4" s="62" t="s">
        <v>85</v>
      </c>
      <c r="G4" s="62" t="s">
        <v>86</v>
      </c>
      <c r="H4" s="62"/>
      <c r="I4" s="62" t="s">
        <v>87</v>
      </c>
      <c r="J4" s="62" t="s">
        <v>3</v>
      </c>
      <c r="K4" s="62">
        <v>2</v>
      </c>
    </row>
    <row r="5" spans="1:11" s="30" customFormat="1" ht="17.25" customHeight="1" x14ac:dyDescent="0.2">
      <c r="A5" s="63" t="s">
        <v>14</v>
      </c>
      <c r="B5" s="63"/>
      <c r="C5" s="62" t="s">
        <v>32</v>
      </c>
      <c r="D5" s="62"/>
      <c r="E5" s="62" t="s">
        <v>47</v>
      </c>
      <c r="F5" s="62" t="s">
        <v>88</v>
      </c>
      <c r="G5" s="62" t="s">
        <v>89</v>
      </c>
      <c r="H5" s="62"/>
      <c r="I5" s="62" t="s">
        <v>90</v>
      </c>
      <c r="J5" s="62" t="s">
        <v>91</v>
      </c>
      <c r="K5" s="62">
        <v>3</v>
      </c>
    </row>
    <row r="6" spans="1:11" s="30" customFormat="1" x14ac:dyDescent="0.2">
      <c r="A6" s="63"/>
      <c r="B6" s="62"/>
      <c r="C6" s="62" t="s">
        <v>92</v>
      </c>
      <c r="D6" s="62"/>
      <c r="E6" s="62" t="s">
        <v>93</v>
      </c>
      <c r="F6" s="62"/>
      <c r="G6" s="62"/>
      <c r="H6" s="62"/>
      <c r="I6" s="62" t="s">
        <v>94</v>
      </c>
      <c r="J6" s="62" t="s">
        <v>95</v>
      </c>
      <c r="K6" s="62">
        <v>4</v>
      </c>
    </row>
    <row r="7" spans="1:11" s="30" customFormat="1" x14ac:dyDescent="0.2">
      <c r="A7" s="62"/>
      <c r="B7" s="62"/>
      <c r="C7" s="62" t="s">
        <v>96</v>
      </c>
      <c r="D7" s="62"/>
      <c r="E7" s="62"/>
      <c r="F7" s="62"/>
      <c r="G7" s="62"/>
      <c r="H7" s="62"/>
      <c r="I7" s="62" t="s">
        <v>97</v>
      </c>
      <c r="J7" s="62" t="s">
        <v>98</v>
      </c>
      <c r="K7" s="62">
        <v>5</v>
      </c>
    </row>
    <row r="8" spans="1:11" s="30" customFormat="1" x14ac:dyDescent="0.2">
      <c r="A8" s="62"/>
      <c r="B8" s="62"/>
      <c r="C8" s="62"/>
      <c r="D8" s="62"/>
      <c r="E8" s="62"/>
      <c r="F8" s="62"/>
      <c r="G8" s="62"/>
      <c r="H8" s="62"/>
      <c r="I8" s="62"/>
      <c r="J8" s="62" t="s">
        <v>99</v>
      </c>
      <c r="K8" s="62">
        <v>6</v>
      </c>
    </row>
    <row r="9" spans="1:11" s="30" customFormat="1" x14ac:dyDescent="0.2">
      <c r="A9" s="62"/>
      <c r="B9" s="62"/>
      <c r="C9" s="62"/>
      <c r="D9" s="62"/>
      <c r="E9" s="62"/>
      <c r="F9" s="62"/>
      <c r="G9" s="62"/>
      <c r="H9" s="62"/>
      <c r="I9" s="62"/>
      <c r="J9" s="62" t="s">
        <v>100</v>
      </c>
      <c r="K9" s="62">
        <v>7</v>
      </c>
    </row>
    <row r="10" spans="1:11" s="30" customFormat="1" x14ac:dyDescent="0.2">
      <c r="A10" s="62"/>
      <c r="B10" s="62"/>
      <c r="C10" s="62"/>
      <c r="D10" s="62"/>
      <c r="E10" s="62"/>
      <c r="F10" s="62"/>
      <c r="G10" s="62"/>
      <c r="H10" s="62"/>
      <c r="I10" s="62"/>
      <c r="J10" s="62" t="s">
        <v>4</v>
      </c>
      <c r="K10" s="62">
        <v>8</v>
      </c>
    </row>
    <row r="11" spans="1:11" s="30" customFormat="1" x14ac:dyDescent="0.2">
      <c r="A11" s="62"/>
      <c r="B11" s="62"/>
      <c r="C11" s="62"/>
      <c r="D11" s="62"/>
      <c r="E11" s="62"/>
      <c r="F11" s="62"/>
      <c r="G11" s="62"/>
      <c r="H11" s="62"/>
      <c r="I11" s="62"/>
      <c r="J11" s="62" t="s">
        <v>101</v>
      </c>
      <c r="K11" s="62">
        <v>9</v>
      </c>
    </row>
    <row r="12" spans="1:11" s="30" customFormat="1" x14ac:dyDescent="0.2">
      <c r="A12" s="62"/>
      <c r="B12" s="62"/>
      <c r="C12" s="62"/>
      <c r="D12" s="62"/>
      <c r="E12" s="62"/>
      <c r="F12" s="62"/>
      <c r="G12" s="62"/>
      <c r="H12" s="62"/>
      <c r="I12" s="62"/>
      <c r="J12" s="62" t="s">
        <v>5</v>
      </c>
      <c r="K12" s="62">
        <v>10</v>
      </c>
    </row>
    <row r="13" spans="1:11" s="30" customFormat="1" x14ac:dyDescent="0.2">
      <c r="A13" s="62"/>
      <c r="B13" s="62"/>
      <c r="C13" s="62"/>
      <c r="D13" s="62"/>
      <c r="E13" s="62"/>
      <c r="F13" s="62"/>
      <c r="G13" s="62"/>
      <c r="H13" s="62"/>
      <c r="I13" s="62"/>
      <c r="J13" s="62" t="s">
        <v>6</v>
      </c>
      <c r="K13" s="62">
        <v>11</v>
      </c>
    </row>
    <row r="14" spans="1:11" s="30" customFormat="1" x14ac:dyDescent="0.2">
      <c r="A14" s="62"/>
      <c r="B14" s="62"/>
      <c r="C14" s="62"/>
      <c r="D14" s="62"/>
      <c r="E14" s="62"/>
      <c r="F14" s="62"/>
      <c r="G14" s="62"/>
      <c r="H14" s="62"/>
      <c r="I14" s="62"/>
      <c r="J14" s="62" t="s">
        <v>7</v>
      </c>
      <c r="K14" s="62">
        <v>12</v>
      </c>
    </row>
    <row r="15" spans="1:11" s="30" customFormat="1" x14ac:dyDescent="0.2">
      <c r="A15" s="62"/>
      <c r="B15" s="62"/>
      <c r="C15" s="62"/>
      <c r="D15" s="62"/>
      <c r="E15" s="62"/>
      <c r="F15" s="62"/>
      <c r="G15" s="62"/>
      <c r="H15" s="62"/>
      <c r="I15" s="62"/>
      <c r="J15" s="62"/>
      <c r="K15" s="62">
        <v>13</v>
      </c>
    </row>
    <row r="16" spans="1:11" s="30" customFormat="1" x14ac:dyDescent="0.2">
      <c r="A16" s="62"/>
      <c r="B16" s="62"/>
      <c r="C16" s="62"/>
      <c r="D16" s="62"/>
      <c r="E16" s="62"/>
      <c r="F16" s="62"/>
      <c r="G16" s="62"/>
      <c r="H16" s="62"/>
      <c r="I16" s="62"/>
      <c r="J16" s="62"/>
      <c r="K16" s="62">
        <v>14</v>
      </c>
    </row>
    <row r="17" spans="11:11" s="30" customFormat="1" x14ac:dyDescent="0.2">
      <c r="K17" s="62">
        <v>15</v>
      </c>
    </row>
    <row r="18" spans="11:11" s="30" customFormat="1" x14ac:dyDescent="0.2">
      <c r="K18" s="62">
        <v>16</v>
      </c>
    </row>
    <row r="19" spans="11:11" s="30" customFormat="1" x14ac:dyDescent="0.2">
      <c r="K19" s="62">
        <v>17</v>
      </c>
    </row>
    <row r="20" spans="11:11" s="30" customFormat="1" x14ac:dyDescent="0.2">
      <c r="K20" s="62">
        <v>18</v>
      </c>
    </row>
    <row r="21" spans="11:11" s="30" customFormat="1" x14ac:dyDescent="0.2">
      <c r="K21" s="62">
        <v>19</v>
      </c>
    </row>
    <row r="22" spans="11:11" s="30" customFormat="1" x14ac:dyDescent="0.2">
      <c r="K22" s="62">
        <v>20</v>
      </c>
    </row>
    <row r="23" spans="11:11" s="30" customFormat="1" x14ac:dyDescent="0.2">
      <c r="K23" s="62">
        <v>21</v>
      </c>
    </row>
    <row r="24" spans="11:11" s="30" customFormat="1" x14ac:dyDescent="0.2">
      <c r="K24" s="62">
        <v>22</v>
      </c>
    </row>
    <row r="25" spans="11:11" s="30" customFormat="1" x14ac:dyDescent="0.2">
      <c r="K25" s="62">
        <v>23</v>
      </c>
    </row>
    <row r="26" spans="11:11" s="30" customFormat="1" x14ac:dyDescent="0.2">
      <c r="K26" s="62">
        <v>24</v>
      </c>
    </row>
    <row r="27" spans="11:11" s="30" customFormat="1" x14ac:dyDescent="0.2">
      <c r="K27" s="62">
        <v>25</v>
      </c>
    </row>
    <row r="28" spans="11:11" s="30" customFormat="1" x14ac:dyDescent="0.2">
      <c r="K28" s="62">
        <v>26</v>
      </c>
    </row>
    <row r="29" spans="11:11" s="30" customFormat="1" x14ac:dyDescent="0.2">
      <c r="K29" s="62">
        <v>27</v>
      </c>
    </row>
    <row r="30" spans="11:11" s="30" customFormat="1" x14ac:dyDescent="0.2">
      <c r="K30" s="62">
        <v>28</v>
      </c>
    </row>
    <row r="31" spans="11:11" s="30" customFormat="1" x14ac:dyDescent="0.2">
      <c r="K31" s="62">
        <v>29</v>
      </c>
    </row>
    <row r="32" spans="11:11" s="30" customFormat="1" x14ac:dyDescent="0.2">
      <c r="K32" s="62">
        <v>30</v>
      </c>
    </row>
    <row r="33" spans="11:11" s="30" customFormat="1" x14ac:dyDescent="0.2">
      <c r="K33" s="62">
        <v>31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35"/>
  <sheetViews>
    <sheetView workbookViewId="0">
      <selection activeCell="A2" sqref="A2:B2"/>
    </sheetView>
  </sheetViews>
  <sheetFormatPr baseColWidth="10" defaultColWidth="9.1640625" defaultRowHeight="15" x14ac:dyDescent="0.2"/>
  <cols>
    <col min="1" max="1" width="4.33203125" style="30" bestFit="1" customWidth="1"/>
    <col min="2" max="2" width="16.6640625" style="30" bestFit="1" customWidth="1"/>
    <col min="3" max="3" width="19.6640625" style="30" customWidth="1"/>
    <col min="4" max="5" width="15.5" style="30" customWidth="1"/>
    <col min="6" max="8" width="14.5" style="30" customWidth="1"/>
    <col min="9" max="9" width="15" style="30" customWidth="1"/>
    <col min="10" max="10" width="16.1640625" style="30" customWidth="1"/>
    <col min="11" max="11" width="20.83203125" style="30" customWidth="1"/>
    <col min="12" max="12" width="18.83203125" style="30" bestFit="1" customWidth="1"/>
    <col min="13" max="13" width="18.33203125" style="30" customWidth="1"/>
    <col min="14" max="16" width="9.1640625" style="30"/>
    <col min="17" max="18" width="11.33203125" style="30" customWidth="1"/>
    <col min="19" max="16384" width="9.1640625" style="30"/>
  </cols>
  <sheetData>
    <row r="1" spans="1:18" ht="15" customHeight="1" x14ac:dyDescent="0.2">
      <c r="A1" s="131" t="s">
        <v>50</v>
      </c>
      <c r="B1" s="131"/>
      <c r="C1" s="131"/>
      <c r="D1" s="131"/>
      <c r="E1" s="131"/>
      <c r="F1" s="131"/>
      <c r="G1" s="131"/>
      <c r="H1" s="131"/>
      <c r="I1" s="131"/>
      <c r="J1" s="131"/>
      <c r="K1" s="131"/>
      <c r="L1" s="131"/>
      <c r="M1" s="131"/>
      <c r="N1" s="131"/>
      <c r="O1" s="131"/>
      <c r="P1" s="131"/>
      <c r="Q1" s="131"/>
      <c r="R1" s="131"/>
    </row>
    <row r="2" spans="1:18" ht="15" customHeight="1" x14ac:dyDescent="0.2">
      <c r="A2" s="131"/>
      <c r="B2" s="131"/>
      <c r="C2" s="131"/>
      <c r="D2" s="131"/>
      <c r="E2" s="131"/>
      <c r="F2" s="131"/>
      <c r="G2" s="131"/>
      <c r="H2" s="131"/>
      <c r="I2" s="131"/>
      <c r="J2" s="131"/>
      <c r="K2" s="131"/>
      <c r="L2" s="131"/>
      <c r="M2" s="131"/>
      <c r="N2" s="131"/>
      <c r="O2" s="131"/>
      <c r="P2" s="131"/>
      <c r="Q2" s="131"/>
      <c r="R2" s="131"/>
    </row>
    <row r="4" spans="1:18" ht="48" x14ac:dyDescent="0.2">
      <c r="A4" s="35" t="s">
        <v>37</v>
      </c>
      <c r="B4" s="35" t="s">
        <v>65</v>
      </c>
      <c r="C4" s="35" t="s">
        <v>74</v>
      </c>
      <c r="D4" s="35" t="s">
        <v>11</v>
      </c>
      <c r="E4" s="35" t="s">
        <v>51</v>
      </c>
      <c r="F4" s="36" t="s">
        <v>75</v>
      </c>
      <c r="G4" s="36" t="s">
        <v>52</v>
      </c>
      <c r="H4" s="36" t="s">
        <v>53</v>
      </c>
      <c r="I4" s="36" t="s">
        <v>54</v>
      </c>
      <c r="J4" s="36" t="s">
        <v>0</v>
      </c>
      <c r="K4" s="36" t="s">
        <v>55</v>
      </c>
      <c r="L4" s="37" t="s">
        <v>56</v>
      </c>
      <c r="M4" s="35" t="s">
        <v>33</v>
      </c>
      <c r="N4" s="38" t="s">
        <v>8</v>
      </c>
      <c r="O4" s="36" t="s">
        <v>9</v>
      </c>
      <c r="P4" s="36" t="s">
        <v>57</v>
      </c>
      <c r="Q4" s="36" t="s">
        <v>58</v>
      </c>
      <c r="R4" s="36" t="s">
        <v>59</v>
      </c>
    </row>
    <row r="5" spans="1:18" ht="16" x14ac:dyDescent="0.2">
      <c r="A5" s="31">
        <v>1</v>
      </c>
      <c r="B5" s="56" t="str">
        <f>[3]Bohooth!B8</f>
        <v>BOH-0001</v>
      </c>
      <c r="C5" s="4">
        <f>'[4]Center for Teaching &amp; Learning'!K8</f>
        <v>0</v>
      </c>
      <c r="D5" s="4"/>
      <c r="E5" s="4"/>
      <c r="F5" s="2"/>
      <c r="G5" s="2"/>
      <c r="H5" s="2"/>
      <c r="I5" s="2"/>
      <c r="J5" s="2"/>
      <c r="K5" s="2"/>
      <c r="L5" s="2"/>
      <c r="M5" s="4"/>
      <c r="N5" s="2"/>
      <c r="O5" s="2"/>
      <c r="P5" s="2"/>
      <c r="Q5" s="2"/>
      <c r="R5" s="49"/>
    </row>
    <row r="6" spans="1:18" ht="16" x14ac:dyDescent="0.2">
      <c r="A6" s="31">
        <v>2</v>
      </c>
      <c r="B6" s="56" t="str">
        <f>[3]Bohooth!B9</f>
        <v>BOH-0002</v>
      </c>
      <c r="C6" s="4">
        <f>'[4]Center for Teaching &amp; Learning'!K9</f>
        <v>0</v>
      </c>
      <c r="D6" s="12"/>
      <c r="E6" s="12"/>
      <c r="F6" s="12"/>
      <c r="G6" s="12"/>
      <c r="H6" s="2"/>
      <c r="I6" s="12"/>
      <c r="J6" s="12"/>
      <c r="K6" s="12"/>
      <c r="L6" s="2"/>
      <c r="M6" s="12"/>
      <c r="N6" s="12"/>
      <c r="O6" s="12"/>
      <c r="P6" s="12"/>
      <c r="Q6" s="12"/>
      <c r="R6" s="49"/>
    </row>
    <row r="7" spans="1:18" ht="16" x14ac:dyDescent="0.2">
      <c r="A7" s="31">
        <v>3</v>
      </c>
      <c r="B7" s="56" t="str">
        <f>[3]Bohooth!B10</f>
        <v>BOH-0003</v>
      </c>
      <c r="C7" s="4">
        <f>'[4]Center for Teaching &amp; Learning'!K10</f>
        <v>0</v>
      </c>
      <c r="D7" s="5"/>
      <c r="E7" s="5"/>
      <c r="F7" s="5"/>
      <c r="G7" s="5"/>
      <c r="H7" s="2"/>
      <c r="I7" s="5"/>
      <c r="J7" s="5"/>
      <c r="K7" s="5"/>
      <c r="L7" s="2"/>
      <c r="M7" s="5"/>
      <c r="N7" s="5"/>
      <c r="O7" s="5"/>
      <c r="P7" s="5"/>
      <c r="Q7" s="5"/>
      <c r="R7" s="49"/>
    </row>
    <row r="8" spans="1:18" ht="16" x14ac:dyDescent="0.2">
      <c r="A8" s="31">
        <v>4</v>
      </c>
      <c r="B8" s="56" t="str">
        <f>[3]Bohooth!B11</f>
        <v>BOH-0004</v>
      </c>
      <c r="C8" s="4">
        <f>'[4]Center for Teaching &amp; Learning'!K11</f>
        <v>0</v>
      </c>
      <c r="D8" s="6"/>
      <c r="E8" s="6"/>
      <c r="F8" s="6"/>
      <c r="G8" s="6"/>
      <c r="H8" s="2"/>
      <c r="I8" s="6"/>
      <c r="J8" s="6"/>
      <c r="K8" s="6"/>
      <c r="L8" s="2"/>
      <c r="M8" s="6"/>
      <c r="N8" s="6"/>
      <c r="O8" s="6"/>
      <c r="P8" s="6"/>
      <c r="Q8" s="6"/>
      <c r="R8" s="49"/>
    </row>
    <row r="9" spans="1:18" ht="16" x14ac:dyDescent="0.2">
      <c r="A9" s="31">
        <v>5</v>
      </c>
      <c r="B9" s="56" t="str">
        <f>[3]Bohooth!B12</f>
        <v>BOH-0005</v>
      </c>
      <c r="C9" s="4">
        <f>'[4]Center for Teaching &amp; Learning'!K12</f>
        <v>0</v>
      </c>
      <c r="D9" s="7"/>
      <c r="E9" s="7"/>
      <c r="F9" s="7"/>
      <c r="G9" s="7"/>
      <c r="H9" s="2"/>
      <c r="I9" s="7"/>
      <c r="J9" s="7"/>
      <c r="K9" s="7"/>
      <c r="L9" s="2"/>
      <c r="M9" s="7"/>
      <c r="N9" s="7"/>
      <c r="O9" s="7"/>
      <c r="P9" s="7"/>
      <c r="Q9" s="7"/>
      <c r="R9" s="49"/>
    </row>
    <row r="10" spans="1:18" ht="16" x14ac:dyDescent="0.2">
      <c r="A10" s="31">
        <v>6</v>
      </c>
      <c r="B10" s="56" t="str">
        <f>[3]Bohooth!B13</f>
        <v>BOH-0006</v>
      </c>
      <c r="C10" s="4">
        <f>'[4]Center for Teaching &amp; Learning'!K13</f>
        <v>0</v>
      </c>
      <c r="D10" s="6"/>
      <c r="E10" s="6"/>
      <c r="F10" s="6"/>
      <c r="G10" s="6"/>
      <c r="H10" s="2"/>
      <c r="I10" s="6"/>
      <c r="J10" s="6"/>
      <c r="K10" s="6"/>
      <c r="L10" s="2"/>
      <c r="M10" s="6"/>
      <c r="N10" s="6"/>
      <c r="O10" s="6"/>
      <c r="P10" s="6"/>
      <c r="Q10" s="6"/>
      <c r="R10" s="49"/>
    </row>
    <row r="11" spans="1:18" ht="16" x14ac:dyDescent="0.2">
      <c r="A11" s="31">
        <v>7</v>
      </c>
      <c r="B11" s="56" t="str">
        <f>[3]Bohooth!B14</f>
        <v>BOH-0007</v>
      </c>
      <c r="C11" s="4">
        <f>'[4]Center for Teaching &amp; Learning'!K14</f>
        <v>0</v>
      </c>
      <c r="D11" s="6"/>
      <c r="E11" s="6"/>
      <c r="F11" s="6"/>
      <c r="G11" s="6"/>
      <c r="H11" s="2"/>
      <c r="I11" s="6"/>
      <c r="J11" s="6"/>
      <c r="K11" s="6"/>
      <c r="L11" s="2"/>
      <c r="M11" s="6"/>
      <c r="N11" s="6"/>
      <c r="O11" s="6"/>
      <c r="P11" s="6"/>
      <c r="Q11" s="6"/>
      <c r="R11" s="49"/>
    </row>
    <row r="12" spans="1:18" ht="16" x14ac:dyDescent="0.2">
      <c r="A12" s="31">
        <v>8</v>
      </c>
      <c r="B12" s="56" t="str">
        <f>[3]Bohooth!B15</f>
        <v>BOH-0008</v>
      </c>
      <c r="C12" s="4">
        <f>'[4]Center for Teaching &amp; Learning'!K15</f>
        <v>0</v>
      </c>
      <c r="D12" s="8"/>
      <c r="E12" s="8"/>
      <c r="F12" s="8"/>
      <c r="G12" s="8"/>
      <c r="H12" s="2"/>
      <c r="I12" s="8"/>
      <c r="J12" s="8"/>
      <c r="K12" s="8"/>
      <c r="L12" s="2"/>
      <c r="M12" s="8"/>
      <c r="N12" s="8"/>
      <c r="O12" s="8"/>
      <c r="P12" s="8"/>
      <c r="Q12" s="8"/>
      <c r="R12" s="49"/>
    </row>
    <row r="13" spans="1:18" ht="16" x14ac:dyDescent="0.2">
      <c r="A13" s="31">
        <v>9</v>
      </c>
      <c r="B13" s="56" t="str">
        <f>[3]Bohooth!B16</f>
        <v>BOH-0009</v>
      </c>
      <c r="C13" s="4">
        <f>'[4]Center for Teaching &amp; Learning'!K16</f>
        <v>0</v>
      </c>
      <c r="D13" s="6"/>
      <c r="E13" s="6"/>
      <c r="F13" s="6"/>
      <c r="G13" s="6"/>
      <c r="H13" s="2"/>
      <c r="I13" s="6"/>
      <c r="J13" s="6"/>
      <c r="K13" s="6"/>
      <c r="L13" s="2"/>
      <c r="M13" s="6"/>
      <c r="N13" s="6"/>
      <c r="O13" s="6"/>
      <c r="P13" s="6"/>
      <c r="Q13" s="6"/>
      <c r="R13" s="49"/>
    </row>
    <row r="14" spans="1:18" ht="16" x14ac:dyDescent="0.2">
      <c r="A14" s="31">
        <v>10</v>
      </c>
      <c r="B14" s="56" t="str">
        <f>[3]Bohooth!B17</f>
        <v>BOH-0010</v>
      </c>
      <c r="C14" s="4">
        <f>'[4]Center for Teaching &amp; Learning'!K17</f>
        <v>0</v>
      </c>
      <c r="D14" s="7"/>
      <c r="E14" s="7"/>
      <c r="F14" s="7"/>
      <c r="G14" s="7"/>
      <c r="H14" s="2"/>
      <c r="I14" s="7"/>
      <c r="J14" s="7"/>
      <c r="K14" s="7"/>
      <c r="L14" s="2"/>
      <c r="M14" s="7"/>
      <c r="N14" s="7"/>
      <c r="O14" s="7"/>
      <c r="P14" s="7"/>
      <c r="Q14" s="7"/>
      <c r="R14" s="49"/>
    </row>
    <row r="15" spans="1:18" ht="16" x14ac:dyDescent="0.2">
      <c r="A15" s="31">
        <v>11</v>
      </c>
      <c r="B15" s="56" t="str">
        <f>[3]Bohooth!B18</f>
        <v>BOH-0011</v>
      </c>
      <c r="C15" s="4">
        <f>'[4]Center for Teaching &amp; Learning'!K18</f>
        <v>0</v>
      </c>
      <c r="D15" s="6"/>
      <c r="E15" s="6"/>
      <c r="F15" s="6"/>
      <c r="G15" s="6"/>
      <c r="H15" s="2"/>
      <c r="I15" s="6"/>
      <c r="J15" s="6"/>
      <c r="K15" s="6"/>
      <c r="L15" s="2"/>
      <c r="M15" s="6"/>
      <c r="N15" s="6"/>
      <c r="O15" s="6"/>
      <c r="P15" s="6"/>
      <c r="Q15" s="6"/>
      <c r="R15" s="49"/>
    </row>
    <row r="16" spans="1:18" ht="16" x14ac:dyDescent="0.2">
      <c r="A16" s="31">
        <v>12</v>
      </c>
      <c r="B16" s="56" t="str">
        <f>[3]Bohooth!B19</f>
        <v>BOH-0012</v>
      </c>
      <c r="C16" s="4">
        <f>'[4]Center for Teaching &amp; Learning'!K19</f>
        <v>0</v>
      </c>
      <c r="D16" s="9"/>
      <c r="E16" s="9"/>
      <c r="F16" s="9"/>
      <c r="G16" s="9"/>
      <c r="H16" s="2"/>
      <c r="I16" s="9"/>
      <c r="J16" s="9"/>
      <c r="K16" s="9"/>
      <c r="L16" s="2"/>
      <c r="M16" s="9"/>
      <c r="N16" s="9"/>
      <c r="O16" s="9"/>
      <c r="P16" s="9"/>
      <c r="Q16" s="9"/>
      <c r="R16" s="49"/>
    </row>
    <row r="17" spans="1:18" ht="16" x14ac:dyDescent="0.2">
      <c r="A17" s="31">
        <v>13</v>
      </c>
      <c r="B17" s="56" t="str">
        <f>[3]Bohooth!B20</f>
        <v>BOH-0013</v>
      </c>
      <c r="C17" s="4">
        <f>'[4]Center for Teaching &amp; Learning'!K20</f>
        <v>0</v>
      </c>
      <c r="D17" s="9"/>
      <c r="E17" s="9"/>
      <c r="F17" s="9"/>
      <c r="G17" s="9"/>
      <c r="H17" s="2"/>
      <c r="I17" s="9"/>
      <c r="J17" s="9"/>
      <c r="K17" s="9"/>
      <c r="L17" s="2"/>
      <c r="M17" s="9"/>
      <c r="N17" s="9"/>
      <c r="O17" s="9"/>
      <c r="P17" s="9"/>
      <c r="Q17" s="9"/>
      <c r="R17" s="49"/>
    </row>
    <row r="18" spans="1:18" ht="16" x14ac:dyDescent="0.2">
      <c r="A18" s="31">
        <v>14</v>
      </c>
      <c r="B18" s="56" t="str">
        <f>[3]Bohooth!B21</f>
        <v>BOH-0014</v>
      </c>
      <c r="C18" s="4">
        <f>'[4]Center for Teaching &amp; Learning'!K21</f>
        <v>0</v>
      </c>
      <c r="D18" s="10"/>
      <c r="E18" s="10"/>
      <c r="F18" s="10"/>
      <c r="G18" s="10"/>
      <c r="H18" s="2"/>
      <c r="I18" s="10"/>
      <c r="J18" s="10"/>
      <c r="K18" s="10"/>
      <c r="L18" s="2"/>
      <c r="M18" s="10"/>
      <c r="N18" s="10"/>
      <c r="O18" s="10"/>
      <c r="P18" s="10"/>
      <c r="Q18" s="10"/>
      <c r="R18" s="49"/>
    </row>
    <row r="19" spans="1:18" ht="16" x14ac:dyDescent="0.2">
      <c r="A19" s="31">
        <v>15</v>
      </c>
      <c r="B19" s="56" t="str">
        <f>[3]Bohooth!B22</f>
        <v>BOH-0015</v>
      </c>
      <c r="C19" s="4">
        <f>'[4]Center for Teaching &amp; Learning'!K22</f>
        <v>0</v>
      </c>
      <c r="D19" s="8"/>
      <c r="E19" s="8"/>
      <c r="F19" s="8"/>
      <c r="G19" s="8"/>
      <c r="H19" s="2"/>
      <c r="I19" s="8"/>
      <c r="J19" s="8"/>
      <c r="K19" s="8"/>
      <c r="L19" s="2"/>
      <c r="M19" s="8"/>
      <c r="N19" s="8"/>
      <c r="O19" s="8"/>
      <c r="P19" s="8"/>
      <c r="Q19" s="8"/>
      <c r="R19" s="49"/>
    </row>
    <row r="20" spans="1:18" ht="16" x14ac:dyDescent="0.2">
      <c r="A20" s="31">
        <v>16</v>
      </c>
      <c r="B20" s="56" t="str">
        <f>[3]Bohooth!B23</f>
        <v>BOH-0016</v>
      </c>
      <c r="C20" s="4">
        <f>'[4]Center for Teaching &amp; Learning'!K23</f>
        <v>0</v>
      </c>
      <c r="D20" s="6"/>
      <c r="E20" s="6"/>
      <c r="F20" s="6"/>
      <c r="G20" s="6"/>
      <c r="H20" s="2"/>
      <c r="I20" s="6"/>
      <c r="J20" s="6"/>
      <c r="K20" s="6"/>
      <c r="L20" s="2"/>
      <c r="M20" s="6"/>
      <c r="N20" s="6"/>
      <c r="O20" s="6"/>
      <c r="P20" s="6"/>
      <c r="Q20" s="6"/>
      <c r="R20" s="49"/>
    </row>
    <row r="21" spans="1:18" ht="16" x14ac:dyDescent="0.2">
      <c r="A21" s="31">
        <v>17</v>
      </c>
      <c r="B21" s="56" t="str">
        <f>[3]Bohooth!B24</f>
        <v>BOH-0017</v>
      </c>
      <c r="C21" s="4">
        <f>'[4]Center for Teaching &amp; Learning'!K24</f>
        <v>0</v>
      </c>
      <c r="D21" s="7"/>
      <c r="E21" s="7"/>
      <c r="F21" s="7"/>
      <c r="G21" s="7"/>
      <c r="H21" s="2"/>
      <c r="I21" s="7"/>
      <c r="J21" s="7"/>
      <c r="K21" s="7"/>
      <c r="L21" s="2"/>
      <c r="M21" s="7"/>
      <c r="N21" s="7"/>
      <c r="O21" s="7"/>
      <c r="P21" s="7"/>
      <c r="Q21" s="7"/>
      <c r="R21" s="49"/>
    </row>
    <row r="22" spans="1:18" ht="16" x14ac:dyDescent="0.2">
      <c r="A22" s="31">
        <v>18</v>
      </c>
      <c r="B22" s="56" t="str">
        <f>[3]Bohooth!B25</f>
        <v>BOH-0018</v>
      </c>
      <c r="C22" s="4">
        <f>'[4]Center for Teaching &amp; Learning'!K25</f>
        <v>0</v>
      </c>
      <c r="D22" s="9"/>
      <c r="E22" s="9"/>
      <c r="F22" s="9"/>
      <c r="G22" s="9"/>
      <c r="H22" s="2"/>
      <c r="I22" s="9"/>
      <c r="J22" s="9"/>
      <c r="K22" s="9"/>
      <c r="L22" s="2"/>
      <c r="M22" s="9"/>
      <c r="N22" s="9"/>
      <c r="O22" s="9"/>
      <c r="P22" s="9"/>
      <c r="Q22" s="9"/>
      <c r="R22" s="49"/>
    </row>
    <row r="23" spans="1:18" ht="16" x14ac:dyDescent="0.2">
      <c r="A23" s="31">
        <v>19</v>
      </c>
      <c r="B23" s="56" t="str">
        <f>[3]Bohooth!B26</f>
        <v>BOH-0019</v>
      </c>
      <c r="C23" s="4">
        <f>'[4]Center for Teaching &amp; Learning'!K26</f>
        <v>0</v>
      </c>
      <c r="D23" s="8"/>
      <c r="E23" s="8"/>
      <c r="F23" s="8"/>
      <c r="G23" s="8"/>
      <c r="H23" s="2"/>
      <c r="I23" s="8"/>
      <c r="J23" s="8"/>
      <c r="K23" s="8"/>
      <c r="L23" s="2"/>
      <c r="M23" s="8"/>
      <c r="N23" s="8"/>
      <c r="O23" s="8"/>
      <c r="P23" s="8"/>
      <c r="Q23" s="8"/>
      <c r="R23" s="49"/>
    </row>
    <row r="24" spans="1:18" ht="16" x14ac:dyDescent="0.2">
      <c r="A24" s="31">
        <v>20</v>
      </c>
      <c r="B24" s="56" t="str">
        <f>[3]Bohooth!B27</f>
        <v>BOH-0020</v>
      </c>
      <c r="C24" s="4">
        <f>'[4]Center for Teaching &amp; Learning'!K27</f>
        <v>0</v>
      </c>
      <c r="D24" s="7"/>
      <c r="E24" s="7"/>
      <c r="F24" s="7"/>
      <c r="G24" s="7"/>
      <c r="H24" s="2"/>
      <c r="I24" s="7"/>
      <c r="J24" s="7"/>
      <c r="K24" s="7"/>
      <c r="L24" s="2"/>
      <c r="M24" s="7"/>
      <c r="N24" s="7"/>
      <c r="O24" s="7"/>
      <c r="P24" s="7"/>
      <c r="Q24" s="7"/>
      <c r="R24" s="49"/>
    </row>
    <row r="25" spans="1:18" ht="16" x14ac:dyDescent="0.2">
      <c r="A25" s="31">
        <v>21</v>
      </c>
      <c r="B25" s="56" t="str">
        <f>[3]Bohooth!B28</f>
        <v>BOH-0021</v>
      </c>
      <c r="C25" s="4">
        <f>'[4]Center for Teaching &amp; Learning'!K28</f>
        <v>0</v>
      </c>
      <c r="D25" s="6"/>
      <c r="E25" s="6"/>
      <c r="F25" s="6"/>
      <c r="G25" s="6"/>
      <c r="H25" s="2"/>
      <c r="I25" s="6"/>
      <c r="J25" s="6"/>
      <c r="K25" s="6"/>
      <c r="L25" s="2"/>
      <c r="M25" s="6"/>
      <c r="N25" s="6"/>
      <c r="O25" s="6"/>
      <c r="P25" s="6"/>
      <c r="Q25" s="6"/>
      <c r="R25" s="49"/>
    </row>
    <row r="26" spans="1:18" ht="16" x14ac:dyDescent="0.2">
      <c r="A26" s="32">
        <v>22</v>
      </c>
      <c r="B26" s="56" t="str">
        <f>[3]Bohooth!B29</f>
        <v>BOH-0022</v>
      </c>
      <c r="C26" s="4">
        <f>'[4]Center for Teaching &amp; Learning'!K29</f>
        <v>0</v>
      </c>
      <c r="D26" s="9"/>
      <c r="E26" s="9"/>
      <c r="F26" s="9"/>
      <c r="G26" s="9"/>
      <c r="H26" s="2"/>
      <c r="I26" s="9"/>
      <c r="J26" s="9"/>
      <c r="K26" s="9"/>
      <c r="L26" s="2"/>
      <c r="M26" s="9"/>
      <c r="N26" s="9"/>
      <c r="O26" s="9"/>
      <c r="P26" s="9"/>
      <c r="Q26" s="9"/>
      <c r="R26" s="49"/>
    </row>
    <row r="27" spans="1:18" ht="16" x14ac:dyDescent="0.2">
      <c r="A27" s="32">
        <v>23</v>
      </c>
      <c r="B27" s="56" t="str">
        <f>[3]Bohooth!B30</f>
        <v>BOH-0023</v>
      </c>
      <c r="C27" s="4">
        <f>'[4]Center for Teaching &amp; Learning'!K30</f>
        <v>0</v>
      </c>
      <c r="D27" s="7"/>
      <c r="E27" s="7"/>
      <c r="F27" s="7"/>
      <c r="G27" s="7"/>
      <c r="H27" s="2"/>
      <c r="I27" s="7"/>
      <c r="J27" s="7"/>
      <c r="K27" s="7"/>
      <c r="L27" s="2"/>
      <c r="M27" s="7"/>
      <c r="N27" s="7"/>
      <c r="O27" s="7"/>
      <c r="P27" s="7"/>
      <c r="Q27" s="7"/>
      <c r="R27" s="49"/>
    </row>
    <row r="28" spans="1:18" ht="16" x14ac:dyDescent="0.2">
      <c r="A28" s="32">
        <v>24</v>
      </c>
      <c r="B28" s="56" t="str">
        <f>[3]Bohooth!B31</f>
        <v>BOH-0024</v>
      </c>
      <c r="C28" s="4">
        <f>'[4]Center for Teaching &amp; Learning'!K31</f>
        <v>0</v>
      </c>
      <c r="D28" s="7"/>
      <c r="E28" s="7"/>
      <c r="F28" s="7"/>
      <c r="G28" s="7"/>
      <c r="H28" s="2"/>
      <c r="I28" s="7"/>
      <c r="J28" s="7"/>
      <c r="K28" s="7"/>
      <c r="L28" s="2"/>
      <c r="M28" s="7"/>
      <c r="N28" s="7"/>
      <c r="O28" s="7"/>
      <c r="P28" s="7"/>
      <c r="Q28" s="7"/>
      <c r="R28" s="49"/>
    </row>
    <row r="29" spans="1:18" ht="16" x14ac:dyDescent="0.2">
      <c r="A29" s="32">
        <v>25</v>
      </c>
      <c r="B29" s="56" t="str">
        <f>[3]Bohooth!B32</f>
        <v>BOH-0025</v>
      </c>
      <c r="C29" s="4">
        <f>'[4]Center for Teaching &amp; Learning'!K32</f>
        <v>0</v>
      </c>
      <c r="D29" s="6"/>
      <c r="E29" s="6"/>
      <c r="F29" s="6"/>
      <c r="G29" s="6"/>
      <c r="H29" s="2"/>
      <c r="I29" s="6"/>
      <c r="J29" s="6"/>
      <c r="K29" s="6"/>
      <c r="L29" s="2"/>
      <c r="M29" s="6"/>
      <c r="N29" s="6"/>
      <c r="O29" s="6"/>
      <c r="P29" s="6"/>
      <c r="Q29" s="6"/>
      <c r="R29" s="49"/>
    </row>
    <row r="30" spans="1:18" ht="16" x14ac:dyDescent="0.2">
      <c r="A30" s="32">
        <v>26</v>
      </c>
      <c r="B30" s="56" t="str">
        <f>[3]Bohooth!B33</f>
        <v>BOH-0026</v>
      </c>
      <c r="C30" s="4">
        <f>'[4]Center for Teaching &amp; Learning'!K33</f>
        <v>0</v>
      </c>
      <c r="D30" s="7"/>
      <c r="E30" s="7"/>
      <c r="F30" s="7"/>
      <c r="G30" s="7"/>
      <c r="H30" s="2"/>
      <c r="I30" s="7"/>
      <c r="J30" s="7"/>
      <c r="K30" s="7"/>
      <c r="L30" s="2"/>
      <c r="M30" s="7"/>
      <c r="N30" s="7"/>
      <c r="O30" s="7"/>
      <c r="P30" s="7"/>
      <c r="Q30" s="7"/>
      <c r="R30" s="49"/>
    </row>
    <row r="31" spans="1:18" ht="16" x14ac:dyDescent="0.2">
      <c r="A31" s="32">
        <v>27</v>
      </c>
      <c r="B31" s="56" t="str">
        <f>[3]Bohooth!B34</f>
        <v>BOH-0027</v>
      </c>
      <c r="C31" s="4">
        <f>'[4]Center for Teaching &amp; Learning'!K34</f>
        <v>0</v>
      </c>
      <c r="D31" s="8"/>
      <c r="E31" s="8"/>
      <c r="F31" s="8"/>
      <c r="G31" s="8"/>
      <c r="H31" s="2"/>
      <c r="I31" s="8"/>
      <c r="J31" s="8"/>
      <c r="K31" s="8"/>
      <c r="L31" s="2"/>
      <c r="M31" s="8"/>
      <c r="N31" s="8"/>
      <c r="O31" s="8"/>
      <c r="P31" s="8"/>
      <c r="Q31" s="8"/>
      <c r="R31" s="49"/>
    </row>
    <row r="32" spans="1:18" ht="16" x14ac:dyDescent="0.2">
      <c r="A32" s="32">
        <v>28</v>
      </c>
      <c r="B32" s="56" t="str">
        <f>[3]Bohooth!B35</f>
        <v>BOH-0028</v>
      </c>
      <c r="C32" s="4">
        <f>'[4]Center for Teaching &amp; Learning'!K35</f>
        <v>0</v>
      </c>
      <c r="D32" s="7"/>
      <c r="E32" s="7"/>
      <c r="F32" s="7"/>
      <c r="G32" s="7"/>
      <c r="H32" s="2"/>
      <c r="I32" s="7"/>
      <c r="J32" s="7"/>
      <c r="K32" s="7"/>
      <c r="L32" s="2"/>
      <c r="M32" s="7"/>
      <c r="N32" s="7"/>
      <c r="O32" s="7"/>
      <c r="P32" s="7"/>
      <c r="Q32" s="7"/>
      <c r="R32" s="49"/>
    </row>
    <row r="33" spans="1:18" ht="16" x14ac:dyDescent="0.2">
      <c r="A33" s="57">
        <v>29</v>
      </c>
      <c r="B33" s="56" t="str">
        <f>[3]Bohooth!B36</f>
        <v>BOH-0029</v>
      </c>
      <c r="C33" s="4">
        <f>'[4]Center for Teaching &amp; Learning'!K36</f>
        <v>0</v>
      </c>
      <c r="D33" s="58"/>
      <c r="E33" s="58"/>
      <c r="F33" s="58"/>
      <c r="G33" s="58"/>
      <c r="H33" s="59"/>
      <c r="I33" s="58"/>
      <c r="J33" s="58"/>
      <c r="K33" s="58"/>
      <c r="L33" s="59"/>
      <c r="M33" s="58"/>
      <c r="N33" s="58"/>
      <c r="O33" s="58"/>
      <c r="P33" s="58"/>
      <c r="Q33" s="58"/>
      <c r="R33" s="60"/>
    </row>
    <row r="34" spans="1:18" s="49" customFormat="1" ht="16" x14ac:dyDescent="0.2">
      <c r="A34" s="32">
        <v>30</v>
      </c>
      <c r="B34" s="61" t="str">
        <f>[3]Bohooth!B37</f>
        <v>BOH-0030</v>
      </c>
      <c r="C34" s="4">
        <f>'[4]Center for Teaching &amp; Learning'!K37</f>
        <v>0</v>
      </c>
      <c r="D34" s="5"/>
      <c r="E34" s="5"/>
      <c r="F34" s="5"/>
      <c r="G34" s="5"/>
      <c r="H34" s="2"/>
      <c r="I34" s="5"/>
      <c r="J34" s="5"/>
      <c r="K34" s="5"/>
      <c r="L34" s="2"/>
      <c r="M34" s="5"/>
      <c r="N34" s="5"/>
      <c r="O34" s="5"/>
      <c r="P34" s="5"/>
      <c r="Q34" s="5"/>
    </row>
    <row r="35" spans="1:18" x14ac:dyDescent="0.2">
      <c r="E35" s="30">
        <f>SUM(E5:E34)</f>
        <v>0</v>
      </c>
    </row>
  </sheetData>
  <mergeCells count="1">
    <mergeCell ref="A1:R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D00-000000000000}">
          <x14:formula1>
            <xm:f>'/Users/delmoghraby/Library/Containers/com.microsoft.Excel/Data/Documents/C:\Users\halansari\Desktop\[APP template.xlsx]Macro-Sheet'!#REF!</xm:f>
          </x14:formula1>
          <xm:sqref>L5:L34</xm:sqref>
        </x14:dataValidation>
        <x14:dataValidation type="list" allowBlank="1" showInputMessage="1" showErrorMessage="1" xr:uid="{00000000-0002-0000-0D00-000001000000}">
          <x14:formula1>
            <xm:f>'/Users/delmoghraby/Library/Containers/com.microsoft.Excel/Data/Documents/C:\Users\halansari\Desktop\[APP template.xlsx]Macro-Sheet'!#REF!</xm:f>
          </x14:formula1>
          <xm:sqref>H5:H34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Guideline</vt:lpstr>
      <vt:lpstr>Submission Instruction</vt:lpstr>
      <vt:lpstr>Budget Summary</vt:lpstr>
      <vt:lpstr>VPRES</vt:lpstr>
      <vt:lpstr>IISC</vt:lpstr>
      <vt:lpstr>PETR INST</vt:lpstr>
      <vt:lpstr>MASD INST</vt:lpstr>
      <vt:lpstr>RES SERV</vt:lpstr>
      <vt:lpstr>SPONS RES</vt:lpstr>
      <vt:lpstr>TMI</vt:lpstr>
      <vt:lpstr>RES LAB</vt:lpstr>
      <vt:lpstr>RES COMP</vt:lpstr>
      <vt:lpstr>Macro-Sheet</vt:lpstr>
      <vt:lpstr>Procurement Follow-up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Humaid Naser Al Ansari</dc:creator>
  <cp:lastModifiedBy>Dureid El-Moghraby</cp:lastModifiedBy>
  <cp:lastPrinted>2019-02-03T06:25:39Z</cp:lastPrinted>
  <dcterms:created xsi:type="dcterms:W3CDTF">2015-03-02T03:57:19Z</dcterms:created>
  <dcterms:modified xsi:type="dcterms:W3CDTF">2021-02-28T06:50:31Z</dcterms:modified>
</cp:coreProperties>
</file>